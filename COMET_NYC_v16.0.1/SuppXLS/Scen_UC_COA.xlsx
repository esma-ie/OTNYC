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9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10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11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drawings/drawing12.xml" ContentType="application/vnd.openxmlformats-officedocument.drawing+xml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3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4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SuppXLS/"/>
    </mc:Choice>
  </mc:AlternateContent>
  <xr:revisionPtr revIDLastSave="15" documentId="13_ncr:1_{D0243615-8A59-4511-A4B4-B835DBD918BB}" xr6:coauthVersionLast="47" xr6:coauthVersionMax="47" xr10:uidLastSave="{E46B12AE-C554-4A0F-875E-00BE62CD0392}"/>
  <bookViews>
    <workbookView xWindow="53880" yWindow="-120" windowWidth="29040" windowHeight="15720" tabRatio="840" firstSheet="1" activeTab="14" xr2:uid="{00000000-000D-0000-FFFF-FFFF00000000}"/>
  </bookViews>
  <sheets>
    <sheet name="ANSv6.1-Commodities" sheetId="1" state="veryHidden" r:id="rId1"/>
    <sheet name="UC_COA" sheetId="48" r:id="rId2"/>
    <sheet name="TechData_R0" sheetId="43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EO Coal Prices" sheetId="44" r:id="rId8"/>
    <sheet name="Production Steps" sheetId="46" r:id="rId9"/>
    <sheet name="AEO Coal Prod" sheetId="45" r:id="rId10"/>
    <sheet name="Types" sheetId="24" r:id="rId11"/>
    <sheet name="BASE_YR_SUPPLY_CURVE" sheetId="41" r:id="rId12"/>
    <sheet name="COKE Imports" sheetId="17" r:id="rId13"/>
    <sheet name="Rate esc" sheetId="23" r:id="rId14"/>
    <sheet name="Conversion Factors" sheetId="19" r:id="rId15"/>
    <sheet name="ANSv6.0-ConstrData" sheetId="32" state="veryHidden" r:id="rId16"/>
    <sheet name="ANSv6.0-TechData" sheetId="31" state="veryHidden" r:id="rId17"/>
    <sheet name="ANSv6.0-CommData" sheetId="30" state="veryHidden" r:id="rId18"/>
    <sheet name="ANSv6.0-Constraints" sheetId="29" state="veryHidden" r:id="rId19"/>
    <sheet name="ANSv6.0-Technologies" sheetId="28" state="veryHidden" r:id="rId20"/>
    <sheet name="ANSv6.0-Commodities" sheetId="27" state="veryHidden" r:id="rId21"/>
    <sheet name="ANSv6.1-ConstrData" sheetId="8" state="very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2" hidden="1">TechData_R0!$A$288:$AZ$330</definedName>
    <definedName name="_xlnm._FilterDatabase" localSheetId="1" hidden="1">UC_COA!$A$243:$U$481</definedName>
    <definedName name="AnswerData" localSheetId="2">#REF!</definedName>
    <definedName name="AnswerData">#REF!</definedName>
    <definedName name="bprint" localSheetId="2">#REF!</definedName>
    <definedName name="bprint">#REF!</definedName>
    <definedName name="CMM_ANN_COAL_PRODUCTION">#REF!</definedName>
    <definedName name="CMM_BASE_YR_SUPPLY_CURVE">Types!$A$3:$AA$43</definedName>
    <definedName name="CMM_CENSUS_DMD_SHARE_FCTR">#REF!</definedName>
    <definedName name="CMM_ORIGIN_DEST_RATE">#REF!</definedName>
    <definedName name="CMM_SUPPLY_CRV_TABLE" localSheetId="2">[1]cum2025curves!#REF!</definedName>
    <definedName name="CMM_SUPPLY_CRV_TABLE">[2]cum2025curves!#REF!</definedName>
    <definedName name="CMM_TRAN_RATE_ESC_COMP">'Rate esc'!$B$3:$D$2274</definedName>
    <definedName name="cprint" localSheetId="2">#REF!</definedName>
    <definedName name="cprint">#REF!</definedName>
    <definedName name="exch_rate" localSheetId="2">#REF!</definedName>
    <definedName name="exch_rate">#REF!</definedName>
    <definedName name="fitfile" localSheetId="2">[3]MODEL!$D$38</definedName>
    <definedName name="fitfile">[4]MODEL!$D$38</definedName>
    <definedName name="INF" localSheetId="2">[3]MODEL!$H$14</definedName>
    <definedName name="INF">[4]MODEL!$H$14</definedName>
    <definedName name="million_short_tons_to_short_ton" localSheetId="2">[5]Steps!$Y$5</definedName>
    <definedName name="million_short_tons_to_short_ton">[6]Steps!$Y$5</definedName>
    <definedName name="MMBTU_to_PJ" localSheetId="2">[5]Steps!$Y$6</definedName>
    <definedName name="MMBTU_to_PJ">[6]Steps!$Y$6</definedName>
    <definedName name="PPP" localSheetId="2">[3]MODEL!$D$12</definedName>
    <definedName name="PPP">[4]MODEL!$D$12</definedName>
    <definedName name="PPPEX" localSheetId="2">[3]MODEL!$D$13</definedName>
    <definedName name="PPPEX">[4]MODEL!$D$13</definedName>
    <definedName name="rail_coal" localSheetId="2">#REF!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9" i="48" l="1"/>
  <c r="H249" i="48"/>
  <c r="I249" i="48" s="1"/>
  <c r="J249" i="48" s="1"/>
  <c r="K249" i="48" s="1"/>
  <c r="L249" i="48" s="1"/>
  <c r="M249" i="48" s="1"/>
  <c r="N249" i="48" s="1"/>
  <c r="O249" i="48" s="1"/>
  <c r="P249" i="48" s="1"/>
  <c r="Q249" i="48" s="1"/>
  <c r="B250" i="48"/>
  <c r="H250" i="48"/>
  <c r="I250" i="48" s="1"/>
  <c r="J250" i="48" s="1"/>
  <c r="K250" i="48" s="1"/>
  <c r="L250" i="48" s="1"/>
  <c r="M250" i="48" s="1"/>
  <c r="N250" i="48" s="1"/>
  <c r="O250" i="48" s="1"/>
  <c r="P250" i="48" s="1"/>
  <c r="Q250" i="48" s="1"/>
  <c r="B251" i="48"/>
  <c r="H251" i="48"/>
  <c r="I251" i="48" s="1"/>
  <c r="J251" i="48" s="1"/>
  <c r="K251" i="48" s="1"/>
  <c r="L251" i="48" s="1"/>
  <c r="M251" i="48" s="1"/>
  <c r="N251" i="48" s="1"/>
  <c r="O251" i="48" s="1"/>
  <c r="P251" i="48" s="1"/>
  <c r="Q251" i="48" s="1"/>
  <c r="B252" i="48"/>
  <c r="H252" i="48"/>
  <c r="I252" i="48" s="1"/>
  <c r="J252" i="48" s="1"/>
  <c r="K252" i="48" s="1"/>
  <c r="L252" i="48" s="1"/>
  <c r="M252" i="48" s="1"/>
  <c r="N252" i="48" s="1"/>
  <c r="O252" i="48" s="1"/>
  <c r="P252" i="48" s="1"/>
  <c r="Q252" i="48" s="1"/>
  <c r="B253" i="48"/>
  <c r="H253" i="48"/>
  <c r="I253" i="48" s="1"/>
  <c r="J253" i="48" s="1"/>
  <c r="K253" i="48" s="1"/>
  <c r="L253" i="48" s="1"/>
  <c r="M253" i="48" s="1"/>
  <c r="N253" i="48" s="1"/>
  <c r="O253" i="48" s="1"/>
  <c r="P253" i="48" s="1"/>
  <c r="Q253" i="48" s="1"/>
  <c r="B254" i="48"/>
  <c r="H254" i="48"/>
  <c r="I254" i="48"/>
  <c r="J254" i="48" s="1"/>
  <c r="K254" i="48" s="1"/>
  <c r="L254" i="48" s="1"/>
  <c r="M254" i="48" s="1"/>
  <c r="N254" i="48" s="1"/>
  <c r="O254" i="48" s="1"/>
  <c r="P254" i="48" s="1"/>
  <c r="Q254" i="48" s="1"/>
  <c r="B255" i="48"/>
  <c r="H255" i="48"/>
  <c r="I255" i="48"/>
  <c r="J255" i="48" s="1"/>
  <c r="K255" i="48" s="1"/>
  <c r="L255" i="48"/>
  <c r="M255" i="48" s="1"/>
  <c r="N255" i="48" s="1"/>
  <c r="O255" i="48" s="1"/>
  <c r="P255" i="48" s="1"/>
  <c r="Q255" i="48" s="1"/>
  <c r="B256" i="48"/>
  <c r="H256" i="48"/>
  <c r="I256" i="48" s="1"/>
  <c r="J256" i="48" s="1"/>
  <c r="K256" i="48" s="1"/>
  <c r="L256" i="48" s="1"/>
  <c r="M256" i="48" s="1"/>
  <c r="N256" i="48" s="1"/>
  <c r="O256" i="48" s="1"/>
  <c r="P256" i="48" s="1"/>
  <c r="Q256" i="48" s="1"/>
  <c r="B257" i="48"/>
  <c r="H257" i="48"/>
  <c r="I257" i="48" s="1"/>
  <c r="J257" i="48" s="1"/>
  <c r="K257" i="48" s="1"/>
  <c r="L257" i="48" s="1"/>
  <c r="M257" i="48" s="1"/>
  <c r="N257" i="48" s="1"/>
  <c r="O257" i="48" s="1"/>
  <c r="P257" i="48" s="1"/>
  <c r="Q257" i="48" s="1"/>
  <c r="B258" i="48"/>
  <c r="H258" i="48"/>
  <c r="I258" i="48" s="1"/>
  <c r="J258" i="48" s="1"/>
  <c r="K258" i="48" s="1"/>
  <c r="L258" i="48" s="1"/>
  <c r="M258" i="48" s="1"/>
  <c r="N258" i="48" s="1"/>
  <c r="O258" i="48" s="1"/>
  <c r="P258" i="48" s="1"/>
  <c r="Q258" i="48" s="1"/>
  <c r="B259" i="48"/>
  <c r="H259" i="48"/>
  <c r="I259" i="48" s="1"/>
  <c r="J259" i="48" s="1"/>
  <c r="K259" i="48" s="1"/>
  <c r="L259" i="48" s="1"/>
  <c r="M259" i="48" s="1"/>
  <c r="N259" i="48" s="1"/>
  <c r="O259" i="48" s="1"/>
  <c r="P259" i="48" s="1"/>
  <c r="Q259" i="48" s="1"/>
  <c r="B260" i="48"/>
  <c r="H260" i="48"/>
  <c r="I260" i="48" s="1"/>
  <c r="J260" i="48" s="1"/>
  <c r="K260" i="48" s="1"/>
  <c r="L260" i="48" s="1"/>
  <c r="M260" i="48" s="1"/>
  <c r="N260" i="48" s="1"/>
  <c r="O260" i="48" s="1"/>
  <c r="P260" i="48" s="1"/>
  <c r="Q260" i="48" s="1"/>
  <c r="B261" i="48"/>
  <c r="H261" i="48"/>
  <c r="I261" i="48"/>
  <c r="J261" i="48"/>
  <c r="K261" i="48" s="1"/>
  <c r="L261" i="48" s="1"/>
  <c r="M261" i="48" s="1"/>
  <c r="N261" i="48" s="1"/>
  <c r="O261" i="48" s="1"/>
  <c r="P261" i="48" s="1"/>
  <c r="Q261" i="48" s="1"/>
  <c r="B262" i="48"/>
  <c r="H262" i="48"/>
  <c r="I262" i="48" s="1"/>
  <c r="J262" i="48" s="1"/>
  <c r="K262" i="48" s="1"/>
  <c r="L262" i="48" s="1"/>
  <c r="M262" i="48" s="1"/>
  <c r="N262" i="48" s="1"/>
  <c r="O262" i="48" s="1"/>
  <c r="P262" i="48" s="1"/>
  <c r="Q262" i="48" s="1"/>
  <c r="B263" i="48"/>
  <c r="H263" i="48"/>
  <c r="I263" i="48" s="1"/>
  <c r="J263" i="48" s="1"/>
  <c r="K263" i="48" s="1"/>
  <c r="L263" i="48" s="1"/>
  <c r="M263" i="48" s="1"/>
  <c r="N263" i="48" s="1"/>
  <c r="O263" i="48" s="1"/>
  <c r="P263" i="48" s="1"/>
  <c r="Q263" i="48" s="1"/>
  <c r="B264" i="48"/>
  <c r="H264" i="48"/>
  <c r="I264" i="48" s="1"/>
  <c r="J264" i="48" s="1"/>
  <c r="K264" i="48" s="1"/>
  <c r="L264" i="48" s="1"/>
  <c r="M264" i="48" s="1"/>
  <c r="N264" i="48" s="1"/>
  <c r="O264" i="48" s="1"/>
  <c r="P264" i="48" s="1"/>
  <c r="Q264" i="48" s="1"/>
  <c r="B265" i="48"/>
  <c r="H265" i="48"/>
  <c r="I265" i="48" s="1"/>
  <c r="J265" i="48" s="1"/>
  <c r="K265" i="48" s="1"/>
  <c r="L265" i="48" s="1"/>
  <c r="M265" i="48" s="1"/>
  <c r="N265" i="48" s="1"/>
  <c r="O265" i="48" s="1"/>
  <c r="P265" i="48" s="1"/>
  <c r="Q265" i="48" s="1"/>
  <c r="B266" i="48"/>
  <c r="H266" i="48"/>
  <c r="I266" i="48" s="1"/>
  <c r="J266" i="48" s="1"/>
  <c r="K266" i="48" s="1"/>
  <c r="L266" i="48" s="1"/>
  <c r="M266" i="48" s="1"/>
  <c r="N266" i="48" s="1"/>
  <c r="O266" i="48" s="1"/>
  <c r="P266" i="48" s="1"/>
  <c r="Q266" i="48" s="1"/>
  <c r="B267" i="48"/>
  <c r="H267" i="48"/>
  <c r="I267" i="48" s="1"/>
  <c r="J267" i="48" s="1"/>
  <c r="K267" i="48" s="1"/>
  <c r="L267" i="48" s="1"/>
  <c r="M267" i="48" s="1"/>
  <c r="N267" i="48" s="1"/>
  <c r="O267" i="48" s="1"/>
  <c r="P267" i="48" s="1"/>
  <c r="Q267" i="48" s="1"/>
  <c r="B268" i="48"/>
  <c r="H268" i="48"/>
  <c r="I268" i="48" s="1"/>
  <c r="J268" i="48" s="1"/>
  <c r="K268" i="48" s="1"/>
  <c r="L268" i="48" s="1"/>
  <c r="M268" i="48" s="1"/>
  <c r="N268" i="48" s="1"/>
  <c r="O268" i="48" s="1"/>
  <c r="P268" i="48" s="1"/>
  <c r="Q268" i="48" s="1"/>
  <c r="B269" i="48"/>
  <c r="H269" i="48"/>
  <c r="I269" i="48" s="1"/>
  <c r="J269" i="48" s="1"/>
  <c r="K269" i="48" s="1"/>
  <c r="L269" i="48" s="1"/>
  <c r="M269" i="48" s="1"/>
  <c r="N269" i="48" s="1"/>
  <c r="O269" i="48" s="1"/>
  <c r="P269" i="48" s="1"/>
  <c r="Q269" i="48" s="1"/>
  <c r="B270" i="48"/>
  <c r="H270" i="48"/>
  <c r="I270" i="48"/>
  <c r="J270" i="48" s="1"/>
  <c r="K270" i="48" s="1"/>
  <c r="L270" i="48" s="1"/>
  <c r="M270" i="48" s="1"/>
  <c r="N270" i="48" s="1"/>
  <c r="O270" i="48" s="1"/>
  <c r="P270" i="48" s="1"/>
  <c r="Q270" i="48" s="1"/>
  <c r="B271" i="48"/>
  <c r="H271" i="48"/>
  <c r="I271" i="48"/>
  <c r="J271" i="48" s="1"/>
  <c r="K271" i="48" s="1"/>
  <c r="L271" i="48" s="1"/>
  <c r="M271" i="48" s="1"/>
  <c r="N271" i="48" s="1"/>
  <c r="O271" i="48" s="1"/>
  <c r="P271" i="48" s="1"/>
  <c r="Q271" i="48" s="1"/>
  <c r="B272" i="48"/>
  <c r="H272" i="48"/>
  <c r="I272" i="48" s="1"/>
  <c r="J272" i="48" s="1"/>
  <c r="K272" i="48" s="1"/>
  <c r="L272" i="48" s="1"/>
  <c r="M272" i="48" s="1"/>
  <c r="N272" i="48" s="1"/>
  <c r="O272" i="48" s="1"/>
  <c r="P272" i="48" s="1"/>
  <c r="Q272" i="48" s="1"/>
  <c r="B273" i="48"/>
  <c r="H273" i="48"/>
  <c r="I273" i="48" s="1"/>
  <c r="J273" i="48" s="1"/>
  <c r="K273" i="48" s="1"/>
  <c r="L273" i="48" s="1"/>
  <c r="M273" i="48" s="1"/>
  <c r="N273" i="48" s="1"/>
  <c r="O273" i="48" s="1"/>
  <c r="P273" i="48" s="1"/>
  <c r="Q273" i="48" s="1"/>
  <c r="B274" i="48"/>
  <c r="H274" i="48"/>
  <c r="I274" i="48" s="1"/>
  <c r="J274" i="48" s="1"/>
  <c r="K274" i="48" s="1"/>
  <c r="L274" i="48" s="1"/>
  <c r="M274" i="48" s="1"/>
  <c r="N274" i="48" s="1"/>
  <c r="O274" i="48" s="1"/>
  <c r="P274" i="48" s="1"/>
  <c r="Q274" i="48" s="1"/>
  <c r="B275" i="48"/>
  <c r="H275" i="48"/>
  <c r="I275" i="48" s="1"/>
  <c r="J275" i="48" s="1"/>
  <c r="K275" i="48" s="1"/>
  <c r="L275" i="48" s="1"/>
  <c r="M275" i="48" s="1"/>
  <c r="N275" i="48" s="1"/>
  <c r="O275" i="48" s="1"/>
  <c r="P275" i="48" s="1"/>
  <c r="Q275" i="48" s="1"/>
  <c r="B276" i="48"/>
  <c r="H276" i="48"/>
  <c r="I276" i="48" s="1"/>
  <c r="J276" i="48" s="1"/>
  <c r="K276" i="48" s="1"/>
  <c r="L276" i="48" s="1"/>
  <c r="M276" i="48" s="1"/>
  <c r="N276" i="48" s="1"/>
  <c r="O276" i="48" s="1"/>
  <c r="P276" i="48" s="1"/>
  <c r="Q276" i="48" s="1"/>
  <c r="B277" i="48"/>
  <c r="H277" i="48"/>
  <c r="I277" i="48"/>
  <c r="J277" i="48" s="1"/>
  <c r="K277" i="48" s="1"/>
  <c r="L277" i="48" s="1"/>
  <c r="M277" i="48" s="1"/>
  <c r="N277" i="48" s="1"/>
  <c r="O277" i="48" s="1"/>
  <c r="P277" i="48" s="1"/>
  <c r="Q277" i="48" s="1"/>
  <c r="B278" i="48"/>
  <c r="H278" i="48"/>
  <c r="I278" i="48" s="1"/>
  <c r="J278" i="48" s="1"/>
  <c r="K278" i="48" s="1"/>
  <c r="L278" i="48" s="1"/>
  <c r="M278" i="48" s="1"/>
  <c r="N278" i="48" s="1"/>
  <c r="O278" i="48" s="1"/>
  <c r="P278" i="48" s="1"/>
  <c r="Q278" i="48" s="1"/>
  <c r="B279" i="48"/>
  <c r="H279" i="48"/>
  <c r="I279" i="48" s="1"/>
  <c r="J279" i="48" s="1"/>
  <c r="K279" i="48" s="1"/>
  <c r="L279" i="48" s="1"/>
  <c r="M279" i="48" s="1"/>
  <c r="N279" i="48" s="1"/>
  <c r="O279" i="48" s="1"/>
  <c r="P279" i="48" s="1"/>
  <c r="Q279" i="48" s="1"/>
  <c r="B280" i="48"/>
  <c r="H280" i="48"/>
  <c r="I280" i="48" s="1"/>
  <c r="J280" i="48" s="1"/>
  <c r="K280" i="48" s="1"/>
  <c r="L280" i="48" s="1"/>
  <c r="M280" i="48" s="1"/>
  <c r="N280" i="48" s="1"/>
  <c r="O280" i="48" s="1"/>
  <c r="P280" i="48" s="1"/>
  <c r="Q280" i="48" s="1"/>
  <c r="B281" i="48"/>
  <c r="H281" i="48"/>
  <c r="I281" i="48" s="1"/>
  <c r="J281" i="48" s="1"/>
  <c r="K281" i="48" s="1"/>
  <c r="L281" i="48" s="1"/>
  <c r="M281" i="48" s="1"/>
  <c r="N281" i="48" s="1"/>
  <c r="O281" i="48" s="1"/>
  <c r="P281" i="48" s="1"/>
  <c r="Q281" i="48" s="1"/>
  <c r="B282" i="48"/>
  <c r="H282" i="48"/>
  <c r="I282" i="48" s="1"/>
  <c r="J282" i="48" s="1"/>
  <c r="K282" i="48" s="1"/>
  <c r="L282" i="48" s="1"/>
  <c r="M282" i="48" s="1"/>
  <c r="N282" i="48" s="1"/>
  <c r="O282" i="48" s="1"/>
  <c r="P282" i="48" s="1"/>
  <c r="Q282" i="48" s="1"/>
  <c r="B283" i="48"/>
  <c r="H283" i="48"/>
  <c r="I283" i="48" s="1"/>
  <c r="J283" i="48" s="1"/>
  <c r="K283" i="48" s="1"/>
  <c r="L283" i="48" s="1"/>
  <c r="M283" i="48" s="1"/>
  <c r="N283" i="48" s="1"/>
  <c r="O283" i="48" s="1"/>
  <c r="P283" i="48" s="1"/>
  <c r="Q283" i="48" s="1"/>
  <c r="B284" i="48"/>
  <c r="H284" i="48"/>
  <c r="I284" i="48" s="1"/>
  <c r="J284" i="48" s="1"/>
  <c r="K284" i="48" s="1"/>
  <c r="L284" i="48" s="1"/>
  <c r="M284" i="48" s="1"/>
  <c r="N284" i="48" s="1"/>
  <c r="O284" i="48" s="1"/>
  <c r="P284" i="48" s="1"/>
  <c r="Q284" i="48" s="1"/>
  <c r="B285" i="48"/>
  <c r="H285" i="48"/>
  <c r="I285" i="48" s="1"/>
  <c r="J285" i="48" s="1"/>
  <c r="K285" i="48" s="1"/>
  <c r="L285" i="48" s="1"/>
  <c r="M285" i="48" s="1"/>
  <c r="N285" i="48" s="1"/>
  <c r="O285" i="48" s="1"/>
  <c r="P285" i="48" s="1"/>
  <c r="Q285" i="48" s="1"/>
  <c r="B286" i="48"/>
  <c r="H286" i="48"/>
  <c r="I286" i="48"/>
  <c r="J286" i="48" s="1"/>
  <c r="K286" i="48" s="1"/>
  <c r="L286" i="48" s="1"/>
  <c r="M286" i="48" s="1"/>
  <c r="N286" i="48" s="1"/>
  <c r="O286" i="48" s="1"/>
  <c r="P286" i="48" s="1"/>
  <c r="Q286" i="48" s="1"/>
  <c r="B287" i="48"/>
  <c r="H287" i="48"/>
  <c r="I287" i="48" s="1"/>
  <c r="J287" i="48" s="1"/>
  <c r="K287" i="48" s="1"/>
  <c r="L287" i="48"/>
  <c r="M287" i="48" s="1"/>
  <c r="N287" i="48" s="1"/>
  <c r="O287" i="48" s="1"/>
  <c r="P287" i="48" s="1"/>
  <c r="Q287" i="48" s="1"/>
  <c r="B288" i="48"/>
  <c r="H288" i="48"/>
  <c r="I288" i="48" s="1"/>
  <c r="J288" i="48" s="1"/>
  <c r="K288" i="48" s="1"/>
  <c r="L288" i="48" s="1"/>
  <c r="M288" i="48" s="1"/>
  <c r="N288" i="48" s="1"/>
  <c r="O288" i="48" s="1"/>
  <c r="P288" i="48" s="1"/>
  <c r="Q288" i="48" s="1"/>
  <c r="B289" i="48"/>
  <c r="H289" i="48"/>
  <c r="I289" i="48" s="1"/>
  <c r="J289" i="48" s="1"/>
  <c r="K289" i="48" s="1"/>
  <c r="L289" i="48" s="1"/>
  <c r="M289" i="48" s="1"/>
  <c r="N289" i="48" s="1"/>
  <c r="O289" i="48" s="1"/>
  <c r="P289" i="48" s="1"/>
  <c r="Q289" i="48" s="1"/>
  <c r="B290" i="48"/>
  <c r="H290" i="48"/>
  <c r="I290" i="48" s="1"/>
  <c r="J290" i="48" s="1"/>
  <c r="K290" i="48" s="1"/>
  <c r="L290" i="48" s="1"/>
  <c r="M290" i="48" s="1"/>
  <c r="N290" i="48" s="1"/>
  <c r="O290" i="48" s="1"/>
  <c r="P290" i="48" s="1"/>
  <c r="Q290" i="48" s="1"/>
  <c r="B291" i="48"/>
  <c r="H291" i="48"/>
  <c r="I291" i="48" s="1"/>
  <c r="J291" i="48" s="1"/>
  <c r="K291" i="48" s="1"/>
  <c r="L291" i="48" s="1"/>
  <c r="M291" i="48" s="1"/>
  <c r="N291" i="48" s="1"/>
  <c r="O291" i="48" s="1"/>
  <c r="P291" i="48" s="1"/>
  <c r="Q291" i="48" s="1"/>
  <c r="B292" i="48"/>
  <c r="H292" i="48"/>
  <c r="I292" i="48" s="1"/>
  <c r="J292" i="48" s="1"/>
  <c r="K292" i="48" s="1"/>
  <c r="L292" i="48" s="1"/>
  <c r="M292" i="48" s="1"/>
  <c r="N292" i="48" s="1"/>
  <c r="O292" i="48" s="1"/>
  <c r="P292" i="48" s="1"/>
  <c r="Q292" i="48" s="1"/>
  <c r="B293" i="48"/>
  <c r="H293" i="48"/>
  <c r="I293" i="48" s="1"/>
  <c r="J293" i="48" s="1"/>
  <c r="K293" i="48" s="1"/>
  <c r="L293" i="48" s="1"/>
  <c r="M293" i="48" s="1"/>
  <c r="N293" i="48" s="1"/>
  <c r="O293" i="48" s="1"/>
  <c r="P293" i="48" s="1"/>
  <c r="Q293" i="48" s="1"/>
  <c r="B294" i="48"/>
  <c r="H294" i="48"/>
  <c r="I294" i="48" s="1"/>
  <c r="J294" i="48" s="1"/>
  <c r="K294" i="48" s="1"/>
  <c r="L294" i="48" s="1"/>
  <c r="M294" i="48" s="1"/>
  <c r="N294" i="48" s="1"/>
  <c r="O294" i="48" s="1"/>
  <c r="P294" i="48" s="1"/>
  <c r="Q294" i="48" s="1"/>
  <c r="B295" i="48"/>
  <c r="H295" i="48"/>
  <c r="I295" i="48" s="1"/>
  <c r="J295" i="48" s="1"/>
  <c r="K295" i="48" s="1"/>
  <c r="L295" i="48" s="1"/>
  <c r="M295" i="48" s="1"/>
  <c r="N295" i="48" s="1"/>
  <c r="O295" i="48" s="1"/>
  <c r="P295" i="48" s="1"/>
  <c r="Q295" i="48" s="1"/>
  <c r="B296" i="48"/>
  <c r="H296" i="48"/>
  <c r="I296" i="48" s="1"/>
  <c r="J296" i="48" s="1"/>
  <c r="K296" i="48" s="1"/>
  <c r="L296" i="48" s="1"/>
  <c r="M296" i="48" s="1"/>
  <c r="N296" i="48" s="1"/>
  <c r="O296" i="48" s="1"/>
  <c r="P296" i="48" s="1"/>
  <c r="Q296" i="48" s="1"/>
  <c r="B297" i="48"/>
  <c r="H297" i="48"/>
  <c r="I297" i="48" s="1"/>
  <c r="J297" i="48" s="1"/>
  <c r="K297" i="48" s="1"/>
  <c r="L297" i="48" s="1"/>
  <c r="M297" i="48" s="1"/>
  <c r="N297" i="48" s="1"/>
  <c r="O297" i="48" s="1"/>
  <c r="P297" i="48" s="1"/>
  <c r="Q297" i="48" s="1"/>
  <c r="B298" i="48"/>
  <c r="H298" i="48"/>
  <c r="I298" i="48" s="1"/>
  <c r="J298" i="48" s="1"/>
  <c r="K298" i="48" s="1"/>
  <c r="L298" i="48" s="1"/>
  <c r="M298" i="48" s="1"/>
  <c r="N298" i="48" s="1"/>
  <c r="O298" i="48" s="1"/>
  <c r="P298" i="48" s="1"/>
  <c r="Q298" i="48" s="1"/>
  <c r="B299" i="48"/>
  <c r="H299" i="48"/>
  <c r="I299" i="48" s="1"/>
  <c r="J299" i="48" s="1"/>
  <c r="K299" i="48" s="1"/>
  <c r="L299" i="48" s="1"/>
  <c r="M299" i="48" s="1"/>
  <c r="N299" i="48" s="1"/>
  <c r="O299" i="48" s="1"/>
  <c r="P299" i="48" s="1"/>
  <c r="Q299" i="48" s="1"/>
  <c r="B300" i="48"/>
  <c r="H300" i="48"/>
  <c r="I300" i="48" s="1"/>
  <c r="J300" i="48" s="1"/>
  <c r="K300" i="48" s="1"/>
  <c r="L300" i="48" s="1"/>
  <c r="M300" i="48" s="1"/>
  <c r="N300" i="48" s="1"/>
  <c r="O300" i="48" s="1"/>
  <c r="P300" i="48" s="1"/>
  <c r="Q300" i="48" s="1"/>
  <c r="B301" i="48"/>
  <c r="H301" i="48"/>
  <c r="I301" i="48"/>
  <c r="J301" i="48" s="1"/>
  <c r="K301" i="48" s="1"/>
  <c r="L301" i="48" s="1"/>
  <c r="M301" i="48" s="1"/>
  <c r="N301" i="48" s="1"/>
  <c r="O301" i="48" s="1"/>
  <c r="P301" i="48" s="1"/>
  <c r="Q301" i="48" s="1"/>
  <c r="B302" i="48"/>
  <c r="H302" i="48"/>
  <c r="I302" i="48" s="1"/>
  <c r="J302" i="48" s="1"/>
  <c r="K302" i="48" s="1"/>
  <c r="L302" i="48" s="1"/>
  <c r="M302" i="48" s="1"/>
  <c r="N302" i="48" s="1"/>
  <c r="O302" i="48" s="1"/>
  <c r="P302" i="48" s="1"/>
  <c r="Q302" i="48" s="1"/>
  <c r="B303" i="48"/>
  <c r="H303" i="48"/>
  <c r="I303" i="48" s="1"/>
  <c r="J303" i="48" s="1"/>
  <c r="K303" i="48" s="1"/>
  <c r="L303" i="48" s="1"/>
  <c r="M303" i="48" s="1"/>
  <c r="N303" i="48" s="1"/>
  <c r="O303" i="48" s="1"/>
  <c r="P303" i="48" s="1"/>
  <c r="Q303" i="48" s="1"/>
  <c r="B304" i="48"/>
  <c r="H304" i="48"/>
  <c r="I304" i="48" s="1"/>
  <c r="J304" i="48" s="1"/>
  <c r="K304" i="48" s="1"/>
  <c r="L304" i="48" s="1"/>
  <c r="M304" i="48" s="1"/>
  <c r="N304" i="48" s="1"/>
  <c r="O304" i="48" s="1"/>
  <c r="P304" i="48" s="1"/>
  <c r="Q304" i="48" s="1"/>
  <c r="B305" i="48"/>
  <c r="H305" i="48"/>
  <c r="I305" i="48" s="1"/>
  <c r="J305" i="48" s="1"/>
  <c r="K305" i="48" s="1"/>
  <c r="L305" i="48" s="1"/>
  <c r="M305" i="48" s="1"/>
  <c r="N305" i="48" s="1"/>
  <c r="O305" i="48" s="1"/>
  <c r="P305" i="48" s="1"/>
  <c r="Q305" i="48" s="1"/>
  <c r="B306" i="48"/>
  <c r="H306" i="48"/>
  <c r="I306" i="48" s="1"/>
  <c r="J306" i="48" s="1"/>
  <c r="K306" i="48" s="1"/>
  <c r="L306" i="48" s="1"/>
  <c r="M306" i="48" s="1"/>
  <c r="N306" i="48" s="1"/>
  <c r="O306" i="48" s="1"/>
  <c r="P306" i="48" s="1"/>
  <c r="Q306" i="48" s="1"/>
  <c r="B307" i="48"/>
  <c r="H307" i="48"/>
  <c r="I307" i="48" s="1"/>
  <c r="J307" i="48" s="1"/>
  <c r="K307" i="48" s="1"/>
  <c r="L307" i="48" s="1"/>
  <c r="M307" i="48" s="1"/>
  <c r="N307" i="48" s="1"/>
  <c r="O307" i="48" s="1"/>
  <c r="P307" i="48" s="1"/>
  <c r="Q307" i="48" s="1"/>
  <c r="B308" i="48"/>
  <c r="H308" i="48"/>
  <c r="I308" i="48" s="1"/>
  <c r="J308" i="48" s="1"/>
  <c r="K308" i="48" s="1"/>
  <c r="L308" i="48" s="1"/>
  <c r="M308" i="48" s="1"/>
  <c r="N308" i="48" s="1"/>
  <c r="O308" i="48" s="1"/>
  <c r="P308" i="48" s="1"/>
  <c r="Q308" i="48" s="1"/>
  <c r="B309" i="48"/>
  <c r="H309" i="48"/>
  <c r="I309" i="48" s="1"/>
  <c r="J309" i="48" s="1"/>
  <c r="K309" i="48" s="1"/>
  <c r="L309" i="48" s="1"/>
  <c r="M309" i="48" s="1"/>
  <c r="N309" i="48" s="1"/>
  <c r="O309" i="48" s="1"/>
  <c r="P309" i="48" s="1"/>
  <c r="Q309" i="48" s="1"/>
  <c r="B310" i="48"/>
  <c r="H310" i="48"/>
  <c r="I310" i="48" s="1"/>
  <c r="J310" i="48" s="1"/>
  <c r="K310" i="48" s="1"/>
  <c r="L310" i="48" s="1"/>
  <c r="M310" i="48" s="1"/>
  <c r="N310" i="48" s="1"/>
  <c r="O310" i="48" s="1"/>
  <c r="P310" i="48" s="1"/>
  <c r="Q310" i="48" s="1"/>
  <c r="B311" i="48"/>
  <c r="H311" i="48"/>
  <c r="I311" i="48" s="1"/>
  <c r="J311" i="48" s="1"/>
  <c r="K311" i="48" s="1"/>
  <c r="L311" i="48" s="1"/>
  <c r="M311" i="48" s="1"/>
  <c r="N311" i="48" s="1"/>
  <c r="O311" i="48" s="1"/>
  <c r="P311" i="48" s="1"/>
  <c r="Q311" i="48" s="1"/>
  <c r="B312" i="48"/>
  <c r="H312" i="48"/>
  <c r="I312" i="48" s="1"/>
  <c r="J312" i="48" s="1"/>
  <c r="K312" i="48" s="1"/>
  <c r="L312" i="48" s="1"/>
  <c r="M312" i="48" s="1"/>
  <c r="N312" i="48" s="1"/>
  <c r="O312" i="48" s="1"/>
  <c r="P312" i="48" s="1"/>
  <c r="Q312" i="48" s="1"/>
  <c r="B313" i="48"/>
  <c r="H313" i="48"/>
  <c r="I313" i="48" s="1"/>
  <c r="J313" i="48" s="1"/>
  <c r="K313" i="48" s="1"/>
  <c r="L313" i="48" s="1"/>
  <c r="M313" i="48" s="1"/>
  <c r="N313" i="48" s="1"/>
  <c r="O313" i="48" s="1"/>
  <c r="P313" i="48" s="1"/>
  <c r="Q313" i="48" s="1"/>
  <c r="B314" i="48"/>
  <c r="H314" i="48"/>
  <c r="I314" i="48" s="1"/>
  <c r="J314" i="48" s="1"/>
  <c r="K314" i="48" s="1"/>
  <c r="L314" i="48" s="1"/>
  <c r="M314" i="48" s="1"/>
  <c r="N314" i="48" s="1"/>
  <c r="O314" i="48" s="1"/>
  <c r="P314" i="48" s="1"/>
  <c r="Q314" i="48" s="1"/>
  <c r="B315" i="48"/>
  <c r="H315" i="48"/>
  <c r="I315" i="48" s="1"/>
  <c r="J315" i="48" s="1"/>
  <c r="K315" i="48" s="1"/>
  <c r="L315" i="48" s="1"/>
  <c r="M315" i="48" s="1"/>
  <c r="N315" i="48" s="1"/>
  <c r="O315" i="48" s="1"/>
  <c r="P315" i="48" s="1"/>
  <c r="Q315" i="48" s="1"/>
  <c r="B316" i="48"/>
  <c r="H316" i="48"/>
  <c r="I316" i="48" s="1"/>
  <c r="J316" i="48" s="1"/>
  <c r="K316" i="48" s="1"/>
  <c r="L316" i="48" s="1"/>
  <c r="M316" i="48" s="1"/>
  <c r="N316" i="48" s="1"/>
  <c r="O316" i="48" s="1"/>
  <c r="P316" i="48" s="1"/>
  <c r="Q316" i="48" s="1"/>
  <c r="B317" i="48"/>
  <c r="H317" i="48"/>
  <c r="I317" i="48"/>
  <c r="J317" i="48"/>
  <c r="K317" i="48" s="1"/>
  <c r="L317" i="48" s="1"/>
  <c r="M317" i="48" s="1"/>
  <c r="N317" i="48" s="1"/>
  <c r="O317" i="48" s="1"/>
  <c r="P317" i="48" s="1"/>
  <c r="Q317" i="48" s="1"/>
  <c r="B318" i="48"/>
  <c r="H318" i="48"/>
  <c r="I318" i="48" s="1"/>
  <c r="J318" i="48" s="1"/>
  <c r="K318" i="48" s="1"/>
  <c r="L318" i="48" s="1"/>
  <c r="M318" i="48" s="1"/>
  <c r="N318" i="48" s="1"/>
  <c r="O318" i="48" s="1"/>
  <c r="P318" i="48" s="1"/>
  <c r="Q318" i="48" s="1"/>
  <c r="B319" i="48"/>
  <c r="H319" i="48"/>
  <c r="I319" i="48" s="1"/>
  <c r="J319" i="48" s="1"/>
  <c r="K319" i="48" s="1"/>
  <c r="L319" i="48" s="1"/>
  <c r="M319" i="48" s="1"/>
  <c r="N319" i="48" s="1"/>
  <c r="O319" i="48" s="1"/>
  <c r="P319" i="48" s="1"/>
  <c r="Q319" i="48" s="1"/>
  <c r="B320" i="48"/>
  <c r="H320" i="48"/>
  <c r="I320" i="48" s="1"/>
  <c r="J320" i="48" s="1"/>
  <c r="K320" i="48" s="1"/>
  <c r="L320" i="48" s="1"/>
  <c r="M320" i="48" s="1"/>
  <c r="N320" i="48" s="1"/>
  <c r="O320" i="48" s="1"/>
  <c r="P320" i="48" s="1"/>
  <c r="Q320" i="48" s="1"/>
  <c r="B321" i="48"/>
  <c r="H321" i="48"/>
  <c r="I321" i="48" s="1"/>
  <c r="J321" i="48" s="1"/>
  <c r="K321" i="48" s="1"/>
  <c r="L321" i="48" s="1"/>
  <c r="M321" i="48" s="1"/>
  <c r="N321" i="48" s="1"/>
  <c r="O321" i="48" s="1"/>
  <c r="P321" i="48" s="1"/>
  <c r="Q321" i="48" s="1"/>
  <c r="B322" i="48"/>
  <c r="H322" i="48"/>
  <c r="I322" i="48" s="1"/>
  <c r="J322" i="48" s="1"/>
  <c r="K322" i="48" s="1"/>
  <c r="L322" i="48" s="1"/>
  <c r="M322" i="48" s="1"/>
  <c r="N322" i="48" s="1"/>
  <c r="O322" i="48" s="1"/>
  <c r="P322" i="48" s="1"/>
  <c r="Q322" i="48" s="1"/>
  <c r="B323" i="48"/>
  <c r="H323" i="48"/>
  <c r="I323" i="48" s="1"/>
  <c r="J323" i="48" s="1"/>
  <c r="K323" i="48" s="1"/>
  <c r="L323" i="48" s="1"/>
  <c r="M323" i="48" s="1"/>
  <c r="N323" i="48" s="1"/>
  <c r="O323" i="48" s="1"/>
  <c r="P323" i="48" s="1"/>
  <c r="Q323" i="48" s="1"/>
  <c r="B324" i="48"/>
  <c r="H324" i="48"/>
  <c r="I324" i="48" s="1"/>
  <c r="J324" i="48" s="1"/>
  <c r="K324" i="48" s="1"/>
  <c r="L324" i="48" s="1"/>
  <c r="M324" i="48" s="1"/>
  <c r="N324" i="48" s="1"/>
  <c r="O324" i="48" s="1"/>
  <c r="P324" i="48" s="1"/>
  <c r="Q324" i="48" s="1"/>
  <c r="B325" i="48"/>
  <c r="H325" i="48"/>
  <c r="I325" i="48"/>
  <c r="J325" i="48" s="1"/>
  <c r="K325" i="48" s="1"/>
  <c r="L325" i="48" s="1"/>
  <c r="M325" i="48" s="1"/>
  <c r="N325" i="48" s="1"/>
  <c r="O325" i="48" s="1"/>
  <c r="P325" i="48" s="1"/>
  <c r="Q325" i="48" s="1"/>
  <c r="B326" i="48"/>
  <c r="H326" i="48"/>
  <c r="I326" i="48"/>
  <c r="J326" i="48" s="1"/>
  <c r="K326" i="48" s="1"/>
  <c r="L326" i="48" s="1"/>
  <c r="M326" i="48" s="1"/>
  <c r="N326" i="48" s="1"/>
  <c r="O326" i="48" s="1"/>
  <c r="P326" i="48" s="1"/>
  <c r="Q326" i="48" s="1"/>
  <c r="B327" i="48"/>
  <c r="H327" i="48"/>
  <c r="I327" i="48" s="1"/>
  <c r="J327" i="48" s="1"/>
  <c r="K327" i="48" s="1"/>
  <c r="L327" i="48" s="1"/>
  <c r="M327" i="48" s="1"/>
  <c r="N327" i="48" s="1"/>
  <c r="O327" i="48" s="1"/>
  <c r="P327" i="48" s="1"/>
  <c r="Q327" i="48" s="1"/>
  <c r="B328" i="48"/>
  <c r="H328" i="48"/>
  <c r="I328" i="48"/>
  <c r="J328" i="48" s="1"/>
  <c r="K328" i="48" s="1"/>
  <c r="L328" i="48"/>
  <c r="M328" i="48" s="1"/>
  <c r="N328" i="48" s="1"/>
  <c r="O328" i="48" s="1"/>
  <c r="P328" i="48" s="1"/>
  <c r="Q328" i="48" s="1"/>
  <c r="B329" i="48"/>
  <c r="H329" i="48"/>
  <c r="I329" i="48" s="1"/>
  <c r="J329" i="48" s="1"/>
  <c r="K329" i="48" s="1"/>
  <c r="L329" i="48" s="1"/>
  <c r="M329" i="48" s="1"/>
  <c r="N329" i="48" s="1"/>
  <c r="O329" i="48" s="1"/>
  <c r="P329" i="48" s="1"/>
  <c r="Q329" i="48" s="1"/>
  <c r="B330" i="48"/>
  <c r="H330" i="48"/>
  <c r="I330" i="48" s="1"/>
  <c r="J330" i="48" s="1"/>
  <c r="K330" i="48" s="1"/>
  <c r="L330" i="48" s="1"/>
  <c r="M330" i="48" s="1"/>
  <c r="N330" i="48" s="1"/>
  <c r="O330" i="48" s="1"/>
  <c r="P330" i="48" s="1"/>
  <c r="Q330" i="48" s="1"/>
  <c r="B331" i="48"/>
  <c r="H331" i="48"/>
  <c r="I331" i="48"/>
  <c r="J331" i="48" s="1"/>
  <c r="K331" i="48" s="1"/>
  <c r="L331" i="48" s="1"/>
  <c r="M331" i="48" s="1"/>
  <c r="N331" i="48" s="1"/>
  <c r="O331" i="48" s="1"/>
  <c r="P331" i="48" s="1"/>
  <c r="Q331" i="48" s="1"/>
  <c r="B332" i="48"/>
  <c r="H332" i="48"/>
  <c r="I332" i="48"/>
  <c r="J332" i="48" s="1"/>
  <c r="K332" i="48" s="1"/>
  <c r="L332" i="48" s="1"/>
  <c r="M332" i="48" s="1"/>
  <c r="N332" i="48" s="1"/>
  <c r="O332" i="48" s="1"/>
  <c r="P332" i="48" s="1"/>
  <c r="Q332" i="48" s="1"/>
  <c r="B333" i="48"/>
  <c r="H333" i="48"/>
  <c r="I333" i="48"/>
  <c r="J333" i="48" s="1"/>
  <c r="K333" i="48" s="1"/>
  <c r="L333" i="48" s="1"/>
  <c r="M333" i="48" s="1"/>
  <c r="N333" i="48" s="1"/>
  <c r="O333" i="48" s="1"/>
  <c r="P333" i="48" s="1"/>
  <c r="Q333" i="48" s="1"/>
  <c r="B334" i="48"/>
  <c r="H334" i="48"/>
  <c r="I334" i="48" s="1"/>
  <c r="J334" i="48" s="1"/>
  <c r="K334" i="48" s="1"/>
  <c r="L334" i="48" s="1"/>
  <c r="M334" i="48" s="1"/>
  <c r="N334" i="48" s="1"/>
  <c r="O334" i="48" s="1"/>
  <c r="P334" i="48" s="1"/>
  <c r="Q334" i="48" s="1"/>
  <c r="B335" i="48"/>
  <c r="H335" i="48"/>
  <c r="I335" i="48" s="1"/>
  <c r="J335" i="48" s="1"/>
  <c r="K335" i="48" s="1"/>
  <c r="L335" i="48" s="1"/>
  <c r="M335" i="48" s="1"/>
  <c r="N335" i="48" s="1"/>
  <c r="O335" i="48" s="1"/>
  <c r="P335" i="48" s="1"/>
  <c r="Q335" i="48" s="1"/>
  <c r="B336" i="48"/>
  <c r="H336" i="48"/>
  <c r="I336" i="48" s="1"/>
  <c r="J336" i="48"/>
  <c r="K336" i="48" s="1"/>
  <c r="L336" i="48" s="1"/>
  <c r="M336" i="48" s="1"/>
  <c r="N336" i="48" s="1"/>
  <c r="O336" i="48" s="1"/>
  <c r="P336" i="48" s="1"/>
  <c r="Q336" i="48" s="1"/>
  <c r="B337" i="48"/>
  <c r="H337" i="48"/>
  <c r="I337" i="48" s="1"/>
  <c r="J337" i="48" s="1"/>
  <c r="K337" i="48" s="1"/>
  <c r="L337" i="48" s="1"/>
  <c r="M337" i="48" s="1"/>
  <c r="N337" i="48" s="1"/>
  <c r="O337" i="48" s="1"/>
  <c r="P337" i="48" s="1"/>
  <c r="Q337" i="48" s="1"/>
  <c r="B338" i="48"/>
  <c r="H338" i="48"/>
  <c r="I338" i="48" s="1"/>
  <c r="J338" i="48" s="1"/>
  <c r="K338" i="48" s="1"/>
  <c r="L338" i="48" s="1"/>
  <c r="M338" i="48" s="1"/>
  <c r="N338" i="48" s="1"/>
  <c r="O338" i="48" s="1"/>
  <c r="P338" i="48" s="1"/>
  <c r="Q338" i="48" s="1"/>
  <c r="B339" i="48"/>
  <c r="H339" i="48"/>
  <c r="I339" i="48" s="1"/>
  <c r="J339" i="48" s="1"/>
  <c r="K339" i="48" s="1"/>
  <c r="L339" i="48" s="1"/>
  <c r="M339" i="48" s="1"/>
  <c r="N339" i="48" s="1"/>
  <c r="O339" i="48" s="1"/>
  <c r="P339" i="48" s="1"/>
  <c r="Q339" i="48" s="1"/>
  <c r="B340" i="48"/>
  <c r="H340" i="48"/>
  <c r="I340" i="48" s="1"/>
  <c r="J340" i="48" s="1"/>
  <c r="K340" i="48" s="1"/>
  <c r="L340" i="48" s="1"/>
  <c r="M340" i="48" s="1"/>
  <c r="N340" i="48" s="1"/>
  <c r="O340" i="48" s="1"/>
  <c r="P340" i="48" s="1"/>
  <c r="Q340" i="48" s="1"/>
  <c r="B341" i="48"/>
  <c r="H341" i="48"/>
  <c r="I341" i="48" s="1"/>
  <c r="J341" i="48" s="1"/>
  <c r="K341" i="48" s="1"/>
  <c r="L341" i="48" s="1"/>
  <c r="M341" i="48" s="1"/>
  <c r="N341" i="48" s="1"/>
  <c r="O341" i="48" s="1"/>
  <c r="P341" i="48" s="1"/>
  <c r="Q341" i="48" s="1"/>
  <c r="B342" i="48"/>
  <c r="H342" i="48"/>
  <c r="I342" i="48" s="1"/>
  <c r="J342" i="48" s="1"/>
  <c r="K342" i="48"/>
  <c r="L342" i="48" s="1"/>
  <c r="M342" i="48" s="1"/>
  <c r="N342" i="48" s="1"/>
  <c r="O342" i="48" s="1"/>
  <c r="P342" i="48" s="1"/>
  <c r="Q342" i="48" s="1"/>
  <c r="B343" i="48"/>
  <c r="H343" i="48"/>
  <c r="I343" i="48"/>
  <c r="J343" i="48" s="1"/>
  <c r="K343" i="48" s="1"/>
  <c r="L343" i="48" s="1"/>
  <c r="M343" i="48" s="1"/>
  <c r="N343" i="48" s="1"/>
  <c r="O343" i="48" s="1"/>
  <c r="P343" i="48" s="1"/>
  <c r="Q343" i="48" s="1"/>
  <c r="B344" i="48"/>
  <c r="H344" i="48"/>
  <c r="I344" i="48"/>
  <c r="J344" i="48" s="1"/>
  <c r="K344" i="48" s="1"/>
  <c r="L344" i="48" s="1"/>
  <c r="M344" i="48" s="1"/>
  <c r="N344" i="48" s="1"/>
  <c r="O344" i="48" s="1"/>
  <c r="P344" i="48" s="1"/>
  <c r="Q344" i="48" s="1"/>
  <c r="B345" i="48"/>
  <c r="H345" i="48"/>
  <c r="I345" i="48" s="1"/>
  <c r="J345" i="48" s="1"/>
  <c r="K345" i="48" s="1"/>
  <c r="L345" i="48" s="1"/>
  <c r="M345" i="48" s="1"/>
  <c r="N345" i="48" s="1"/>
  <c r="O345" i="48" s="1"/>
  <c r="P345" i="48" s="1"/>
  <c r="Q345" i="48" s="1"/>
  <c r="B346" i="48"/>
  <c r="H346" i="48"/>
  <c r="I346" i="48" s="1"/>
  <c r="J346" i="48" s="1"/>
  <c r="K346" i="48" s="1"/>
  <c r="L346" i="48" s="1"/>
  <c r="M346" i="48" s="1"/>
  <c r="N346" i="48" s="1"/>
  <c r="O346" i="48" s="1"/>
  <c r="P346" i="48" s="1"/>
  <c r="Q346" i="48" s="1"/>
  <c r="B347" i="48"/>
  <c r="H347" i="48"/>
  <c r="I347" i="48"/>
  <c r="J347" i="48"/>
  <c r="K347" i="48" s="1"/>
  <c r="L347" i="48" s="1"/>
  <c r="M347" i="48" s="1"/>
  <c r="N347" i="48" s="1"/>
  <c r="O347" i="48" s="1"/>
  <c r="P347" i="48" s="1"/>
  <c r="Q347" i="48" s="1"/>
  <c r="B348" i="48"/>
  <c r="H348" i="48"/>
  <c r="I348" i="48"/>
  <c r="J348" i="48" s="1"/>
  <c r="K348" i="48" s="1"/>
  <c r="L348" i="48" s="1"/>
  <c r="M348" i="48" s="1"/>
  <c r="N348" i="48" s="1"/>
  <c r="O348" i="48" s="1"/>
  <c r="P348" i="48" s="1"/>
  <c r="Q348" i="48" s="1"/>
  <c r="B349" i="48"/>
  <c r="H349" i="48"/>
  <c r="I349" i="48"/>
  <c r="J349" i="48" s="1"/>
  <c r="K349" i="48" s="1"/>
  <c r="L349" i="48" s="1"/>
  <c r="M349" i="48" s="1"/>
  <c r="N349" i="48" s="1"/>
  <c r="O349" i="48" s="1"/>
  <c r="P349" i="48" s="1"/>
  <c r="Q349" i="48" s="1"/>
  <c r="B350" i="48"/>
  <c r="H350" i="48"/>
  <c r="I350" i="48" s="1"/>
  <c r="J350" i="48" s="1"/>
  <c r="K350" i="48" s="1"/>
  <c r="L350" i="48" s="1"/>
  <c r="M350" i="48" s="1"/>
  <c r="N350" i="48" s="1"/>
  <c r="O350" i="48" s="1"/>
  <c r="P350" i="48" s="1"/>
  <c r="Q350" i="48" s="1"/>
  <c r="B351" i="48"/>
  <c r="H351" i="48"/>
  <c r="I351" i="48" s="1"/>
  <c r="J351" i="48" s="1"/>
  <c r="K351" i="48" s="1"/>
  <c r="L351" i="48" s="1"/>
  <c r="M351" i="48" s="1"/>
  <c r="N351" i="48" s="1"/>
  <c r="O351" i="48" s="1"/>
  <c r="P351" i="48" s="1"/>
  <c r="Q351" i="48" s="1"/>
  <c r="B352" i="48"/>
  <c r="H352" i="48"/>
  <c r="I352" i="48" s="1"/>
  <c r="J352" i="48" s="1"/>
  <c r="K352" i="48" s="1"/>
  <c r="L352" i="48" s="1"/>
  <c r="M352" i="48" s="1"/>
  <c r="N352" i="48" s="1"/>
  <c r="O352" i="48" s="1"/>
  <c r="P352" i="48" s="1"/>
  <c r="Q352" i="48" s="1"/>
  <c r="B353" i="48"/>
  <c r="H353" i="48"/>
  <c r="I353" i="48" s="1"/>
  <c r="J353" i="48" s="1"/>
  <c r="K353" i="48" s="1"/>
  <c r="L353" i="48" s="1"/>
  <c r="M353" i="48" s="1"/>
  <c r="N353" i="48" s="1"/>
  <c r="O353" i="48" s="1"/>
  <c r="P353" i="48" s="1"/>
  <c r="Q353" i="48" s="1"/>
  <c r="B354" i="48"/>
  <c r="H354" i="48"/>
  <c r="I354" i="48" s="1"/>
  <c r="J354" i="48" s="1"/>
  <c r="K354" i="48" s="1"/>
  <c r="L354" i="48" s="1"/>
  <c r="M354" i="48" s="1"/>
  <c r="N354" i="48" s="1"/>
  <c r="O354" i="48" s="1"/>
  <c r="P354" i="48" s="1"/>
  <c r="Q354" i="48" s="1"/>
  <c r="B355" i="48"/>
  <c r="H355" i="48"/>
  <c r="I355" i="48" s="1"/>
  <c r="J355" i="48" s="1"/>
  <c r="K355" i="48" s="1"/>
  <c r="L355" i="48" s="1"/>
  <c r="M355" i="48" s="1"/>
  <c r="N355" i="48" s="1"/>
  <c r="O355" i="48" s="1"/>
  <c r="P355" i="48" s="1"/>
  <c r="Q355" i="48" s="1"/>
  <c r="B356" i="48"/>
  <c r="H356" i="48"/>
  <c r="I356" i="48" s="1"/>
  <c r="J356" i="48" s="1"/>
  <c r="K356" i="48" s="1"/>
  <c r="L356" i="48" s="1"/>
  <c r="M356" i="48" s="1"/>
  <c r="N356" i="48" s="1"/>
  <c r="O356" i="48" s="1"/>
  <c r="P356" i="48" s="1"/>
  <c r="Q356" i="48" s="1"/>
  <c r="B357" i="48"/>
  <c r="H357" i="48"/>
  <c r="I357" i="48" s="1"/>
  <c r="J357" i="48" s="1"/>
  <c r="K357" i="48" s="1"/>
  <c r="L357" i="48" s="1"/>
  <c r="M357" i="48" s="1"/>
  <c r="N357" i="48" s="1"/>
  <c r="O357" i="48" s="1"/>
  <c r="P357" i="48" s="1"/>
  <c r="Q357" i="48" s="1"/>
  <c r="B358" i="48"/>
  <c r="H358" i="48"/>
  <c r="I358" i="48"/>
  <c r="J358" i="48"/>
  <c r="K358" i="48" s="1"/>
  <c r="L358" i="48" s="1"/>
  <c r="M358" i="48" s="1"/>
  <c r="N358" i="48" s="1"/>
  <c r="O358" i="48" s="1"/>
  <c r="P358" i="48" s="1"/>
  <c r="Q358" i="48" s="1"/>
  <c r="B359" i="48"/>
  <c r="H359" i="48"/>
  <c r="I359" i="48" s="1"/>
  <c r="J359" i="48" s="1"/>
  <c r="K359" i="48" s="1"/>
  <c r="L359" i="48" s="1"/>
  <c r="M359" i="48" s="1"/>
  <c r="N359" i="48" s="1"/>
  <c r="O359" i="48" s="1"/>
  <c r="P359" i="48" s="1"/>
  <c r="Q359" i="48" s="1"/>
  <c r="B360" i="48"/>
  <c r="H360" i="48"/>
  <c r="I360" i="48" s="1"/>
  <c r="J360" i="48" s="1"/>
  <c r="K360" i="48" s="1"/>
  <c r="L360" i="48" s="1"/>
  <c r="M360" i="48" s="1"/>
  <c r="N360" i="48" s="1"/>
  <c r="O360" i="48" s="1"/>
  <c r="P360" i="48" s="1"/>
  <c r="Q360" i="48" s="1"/>
  <c r="B361" i="48"/>
  <c r="H361" i="48"/>
  <c r="I361" i="48" s="1"/>
  <c r="J361" i="48" s="1"/>
  <c r="K361" i="48" s="1"/>
  <c r="L361" i="48" s="1"/>
  <c r="M361" i="48" s="1"/>
  <c r="N361" i="48" s="1"/>
  <c r="O361" i="48" s="1"/>
  <c r="P361" i="48" s="1"/>
  <c r="Q361" i="48" s="1"/>
  <c r="B362" i="48"/>
  <c r="H362" i="48"/>
  <c r="I362" i="48"/>
  <c r="J362" i="48" s="1"/>
  <c r="K362" i="48" s="1"/>
  <c r="L362" i="48" s="1"/>
  <c r="M362" i="48" s="1"/>
  <c r="N362" i="48" s="1"/>
  <c r="O362" i="48" s="1"/>
  <c r="P362" i="48" s="1"/>
  <c r="Q362" i="48" s="1"/>
  <c r="B363" i="48"/>
  <c r="H363" i="48"/>
  <c r="I363" i="48" s="1"/>
  <c r="J363" i="48" s="1"/>
  <c r="K363" i="48" s="1"/>
  <c r="L363" i="48" s="1"/>
  <c r="M363" i="48" s="1"/>
  <c r="N363" i="48" s="1"/>
  <c r="O363" i="48" s="1"/>
  <c r="P363" i="48" s="1"/>
  <c r="Q363" i="48" s="1"/>
  <c r="B364" i="48"/>
  <c r="H364" i="48"/>
  <c r="I364" i="48"/>
  <c r="J364" i="48" s="1"/>
  <c r="K364" i="48" s="1"/>
  <c r="L364" i="48" s="1"/>
  <c r="M364" i="48" s="1"/>
  <c r="N364" i="48" s="1"/>
  <c r="O364" i="48" s="1"/>
  <c r="P364" i="48" s="1"/>
  <c r="Q364" i="48" s="1"/>
  <c r="B365" i="48"/>
  <c r="H365" i="48"/>
  <c r="I365" i="48"/>
  <c r="J365" i="48"/>
  <c r="K365" i="48" s="1"/>
  <c r="L365" i="48" s="1"/>
  <c r="M365" i="48" s="1"/>
  <c r="N365" i="48" s="1"/>
  <c r="O365" i="48" s="1"/>
  <c r="P365" i="48" s="1"/>
  <c r="Q365" i="48" s="1"/>
  <c r="B366" i="48"/>
  <c r="H366" i="48"/>
  <c r="I366" i="48" s="1"/>
  <c r="J366" i="48" s="1"/>
  <c r="K366" i="48" s="1"/>
  <c r="L366" i="48" s="1"/>
  <c r="M366" i="48" s="1"/>
  <c r="N366" i="48" s="1"/>
  <c r="O366" i="48" s="1"/>
  <c r="P366" i="48" s="1"/>
  <c r="Q366" i="48" s="1"/>
  <c r="B367" i="48"/>
  <c r="H367" i="48"/>
  <c r="I367" i="48" s="1"/>
  <c r="J367" i="48" s="1"/>
  <c r="K367" i="48" s="1"/>
  <c r="L367" i="48" s="1"/>
  <c r="M367" i="48" s="1"/>
  <c r="N367" i="48" s="1"/>
  <c r="O367" i="48" s="1"/>
  <c r="P367" i="48" s="1"/>
  <c r="Q367" i="48" s="1"/>
  <c r="B368" i="48"/>
  <c r="H368" i="48"/>
  <c r="I368" i="48" s="1"/>
  <c r="J368" i="48" s="1"/>
  <c r="K368" i="48" s="1"/>
  <c r="L368" i="48" s="1"/>
  <c r="M368" i="48" s="1"/>
  <c r="N368" i="48" s="1"/>
  <c r="O368" i="48" s="1"/>
  <c r="P368" i="48" s="1"/>
  <c r="Q368" i="48" s="1"/>
  <c r="B369" i="48"/>
  <c r="H369" i="48"/>
  <c r="I369" i="48" s="1"/>
  <c r="J369" i="48" s="1"/>
  <c r="K369" i="48" s="1"/>
  <c r="L369" i="48" s="1"/>
  <c r="M369" i="48" s="1"/>
  <c r="N369" i="48" s="1"/>
  <c r="O369" i="48" s="1"/>
  <c r="P369" i="48" s="1"/>
  <c r="Q369" i="48" s="1"/>
  <c r="B370" i="48"/>
  <c r="H370" i="48"/>
  <c r="I370" i="48" s="1"/>
  <c r="J370" i="48" s="1"/>
  <c r="K370" i="48" s="1"/>
  <c r="L370" i="48" s="1"/>
  <c r="M370" i="48" s="1"/>
  <c r="N370" i="48" s="1"/>
  <c r="O370" i="48" s="1"/>
  <c r="P370" i="48" s="1"/>
  <c r="Q370" i="48" s="1"/>
  <c r="B371" i="48"/>
  <c r="H371" i="48"/>
  <c r="I371" i="48" s="1"/>
  <c r="J371" i="48" s="1"/>
  <c r="K371" i="48" s="1"/>
  <c r="L371" i="48" s="1"/>
  <c r="M371" i="48" s="1"/>
  <c r="N371" i="48" s="1"/>
  <c r="O371" i="48" s="1"/>
  <c r="P371" i="48" s="1"/>
  <c r="Q371" i="48" s="1"/>
  <c r="B372" i="48"/>
  <c r="H372" i="48"/>
  <c r="I372" i="48"/>
  <c r="J372" i="48" s="1"/>
  <c r="K372" i="48" s="1"/>
  <c r="L372" i="48" s="1"/>
  <c r="M372" i="48" s="1"/>
  <c r="N372" i="48" s="1"/>
  <c r="O372" i="48" s="1"/>
  <c r="P372" i="48" s="1"/>
  <c r="Q372" i="48" s="1"/>
  <c r="B373" i="48"/>
  <c r="H373" i="48"/>
  <c r="I373" i="48" s="1"/>
  <c r="J373" i="48" s="1"/>
  <c r="K373" i="48" s="1"/>
  <c r="L373" i="48" s="1"/>
  <c r="M373" i="48" s="1"/>
  <c r="N373" i="48" s="1"/>
  <c r="O373" i="48" s="1"/>
  <c r="P373" i="48" s="1"/>
  <c r="Q373" i="48" s="1"/>
  <c r="B374" i="48"/>
  <c r="H374" i="48"/>
  <c r="I374" i="48" s="1"/>
  <c r="J374" i="48" s="1"/>
  <c r="K374" i="48" s="1"/>
  <c r="L374" i="48" s="1"/>
  <c r="M374" i="48" s="1"/>
  <c r="N374" i="48" s="1"/>
  <c r="O374" i="48" s="1"/>
  <c r="P374" i="48" s="1"/>
  <c r="Q374" i="48" s="1"/>
  <c r="B375" i="48"/>
  <c r="H375" i="48"/>
  <c r="I375" i="48" s="1"/>
  <c r="J375" i="48" s="1"/>
  <c r="K375" i="48" s="1"/>
  <c r="L375" i="48" s="1"/>
  <c r="M375" i="48" s="1"/>
  <c r="N375" i="48" s="1"/>
  <c r="O375" i="48" s="1"/>
  <c r="P375" i="48" s="1"/>
  <c r="Q375" i="48" s="1"/>
  <c r="B376" i="48"/>
  <c r="H376" i="48"/>
  <c r="I376" i="48" s="1"/>
  <c r="J376" i="48" s="1"/>
  <c r="K376" i="48" s="1"/>
  <c r="L376" i="48" s="1"/>
  <c r="M376" i="48" s="1"/>
  <c r="N376" i="48" s="1"/>
  <c r="O376" i="48" s="1"/>
  <c r="P376" i="48" s="1"/>
  <c r="Q376" i="48" s="1"/>
  <c r="B377" i="48"/>
  <c r="H377" i="48"/>
  <c r="I377" i="48" s="1"/>
  <c r="J377" i="48" s="1"/>
  <c r="K377" i="48" s="1"/>
  <c r="L377" i="48" s="1"/>
  <c r="M377" i="48" s="1"/>
  <c r="N377" i="48" s="1"/>
  <c r="O377" i="48" s="1"/>
  <c r="P377" i="48" s="1"/>
  <c r="Q377" i="48" s="1"/>
  <c r="B378" i="48"/>
  <c r="H378" i="48"/>
  <c r="I378" i="48"/>
  <c r="J378" i="48" s="1"/>
  <c r="K378" i="48" s="1"/>
  <c r="L378" i="48" s="1"/>
  <c r="M378" i="48" s="1"/>
  <c r="N378" i="48" s="1"/>
  <c r="O378" i="48" s="1"/>
  <c r="P378" i="48" s="1"/>
  <c r="Q378" i="48" s="1"/>
  <c r="B379" i="48"/>
  <c r="H379" i="48"/>
  <c r="I379" i="48"/>
  <c r="J379" i="48" s="1"/>
  <c r="K379" i="48" s="1"/>
  <c r="L379" i="48" s="1"/>
  <c r="M379" i="48" s="1"/>
  <c r="N379" i="48" s="1"/>
  <c r="O379" i="48" s="1"/>
  <c r="P379" i="48" s="1"/>
  <c r="Q379" i="48" s="1"/>
  <c r="B380" i="48"/>
  <c r="H380" i="48"/>
  <c r="I380" i="48" s="1"/>
  <c r="J380" i="48" s="1"/>
  <c r="K380" i="48" s="1"/>
  <c r="L380" i="48" s="1"/>
  <c r="M380" i="48" s="1"/>
  <c r="N380" i="48" s="1"/>
  <c r="O380" i="48" s="1"/>
  <c r="P380" i="48" s="1"/>
  <c r="Q380" i="48" s="1"/>
  <c r="B381" i="48"/>
  <c r="H381" i="48"/>
  <c r="I381" i="48" s="1"/>
  <c r="J381" i="48" s="1"/>
  <c r="K381" i="48" s="1"/>
  <c r="L381" i="48" s="1"/>
  <c r="M381" i="48" s="1"/>
  <c r="N381" i="48" s="1"/>
  <c r="O381" i="48" s="1"/>
  <c r="P381" i="48" s="1"/>
  <c r="Q381" i="48" s="1"/>
  <c r="B382" i="48"/>
  <c r="H382" i="48"/>
  <c r="I382" i="48" s="1"/>
  <c r="J382" i="48" s="1"/>
  <c r="K382" i="48" s="1"/>
  <c r="L382" i="48" s="1"/>
  <c r="M382" i="48" s="1"/>
  <c r="N382" i="48" s="1"/>
  <c r="O382" i="48" s="1"/>
  <c r="P382" i="48" s="1"/>
  <c r="Q382" i="48" s="1"/>
  <c r="B383" i="48"/>
  <c r="H383" i="48"/>
  <c r="I383" i="48" s="1"/>
  <c r="J383" i="48" s="1"/>
  <c r="K383" i="48" s="1"/>
  <c r="L383" i="48" s="1"/>
  <c r="M383" i="48" s="1"/>
  <c r="N383" i="48" s="1"/>
  <c r="O383" i="48" s="1"/>
  <c r="P383" i="48" s="1"/>
  <c r="Q383" i="48" s="1"/>
  <c r="B384" i="48"/>
  <c r="H384" i="48"/>
  <c r="I384" i="48" s="1"/>
  <c r="J384" i="48" s="1"/>
  <c r="K384" i="48" s="1"/>
  <c r="L384" i="48" s="1"/>
  <c r="M384" i="48" s="1"/>
  <c r="N384" i="48" s="1"/>
  <c r="O384" i="48" s="1"/>
  <c r="P384" i="48" s="1"/>
  <c r="Q384" i="48" s="1"/>
  <c r="B385" i="48"/>
  <c r="H385" i="48"/>
  <c r="I385" i="48" s="1"/>
  <c r="J385" i="48" s="1"/>
  <c r="K385" i="48" s="1"/>
  <c r="L385" i="48" s="1"/>
  <c r="M385" i="48" s="1"/>
  <c r="N385" i="48" s="1"/>
  <c r="O385" i="48" s="1"/>
  <c r="P385" i="48" s="1"/>
  <c r="Q385" i="48" s="1"/>
  <c r="B386" i="48"/>
  <c r="H386" i="48"/>
  <c r="I386" i="48" s="1"/>
  <c r="J386" i="48" s="1"/>
  <c r="K386" i="48" s="1"/>
  <c r="L386" i="48" s="1"/>
  <c r="M386" i="48" s="1"/>
  <c r="N386" i="48" s="1"/>
  <c r="O386" i="48" s="1"/>
  <c r="P386" i="48" s="1"/>
  <c r="Q386" i="48" s="1"/>
  <c r="B387" i="48"/>
  <c r="H387" i="48"/>
  <c r="I387" i="48" s="1"/>
  <c r="J387" i="48" s="1"/>
  <c r="K387" i="48" s="1"/>
  <c r="L387" i="48" s="1"/>
  <c r="M387" i="48" s="1"/>
  <c r="N387" i="48" s="1"/>
  <c r="O387" i="48" s="1"/>
  <c r="P387" i="48" s="1"/>
  <c r="Q387" i="48" s="1"/>
  <c r="B388" i="48"/>
  <c r="H388" i="48"/>
  <c r="I388" i="48"/>
  <c r="J388" i="48" s="1"/>
  <c r="K388" i="48" s="1"/>
  <c r="L388" i="48" s="1"/>
  <c r="M388" i="48" s="1"/>
  <c r="N388" i="48" s="1"/>
  <c r="O388" i="48" s="1"/>
  <c r="P388" i="48" s="1"/>
  <c r="Q388" i="48" s="1"/>
  <c r="B389" i="48"/>
  <c r="H389" i="48"/>
  <c r="I389" i="48" s="1"/>
  <c r="J389" i="48" s="1"/>
  <c r="K389" i="48" s="1"/>
  <c r="L389" i="48" s="1"/>
  <c r="M389" i="48" s="1"/>
  <c r="N389" i="48" s="1"/>
  <c r="O389" i="48" s="1"/>
  <c r="P389" i="48" s="1"/>
  <c r="Q389" i="48" s="1"/>
  <c r="B390" i="48"/>
  <c r="H390" i="48"/>
  <c r="I390" i="48"/>
  <c r="J390" i="48" s="1"/>
  <c r="K390" i="48" s="1"/>
  <c r="L390" i="48" s="1"/>
  <c r="M390" i="48" s="1"/>
  <c r="N390" i="48" s="1"/>
  <c r="O390" i="48" s="1"/>
  <c r="P390" i="48" s="1"/>
  <c r="Q390" i="48" s="1"/>
  <c r="B391" i="48"/>
  <c r="H391" i="48"/>
  <c r="I391" i="48" s="1"/>
  <c r="J391" i="48" s="1"/>
  <c r="K391" i="48" s="1"/>
  <c r="L391" i="48" s="1"/>
  <c r="M391" i="48" s="1"/>
  <c r="N391" i="48" s="1"/>
  <c r="O391" i="48" s="1"/>
  <c r="P391" i="48" s="1"/>
  <c r="Q391" i="48" s="1"/>
  <c r="B392" i="48"/>
  <c r="H392" i="48"/>
  <c r="I392" i="48" s="1"/>
  <c r="J392" i="48" s="1"/>
  <c r="K392" i="48" s="1"/>
  <c r="L392" i="48" s="1"/>
  <c r="M392" i="48" s="1"/>
  <c r="N392" i="48" s="1"/>
  <c r="O392" i="48" s="1"/>
  <c r="P392" i="48" s="1"/>
  <c r="Q392" i="48" s="1"/>
  <c r="B393" i="48"/>
  <c r="H393" i="48"/>
  <c r="I393" i="48"/>
  <c r="J393" i="48" s="1"/>
  <c r="K393" i="48" s="1"/>
  <c r="L393" i="48" s="1"/>
  <c r="M393" i="48" s="1"/>
  <c r="N393" i="48" s="1"/>
  <c r="O393" i="48" s="1"/>
  <c r="P393" i="48" s="1"/>
  <c r="Q393" i="48" s="1"/>
  <c r="B394" i="48"/>
  <c r="H394" i="48"/>
  <c r="I394" i="48" s="1"/>
  <c r="J394" i="48" s="1"/>
  <c r="K394" i="48" s="1"/>
  <c r="L394" i="48" s="1"/>
  <c r="M394" i="48" s="1"/>
  <c r="N394" i="48" s="1"/>
  <c r="O394" i="48" s="1"/>
  <c r="P394" i="48" s="1"/>
  <c r="Q394" i="48" s="1"/>
  <c r="B395" i="48"/>
  <c r="H395" i="48"/>
  <c r="I395" i="48"/>
  <c r="J395" i="48" s="1"/>
  <c r="K395" i="48" s="1"/>
  <c r="L395" i="48" s="1"/>
  <c r="M395" i="48" s="1"/>
  <c r="N395" i="48" s="1"/>
  <c r="O395" i="48" s="1"/>
  <c r="P395" i="48" s="1"/>
  <c r="Q395" i="48" s="1"/>
  <c r="B396" i="48"/>
  <c r="H396" i="48"/>
  <c r="I396" i="48" s="1"/>
  <c r="J396" i="48" s="1"/>
  <c r="K396" i="48" s="1"/>
  <c r="L396" i="48" s="1"/>
  <c r="M396" i="48" s="1"/>
  <c r="N396" i="48" s="1"/>
  <c r="O396" i="48" s="1"/>
  <c r="P396" i="48" s="1"/>
  <c r="Q396" i="48" s="1"/>
  <c r="B397" i="48"/>
  <c r="H397" i="48"/>
  <c r="I397" i="48"/>
  <c r="J397" i="48" s="1"/>
  <c r="K397" i="48" s="1"/>
  <c r="L397" i="48" s="1"/>
  <c r="M397" i="48" s="1"/>
  <c r="N397" i="48" s="1"/>
  <c r="O397" i="48" s="1"/>
  <c r="P397" i="48" s="1"/>
  <c r="Q397" i="48" s="1"/>
  <c r="B398" i="48"/>
  <c r="H398" i="48"/>
  <c r="I398" i="48" s="1"/>
  <c r="J398" i="48" s="1"/>
  <c r="K398" i="48" s="1"/>
  <c r="L398" i="48" s="1"/>
  <c r="M398" i="48" s="1"/>
  <c r="N398" i="48" s="1"/>
  <c r="O398" i="48" s="1"/>
  <c r="P398" i="48" s="1"/>
  <c r="Q398" i="48" s="1"/>
  <c r="B399" i="48"/>
  <c r="H399" i="48"/>
  <c r="I399" i="48" s="1"/>
  <c r="J399" i="48" s="1"/>
  <c r="K399" i="48" s="1"/>
  <c r="L399" i="48" s="1"/>
  <c r="M399" i="48" s="1"/>
  <c r="N399" i="48" s="1"/>
  <c r="O399" i="48" s="1"/>
  <c r="P399" i="48" s="1"/>
  <c r="Q399" i="48" s="1"/>
  <c r="B400" i="48"/>
  <c r="H400" i="48"/>
  <c r="I400" i="48" s="1"/>
  <c r="J400" i="48" s="1"/>
  <c r="K400" i="48" s="1"/>
  <c r="L400" i="48" s="1"/>
  <c r="M400" i="48" s="1"/>
  <c r="N400" i="48" s="1"/>
  <c r="O400" i="48" s="1"/>
  <c r="P400" i="48" s="1"/>
  <c r="Q400" i="48" s="1"/>
  <c r="B401" i="48"/>
  <c r="H401" i="48"/>
  <c r="I401" i="48" s="1"/>
  <c r="J401" i="48" s="1"/>
  <c r="K401" i="48" s="1"/>
  <c r="L401" i="48" s="1"/>
  <c r="M401" i="48" s="1"/>
  <c r="N401" i="48" s="1"/>
  <c r="O401" i="48" s="1"/>
  <c r="P401" i="48" s="1"/>
  <c r="Q401" i="48" s="1"/>
  <c r="B402" i="48"/>
  <c r="H402" i="48"/>
  <c r="I402" i="48" s="1"/>
  <c r="J402" i="48" s="1"/>
  <c r="K402" i="48" s="1"/>
  <c r="L402" i="48"/>
  <c r="M402" i="48" s="1"/>
  <c r="N402" i="48" s="1"/>
  <c r="O402" i="48" s="1"/>
  <c r="P402" i="48" s="1"/>
  <c r="Q402" i="48" s="1"/>
  <c r="B403" i="48"/>
  <c r="H403" i="48"/>
  <c r="I403" i="48" s="1"/>
  <c r="J403" i="48" s="1"/>
  <c r="K403" i="48" s="1"/>
  <c r="L403" i="48" s="1"/>
  <c r="M403" i="48" s="1"/>
  <c r="N403" i="48" s="1"/>
  <c r="O403" i="48" s="1"/>
  <c r="P403" i="48" s="1"/>
  <c r="Q403" i="48" s="1"/>
  <c r="B404" i="48"/>
  <c r="H404" i="48"/>
  <c r="I404" i="48" s="1"/>
  <c r="J404" i="48" s="1"/>
  <c r="K404" i="48" s="1"/>
  <c r="L404" i="48" s="1"/>
  <c r="M404" i="48" s="1"/>
  <c r="N404" i="48" s="1"/>
  <c r="O404" i="48" s="1"/>
  <c r="P404" i="48" s="1"/>
  <c r="Q404" i="48" s="1"/>
  <c r="B405" i="48"/>
  <c r="H405" i="48"/>
  <c r="I405" i="48" s="1"/>
  <c r="J405" i="48" s="1"/>
  <c r="K405" i="48" s="1"/>
  <c r="L405" i="48" s="1"/>
  <c r="M405" i="48" s="1"/>
  <c r="N405" i="48" s="1"/>
  <c r="O405" i="48" s="1"/>
  <c r="P405" i="48" s="1"/>
  <c r="Q405" i="48" s="1"/>
  <c r="B406" i="48"/>
  <c r="H406" i="48"/>
  <c r="I406" i="48" s="1"/>
  <c r="J406" i="48" s="1"/>
  <c r="K406" i="48" s="1"/>
  <c r="L406" i="48" s="1"/>
  <c r="M406" i="48" s="1"/>
  <c r="N406" i="48" s="1"/>
  <c r="O406" i="48" s="1"/>
  <c r="P406" i="48" s="1"/>
  <c r="Q406" i="48" s="1"/>
  <c r="B407" i="48"/>
  <c r="H407" i="48"/>
  <c r="I407" i="48" s="1"/>
  <c r="J407" i="48" s="1"/>
  <c r="K407" i="48" s="1"/>
  <c r="L407" i="48" s="1"/>
  <c r="M407" i="48" s="1"/>
  <c r="N407" i="48" s="1"/>
  <c r="O407" i="48" s="1"/>
  <c r="P407" i="48" s="1"/>
  <c r="Q407" i="48" s="1"/>
  <c r="B408" i="48"/>
  <c r="H408" i="48"/>
  <c r="I408" i="48" s="1"/>
  <c r="J408" i="48" s="1"/>
  <c r="K408" i="48" s="1"/>
  <c r="L408" i="48" s="1"/>
  <c r="M408" i="48" s="1"/>
  <c r="N408" i="48" s="1"/>
  <c r="O408" i="48" s="1"/>
  <c r="P408" i="48" s="1"/>
  <c r="Q408" i="48" s="1"/>
  <c r="B409" i="48"/>
  <c r="H409" i="48"/>
  <c r="I409" i="48"/>
  <c r="J409" i="48" s="1"/>
  <c r="K409" i="48" s="1"/>
  <c r="L409" i="48" s="1"/>
  <c r="M409" i="48" s="1"/>
  <c r="N409" i="48" s="1"/>
  <c r="O409" i="48" s="1"/>
  <c r="P409" i="48" s="1"/>
  <c r="Q409" i="48" s="1"/>
  <c r="B410" i="48"/>
  <c r="H410" i="48"/>
  <c r="I410" i="48" s="1"/>
  <c r="J410" i="48" s="1"/>
  <c r="K410" i="48" s="1"/>
  <c r="L410" i="48" s="1"/>
  <c r="M410" i="48" s="1"/>
  <c r="N410" i="48" s="1"/>
  <c r="O410" i="48" s="1"/>
  <c r="P410" i="48" s="1"/>
  <c r="Q410" i="48" s="1"/>
  <c r="B411" i="48"/>
  <c r="H411" i="48"/>
  <c r="I411" i="48" s="1"/>
  <c r="J411" i="48" s="1"/>
  <c r="K411" i="48"/>
  <c r="L411" i="48" s="1"/>
  <c r="M411" i="48" s="1"/>
  <c r="N411" i="48" s="1"/>
  <c r="O411" i="48" s="1"/>
  <c r="P411" i="48" s="1"/>
  <c r="Q411" i="48" s="1"/>
  <c r="B412" i="48"/>
  <c r="H412" i="48"/>
  <c r="I412" i="48" s="1"/>
  <c r="J412" i="48" s="1"/>
  <c r="K412" i="48" s="1"/>
  <c r="L412" i="48" s="1"/>
  <c r="M412" i="48" s="1"/>
  <c r="N412" i="48" s="1"/>
  <c r="O412" i="48" s="1"/>
  <c r="P412" i="48" s="1"/>
  <c r="Q412" i="48" s="1"/>
  <c r="B413" i="48"/>
  <c r="H413" i="48"/>
  <c r="I413" i="48" s="1"/>
  <c r="J413" i="48" s="1"/>
  <c r="K413" i="48" s="1"/>
  <c r="L413" i="48" s="1"/>
  <c r="M413" i="48" s="1"/>
  <c r="N413" i="48" s="1"/>
  <c r="O413" i="48" s="1"/>
  <c r="P413" i="48" s="1"/>
  <c r="Q413" i="48" s="1"/>
  <c r="B414" i="48"/>
  <c r="H414" i="48"/>
  <c r="I414" i="48" s="1"/>
  <c r="J414" i="48" s="1"/>
  <c r="K414" i="48" s="1"/>
  <c r="L414" i="48" s="1"/>
  <c r="M414" i="48" s="1"/>
  <c r="N414" i="48" s="1"/>
  <c r="O414" i="48" s="1"/>
  <c r="P414" i="48" s="1"/>
  <c r="Q414" i="48" s="1"/>
  <c r="B415" i="48"/>
  <c r="H415" i="48"/>
  <c r="I415" i="48"/>
  <c r="J415" i="48" s="1"/>
  <c r="K415" i="48" s="1"/>
  <c r="L415" i="48" s="1"/>
  <c r="M415" i="48" s="1"/>
  <c r="N415" i="48" s="1"/>
  <c r="O415" i="48" s="1"/>
  <c r="P415" i="48" s="1"/>
  <c r="Q415" i="48" s="1"/>
  <c r="B416" i="48"/>
  <c r="H416" i="48"/>
  <c r="I416" i="48" s="1"/>
  <c r="J416" i="48" s="1"/>
  <c r="K416" i="48" s="1"/>
  <c r="L416" i="48" s="1"/>
  <c r="M416" i="48" s="1"/>
  <c r="N416" i="48" s="1"/>
  <c r="O416" i="48" s="1"/>
  <c r="P416" i="48" s="1"/>
  <c r="Q416" i="48" s="1"/>
  <c r="B417" i="48"/>
  <c r="H417" i="48"/>
  <c r="I417" i="48" s="1"/>
  <c r="J417" i="48" s="1"/>
  <c r="K417" i="48" s="1"/>
  <c r="L417" i="48" s="1"/>
  <c r="M417" i="48" s="1"/>
  <c r="N417" i="48" s="1"/>
  <c r="O417" i="48" s="1"/>
  <c r="P417" i="48" s="1"/>
  <c r="Q417" i="48" s="1"/>
  <c r="B418" i="48"/>
  <c r="H418" i="48"/>
  <c r="I418" i="48"/>
  <c r="J418" i="48" s="1"/>
  <c r="K418" i="48" s="1"/>
  <c r="L418" i="48" s="1"/>
  <c r="M418" i="48" s="1"/>
  <c r="N418" i="48" s="1"/>
  <c r="O418" i="48" s="1"/>
  <c r="P418" i="48" s="1"/>
  <c r="Q418" i="48" s="1"/>
  <c r="B419" i="48"/>
  <c r="H419" i="48"/>
  <c r="I419" i="48"/>
  <c r="J419" i="48"/>
  <c r="K419" i="48" s="1"/>
  <c r="L419" i="48" s="1"/>
  <c r="M419" i="48" s="1"/>
  <c r="N419" i="48" s="1"/>
  <c r="O419" i="48" s="1"/>
  <c r="P419" i="48" s="1"/>
  <c r="Q419" i="48" s="1"/>
  <c r="B420" i="48"/>
  <c r="H420" i="48"/>
  <c r="I420" i="48" s="1"/>
  <c r="J420" i="48" s="1"/>
  <c r="K420" i="48" s="1"/>
  <c r="L420" i="48" s="1"/>
  <c r="M420" i="48" s="1"/>
  <c r="N420" i="48" s="1"/>
  <c r="O420" i="48" s="1"/>
  <c r="P420" i="48" s="1"/>
  <c r="Q420" i="48" s="1"/>
  <c r="B421" i="48"/>
  <c r="H421" i="48"/>
  <c r="I421" i="48"/>
  <c r="J421" i="48" s="1"/>
  <c r="K421" i="48" s="1"/>
  <c r="L421" i="48" s="1"/>
  <c r="M421" i="48" s="1"/>
  <c r="N421" i="48" s="1"/>
  <c r="O421" i="48" s="1"/>
  <c r="P421" i="48" s="1"/>
  <c r="Q421" i="48" s="1"/>
  <c r="B422" i="48"/>
  <c r="H422" i="48"/>
  <c r="I422" i="48" s="1"/>
  <c r="J422" i="48" s="1"/>
  <c r="K422" i="48" s="1"/>
  <c r="L422" i="48" s="1"/>
  <c r="M422" i="48" s="1"/>
  <c r="N422" i="48" s="1"/>
  <c r="O422" i="48" s="1"/>
  <c r="P422" i="48" s="1"/>
  <c r="Q422" i="48" s="1"/>
  <c r="B423" i="48"/>
  <c r="H423" i="48"/>
  <c r="I423" i="48" s="1"/>
  <c r="J423" i="48" s="1"/>
  <c r="K423" i="48" s="1"/>
  <c r="L423" i="48" s="1"/>
  <c r="M423" i="48" s="1"/>
  <c r="N423" i="48" s="1"/>
  <c r="O423" i="48" s="1"/>
  <c r="P423" i="48" s="1"/>
  <c r="Q423" i="48" s="1"/>
  <c r="B424" i="48"/>
  <c r="H424" i="48"/>
  <c r="I424" i="48" s="1"/>
  <c r="J424" i="48" s="1"/>
  <c r="K424" i="48" s="1"/>
  <c r="L424" i="48" s="1"/>
  <c r="M424" i="48" s="1"/>
  <c r="N424" i="48" s="1"/>
  <c r="O424" i="48" s="1"/>
  <c r="P424" i="48" s="1"/>
  <c r="Q424" i="48" s="1"/>
  <c r="B425" i="48"/>
  <c r="H425" i="48"/>
  <c r="I425" i="48" s="1"/>
  <c r="J425" i="48" s="1"/>
  <c r="K425" i="48" s="1"/>
  <c r="L425" i="48" s="1"/>
  <c r="M425" i="48" s="1"/>
  <c r="N425" i="48" s="1"/>
  <c r="O425" i="48" s="1"/>
  <c r="P425" i="48" s="1"/>
  <c r="Q425" i="48" s="1"/>
  <c r="B426" i="48"/>
  <c r="H426" i="48"/>
  <c r="I426" i="48" s="1"/>
  <c r="J426" i="48" s="1"/>
  <c r="K426" i="48" s="1"/>
  <c r="L426" i="48" s="1"/>
  <c r="M426" i="48" s="1"/>
  <c r="N426" i="48" s="1"/>
  <c r="O426" i="48" s="1"/>
  <c r="P426" i="48" s="1"/>
  <c r="Q426" i="48" s="1"/>
  <c r="B427" i="48"/>
  <c r="H427" i="48"/>
  <c r="I427" i="48" s="1"/>
  <c r="J427" i="48"/>
  <c r="K427" i="48" s="1"/>
  <c r="L427" i="48" s="1"/>
  <c r="M427" i="48" s="1"/>
  <c r="N427" i="48" s="1"/>
  <c r="O427" i="48" s="1"/>
  <c r="P427" i="48" s="1"/>
  <c r="Q427" i="48" s="1"/>
  <c r="B428" i="48"/>
  <c r="H428" i="48"/>
  <c r="I428" i="48" s="1"/>
  <c r="J428" i="48" s="1"/>
  <c r="K428" i="48" s="1"/>
  <c r="L428" i="48" s="1"/>
  <c r="M428" i="48" s="1"/>
  <c r="N428" i="48" s="1"/>
  <c r="O428" i="48" s="1"/>
  <c r="P428" i="48" s="1"/>
  <c r="Q428" i="48" s="1"/>
  <c r="B429" i="48"/>
  <c r="H429" i="48"/>
  <c r="I429" i="48" s="1"/>
  <c r="J429" i="48" s="1"/>
  <c r="K429" i="48" s="1"/>
  <c r="L429" i="48" s="1"/>
  <c r="M429" i="48" s="1"/>
  <c r="N429" i="48" s="1"/>
  <c r="O429" i="48" s="1"/>
  <c r="P429" i="48" s="1"/>
  <c r="Q429" i="48" s="1"/>
  <c r="B430" i="48"/>
  <c r="H430" i="48"/>
  <c r="I430" i="48" s="1"/>
  <c r="J430" i="48" s="1"/>
  <c r="K430" i="48" s="1"/>
  <c r="L430" i="48" s="1"/>
  <c r="M430" i="48" s="1"/>
  <c r="N430" i="48" s="1"/>
  <c r="O430" i="48" s="1"/>
  <c r="P430" i="48" s="1"/>
  <c r="Q430" i="48" s="1"/>
  <c r="B431" i="48"/>
  <c r="H431" i="48"/>
  <c r="I431" i="48" s="1"/>
  <c r="J431" i="48" s="1"/>
  <c r="K431" i="48" s="1"/>
  <c r="L431" i="48" s="1"/>
  <c r="M431" i="48" s="1"/>
  <c r="N431" i="48" s="1"/>
  <c r="O431" i="48" s="1"/>
  <c r="P431" i="48" s="1"/>
  <c r="Q431" i="48" s="1"/>
  <c r="B432" i="48"/>
  <c r="H432" i="48"/>
  <c r="I432" i="48" s="1"/>
  <c r="J432" i="48" s="1"/>
  <c r="K432" i="48" s="1"/>
  <c r="L432" i="48" s="1"/>
  <c r="M432" i="48" s="1"/>
  <c r="N432" i="48" s="1"/>
  <c r="O432" i="48" s="1"/>
  <c r="P432" i="48" s="1"/>
  <c r="Q432" i="48" s="1"/>
  <c r="B433" i="48"/>
  <c r="H433" i="48"/>
  <c r="I433" i="48"/>
  <c r="J433" i="48" s="1"/>
  <c r="K433" i="48" s="1"/>
  <c r="L433" i="48" s="1"/>
  <c r="M433" i="48" s="1"/>
  <c r="N433" i="48" s="1"/>
  <c r="O433" i="48" s="1"/>
  <c r="P433" i="48" s="1"/>
  <c r="Q433" i="48" s="1"/>
  <c r="B434" i="48"/>
  <c r="H434" i="48"/>
  <c r="I434" i="48" s="1"/>
  <c r="J434" i="48" s="1"/>
  <c r="K434" i="48" s="1"/>
  <c r="L434" i="48" s="1"/>
  <c r="M434" i="48" s="1"/>
  <c r="N434" i="48" s="1"/>
  <c r="O434" i="48" s="1"/>
  <c r="P434" i="48" s="1"/>
  <c r="Q434" i="48" s="1"/>
  <c r="B435" i="48"/>
  <c r="H435" i="48"/>
  <c r="I435" i="48" s="1"/>
  <c r="J435" i="48" s="1"/>
  <c r="K435" i="48" s="1"/>
  <c r="L435" i="48" s="1"/>
  <c r="M435" i="48" s="1"/>
  <c r="N435" i="48" s="1"/>
  <c r="O435" i="48" s="1"/>
  <c r="P435" i="48" s="1"/>
  <c r="Q435" i="48" s="1"/>
  <c r="B436" i="48"/>
  <c r="H436" i="48"/>
  <c r="I436" i="48"/>
  <c r="J436" i="48" s="1"/>
  <c r="K436" i="48" s="1"/>
  <c r="L436" i="48" s="1"/>
  <c r="M436" i="48" s="1"/>
  <c r="N436" i="48" s="1"/>
  <c r="O436" i="48" s="1"/>
  <c r="P436" i="48" s="1"/>
  <c r="Q436" i="48" s="1"/>
  <c r="B437" i="48"/>
  <c r="H437" i="48"/>
  <c r="I437" i="48"/>
  <c r="J437" i="48" s="1"/>
  <c r="K437" i="48" s="1"/>
  <c r="L437" i="48" s="1"/>
  <c r="M437" i="48" s="1"/>
  <c r="N437" i="48" s="1"/>
  <c r="O437" i="48" s="1"/>
  <c r="P437" i="48" s="1"/>
  <c r="Q437" i="48" s="1"/>
  <c r="B438" i="48"/>
  <c r="H438" i="48"/>
  <c r="I438" i="48"/>
  <c r="J438" i="48" s="1"/>
  <c r="K438" i="48" s="1"/>
  <c r="L438" i="48" s="1"/>
  <c r="M438" i="48" s="1"/>
  <c r="N438" i="48" s="1"/>
  <c r="O438" i="48" s="1"/>
  <c r="P438" i="48" s="1"/>
  <c r="Q438" i="48" s="1"/>
  <c r="B439" i="48"/>
  <c r="H439" i="48"/>
  <c r="I439" i="48" s="1"/>
  <c r="J439" i="48" s="1"/>
  <c r="K439" i="48" s="1"/>
  <c r="L439" i="48" s="1"/>
  <c r="M439" i="48" s="1"/>
  <c r="N439" i="48" s="1"/>
  <c r="O439" i="48" s="1"/>
  <c r="P439" i="48" s="1"/>
  <c r="Q439" i="48" s="1"/>
  <c r="B440" i="48"/>
  <c r="H440" i="48"/>
  <c r="I440" i="48"/>
  <c r="J440" i="48" s="1"/>
  <c r="K440" i="48" s="1"/>
  <c r="L440" i="48" s="1"/>
  <c r="M440" i="48" s="1"/>
  <c r="N440" i="48" s="1"/>
  <c r="O440" i="48" s="1"/>
  <c r="P440" i="48" s="1"/>
  <c r="Q440" i="48" s="1"/>
  <c r="B441" i="48"/>
  <c r="H441" i="48"/>
  <c r="I441" i="48"/>
  <c r="J441" i="48"/>
  <c r="K441" i="48" s="1"/>
  <c r="L441" i="48" s="1"/>
  <c r="M441" i="48" s="1"/>
  <c r="N441" i="48" s="1"/>
  <c r="O441" i="48" s="1"/>
  <c r="P441" i="48" s="1"/>
  <c r="Q441" i="48" s="1"/>
  <c r="B442" i="48"/>
  <c r="H442" i="48"/>
  <c r="I442" i="48" s="1"/>
  <c r="J442" i="48" s="1"/>
  <c r="K442" i="48" s="1"/>
  <c r="L442" i="48" s="1"/>
  <c r="M442" i="48" s="1"/>
  <c r="N442" i="48"/>
  <c r="O442" i="48" s="1"/>
  <c r="P442" i="48" s="1"/>
  <c r="Q442" i="48" s="1"/>
  <c r="B443" i="48"/>
  <c r="H443" i="48"/>
  <c r="I443" i="48" s="1"/>
  <c r="J443" i="48" s="1"/>
  <c r="K443" i="48" s="1"/>
  <c r="L443" i="48" s="1"/>
  <c r="M443" i="48" s="1"/>
  <c r="N443" i="48" s="1"/>
  <c r="O443" i="48" s="1"/>
  <c r="P443" i="48" s="1"/>
  <c r="Q443" i="48" s="1"/>
  <c r="B444" i="48"/>
  <c r="H444" i="48"/>
  <c r="I444" i="48" s="1"/>
  <c r="J444" i="48" s="1"/>
  <c r="K444" i="48" s="1"/>
  <c r="L444" i="48" s="1"/>
  <c r="M444" i="48" s="1"/>
  <c r="N444" i="48" s="1"/>
  <c r="O444" i="48" s="1"/>
  <c r="P444" i="48" s="1"/>
  <c r="Q444" i="48" s="1"/>
  <c r="B445" i="48"/>
  <c r="H445" i="48"/>
  <c r="I445" i="48" s="1"/>
  <c r="J445" i="48" s="1"/>
  <c r="K445" i="48" s="1"/>
  <c r="L445" i="48" s="1"/>
  <c r="M445" i="48" s="1"/>
  <c r="N445" i="48" s="1"/>
  <c r="O445" i="48" s="1"/>
  <c r="P445" i="48" s="1"/>
  <c r="Q445" i="48" s="1"/>
  <c r="B446" i="48"/>
  <c r="H446" i="48"/>
  <c r="I446" i="48" s="1"/>
  <c r="J446" i="48" s="1"/>
  <c r="K446" i="48" s="1"/>
  <c r="L446" i="48" s="1"/>
  <c r="M446" i="48" s="1"/>
  <c r="N446" i="48" s="1"/>
  <c r="O446" i="48" s="1"/>
  <c r="P446" i="48" s="1"/>
  <c r="Q446" i="48" s="1"/>
  <c r="B447" i="48"/>
  <c r="H447" i="48"/>
  <c r="I447" i="48" s="1"/>
  <c r="J447" i="48" s="1"/>
  <c r="K447" i="48" s="1"/>
  <c r="L447" i="48" s="1"/>
  <c r="M447" i="48" s="1"/>
  <c r="N447" i="48" s="1"/>
  <c r="O447" i="48" s="1"/>
  <c r="P447" i="48" s="1"/>
  <c r="Q447" i="48" s="1"/>
  <c r="B448" i="48"/>
  <c r="H448" i="48"/>
  <c r="I448" i="48" s="1"/>
  <c r="J448" i="48" s="1"/>
  <c r="K448" i="48" s="1"/>
  <c r="L448" i="48" s="1"/>
  <c r="M448" i="48" s="1"/>
  <c r="N448" i="48" s="1"/>
  <c r="O448" i="48" s="1"/>
  <c r="P448" i="48" s="1"/>
  <c r="Q448" i="48" s="1"/>
  <c r="B449" i="48"/>
  <c r="H449" i="48"/>
  <c r="I449" i="48"/>
  <c r="J449" i="48" s="1"/>
  <c r="K449" i="48" s="1"/>
  <c r="L449" i="48" s="1"/>
  <c r="M449" i="48" s="1"/>
  <c r="N449" i="48" s="1"/>
  <c r="O449" i="48" s="1"/>
  <c r="P449" i="48" s="1"/>
  <c r="Q449" i="48" s="1"/>
  <c r="B450" i="48"/>
  <c r="H450" i="48"/>
  <c r="I450" i="48" s="1"/>
  <c r="J450" i="48" s="1"/>
  <c r="K450" i="48" s="1"/>
  <c r="L450" i="48" s="1"/>
  <c r="M450" i="48" s="1"/>
  <c r="N450" i="48" s="1"/>
  <c r="O450" i="48" s="1"/>
  <c r="P450" i="48" s="1"/>
  <c r="Q450" i="48" s="1"/>
  <c r="B451" i="48"/>
  <c r="H451" i="48"/>
  <c r="I451" i="48" s="1"/>
  <c r="J451" i="48" s="1"/>
  <c r="K451" i="48" s="1"/>
  <c r="L451" i="48" s="1"/>
  <c r="M451" i="48" s="1"/>
  <c r="N451" i="48" s="1"/>
  <c r="O451" i="48" s="1"/>
  <c r="P451" i="48" s="1"/>
  <c r="Q451" i="48" s="1"/>
  <c r="B452" i="48"/>
  <c r="H452" i="48"/>
  <c r="I452" i="48" s="1"/>
  <c r="J452" i="48" s="1"/>
  <c r="K452" i="48" s="1"/>
  <c r="L452" i="48" s="1"/>
  <c r="M452" i="48" s="1"/>
  <c r="N452" i="48" s="1"/>
  <c r="O452" i="48" s="1"/>
  <c r="P452" i="48" s="1"/>
  <c r="Q452" i="48" s="1"/>
  <c r="B453" i="48"/>
  <c r="H453" i="48"/>
  <c r="I453" i="48" s="1"/>
  <c r="J453" i="48" s="1"/>
  <c r="K453" i="48" s="1"/>
  <c r="L453" i="48" s="1"/>
  <c r="M453" i="48" s="1"/>
  <c r="N453" i="48" s="1"/>
  <c r="O453" i="48" s="1"/>
  <c r="P453" i="48" s="1"/>
  <c r="Q453" i="48" s="1"/>
  <c r="B454" i="48"/>
  <c r="H454" i="48"/>
  <c r="I454" i="48" s="1"/>
  <c r="J454" i="48" s="1"/>
  <c r="K454" i="48" s="1"/>
  <c r="L454" i="48" s="1"/>
  <c r="M454" i="48" s="1"/>
  <c r="N454" i="48" s="1"/>
  <c r="O454" i="48" s="1"/>
  <c r="P454" i="48" s="1"/>
  <c r="Q454" i="48" s="1"/>
  <c r="B455" i="48"/>
  <c r="H455" i="48"/>
  <c r="I455" i="48" s="1"/>
  <c r="J455" i="48" s="1"/>
  <c r="K455" i="48" s="1"/>
  <c r="L455" i="48" s="1"/>
  <c r="M455" i="48" s="1"/>
  <c r="N455" i="48" s="1"/>
  <c r="O455" i="48" s="1"/>
  <c r="P455" i="48" s="1"/>
  <c r="Q455" i="48" s="1"/>
  <c r="B456" i="48"/>
  <c r="H456" i="48"/>
  <c r="I456" i="48"/>
  <c r="J456" i="48" s="1"/>
  <c r="K456" i="48" s="1"/>
  <c r="L456" i="48" s="1"/>
  <c r="M456" i="48" s="1"/>
  <c r="N456" i="48" s="1"/>
  <c r="O456" i="48" s="1"/>
  <c r="P456" i="48" s="1"/>
  <c r="Q456" i="48" s="1"/>
  <c r="B457" i="48"/>
  <c r="H457" i="48"/>
  <c r="I457" i="48"/>
  <c r="J457" i="48" s="1"/>
  <c r="K457" i="48" s="1"/>
  <c r="L457" i="48" s="1"/>
  <c r="M457" i="48" s="1"/>
  <c r="N457" i="48" s="1"/>
  <c r="O457" i="48" s="1"/>
  <c r="P457" i="48" s="1"/>
  <c r="Q457" i="48" s="1"/>
  <c r="B458" i="48"/>
  <c r="H458" i="48"/>
  <c r="I458" i="48" s="1"/>
  <c r="J458" i="48" s="1"/>
  <c r="K458" i="48"/>
  <c r="L458" i="48" s="1"/>
  <c r="M458" i="48" s="1"/>
  <c r="N458" i="48" s="1"/>
  <c r="O458" i="48" s="1"/>
  <c r="P458" i="48" s="1"/>
  <c r="Q458" i="48" s="1"/>
  <c r="B459" i="48"/>
  <c r="H459" i="48"/>
  <c r="I459" i="48" s="1"/>
  <c r="J459" i="48" s="1"/>
  <c r="K459" i="48" s="1"/>
  <c r="L459" i="48" s="1"/>
  <c r="M459" i="48" s="1"/>
  <c r="N459" i="48" s="1"/>
  <c r="O459" i="48" s="1"/>
  <c r="P459" i="48" s="1"/>
  <c r="Q459" i="48" s="1"/>
  <c r="B460" i="48"/>
  <c r="H460" i="48"/>
  <c r="I460" i="48"/>
  <c r="J460" i="48" s="1"/>
  <c r="K460" i="48" s="1"/>
  <c r="L460" i="48" s="1"/>
  <c r="M460" i="48" s="1"/>
  <c r="N460" i="48" s="1"/>
  <c r="O460" i="48" s="1"/>
  <c r="P460" i="48" s="1"/>
  <c r="Q460" i="48" s="1"/>
  <c r="B461" i="48"/>
  <c r="H461" i="48"/>
  <c r="I461" i="48" s="1"/>
  <c r="J461" i="48" s="1"/>
  <c r="K461" i="48" s="1"/>
  <c r="L461" i="48" s="1"/>
  <c r="M461" i="48" s="1"/>
  <c r="N461" i="48" s="1"/>
  <c r="O461" i="48" s="1"/>
  <c r="P461" i="48" s="1"/>
  <c r="Q461" i="48" s="1"/>
  <c r="B462" i="48"/>
  <c r="H462" i="48"/>
  <c r="I462" i="48" s="1"/>
  <c r="J462" i="48" s="1"/>
  <c r="K462" i="48" s="1"/>
  <c r="L462" i="48" s="1"/>
  <c r="M462" i="48" s="1"/>
  <c r="N462" i="48" s="1"/>
  <c r="O462" i="48" s="1"/>
  <c r="P462" i="48" s="1"/>
  <c r="Q462" i="48" s="1"/>
  <c r="B463" i="48"/>
  <c r="H463" i="48"/>
  <c r="I463" i="48" s="1"/>
  <c r="J463" i="48" s="1"/>
  <c r="K463" i="48" s="1"/>
  <c r="L463" i="48" s="1"/>
  <c r="M463" i="48" s="1"/>
  <c r="N463" i="48" s="1"/>
  <c r="O463" i="48" s="1"/>
  <c r="P463" i="48" s="1"/>
  <c r="Q463" i="48" s="1"/>
  <c r="B464" i="48"/>
  <c r="H464" i="48"/>
  <c r="I464" i="48"/>
  <c r="J464" i="48" s="1"/>
  <c r="K464" i="48" s="1"/>
  <c r="L464" i="48" s="1"/>
  <c r="M464" i="48" s="1"/>
  <c r="N464" i="48" s="1"/>
  <c r="O464" i="48" s="1"/>
  <c r="P464" i="48" s="1"/>
  <c r="Q464" i="48" s="1"/>
  <c r="B465" i="48"/>
  <c r="H465" i="48"/>
  <c r="I465" i="48" s="1"/>
  <c r="J465" i="48" s="1"/>
  <c r="K465" i="48" s="1"/>
  <c r="L465" i="48" s="1"/>
  <c r="M465" i="48" s="1"/>
  <c r="N465" i="48" s="1"/>
  <c r="O465" i="48" s="1"/>
  <c r="P465" i="48" s="1"/>
  <c r="Q465" i="48" s="1"/>
  <c r="B466" i="48"/>
  <c r="H466" i="48"/>
  <c r="I466" i="48"/>
  <c r="J466" i="48" s="1"/>
  <c r="K466" i="48" s="1"/>
  <c r="L466" i="48" s="1"/>
  <c r="M466" i="48" s="1"/>
  <c r="N466" i="48" s="1"/>
  <c r="O466" i="48" s="1"/>
  <c r="P466" i="48" s="1"/>
  <c r="Q466" i="48" s="1"/>
  <c r="B467" i="48"/>
  <c r="H467" i="48"/>
  <c r="I467" i="48" s="1"/>
  <c r="J467" i="48" s="1"/>
  <c r="K467" i="48" s="1"/>
  <c r="L467" i="48" s="1"/>
  <c r="M467" i="48" s="1"/>
  <c r="N467" i="48" s="1"/>
  <c r="O467" i="48" s="1"/>
  <c r="P467" i="48" s="1"/>
  <c r="Q467" i="48" s="1"/>
  <c r="B468" i="48"/>
  <c r="H468" i="48"/>
  <c r="I468" i="48" s="1"/>
  <c r="J468" i="48" s="1"/>
  <c r="K468" i="48" s="1"/>
  <c r="L468" i="48" s="1"/>
  <c r="M468" i="48" s="1"/>
  <c r="N468" i="48" s="1"/>
  <c r="O468" i="48" s="1"/>
  <c r="P468" i="48" s="1"/>
  <c r="Q468" i="48" s="1"/>
  <c r="B469" i="48"/>
  <c r="H469" i="48"/>
  <c r="I469" i="48"/>
  <c r="J469" i="48" s="1"/>
  <c r="K469" i="48" s="1"/>
  <c r="L469" i="48" s="1"/>
  <c r="M469" i="48" s="1"/>
  <c r="N469" i="48" s="1"/>
  <c r="O469" i="48" s="1"/>
  <c r="P469" i="48" s="1"/>
  <c r="Q469" i="48" s="1"/>
  <c r="B470" i="48"/>
  <c r="H470" i="48"/>
  <c r="I470" i="48" s="1"/>
  <c r="J470" i="48" s="1"/>
  <c r="K470" i="48" s="1"/>
  <c r="L470" i="48" s="1"/>
  <c r="M470" i="48" s="1"/>
  <c r="N470" i="48" s="1"/>
  <c r="O470" i="48" s="1"/>
  <c r="P470" i="48" s="1"/>
  <c r="Q470" i="48" s="1"/>
  <c r="B471" i="48"/>
  <c r="H471" i="48"/>
  <c r="I471" i="48" s="1"/>
  <c r="J471" i="48" s="1"/>
  <c r="K471" i="48" s="1"/>
  <c r="L471" i="48" s="1"/>
  <c r="M471" i="48" s="1"/>
  <c r="N471" i="48" s="1"/>
  <c r="O471" i="48" s="1"/>
  <c r="P471" i="48" s="1"/>
  <c r="Q471" i="48" s="1"/>
  <c r="B472" i="48"/>
  <c r="H472" i="48"/>
  <c r="I472" i="48" s="1"/>
  <c r="J472" i="48" s="1"/>
  <c r="K472" i="48" s="1"/>
  <c r="L472" i="48" s="1"/>
  <c r="M472" i="48" s="1"/>
  <c r="N472" i="48" s="1"/>
  <c r="O472" i="48" s="1"/>
  <c r="P472" i="48" s="1"/>
  <c r="Q472" i="48" s="1"/>
  <c r="B473" i="48"/>
  <c r="H473" i="48"/>
  <c r="I473" i="48" s="1"/>
  <c r="J473" i="48" s="1"/>
  <c r="K473" i="48" s="1"/>
  <c r="L473" i="48" s="1"/>
  <c r="M473" i="48" s="1"/>
  <c r="N473" i="48" s="1"/>
  <c r="O473" i="48" s="1"/>
  <c r="P473" i="48" s="1"/>
  <c r="Q473" i="48" s="1"/>
  <c r="B474" i="48"/>
  <c r="H474" i="48"/>
  <c r="I474" i="48" s="1"/>
  <c r="J474" i="48" s="1"/>
  <c r="K474" i="48" s="1"/>
  <c r="L474" i="48" s="1"/>
  <c r="M474" i="48" s="1"/>
  <c r="N474" i="48" s="1"/>
  <c r="O474" i="48" s="1"/>
  <c r="P474" i="48" s="1"/>
  <c r="Q474" i="48" s="1"/>
  <c r="B475" i="48"/>
  <c r="H475" i="48"/>
  <c r="I475" i="48"/>
  <c r="J475" i="48" s="1"/>
  <c r="K475" i="48" s="1"/>
  <c r="L475" i="48" s="1"/>
  <c r="M475" i="48" s="1"/>
  <c r="N475" i="48" s="1"/>
  <c r="O475" i="48" s="1"/>
  <c r="P475" i="48" s="1"/>
  <c r="Q475" i="48" s="1"/>
  <c r="B476" i="48"/>
  <c r="H476" i="48"/>
  <c r="I476" i="48" s="1"/>
  <c r="J476" i="48" s="1"/>
  <c r="K476" i="48" s="1"/>
  <c r="L476" i="48" s="1"/>
  <c r="M476" i="48" s="1"/>
  <c r="N476" i="48" s="1"/>
  <c r="O476" i="48" s="1"/>
  <c r="P476" i="48" s="1"/>
  <c r="Q476" i="48" s="1"/>
  <c r="B477" i="48"/>
  <c r="H477" i="48"/>
  <c r="I477" i="48" s="1"/>
  <c r="J477" i="48" s="1"/>
  <c r="K477" i="48" s="1"/>
  <c r="L477" i="48" s="1"/>
  <c r="M477" i="48" s="1"/>
  <c r="N477" i="48" s="1"/>
  <c r="O477" i="48" s="1"/>
  <c r="P477" i="48" s="1"/>
  <c r="Q477" i="48" s="1"/>
  <c r="B478" i="48"/>
  <c r="H478" i="48"/>
  <c r="I478" i="48" s="1"/>
  <c r="J478" i="48" s="1"/>
  <c r="K478" i="48" s="1"/>
  <c r="L478" i="48" s="1"/>
  <c r="M478" i="48" s="1"/>
  <c r="N478" i="48" s="1"/>
  <c r="O478" i="48" s="1"/>
  <c r="P478" i="48" s="1"/>
  <c r="Q478" i="48" s="1"/>
  <c r="B479" i="48"/>
  <c r="H479" i="48"/>
  <c r="I479" i="48" s="1"/>
  <c r="J479" i="48" s="1"/>
  <c r="K479" i="48" s="1"/>
  <c r="L479" i="48" s="1"/>
  <c r="M479" i="48" s="1"/>
  <c r="N479" i="48" s="1"/>
  <c r="O479" i="48" s="1"/>
  <c r="P479" i="48" s="1"/>
  <c r="Q479" i="48" s="1"/>
  <c r="B480" i="48"/>
  <c r="H480" i="48"/>
  <c r="I480" i="48" s="1"/>
  <c r="J480" i="48" s="1"/>
  <c r="K480" i="48" s="1"/>
  <c r="L480" i="48" s="1"/>
  <c r="M480" i="48" s="1"/>
  <c r="N480" i="48" s="1"/>
  <c r="O480" i="48" s="1"/>
  <c r="P480" i="48" s="1"/>
  <c r="Q480" i="48" s="1"/>
  <c r="B481" i="48"/>
  <c r="H481" i="48"/>
  <c r="I481" i="48" s="1"/>
  <c r="J481" i="48" s="1"/>
  <c r="K481" i="48" s="1"/>
  <c r="L481" i="48" s="1"/>
  <c r="M481" i="48" s="1"/>
  <c r="N481" i="48" s="1"/>
  <c r="O481" i="48" s="1"/>
  <c r="P481" i="48" s="1"/>
  <c r="Q481" i="48" s="1"/>
  <c r="H248" i="48"/>
  <c r="I248" i="48" s="1"/>
  <c r="J248" i="48" s="1"/>
  <c r="K248" i="48" s="1"/>
  <c r="L248" i="48" s="1"/>
  <c r="M248" i="48" s="1"/>
  <c r="N248" i="48" s="1"/>
  <c r="O248" i="48" s="1"/>
  <c r="P248" i="48" s="1"/>
  <c r="Q248" i="48" s="1"/>
  <c r="B248" i="48"/>
  <c r="B85" i="48"/>
  <c r="H85" i="48"/>
  <c r="I85" i="48" s="1"/>
  <c r="J85" i="48" s="1"/>
  <c r="K85" i="48" s="1"/>
  <c r="L85" i="48" s="1"/>
  <c r="M85" i="48" s="1"/>
  <c r="N85" i="48" s="1"/>
  <c r="O85" i="48" s="1"/>
  <c r="P85" i="48" s="1"/>
  <c r="Q85" i="48" s="1"/>
  <c r="R85" i="48"/>
  <c r="B86" i="48"/>
  <c r="H86" i="48"/>
  <c r="I86" i="48" s="1"/>
  <c r="J86" i="48" s="1"/>
  <c r="K86" i="48" s="1"/>
  <c r="L86" i="48" s="1"/>
  <c r="M86" i="48" s="1"/>
  <c r="N86" i="48" s="1"/>
  <c r="O86" i="48" s="1"/>
  <c r="P86" i="48" s="1"/>
  <c r="Q86" i="48" s="1"/>
  <c r="R86" i="48"/>
  <c r="B87" i="48"/>
  <c r="H87" i="48"/>
  <c r="I87" i="48" s="1"/>
  <c r="J87" i="48" s="1"/>
  <c r="K87" i="48" s="1"/>
  <c r="L87" i="48" s="1"/>
  <c r="M87" i="48" s="1"/>
  <c r="N87" i="48" s="1"/>
  <c r="O87" i="48" s="1"/>
  <c r="P87" i="48" s="1"/>
  <c r="Q87" i="48" s="1"/>
  <c r="R87" i="48"/>
  <c r="B88" i="48"/>
  <c r="H88" i="48"/>
  <c r="I88" i="48" s="1"/>
  <c r="J88" i="48" s="1"/>
  <c r="K88" i="48" s="1"/>
  <c r="L88" i="48" s="1"/>
  <c r="M88" i="48" s="1"/>
  <c r="N88" i="48" s="1"/>
  <c r="O88" i="48" s="1"/>
  <c r="P88" i="48" s="1"/>
  <c r="Q88" i="48" s="1"/>
  <c r="R88" i="48"/>
  <c r="B89" i="48"/>
  <c r="H89" i="48"/>
  <c r="I89" i="48" s="1"/>
  <c r="J89" i="48" s="1"/>
  <c r="K89" i="48" s="1"/>
  <c r="L89" i="48" s="1"/>
  <c r="M89" i="48" s="1"/>
  <c r="N89" i="48" s="1"/>
  <c r="O89" i="48" s="1"/>
  <c r="P89" i="48" s="1"/>
  <c r="Q89" i="48" s="1"/>
  <c r="R89" i="48"/>
  <c r="B90" i="48"/>
  <c r="H90" i="48"/>
  <c r="I90" i="48" s="1"/>
  <c r="J90" i="48" s="1"/>
  <c r="K90" i="48" s="1"/>
  <c r="L90" i="48" s="1"/>
  <c r="M90" i="48" s="1"/>
  <c r="N90" i="48" s="1"/>
  <c r="O90" i="48" s="1"/>
  <c r="P90" i="48" s="1"/>
  <c r="Q90" i="48" s="1"/>
  <c r="R90" i="48"/>
  <c r="B91" i="48"/>
  <c r="H91" i="48"/>
  <c r="I91" i="48" s="1"/>
  <c r="J91" i="48" s="1"/>
  <c r="K91" i="48" s="1"/>
  <c r="L91" i="48" s="1"/>
  <c r="M91" i="48" s="1"/>
  <c r="N91" i="48" s="1"/>
  <c r="O91" i="48" s="1"/>
  <c r="P91" i="48" s="1"/>
  <c r="Q91" i="48" s="1"/>
  <c r="R91" i="48"/>
  <c r="B92" i="48"/>
  <c r="H92" i="48"/>
  <c r="I92" i="48" s="1"/>
  <c r="J92" i="48" s="1"/>
  <c r="K92" i="48" s="1"/>
  <c r="L92" i="48" s="1"/>
  <c r="M92" i="48" s="1"/>
  <c r="N92" i="48" s="1"/>
  <c r="O92" i="48" s="1"/>
  <c r="P92" i="48" s="1"/>
  <c r="Q92" i="48" s="1"/>
  <c r="R92" i="48"/>
  <c r="B93" i="48"/>
  <c r="H93" i="48"/>
  <c r="I93" i="48" s="1"/>
  <c r="J93" i="48" s="1"/>
  <c r="K93" i="48" s="1"/>
  <c r="L93" i="48" s="1"/>
  <c r="M93" i="48" s="1"/>
  <c r="N93" i="48" s="1"/>
  <c r="O93" i="48" s="1"/>
  <c r="P93" i="48" s="1"/>
  <c r="Q93" i="48" s="1"/>
  <c r="R93" i="48"/>
  <c r="B94" i="48"/>
  <c r="H94" i="48"/>
  <c r="I94" i="48" s="1"/>
  <c r="J94" i="48" s="1"/>
  <c r="K94" i="48" s="1"/>
  <c r="L94" i="48" s="1"/>
  <c r="M94" i="48" s="1"/>
  <c r="N94" i="48" s="1"/>
  <c r="O94" i="48" s="1"/>
  <c r="P94" i="48" s="1"/>
  <c r="Q94" i="48" s="1"/>
  <c r="R94" i="48"/>
  <c r="B95" i="48"/>
  <c r="H95" i="48"/>
  <c r="I95" i="48" s="1"/>
  <c r="J95" i="48" s="1"/>
  <c r="K95" i="48" s="1"/>
  <c r="L95" i="48" s="1"/>
  <c r="M95" i="48" s="1"/>
  <c r="N95" i="48" s="1"/>
  <c r="O95" i="48" s="1"/>
  <c r="P95" i="48" s="1"/>
  <c r="Q95" i="48" s="1"/>
  <c r="R95" i="48"/>
  <c r="B96" i="48"/>
  <c r="H96" i="48"/>
  <c r="I96" i="48" s="1"/>
  <c r="J96" i="48" s="1"/>
  <c r="K96" i="48" s="1"/>
  <c r="L96" i="48" s="1"/>
  <c r="M96" i="48" s="1"/>
  <c r="N96" i="48" s="1"/>
  <c r="O96" i="48" s="1"/>
  <c r="P96" i="48" s="1"/>
  <c r="Q96" i="48" s="1"/>
  <c r="R96" i="48"/>
  <c r="B97" i="48"/>
  <c r="H97" i="48"/>
  <c r="I97" i="48" s="1"/>
  <c r="J97" i="48" s="1"/>
  <c r="K97" i="48" s="1"/>
  <c r="L97" i="48" s="1"/>
  <c r="M97" i="48" s="1"/>
  <c r="N97" i="48" s="1"/>
  <c r="O97" i="48" s="1"/>
  <c r="P97" i="48" s="1"/>
  <c r="Q97" i="48" s="1"/>
  <c r="R97" i="48"/>
  <c r="B98" i="48"/>
  <c r="H98" i="48"/>
  <c r="I98" i="48"/>
  <c r="J98" i="48" s="1"/>
  <c r="K98" i="48" s="1"/>
  <c r="L98" i="48" s="1"/>
  <c r="M98" i="48" s="1"/>
  <c r="N98" i="48" s="1"/>
  <c r="O98" i="48" s="1"/>
  <c r="P98" i="48" s="1"/>
  <c r="Q98" i="48" s="1"/>
  <c r="R98" i="48"/>
  <c r="B99" i="48"/>
  <c r="H99" i="48"/>
  <c r="I99" i="48" s="1"/>
  <c r="J99" i="48" s="1"/>
  <c r="K99" i="48" s="1"/>
  <c r="L99" i="48" s="1"/>
  <c r="M99" i="48" s="1"/>
  <c r="N99" i="48" s="1"/>
  <c r="O99" i="48" s="1"/>
  <c r="P99" i="48" s="1"/>
  <c r="Q99" i="48" s="1"/>
  <c r="R99" i="48"/>
  <c r="B100" i="48"/>
  <c r="H100" i="48"/>
  <c r="I100" i="48" s="1"/>
  <c r="J100" i="48" s="1"/>
  <c r="K100" i="48" s="1"/>
  <c r="L100" i="48" s="1"/>
  <c r="M100" i="48" s="1"/>
  <c r="N100" i="48" s="1"/>
  <c r="O100" i="48" s="1"/>
  <c r="P100" i="48" s="1"/>
  <c r="Q100" i="48" s="1"/>
  <c r="R100" i="48"/>
  <c r="B101" i="48"/>
  <c r="H101" i="48"/>
  <c r="I101" i="48" s="1"/>
  <c r="J101" i="48" s="1"/>
  <c r="K101" i="48" s="1"/>
  <c r="L101" i="48" s="1"/>
  <c r="M101" i="48" s="1"/>
  <c r="N101" i="48" s="1"/>
  <c r="O101" i="48" s="1"/>
  <c r="P101" i="48" s="1"/>
  <c r="Q101" i="48" s="1"/>
  <c r="R101" i="48"/>
  <c r="B102" i="48"/>
  <c r="H102" i="48"/>
  <c r="I102" i="48" s="1"/>
  <c r="J102" i="48" s="1"/>
  <c r="K102" i="48" s="1"/>
  <c r="L102" i="48" s="1"/>
  <c r="M102" i="48" s="1"/>
  <c r="N102" i="48" s="1"/>
  <c r="O102" i="48" s="1"/>
  <c r="P102" i="48" s="1"/>
  <c r="Q102" i="48" s="1"/>
  <c r="R102" i="48"/>
  <c r="B103" i="48"/>
  <c r="H103" i="48"/>
  <c r="I103" i="48" s="1"/>
  <c r="J103" i="48" s="1"/>
  <c r="K103" i="48" s="1"/>
  <c r="L103" i="48" s="1"/>
  <c r="M103" i="48" s="1"/>
  <c r="N103" i="48" s="1"/>
  <c r="O103" i="48" s="1"/>
  <c r="P103" i="48" s="1"/>
  <c r="Q103" i="48" s="1"/>
  <c r="R103" i="48"/>
  <c r="B104" i="48"/>
  <c r="H104" i="48"/>
  <c r="I104" i="48"/>
  <c r="J104" i="48" s="1"/>
  <c r="K104" i="48" s="1"/>
  <c r="L104" i="48" s="1"/>
  <c r="M104" i="48" s="1"/>
  <c r="N104" i="48" s="1"/>
  <c r="O104" i="48" s="1"/>
  <c r="P104" i="48" s="1"/>
  <c r="Q104" i="48" s="1"/>
  <c r="R104" i="48"/>
  <c r="B105" i="48"/>
  <c r="H105" i="48"/>
  <c r="I105" i="48" s="1"/>
  <c r="J105" i="48" s="1"/>
  <c r="K105" i="48" s="1"/>
  <c r="L105" i="48" s="1"/>
  <c r="M105" i="48" s="1"/>
  <c r="N105" i="48" s="1"/>
  <c r="O105" i="48" s="1"/>
  <c r="P105" i="48" s="1"/>
  <c r="Q105" i="48" s="1"/>
  <c r="R105" i="48"/>
  <c r="B106" i="48"/>
  <c r="H106" i="48"/>
  <c r="I106" i="48" s="1"/>
  <c r="J106" i="48" s="1"/>
  <c r="K106" i="48" s="1"/>
  <c r="L106" i="48" s="1"/>
  <c r="M106" i="48" s="1"/>
  <c r="N106" i="48" s="1"/>
  <c r="O106" i="48" s="1"/>
  <c r="P106" i="48" s="1"/>
  <c r="Q106" i="48" s="1"/>
  <c r="R106" i="48"/>
  <c r="B107" i="48"/>
  <c r="H107" i="48"/>
  <c r="I107" i="48" s="1"/>
  <c r="J107" i="48" s="1"/>
  <c r="K107" i="48" s="1"/>
  <c r="L107" i="48" s="1"/>
  <c r="M107" i="48" s="1"/>
  <c r="N107" i="48" s="1"/>
  <c r="O107" i="48" s="1"/>
  <c r="P107" i="48" s="1"/>
  <c r="Q107" i="48" s="1"/>
  <c r="R107" i="48"/>
  <c r="B108" i="48"/>
  <c r="H108" i="48"/>
  <c r="I108" i="48" s="1"/>
  <c r="J108" i="48" s="1"/>
  <c r="K108" i="48" s="1"/>
  <c r="L108" i="48" s="1"/>
  <c r="M108" i="48" s="1"/>
  <c r="N108" i="48" s="1"/>
  <c r="O108" i="48" s="1"/>
  <c r="P108" i="48" s="1"/>
  <c r="Q108" i="48" s="1"/>
  <c r="R108" i="48"/>
  <c r="B109" i="48"/>
  <c r="H109" i="48"/>
  <c r="I109" i="48" s="1"/>
  <c r="J109" i="48" s="1"/>
  <c r="K109" i="48" s="1"/>
  <c r="L109" i="48" s="1"/>
  <c r="M109" i="48" s="1"/>
  <c r="N109" i="48" s="1"/>
  <c r="O109" i="48" s="1"/>
  <c r="P109" i="48" s="1"/>
  <c r="Q109" i="48" s="1"/>
  <c r="R109" i="48"/>
  <c r="B110" i="48"/>
  <c r="H110" i="48"/>
  <c r="I110" i="48" s="1"/>
  <c r="J110" i="48" s="1"/>
  <c r="K110" i="48" s="1"/>
  <c r="L110" i="48" s="1"/>
  <c r="M110" i="48" s="1"/>
  <c r="N110" i="48" s="1"/>
  <c r="O110" i="48" s="1"/>
  <c r="P110" i="48" s="1"/>
  <c r="Q110" i="48" s="1"/>
  <c r="R110" i="48"/>
  <c r="B111" i="48"/>
  <c r="H111" i="48"/>
  <c r="I111" i="48" s="1"/>
  <c r="J111" i="48" s="1"/>
  <c r="K111" i="48" s="1"/>
  <c r="L111" i="48" s="1"/>
  <c r="M111" i="48" s="1"/>
  <c r="N111" i="48" s="1"/>
  <c r="O111" i="48" s="1"/>
  <c r="P111" i="48" s="1"/>
  <c r="Q111" i="48" s="1"/>
  <c r="R111" i="48"/>
  <c r="B112" i="48"/>
  <c r="H112" i="48"/>
  <c r="I112" i="48" s="1"/>
  <c r="J112" i="48" s="1"/>
  <c r="K112" i="48" s="1"/>
  <c r="L112" i="48" s="1"/>
  <c r="M112" i="48" s="1"/>
  <c r="N112" i="48" s="1"/>
  <c r="O112" i="48" s="1"/>
  <c r="P112" i="48" s="1"/>
  <c r="Q112" i="48" s="1"/>
  <c r="R112" i="48"/>
  <c r="B113" i="48"/>
  <c r="H113" i="48"/>
  <c r="I113" i="48"/>
  <c r="J113" i="48" s="1"/>
  <c r="K113" i="48" s="1"/>
  <c r="L113" i="48" s="1"/>
  <c r="M113" i="48" s="1"/>
  <c r="N113" i="48" s="1"/>
  <c r="O113" i="48" s="1"/>
  <c r="P113" i="48" s="1"/>
  <c r="Q113" i="48" s="1"/>
  <c r="R113" i="48"/>
  <c r="B114" i="48"/>
  <c r="H114" i="48"/>
  <c r="I114" i="48" s="1"/>
  <c r="J114" i="48" s="1"/>
  <c r="K114" i="48" s="1"/>
  <c r="L114" i="48" s="1"/>
  <c r="M114" i="48" s="1"/>
  <c r="N114" i="48" s="1"/>
  <c r="O114" i="48" s="1"/>
  <c r="P114" i="48" s="1"/>
  <c r="Q114" i="48" s="1"/>
  <c r="R114" i="48"/>
  <c r="B115" i="48"/>
  <c r="H115" i="48"/>
  <c r="I115" i="48" s="1"/>
  <c r="J115" i="48" s="1"/>
  <c r="K115" i="48" s="1"/>
  <c r="L115" i="48" s="1"/>
  <c r="M115" i="48" s="1"/>
  <c r="N115" i="48" s="1"/>
  <c r="O115" i="48" s="1"/>
  <c r="P115" i="48" s="1"/>
  <c r="Q115" i="48" s="1"/>
  <c r="R115" i="48"/>
  <c r="B116" i="48"/>
  <c r="H116" i="48"/>
  <c r="I116" i="48" s="1"/>
  <c r="J116" i="48" s="1"/>
  <c r="K116" i="48" s="1"/>
  <c r="L116" i="48" s="1"/>
  <c r="M116" i="48" s="1"/>
  <c r="N116" i="48" s="1"/>
  <c r="O116" i="48" s="1"/>
  <c r="P116" i="48" s="1"/>
  <c r="Q116" i="48" s="1"/>
  <c r="R116" i="48"/>
  <c r="B117" i="48"/>
  <c r="H117" i="48"/>
  <c r="I117" i="48" s="1"/>
  <c r="J117" i="48" s="1"/>
  <c r="K117" i="48" s="1"/>
  <c r="L117" i="48" s="1"/>
  <c r="M117" i="48" s="1"/>
  <c r="N117" i="48" s="1"/>
  <c r="O117" i="48" s="1"/>
  <c r="P117" i="48" s="1"/>
  <c r="Q117" i="48" s="1"/>
  <c r="R117" i="48"/>
  <c r="B118" i="48"/>
  <c r="H118" i="48"/>
  <c r="I118" i="48" s="1"/>
  <c r="J118" i="48" s="1"/>
  <c r="K118" i="48" s="1"/>
  <c r="L118" i="48" s="1"/>
  <c r="M118" i="48" s="1"/>
  <c r="N118" i="48" s="1"/>
  <c r="O118" i="48" s="1"/>
  <c r="P118" i="48" s="1"/>
  <c r="Q118" i="48" s="1"/>
  <c r="R118" i="48"/>
  <c r="B119" i="48"/>
  <c r="H119" i="48"/>
  <c r="I119" i="48" s="1"/>
  <c r="J119" i="48" s="1"/>
  <c r="K119" i="48" s="1"/>
  <c r="L119" i="48" s="1"/>
  <c r="M119" i="48" s="1"/>
  <c r="N119" i="48" s="1"/>
  <c r="O119" i="48" s="1"/>
  <c r="P119" i="48" s="1"/>
  <c r="Q119" i="48" s="1"/>
  <c r="R119" i="48"/>
  <c r="B120" i="48"/>
  <c r="H120" i="48"/>
  <c r="I120" i="48" s="1"/>
  <c r="J120" i="48" s="1"/>
  <c r="K120" i="48" s="1"/>
  <c r="L120" i="48" s="1"/>
  <c r="M120" i="48" s="1"/>
  <c r="N120" i="48" s="1"/>
  <c r="O120" i="48" s="1"/>
  <c r="P120" i="48" s="1"/>
  <c r="Q120" i="48" s="1"/>
  <c r="R120" i="48"/>
  <c r="B121" i="48"/>
  <c r="H121" i="48"/>
  <c r="I121" i="48" s="1"/>
  <c r="J121" i="48" s="1"/>
  <c r="K121" i="48" s="1"/>
  <c r="L121" i="48" s="1"/>
  <c r="M121" i="48" s="1"/>
  <c r="N121" i="48" s="1"/>
  <c r="O121" i="48" s="1"/>
  <c r="P121" i="48" s="1"/>
  <c r="Q121" i="48" s="1"/>
  <c r="R121" i="48"/>
  <c r="B122" i="48"/>
  <c r="H122" i="48"/>
  <c r="I122" i="48" s="1"/>
  <c r="J122" i="48" s="1"/>
  <c r="K122" i="48" s="1"/>
  <c r="L122" i="48" s="1"/>
  <c r="M122" i="48" s="1"/>
  <c r="N122" i="48" s="1"/>
  <c r="O122" i="48" s="1"/>
  <c r="P122" i="48" s="1"/>
  <c r="Q122" i="48" s="1"/>
  <c r="R122" i="48"/>
  <c r="B123" i="48"/>
  <c r="H123" i="48"/>
  <c r="I123" i="48" s="1"/>
  <c r="J123" i="48" s="1"/>
  <c r="K123" i="48" s="1"/>
  <c r="L123" i="48" s="1"/>
  <c r="M123" i="48" s="1"/>
  <c r="N123" i="48" s="1"/>
  <c r="O123" i="48" s="1"/>
  <c r="P123" i="48" s="1"/>
  <c r="Q123" i="48" s="1"/>
  <c r="R123" i="48"/>
  <c r="B124" i="48"/>
  <c r="H124" i="48"/>
  <c r="I124" i="48" s="1"/>
  <c r="J124" i="48" s="1"/>
  <c r="K124" i="48" s="1"/>
  <c r="L124" i="48" s="1"/>
  <c r="M124" i="48" s="1"/>
  <c r="N124" i="48" s="1"/>
  <c r="O124" i="48" s="1"/>
  <c r="P124" i="48" s="1"/>
  <c r="Q124" i="48" s="1"/>
  <c r="R124" i="48"/>
  <c r="B125" i="48"/>
  <c r="H125" i="48"/>
  <c r="I125" i="48" s="1"/>
  <c r="J125" i="48" s="1"/>
  <c r="K125" i="48" s="1"/>
  <c r="L125" i="48" s="1"/>
  <c r="M125" i="48" s="1"/>
  <c r="N125" i="48" s="1"/>
  <c r="O125" i="48" s="1"/>
  <c r="P125" i="48" s="1"/>
  <c r="Q125" i="48" s="1"/>
  <c r="R125" i="48"/>
  <c r="B126" i="48"/>
  <c r="H126" i="48"/>
  <c r="I126" i="48" s="1"/>
  <c r="J126" i="48" s="1"/>
  <c r="K126" i="48" s="1"/>
  <c r="L126" i="48" s="1"/>
  <c r="M126" i="48" s="1"/>
  <c r="N126" i="48" s="1"/>
  <c r="O126" i="48" s="1"/>
  <c r="P126" i="48" s="1"/>
  <c r="Q126" i="48" s="1"/>
  <c r="R126" i="48"/>
  <c r="B127" i="48"/>
  <c r="H127" i="48"/>
  <c r="I127" i="48" s="1"/>
  <c r="J127" i="48" s="1"/>
  <c r="K127" i="48" s="1"/>
  <c r="L127" i="48" s="1"/>
  <c r="M127" i="48" s="1"/>
  <c r="N127" i="48" s="1"/>
  <c r="O127" i="48" s="1"/>
  <c r="P127" i="48" s="1"/>
  <c r="Q127" i="48" s="1"/>
  <c r="R127" i="48"/>
  <c r="B128" i="48"/>
  <c r="H128" i="48"/>
  <c r="I128" i="48"/>
  <c r="J128" i="48" s="1"/>
  <c r="K128" i="48" s="1"/>
  <c r="L128" i="48" s="1"/>
  <c r="M128" i="48" s="1"/>
  <c r="N128" i="48" s="1"/>
  <c r="O128" i="48" s="1"/>
  <c r="P128" i="48" s="1"/>
  <c r="Q128" i="48" s="1"/>
  <c r="R128" i="48"/>
  <c r="B129" i="48"/>
  <c r="H129" i="48"/>
  <c r="I129" i="48" s="1"/>
  <c r="J129" i="48" s="1"/>
  <c r="K129" i="48" s="1"/>
  <c r="L129" i="48" s="1"/>
  <c r="M129" i="48" s="1"/>
  <c r="N129" i="48" s="1"/>
  <c r="O129" i="48" s="1"/>
  <c r="P129" i="48" s="1"/>
  <c r="Q129" i="48" s="1"/>
  <c r="R129" i="48"/>
  <c r="B130" i="48"/>
  <c r="H130" i="48"/>
  <c r="I130" i="48" s="1"/>
  <c r="J130" i="48" s="1"/>
  <c r="K130" i="48" s="1"/>
  <c r="L130" i="48" s="1"/>
  <c r="M130" i="48" s="1"/>
  <c r="N130" i="48" s="1"/>
  <c r="O130" i="48" s="1"/>
  <c r="P130" i="48" s="1"/>
  <c r="Q130" i="48" s="1"/>
  <c r="R130" i="48"/>
  <c r="B131" i="48"/>
  <c r="H131" i="48"/>
  <c r="I131" i="48" s="1"/>
  <c r="J131" i="48" s="1"/>
  <c r="K131" i="48" s="1"/>
  <c r="L131" i="48" s="1"/>
  <c r="M131" i="48" s="1"/>
  <c r="N131" i="48" s="1"/>
  <c r="O131" i="48" s="1"/>
  <c r="P131" i="48" s="1"/>
  <c r="Q131" i="48" s="1"/>
  <c r="R131" i="48"/>
  <c r="B132" i="48"/>
  <c r="H132" i="48"/>
  <c r="I132" i="48" s="1"/>
  <c r="J132" i="48" s="1"/>
  <c r="K132" i="48" s="1"/>
  <c r="L132" i="48" s="1"/>
  <c r="M132" i="48" s="1"/>
  <c r="N132" i="48" s="1"/>
  <c r="O132" i="48" s="1"/>
  <c r="P132" i="48" s="1"/>
  <c r="Q132" i="48" s="1"/>
  <c r="R132" i="48"/>
  <c r="B133" i="48"/>
  <c r="H133" i="48"/>
  <c r="I133" i="48" s="1"/>
  <c r="J133" i="48" s="1"/>
  <c r="K133" i="48" s="1"/>
  <c r="L133" i="48" s="1"/>
  <c r="M133" i="48" s="1"/>
  <c r="N133" i="48" s="1"/>
  <c r="O133" i="48" s="1"/>
  <c r="P133" i="48" s="1"/>
  <c r="Q133" i="48" s="1"/>
  <c r="R133" i="48"/>
  <c r="B134" i="48"/>
  <c r="H134" i="48"/>
  <c r="I134" i="48" s="1"/>
  <c r="J134" i="48" s="1"/>
  <c r="K134" i="48" s="1"/>
  <c r="L134" i="48" s="1"/>
  <c r="M134" i="48" s="1"/>
  <c r="N134" i="48" s="1"/>
  <c r="O134" i="48" s="1"/>
  <c r="P134" i="48" s="1"/>
  <c r="Q134" i="48" s="1"/>
  <c r="R134" i="48"/>
  <c r="B135" i="48"/>
  <c r="H135" i="48"/>
  <c r="I135" i="48" s="1"/>
  <c r="J135" i="48" s="1"/>
  <c r="K135" i="48" s="1"/>
  <c r="L135" i="48" s="1"/>
  <c r="M135" i="48" s="1"/>
  <c r="N135" i="48" s="1"/>
  <c r="O135" i="48" s="1"/>
  <c r="P135" i="48" s="1"/>
  <c r="Q135" i="48" s="1"/>
  <c r="R135" i="48"/>
  <c r="B136" i="48"/>
  <c r="H136" i="48"/>
  <c r="I136" i="48" s="1"/>
  <c r="J136" i="48" s="1"/>
  <c r="K136" i="48" s="1"/>
  <c r="L136" i="48" s="1"/>
  <c r="M136" i="48" s="1"/>
  <c r="N136" i="48" s="1"/>
  <c r="O136" i="48" s="1"/>
  <c r="P136" i="48" s="1"/>
  <c r="Q136" i="48" s="1"/>
  <c r="R136" i="48"/>
  <c r="B137" i="48"/>
  <c r="H137" i="48"/>
  <c r="I137" i="48" s="1"/>
  <c r="J137" i="48" s="1"/>
  <c r="K137" i="48" s="1"/>
  <c r="L137" i="48" s="1"/>
  <c r="M137" i="48" s="1"/>
  <c r="N137" i="48" s="1"/>
  <c r="O137" i="48" s="1"/>
  <c r="P137" i="48" s="1"/>
  <c r="Q137" i="48" s="1"/>
  <c r="R137" i="48"/>
  <c r="B138" i="48"/>
  <c r="H138" i="48"/>
  <c r="I138" i="48"/>
  <c r="J138" i="48" s="1"/>
  <c r="K138" i="48" s="1"/>
  <c r="L138" i="48" s="1"/>
  <c r="M138" i="48" s="1"/>
  <c r="N138" i="48" s="1"/>
  <c r="O138" i="48" s="1"/>
  <c r="P138" i="48" s="1"/>
  <c r="Q138" i="48" s="1"/>
  <c r="R138" i="48"/>
  <c r="B139" i="48"/>
  <c r="H139" i="48"/>
  <c r="I139" i="48" s="1"/>
  <c r="J139" i="48" s="1"/>
  <c r="K139" i="48" s="1"/>
  <c r="L139" i="48" s="1"/>
  <c r="M139" i="48" s="1"/>
  <c r="N139" i="48" s="1"/>
  <c r="O139" i="48" s="1"/>
  <c r="P139" i="48" s="1"/>
  <c r="Q139" i="48" s="1"/>
  <c r="R139" i="48"/>
  <c r="B140" i="48"/>
  <c r="H140" i="48"/>
  <c r="I140" i="48" s="1"/>
  <c r="J140" i="48" s="1"/>
  <c r="K140" i="48" s="1"/>
  <c r="L140" i="48" s="1"/>
  <c r="M140" i="48" s="1"/>
  <c r="N140" i="48" s="1"/>
  <c r="O140" i="48" s="1"/>
  <c r="P140" i="48" s="1"/>
  <c r="Q140" i="48" s="1"/>
  <c r="R140" i="48"/>
  <c r="B141" i="48"/>
  <c r="H141" i="48"/>
  <c r="I141" i="48" s="1"/>
  <c r="J141" i="48" s="1"/>
  <c r="K141" i="48" s="1"/>
  <c r="L141" i="48" s="1"/>
  <c r="M141" i="48" s="1"/>
  <c r="N141" i="48" s="1"/>
  <c r="O141" i="48" s="1"/>
  <c r="P141" i="48" s="1"/>
  <c r="Q141" i="48" s="1"/>
  <c r="R141" i="48"/>
  <c r="B142" i="48"/>
  <c r="H142" i="48"/>
  <c r="I142" i="48" s="1"/>
  <c r="J142" i="48" s="1"/>
  <c r="K142" i="48" s="1"/>
  <c r="L142" i="48" s="1"/>
  <c r="M142" i="48" s="1"/>
  <c r="N142" i="48" s="1"/>
  <c r="O142" i="48" s="1"/>
  <c r="P142" i="48" s="1"/>
  <c r="Q142" i="48" s="1"/>
  <c r="R142" i="48"/>
  <c r="B143" i="48"/>
  <c r="H143" i="48"/>
  <c r="I143" i="48" s="1"/>
  <c r="J143" i="48" s="1"/>
  <c r="K143" i="48" s="1"/>
  <c r="L143" i="48" s="1"/>
  <c r="M143" i="48" s="1"/>
  <c r="N143" i="48" s="1"/>
  <c r="O143" i="48" s="1"/>
  <c r="P143" i="48" s="1"/>
  <c r="Q143" i="48" s="1"/>
  <c r="R143" i="48"/>
  <c r="B144" i="48"/>
  <c r="H144" i="48"/>
  <c r="I144" i="48" s="1"/>
  <c r="J144" i="48" s="1"/>
  <c r="K144" i="48" s="1"/>
  <c r="L144" i="48" s="1"/>
  <c r="M144" i="48" s="1"/>
  <c r="N144" i="48" s="1"/>
  <c r="O144" i="48" s="1"/>
  <c r="P144" i="48" s="1"/>
  <c r="Q144" i="48" s="1"/>
  <c r="R144" i="48"/>
  <c r="B145" i="48"/>
  <c r="H145" i="48"/>
  <c r="I145" i="48" s="1"/>
  <c r="J145" i="48" s="1"/>
  <c r="K145" i="48" s="1"/>
  <c r="L145" i="48" s="1"/>
  <c r="M145" i="48" s="1"/>
  <c r="N145" i="48" s="1"/>
  <c r="O145" i="48" s="1"/>
  <c r="P145" i="48" s="1"/>
  <c r="Q145" i="48" s="1"/>
  <c r="R145" i="48"/>
  <c r="B146" i="48"/>
  <c r="H146" i="48"/>
  <c r="I146" i="48"/>
  <c r="J146" i="48" s="1"/>
  <c r="K146" i="48" s="1"/>
  <c r="L146" i="48" s="1"/>
  <c r="M146" i="48" s="1"/>
  <c r="N146" i="48" s="1"/>
  <c r="O146" i="48" s="1"/>
  <c r="P146" i="48" s="1"/>
  <c r="Q146" i="48" s="1"/>
  <c r="R146" i="48"/>
  <c r="B147" i="48"/>
  <c r="H147" i="48"/>
  <c r="I147" i="48" s="1"/>
  <c r="J147" i="48" s="1"/>
  <c r="K147" i="48" s="1"/>
  <c r="L147" i="48" s="1"/>
  <c r="M147" i="48" s="1"/>
  <c r="N147" i="48" s="1"/>
  <c r="O147" i="48" s="1"/>
  <c r="P147" i="48" s="1"/>
  <c r="Q147" i="48" s="1"/>
  <c r="R147" i="48"/>
  <c r="B148" i="48"/>
  <c r="H148" i="48"/>
  <c r="I148" i="48" s="1"/>
  <c r="J148" i="48" s="1"/>
  <c r="K148" i="48" s="1"/>
  <c r="L148" i="48" s="1"/>
  <c r="M148" i="48" s="1"/>
  <c r="N148" i="48" s="1"/>
  <c r="O148" i="48" s="1"/>
  <c r="P148" i="48" s="1"/>
  <c r="Q148" i="48" s="1"/>
  <c r="R148" i="48"/>
  <c r="B149" i="48"/>
  <c r="H149" i="48"/>
  <c r="I149" i="48" s="1"/>
  <c r="J149" i="48" s="1"/>
  <c r="K149" i="48" s="1"/>
  <c r="L149" i="48" s="1"/>
  <c r="M149" i="48" s="1"/>
  <c r="N149" i="48" s="1"/>
  <c r="O149" i="48" s="1"/>
  <c r="P149" i="48" s="1"/>
  <c r="Q149" i="48" s="1"/>
  <c r="R149" i="48"/>
  <c r="B150" i="48"/>
  <c r="H150" i="48"/>
  <c r="I150" i="48" s="1"/>
  <c r="J150" i="48" s="1"/>
  <c r="K150" i="48" s="1"/>
  <c r="L150" i="48" s="1"/>
  <c r="M150" i="48" s="1"/>
  <c r="N150" i="48" s="1"/>
  <c r="O150" i="48" s="1"/>
  <c r="P150" i="48" s="1"/>
  <c r="Q150" i="48" s="1"/>
  <c r="R150" i="48"/>
  <c r="B151" i="48"/>
  <c r="H151" i="48"/>
  <c r="I151" i="48" s="1"/>
  <c r="J151" i="48" s="1"/>
  <c r="K151" i="48" s="1"/>
  <c r="L151" i="48" s="1"/>
  <c r="M151" i="48" s="1"/>
  <c r="N151" i="48" s="1"/>
  <c r="O151" i="48" s="1"/>
  <c r="P151" i="48" s="1"/>
  <c r="Q151" i="48" s="1"/>
  <c r="R151" i="48"/>
  <c r="B152" i="48"/>
  <c r="H152" i="48"/>
  <c r="I152" i="48" s="1"/>
  <c r="J152" i="48" s="1"/>
  <c r="K152" i="48" s="1"/>
  <c r="L152" i="48" s="1"/>
  <c r="M152" i="48" s="1"/>
  <c r="N152" i="48" s="1"/>
  <c r="O152" i="48" s="1"/>
  <c r="P152" i="48" s="1"/>
  <c r="Q152" i="48" s="1"/>
  <c r="R152" i="48"/>
  <c r="B153" i="48"/>
  <c r="H153" i="48"/>
  <c r="I153" i="48" s="1"/>
  <c r="J153" i="48" s="1"/>
  <c r="K153" i="48" s="1"/>
  <c r="L153" i="48" s="1"/>
  <c r="M153" i="48" s="1"/>
  <c r="N153" i="48" s="1"/>
  <c r="O153" i="48" s="1"/>
  <c r="P153" i="48" s="1"/>
  <c r="Q153" i="48" s="1"/>
  <c r="R153" i="48"/>
  <c r="B154" i="48"/>
  <c r="H154" i="48"/>
  <c r="I154" i="48" s="1"/>
  <c r="J154" i="48" s="1"/>
  <c r="K154" i="48" s="1"/>
  <c r="L154" i="48" s="1"/>
  <c r="M154" i="48" s="1"/>
  <c r="N154" i="48" s="1"/>
  <c r="O154" i="48" s="1"/>
  <c r="P154" i="48" s="1"/>
  <c r="Q154" i="48" s="1"/>
  <c r="R154" i="48"/>
  <c r="B155" i="48"/>
  <c r="H155" i="48"/>
  <c r="I155" i="48" s="1"/>
  <c r="J155" i="48" s="1"/>
  <c r="K155" i="48" s="1"/>
  <c r="L155" i="48" s="1"/>
  <c r="M155" i="48" s="1"/>
  <c r="N155" i="48" s="1"/>
  <c r="O155" i="48" s="1"/>
  <c r="P155" i="48" s="1"/>
  <c r="Q155" i="48" s="1"/>
  <c r="R155" i="48"/>
  <c r="B156" i="48"/>
  <c r="H156" i="48"/>
  <c r="I156" i="48" s="1"/>
  <c r="J156" i="48" s="1"/>
  <c r="K156" i="48" s="1"/>
  <c r="L156" i="48" s="1"/>
  <c r="M156" i="48" s="1"/>
  <c r="N156" i="48" s="1"/>
  <c r="O156" i="48" s="1"/>
  <c r="P156" i="48" s="1"/>
  <c r="Q156" i="48" s="1"/>
  <c r="R156" i="48"/>
  <c r="B157" i="48"/>
  <c r="H157" i="48"/>
  <c r="I157" i="48"/>
  <c r="J157" i="48"/>
  <c r="K157" i="48" s="1"/>
  <c r="L157" i="48" s="1"/>
  <c r="M157" i="48" s="1"/>
  <c r="N157" i="48" s="1"/>
  <c r="O157" i="48" s="1"/>
  <c r="P157" i="48" s="1"/>
  <c r="Q157" i="48" s="1"/>
  <c r="R157" i="48"/>
  <c r="B158" i="48"/>
  <c r="H158" i="48"/>
  <c r="I158" i="48" s="1"/>
  <c r="J158" i="48" s="1"/>
  <c r="K158" i="48" s="1"/>
  <c r="L158" i="48" s="1"/>
  <c r="M158" i="48" s="1"/>
  <c r="N158" i="48" s="1"/>
  <c r="O158" i="48" s="1"/>
  <c r="P158" i="48" s="1"/>
  <c r="Q158" i="48" s="1"/>
  <c r="R158" i="48"/>
  <c r="B159" i="48"/>
  <c r="H159" i="48"/>
  <c r="I159" i="48" s="1"/>
  <c r="J159" i="48" s="1"/>
  <c r="K159" i="48" s="1"/>
  <c r="L159" i="48" s="1"/>
  <c r="M159" i="48" s="1"/>
  <c r="N159" i="48" s="1"/>
  <c r="O159" i="48" s="1"/>
  <c r="P159" i="48" s="1"/>
  <c r="Q159" i="48" s="1"/>
  <c r="R159" i="48"/>
  <c r="B160" i="48"/>
  <c r="H160" i="48"/>
  <c r="I160" i="48" s="1"/>
  <c r="J160" i="48" s="1"/>
  <c r="K160" i="48" s="1"/>
  <c r="L160" i="48" s="1"/>
  <c r="M160" i="48" s="1"/>
  <c r="N160" i="48" s="1"/>
  <c r="O160" i="48" s="1"/>
  <c r="P160" i="48" s="1"/>
  <c r="Q160" i="48" s="1"/>
  <c r="R160" i="48"/>
  <c r="B161" i="48"/>
  <c r="H161" i="48"/>
  <c r="I161" i="48" s="1"/>
  <c r="J161" i="48" s="1"/>
  <c r="K161" i="48" s="1"/>
  <c r="L161" i="48" s="1"/>
  <c r="M161" i="48" s="1"/>
  <c r="N161" i="48" s="1"/>
  <c r="O161" i="48" s="1"/>
  <c r="P161" i="48" s="1"/>
  <c r="Q161" i="48" s="1"/>
  <c r="R161" i="48"/>
  <c r="B162" i="48"/>
  <c r="H162" i="48"/>
  <c r="I162" i="48" s="1"/>
  <c r="J162" i="48" s="1"/>
  <c r="K162" i="48" s="1"/>
  <c r="L162" i="48" s="1"/>
  <c r="M162" i="48" s="1"/>
  <c r="N162" i="48" s="1"/>
  <c r="O162" i="48" s="1"/>
  <c r="P162" i="48" s="1"/>
  <c r="Q162" i="48" s="1"/>
  <c r="R162" i="48"/>
  <c r="B163" i="48"/>
  <c r="H163" i="48"/>
  <c r="I163" i="48" s="1"/>
  <c r="J163" i="48" s="1"/>
  <c r="K163" i="48" s="1"/>
  <c r="L163" i="48" s="1"/>
  <c r="M163" i="48" s="1"/>
  <c r="N163" i="48" s="1"/>
  <c r="O163" i="48" s="1"/>
  <c r="P163" i="48" s="1"/>
  <c r="Q163" i="48" s="1"/>
  <c r="R163" i="48"/>
  <c r="B164" i="48"/>
  <c r="H164" i="48"/>
  <c r="I164" i="48" s="1"/>
  <c r="J164" i="48" s="1"/>
  <c r="K164" i="48" s="1"/>
  <c r="L164" i="48" s="1"/>
  <c r="M164" i="48" s="1"/>
  <c r="N164" i="48" s="1"/>
  <c r="O164" i="48" s="1"/>
  <c r="P164" i="48" s="1"/>
  <c r="Q164" i="48" s="1"/>
  <c r="R164" i="48"/>
  <c r="B165" i="48"/>
  <c r="H165" i="48"/>
  <c r="I165" i="48" s="1"/>
  <c r="J165" i="48" s="1"/>
  <c r="K165" i="48" s="1"/>
  <c r="L165" i="48" s="1"/>
  <c r="M165" i="48" s="1"/>
  <c r="N165" i="48" s="1"/>
  <c r="O165" i="48" s="1"/>
  <c r="P165" i="48" s="1"/>
  <c r="Q165" i="48" s="1"/>
  <c r="R165" i="48"/>
  <c r="B166" i="48"/>
  <c r="H166" i="48"/>
  <c r="I166" i="48" s="1"/>
  <c r="J166" i="48" s="1"/>
  <c r="K166" i="48" s="1"/>
  <c r="L166" i="48" s="1"/>
  <c r="M166" i="48" s="1"/>
  <c r="N166" i="48" s="1"/>
  <c r="O166" i="48" s="1"/>
  <c r="P166" i="48" s="1"/>
  <c r="Q166" i="48" s="1"/>
  <c r="R166" i="48"/>
  <c r="B167" i="48"/>
  <c r="H167" i="48"/>
  <c r="I167" i="48"/>
  <c r="J167" i="48" s="1"/>
  <c r="K167" i="48" s="1"/>
  <c r="L167" i="48" s="1"/>
  <c r="M167" i="48" s="1"/>
  <c r="N167" i="48" s="1"/>
  <c r="O167" i="48" s="1"/>
  <c r="P167" i="48" s="1"/>
  <c r="Q167" i="48" s="1"/>
  <c r="R167" i="48"/>
  <c r="B168" i="48"/>
  <c r="H168" i="48"/>
  <c r="I168" i="48" s="1"/>
  <c r="J168" i="48" s="1"/>
  <c r="K168" i="48" s="1"/>
  <c r="L168" i="48" s="1"/>
  <c r="M168" i="48" s="1"/>
  <c r="N168" i="48" s="1"/>
  <c r="O168" i="48" s="1"/>
  <c r="P168" i="48" s="1"/>
  <c r="Q168" i="48" s="1"/>
  <c r="R168" i="48"/>
  <c r="B169" i="48"/>
  <c r="H169" i="48"/>
  <c r="I169" i="48" s="1"/>
  <c r="J169" i="48" s="1"/>
  <c r="K169" i="48" s="1"/>
  <c r="L169" i="48" s="1"/>
  <c r="M169" i="48" s="1"/>
  <c r="N169" i="48" s="1"/>
  <c r="O169" i="48" s="1"/>
  <c r="P169" i="48" s="1"/>
  <c r="Q169" i="48" s="1"/>
  <c r="R169" i="48"/>
  <c r="B170" i="48"/>
  <c r="H170" i="48"/>
  <c r="I170" i="48" s="1"/>
  <c r="J170" i="48" s="1"/>
  <c r="K170" i="48" s="1"/>
  <c r="L170" i="48" s="1"/>
  <c r="M170" i="48" s="1"/>
  <c r="N170" i="48" s="1"/>
  <c r="O170" i="48" s="1"/>
  <c r="P170" i="48" s="1"/>
  <c r="Q170" i="48" s="1"/>
  <c r="R170" i="48"/>
  <c r="B171" i="48"/>
  <c r="H171" i="48"/>
  <c r="I171" i="48" s="1"/>
  <c r="J171" i="48" s="1"/>
  <c r="K171" i="48" s="1"/>
  <c r="L171" i="48" s="1"/>
  <c r="M171" i="48" s="1"/>
  <c r="N171" i="48" s="1"/>
  <c r="O171" i="48" s="1"/>
  <c r="P171" i="48" s="1"/>
  <c r="Q171" i="48" s="1"/>
  <c r="R171" i="48"/>
  <c r="B172" i="48"/>
  <c r="H172" i="48"/>
  <c r="I172" i="48"/>
  <c r="J172" i="48" s="1"/>
  <c r="K172" i="48" s="1"/>
  <c r="L172" i="48" s="1"/>
  <c r="M172" i="48" s="1"/>
  <c r="N172" i="48" s="1"/>
  <c r="O172" i="48" s="1"/>
  <c r="P172" i="48" s="1"/>
  <c r="Q172" i="48" s="1"/>
  <c r="R172" i="48"/>
  <c r="B173" i="48"/>
  <c r="H173" i="48"/>
  <c r="I173" i="48" s="1"/>
  <c r="J173" i="48" s="1"/>
  <c r="K173" i="48" s="1"/>
  <c r="L173" i="48" s="1"/>
  <c r="M173" i="48" s="1"/>
  <c r="N173" i="48" s="1"/>
  <c r="O173" i="48" s="1"/>
  <c r="P173" i="48" s="1"/>
  <c r="Q173" i="48" s="1"/>
  <c r="R173" i="48"/>
  <c r="B174" i="48"/>
  <c r="H174" i="48"/>
  <c r="I174" i="48" s="1"/>
  <c r="J174" i="48" s="1"/>
  <c r="K174" i="48" s="1"/>
  <c r="L174" i="48" s="1"/>
  <c r="M174" i="48" s="1"/>
  <c r="N174" i="48" s="1"/>
  <c r="O174" i="48" s="1"/>
  <c r="P174" i="48" s="1"/>
  <c r="Q174" i="48" s="1"/>
  <c r="R174" i="48"/>
  <c r="B175" i="48"/>
  <c r="H175" i="48"/>
  <c r="I175" i="48" s="1"/>
  <c r="J175" i="48" s="1"/>
  <c r="K175" i="48" s="1"/>
  <c r="L175" i="48" s="1"/>
  <c r="M175" i="48" s="1"/>
  <c r="N175" i="48" s="1"/>
  <c r="O175" i="48" s="1"/>
  <c r="P175" i="48" s="1"/>
  <c r="Q175" i="48" s="1"/>
  <c r="R175" i="48"/>
  <c r="B176" i="48"/>
  <c r="H176" i="48"/>
  <c r="I176" i="48" s="1"/>
  <c r="J176" i="48" s="1"/>
  <c r="K176" i="48" s="1"/>
  <c r="L176" i="48" s="1"/>
  <c r="M176" i="48" s="1"/>
  <c r="N176" i="48" s="1"/>
  <c r="O176" i="48" s="1"/>
  <c r="P176" i="48" s="1"/>
  <c r="Q176" i="48" s="1"/>
  <c r="R176" i="48"/>
  <c r="B177" i="48"/>
  <c r="H177" i="48"/>
  <c r="I177" i="48"/>
  <c r="J177" i="48" s="1"/>
  <c r="K177" i="48" s="1"/>
  <c r="L177" i="48" s="1"/>
  <c r="M177" i="48" s="1"/>
  <c r="N177" i="48" s="1"/>
  <c r="O177" i="48" s="1"/>
  <c r="P177" i="48" s="1"/>
  <c r="Q177" i="48" s="1"/>
  <c r="R177" i="48"/>
  <c r="B178" i="48"/>
  <c r="H178" i="48"/>
  <c r="I178" i="48" s="1"/>
  <c r="J178" i="48" s="1"/>
  <c r="K178" i="48" s="1"/>
  <c r="L178" i="48" s="1"/>
  <c r="M178" i="48" s="1"/>
  <c r="N178" i="48" s="1"/>
  <c r="O178" i="48" s="1"/>
  <c r="P178" i="48" s="1"/>
  <c r="Q178" i="48" s="1"/>
  <c r="R178" i="48"/>
  <c r="B179" i="48"/>
  <c r="H179" i="48"/>
  <c r="I179" i="48"/>
  <c r="J179" i="48" s="1"/>
  <c r="K179" i="48" s="1"/>
  <c r="L179" i="48" s="1"/>
  <c r="M179" i="48" s="1"/>
  <c r="N179" i="48" s="1"/>
  <c r="O179" i="48" s="1"/>
  <c r="P179" i="48" s="1"/>
  <c r="Q179" i="48" s="1"/>
  <c r="R179" i="48"/>
  <c r="B180" i="48"/>
  <c r="H180" i="48"/>
  <c r="I180" i="48" s="1"/>
  <c r="J180" i="48" s="1"/>
  <c r="K180" i="48" s="1"/>
  <c r="L180" i="48" s="1"/>
  <c r="M180" i="48" s="1"/>
  <c r="N180" i="48" s="1"/>
  <c r="O180" i="48" s="1"/>
  <c r="P180" i="48" s="1"/>
  <c r="Q180" i="48" s="1"/>
  <c r="R180" i="48"/>
  <c r="B181" i="48"/>
  <c r="H181" i="48"/>
  <c r="I181" i="48"/>
  <c r="J181" i="48" s="1"/>
  <c r="K181" i="48" s="1"/>
  <c r="L181" i="48" s="1"/>
  <c r="M181" i="48" s="1"/>
  <c r="N181" i="48" s="1"/>
  <c r="O181" i="48" s="1"/>
  <c r="P181" i="48" s="1"/>
  <c r="Q181" i="48" s="1"/>
  <c r="R181" i="48"/>
  <c r="B182" i="48"/>
  <c r="H182" i="48"/>
  <c r="I182" i="48" s="1"/>
  <c r="J182" i="48" s="1"/>
  <c r="K182" i="48" s="1"/>
  <c r="L182" i="48" s="1"/>
  <c r="M182" i="48" s="1"/>
  <c r="N182" i="48" s="1"/>
  <c r="O182" i="48" s="1"/>
  <c r="P182" i="48" s="1"/>
  <c r="Q182" i="48" s="1"/>
  <c r="R182" i="48"/>
  <c r="B183" i="48"/>
  <c r="H183" i="48"/>
  <c r="I183" i="48" s="1"/>
  <c r="J183" i="48" s="1"/>
  <c r="K183" i="48" s="1"/>
  <c r="L183" i="48" s="1"/>
  <c r="M183" i="48" s="1"/>
  <c r="N183" i="48" s="1"/>
  <c r="O183" i="48" s="1"/>
  <c r="P183" i="48" s="1"/>
  <c r="Q183" i="48" s="1"/>
  <c r="R183" i="48"/>
  <c r="B184" i="48"/>
  <c r="H184" i="48"/>
  <c r="I184" i="48" s="1"/>
  <c r="J184" i="48" s="1"/>
  <c r="K184" i="48" s="1"/>
  <c r="L184" i="48" s="1"/>
  <c r="M184" i="48" s="1"/>
  <c r="N184" i="48" s="1"/>
  <c r="O184" i="48" s="1"/>
  <c r="P184" i="48" s="1"/>
  <c r="Q184" i="48" s="1"/>
  <c r="R184" i="48"/>
  <c r="B185" i="48"/>
  <c r="H185" i="48"/>
  <c r="I185" i="48"/>
  <c r="J185" i="48"/>
  <c r="K185" i="48" s="1"/>
  <c r="L185" i="48" s="1"/>
  <c r="M185" i="48" s="1"/>
  <c r="N185" i="48" s="1"/>
  <c r="O185" i="48" s="1"/>
  <c r="P185" i="48" s="1"/>
  <c r="Q185" i="48" s="1"/>
  <c r="R185" i="48"/>
  <c r="B186" i="48"/>
  <c r="H186" i="48"/>
  <c r="I186" i="48" s="1"/>
  <c r="J186" i="48" s="1"/>
  <c r="K186" i="48" s="1"/>
  <c r="L186" i="48" s="1"/>
  <c r="M186" i="48" s="1"/>
  <c r="N186" i="48" s="1"/>
  <c r="O186" i="48" s="1"/>
  <c r="P186" i="48" s="1"/>
  <c r="Q186" i="48" s="1"/>
  <c r="R186" i="48"/>
  <c r="B187" i="48"/>
  <c r="H187" i="48"/>
  <c r="I187" i="48" s="1"/>
  <c r="J187" i="48" s="1"/>
  <c r="K187" i="48" s="1"/>
  <c r="L187" i="48" s="1"/>
  <c r="M187" i="48" s="1"/>
  <c r="N187" i="48" s="1"/>
  <c r="O187" i="48" s="1"/>
  <c r="P187" i="48" s="1"/>
  <c r="Q187" i="48" s="1"/>
  <c r="R187" i="48"/>
  <c r="B188" i="48"/>
  <c r="H188" i="48"/>
  <c r="I188" i="48" s="1"/>
  <c r="J188" i="48" s="1"/>
  <c r="K188" i="48" s="1"/>
  <c r="L188" i="48" s="1"/>
  <c r="M188" i="48" s="1"/>
  <c r="N188" i="48" s="1"/>
  <c r="O188" i="48" s="1"/>
  <c r="P188" i="48" s="1"/>
  <c r="Q188" i="48" s="1"/>
  <c r="R188" i="48"/>
  <c r="B189" i="48"/>
  <c r="H189" i="48"/>
  <c r="I189" i="48" s="1"/>
  <c r="J189" i="48" s="1"/>
  <c r="K189" i="48" s="1"/>
  <c r="L189" i="48" s="1"/>
  <c r="M189" i="48" s="1"/>
  <c r="N189" i="48" s="1"/>
  <c r="O189" i="48" s="1"/>
  <c r="P189" i="48" s="1"/>
  <c r="Q189" i="48" s="1"/>
  <c r="R189" i="48"/>
  <c r="B190" i="48"/>
  <c r="H190" i="48"/>
  <c r="I190" i="48" s="1"/>
  <c r="J190" i="48" s="1"/>
  <c r="K190" i="48" s="1"/>
  <c r="L190" i="48" s="1"/>
  <c r="M190" i="48" s="1"/>
  <c r="N190" i="48" s="1"/>
  <c r="O190" i="48" s="1"/>
  <c r="P190" i="48" s="1"/>
  <c r="Q190" i="48" s="1"/>
  <c r="R190" i="48"/>
  <c r="B191" i="48"/>
  <c r="H191" i="48"/>
  <c r="I191" i="48" s="1"/>
  <c r="J191" i="48" s="1"/>
  <c r="K191" i="48" s="1"/>
  <c r="L191" i="48" s="1"/>
  <c r="M191" i="48" s="1"/>
  <c r="N191" i="48" s="1"/>
  <c r="O191" i="48" s="1"/>
  <c r="P191" i="48" s="1"/>
  <c r="Q191" i="48" s="1"/>
  <c r="R191" i="48"/>
  <c r="B192" i="48"/>
  <c r="H192" i="48"/>
  <c r="I192" i="48" s="1"/>
  <c r="J192" i="48" s="1"/>
  <c r="K192" i="48" s="1"/>
  <c r="L192" i="48" s="1"/>
  <c r="M192" i="48" s="1"/>
  <c r="N192" i="48" s="1"/>
  <c r="O192" i="48" s="1"/>
  <c r="P192" i="48" s="1"/>
  <c r="Q192" i="48" s="1"/>
  <c r="R192" i="48"/>
  <c r="B193" i="48"/>
  <c r="H193" i="48"/>
  <c r="I193" i="48" s="1"/>
  <c r="J193" i="48" s="1"/>
  <c r="K193" i="48" s="1"/>
  <c r="L193" i="48" s="1"/>
  <c r="M193" i="48" s="1"/>
  <c r="N193" i="48" s="1"/>
  <c r="O193" i="48" s="1"/>
  <c r="P193" i="48" s="1"/>
  <c r="Q193" i="48" s="1"/>
  <c r="R193" i="48"/>
  <c r="B194" i="48"/>
  <c r="H194" i="48"/>
  <c r="I194" i="48" s="1"/>
  <c r="J194" i="48" s="1"/>
  <c r="K194" i="48" s="1"/>
  <c r="L194" i="48" s="1"/>
  <c r="M194" i="48" s="1"/>
  <c r="N194" i="48" s="1"/>
  <c r="O194" i="48" s="1"/>
  <c r="P194" i="48" s="1"/>
  <c r="Q194" i="48" s="1"/>
  <c r="R194" i="48"/>
  <c r="B195" i="48"/>
  <c r="H195" i="48"/>
  <c r="I195" i="48" s="1"/>
  <c r="J195" i="48" s="1"/>
  <c r="K195" i="48" s="1"/>
  <c r="L195" i="48" s="1"/>
  <c r="M195" i="48" s="1"/>
  <c r="N195" i="48" s="1"/>
  <c r="O195" i="48" s="1"/>
  <c r="P195" i="48" s="1"/>
  <c r="Q195" i="48" s="1"/>
  <c r="R195" i="48"/>
  <c r="B196" i="48"/>
  <c r="H196" i="48"/>
  <c r="I196" i="48" s="1"/>
  <c r="J196" i="48" s="1"/>
  <c r="K196" i="48" s="1"/>
  <c r="L196" i="48" s="1"/>
  <c r="M196" i="48" s="1"/>
  <c r="N196" i="48" s="1"/>
  <c r="O196" i="48" s="1"/>
  <c r="P196" i="48" s="1"/>
  <c r="Q196" i="48" s="1"/>
  <c r="R196" i="48"/>
  <c r="B197" i="48"/>
  <c r="H197" i="48"/>
  <c r="I197" i="48" s="1"/>
  <c r="J197" i="48" s="1"/>
  <c r="K197" i="48" s="1"/>
  <c r="L197" i="48" s="1"/>
  <c r="M197" i="48" s="1"/>
  <c r="N197" i="48" s="1"/>
  <c r="O197" i="48" s="1"/>
  <c r="P197" i="48" s="1"/>
  <c r="Q197" i="48" s="1"/>
  <c r="R197" i="48"/>
  <c r="B198" i="48"/>
  <c r="H198" i="48"/>
  <c r="I198" i="48" s="1"/>
  <c r="J198" i="48" s="1"/>
  <c r="K198" i="48" s="1"/>
  <c r="L198" i="48" s="1"/>
  <c r="M198" i="48" s="1"/>
  <c r="N198" i="48" s="1"/>
  <c r="O198" i="48" s="1"/>
  <c r="P198" i="48" s="1"/>
  <c r="Q198" i="48" s="1"/>
  <c r="R198" i="48"/>
  <c r="B199" i="48"/>
  <c r="H199" i="48"/>
  <c r="I199" i="48"/>
  <c r="J199" i="48" s="1"/>
  <c r="K199" i="48" s="1"/>
  <c r="L199" i="48" s="1"/>
  <c r="M199" i="48" s="1"/>
  <c r="N199" i="48" s="1"/>
  <c r="O199" i="48" s="1"/>
  <c r="P199" i="48" s="1"/>
  <c r="Q199" i="48" s="1"/>
  <c r="R199" i="48"/>
  <c r="B200" i="48"/>
  <c r="H200" i="48"/>
  <c r="I200" i="48" s="1"/>
  <c r="J200" i="48" s="1"/>
  <c r="K200" i="48" s="1"/>
  <c r="L200" i="48" s="1"/>
  <c r="M200" i="48" s="1"/>
  <c r="N200" i="48" s="1"/>
  <c r="O200" i="48" s="1"/>
  <c r="P200" i="48" s="1"/>
  <c r="Q200" i="48" s="1"/>
  <c r="R200" i="48"/>
  <c r="B201" i="48"/>
  <c r="H201" i="48"/>
  <c r="I201" i="48" s="1"/>
  <c r="J201" i="48" s="1"/>
  <c r="K201" i="48" s="1"/>
  <c r="L201" i="48" s="1"/>
  <c r="M201" i="48" s="1"/>
  <c r="N201" i="48" s="1"/>
  <c r="O201" i="48" s="1"/>
  <c r="P201" i="48" s="1"/>
  <c r="Q201" i="48" s="1"/>
  <c r="R201" i="48"/>
  <c r="B202" i="48"/>
  <c r="H202" i="48"/>
  <c r="I202" i="48" s="1"/>
  <c r="J202" i="48" s="1"/>
  <c r="K202" i="48" s="1"/>
  <c r="L202" i="48" s="1"/>
  <c r="M202" i="48" s="1"/>
  <c r="N202" i="48" s="1"/>
  <c r="O202" i="48" s="1"/>
  <c r="P202" i="48" s="1"/>
  <c r="Q202" i="48" s="1"/>
  <c r="R202" i="48"/>
  <c r="B203" i="48"/>
  <c r="H203" i="48"/>
  <c r="I203" i="48" s="1"/>
  <c r="J203" i="48" s="1"/>
  <c r="K203" i="48" s="1"/>
  <c r="L203" i="48" s="1"/>
  <c r="M203" i="48" s="1"/>
  <c r="N203" i="48" s="1"/>
  <c r="O203" i="48" s="1"/>
  <c r="P203" i="48" s="1"/>
  <c r="Q203" i="48" s="1"/>
  <c r="R203" i="48"/>
  <c r="B204" i="48"/>
  <c r="H204" i="48"/>
  <c r="I204" i="48" s="1"/>
  <c r="J204" i="48" s="1"/>
  <c r="K204" i="48" s="1"/>
  <c r="L204" i="48" s="1"/>
  <c r="M204" i="48" s="1"/>
  <c r="N204" i="48" s="1"/>
  <c r="O204" i="48" s="1"/>
  <c r="P204" i="48" s="1"/>
  <c r="Q204" i="48" s="1"/>
  <c r="R204" i="48"/>
  <c r="B205" i="48"/>
  <c r="H205" i="48"/>
  <c r="I205" i="48" s="1"/>
  <c r="J205" i="48" s="1"/>
  <c r="K205" i="48" s="1"/>
  <c r="L205" i="48" s="1"/>
  <c r="M205" i="48" s="1"/>
  <c r="N205" i="48" s="1"/>
  <c r="O205" i="48" s="1"/>
  <c r="P205" i="48" s="1"/>
  <c r="Q205" i="48" s="1"/>
  <c r="R205" i="48"/>
  <c r="B206" i="48"/>
  <c r="H206" i="48"/>
  <c r="I206" i="48" s="1"/>
  <c r="J206" i="48" s="1"/>
  <c r="K206" i="48" s="1"/>
  <c r="L206" i="48" s="1"/>
  <c r="M206" i="48" s="1"/>
  <c r="N206" i="48" s="1"/>
  <c r="O206" i="48" s="1"/>
  <c r="P206" i="48" s="1"/>
  <c r="Q206" i="48" s="1"/>
  <c r="R206" i="48"/>
  <c r="B207" i="48"/>
  <c r="H207" i="48"/>
  <c r="I207" i="48" s="1"/>
  <c r="J207" i="48" s="1"/>
  <c r="K207" i="48" s="1"/>
  <c r="L207" i="48" s="1"/>
  <c r="M207" i="48" s="1"/>
  <c r="N207" i="48" s="1"/>
  <c r="O207" i="48" s="1"/>
  <c r="P207" i="48" s="1"/>
  <c r="Q207" i="48" s="1"/>
  <c r="R207" i="48"/>
  <c r="B208" i="48"/>
  <c r="H208" i="48"/>
  <c r="I208" i="48" s="1"/>
  <c r="J208" i="48" s="1"/>
  <c r="K208" i="48" s="1"/>
  <c r="L208" i="48" s="1"/>
  <c r="M208" i="48" s="1"/>
  <c r="N208" i="48" s="1"/>
  <c r="O208" i="48" s="1"/>
  <c r="P208" i="48" s="1"/>
  <c r="Q208" i="48" s="1"/>
  <c r="R208" i="48"/>
  <c r="B209" i="48"/>
  <c r="H209" i="48"/>
  <c r="I209" i="48" s="1"/>
  <c r="J209" i="48" s="1"/>
  <c r="K209" i="48" s="1"/>
  <c r="L209" i="48" s="1"/>
  <c r="M209" i="48" s="1"/>
  <c r="N209" i="48" s="1"/>
  <c r="O209" i="48" s="1"/>
  <c r="P209" i="48" s="1"/>
  <c r="Q209" i="48" s="1"/>
  <c r="R209" i="48"/>
  <c r="B210" i="48"/>
  <c r="H210" i="48"/>
  <c r="I210" i="48" s="1"/>
  <c r="J210" i="48" s="1"/>
  <c r="K210" i="48" s="1"/>
  <c r="L210" i="48" s="1"/>
  <c r="M210" i="48" s="1"/>
  <c r="N210" i="48" s="1"/>
  <c r="O210" i="48" s="1"/>
  <c r="P210" i="48" s="1"/>
  <c r="Q210" i="48" s="1"/>
  <c r="R210" i="48"/>
  <c r="B211" i="48"/>
  <c r="H211" i="48"/>
  <c r="I211" i="48" s="1"/>
  <c r="J211" i="48" s="1"/>
  <c r="K211" i="48" s="1"/>
  <c r="L211" i="48" s="1"/>
  <c r="M211" i="48" s="1"/>
  <c r="N211" i="48" s="1"/>
  <c r="O211" i="48" s="1"/>
  <c r="P211" i="48" s="1"/>
  <c r="Q211" i="48" s="1"/>
  <c r="R211" i="48"/>
  <c r="B212" i="48"/>
  <c r="H212" i="48"/>
  <c r="I212" i="48" s="1"/>
  <c r="J212" i="48" s="1"/>
  <c r="K212" i="48" s="1"/>
  <c r="L212" i="48" s="1"/>
  <c r="M212" i="48" s="1"/>
  <c r="N212" i="48" s="1"/>
  <c r="O212" i="48" s="1"/>
  <c r="P212" i="48" s="1"/>
  <c r="Q212" i="48" s="1"/>
  <c r="R212" i="48"/>
  <c r="B213" i="48"/>
  <c r="H213" i="48"/>
  <c r="I213" i="48" s="1"/>
  <c r="J213" i="48" s="1"/>
  <c r="K213" i="48" s="1"/>
  <c r="L213" i="48" s="1"/>
  <c r="M213" i="48" s="1"/>
  <c r="N213" i="48" s="1"/>
  <c r="O213" i="48" s="1"/>
  <c r="P213" i="48" s="1"/>
  <c r="Q213" i="48" s="1"/>
  <c r="R213" i="48"/>
  <c r="B214" i="48"/>
  <c r="H214" i="48"/>
  <c r="I214" i="48" s="1"/>
  <c r="J214" i="48" s="1"/>
  <c r="K214" i="48" s="1"/>
  <c r="L214" i="48" s="1"/>
  <c r="M214" i="48" s="1"/>
  <c r="N214" i="48" s="1"/>
  <c r="O214" i="48" s="1"/>
  <c r="P214" i="48" s="1"/>
  <c r="Q214" i="48" s="1"/>
  <c r="R214" i="48"/>
  <c r="B215" i="48"/>
  <c r="H215" i="48"/>
  <c r="I215" i="48" s="1"/>
  <c r="J215" i="48" s="1"/>
  <c r="K215" i="48" s="1"/>
  <c r="L215" i="48" s="1"/>
  <c r="M215" i="48" s="1"/>
  <c r="N215" i="48" s="1"/>
  <c r="O215" i="48" s="1"/>
  <c r="P215" i="48" s="1"/>
  <c r="Q215" i="48" s="1"/>
  <c r="R215" i="48"/>
  <c r="B216" i="48"/>
  <c r="H216" i="48"/>
  <c r="I216" i="48"/>
  <c r="J216" i="48" s="1"/>
  <c r="K216" i="48" s="1"/>
  <c r="L216" i="48" s="1"/>
  <c r="M216" i="48" s="1"/>
  <c r="N216" i="48" s="1"/>
  <c r="O216" i="48" s="1"/>
  <c r="P216" i="48" s="1"/>
  <c r="Q216" i="48" s="1"/>
  <c r="R216" i="48"/>
  <c r="B217" i="48"/>
  <c r="H217" i="48"/>
  <c r="I217" i="48" s="1"/>
  <c r="J217" i="48" s="1"/>
  <c r="K217" i="48" s="1"/>
  <c r="L217" i="48" s="1"/>
  <c r="M217" i="48" s="1"/>
  <c r="N217" i="48" s="1"/>
  <c r="O217" i="48" s="1"/>
  <c r="P217" i="48" s="1"/>
  <c r="Q217" i="48" s="1"/>
  <c r="R217" i="48"/>
  <c r="B218" i="48"/>
  <c r="H218" i="48"/>
  <c r="I218" i="48" s="1"/>
  <c r="J218" i="48" s="1"/>
  <c r="K218" i="48" s="1"/>
  <c r="L218" i="48" s="1"/>
  <c r="M218" i="48" s="1"/>
  <c r="N218" i="48" s="1"/>
  <c r="O218" i="48" s="1"/>
  <c r="P218" i="48" s="1"/>
  <c r="Q218" i="48" s="1"/>
  <c r="R218" i="48"/>
  <c r="B219" i="48"/>
  <c r="H219" i="48"/>
  <c r="I219" i="48"/>
  <c r="J219" i="48" s="1"/>
  <c r="K219" i="48" s="1"/>
  <c r="L219" i="48" s="1"/>
  <c r="M219" i="48" s="1"/>
  <c r="N219" i="48" s="1"/>
  <c r="O219" i="48" s="1"/>
  <c r="P219" i="48" s="1"/>
  <c r="Q219" i="48" s="1"/>
  <c r="R219" i="48"/>
  <c r="B220" i="48"/>
  <c r="H220" i="48"/>
  <c r="I220" i="48" s="1"/>
  <c r="J220" i="48" s="1"/>
  <c r="K220" i="48" s="1"/>
  <c r="L220" i="48" s="1"/>
  <c r="M220" i="48" s="1"/>
  <c r="N220" i="48" s="1"/>
  <c r="O220" i="48" s="1"/>
  <c r="P220" i="48" s="1"/>
  <c r="Q220" i="48" s="1"/>
  <c r="R220" i="48"/>
  <c r="B221" i="48"/>
  <c r="H221" i="48"/>
  <c r="I221" i="48" s="1"/>
  <c r="J221" i="48" s="1"/>
  <c r="K221" i="48" s="1"/>
  <c r="L221" i="48" s="1"/>
  <c r="M221" i="48" s="1"/>
  <c r="N221" i="48" s="1"/>
  <c r="O221" i="48" s="1"/>
  <c r="P221" i="48" s="1"/>
  <c r="Q221" i="48" s="1"/>
  <c r="R221" i="48"/>
  <c r="B222" i="48"/>
  <c r="H222" i="48"/>
  <c r="I222" i="48"/>
  <c r="J222" i="48" s="1"/>
  <c r="K222" i="48" s="1"/>
  <c r="L222" i="48" s="1"/>
  <c r="M222" i="48" s="1"/>
  <c r="N222" i="48" s="1"/>
  <c r="O222" i="48" s="1"/>
  <c r="P222" i="48" s="1"/>
  <c r="Q222" i="48" s="1"/>
  <c r="R222" i="48"/>
  <c r="B223" i="48"/>
  <c r="H223" i="48"/>
  <c r="I223" i="48" s="1"/>
  <c r="J223" i="48" s="1"/>
  <c r="K223" i="48" s="1"/>
  <c r="L223" i="48" s="1"/>
  <c r="M223" i="48" s="1"/>
  <c r="N223" i="48" s="1"/>
  <c r="O223" i="48" s="1"/>
  <c r="P223" i="48" s="1"/>
  <c r="Q223" i="48" s="1"/>
  <c r="R223" i="48"/>
  <c r="B224" i="48"/>
  <c r="H224" i="48"/>
  <c r="I224" i="48" s="1"/>
  <c r="J224" i="48" s="1"/>
  <c r="K224" i="48" s="1"/>
  <c r="L224" i="48" s="1"/>
  <c r="M224" i="48" s="1"/>
  <c r="N224" i="48" s="1"/>
  <c r="O224" i="48" s="1"/>
  <c r="P224" i="48" s="1"/>
  <c r="Q224" i="48" s="1"/>
  <c r="R224" i="48"/>
  <c r="B225" i="48"/>
  <c r="H225" i="48"/>
  <c r="I225" i="48" s="1"/>
  <c r="J225" i="48" s="1"/>
  <c r="K225" i="48" s="1"/>
  <c r="L225" i="48" s="1"/>
  <c r="M225" i="48" s="1"/>
  <c r="N225" i="48" s="1"/>
  <c r="O225" i="48" s="1"/>
  <c r="P225" i="48" s="1"/>
  <c r="Q225" i="48" s="1"/>
  <c r="R225" i="48"/>
  <c r="B226" i="48"/>
  <c r="H226" i="48"/>
  <c r="I226" i="48" s="1"/>
  <c r="J226" i="48" s="1"/>
  <c r="K226" i="48" s="1"/>
  <c r="L226" i="48" s="1"/>
  <c r="M226" i="48" s="1"/>
  <c r="N226" i="48" s="1"/>
  <c r="O226" i="48" s="1"/>
  <c r="P226" i="48" s="1"/>
  <c r="Q226" i="48" s="1"/>
  <c r="R226" i="48"/>
  <c r="B227" i="48"/>
  <c r="H227" i="48"/>
  <c r="I227" i="48" s="1"/>
  <c r="J227" i="48" s="1"/>
  <c r="K227" i="48" s="1"/>
  <c r="L227" i="48" s="1"/>
  <c r="M227" i="48" s="1"/>
  <c r="N227" i="48" s="1"/>
  <c r="O227" i="48" s="1"/>
  <c r="P227" i="48" s="1"/>
  <c r="Q227" i="48" s="1"/>
  <c r="R227" i="48"/>
  <c r="B228" i="48"/>
  <c r="H228" i="48"/>
  <c r="I228" i="48" s="1"/>
  <c r="J228" i="48" s="1"/>
  <c r="K228" i="48" s="1"/>
  <c r="L228" i="48" s="1"/>
  <c r="M228" i="48" s="1"/>
  <c r="N228" i="48" s="1"/>
  <c r="O228" i="48" s="1"/>
  <c r="P228" i="48" s="1"/>
  <c r="Q228" i="48" s="1"/>
  <c r="R228" i="48"/>
  <c r="B229" i="48"/>
  <c r="H229" i="48"/>
  <c r="I229" i="48" s="1"/>
  <c r="J229" i="48" s="1"/>
  <c r="K229" i="48" s="1"/>
  <c r="L229" i="48" s="1"/>
  <c r="M229" i="48" s="1"/>
  <c r="N229" i="48" s="1"/>
  <c r="O229" i="48" s="1"/>
  <c r="P229" i="48" s="1"/>
  <c r="Q229" i="48" s="1"/>
  <c r="R229" i="48"/>
  <c r="B230" i="48"/>
  <c r="H230" i="48"/>
  <c r="I230" i="48"/>
  <c r="J230" i="48" s="1"/>
  <c r="K230" i="48" s="1"/>
  <c r="L230" i="48" s="1"/>
  <c r="M230" i="48" s="1"/>
  <c r="N230" i="48" s="1"/>
  <c r="O230" i="48" s="1"/>
  <c r="P230" i="48" s="1"/>
  <c r="Q230" i="48" s="1"/>
  <c r="R230" i="48"/>
  <c r="B231" i="48"/>
  <c r="H231" i="48"/>
  <c r="I231" i="48" s="1"/>
  <c r="J231" i="48" s="1"/>
  <c r="K231" i="48" s="1"/>
  <c r="L231" i="48" s="1"/>
  <c r="M231" i="48" s="1"/>
  <c r="N231" i="48" s="1"/>
  <c r="O231" i="48" s="1"/>
  <c r="P231" i="48" s="1"/>
  <c r="Q231" i="48" s="1"/>
  <c r="R231" i="48"/>
  <c r="B232" i="48"/>
  <c r="H232" i="48"/>
  <c r="I232" i="48" s="1"/>
  <c r="J232" i="48" s="1"/>
  <c r="K232" i="48" s="1"/>
  <c r="L232" i="48" s="1"/>
  <c r="M232" i="48" s="1"/>
  <c r="N232" i="48" s="1"/>
  <c r="O232" i="48" s="1"/>
  <c r="P232" i="48" s="1"/>
  <c r="Q232" i="48" s="1"/>
  <c r="R232" i="48"/>
  <c r="B233" i="48"/>
  <c r="H233" i="48"/>
  <c r="I233" i="48" s="1"/>
  <c r="J233" i="48" s="1"/>
  <c r="K233" i="48" s="1"/>
  <c r="L233" i="48" s="1"/>
  <c r="M233" i="48" s="1"/>
  <c r="N233" i="48" s="1"/>
  <c r="O233" i="48" s="1"/>
  <c r="P233" i="48" s="1"/>
  <c r="Q233" i="48" s="1"/>
  <c r="R233" i="48"/>
  <c r="B234" i="48"/>
  <c r="H234" i="48"/>
  <c r="I234" i="48" s="1"/>
  <c r="J234" i="48" s="1"/>
  <c r="K234" i="48" s="1"/>
  <c r="L234" i="48" s="1"/>
  <c r="M234" i="48" s="1"/>
  <c r="N234" i="48" s="1"/>
  <c r="O234" i="48" s="1"/>
  <c r="P234" i="48" s="1"/>
  <c r="Q234" i="48" s="1"/>
  <c r="R234" i="48"/>
  <c r="B235" i="48"/>
  <c r="H235" i="48"/>
  <c r="I235" i="48" s="1"/>
  <c r="J235" i="48" s="1"/>
  <c r="K235" i="48" s="1"/>
  <c r="L235" i="48" s="1"/>
  <c r="M235" i="48" s="1"/>
  <c r="N235" i="48" s="1"/>
  <c r="O235" i="48" s="1"/>
  <c r="P235" i="48" s="1"/>
  <c r="Q235" i="48" s="1"/>
  <c r="R235" i="48"/>
  <c r="B236" i="48"/>
  <c r="H236" i="48"/>
  <c r="I236" i="48"/>
  <c r="J236" i="48" s="1"/>
  <c r="K236" i="48" s="1"/>
  <c r="L236" i="48" s="1"/>
  <c r="M236" i="48" s="1"/>
  <c r="N236" i="48" s="1"/>
  <c r="O236" i="48" s="1"/>
  <c r="P236" i="48" s="1"/>
  <c r="Q236" i="48" s="1"/>
  <c r="R236" i="48"/>
  <c r="B237" i="48"/>
  <c r="H237" i="48"/>
  <c r="I237" i="48" s="1"/>
  <c r="J237" i="48" s="1"/>
  <c r="K237" i="48" s="1"/>
  <c r="L237" i="48" s="1"/>
  <c r="M237" i="48" s="1"/>
  <c r="N237" i="48" s="1"/>
  <c r="O237" i="48" s="1"/>
  <c r="P237" i="48" s="1"/>
  <c r="Q237" i="48" s="1"/>
  <c r="R237" i="48"/>
  <c r="B238" i="48"/>
  <c r="H238" i="48"/>
  <c r="I238" i="48" s="1"/>
  <c r="J238" i="48" s="1"/>
  <c r="K238" i="48" s="1"/>
  <c r="L238" i="48" s="1"/>
  <c r="M238" i="48" s="1"/>
  <c r="N238" i="48" s="1"/>
  <c r="O238" i="48" s="1"/>
  <c r="P238" i="48" s="1"/>
  <c r="Q238" i="48" s="1"/>
  <c r="R238" i="48"/>
  <c r="B239" i="48"/>
  <c r="H239" i="48"/>
  <c r="I239" i="48" s="1"/>
  <c r="J239" i="48" s="1"/>
  <c r="K239" i="48" s="1"/>
  <c r="L239" i="48" s="1"/>
  <c r="M239" i="48" s="1"/>
  <c r="N239" i="48" s="1"/>
  <c r="O239" i="48" s="1"/>
  <c r="P239" i="48" s="1"/>
  <c r="Q239" i="48" s="1"/>
  <c r="R239" i="48"/>
  <c r="B240" i="48"/>
  <c r="H240" i="48"/>
  <c r="I240" i="48" s="1"/>
  <c r="J240" i="48" s="1"/>
  <c r="K240" i="48" s="1"/>
  <c r="L240" i="48" s="1"/>
  <c r="M240" i="48" s="1"/>
  <c r="N240" i="48" s="1"/>
  <c r="O240" i="48" s="1"/>
  <c r="P240" i="48" s="1"/>
  <c r="Q240" i="48" s="1"/>
  <c r="R240" i="48"/>
  <c r="B71" i="48"/>
  <c r="H71" i="48"/>
  <c r="I71" i="48" s="1"/>
  <c r="J71" i="48" s="1"/>
  <c r="K71" i="48" s="1"/>
  <c r="L71" i="48" s="1"/>
  <c r="M71" i="48" s="1"/>
  <c r="N71" i="48" s="1"/>
  <c r="O71" i="48" s="1"/>
  <c r="P71" i="48" s="1"/>
  <c r="Q71" i="48" s="1"/>
  <c r="R71" i="48"/>
  <c r="B72" i="48"/>
  <c r="H72" i="48"/>
  <c r="I72" i="48" s="1"/>
  <c r="J72" i="48" s="1"/>
  <c r="K72" i="48" s="1"/>
  <c r="L72" i="48" s="1"/>
  <c r="M72" i="48" s="1"/>
  <c r="N72" i="48" s="1"/>
  <c r="O72" i="48" s="1"/>
  <c r="P72" i="48" s="1"/>
  <c r="Q72" i="48" s="1"/>
  <c r="R72" i="48"/>
  <c r="B73" i="48"/>
  <c r="H73" i="48"/>
  <c r="I73" i="48" s="1"/>
  <c r="J73" i="48" s="1"/>
  <c r="K73" i="48" s="1"/>
  <c r="L73" i="48" s="1"/>
  <c r="M73" i="48" s="1"/>
  <c r="N73" i="48" s="1"/>
  <c r="O73" i="48" s="1"/>
  <c r="P73" i="48" s="1"/>
  <c r="Q73" i="48" s="1"/>
  <c r="R73" i="48"/>
  <c r="B74" i="48"/>
  <c r="H74" i="48"/>
  <c r="I74" i="48" s="1"/>
  <c r="J74" i="48" s="1"/>
  <c r="K74" i="48" s="1"/>
  <c r="L74" i="48" s="1"/>
  <c r="M74" i="48" s="1"/>
  <c r="N74" i="48" s="1"/>
  <c r="O74" i="48" s="1"/>
  <c r="P74" i="48" s="1"/>
  <c r="Q74" i="48" s="1"/>
  <c r="R74" i="48"/>
  <c r="B75" i="48"/>
  <c r="H75" i="48"/>
  <c r="I75" i="48"/>
  <c r="J75" i="48" s="1"/>
  <c r="K75" i="48" s="1"/>
  <c r="L75" i="48" s="1"/>
  <c r="M75" i="48" s="1"/>
  <c r="N75" i="48" s="1"/>
  <c r="O75" i="48" s="1"/>
  <c r="P75" i="48" s="1"/>
  <c r="Q75" i="48" s="1"/>
  <c r="R75" i="48"/>
  <c r="B76" i="48"/>
  <c r="H76" i="48"/>
  <c r="I76" i="48" s="1"/>
  <c r="J76" i="48" s="1"/>
  <c r="K76" i="48" s="1"/>
  <c r="L76" i="48" s="1"/>
  <c r="M76" i="48" s="1"/>
  <c r="N76" i="48" s="1"/>
  <c r="O76" i="48" s="1"/>
  <c r="P76" i="48" s="1"/>
  <c r="Q76" i="48" s="1"/>
  <c r="R76" i="48"/>
  <c r="B77" i="48"/>
  <c r="H77" i="48"/>
  <c r="I77" i="48" s="1"/>
  <c r="J77" i="48" s="1"/>
  <c r="K77" i="48" s="1"/>
  <c r="L77" i="48" s="1"/>
  <c r="M77" i="48" s="1"/>
  <c r="N77" i="48" s="1"/>
  <c r="O77" i="48" s="1"/>
  <c r="P77" i="48" s="1"/>
  <c r="Q77" i="48" s="1"/>
  <c r="R77" i="48"/>
  <c r="B78" i="48"/>
  <c r="H78" i="48"/>
  <c r="I78" i="48" s="1"/>
  <c r="J78" i="48" s="1"/>
  <c r="K78" i="48" s="1"/>
  <c r="L78" i="48" s="1"/>
  <c r="M78" i="48" s="1"/>
  <c r="N78" i="48" s="1"/>
  <c r="O78" i="48" s="1"/>
  <c r="P78" i="48" s="1"/>
  <c r="Q78" i="48" s="1"/>
  <c r="R78" i="48"/>
  <c r="B79" i="48"/>
  <c r="H79" i="48"/>
  <c r="I79" i="48"/>
  <c r="J79" i="48" s="1"/>
  <c r="K79" i="48" s="1"/>
  <c r="L79" i="48" s="1"/>
  <c r="M79" i="48" s="1"/>
  <c r="N79" i="48" s="1"/>
  <c r="O79" i="48" s="1"/>
  <c r="P79" i="48" s="1"/>
  <c r="Q79" i="48" s="1"/>
  <c r="R79" i="48"/>
  <c r="B80" i="48"/>
  <c r="H80" i="48"/>
  <c r="I80" i="48" s="1"/>
  <c r="J80" i="48" s="1"/>
  <c r="K80" i="48" s="1"/>
  <c r="L80" i="48" s="1"/>
  <c r="M80" i="48" s="1"/>
  <c r="N80" i="48" s="1"/>
  <c r="O80" i="48" s="1"/>
  <c r="P80" i="48" s="1"/>
  <c r="Q80" i="48" s="1"/>
  <c r="R80" i="48"/>
  <c r="B81" i="48"/>
  <c r="H81" i="48"/>
  <c r="I81" i="48" s="1"/>
  <c r="J81" i="48" s="1"/>
  <c r="K81" i="48" s="1"/>
  <c r="L81" i="48" s="1"/>
  <c r="M81" i="48" s="1"/>
  <c r="N81" i="48" s="1"/>
  <c r="O81" i="48" s="1"/>
  <c r="P81" i="48" s="1"/>
  <c r="Q81" i="48" s="1"/>
  <c r="R81" i="48"/>
  <c r="B82" i="48"/>
  <c r="H82" i="48"/>
  <c r="I82" i="48" s="1"/>
  <c r="J82" i="48" s="1"/>
  <c r="K82" i="48" s="1"/>
  <c r="L82" i="48" s="1"/>
  <c r="M82" i="48" s="1"/>
  <c r="N82" i="48" s="1"/>
  <c r="O82" i="48" s="1"/>
  <c r="P82" i="48" s="1"/>
  <c r="Q82" i="48" s="1"/>
  <c r="R82" i="48"/>
  <c r="B83" i="48"/>
  <c r="H83" i="48"/>
  <c r="I83" i="48" s="1"/>
  <c r="J83" i="48" s="1"/>
  <c r="K83" i="48" s="1"/>
  <c r="L83" i="48" s="1"/>
  <c r="M83" i="48" s="1"/>
  <c r="N83" i="48" s="1"/>
  <c r="O83" i="48" s="1"/>
  <c r="P83" i="48" s="1"/>
  <c r="Q83" i="48" s="1"/>
  <c r="R83" i="48"/>
  <c r="B84" i="48"/>
  <c r="H84" i="48"/>
  <c r="I84" i="48" s="1"/>
  <c r="J84" i="48" s="1"/>
  <c r="K84" i="48" s="1"/>
  <c r="L84" i="48" s="1"/>
  <c r="M84" i="48" s="1"/>
  <c r="N84" i="48" s="1"/>
  <c r="O84" i="48" s="1"/>
  <c r="P84" i="48" s="1"/>
  <c r="Q84" i="48" s="1"/>
  <c r="R84" i="48"/>
  <c r="B51" i="48"/>
  <c r="H51" i="48"/>
  <c r="I51" i="48" s="1"/>
  <c r="J51" i="48" s="1"/>
  <c r="K51" i="48" s="1"/>
  <c r="L51" i="48" s="1"/>
  <c r="M51" i="48" s="1"/>
  <c r="N51" i="48" s="1"/>
  <c r="O51" i="48" s="1"/>
  <c r="P51" i="48" s="1"/>
  <c r="Q51" i="48" s="1"/>
  <c r="R51" i="48"/>
  <c r="B52" i="48"/>
  <c r="H52" i="48"/>
  <c r="I52" i="48" s="1"/>
  <c r="J52" i="48" s="1"/>
  <c r="K52" i="48" s="1"/>
  <c r="L52" i="48" s="1"/>
  <c r="M52" i="48" s="1"/>
  <c r="N52" i="48" s="1"/>
  <c r="O52" i="48" s="1"/>
  <c r="P52" i="48" s="1"/>
  <c r="Q52" i="48" s="1"/>
  <c r="R52" i="48"/>
  <c r="B53" i="48"/>
  <c r="H53" i="48"/>
  <c r="I53" i="48" s="1"/>
  <c r="J53" i="48" s="1"/>
  <c r="K53" i="48" s="1"/>
  <c r="L53" i="48" s="1"/>
  <c r="M53" i="48" s="1"/>
  <c r="N53" i="48" s="1"/>
  <c r="O53" i="48" s="1"/>
  <c r="P53" i="48" s="1"/>
  <c r="Q53" i="48" s="1"/>
  <c r="R53" i="48"/>
  <c r="B54" i="48"/>
  <c r="H54" i="48"/>
  <c r="I54" i="48" s="1"/>
  <c r="J54" i="48" s="1"/>
  <c r="K54" i="48" s="1"/>
  <c r="L54" i="48" s="1"/>
  <c r="M54" i="48" s="1"/>
  <c r="N54" i="48" s="1"/>
  <c r="O54" i="48" s="1"/>
  <c r="P54" i="48" s="1"/>
  <c r="Q54" i="48" s="1"/>
  <c r="R54" i="48"/>
  <c r="B55" i="48"/>
  <c r="H55" i="48"/>
  <c r="I55" i="48" s="1"/>
  <c r="J55" i="48" s="1"/>
  <c r="K55" i="48" s="1"/>
  <c r="L55" i="48" s="1"/>
  <c r="M55" i="48" s="1"/>
  <c r="N55" i="48" s="1"/>
  <c r="O55" i="48" s="1"/>
  <c r="P55" i="48" s="1"/>
  <c r="Q55" i="48" s="1"/>
  <c r="R55" i="48"/>
  <c r="B56" i="48"/>
  <c r="H56" i="48"/>
  <c r="I56" i="48" s="1"/>
  <c r="J56" i="48" s="1"/>
  <c r="K56" i="48" s="1"/>
  <c r="L56" i="48" s="1"/>
  <c r="M56" i="48" s="1"/>
  <c r="N56" i="48" s="1"/>
  <c r="O56" i="48" s="1"/>
  <c r="P56" i="48" s="1"/>
  <c r="Q56" i="48" s="1"/>
  <c r="R56" i="48"/>
  <c r="B57" i="48"/>
  <c r="H57" i="48"/>
  <c r="I57" i="48" s="1"/>
  <c r="J57" i="48" s="1"/>
  <c r="K57" i="48" s="1"/>
  <c r="L57" i="48" s="1"/>
  <c r="M57" i="48" s="1"/>
  <c r="N57" i="48" s="1"/>
  <c r="O57" i="48" s="1"/>
  <c r="P57" i="48" s="1"/>
  <c r="Q57" i="48" s="1"/>
  <c r="R57" i="48"/>
  <c r="B58" i="48"/>
  <c r="H58" i="48"/>
  <c r="I58" i="48"/>
  <c r="J58" i="48" s="1"/>
  <c r="K58" i="48" s="1"/>
  <c r="L58" i="48" s="1"/>
  <c r="M58" i="48" s="1"/>
  <c r="N58" i="48" s="1"/>
  <c r="O58" i="48" s="1"/>
  <c r="P58" i="48" s="1"/>
  <c r="Q58" i="48" s="1"/>
  <c r="R58" i="48"/>
  <c r="B59" i="48"/>
  <c r="H59" i="48"/>
  <c r="I59" i="48" s="1"/>
  <c r="J59" i="48" s="1"/>
  <c r="K59" i="48" s="1"/>
  <c r="L59" i="48" s="1"/>
  <c r="M59" i="48" s="1"/>
  <c r="N59" i="48" s="1"/>
  <c r="O59" i="48" s="1"/>
  <c r="P59" i="48" s="1"/>
  <c r="Q59" i="48" s="1"/>
  <c r="R59" i="48"/>
  <c r="B60" i="48"/>
  <c r="H60" i="48"/>
  <c r="I60" i="48"/>
  <c r="J60" i="48" s="1"/>
  <c r="K60" i="48" s="1"/>
  <c r="L60" i="48" s="1"/>
  <c r="M60" i="48" s="1"/>
  <c r="N60" i="48" s="1"/>
  <c r="O60" i="48" s="1"/>
  <c r="P60" i="48" s="1"/>
  <c r="Q60" i="48" s="1"/>
  <c r="R60" i="48"/>
  <c r="B61" i="48"/>
  <c r="H61" i="48"/>
  <c r="I61" i="48" s="1"/>
  <c r="J61" i="48" s="1"/>
  <c r="K61" i="48" s="1"/>
  <c r="L61" i="48" s="1"/>
  <c r="M61" i="48" s="1"/>
  <c r="N61" i="48" s="1"/>
  <c r="O61" i="48" s="1"/>
  <c r="P61" i="48" s="1"/>
  <c r="Q61" i="48" s="1"/>
  <c r="R61" i="48"/>
  <c r="B62" i="48"/>
  <c r="H62" i="48"/>
  <c r="I62" i="48" s="1"/>
  <c r="J62" i="48" s="1"/>
  <c r="K62" i="48" s="1"/>
  <c r="L62" i="48" s="1"/>
  <c r="M62" i="48" s="1"/>
  <c r="N62" i="48" s="1"/>
  <c r="O62" i="48" s="1"/>
  <c r="P62" i="48" s="1"/>
  <c r="Q62" i="48" s="1"/>
  <c r="R62" i="48"/>
  <c r="B63" i="48"/>
  <c r="H63" i="48"/>
  <c r="I63" i="48" s="1"/>
  <c r="J63" i="48" s="1"/>
  <c r="K63" i="48" s="1"/>
  <c r="L63" i="48" s="1"/>
  <c r="M63" i="48" s="1"/>
  <c r="N63" i="48" s="1"/>
  <c r="O63" i="48" s="1"/>
  <c r="P63" i="48" s="1"/>
  <c r="Q63" i="48" s="1"/>
  <c r="R63" i="48"/>
  <c r="B64" i="48"/>
  <c r="H64" i="48"/>
  <c r="I64" i="48" s="1"/>
  <c r="J64" i="48" s="1"/>
  <c r="K64" i="48" s="1"/>
  <c r="L64" i="48" s="1"/>
  <c r="M64" i="48" s="1"/>
  <c r="N64" i="48" s="1"/>
  <c r="O64" i="48" s="1"/>
  <c r="P64" i="48" s="1"/>
  <c r="Q64" i="48" s="1"/>
  <c r="R64" i="48"/>
  <c r="B65" i="48"/>
  <c r="H65" i="48"/>
  <c r="I65" i="48" s="1"/>
  <c r="J65" i="48" s="1"/>
  <c r="K65" i="48" s="1"/>
  <c r="L65" i="48" s="1"/>
  <c r="M65" i="48" s="1"/>
  <c r="N65" i="48" s="1"/>
  <c r="O65" i="48" s="1"/>
  <c r="P65" i="48" s="1"/>
  <c r="Q65" i="48" s="1"/>
  <c r="R65" i="48"/>
  <c r="B66" i="48"/>
  <c r="H66" i="48"/>
  <c r="I66" i="48" s="1"/>
  <c r="J66" i="48" s="1"/>
  <c r="K66" i="48" s="1"/>
  <c r="L66" i="48" s="1"/>
  <c r="M66" i="48" s="1"/>
  <c r="N66" i="48" s="1"/>
  <c r="O66" i="48" s="1"/>
  <c r="P66" i="48" s="1"/>
  <c r="Q66" i="48" s="1"/>
  <c r="R66" i="48"/>
  <c r="B67" i="48"/>
  <c r="H67" i="48"/>
  <c r="I67" i="48"/>
  <c r="J67" i="48"/>
  <c r="K67" i="48" s="1"/>
  <c r="L67" i="48" s="1"/>
  <c r="M67" i="48" s="1"/>
  <c r="N67" i="48" s="1"/>
  <c r="O67" i="48" s="1"/>
  <c r="P67" i="48" s="1"/>
  <c r="Q67" i="48" s="1"/>
  <c r="R67" i="48"/>
  <c r="B68" i="48"/>
  <c r="H68" i="48"/>
  <c r="I68" i="48"/>
  <c r="J68" i="48" s="1"/>
  <c r="K68" i="48" s="1"/>
  <c r="L68" i="48" s="1"/>
  <c r="M68" i="48" s="1"/>
  <c r="N68" i="48" s="1"/>
  <c r="O68" i="48" s="1"/>
  <c r="P68" i="48" s="1"/>
  <c r="Q68" i="48" s="1"/>
  <c r="R68" i="48"/>
  <c r="B69" i="48"/>
  <c r="H69" i="48"/>
  <c r="I69" i="48" s="1"/>
  <c r="J69" i="48" s="1"/>
  <c r="K69" i="48" s="1"/>
  <c r="L69" i="48" s="1"/>
  <c r="M69" i="48" s="1"/>
  <c r="N69" i="48" s="1"/>
  <c r="O69" i="48" s="1"/>
  <c r="P69" i="48" s="1"/>
  <c r="Q69" i="48" s="1"/>
  <c r="R69" i="48"/>
  <c r="B70" i="48"/>
  <c r="H70" i="48"/>
  <c r="I70" i="48" s="1"/>
  <c r="J70" i="48" s="1"/>
  <c r="K70" i="48" s="1"/>
  <c r="L70" i="48" s="1"/>
  <c r="M70" i="48" s="1"/>
  <c r="N70" i="48" s="1"/>
  <c r="O70" i="48" s="1"/>
  <c r="P70" i="48" s="1"/>
  <c r="Q70" i="48" s="1"/>
  <c r="R70" i="48"/>
  <c r="B43" i="48"/>
  <c r="H43" i="48"/>
  <c r="I43" i="48" s="1"/>
  <c r="J43" i="48" s="1"/>
  <c r="K43" i="48" s="1"/>
  <c r="L43" i="48" s="1"/>
  <c r="M43" i="48" s="1"/>
  <c r="N43" i="48" s="1"/>
  <c r="O43" i="48" s="1"/>
  <c r="P43" i="48" s="1"/>
  <c r="Q43" i="48" s="1"/>
  <c r="R43" i="48"/>
  <c r="B44" i="48"/>
  <c r="H44" i="48"/>
  <c r="I44" i="48" s="1"/>
  <c r="J44" i="48" s="1"/>
  <c r="K44" i="48" s="1"/>
  <c r="L44" i="48" s="1"/>
  <c r="M44" i="48" s="1"/>
  <c r="N44" i="48" s="1"/>
  <c r="O44" i="48" s="1"/>
  <c r="P44" i="48" s="1"/>
  <c r="Q44" i="48" s="1"/>
  <c r="R44" i="48"/>
  <c r="B45" i="48"/>
  <c r="H45" i="48"/>
  <c r="I45" i="48" s="1"/>
  <c r="J45" i="48" s="1"/>
  <c r="K45" i="48" s="1"/>
  <c r="L45" i="48" s="1"/>
  <c r="M45" i="48" s="1"/>
  <c r="N45" i="48" s="1"/>
  <c r="O45" i="48" s="1"/>
  <c r="P45" i="48" s="1"/>
  <c r="Q45" i="48" s="1"/>
  <c r="R45" i="48"/>
  <c r="B46" i="48"/>
  <c r="H46" i="48"/>
  <c r="I46" i="48" s="1"/>
  <c r="J46" i="48" s="1"/>
  <c r="K46" i="48" s="1"/>
  <c r="L46" i="48" s="1"/>
  <c r="M46" i="48" s="1"/>
  <c r="N46" i="48" s="1"/>
  <c r="O46" i="48" s="1"/>
  <c r="P46" i="48" s="1"/>
  <c r="Q46" i="48" s="1"/>
  <c r="R46" i="48"/>
  <c r="B47" i="48"/>
  <c r="H47" i="48"/>
  <c r="I47" i="48" s="1"/>
  <c r="J47" i="48" s="1"/>
  <c r="K47" i="48" s="1"/>
  <c r="L47" i="48" s="1"/>
  <c r="M47" i="48" s="1"/>
  <c r="N47" i="48" s="1"/>
  <c r="O47" i="48" s="1"/>
  <c r="P47" i="48" s="1"/>
  <c r="Q47" i="48" s="1"/>
  <c r="R47" i="48"/>
  <c r="B48" i="48"/>
  <c r="H48" i="48"/>
  <c r="I48" i="48" s="1"/>
  <c r="J48" i="48" s="1"/>
  <c r="K48" i="48" s="1"/>
  <c r="L48" i="48" s="1"/>
  <c r="M48" i="48" s="1"/>
  <c r="N48" i="48" s="1"/>
  <c r="O48" i="48" s="1"/>
  <c r="P48" i="48" s="1"/>
  <c r="Q48" i="48" s="1"/>
  <c r="R48" i="48"/>
  <c r="B49" i="48"/>
  <c r="H49" i="48"/>
  <c r="I49" i="48" s="1"/>
  <c r="J49" i="48" s="1"/>
  <c r="K49" i="48" s="1"/>
  <c r="L49" i="48" s="1"/>
  <c r="M49" i="48" s="1"/>
  <c r="N49" i="48" s="1"/>
  <c r="O49" i="48" s="1"/>
  <c r="P49" i="48" s="1"/>
  <c r="Q49" i="48" s="1"/>
  <c r="R49" i="48"/>
  <c r="B50" i="48"/>
  <c r="H50" i="48"/>
  <c r="I50" i="48"/>
  <c r="J50" i="48" s="1"/>
  <c r="K50" i="48" s="1"/>
  <c r="L50" i="48" s="1"/>
  <c r="M50" i="48" s="1"/>
  <c r="N50" i="48" s="1"/>
  <c r="O50" i="48" s="1"/>
  <c r="P50" i="48" s="1"/>
  <c r="Q50" i="48" s="1"/>
  <c r="R50" i="48"/>
  <c r="B28" i="48"/>
  <c r="H28" i="48"/>
  <c r="I28" i="48" s="1"/>
  <c r="J28" i="48" s="1"/>
  <c r="K28" i="48" s="1"/>
  <c r="L28" i="48" s="1"/>
  <c r="M28" i="48" s="1"/>
  <c r="N28" i="48" s="1"/>
  <c r="O28" i="48" s="1"/>
  <c r="P28" i="48" s="1"/>
  <c r="Q28" i="48" s="1"/>
  <c r="R28" i="48"/>
  <c r="B29" i="48"/>
  <c r="H29" i="48"/>
  <c r="I29" i="48"/>
  <c r="J29" i="48"/>
  <c r="K29" i="48" s="1"/>
  <c r="L29" i="48" s="1"/>
  <c r="M29" i="48" s="1"/>
  <c r="N29" i="48" s="1"/>
  <c r="O29" i="48" s="1"/>
  <c r="P29" i="48" s="1"/>
  <c r="Q29" i="48" s="1"/>
  <c r="R29" i="48"/>
  <c r="B30" i="48"/>
  <c r="H30" i="48"/>
  <c r="I30" i="48"/>
  <c r="J30" i="48" s="1"/>
  <c r="K30" i="48" s="1"/>
  <c r="L30" i="48" s="1"/>
  <c r="M30" i="48" s="1"/>
  <c r="N30" i="48" s="1"/>
  <c r="O30" i="48" s="1"/>
  <c r="P30" i="48" s="1"/>
  <c r="Q30" i="48" s="1"/>
  <c r="R30" i="48"/>
  <c r="B31" i="48"/>
  <c r="H31" i="48"/>
  <c r="I31" i="48" s="1"/>
  <c r="J31" i="48" s="1"/>
  <c r="K31" i="48" s="1"/>
  <c r="L31" i="48" s="1"/>
  <c r="M31" i="48" s="1"/>
  <c r="N31" i="48" s="1"/>
  <c r="O31" i="48" s="1"/>
  <c r="P31" i="48" s="1"/>
  <c r="Q31" i="48" s="1"/>
  <c r="R31" i="48"/>
  <c r="B32" i="48"/>
  <c r="H32" i="48"/>
  <c r="I32" i="48" s="1"/>
  <c r="J32" i="48" s="1"/>
  <c r="K32" i="48" s="1"/>
  <c r="L32" i="48" s="1"/>
  <c r="M32" i="48" s="1"/>
  <c r="N32" i="48" s="1"/>
  <c r="O32" i="48" s="1"/>
  <c r="P32" i="48" s="1"/>
  <c r="Q32" i="48" s="1"/>
  <c r="R32" i="48"/>
  <c r="B33" i="48"/>
  <c r="H33" i="48"/>
  <c r="I33" i="48" s="1"/>
  <c r="J33" i="48" s="1"/>
  <c r="K33" i="48" s="1"/>
  <c r="L33" i="48" s="1"/>
  <c r="M33" i="48" s="1"/>
  <c r="N33" i="48" s="1"/>
  <c r="O33" i="48" s="1"/>
  <c r="P33" i="48" s="1"/>
  <c r="Q33" i="48" s="1"/>
  <c r="R33" i="48"/>
  <c r="B34" i="48"/>
  <c r="H34" i="48"/>
  <c r="I34" i="48" s="1"/>
  <c r="J34" i="48" s="1"/>
  <c r="K34" i="48" s="1"/>
  <c r="L34" i="48" s="1"/>
  <c r="M34" i="48" s="1"/>
  <c r="N34" i="48" s="1"/>
  <c r="O34" i="48" s="1"/>
  <c r="P34" i="48" s="1"/>
  <c r="Q34" i="48" s="1"/>
  <c r="R34" i="48"/>
  <c r="B35" i="48"/>
  <c r="H35" i="48"/>
  <c r="I35" i="48" s="1"/>
  <c r="J35" i="48" s="1"/>
  <c r="K35" i="48" s="1"/>
  <c r="L35" i="48" s="1"/>
  <c r="M35" i="48" s="1"/>
  <c r="N35" i="48" s="1"/>
  <c r="O35" i="48" s="1"/>
  <c r="P35" i="48" s="1"/>
  <c r="Q35" i="48" s="1"/>
  <c r="R35" i="48"/>
  <c r="B36" i="48"/>
  <c r="H36" i="48"/>
  <c r="I36" i="48" s="1"/>
  <c r="J36" i="48" s="1"/>
  <c r="K36" i="48" s="1"/>
  <c r="L36" i="48" s="1"/>
  <c r="M36" i="48" s="1"/>
  <c r="N36" i="48" s="1"/>
  <c r="O36" i="48" s="1"/>
  <c r="P36" i="48" s="1"/>
  <c r="Q36" i="48" s="1"/>
  <c r="R36" i="48"/>
  <c r="B37" i="48"/>
  <c r="H37" i="48"/>
  <c r="I37" i="48" s="1"/>
  <c r="J37" i="48" s="1"/>
  <c r="K37" i="48" s="1"/>
  <c r="L37" i="48" s="1"/>
  <c r="M37" i="48" s="1"/>
  <c r="N37" i="48" s="1"/>
  <c r="O37" i="48" s="1"/>
  <c r="P37" i="48" s="1"/>
  <c r="Q37" i="48" s="1"/>
  <c r="R37" i="48"/>
  <c r="B38" i="48"/>
  <c r="H38" i="48"/>
  <c r="I38" i="48" s="1"/>
  <c r="J38" i="48" s="1"/>
  <c r="K38" i="48" s="1"/>
  <c r="L38" i="48" s="1"/>
  <c r="M38" i="48" s="1"/>
  <c r="N38" i="48" s="1"/>
  <c r="O38" i="48" s="1"/>
  <c r="P38" i="48" s="1"/>
  <c r="Q38" i="48" s="1"/>
  <c r="R38" i="48"/>
  <c r="B39" i="48"/>
  <c r="H39" i="48"/>
  <c r="I39" i="48" s="1"/>
  <c r="J39" i="48" s="1"/>
  <c r="K39" i="48" s="1"/>
  <c r="L39" i="48" s="1"/>
  <c r="M39" i="48" s="1"/>
  <c r="N39" i="48" s="1"/>
  <c r="O39" i="48" s="1"/>
  <c r="P39" i="48" s="1"/>
  <c r="Q39" i="48" s="1"/>
  <c r="R39" i="48"/>
  <c r="B40" i="48"/>
  <c r="H40" i="48"/>
  <c r="I40" i="48" s="1"/>
  <c r="J40" i="48" s="1"/>
  <c r="K40" i="48" s="1"/>
  <c r="L40" i="48" s="1"/>
  <c r="M40" i="48" s="1"/>
  <c r="N40" i="48" s="1"/>
  <c r="O40" i="48" s="1"/>
  <c r="P40" i="48" s="1"/>
  <c r="Q40" i="48" s="1"/>
  <c r="R40" i="48"/>
  <c r="B41" i="48"/>
  <c r="H41" i="48"/>
  <c r="I41" i="48" s="1"/>
  <c r="J41" i="48" s="1"/>
  <c r="K41" i="48" s="1"/>
  <c r="L41" i="48" s="1"/>
  <c r="M41" i="48" s="1"/>
  <c r="N41" i="48" s="1"/>
  <c r="O41" i="48" s="1"/>
  <c r="P41" i="48" s="1"/>
  <c r="Q41" i="48" s="1"/>
  <c r="R41" i="48"/>
  <c r="B42" i="48"/>
  <c r="H42" i="48"/>
  <c r="I42" i="48" s="1"/>
  <c r="J42" i="48" s="1"/>
  <c r="K42" i="48" s="1"/>
  <c r="L42" i="48" s="1"/>
  <c r="M42" i="48" s="1"/>
  <c r="N42" i="48" s="1"/>
  <c r="O42" i="48" s="1"/>
  <c r="P42" i="48" s="1"/>
  <c r="Q42" i="48" s="1"/>
  <c r="R42" i="48"/>
  <c r="B18" i="48"/>
  <c r="H18" i="48"/>
  <c r="I18" i="48" s="1"/>
  <c r="J18" i="48" s="1"/>
  <c r="K18" i="48" s="1"/>
  <c r="L18" i="48" s="1"/>
  <c r="M18" i="48" s="1"/>
  <c r="N18" i="48" s="1"/>
  <c r="O18" i="48" s="1"/>
  <c r="P18" i="48" s="1"/>
  <c r="Q18" i="48" s="1"/>
  <c r="R18" i="48"/>
  <c r="B19" i="48"/>
  <c r="H19" i="48"/>
  <c r="I19" i="48"/>
  <c r="J19" i="48" s="1"/>
  <c r="K19" i="48" s="1"/>
  <c r="L19" i="48" s="1"/>
  <c r="M19" i="48" s="1"/>
  <c r="N19" i="48" s="1"/>
  <c r="O19" i="48" s="1"/>
  <c r="P19" i="48" s="1"/>
  <c r="Q19" i="48" s="1"/>
  <c r="R19" i="48"/>
  <c r="B20" i="48"/>
  <c r="H20" i="48"/>
  <c r="I20" i="48" s="1"/>
  <c r="J20" i="48" s="1"/>
  <c r="K20" i="48" s="1"/>
  <c r="L20" i="48" s="1"/>
  <c r="M20" i="48" s="1"/>
  <c r="N20" i="48" s="1"/>
  <c r="O20" i="48" s="1"/>
  <c r="P20" i="48" s="1"/>
  <c r="Q20" i="48" s="1"/>
  <c r="R20" i="48"/>
  <c r="B21" i="48"/>
  <c r="H21" i="48"/>
  <c r="I21" i="48" s="1"/>
  <c r="J21" i="48" s="1"/>
  <c r="K21" i="48" s="1"/>
  <c r="L21" i="48" s="1"/>
  <c r="M21" i="48" s="1"/>
  <c r="N21" i="48" s="1"/>
  <c r="O21" i="48" s="1"/>
  <c r="P21" i="48" s="1"/>
  <c r="Q21" i="48" s="1"/>
  <c r="R21" i="48"/>
  <c r="B22" i="48"/>
  <c r="H22" i="48"/>
  <c r="I22" i="48" s="1"/>
  <c r="J22" i="48" s="1"/>
  <c r="K22" i="48" s="1"/>
  <c r="L22" i="48" s="1"/>
  <c r="M22" i="48" s="1"/>
  <c r="N22" i="48" s="1"/>
  <c r="O22" i="48" s="1"/>
  <c r="P22" i="48" s="1"/>
  <c r="Q22" i="48" s="1"/>
  <c r="R22" i="48"/>
  <c r="B23" i="48"/>
  <c r="H23" i="48"/>
  <c r="I23" i="48"/>
  <c r="J23" i="48" s="1"/>
  <c r="K23" i="48" s="1"/>
  <c r="L23" i="48" s="1"/>
  <c r="M23" i="48" s="1"/>
  <c r="N23" i="48" s="1"/>
  <c r="O23" i="48" s="1"/>
  <c r="P23" i="48" s="1"/>
  <c r="Q23" i="48" s="1"/>
  <c r="R23" i="48"/>
  <c r="B24" i="48"/>
  <c r="H24" i="48"/>
  <c r="I24" i="48"/>
  <c r="J24" i="48" s="1"/>
  <c r="K24" i="48" s="1"/>
  <c r="L24" i="48" s="1"/>
  <c r="M24" i="48" s="1"/>
  <c r="N24" i="48" s="1"/>
  <c r="O24" i="48" s="1"/>
  <c r="P24" i="48" s="1"/>
  <c r="Q24" i="48" s="1"/>
  <c r="R24" i="48"/>
  <c r="B25" i="48"/>
  <c r="H25" i="48"/>
  <c r="I25" i="48" s="1"/>
  <c r="J25" i="48" s="1"/>
  <c r="K25" i="48" s="1"/>
  <c r="L25" i="48" s="1"/>
  <c r="M25" i="48" s="1"/>
  <c r="N25" i="48" s="1"/>
  <c r="O25" i="48" s="1"/>
  <c r="P25" i="48" s="1"/>
  <c r="Q25" i="48" s="1"/>
  <c r="R25" i="48"/>
  <c r="B26" i="48"/>
  <c r="H26" i="48"/>
  <c r="I26" i="48"/>
  <c r="J26" i="48" s="1"/>
  <c r="K26" i="48" s="1"/>
  <c r="L26" i="48" s="1"/>
  <c r="M26" i="48" s="1"/>
  <c r="N26" i="48" s="1"/>
  <c r="O26" i="48" s="1"/>
  <c r="P26" i="48" s="1"/>
  <c r="Q26" i="48" s="1"/>
  <c r="R26" i="48"/>
  <c r="B27" i="48"/>
  <c r="H27" i="48"/>
  <c r="I27" i="48" s="1"/>
  <c r="J27" i="48" s="1"/>
  <c r="K27" i="48" s="1"/>
  <c r="L27" i="48" s="1"/>
  <c r="M27" i="48" s="1"/>
  <c r="N27" i="48" s="1"/>
  <c r="O27" i="48" s="1"/>
  <c r="P27" i="48" s="1"/>
  <c r="Q27" i="48" s="1"/>
  <c r="R27" i="48"/>
  <c r="R8" i="48"/>
  <c r="R9" i="48"/>
  <c r="R10" i="48"/>
  <c r="R11" i="48"/>
  <c r="R12" i="48"/>
  <c r="R13" i="48"/>
  <c r="R14" i="48"/>
  <c r="R15" i="48"/>
  <c r="R16" i="48"/>
  <c r="R17" i="48"/>
  <c r="R7" i="48"/>
  <c r="B8" i="48"/>
  <c r="H8" i="48"/>
  <c r="I8" i="48" s="1"/>
  <c r="J8" i="48" s="1"/>
  <c r="K8" i="48" s="1"/>
  <c r="L8" i="48" s="1"/>
  <c r="M8" i="48" s="1"/>
  <c r="N8" i="48" s="1"/>
  <c r="O8" i="48" s="1"/>
  <c r="P8" i="48" s="1"/>
  <c r="Q8" i="48" s="1"/>
  <c r="B9" i="48"/>
  <c r="H9" i="48"/>
  <c r="I9" i="48" s="1"/>
  <c r="J9" i="48" s="1"/>
  <c r="K9" i="48" s="1"/>
  <c r="L9" i="48" s="1"/>
  <c r="M9" i="48" s="1"/>
  <c r="N9" i="48" s="1"/>
  <c r="O9" i="48" s="1"/>
  <c r="P9" i="48" s="1"/>
  <c r="Q9" i="48" s="1"/>
  <c r="B10" i="48"/>
  <c r="H10" i="48"/>
  <c r="I10" i="48" s="1"/>
  <c r="J10" i="48" s="1"/>
  <c r="K10" i="48" s="1"/>
  <c r="L10" i="48" s="1"/>
  <c r="M10" i="48" s="1"/>
  <c r="N10" i="48" s="1"/>
  <c r="O10" i="48" s="1"/>
  <c r="P10" i="48" s="1"/>
  <c r="Q10" i="48" s="1"/>
  <c r="B11" i="48"/>
  <c r="H11" i="48"/>
  <c r="I11" i="48" s="1"/>
  <c r="J11" i="48" s="1"/>
  <c r="K11" i="48" s="1"/>
  <c r="L11" i="48" s="1"/>
  <c r="M11" i="48" s="1"/>
  <c r="N11" i="48" s="1"/>
  <c r="O11" i="48" s="1"/>
  <c r="P11" i="48" s="1"/>
  <c r="Q11" i="48" s="1"/>
  <c r="B12" i="48"/>
  <c r="H12" i="48"/>
  <c r="I12" i="48" s="1"/>
  <c r="J12" i="48" s="1"/>
  <c r="K12" i="48" s="1"/>
  <c r="L12" i="48" s="1"/>
  <c r="M12" i="48" s="1"/>
  <c r="N12" i="48" s="1"/>
  <c r="O12" i="48" s="1"/>
  <c r="P12" i="48" s="1"/>
  <c r="Q12" i="48" s="1"/>
  <c r="B13" i="48"/>
  <c r="H13" i="48"/>
  <c r="I13" i="48"/>
  <c r="J13" i="48" s="1"/>
  <c r="K13" i="48" s="1"/>
  <c r="L13" i="48" s="1"/>
  <c r="M13" i="48" s="1"/>
  <c r="N13" i="48" s="1"/>
  <c r="O13" i="48" s="1"/>
  <c r="P13" i="48" s="1"/>
  <c r="Q13" i="48" s="1"/>
  <c r="B14" i="48"/>
  <c r="H14" i="48"/>
  <c r="I14" i="48" s="1"/>
  <c r="J14" i="48" s="1"/>
  <c r="K14" i="48" s="1"/>
  <c r="L14" i="48" s="1"/>
  <c r="M14" i="48" s="1"/>
  <c r="N14" i="48" s="1"/>
  <c r="O14" i="48" s="1"/>
  <c r="P14" i="48" s="1"/>
  <c r="Q14" i="48" s="1"/>
  <c r="B15" i="48"/>
  <c r="H15" i="48"/>
  <c r="I15" i="48"/>
  <c r="J15" i="48" s="1"/>
  <c r="K15" i="48" s="1"/>
  <c r="L15" i="48" s="1"/>
  <c r="M15" i="48" s="1"/>
  <c r="N15" i="48" s="1"/>
  <c r="O15" i="48" s="1"/>
  <c r="P15" i="48" s="1"/>
  <c r="Q15" i="48" s="1"/>
  <c r="B16" i="48"/>
  <c r="H16" i="48"/>
  <c r="I16" i="48" s="1"/>
  <c r="J16" i="48" s="1"/>
  <c r="K16" i="48" s="1"/>
  <c r="L16" i="48" s="1"/>
  <c r="M16" i="48" s="1"/>
  <c r="N16" i="48" s="1"/>
  <c r="O16" i="48" s="1"/>
  <c r="P16" i="48" s="1"/>
  <c r="Q16" i="48" s="1"/>
  <c r="B17" i="48"/>
  <c r="H17" i="48"/>
  <c r="I17" i="48" s="1"/>
  <c r="J17" i="48" s="1"/>
  <c r="K17" i="48" s="1"/>
  <c r="L17" i="48" s="1"/>
  <c r="M17" i="48" s="1"/>
  <c r="N17" i="48" s="1"/>
  <c r="O17" i="48" s="1"/>
  <c r="P17" i="48" s="1"/>
  <c r="Q17" i="48" s="1"/>
  <c r="H7" i="48"/>
  <c r="I7" i="48" s="1"/>
  <c r="J7" i="48" s="1"/>
  <c r="K7" i="48" s="1"/>
  <c r="L7" i="48" s="1"/>
  <c r="M7" i="48" s="1"/>
  <c r="N7" i="48" s="1"/>
  <c r="O7" i="48" s="1"/>
  <c r="P7" i="48" s="1"/>
  <c r="Q7" i="48" s="1"/>
  <c r="B7" i="48"/>
  <c r="D291" i="43" l="1"/>
  <c r="E291" i="43"/>
  <c r="D292" i="43"/>
  <c r="E292" i="43"/>
  <c r="D293" i="43"/>
  <c r="E293" i="43"/>
  <c r="D294" i="43"/>
  <c r="E294" i="43"/>
  <c r="D295" i="43"/>
  <c r="E295" i="43"/>
  <c r="D296" i="43"/>
  <c r="E296" i="43"/>
  <c r="D297" i="43"/>
  <c r="E297" i="43"/>
  <c r="D298" i="43"/>
  <c r="E298" i="43"/>
  <c r="D299" i="43"/>
  <c r="E299" i="43"/>
  <c r="D300" i="43"/>
  <c r="E300" i="43"/>
  <c r="D301" i="43"/>
  <c r="E301" i="43"/>
  <c r="D302" i="43"/>
  <c r="E302" i="43"/>
  <c r="D303" i="43"/>
  <c r="E303" i="43"/>
  <c r="D304" i="43"/>
  <c r="E304" i="43"/>
  <c r="D305" i="43"/>
  <c r="E305" i="43"/>
  <c r="D306" i="43"/>
  <c r="E306" i="43"/>
  <c r="D307" i="43"/>
  <c r="E307" i="43"/>
  <c r="D308" i="43"/>
  <c r="E308" i="43"/>
  <c r="D309" i="43"/>
  <c r="E309" i="43"/>
  <c r="D310" i="43"/>
  <c r="E310" i="43"/>
  <c r="D311" i="43"/>
  <c r="E311" i="43"/>
  <c r="D312" i="43"/>
  <c r="E312" i="43"/>
  <c r="D313" i="43"/>
  <c r="E313" i="43"/>
  <c r="D314" i="43"/>
  <c r="E314" i="43"/>
  <c r="D315" i="43"/>
  <c r="E315" i="43"/>
  <c r="D316" i="43"/>
  <c r="E316" i="43"/>
  <c r="D317" i="43"/>
  <c r="E317" i="43"/>
  <c r="D318" i="43"/>
  <c r="E318" i="43"/>
  <c r="D319" i="43"/>
  <c r="E319" i="43"/>
  <c r="D320" i="43"/>
  <c r="E320" i="43"/>
  <c r="D321" i="43"/>
  <c r="E321" i="43"/>
  <c r="D322" i="43"/>
  <c r="E322" i="43"/>
  <c r="D323" i="43"/>
  <c r="E323" i="43"/>
  <c r="D324" i="43"/>
  <c r="E324" i="43"/>
  <c r="D325" i="43"/>
  <c r="E325" i="43"/>
  <c r="D326" i="43"/>
  <c r="E326" i="43"/>
  <c r="D327" i="43"/>
  <c r="E327" i="43"/>
  <c r="D328" i="43"/>
  <c r="E328" i="43"/>
  <c r="D329" i="43"/>
  <c r="E329" i="43"/>
  <c r="D330" i="43"/>
  <c r="E330" i="43"/>
  <c r="E290" i="43"/>
  <c r="D290" i="43"/>
  <c r="D284" i="43" l="1"/>
  <c r="D283" i="43"/>
  <c r="D282" i="43"/>
  <c r="D281" i="43"/>
  <c r="D280" i="43"/>
  <c r="D279" i="43"/>
  <c r="D277" i="43"/>
  <c r="D276" i="43"/>
  <c r="D275" i="43"/>
  <c r="D274" i="43"/>
  <c r="D273" i="43"/>
  <c r="D272" i="43"/>
  <c r="D270" i="43"/>
  <c r="D269" i="43"/>
  <c r="D268" i="43"/>
  <c r="D267" i="43"/>
  <c r="D266" i="43"/>
  <c r="D265" i="43"/>
  <c r="D263" i="43"/>
  <c r="D262" i="43"/>
  <c r="D261" i="43"/>
  <c r="D260" i="43"/>
  <c r="D259" i="43"/>
  <c r="D258" i="43"/>
  <c r="D256" i="43"/>
  <c r="D255" i="43"/>
  <c r="D254" i="43"/>
  <c r="D253" i="43"/>
  <c r="D252" i="43"/>
  <c r="D251" i="43"/>
  <c r="D249" i="43"/>
  <c r="D248" i="43"/>
  <c r="D247" i="43"/>
  <c r="D246" i="43"/>
  <c r="D245" i="43"/>
  <c r="D244" i="43"/>
  <c r="D242" i="43"/>
  <c r="D241" i="43"/>
  <c r="D240" i="43"/>
  <c r="D239" i="43"/>
  <c r="D238" i="43"/>
  <c r="D237" i="43"/>
  <c r="D235" i="43"/>
  <c r="D234" i="43"/>
  <c r="D233" i="43"/>
  <c r="D232" i="43"/>
  <c r="D231" i="43"/>
  <c r="D230" i="43"/>
  <c r="D228" i="43"/>
  <c r="D227" i="43"/>
  <c r="D226" i="43"/>
  <c r="D225" i="43"/>
  <c r="D224" i="43"/>
  <c r="D223" i="43"/>
  <c r="D221" i="43"/>
  <c r="D220" i="43"/>
  <c r="D219" i="43"/>
  <c r="D218" i="43"/>
  <c r="D217" i="43"/>
  <c r="D216" i="43"/>
  <c r="D214" i="43"/>
  <c r="D213" i="43"/>
  <c r="D212" i="43"/>
  <c r="D211" i="43"/>
  <c r="D210" i="43"/>
  <c r="D209" i="43"/>
  <c r="D207" i="43"/>
  <c r="D206" i="43"/>
  <c r="D205" i="43"/>
  <c r="D204" i="43"/>
  <c r="D203" i="43"/>
  <c r="D202" i="43"/>
  <c r="D200" i="43"/>
  <c r="D199" i="43"/>
  <c r="D198" i="43"/>
  <c r="D197" i="43"/>
  <c r="D196" i="43"/>
  <c r="D195" i="43"/>
  <c r="D193" i="43"/>
  <c r="D192" i="43"/>
  <c r="D191" i="43"/>
  <c r="D190" i="43"/>
  <c r="D189" i="43"/>
  <c r="D188" i="43"/>
  <c r="D186" i="43"/>
  <c r="D185" i="43"/>
  <c r="D184" i="43"/>
  <c r="D183" i="43"/>
  <c r="D182" i="43"/>
  <c r="D181" i="43"/>
  <c r="D179" i="43"/>
  <c r="D178" i="43"/>
  <c r="D177" i="43"/>
  <c r="D176" i="43"/>
  <c r="D175" i="43"/>
  <c r="D174" i="43"/>
  <c r="D172" i="43"/>
  <c r="D171" i="43"/>
  <c r="D170" i="43"/>
  <c r="D169" i="43"/>
  <c r="D168" i="43"/>
  <c r="D167" i="43"/>
  <c r="D165" i="43"/>
  <c r="D164" i="43"/>
  <c r="D163" i="43"/>
  <c r="D162" i="43"/>
  <c r="D161" i="43"/>
  <c r="D160" i="43"/>
  <c r="D158" i="43"/>
  <c r="D157" i="43"/>
  <c r="D156" i="43"/>
  <c r="D155" i="43"/>
  <c r="D154" i="43"/>
  <c r="D153" i="43"/>
  <c r="D151" i="43"/>
  <c r="D150" i="43"/>
  <c r="D149" i="43"/>
  <c r="D148" i="43"/>
  <c r="D147" i="43"/>
  <c r="D146" i="43"/>
  <c r="D144" i="43"/>
  <c r="D143" i="43"/>
  <c r="D142" i="43"/>
  <c r="D141" i="43"/>
  <c r="D140" i="43"/>
  <c r="D139" i="43"/>
  <c r="D137" i="43"/>
  <c r="D136" i="43"/>
  <c r="D135" i="43"/>
  <c r="D134" i="43"/>
  <c r="D133" i="43"/>
  <c r="D132" i="43"/>
  <c r="D130" i="43"/>
  <c r="D129" i="43"/>
  <c r="D128" i="43"/>
  <c r="D127" i="43"/>
  <c r="D126" i="43"/>
  <c r="D125" i="43"/>
  <c r="D123" i="43"/>
  <c r="D122" i="43"/>
  <c r="D121" i="43"/>
  <c r="D120" i="43"/>
  <c r="D119" i="43"/>
  <c r="D118" i="43"/>
  <c r="D116" i="43"/>
  <c r="D115" i="43"/>
  <c r="D114" i="43"/>
  <c r="D113" i="43"/>
  <c r="D112" i="43"/>
  <c r="D111" i="43"/>
  <c r="D109" i="43"/>
  <c r="D108" i="43"/>
  <c r="D107" i="43"/>
  <c r="D106" i="43"/>
  <c r="D105" i="43"/>
  <c r="D104" i="43"/>
  <c r="D102" i="43"/>
  <c r="D101" i="43"/>
  <c r="D100" i="43"/>
  <c r="D99" i="43"/>
  <c r="D98" i="43"/>
  <c r="D97" i="43"/>
  <c r="D95" i="43"/>
  <c r="D94" i="43"/>
  <c r="D93" i="43"/>
  <c r="D92" i="43"/>
  <c r="D91" i="43"/>
  <c r="D90" i="43"/>
  <c r="D88" i="43"/>
  <c r="D87" i="43"/>
  <c r="D86" i="43"/>
  <c r="D85" i="43"/>
  <c r="D84" i="43"/>
  <c r="D83" i="43"/>
  <c r="D81" i="43"/>
  <c r="D80" i="43"/>
  <c r="D79" i="43"/>
  <c r="D78" i="43"/>
  <c r="D77" i="43"/>
  <c r="D76" i="43"/>
  <c r="D74" i="43"/>
  <c r="D73" i="43"/>
  <c r="D72" i="43"/>
  <c r="D71" i="43"/>
  <c r="D70" i="43"/>
  <c r="D69" i="43"/>
  <c r="D67" i="43"/>
  <c r="D66" i="43"/>
  <c r="D65" i="43"/>
  <c r="D64" i="43"/>
  <c r="D63" i="43"/>
  <c r="D62" i="43"/>
  <c r="D60" i="43"/>
  <c r="D59" i="43"/>
  <c r="D58" i="43"/>
  <c r="D57" i="43"/>
  <c r="D56" i="43"/>
  <c r="D55" i="43"/>
  <c r="D53" i="43"/>
  <c r="D52" i="43"/>
  <c r="D51" i="43"/>
  <c r="D50" i="43"/>
  <c r="D49" i="43"/>
  <c r="D48" i="43"/>
  <c r="D46" i="43"/>
  <c r="D45" i="43"/>
  <c r="D44" i="43"/>
  <c r="D43" i="43"/>
  <c r="D42" i="43"/>
  <c r="D41" i="43"/>
  <c r="D39" i="43"/>
  <c r="D38" i="43"/>
  <c r="D37" i="43"/>
  <c r="D36" i="43"/>
  <c r="D35" i="43"/>
  <c r="D34" i="43"/>
  <c r="D32" i="43"/>
  <c r="D31" i="43"/>
  <c r="D30" i="43"/>
  <c r="D29" i="43"/>
  <c r="D28" i="43"/>
  <c r="D27" i="43"/>
  <c r="D25" i="43"/>
  <c r="D24" i="43"/>
  <c r="D23" i="43"/>
  <c r="D22" i="43"/>
  <c r="D21" i="43"/>
  <c r="D20" i="43"/>
  <c r="D14" i="43"/>
  <c r="D15" i="43"/>
  <c r="D16" i="43"/>
  <c r="D17" i="43"/>
  <c r="D18" i="43"/>
  <c r="D13" i="43"/>
  <c r="P335" i="43" l="1"/>
  <c r="X13" i="43"/>
  <c r="V13" i="43" s="1"/>
  <c r="L15" i="43"/>
  <c r="C41" i="19" l="1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2" i="19"/>
  <c r="C43" i="19"/>
  <c r="C44" i="19"/>
  <c r="I5" i="23" l="1"/>
  <c r="I4" i="23"/>
  <c r="H5" i="23"/>
  <c r="H4" i="23"/>
  <c r="O5" i="23"/>
  <c r="O4" i="23"/>
  <c r="N5" i="23"/>
  <c r="N4" i="23"/>
  <c r="M5" i="23"/>
  <c r="M4" i="23"/>
  <c r="L5" i="23"/>
  <c r="L4" i="23"/>
  <c r="K5" i="23"/>
  <c r="K4" i="23"/>
  <c r="J5" i="23"/>
  <c r="J4" i="23"/>
  <c r="I3" i="23"/>
  <c r="J3" i="23" s="1"/>
  <c r="K3" i="23" s="1"/>
  <c r="L3" i="23" s="1"/>
  <c r="M3" i="23" s="1"/>
  <c r="N3" i="23" s="1"/>
  <c r="O3" i="23" s="1"/>
  <c r="P3" i="23" s="1"/>
  <c r="Q3" i="23" s="1"/>
  <c r="R3" i="23" s="1"/>
  <c r="D343" i="43" l="1"/>
  <c r="D342" i="43"/>
  <c r="D341" i="43"/>
  <c r="D340" i="43"/>
  <c r="D339" i="43"/>
  <c r="D338" i="43"/>
  <c r="D337" i="43"/>
  <c r="D336" i="43"/>
  <c r="D335" i="43"/>
  <c r="C4" i="46"/>
  <c r="B4" i="46"/>
  <c r="E44" i="24" l="1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I5" i="24"/>
  <c r="J5" i="24" s="1" a="1"/>
  <c r="J5" i="24" s="1"/>
  <c r="I6" i="24"/>
  <c r="J6" i="24" s="1" a="1"/>
  <c r="J6" i="24" s="1"/>
  <c r="I7" i="24"/>
  <c r="J7" i="24" s="1" a="1"/>
  <c r="J7" i="24" s="1"/>
  <c r="I8" i="24"/>
  <c r="J8" i="24" s="1" a="1"/>
  <c r="J8" i="24" s="1"/>
  <c r="I9" i="24"/>
  <c r="J9" i="24" s="1" a="1"/>
  <c r="J9" i="24" s="1"/>
  <c r="I10" i="24"/>
  <c r="J10" i="24" s="1" a="1"/>
  <c r="J10" i="24" s="1"/>
  <c r="I11" i="24"/>
  <c r="J11" i="24" s="1" a="1"/>
  <c r="J11" i="24" s="1"/>
  <c r="I12" i="24"/>
  <c r="J12" i="24" s="1" a="1"/>
  <c r="J12" i="24" s="1"/>
  <c r="I13" i="24"/>
  <c r="J13" i="24" s="1" a="1"/>
  <c r="J13" i="24" s="1"/>
  <c r="I14" i="24"/>
  <c r="J14" i="24" s="1" a="1"/>
  <c r="J14" i="24" s="1"/>
  <c r="I15" i="24"/>
  <c r="J15" i="24" s="1" a="1"/>
  <c r="J15" i="24" s="1"/>
  <c r="I16" i="24"/>
  <c r="J16" i="24" s="1" a="1"/>
  <c r="J16" i="24" s="1"/>
  <c r="I17" i="24"/>
  <c r="J17" i="24" s="1" a="1"/>
  <c r="J17" i="24" s="1"/>
  <c r="I18" i="24"/>
  <c r="J18" i="24" s="1" a="1"/>
  <c r="J18" i="24" s="1"/>
  <c r="I19" i="24"/>
  <c r="J19" i="24" s="1" a="1"/>
  <c r="J19" i="24" s="1"/>
  <c r="I20" i="24"/>
  <c r="J20" i="24" s="1" a="1"/>
  <c r="J20" i="24" s="1"/>
  <c r="I21" i="24"/>
  <c r="J21" i="24" s="1" a="1"/>
  <c r="J21" i="24" s="1"/>
  <c r="I22" i="24"/>
  <c r="J22" i="24" s="1" a="1"/>
  <c r="J22" i="24" s="1"/>
  <c r="I23" i="24"/>
  <c r="J23" i="24" s="1" a="1"/>
  <c r="J23" i="24" s="1"/>
  <c r="I24" i="24"/>
  <c r="J24" i="24" s="1" a="1"/>
  <c r="J24" i="24" s="1"/>
  <c r="I25" i="24"/>
  <c r="J25" i="24" s="1" a="1"/>
  <c r="J25" i="24" s="1"/>
  <c r="I26" i="24"/>
  <c r="J26" i="24" s="1" a="1"/>
  <c r="J26" i="24" s="1"/>
  <c r="I27" i="24"/>
  <c r="J27" i="24" s="1" a="1"/>
  <c r="J27" i="24" s="1"/>
  <c r="I28" i="24"/>
  <c r="J28" i="24" s="1" a="1"/>
  <c r="J28" i="24" s="1"/>
  <c r="I29" i="24"/>
  <c r="J29" i="24" s="1" a="1"/>
  <c r="J29" i="24" s="1"/>
  <c r="I30" i="24"/>
  <c r="J30" i="24" s="1" a="1"/>
  <c r="J30" i="24" s="1"/>
  <c r="I31" i="24"/>
  <c r="J31" i="24" s="1" a="1"/>
  <c r="J31" i="24" s="1"/>
  <c r="I32" i="24"/>
  <c r="J32" i="24" s="1" a="1"/>
  <c r="J32" i="24" s="1"/>
  <c r="I33" i="24"/>
  <c r="J33" i="24" s="1" a="1"/>
  <c r="J33" i="24" s="1"/>
  <c r="I34" i="24"/>
  <c r="J34" i="24" s="1" a="1"/>
  <c r="J34" i="24" s="1"/>
  <c r="I35" i="24"/>
  <c r="J35" i="24" s="1" a="1"/>
  <c r="J35" i="24" s="1"/>
  <c r="I36" i="24"/>
  <c r="J36" i="24" s="1" a="1"/>
  <c r="J36" i="24" s="1"/>
  <c r="I37" i="24"/>
  <c r="J37" i="24" s="1" a="1"/>
  <c r="J37" i="24" s="1"/>
  <c r="I38" i="24"/>
  <c r="J38" i="24" s="1" a="1"/>
  <c r="J38" i="24" s="1"/>
  <c r="I39" i="24"/>
  <c r="J39" i="24" s="1" a="1"/>
  <c r="J39" i="24" s="1"/>
  <c r="I40" i="24"/>
  <c r="J40" i="24" s="1" a="1"/>
  <c r="J40" i="24" s="1"/>
  <c r="I41" i="24"/>
  <c r="J41" i="24" s="1" a="1"/>
  <c r="J41" i="24" s="1"/>
  <c r="I42" i="24"/>
  <c r="J42" i="24" s="1" a="1"/>
  <c r="J42" i="24" s="1"/>
  <c r="I43" i="24"/>
  <c r="J43" i="24" s="1" a="1"/>
  <c r="J43" i="24" s="1"/>
  <c r="I44" i="24"/>
  <c r="J44" i="24" s="1" a="1"/>
  <c r="J44" i="24" s="1"/>
  <c r="I4" i="24"/>
  <c r="J4" i="24" s="1" a="1"/>
  <c r="J4" i="24" s="1"/>
  <c r="K5" i="24"/>
  <c r="L5" i="24" s="1"/>
  <c r="K6" i="24"/>
  <c r="L6" i="24" s="1"/>
  <c r="K7" i="24"/>
  <c r="L7" i="24" s="1"/>
  <c r="K8" i="24"/>
  <c r="L8" i="24" s="1"/>
  <c r="K9" i="24"/>
  <c r="L9" i="24" s="1"/>
  <c r="K10" i="24"/>
  <c r="L10" i="24" s="1"/>
  <c r="K11" i="24"/>
  <c r="L11" i="24" s="1"/>
  <c r="K12" i="24"/>
  <c r="L12" i="24" s="1"/>
  <c r="K13" i="24"/>
  <c r="L13" i="24" s="1"/>
  <c r="K14" i="24"/>
  <c r="L14" i="24" s="1"/>
  <c r="K15" i="24"/>
  <c r="L15" i="24" s="1"/>
  <c r="K16" i="24"/>
  <c r="L16" i="24" s="1"/>
  <c r="K17" i="24"/>
  <c r="L17" i="24" s="1"/>
  <c r="K18" i="24"/>
  <c r="L18" i="24" s="1"/>
  <c r="K19" i="24"/>
  <c r="L19" i="24" s="1"/>
  <c r="K20" i="24"/>
  <c r="L20" i="24" s="1"/>
  <c r="K21" i="24"/>
  <c r="L21" i="24" s="1"/>
  <c r="K22" i="24"/>
  <c r="L22" i="24" s="1"/>
  <c r="K23" i="24"/>
  <c r="L23" i="24" s="1"/>
  <c r="K24" i="24"/>
  <c r="L24" i="24" s="1"/>
  <c r="K25" i="24"/>
  <c r="L25" i="24" s="1"/>
  <c r="K26" i="24"/>
  <c r="L26" i="24" s="1"/>
  <c r="K27" i="24"/>
  <c r="L27" i="24" s="1"/>
  <c r="K28" i="24"/>
  <c r="L28" i="24" s="1"/>
  <c r="K29" i="24"/>
  <c r="L29" i="24" s="1"/>
  <c r="K30" i="24"/>
  <c r="L30" i="24" s="1"/>
  <c r="K31" i="24"/>
  <c r="L31" i="24" s="1"/>
  <c r="K32" i="24"/>
  <c r="L32" i="24" s="1"/>
  <c r="K33" i="24"/>
  <c r="L33" i="24" s="1"/>
  <c r="K34" i="24"/>
  <c r="L34" i="24" s="1"/>
  <c r="K35" i="24"/>
  <c r="L35" i="24" s="1"/>
  <c r="K36" i="24"/>
  <c r="L36" i="24" s="1"/>
  <c r="K37" i="24"/>
  <c r="L37" i="24" s="1"/>
  <c r="K38" i="24"/>
  <c r="L38" i="24" s="1"/>
  <c r="K39" i="24"/>
  <c r="L39" i="24" s="1"/>
  <c r="K40" i="24"/>
  <c r="L40" i="24" s="1"/>
  <c r="K41" i="24"/>
  <c r="L41" i="24" s="1"/>
  <c r="K42" i="24"/>
  <c r="L42" i="24" s="1"/>
  <c r="K43" i="24"/>
  <c r="L43" i="24" s="1"/>
  <c r="K44" i="24"/>
  <c r="L44" i="24" s="1"/>
  <c r="K4" i="24"/>
  <c r="L4" i="24" s="1"/>
  <c r="M5" i="24"/>
  <c r="N5" i="24" s="1"/>
  <c r="P5" i="24" s="1"/>
  <c r="M6" i="24"/>
  <c r="N6" i="24" s="1"/>
  <c r="M7" i="24"/>
  <c r="N7" i="24" s="1"/>
  <c r="P7" i="24" s="1"/>
  <c r="M8" i="24"/>
  <c r="N8" i="24" s="1"/>
  <c r="P8" i="24" s="1"/>
  <c r="M9" i="24"/>
  <c r="N9" i="24" s="1"/>
  <c r="P9" i="24" s="1"/>
  <c r="M10" i="24"/>
  <c r="N10" i="24" s="1"/>
  <c r="M11" i="24"/>
  <c r="N11" i="24" s="1"/>
  <c r="P11" i="24" s="1"/>
  <c r="M12" i="24"/>
  <c r="N12" i="24" s="1"/>
  <c r="M13" i="24"/>
  <c r="N13" i="24" s="1"/>
  <c r="P13" i="24" s="1"/>
  <c r="M14" i="24"/>
  <c r="N14" i="24" s="1"/>
  <c r="M15" i="24"/>
  <c r="N15" i="24" s="1"/>
  <c r="P15" i="24" s="1"/>
  <c r="M16" i="24"/>
  <c r="N16" i="24" s="1"/>
  <c r="P16" i="24" s="1"/>
  <c r="M17" i="24"/>
  <c r="N17" i="24" s="1"/>
  <c r="P17" i="24" s="1"/>
  <c r="M18" i="24"/>
  <c r="N18" i="24" s="1"/>
  <c r="M19" i="24"/>
  <c r="N19" i="24" s="1"/>
  <c r="P19" i="24" s="1"/>
  <c r="M20" i="24"/>
  <c r="N20" i="24" s="1"/>
  <c r="M21" i="24"/>
  <c r="N21" i="24" s="1"/>
  <c r="P21" i="24" s="1"/>
  <c r="M22" i="24"/>
  <c r="N22" i="24" s="1"/>
  <c r="M23" i="24"/>
  <c r="N23" i="24" s="1"/>
  <c r="P23" i="24" s="1"/>
  <c r="M24" i="24"/>
  <c r="N24" i="24" s="1"/>
  <c r="P24" i="24" s="1"/>
  <c r="M25" i="24"/>
  <c r="N25" i="24" s="1"/>
  <c r="P25" i="24" s="1"/>
  <c r="M26" i="24"/>
  <c r="N26" i="24" s="1"/>
  <c r="M27" i="24"/>
  <c r="N27" i="24" s="1"/>
  <c r="P27" i="24" s="1"/>
  <c r="M28" i="24"/>
  <c r="N28" i="24" s="1"/>
  <c r="M29" i="24"/>
  <c r="N29" i="24" s="1"/>
  <c r="M30" i="24"/>
  <c r="N30" i="24" s="1"/>
  <c r="M31" i="24"/>
  <c r="N31" i="24" s="1"/>
  <c r="P31" i="24" s="1"/>
  <c r="M32" i="24"/>
  <c r="N32" i="24" s="1"/>
  <c r="P32" i="24" s="1"/>
  <c r="M33" i="24"/>
  <c r="N33" i="24" s="1"/>
  <c r="P33" i="24" s="1"/>
  <c r="M34" i="24"/>
  <c r="N34" i="24" s="1"/>
  <c r="M35" i="24"/>
  <c r="N35" i="24" s="1"/>
  <c r="P35" i="24" s="1"/>
  <c r="M36" i="24"/>
  <c r="N36" i="24" s="1"/>
  <c r="M37" i="24"/>
  <c r="N37" i="24" s="1"/>
  <c r="M38" i="24"/>
  <c r="N38" i="24" s="1"/>
  <c r="M39" i="24"/>
  <c r="N39" i="24" s="1"/>
  <c r="P39" i="24" s="1"/>
  <c r="M40" i="24"/>
  <c r="N40" i="24" s="1"/>
  <c r="P40" i="24" s="1"/>
  <c r="M41" i="24"/>
  <c r="N41" i="24" s="1"/>
  <c r="P41" i="24" s="1"/>
  <c r="M42" i="24"/>
  <c r="N42" i="24" s="1"/>
  <c r="M43" i="24"/>
  <c r="N43" i="24" s="1"/>
  <c r="P43" i="24" s="1"/>
  <c r="M44" i="24"/>
  <c r="N44" i="24" s="1"/>
  <c r="M4" i="24"/>
  <c r="N4" i="24" s="1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T5" i="24"/>
  <c r="U5" i="24"/>
  <c r="T6" i="24"/>
  <c r="U6" i="24"/>
  <c r="T7" i="24"/>
  <c r="U7" i="24"/>
  <c r="T8" i="24"/>
  <c r="U8" i="24"/>
  <c r="T9" i="24"/>
  <c r="U9" i="24"/>
  <c r="T10" i="24"/>
  <c r="U10" i="24"/>
  <c r="T11" i="24"/>
  <c r="U11" i="24"/>
  <c r="T12" i="24"/>
  <c r="U12" i="24"/>
  <c r="T13" i="24"/>
  <c r="U13" i="24"/>
  <c r="T14" i="24"/>
  <c r="U14" i="24"/>
  <c r="T15" i="24"/>
  <c r="U15" i="24"/>
  <c r="T16" i="24"/>
  <c r="U16" i="24"/>
  <c r="T17" i="24"/>
  <c r="U17" i="24"/>
  <c r="T18" i="24"/>
  <c r="U18" i="24"/>
  <c r="T19" i="24"/>
  <c r="U19" i="24"/>
  <c r="T20" i="24"/>
  <c r="U20" i="24"/>
  <c r="T21" i="24"/>
  <c r="U21" i="24"/>
  <c r="T22" i="24"/>
  <c r="U22" i="24"/>
  <c r="T23" i="24"/>
  <c r="U23" i="24"/>
  <c r="T24" i="24"/>
  <c r="U24" i="24"/>
  <c r="T25" i="24"/>
  <c r="U25" i="24"/>
  <c r="T26" i="24"/>
  <c r="U26" i="24"/>
  <c r="T27" i="24"/>
  <c r="U27" i="24"/>
  <c r="T28" i="24"/>
  <c r="U28" i="24"/>
  <c r="T29" i="24"/>
  <c r="U29" i="24"/>
  <c r="T30" i="24"/>
  <c r="U30" i="24"/>
  <c r="T31" i="24"/>
  <c r="U31" i="24"/>
  <c r="T32" i="24"/>
  <c r="U32" i="24"/>
  <c r="T33" i="24"/>
  <c r="U33" i="24"/>
  <c r="T34" i="24"/>
  <c r="U34" i="24"/>
  <c r="T35" i="24"/>
  <c r="U35" i="24"/>
  <c r="T36" i="24"/>
  <c r="U36" i="24"/>
  <c r="T37" i="24"/>
  <c r="U37" i="24"/>
  <c r="T38" i="24"/>
  <c r="U38" i="24"/>
  <c r="T39" i="24"/>
  <c r="U39" i="24"/>
  <c r="T40" i="24"/>
  <c r="U40" i="24"/>
  <c r="T41" i="24"/>
  <c r="U41" i="24"/>
  <c r="T42" i="24"/>
  <c r="U42" i="24"/>
  <c r="T43" i="24"/>
  <c r="U43" i="24"/>
  <c r="T44" i="24"/>
  <c r="U44" i="24"/>
  <c r="AA44" i="24"/>
  <c r="Z44" i="24"/>
  <c r="AA43" i="24"/>
  <c r="Z43" i="24"/>
  <c r="AA42" i="24"/>
  <c r="Z42" i="24"/>
  <c r="AA41" i="24"/>
  <c r="Z41" i="24"/>
  <c r="AA40" i="24"/>
  <c r="Z40" i="24"/>
  <c r="AA39" i="24"/>
  <c r="Z39" i="24"/>
  <c r="AA38" i="24"/>
  <c r="Z38" i="24"/>
  <c r="AA37" i="24"/>
  <c r="Z37" i="24"/>
  <c r="AA36" i="24"/>
  <c r="Z36" i="24"/>
  <c r="AA35" i="24"/>
  <c r="Z35" i="24"/>
  <c r="AA34" i="24"/>
  <c r="Z34" i="24"/>
  <c r="AA33" i="24"/>
  <c r="Z33" i="24"/>
  <c r="AA32" i="24"/>
  <c r="Z32" i="24"/>
  <c r="AA31" i="24"/>
  <c r="Z31" i="24"/>
  <c r="AA30" i="24"/>
  <c r="Z30" i="24"/>
  <c r="AA29" i="24"/>
  <c r="Z29" i="24"/>
  <c r="AA28" i="24"/>
  <c r="Z28" i="24"/>
  <c r="AA27" i="24"/>
  <c r="Z27" i="24"/>
  <c r="AA26" i="24"/>
  <c r="Z26" i="24"/>
  <c r="AA25" i="24"/>
  <c r="Z25" i="24"/>
  <c r="AA24" i="24"/>
  <c r="Z24" i="24"/>
  <c r="AA23" i="24"/>
  <c r="Z23" i="24"/>
  <c r="AA22" i="24"/>
  <c r="Z22" i="24"/>
  <c r="AA21" i="24"/>
  <c r="Z21" i="24"/>
  <c r="AA20" i="24"/>
  <c r="Z20" i="24"/>
  <c r="AA19" i="24"/>
  <c r="Z19" i="24"/>
  <c r="AA18" i="24"/>
  <c r="Z18" i="24"/>
  <c r="AA17" i="24"/>
  <c r="Z17" i="24"/>
  <c r="AA16" i="24"/>
  <c r="Z16" i="24"/>
  <c r="AA15" i="24"/>
  <c r="Z15" i="24"/>
  <c r="K58" i="46" s="1"/>
  <c r="AA14" i="24"/>
  <c r="Z14" i="24"/>
  <c r="AA13" i="24"/>
  <c r="Z13" i="24"/>
  <c r="AA12" i="24"/>
  <c r="Z12" i="24"/>
  <c r="AA11" i="24"/>
  <c r="Z11" i="24"/>
  <c r="K43" i="46" s="1"/>
  <c r="AA10" i="24"/>
  <c r="Z10" i="24"/>
  <c r="K36" i="46" s="1"/>
  <c r="AA9" i="24"/>
  <c r="Z9" i="24"/>
  <c r="AA8" i="24"/>
  <c r="Z8" i="24"/>
  <c r="AA7" i="24"/>
  <c r="Z7" i="24"/>
  <c r="AA6" i="24"/>
  <c r="Z6" i="24"/>
  <c r="AA5" i="24"/>
  <c r="Z5" i="24"/>
  <c r="AA4" i="24"/>
  <c r="Z4" i="24"/>
  <c r="U4" i="24"/>
  <c r="T4" i="24"/>
  <c r="R4" i="24"/>
  <c r="O4" i="24"/>
  <c r="F4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C5" i="24"/>
  <c r="D5" i="24"/>
  <c r="C6" i="24"/>
  <c r="D6" i="24"/>
  <c r="C7" i="24"/>
  <c r="D7" i="24"/>
  <c r="C8" i="24"/>
  <c r="D8" i="24"/>
  <c r="C9" i="24"/>
  <c r="D9" i="24"/>
  <c r="C10" i="24"/>
  <c r="D10" i="24"/>
  <c r="C11" i="24"/>
  <c r="D11" i="24"/>
  <c r="C12" i="24"/>
  <c r="D12" i="24"/>
  <c r="C13" i="24"/>
  <c r="D13" i="24"/>
  <c r="C14" i="24"/>
  <c r="D14" i="24"/>
  <c r="C15" i="24"/>
  <c r="D15" i="24"/>
  <c r="C16" i="24"/>
  <c r="D16" i="24"/>
  <c r="C17" i="24"/>
  <c r="D17" i="24"/>
  <c r="C18" i="24"/>
  <c r="D18" i="24"/>
  <c r="C19" i="24"/>
  <c r="D19" i="24"/>
  <c r="C20" i="24"/>
  <c r="D20" i="24"/>
  <c r="C21" i="24"/>
  <c r="D21" i="24"/>
  <c r="C22" i="24"/>
  <c r="D22" i="24"/>
  <c r="C23" i="24"/>
  <c r="D23" i="24"/>
  <c r="C24" i="24"/>
  <c r="D24" i="24"/>
  <c r="C25" i="24"/>
  <c r="D25" i="24"/>
  <c r="C26" i="24"/>
  <c r="D26" i="24"/>
  <c r="C27" i="24"/>
  <c r="D27" i="24"/>
  <c r="C28" i="24"/>
  <c r="D28" i="24"/>
  <c r="C29" i="24"/>
  <c r="D29" i="24"/>
  <c r="C30" i="24"/>
  <c r="D30" i="24"/>
  <c r="C31" i="24"/>
  <c r="D31" i="24"/>
  <c r="C32" i="24"/>
  <c r="D32" i="24"/>
  <c r="C33" i="24"/>
  <c r="D33" i="24"/>
  <c r="C34" i="24"/>
  <c r="D34" i="24"/>
  <c r="C35" i="24"/>
  <c r="D35" i="24"/>
  <c r="D4" i="24"/>
  <c r="C4" i="24"/>
  <c r="K14" i="46" l="1"/>
  <c r="P44" i="24"/>
  <c r="P36" i="24"/>
  <c r="P28" i="24"/>
  <c r="P20" i="24"/>
  <c r="P12" i="24"/>
  <c r="K73" i="46"/>
  <c r="K21" i="46"/>
  <c r="K80" i="46"/>
  <c r="P4" i="24"/>
  <c r="P37" i="24"/>
  <c r="P29" i="24"/>
  <c r="K65" i="46"/>
  <c r="P42" i="24"/>
  <c r="P38" i="24"/>
  <c r="P34" i="24"/>
  <c r="Q34" i="24" s="1"/>
  <c r="P30" i="24"/>
  <c r="P26" i="24"/>
  <c r="P22" i="24"/>
  <c r="P18" i="24"/>
  <c r="Q18" i="24" s="1"/>
  <c r="P14" i="24"/>
  <c r="P10" i="24"/>
  <c r="P6" i="24"/>
  <c r="M56" i="44"/>
  <c r="N56" i="44"/>
  <c r="S56" i="44"/>
  <c r="O56" i="44"/>
  <c r="Q56" i="44"/>
  <c r="P56" i="44"/>
  <c r="R56" i="44"/>
  <c r="O56" i="45"/>
  <c r="S56" i="45"/>
  <c r="P56" i="45"/>
  <c r="L56" i="45"/>
  <c r="B214" i="46" s="1"/>
  <c r="M56" i="45"/>
  <c r="C214" i="46" s="1"/>
  <c r="Q56" i="45"/>
  <c r="N56" i="45"/>
  <c r="R56" i="45"/>
  <c r="L51" i="44"/>
  <c r="O51" i="44"/>
  <c r="Q51" i="44"/>
  <c r="M51" i="44"/>
  <c r="N51" i="44"/>
  <c r="R51" i="44"/>
  <c r="S51" i="44"/>
  <c r="P51" i="44"/>
  <c r="O51" i="45"/>
  <c r="S51" i="45"/>
  <c r="P51" i="45"/>
  <c r="L51" i="45"/>
  <c r="B192" i="46" s="1"/>
  <c r="M51" i="45"/>
  <c r="C192" i="46" s="1"/>
  <c r="Q51" i="45"/>
  <c r="N51" i="45"/>
  <c r="R51" i="45"/>
  <c r="O44" i="44"/>
  <c r="Q44" i="44"/>
  <c r="M44" i="44"/>
  <c r="N44" i="44"/>
  <c r="P44" i="44"/>
  <c r="S44" i="44"/>
  <c r="R44" i="44"/>
  <c r="M44" i="45"/>
  <c r="C163" i="46" s="1"/>
  <c r="Q44" i="45"/>
  <c r="N44" i="45"/>
  <c r="R44" i="45"/>
  <c r="O44" i="45"/>
  <c r="S44" i="45"/>
  <c r="P44" i="45"/>
  <c r="L44" i="45"/>
  <c r="B163" i="46" s="1"/>
  <c r="S37" i="44"/>
  <c r="N37" i="44"/>
  <c r="P37" i="44"/>
  <c r="O37" i="44"/>
  <c r="M37" i="44"/>
  <c r="Q37" i="44"/>
  <c r="R37" i="44"/>
  <c r="O37" i="45"/>
  <c r="S37" i="45"/>
  <c r="P37" i="45"/>
  <c r="L37" i="45"/>
  <c r="B140" i="46" s="1"/>
  <c r="M37" i="45"/>
  <c r="C140" i="46" s="1"/>
  <c r="Q37" i="45"/>
  <c r="N37" i="45"/>
  <c r="R37" i="45"/>
  <c r="R30" i="44"/>
  <c r="Q30" i="44"/>
  <c r="N30" i="44"/>
  <c r="P30" i="44"/>
  <c r="O30" i="44"/>
  <c r="S30" i="44"/>
  <c r="M30" i="44"/>
  <c r="N30" i="45"/>
  <c r="R30" i="45"/>
  <c r="O30" i="45"/>
  <c r="S30" i="45"/>
  <c r="P30" i="45"/>
  <c r="L30" i="45"/>
  <c r="B111" i="46" s="1"/>
  <c r="M30" i="45"/>
  <c r="C111" i="46" s="1"/>
  <c r="Q30" i="45"/>
  <c r="Q17" i="44"/>
  <c r="P17" i="44"/>
  <c r="S17" i="44"/>
  <c r="L17" i="44"/>
  <c r="O17" i="44"/>
  <c r="M17" i="44"/>
  <c r="N17" i="44"/>
  <c r="R17" i="44"/>
  <c r="M17" i="45"/>
  <c r="C53" i="46" s="1"/>
  <c r="Q17" i="45"/>
  <c r="N17" i="45"/>
  <c r="R17" i="45"/>
  <c r="O17" i="45"/>
  <c r="S17" i="45"/>
  <c r="P17" i="45"/>
  <c r="L17" i="45"/>
  <c r="B53" i="46" s="1"/>
  <c r="O18" i="44"/>
  <c r="R18" i="44"/>
  <c r="L18" i="44"/>
  <c r="N18" i="44"/>
  <c r="Q18" i="44"/>
  <c r="S18" i="44"/>
  <c r="P18" i="44"/>
  <c r="M18" i="44"/>
  <c r="M18" i="45"/>
  <c r="C60" i="46" s="1"/>
  <c r="Q18" i="45"/>
  <c r="N18" i="45"/>
  <c r="R18" i="45"/>
  <c r="O18" i="45"/>
  <c r="S18" i="45"/>
  <c r="L18" i="45"/>
  <c r="B60" i="46" s="1"/>
  <c r="P18" i="45"/>
  <c r="O14" i="44"/>
  <c r="R14" i="44"/>
  <c r="P14" i="44"/>
  <c r="M14" i="44"/>
  <c r="N14" i="44"/>
  <c r="Q14" i="44"/>
  <c r="L14" i="44"/>
  <c r="S14" i="44"/>
  <c r="M14" i="45"/>
  <c r="C45" i="46" s="1"/>
  <c r="Q14" i="45"/>
  <c r="N14" i="45"/>
  <c r="R14" i="45"/>
  <c r="O14" i="45"/>
  <c r="S14" i="45"/>
  <c r="L14" i="45"/>
  <c r="B45" i="46" s="1"/>
  <c r="P14" i="45"/>
  <c r="K37" i="46"/>
  <c r="K38" i="46" s="1"/>
  <c r="K39" i="46" s="1"/>
  <c r="K40" i="46" s="1"/>
  <c r="K41" i="46" s="1"/>
  <c r="L36" i="46"/>
  <c r="L37" i="46" s="1"/>
  <c r="L38" i="46" s="1"/>
  <c r="L39" i="46" s="1"/>
  <c r="L40" i="46" s="1"/>
  <c r="L41" i="46" s="1"/>
  <c r="O54" i="44"/>
  <c r="Q54" i="44"/>
  <c r="N54" i="44"/>
  <c r="M54" i="44"/>
  <c r="P54" i="44"/>
  <c r="S54" i="44"/>
  <c r="R54" i="44"/>
  <c r="M54" i="45"/>
  <c r="C200" i="46" s="1"/>
  <c r="Q54" i="45"/>
  <c r="N54" i="45"/>
  <c r="R54" i="45"/>
  <c r="O54" i="45"/>
  <c r="S54" i="45"/>
  <c r="P54" i="45"/>
  <c r="L54" i="45"/>
  <c r="B200" i="46" s="1"/>
  <c r="L50" i="44"/>
  <c r="S50" i="44"/>
  <c r="Q50" i="44"/>
  <c r="R50" i="44"/>
  <c r="P50" i="44"/>
  <c r="M50" i="44"/>
  <c r="O50" i="44"/>
  <c r="N50" i="44"/>
  <c r="N50" i="45"/>
  <c r="R50" i="45"/>
  <c r="O50" i="45"/>
  <c r="S50" i="45"/>
  <c r="P50" i="45"/>
  <c r="L50" i="45"/>
  <c r="B185" i="46" s="1"/>
  <c r="M50" i="45"/>
  <c r="C185" i="46" s="1"/>
  <c r="Q50" i="45"/>
  <c r="L36" i="44"/>
  <c r="P36" i="44"/>
  <c r="Q36" i="44"/>
  <c r="M36" i="44"/>
  <c r="R36" i="44"/>
  <c r="N36" i="44"/>
  <c r="O36" i="44"/>
  <c r="S36" i="44"/>
  <c r="N36" i="45"/>
  <c r="R36" i="45"/>
  <c r="O36" i="45"/>
  <c r="S36" i="45"/>
  <c r="P36" i="45"/>
  <c r="L36" i="45"/>
  <c r="B133" i="46" s="1"/>
  <c r="Q36" i="45"/>
  <c r="M36" i="45"/>
  <c r="C133" i="46" s="1"/>
  <c r="M29" i="44"/>
  <c r="N29" i="44"/>
  <c r="R29" i="44"/>
  <c r="P29" i="44"/>
  <c r="S29" i="44"/>
  <c r="O29" i="44"/>
  <c r="Q29" i="44"/>
  <c r="M29" i="45"/>
  <c r="C104" i="46" s="1"/>
  <c r="Q29" i="45"/>
  <c r="N29" i="45"/>
  <c r="R29" i="45"/>
  <c r="O29" i="45"/>
  <c r="S29" i="45"/>
  <c r="L29" i="45"/>
  <c r="B104" i="46" s="1"/>
  <c r="P29" i="45"/>
  <c r="O12" i="44"/>
  <c r="R12" i="44"/>
  <c r="L12" i="44"/>
  <c r="N12" i="44"/>
  <c r="P12" i="44"/>
  <c r="M12" i="44"/>
  <c r="S12" i="44"/>
  <c r="Q12" i="44"/>
  <c r="M12" i="45"/>
  <c r="C31" i="46" s="1"/>
  <c r="Q12" i="45"/>
  <c r="N12" i="45"/>
  <c r="R12" i="45"/>
  <c r="O12" i="45"/>
  <c r="S12" i="45"/>
  <c r="L12" i="45"/>
  <c r="B31" i="46" s="1"/>
  <c r="P12" i="45"/>
  <c r="L13" i="44"/>
  <c r="M13" i="44"/>
  <c r="S13" i="44"/>
  <c r="P13" i="44"/>
  <c r="R13" i="44"/>
  <c r="N13" i="44"/>
  <c r="O13" i="44"/>
  <c r="Q13" i="44"/>
  <c r="M13" i="45"/>
  <c r="C38" i="46" s="1"/>
  <c r="Q13" i="45"/>
  <c r="N13" i="45"/>
  <c r="R13" i="45"/>
  <c r="O13" i="45"/>
  <c r="S13" i="45"/>
  <c r="P13" i="45"/>
  <c r="L13" i="45"/>
  <c r="B38" i="46" s="1"/>
  <c r="K66" i="46"/>
  <c r="K67" i="46" s="1"/>
  <c r="K68" i="46" s="1"/>
  <c r="K69" i="46" s="1"/>
  <c r="K70" i="46" s="1"/>
  <c r="L65" i="46"/>
  <c r="L66" i="46" s="1"/>
  <c r="L67" i="46" s="1"/>
  <c r="L68" i="46" s="1"/>
  <c r="L69" i="46" s="1"/>
  <c r="L70" i="46" s="1"/>
  <c r="N55" i="44"/>
  <c r="O55" i="44"/>
  <c r="M55" i="44"/>
  <c r="Q55" i="44"/>
  <c r="S55" i="44"/>
  <c r="R55" i="44"/>
  <c r="P55" i="44"/>
  <c r="N55" i="45"/>
  <c r="R55" i="45"/>
  <c r="O55" i="45"/>
  <c r="S55" i="45"/>
  <c r="P55" i="45"/>
  <c r="L55" i="45"/>
  <c r="B207" i="46" s="1"/>
  <c r="M55" i="45"/>
  <c r="C207" i="46" s="1"/>
  <c r="Q55" i="45"/>
  <c r="M45" i="44"/>
  <c r="N45" i="44"/>
  <c r="R45" i="44"/>
  <c r="P45" i="44"/>
  <c r="S45" i="44"/>
  <c r="O45" i="44"/>
  <c r="Q45" i="44"/>
  <c r="L45" i="44"/>
  <c r="N45" i="45"/>
  <c r="R45" i="45"/>
  <c r="O45" i="45"/>
  <c r="S45" i="45"/>
  <c r="P45" i="45"/>
  <c r="L45" i="45"/>
  <c r="B170" i="46" s="1"/>
  <c r="M45" i="45"/>
  <c r="C170" i="46" s="1"/>
  <c r="Q45" i="45"/>
  <c r="P41" i="44"/>
  <c r="R41" i="44"/>
  <c r="O41" i="44"/>
  <c r="M41" i="44"/>
  <c r="Q41" i="44"/>
  <c r="S41" i="44"/>
  <c r="N41" i="44"/>
  <c r="N41" i="45"/>
  <c r="R41" i="45"/>
  <c r="O41" i="45"/>
  <c r="S41" i="45"/>
  <c r="P41" i="45"/>
  <c r="L41" i="45"/>
  <c r="B155" i="46" s="1"/>
  <c r="Q41" i="45"/>
  <c r="M41" i="45"/>
  <c r="C155" i="46" s="1"/>
  <c r="S35" i="44"/>
  <c r="R35" i="44"/>
  <c r="Q35" i="44"/>
  <c r="L35" i="44"/>
  <c r="O35" i="44"/>
  <c r="N35" i="44"/>
  <c r="P35" i="44"/>
  <c r="M35" i="44"/>
  <c r="M35" i="45"/>
  <c r="C126" i="46" s="1"/>
  <c r="Q35" i="45"/>
  <c r="N35" i="45"/>
  <c r="R35" i="45"/>
  <c r="O35" i="45"/>
  <c r="S35" i="45"/>
  <c r="P35" i="45"/>
  <c r="L35" i="45"/>
  <c r="B126" i="46" s="1"/>
  <c r="M26" i="44"/>
  <c r="L26" i="44"/>
  <c r="Q26" i="44"/>
  <c r="S26" i="44"/>
  <c r="P26" i="44"/>
  <c r="O26" i="44"/>
  <c r="R26" i="44"/>
  <c r="N26" i="44"/>
  <c r="M26" i="45"/>
  <c r="C96" i="46" s="1"/>
  <c r="Q26" i="45"/>
  <c r="N26" i="45"/>
  <c r="R26" i="45"/>
  <c r="O26" i="45"/>
  <c r="S26" i="45"/>
  <c r="P26" i="45"/>
  <c r="L26" i="45"/>
  <c r="B96" i="46" s="1"/>
  <c r="Q23" i="44"/>
  <c r="M23" i="44"/>
  <c r="S23" i="44"/>
  <c r="O23" i="44"/>
  <c r="N23" i="44"/>
  <c r="L23" i="44"/>
  <c r="R23" i="44"/>
  <c r="P23" i="44"/>
  <c r="N23" i="45"/>
  <c r="R23" i="45"/>
  <c r="O23" i="45"/>
  <c r="S23" i="45"/>
  <c r="P23" i="45"/>
  <c r="L23" i="45"/>
  <c r="B82" i="46" s="1"/>
  <c r="M23" i="45"/>
  <c r="C82" i="46" s="1"/>
  <c r="Q23" i="45"/>
  <c r="P7" i="44"/>
  <c r="Q7" i="44"/>
  <c r="R7" i="44"/>
  <c r="S7" i="44"/>
  <c r="N7" i="44"/>
  <c r="M7" i="44"/>
  <c r="O7" i="44"/>
  <c r="M7" i="45"/>
  <c r="C9" i="46" s="1"/>
  <c r="Q7" i="45"/>
  <c r="N7" i="45"/>
  <c r="R7" i="45"/>
  <c r="O7" i="45"/>
  <c r="S7" i="45"/>
  <c r="L7" i="44"/>
  <c r="P7" i="45"/>
  <c r="L7" i="45"/>
  <c r="B9" i="46" s="1"/>
  <c r="M9" i="44"/>
  <c r="Q9" i="44"/>
  <c r="O9" i="44"/>
  <c r="S9" i="44"/>
  <c r="R9" i="44"/>
  <c r="N9" i="44"/>
  <c r="L9" i="44"/>
  <c r="P9" i="44"/>
  <c r="M9" i="45"/>
  <c r="C23" i="46" s="1"/>
  <c r="Q9" i="45"/>
  <c r="N9" i="45"/>
  <c r="R9" i="45"/>
  <c r="O9" i="45"/>
  <c r="S9" i="45"/>
  <c r="P9" i="45"/>
  <c r="L9" i="45"/>
  <c r="B23" i="46" s="1"/>
  <c r="L14" i="46"/>
  <c r="L15" i="46" s="1"/>
  <c r="L16" i="46" s="1"/>
  <c r="L17" i="46" s="1"/>
  <c r="L18" i="46" s="1"/>
  <c r="L19" i="46" s="1"/>
  <c r="K15" i="46"/>
  <c r="K16" i="46" s="1"/>
  <c r="K17" i="46" s="1"/>
  <c r="K18" i="46" s="1"/>
  <c r="K19" i="46" s="1"/>
  <c r="L73" i="46"/>
  <c r="L74" i="46" s="1"/>
  <c r="L75" i="46" s="1"/>
  <c r="L76" i="46" s="1"/>
  <c r="L77" i="46" s="1"/>
  <c r="L78" i="46" s="1"/>
  <c r="K74" i="46"/>
  <c r="K75" i="46" s="1"/>
  <c r="K76" i="46" s="1"/>
  <c r="K77" i="46" s="1"/>
  <c r="K78" i="46" s="1"/>
  <c r="M8" i="44"/>
  <c r="S8" i="44"/>
  <c r="P8" i="44"/>
  <c r="R8" i="44"/>
  <c r="N8" i="44"/>
  <c r="Q8" i="44"/>
  <c r="O8" i="44"/>
  <c r="L8" i="44"/>
  <c r="M8" i="45"/>
  <c r="C16" i="46" s="1"/>
  <c r="Q8" i="45"/>
  <c r="N8" i="45"/>
  <c r="R8" i="45"/>
  <c r="O8" i="45"/>
  <c r="S8" i="45"/>
  <c r="L8" i="45"/>
  <c r="B16" i="46" s="1"/>
  <c r="P8" i="45"/>
  <c r="L21" i="46"/>
  <c r="L22" i="46" s="1"/>
  <c r="L23" i="46" s="1"/>
  <c r="L24" i="46" s="1"/>
  <c r="L25" i="46" s="1"/>
  <c r="L26" i="46" s="1"/>
  <c r="K22" i="46"/>
  <c r="K23" i="46" s="1"/>
  <c r="K24" i="46" s="1"/>
  <c r="K25" i="46" s="1"/>
  <c r="K26" i="46" s="1"/>
  <c r="K44" i="46"/>
  <c r="K45" i="46" s="1"/>
  <c r="K46" i="46" s="1"/>
  <c r="K47" i="46" s="1"/>
  <c r="K48" i="46" s="1"/>
  <c r="L43" i="46"/>
  <c r="L44" i="46" s="1"/>
  <c r="L45" i="46" s="1"/>
  <c r="L46" i="46" s="1"/>
  <c r="L47" i="46" s="1"/>
  <c r="L48" i="46" s="1"/>
  <c r="L58" i="46"/>
  <c r="L59" i="46" s="1"/>
  <c r="L60" i="46" s="1"/>
  <c r="L61" i="46" s="1"/>
  <c r="L62" i="46" s="1"/>
  <c r="L63" i="46" s="1"/>
  <c r="K59" i="46"/>
  <c r="K60" i="46" s="1"/>
  <c r="K61" i="46" s="1"/>
  <c r="K62" i="46" s="1"/>
  <c r="K63" i="46" s="1"/>
  <c r="L80" i="46"/>
  <c r="L81" i="46" s="1"/>
  <c r="L82" i="46" s="1"/>
  <c r="L83" i="46" s="1"/>
  <c r="L84" i="46" s="1"/>
  <c r="L85" i="46" s="1"/>
  <c r="K81" i="46"/>
  <c r="K82" i="46" s="1"/>
  <c r="K83" i="46" s="1"/>
  <c r="K84" i="46" s="1"/>
  <c r="K85" i="46" s="1"/>
  <c r="K161" i="46"/>
  <c r="P59" i="44"/>
  <c r="S59" i="44"/>
  <c r="R59" i="44"/>
  <c r="N59" i="44"/>
  <c r="Q59" i="44"/>
  <c r="O59" i="44"/>
  <c r="M59" i="44"/>
  <c r="M59" i="45"/>
  <c r="C222" i="46" s="1"/>
  <c r="Q59" i="45"/>
  <c r="N59" i="45"/>
  <c r="R59" i="45"/>
  <c r="O59" i="45"/>
  <c r="S59" i="45"/>
  <c r="P59" i="45"/>
  <c r="L59" i="45"/>
  <c r="B222" i="46" s="1"/>
  <c r="P49" i="44"/>
  <c r="O49" i="44"/>
  <c r="L49" i="44"/>
  <c r="S49" i="44"/>
  <c r="N49" i="44"/>
  <c r="R49" i="44"/>
  <c r="M49" i="44"/>
  <c r="Q49" i="44"/>
  <c r="M49" i="45"/>
  <c r="C178" i="46" s="1"/>
  <c r="Q49" i="45"/>
  <c r="N49" i="45"/>
  <c r="R49" i="45"/>
  <c r="O49" i="45"/>
  <c r="S49" i="45"/>
  <c r="P49" i="45"/>
  <c r="L49" i="45"/>
  <c r="B178" i="46" s="1"/>
  <c r="L40" i="44"/>
  <c r="P40" i="44"/>
  <c r="R40" i="44"/>
  <c r="M40" i="44"/>
  <c r="Q40" i="44"/>
  <c r="N40" i="44"/>
  <c r="O40" i="44"/>
  <c r="S40" i="44"/>
  <c r="M40" i="45"/>
  <c r="C148" i="46" s="1"/>
  <c r="Q40" i="45"/>
  <c r="N40" i="45"/>
  <c r="R40" i="45"/>
  <c r="O40" i="45"/>
  <c r="S40" i="45"/>
  <c r="L40" i="45"/>
  <c r="B148" i="46" s="1"/>
  <c r="P40" i="45"/>
  <c r="M32" i="44"/>
  <c r="Q32" i="44"/>
  <c r="S32" i="44"/>
  <c r="N32" i="44"/>
  <c r="O32" i="44"/>
  <c r="R32" i="44"/>
  <c r="P32" i="44"/>
  <c r="O32" i="45"/>
  <c r="S32" i="45"/>
  <c r="P32" i="45"/>
  <c r="L32" i="45"/>
  <c r="B118" i="46" s="1"/>
  <c r="M32" i="45"/>
  <c r="C118" i="46" s="1"/>
  <c r="Q32" i="45"/>
  <c r="N32" i="45"/>
  <c r="R32" i="45"/>
  <c r="P24" i="44"/>
  <c r="O148" i="43" s="1"/>
  <c r="S24" i="44"/>
  <c r="R148" i="43" s="1"/>
  <c r="M24" i="44"/>
  <c r="O24" i="44"/>
  <c r="N148" i="43" s="1"/>
  <c r="Q24" i="44"/>
  <c r="P148" i="43" s="1"/>
  <c r="N24" i="44"/>
  <c r="M148" i="43" s="1"/>
  <c r="R24" i="44"/>
  <c r="Q148" i="43" s="1"/>
  <c r="O24" i="45"/>
  <c r="S24" i="45"/>
  <c r="P24" i="45"/>
  <c r="L24" i="45"/>
  <c r="B89" i="46" s="1"/>
  <c r="M24" i="45"/>
  <c r="C89" i="46" s="1"/>
  <c r="Q24" i="45"/>
  <c r="N24" i="45"/>
  <c r="R24" i="45"/>
  <c r="O22" i="44"/>
  <c r="R22" i="44"/>
  <c r="N22" i="44"/>
  <c r="Q22" i="44"/>
  <c r="L22" i="44"/>
  <c r="M22" i="44"/>
  <c r="S22" i="44"/>
  <c r="P22" i="44"/>
  <c r="M22" i="45"/>
  <c r="C75" i="46" s="1"/>
  <c r="Q22" i="45"/>
  <c r="N22" i="45"/>
  <c r="R22" i="45"/>
  <c r="O22" i="45"/>
  <c r="S22" i="45"/>
  <c r="L22" i="45"/>
  <c r="B75" i="46" s="1"/>
  <c r="P22" i="45"/>
  <c r="L19" i="44"/>
  <c r="S19" i="44"/>
  <c r="R19" i="44"/>
  <c r="Q19" i="44"/>
  <c r="P19" i="44"/>
  <c r="N19" i="44"/>
  <c r="M19" i="44"/>
  <c r="O19" i="44"/>
  <c r="M19" i="45"/>
  <c r="C67" i="46" s="1"/>
  <c r="Q19" i="45"/>
  <c r="N19" i="45"/>
  <c r="R19" i="45"/>
  <c r="O19" i="45"/>
  <c r="S19" i="45"/>
  <c r="P19" i="45"/>
  <c r="L19" i="45"/>
  <c r="B67" i="46" s="1"/>
  <c r="Q5" i="24"/>
  <c r="Q7" i="24"/>
  <c r="Q9" i="24"/>
  <c r="Q11" i="24"/>
  <c r="Q13" i="24"/>
  <c r="Q15" i="24"/>
  <c r="Q17" i="24"/>
  <c r="Q19" i="24"/>
  <c r="Q21" i="24"/>
  <c r="Q23" i="24"/>
  <c r="Q25" i="24"/>
  <c r="Q27" i="24"/>
  <c r="Q29" i="24"/>
  <c r="Q31" i="24"/>
  <c r="Q33" i="24"/>
  <c r="Q35" i="24"/>
  <c r="Q37" i="24"/>
  <c r="Q39" i="24"/>
  <c r="Q41" i="24"/>
  <c r="Q43" i="24"/>
  <c r="Q4" i="24"/>
  <c r="Q6" i="24"/>
  <c r="Q8" i="24"/>
  <c r="Q10" i="24"/>
  <c r="Q12" i="24"/>
  <c r="Q14" i="24"/>
  <c r="Q16" i="24"/>
  <c r="Q20" i="24"/>
  <c r="Q22" i="24"/>
  <c r="Q24" i="24"/>
  <c r="Q26" i="24"/>
  <c r="Q28" i="24"/>
  <c r="Q30" i="24"/>
  <c r="Q32" i="24"/>
  <c r="Q36" i="24"/>
  <c r="Q38" i="24"/>
  <c r="Q40" i="24"/>
  <c r="Q42" i="24"/>
  <c r="Q44" i="24"/>
  <c r="J198" i="17"/>
  <c r="K198" i="17"/>
  <c r="L198" i="17"/>
  <c r="M198" i="17"/>
  <c r="I198" i="17"/>
  <c r="F68" i="46" l="1"/>
  <c r="F65" i="46"/>
  <c r="I65" i="46" s="1"/>
  <c r="F70" i="46"/>
  <c r="F67" i="46"/>
  <c r="F66" i="46"/>
  <c r="F69" i="46"/>
  <c r="AB19" i="44"/>
  <c r="O106" i="43"/>
  <c r="X19" i="44"/>
  <c r="U19" i="44"/>
  <c r="F78" i="46"/>
  <c r="F74" i="46"/>
  <c r="F73" i="46"/>
  <c r="I73" i="46" s="1"/>
  <c r="F76" i="46"/>
  <c r="F75" i="46"/>
  <c r="I75" i="46" s="1"/>
  <c r="F77" i="46"/>
  <c r="X22" i="44"/>
  <c r="U22" i="44"/>
  <c r="N120" i="43"/>
  <c r="AA22" i="44"/>
  <c r="F92" i="46"/>
  <c r="F88" i="46"/>
  <c r="F87" i="46"/>
  <c r="I87" i="46" s="1"/>
  <c r="X146" i="43" s="1"/>
  <c r="V146" i="43" s="1"/>
  <c r="F90" i="46"/>
  <c r="F89" i="46"/>
  <c r="F91" i="46"/>
  <c r="I91" i="46" s="1"/>
  <c r="X150" i="43" s="1"/>
  <c r="F150" i="43" s="1"/>
  <c r="N150" i="43"/>
  <c r="N147" i="43"/>
  <c r="N149" i="43"/>
  <c r="N151" i="43"/>
  <c r="N146" i="43"/>
  <c r="E116" i="46"/>
  <c r="H116" i="46" s="1"/>
  <c r="W174" i="43" s="1"/>
  <c r="E119" i="46"/>
  <c r="E118" i="46"/>
  <c r="E120" i="46"/>
  <c r="E121" i="46"/>
  <c r="E117" i="46"/>
  <c r="H117" i="46" s="1"/>
  <c r="W175" i="43" s="1"/>
  <c r="O176" i="43"/>
  <c r="AB32" i="44"/>
  <c r="R176" i="43"/>
  <c r="AE32" i="44"/>
  <c r="E146" i="46"/>
  <c r="H146" i="46" s="1"/>
  <c r="W202" i="43" s="1"/>
  <c r="E149" i="46"/>
  <c r="E148" i="46"/>
  <c r="E150" i="46"/>
  <c r="H150" i="46" s="1"/>
  <c r="W206" i="43" s="1"/>
  <c r="E151" i="46"/>
  <c r="E147" i="46"/>
  <c r="N204" i="43"/>
  <c r="AA40" i="44"/>
  <c r="Q204" i="43"/>
  <c r="AD40" i="44"/>
  <c r="L239" i="43"/>
  <c r="Y49" i="44"/>
  <c r="X49" i="44"/>
  <c r="N281" i="43"/>
  <c r="AA59" i="44"/>
  <c r="R281" i="43"/>
  <c r="AE59" i="44"/>
  <c r="E15" i="46"/>
  <c r="E16" i="46"/>
  <c r="H16" i="46" s="1"/>
  <c r="E17" i="46"/>
  <c r="E14" i="46"/>
  <c r="H14" i="46" s="1"/>
  <c r="E19" i="46"/>
  <c r="E18" i="46"/>
  <c r="N22" i="43"/>
  <c r="AA8" i="44"/>
  <c r="AB8" i="44"/>
  <c r="O22" i="43"/>
  <c r="X9" i="44"/>
  <c r="U9" i="44"/>
  <c r="N36" i="43"/>
  <c r="AA9" i="44"/>
  <c r="N15" i="43"/>
  <c r="N13" i="43" s="1"/>
  <c r="AA7" i="44"/>
  <c r="Q15" i="43"/>
  <c r="AD7" i="44"/>
  <c r="F83" i="46"/>
  <c r="F80" i="46"/>
  <c r="I80" i="46" s="1"/>
  <c r="F85" i="46"/>
  <c r="F82" i="46"/>
  <c r="I82" i="46" s="1"/>
  <c r="F81" i="46"/>
  <c r="F84" i="46"/>
  <c r="AD23" i="44"/>
  <c r="Q134" i="43"/>
  <c r="R134" i="43"/>
  <c r="AE23" i="44"/>
  <c r="Q155" i="43"/>
  <c r="AD26" i="44"/>
  <c r="P155" i="43"/>
  <c r="AC26" i="44"/>
  <c r="O183" i="43"/>
  <c r="AB35" i="44"/>
  <c r="P183" i="43"/>
  <c r="AC35" i="44"/>
  <c r="R211" i="43"/>
  <c r="AE41" i="44"/>
  <c r="Q211" i="43"/>
  <c r="AD41" i="44"/>
  <c r="E168" i="46"/>
  <c r="H168" i="46" s="1"/>
  <c r="W230" i="43" s="1"/>
  <c r="E173" i="46"/>
  <c r="E170" i="46"/>
  <c r="E169" i="46"/>
  <c r="E172" i="46"/>
  <c r="E171" i="46"/>
  <c r="N232" i="43"/>
  <c r="AA45" i="44"/>
  <c r="M232" i="43"/>
  <c r="Z45" i="44"/>
  <c r="E205" i="46"/>
  <c r="H205" i="46" s="1"/>
  <c r="W265" i="43" s="1"/>
  <c r="E208" i="46"/>
  <c r="E207" i="46"/>
  <c r="E209" i="46"/>
  <c r="H209" i="46" s="1"/>
  <c r="W269" i="43" s="1"/>
  <c r="E210" i="46"/>
  <c r="E206" i="46"/>
  <c r="R267" i="43"/>
  <c r="AE55" i="44"/>
  <c r="M267" i="43"/>
  <c r="Z55" i="44"/>
  <c r="Z13" i="44"/>
  <c r="M57" i="43"/>
  <c r="L57" i="43"/>
  <c r="Y13" i="44"/>
  <c r="L50" i="43"/>
  <c r="Y12" i="44"/>
  <c r="AD12" i="44"/>
  <c r="Q50" i="43"/>
  <c r="R162" i="43"/>
  <c r="AE29" i="44"/>
  <c r="L162" i="43"/>
  <c r="Y29" i="44"/>
  <c r="Q190" i="43"/>
  <c r="AD36" i="44"/>
  <c r="X36" i="44"/>
  <c r="U36" i="44"/>
  <c r="O246" i="43"/>
  <c r="AB50" i="44"/>
  <c r="X50" i="44"/>
  <c r="U50" i="44"/>
  <c r="F201" i="46"/>
  <c r="F200" i="46"/>
  <c r="F198" i="46"/>
  <c r="I198" i="46" s="1"/>
  <c r="X258" i="43" s="1"/>
  <c r="V258" i="43" s="1"/>
  <c r="F203" i="46"/>
  <c r="I203" i="46" s="1"/>
  <c r="F199" i="46"/>
  <c r="F202" i="46"/>
  <c r="L260" i="43"/>
  <c r="Y54" i="44"/>
  <c r="R71" i="43"/>
  <c r="AE14" i="44"/>
  <c r="L71" i="43"/>
  <c r="Y14" i="44"/>
  <c r="L92" i="43"/>
  <c r="Y18" i="44"/>
  <c r="M92" i="43"/>
  <c r="Z18" i="44"/>
  <c r="E51" i="46"/>
  <c r="H51" i="46" s="1"/>
  <c r="W83" i="43" s="1"/>
  <c r="E56" i="46"/>
  <c r="E53" i="46"/>
  <c r="E52" i="46"/>
  <c r="E55" i="46"/>
  <c r="E54" i="46"/>
  <c r="Q85" i="43"/>
  <c r="AD17" i="44"/>
  <c r="X17" i="44"/>
  <c r="U17" i="44"/>
  <c r="L169" i="43"/>
  <c r="Y30" i="44"/>
  <c r="M169" i="43"/>
  <c r="Z30" i="44"/>
  <c r="P197" i="43"/>
  <c r="AC37" i="44"/>
  <c r="M197" i="43"/>
  <c r="Z37" i="44"/>
  <c r="O218" i="43"/>
  <c r="AB44" i="44"/>
  <c r="N218" i="43"/>
  <c r="AA44" i="44"/>
  <c r="F195" i="46"/>
  <c r="F191" i="46"/>
  <c r="I191" i="46" s="1"/>
  <c r="X252" i="43" s="1"/>
  <c r="V252" i="43" s="1"/>
  <c r="F190" i="46"/>
  <c r="I190" i="46" s="1"/>
  <c r="X251" i="43" s="1"/>
  <c r="V251" i="43" s="1"/>
  <c r="F193" i="46"/>
  <c r="F192" i="46"/>
  <c r="F194" i="46"/>
  <c r="M253" i="43"/>
  <c r="Z51" i="44"/>
  <c r="X51" i="44"/>
  <c r="U51" i="44"/>
  <c r="F215" i="46"/>
  <c r="F214" i="46"/>
  <c r="F212" i="46"/>
  <c r="I212" i="46" s="1"/>
  <c r="X272" i="43" s="1"/>
  <c r="V272" i="43" s="1"/>
  <c r="F217" i="46"/>
  <c r="F213" i="46"/>
  <c r="F216" i="46"/>
  <c r="N274" i="43"/>
  <c r="AA56" i="44"/>
  <c r="P106" i="43"/>
  <c r="AC19" i="44"/>
  <c r="E212" i="46"/>
  <c r="H212" i="46" s="1"/>
  <c r="W272" i="43" s="1"/>
  <c r="E217" i="46"/>
  <c r="E214" i="46"/>
  <c r="E213" i="46"/>
  <c r="E216" i="46"/>
  <c r="E215" i="46"/>
  <c r="Q274" i="43"/>
  <c r="AD56" i="44"/>
  <c r="R274" i="43"/>
  <c r="AE56" i="44"/>
  <c r="E67" i="46"/>
  <c r="E70" i="46"/>
  <c r="E65" i="46"/>
  <c r="H65" i="46" s="1"/>
  <c r="E66" i="46"/>
  <c r="E69" i="46"/>
  <c r="E68" i="46"/>
  <c r="N106" i="43"/>
  <c r="AA19" i="44"/>
  <c r="P120" i="43"/>
  <c r="AC22" i="44"/>
  <c r="E87" i="46"/>
  <c r="H87" i="46" s="1"/>
  <c r="W146" i="43" s="1"/>
  <c r="E90" i="46"/>
  <c r="E89" i="46"/>
  <c r="E91" i="46"/>
  <c r="E92" i="46"/>
  <c r="H92" i="46" s="1"/>
  <c r="W151" i="43" s="1"/>
  <c r="E88" i="46"/>
  <c r="Q150" i="43"/>
  <c r="Q151" i="43"/>
  <c r="Q146" i="43"/>
  <c r="Q149" i="43"/>
  <c r="Q147" i="43"/>
  <c r="L148" i="43"/>
  <c r="Q176" i="43"/>
  <c r="AD32" i="44"/>
  <c r="P176" i="43"/>
  <c r="AC32" i="44"/>
  <c r="M204" i="43"/>
  <c r="Z40" i="44"/>
  <c r="O204" i="43"/>
  <c r="AB40" i="44"/>
  <c r="Q239" i="43"/>
  <c r="AD49" i="44"/>
  <c r="N239" i="43"/>
  <c r="AA49" i="44"/>
  <c r="P281" i="43"/>
  <c r="AC59" i="44"/>
  <c r="O281" i="43"/>
  <c r="AB59" i="44"/>
  <c r="P22" i="43"/>
  <c r="AC8" i="44"/>
  <c r="M36" i="43"/>
  <c r="Z9" i="44"/>
  <c r="P36" i="43"/>
  <c r="AC9" i="44"/>
  <c r="X7" i="44"/>
  <c r="U7" i="44"/>
  <c r="Y7" i="44"/>
  <c r="P15" i="43"/>
  <c r="AC7" i="44"/>
  <c r="E82" i="46"/>
  <c r="E85" i="46"/>
  <c r="E80" i="46"/>
  <c r="H80" i="46" s="1"/>
  <c r="E81" i="46"/>
  <c r="E84" i="46"/>
  <c r="H84" i="46" s="1"/>
  <c r="E83" i="46"/>
  <c r="X23" i="44"/>
  <c r="U23" i="44"/>
  <c r="L134" i="43"/>
  <c r="Y23" i="44"/>
  <c r="N155" i="43"/>
  <c r="AA26" i="44"/>
  <c r="X26" i="44"/>
  <c r="U26" i="44"/>
  <c r="M183" i="43"/>
  <c r="Z35" i="44"/>
  <c r="Q183" i="43"/>
  <c r="AD35" i="44"/>
  <c r="E153" i="46"/>
  <c r="H153" i="46" s="1"/>
  <c r="W209" i="43" s="1"/>
  <c r="E158" i="46"/>
  <c r="E155" i="46"/>
  <c r="E154" i="46"/>
  <c r="E157" i="46"/>
  <c r="H157" i="46" s="1"/>
  <c r="W213" i="43" s="1"/>
  <c r="E156" i="46"/>
  <c r="P211" i="43"/>
  <c r="AC41" i="44"/>
  <c r="O211" i="43"/>
  <c r="AB41" i="44"/>
  <c r="R232" i="43"/>
  <c r="AE45" i="44"/>
  <c r="L232" i="43"/>
  <c r="Y45" i="44"/>
  <c r="P267" i="43"/>
  <c r="AC55" i="44"/>
  <c r="F38" i="46"/>
  <c r="I38" i="46" s="1"/>
  <c r="F40" i="46"/>
  <c r="F41" i="46"/>
  <c r="F37" i="46"/>
  <c r="F36" i="46"/>
  <c r="I36" i="46" s="1"/>
  <c r="F39" i="46"/>
  <c r="AD13" i="44"/>
  <c r="Q57" i="43"/>
  <c r="X13" i="44"/>
  <c r="U13" i="44"/>
  <c r="F34" i="46"/>
  <c r="F33" i="46"/>
  <c r="F30" i="46"/>
  <c r="F31" i="46"/>
  <c r="F32" i="46"/>
  <c r="F29" i="46"/>
  <c r="I29" i="46" s="1"/>
  <c r="X48" i="43" s="1"/>
  <c r="V48" i="43" s="1"/>
  <c r="AB12" i="44"/>
  <c r="O50" i="43"/>
  <c r="N50" i="43"/>
  <c r="AA12" i="44"/>
  <c r="F107" i="46"/>
  <c r="F103" i="46"/>
  <c r="F102" i="46"/>
  <c r="I102" i="46" s="1"/>
  <c r="X160" i="43" s="1"/>
  <c r="V160" i="43" s="1"/>
  <c r="F105" i="46"/>
  <c r="F104" i="46"/>
  <c r="F106" i="46"/>
  <c r="O162" i="43"/>
  <c r="AB29" i="44"/>
  <c r="F136" i="46"/>
  <c r="F132" i="46"/>
  <c r="F131" i="46"/>
  <c r="I131" i="46" s="1"/>
  <c r="X188" i="43" s="1"/>
  <c r="V188" i="43" s="1"/>
  <c r="F134" i="46"/>
  <c r="F133" i="46"/>
  <c r="F135" i="46"/>
  <c r="R190" i="43"/>
  <c r="AE36" i="44"/>
  <c r="L190" i="43"/>
  <c r="Y36" i="44"/>
  <c r="M246" i="43"/>
  <c r="Z50" i="44"/>
  <c r="Q246" i="43"/>
  <c r="AD50" i="44"/>
  <c r="E198" i="46"/>
  <c r="H198" i="46" s="1"/>
  <c r="W258" i="43" s="1"/>
  <c r="E203" i="46"/>
  <c r="E200" i="46"/>
  <c r="E199" i="46"/>
  <c r="H199" i="46" s="1"/>
  <c r="W259" i="43" s="1"/>
  <c r="E202" i="46"/>
  <c r="E201" i="46"/>
  <c r="Q260" i="43"/>
  <c r="AD54" i="44"/>
  <c r="M260" i="43"/>
  <c r="Z54" i="44"/>
  <c r="E44" i="46"/>
  <c r="E45" i="46"/>
  <c r="E46" i="46"/>
  <c r="E43" i="46"/>
  <c r="H43" i="46" s="1"/>
  <c r="E48" i="46"/>
  <c r="E47" i="46"/>
  <c r="X14" i="44"/>
  <c r="U14" i="44"/>
  <c r="O71" i="43"/>
  <c r="AB14" i="44"/>
  <c r="E58" i="46"/>
  <c r="H58" i="46" s="1"/>
  <c r="E59" i="46"/>
  <c r="E60" i="46"/>
  <c r="E62" i="46"/>
  <c r="E63" i="46"/>
  <c r="H63" i="46" s="1"/>
  <c r="E61" i="46"/>
  <c r="O92" i="43"/>
  <c r="AB18" i="44"/>
  <c r="X18" i="44"/>
  <c r="U18" i="44"/>
  <c r="M85" i="43"/>
  <c r="Z17" i="44"/>
  <c r="R85" i="43"/>
  <c r="AE17" i="44"/>
  <c r="F112" i="46"/>
  <c r="F109" i="46"/>
  <c r="I109" i="46" s="1"/>
  <c r="X167" i="43" s="1"/>
  <c r="V167" i="43" s="1"/>
  <c r="F114" i="46"/>
  <c r="F111" i="46"/>
  <c r="I111" i="46" s="1"/>
  <c r="X169" i="43" s="1"/>
  <c r="V169" i="43" s="1"/>
  <c r="F110" i="46"/>
  <c r="F113" i="46"/>
  <c r="I113" i="46" s="1"/>
  <c r="X171" i="43" s="1"/>
  <c r="F171" i="43" s="1"/>
  <c r="R169" i="43"/>
  <c r="AE30" i="44"/>
  <c r="P169" i="43"/>
  <c r="AC30" i="44"/>
  <c r="L197" i="43"/>
  <c r="Y37" i="44"/>
  <c r="R197" i="43"/>
  <c r="AE37" i="44"/>
  <c r="F166" i="46"/>
  <c r="F162" i="46"/>
  <c r="F163" i="46"/>
  <c r="F161" i="46"/>
  <c r="I161" i="46" s="1"/>
  <c r="F164" i="46"/>
  <c r="F165" i="46"/>
  <c r="M218" i="43"/>
  <c r="Z44" i="44"/>
  <c r="E190" i="46"/>
  <c r="H190" i="46" s="1"/>
  <c r="W251" i="43" s="1"/>
  <c r="E193" i="46"/>
  <c r="E192" i="46"/>
  <c r="E194" i="46"/>
  <c r="H194" i="46" s="1"/>
  <c r="W255" i="43" s="1"/>
  <c r="E195" i="46"/>
  <c r="H195" i="46" s="1"/>
  <c r="W256" i="43" s="1"/>
  <c r="E191" i="46"/>
  <c r="O253" i="43"/>
  <c r="AB51" i="44"/>
  <c r="L253" i="43"/>
  <c r="Y51" i="44"/>
  <c r="L106" i="43"/>
  <c r="Y19" i="44"/>
  <c r="AD19" i="44"/>
  <c r="Q106" i="43"/>
  <c r="E73" i="46"/>
  <c r="H73" i="46" s="1"/>
  <c r="E76" i="46"/>
  <c r="E75" i="46"/>
  <c r="E77" i="46"/>
  <c r="E78" i="46"/>
  <c r="E74" i="46"/>
  <c r="R120" i="43"/>
  <c r="AE22" i="44"/>
  <c r="Z22" i="44"/>
  <c r="M120" i="43"/>
  <c r="M149" i="43"/>
  <c r="M150" i="43"/>
  <c r="M147" i="43"/>
  <c r="M151" i="43"/>
  <c r="M146" i="43"/>
  <c r="R150" i="43"/>
  <c r="R146" i="43"/>
  <c r="R147" i="43"/>
  <c r="R149" i="43"/>
  <c r="R151" i="43"/>
  <c r="S148" i="43"/>
  <c r="N176" i="43"/>
  <c r="AA32" i="44"/>
  <c r="L176" i="43"/>
  <c r="Y32" i="44"/>
  <c r="F151" i="46"/>
  <c r="F147" i="46"/>
  <c r="F146" i="46"/>
  <c r="I146" i="46" s="1"/>
  <c r="X202" i="43" s="1"/>
  <c r="V202" i="43" s="1"/>
  <c r="F149" i="46"/>
  <c r="F148" i="46"/>
  <c r="F150" i="46"/>
  <c r="P204" i="43"/>
  <c r="AC40" i="44"/>
  <c r="X40" i="44"/>
  <c r="U40" i="44"/>
  <c r="F181" i="46"/>
  <c r="F177" i="46"/>
  <c r="F178" i="46"/>
  <c r="F176" i="46"/>
  <c r="I176" i="46" s="1"/>
  <c r="X237" i="43" s="1"/>
  <c r="V237" i="43" s="1"/>
  <c r="F179" i="46"/>
  <c r="F180" i="46"/>
  <c r="I180" i="46" s="1"/>
  <c r="X241" i="43" s="1"/>
  <c r="F241" i="43" s="1"/>
  <c r="M239" i="43"/>
  <c r="Z49" i="44"/>
  <c r="O239" i="43"/>
  <c r="AB49" i="44"/>
  <c r="F220" i="46"/>
  <c r="I220" i="46" s="1"/>
  <c r="X279" i="43" s="1"/>
  <c r="V279" i="43" s="1"/>
  <c r="F223" i="46"/>
  <c r="I223" i="46" s="1"/>
  <c r="X282" i="43" s="1"/>
  <c r="V282" i="43" s="1"/>
  <c r="F222" i="46"/>
  <c r="F224" i="46"/>
  <c r="F225" i="46"/>
  <c r="F221" i="46"/>
  <c r="M281" i="43"/>
  <c r="Z59" i="44"/>
  <c r="K162" i="46"/>
  <c r="K163" i="46" s="1"/>
  <c r="K164" i="46" s="1"/>
  <c r="K165" i="46" s="1"/>
  <c r="K166" i="46" s="1"/>
  <c r="L161" i="46"/>
  <c r="L162" i="46" s="1"/>
  <c r="L163" i="46" s="1"/>
  <c r="L164" i="46" s="1"/>
  <c r="L165" i="46" s="1"/>
  <c r="L166" i="46" s="1"/>
  <c r="F14" i="46"/>
  <c r="I14" i="46" s="1"/>
  <c r="F19" i="46"/>
  <c r="F18" i="46"/>
  <c r="F15" i="46"/>
  <c r="F16" i="46"/>
  <c r="F17" i="46"/>
  <c r="M22" i="43"/>
  <c r="Z8" i="44"/>
  <c r="L22" i="43"/>
  <c r="Y8" i="44"/>
  <c r="F21" i="46"/>
  <c r="I21" i="46" s="1"/>
  <c r="F24" i="46"/>
  <c r="I24" i="46" s="1"/>
  <c r="F23" i="46"/>
  <c r="F25" i="46"/>
  <c r="F26" i="46"/>
  <c r="F22" i="46"/>
  <c r="AD9" i="44"/>
  <c r="Q36" i="43"/>
  <c r="L36" i="43"/>
  <c r="Y9" i="44"/>
  <c r="M15" i="43"/>
  <c r="Z7" i="44"/>
  <c r="O15" i="43"/>
  <c r="AB7" i="44"/>
  <c r="Z23" i="44"/>
  <c r="M134" i="43"/>
  <c r="P134" i="43"/>
  <c r="AC23" i="44"/>
  <c r="F97" i="46"/>
  <c r="F94" i="46"/>
  <c r="I94" i="46" s="1"/>
  <c r="X153" i="43" s="1"/>
  <c r="V153" i="43" s="1"/>
  <c r="F99" i="46"/>
  <c r="F96" i="46"/>
  <c r="I96" i="46" s="1"/>
  <c r="X155" i="43" s="1"/>
  <c r="V155" i="43" s="1"/>
  <c r="F95" i="46"/>
  <c r="F98" i="46"/>
  <c r="I98" i="46" s="1"/>
  <c r="X157" i="43" s="1"/>
  <c r="F157" i="43" s="1"/>
  <c r="O155" i="43"/>
  <c r="AB26" i="44"/>
  <c r="L155" i="43"/>
  <c r="Y26" i="44"/>
  <c r="F127" i="46"/>
  <c r="F124" i="46"/>
  <c r="I124" i="46" s="1"/>
  <c r="X181" i="43" s="1"/>
  <c r="V181" i="43" s="1"/>
  <c r="F129" i="46"/>
  <c r="F126" i="46"/>
  <c r="F125" i="46"/>
  <c r="F128" i="46"/>
  <c r="N183" i="43"/>
  <c r="AA35" i="44"/>
  <c r="R183" i="43"/>
  <c r="AE35" i="44"/>
  <c r="L211" i="43"/>
  <c r="Y41" i="44"/>
  <c r="X45" i="44"/>
  <c r="U45" i="44"/>
  <c r="AB45" i="44"/>
  <c r="O232" i="43"/>
  <c r="O267" i="43"/>
  <c r="AB55" i="44"/>
  <c r="L267" i="43"/>
  <c r="Y55" i="44"/>
  <c r="E40" i="46"/>
  <c r="E41" i="46"/>
  <c r="E37" i="46"/>
  <c r="E36" i="46"/>
  <c r="H36" i="46" s="1"/>
  <c r="E39" i="46"/>
  <c r="E38" i="46"/>
  <c r="P57" i="43"/>
  <c r="AC13" i="44"/>
  <c r="AB13" i="44"/>
  <c r="O57" i="43"/>
  <c r="P50" i="43"/>
  <c r="AC12" i="44"/>
  <c r="Z12" i="44"/>
  <c r="M50" i="43"/>
  <c r="P162" i="43"/>
  <c r="AC29" i="44"/>
  <c r="Q162" i="43"/>
  <c r="AD29" i="44"/>
  <c r="N190" i="43"/>
  <c r="AA36" i="44"/>
  <c r="P190" i="43"/>
  <c r="AC36" i="44"/>
  <c r="F186" i="46"/>
  <c r="F188" i="46"/>
  <c r="F183" i="46"/>
  <c r="I183" i="46" s="1"/>
  <c r="X244" i="43" s="1"/>
  <c r="V244" i="43" s="1"/>
  <c r="F184" i="46"/>
  <c r="F187" i="46"/>
  <c r="F185" i="46"/>
  <c r="N246" i="43"/>
  <c r="AA50" i="44"/>
  <c r="P246" i="43"/>
  <c r="AC50" i="44"/>
  <c r="R260" i="43"/>
  <c r="AE54" i="44"/>
  <c r="P260" i="43"/>
  <c r="AC54" i="44"/>
  <c r="P71" i="43"/>
  <c r="AC14" i="44"/>
  <c r="Q71" i="43"/>
  <c r="AD14" i="44"/>
  <c r="R92" i="43"/>
  <c r="AE18" i="44"/>
  <c r="Q92" i="43"/>
  <c r="AD18" i="44"/>
  <c r="L85" i="43"/>
  <c r="Y17" i="44"/>
  <c r="O85" i="43"/>
  <c r="AB17" i="44"/>
  <c r="E111" i="46"/>
  <c r="E114" i="46"/>
  <c r="E109" i="46"/>
  <c r="H109" i="46" s="1"/>
  <c r="W167" i="43" s="1"/>
  <c r="E110" i="46"/>
  <c r="E113" i="46"/>
  <c r="E112" i="46"/>
  <c r="N169" i="43"/>
  <c r="AA30" i="44"/>
  <c r="Q169" i="43"/>
  <c r="AD30" i="44"/>
  <c r="F141" i="46"/>
  <c r="F138" i="46"/>
  <c r="I138" i="46" s="1"/>
  <c r="X195" i="43" s="1"/>
  <c r="V195" i="43" s="1"/>
  <c r="F143" i="46"/>
  <c r="F140" i="46"/>
  <c r="F139" i="46"/>
  <c r="F142" i="46"/>
  <c r="N197" i="43"/>
  <c r="AA37" i="44"/>
  <c r="E161" i="46"/>
  <c r="H161" i="46" s="1"/>
  <c r="E164" i="46"/>
  <c r="E163" i="46"/>
  <c r="E165" i="46"/>
  <c r="E166" i="46"/>
  <c r="E162" i="46"/>
  <c r="Q218" i="43"/>
  <c r="AD44" i="44"/>
  <c r="L218" i="43"/>
  <c r="Y44" i="44"/>
  <c r="R253" i="43"/>
  <c r="AE51" i="44"/>
  <c r="P253" i="43"/>
  <c r="AC51" i="44"/>
  <c r="O274" i="43"/>
  <c r="AB56" i="44"/>
  <c r="M274" i="43"/>
  <c r="Z56" i="44"/>
  <c r="AB22" i="44"/>
  <c r="O120" i="43"/>
  <c r="R22" i="43"/>
  <c r="AE8" i="44"/>
  <c r="Z19" i="44"/>
  <c r="M106" i="43"/>
  <c r="R106" i="43"/>
  <c r="AE19" i="44"/>
  <c r="L120" i="43"/>
  <c r="Y22" i="44"/>
  <c r="AD22" i="44"/>
  <c r="Q120" i="43"/>
  <c r="P150" i="43"/>
  <c r="P147" i="43"/>
  <c r="P149" i="43"/>
  <c r="P151" i="43"/>
  <c r="P146" i="43"/>
  <c r="O149" i="43"/>
  <c r="O150" i="43"/>
  <c r="O151" i="43"/>
  <c r="O147" i="43"/>
  <c r="O146" i="43"/>
  <c r="F121" i="46"/>
  <c r="F117" i="46"/>
  <c r="F116" i="46"/>
  <c r="I116" i="46" s="1"/>
  <c r="X174" i="43" s="1"/>
  <c r="V174" i="43" s="1"/>
  <c r="F119" i="46"/>
  <c r="F118" i="46"/>
  <c r="F120" i="46"/>
  <c r="M176" i="43"/>
  <c r="Z32" i="44"/>
  <c r="R204" i="43"/>
  <c r="AE40" i="44"/>
  <c r="L204" i="43"/>
  <c r="Y40" i="44"/>
  <c r="E176" i="46"/>
  <c r="H176" i="46" s="1"/>
  <c r="W237" i="43" s="1"/>
  <c r="E179" i="46"/>
  <c r="H179" i="46" s="1"/>
  <c r="W240" i="43" s="1"/>
  <c r="E178" i="46"/>
  <c r="E180" i="46"/>
  <c r="E181" i="46"/>
  <c r="E177" i="46"/>
  <c r="P239" i="43"/>
  <c r="AC49" i="44"/>
  <c r="R239" i="43"/>
  <c r="AE49" i="44"/>
  <c r="E225" i="46"/>
  <c r="E221" i="46"/>
  <c r="E220" i="46"/>
  <c r="H220" i="46" s="1"/>
  <c r="W279" i="43" s="1"/>
  <c r="E223" i="46"/>
  <c r="E222" i="46"/>
  <c r="E224" i="46"/>
  <c r="L281" i="43"/>
  <c r="Y59" i="44"/>
  <c r="Q281" i="43"/>
  <c r="AD59" i="44"/>
  <c r="X8" i="44"/>
  <c r="U8" i="44"/>
  <c r="AD8" i="44"/>
  <c r="Q22" i="43"/>
  <c r="E25" i="46"/>
  <c r="E26" i="46"/>
  <c r="E24" i="46"/>
  <c r="E21" i="46"/>
  <c r="H21" i="46" s="1"/>
  <c r="E22" i="46"/>
  <c r="E23" i="46"/>
  <c r="AB9" i="44"/>
  <c r="O36" i="43"/>
  <c r="R36" i="43"/>
  <c r="AE9" i="44"/>
  <c r="E12" i="46"/>
  <c r="E10" i="46"/>
  <c r="E7" i="46"/>
  <c r="H7" i="46" s="1"/>
  <c r="W13" i="43" s="1"/>
  <c r="B227" i="46"/>
  <c r="E11" i="46"/>
  <c r="E9" i="46"/>
  <c r="E8" i="46"/>
  <c r="H8" i="46" s="1"/>
  <c r="W14" i="43" s="1"/>
  <c r="F8" i="46"/>
  <c r="I8" i="46" s="1"/>
  <c r="X14" i="43" s="1"/>
  <c r="V14" i="43" s="1"/>
  <c r="F7" i="46"/>
  <c r="I7" i="46" s="1"/>
  <c r="F11" i="46"/>
  <c r="C227" i="46"/>
  <c r="F10" i="46"/>
  <c r="F12" i="46"/>
  <c r="F9" i="46"/>
  <c r="I9" i="46" s="1"/>
  <c r="X15" i="43" s="1"/>
  <c r="V15" i="43" s="1"/>
  <c r="R15" i="43"/>
  <c r="AE7" i="44"/>
  <c r="AB23" i="44"/>
  <c r="O134" i="43"/>
  <c r="N134" i="43"/>
  <c r="AA23" i="44"/>
  <c r="E94" i="46"/>
  <c r="H94" i="46" s="1"/>
  <c r="W153" i="43" s="1"/>
  <c r="E99" i="46"/>
  <c r="E98" i="46"/>
  <c r="E95" i="46"/>
  <c r="H95" i="46" s="1"/>
  <c r="W154" i="43" s="1"/>
  <c r="E96" i="46"/>
  <c r="E97" i="46"/>
  <c r="M155" i="43"/>
  <c r="Z26" i="44"/>
  <c r="R155" i="43"/>
  <c r="AE26" i="44"/>
  <c r="E124" i="46"/>
  <c r="H124" i="46" s="1"/>
  <c r="W181" i="43" s="1"/>
  <c r="E129" i="46"/>
  <c r="E126" i="46"/>
  <c r="E125" i="46"/>
  <c r="E128" i="46"/>
  <c r="E127" i="46"/>
  <c r="H127" i="46" s="1"/>
  <c r="W184" i="43" s="1"/>
  <c r="L183" i="43"/>
  <c r="Y35" i="44"/>
  <c r="X35" i="44"/>
  <c r="F156" i="46"/>
  <c r="F153" i="46"/>
  <c r="I153" i="46" s="1"/>
  <c r="X209" i="43" s="1"/>
  <c r="V209" i="43" s="1"/>
  <c r="F158" i="46"/>
  <c r="F155" i="46"/>
  <c r="I155" i="46" s="1"/>
  <c r="X211" i="43" s="1"/>
  <c r="V211" i="43" s="1"/>
  <c r="F154" i="46"/>
  <c r="F157" i="46"/>
  <c r="M211" i="43"/>
  <c r="Z41" i="44"/>
  <c r="N211" i="43"/>
  <c r="AA41" i="44"/>
  <c r="F171" i="46"/>
  <c r="F168" i="46"/>
  <c r="I168" i="46" s="1"/>
  <c r="X230" i="43" s="1"/>
  <c r="V230" i="43" s="1"/>
  <c r="F170" i="46"/>
  <c r="F173" i="46"/>
  <c r="F169" i="46"/>
  <c r="F172" i="46"/>
  <c r="P232" i="43"/>
  <c r="AC45" i="44"/>
  <c r="Q232" i="43"/>
  <c r="AD45" i="44"/>
  <c r="F210" i="46"/>
  <c r="F206" i="46"/>
  <c r="F205" i="46"/>
  <c r="I205" i="46" s="1"/>
  <c r="X265" i="43" s="1"/>
  <c r="V265" i="43" s="1"/>
  <c r="F208" i="46"/>
  <c r="F209" i="46"/>
  <c r="F207" i="46"/>
  <c r="I207" i="46" s="1"/>
  <c r="X267" i="43" s="1"/>
  <c r="V267" i="43" s="1"/>
  <c r="Q267" i="43"/>
  <c r="AD55" i="44"/>
  <c r="N267" i="43"/>
  <c r="AA55" i="44"/>
  <c r="N57" i="43"/>
  <c r="AA13" i="44"/>
  <c r="R57" i="43"/>
  <c r="AE13" i="44"/>
  <c r="E30" i="46"/>
  <c r="E29" i="46"/>
  <c r="H29" i="46" s="1"/>
  <c r="W48" i="43" s="1"/>
  <c r="E32" i="46"/>
  <c r="E31" i="46"/>
  <c r="H31" i="46" s="1"/>
  <c r="W50" i="43" s="1"/>
  <c r="E34" i="46"/>
  <c r="E33" i="46"/>
  <c r="R50" i="43"/>
  <c r="AE12" i="44"/>
  <c r="X12" i="44"/>
  <c r="U12" i="44"/>
  <c r="E102" i="46"/>
  <c r="H102" i="46" s="1"/>
  <c r="W160" i="43" s="1"/>
  <c r="E103" i="46"/>
  <c r="E104" i="46"/>
  <c r="E106" i="46"/>
  <c r="E107" i="46"/>
  <c r="E105" i="46"/>
  <c r="N162" i="43"/>
  <c r="AA29" i="44"/>
  <c r="M162" i="43"/>
  <c r="Z29" i="44"/>
  <c r="E131" i="46"/>
  <c r="H131" i="46" s="1"/>
  <c r="W188" i="43" s="1"/>
  <c r="E134" i="46"/>
  <c r="E133" i="46"/>
  <c r="E135" i="46"/>
  <c r="E136" i="46"/>
  <c r="E132" i="46"/>
  <c r="M190" i="43"/>
  <c r="Z36" i="44"/>
  <c r="O190" i="43"/>
  <c r="AB36" i="44"/>
  <c r="E183" i="46"/>
  <c r="H183" i="46" s="1"/>
  <c r="W244" i="43" s="1"/>
  <c r="E188" i="46"/>
  <c r="E185" i="46"/>
  <c r="E184" i="46"/>
  <c r="E187" i="46"/>
  <c r="E186" i="46"/>
  <c r="L246" i="43"/>
  <c r="Y50" i="44"/>
  <c r="R246" i="43"/>
  <c r="AE50" i="44"/>
  <c r="O260" i="43"/>
  <c r="AB54" i="44"/>
  <c r="N260" i="43"/>
  <c r="AA54" i="44"/>
  <c r="F48" i="46"/>
  <c r="F43" i="46"/>
  <c r="I43" i="46" s="1"/>
  <c r="F44" i="46"/>
  <c r="I44" i="46" s="1"/>
  <c r="F47" i="46"/>
  <c r="F46" i="46"/>
  <c r="F45" i="46"/>
  <c r="M71" i="43"/>
  <c r="Z14" i="44"/>
  <c r="N71" i="43"/>
  <c r="AA14" i="44"/>
  <c r="F63" i="46"/>
  <c r="F59" i="46"/>
  <c r="F58" i="46"/>
  <c r="I58" i="46" s="1"/>
  <c r="F61" i="46"/>
  <c r="F60" i="46"/>
  <c r="I60" i="46" s="1"/>
  <c r="F62" i="46"/>
  <c r="P92" i="43"/>
  <c r="AC18" i="44"/>
  <c r="N92" i="43"/>
  <c r="AA18" i="44"/>
  <c r="F54" i="46"/>
  <c r="F51" i="46"/>
  <c r="I51" i="46" s="1"/>
  <c r="X83" i="43" s="1"/>
  <c r="V83" i="43" s="1"/>
  <c r="F56" i="46"/>
  <c r="F53" i="46"/>
  <c r="F52" i="46"/>
  <c r="F55" i="46"/>
  <c r="N85" i="43"/>
  <c r="AA17" i="44"/>
  <c r="P85" i="43"/>
  <c r="AC17" i="44"/>
  <c r="O169" i="43"/>
  <c r="AB30" i="44"/>
  <c r="E138" i="46"/>
  <c r="H138" i="46" s="1"/>
  <c r="W195" i="43" s="1"/>
  <c r="E143" i="46"/>
  <c r="E140" i="46"/>
  <c r="H140" i="46" s="1"/>
  <c r="W197" i="43" s="1"/>
  <c r="E139" i="46"/>
  <c r="E142" i="46"/>
  <c r="E141" i="46"/>
  <c r="Q197" i="43"/>
  <c r="AD37" i="44"/>
  <c r="O197" i="43"/>
  <c r="AB37" i="44"/>
  <c r="R218" i="43"/>
  <c r="AE44" i="44"/>
  <c r="P218" i="43"/>
  <c r="AC44" i="44"/>
  <c r="Q253" i="43"/>
  <c r="AD51" i="44"/>
  <c r="N253" i="43"/>
  <c r="AA51" i="44"/>
  <c r="P274" i="43"/>
  <c r="AC56" i="44"/>
  <c r="L274" i="43"/>
  <c r="Y56" i="44"/>
  <c r="A44" i="24"/>
  <c r="A40" i="24"/>
  <c r="A36" i="24"/>
  <c r="A32" i="24"/>
  <c r="A28" i="24"/>
  <c r="A24" i="24"/>
  <c r="A20" i="24"/>
  <c r="A16" i="24"/>
  <c r="A12" i="24"/>
  <c r="A8" i="24"/>
  <c r="A4" i="24"/>
  <c r="A41" i="24"/>
  <c r="A37" i="24"/>
  <c r="A33" i="24"/>
  <c r="A29" i="24"/>
  <c r="A25" i="24"/>
  <c r="A21" i="24"/>
  <c r="A17" i="24"/>
  <c r="A13" i="24"/>
  <c r="A9" i="24"/>
  <c r="A5" i="24"/>
  <c r="A42" i="24"/>
  <c r="A38" i="24"/>
  <c r="A34" i="24"/>
  <c r="A30" i="24"/>
  <c r="A26" i="24"/>
  <c r="A22" i="24"/>
  <c r="A18" i="24"/>
  <c r="A14" i="24"/>
  <c r="A10" i="24"/>
  <c r="A6" i="24"/>
  <c r="A43" i="24"/>
  <c r="A39" i="24"/>
  <c r="A35" i="24"/>
  <c r="A31" i="24"/>
  <c r="A27" i="24"/>
  <c r="A23" i="24"/>
  <c r="A19" i="24"/>
  <c r="A15" i="24"/>
  <c r="A11" i="24"/>
  <c r="A7" i="24"/>
  <c r="B52" i="17"/>
  <c r="C52" i="17"/>
  <c r="I120" i="46" l="1"/>
  <c r="X178" i="43" s="1"/>
  <c r="F178" i="43" s="1"/>
  <c r="H171" i="46"/>
  <c r="W233" i="43" s="1"/>
  <c r="H166" i="46"/>
  <c r="H207" i="46"/>
  <c r="W267" i="43" s="1"/>
  <c r="I85" i="46"/>
  <c r="I201" i="46"/>
  <c r="X261" i="43" s="1"/>
  <c r="V261" i="43" s="1"/>
  <c r="I88" i="46"/>
  <c r="X147" i="43" s="1"/>
  <c r="V147" i="43" s="1"/>
  <c r="I69" i="46"/>
  <c r="I56" i="46"/>
  <c r="H187" i="46"/>
  <c r="W248" i="43" s="1"/>
  <c r="I173" i="46"/>
  <c r="I157" i="46"/>
  <c r="X213" i="43" s="1"/>
  <c r="F213" i="43" s="1"/>
  <c r="H113" i="46"/>
  <c r="W171" i="43" s="1"/>
  <c r="H39" i="46"/>
  <c r="I132" i="46"/>
  <c r="X189" i="43" s="1"/>
  <c r="V189" i="43" s="1"/>
  <c r="I103" i="46"/>
  <c r="X161" i="43" s="1"/>
  <c r="V161" i="43" s="1"/>
  <c r="H223" i="46"/>
  <c r="W282" i="43" s="1"/>
  <c r="H177" i="46"/>
  <c r="W238" i="43" s="1"/>
  <c r="I117" i="46"/>
  <c r="X175" i="43" s="1"/>
  <c r="V175" i="43" s="1"/>
  <c r="I185" i="46"/>
  <c r="X246" i="43" s="1"/>
  <c r="V246" i="43" s="1"/>
  <c r="I17" i="46"/>
  <c r="H216" i="46"/>
  <c r="W276" i="43" s="1"/>
  <c r="I67" i="46"/>
  <c r="I141" i="46"/>
  <c r="X198" i="43" s="1"/>
  <c r="V198" i="43" s="1"/>
  <c r="I187" i="46"/>
  <c r="X248" i="43" s="1"/>
  <c r="F248" i="43" s="1"/>
  <c r="H203" i="46"/>
  <c r="W263" i="43" s="1"/>
  <c r="I33" i="46"/>
  <c r="H54" i="46"/>
  <c r="W86" i="43" s="1"/>
  <c r="I78" i="46"/>
  <c r="H97" i="46"/>
  <c r="W156" i="43" s="1"/>
  <c r="I11" i="46"/>
  <c r="X17" i="43" s="1"/>
  <c r="F17" i="43" s="1"/>
  <c r="I15" i="46"/>
  <c r="X28" i="43" s="1"/>
  <c r="V28" i="43" s="1"/>
  <c r="H75" i="46"/>
  <c r="I166" i="46"/>
  <c r="I63" i="46"/>
  <c r="H133" i="46"/>
  <c r="W190" i="43" s="1"/>
  <c r="H107" i="46"/>
  <c r="W165" i="43" s="1"/>
  <c r="H47" i="46"/>
  <c r="I194" i="46"/>
  <c r="X255" i="43" s="1"/>
  <c r="F255" i="43" s="1"/>
  <c r="I206" i="46"/>
  <c r="X266" i="43" s="1"/>
  <c r="V266" i="43" s="1"/>
  <c r="H125" i="46"/>
  <c r="W182" i="43" s="1"/>
  <c r="H99" i="46"/>
  <c r="W158" i="43" s="1"/>
  <c r="H9" i="46"/>
  <c r="W15" i="43" s="1"/>
  <c r="I139" i="46"/>
  <c r="X196" i="43" s="1"/>
  <c r="V196" i="43" s="1"/>
  <c r="I186" i="46"/>
  <c r="X247" i="43" s="1"/>
  <c r="V247" i="43" s="1"/>
  <c r="H37" i="46"/>
  <c r="I126" i="46"/>
  <c r="X183" i="43" s="1"/>
  <c r="V183" i="43" s="1"/>
  <c r="I19" i="46"/>
  <c r="I148" i="46"/>
  <c r="X204" i="43" s="1"/>
  <c r="V204" i="43" s="1"/>
  <c r="I151" i="46"/>
  <c r="H201" i="46"/>
  <c r="W261" i="43" s="1"/>
  <c r="I134" i="46"/>
  <c r="X191" i="43" s="1"/>
  <c r="V191" i="43" s="1"/>
  <c r="I105" i="46"/>
  <c r="X163" i="43" s="1"/>
  <c r="V163" i="43" s="1"/>
  <c r="H155" i="46"/>
  <c r="W211" i="43" s="1"/>
  <c r="H52" i="46"/>
  <c r="W84" i="43" s="1"/>
  <c r="H172" i="46"/>
  <c r="W234" i="43" s="1"/>
  <c r="H18" i="46"/>
  <c r="H119" i="46"/>
  <c r="W177" i="43" s="1"/>
  <c r="I89" i="46"/>
  <c r="X148" i="43" s="1"/>
  <c r="V148" i="43" s="1"/>
  <c r="I92" i="46"/>
  <c r="X151" i="43" s="1"/>
  <c r="F151" i="43" s="1"/>
  <c r="I76" i="46"/>
  <c r="I70" i="46"/>
  <c r="H142" i="46"/>
  <c r="W199" i="43" s="1"/>
  <c r="I52" i="46"/>
  <c r="X84" i="43" s="1"/>
  <c r="V84" i="43" s="1"/>
  <c r="I54" i="46"/>
  <c r="X86" i="43" s="1"/>
  <c r="V86" i="43" s="1"/>
  <c r="I46" i="46"/>
  <c r="I48" i="46"/>
  <c r="H185" i="46"/>
  <c r="W246" i="43" s="1"/>
  <c r="H136" i="46"/>
  <c r="W193" i="43" s="1"/>
  <c r="H104" i="46"/>
  <c r="W162" i="43" s="1"/>
  <c r="H33" i="46"/>
  <c r="W52" i="43" s="1"/>
  <c r="I170" i="46"/>
  <c r="X232" i="43" s="1"/>
  <c r="V232" i="43" s="1"/>
  <c r="H221" i="46"/>
  <c r="W280" i="43" s="1"/>
  <c r="I119" i="46"/>
  <c r="X177" i="43" s="1"/>
  <c r="V177" i="43" s="1"/>
  <c r="I179" i="46"/>
  <c r="X240" i="43" s="1"/>
  <c r="V240" i="43" s="1"/>
  <c r="H78" i="46"/>
  <c r="H192" i="46"/>
  <c r="W253" i="43" s="1"/>
  <c r="I163" i="46"/>
  <c r="H89" i="46"/>
  <c r="W148" i="43" s="1"/>
  <c r="H69" i="46"/>
  <c r="H67" i="46"/>
  <c r="H214" i="46"/>
  <c r="W274" i="43" s="1"/>
  <c r="I215" i="46"/>
  <c r="X275" i="43" s="1"/>
  <c r="V275" i="43" s="1"/>
  <c r="I193" i="46"/>
  <c r="X254" i="43" s="1"/>
  <c r="V254" i="43" s="1"/>
  <c r="I62" i="46"/>
  <c r="X94" i="43" s="1"/>
  <c r="F94" i="43" s="1"/>
  <c r="H135" i="46"/>
  <c r="W192" i="43" s="1"/>
  <c r="I172" i="46"/>
  <c r="X234" i="43" s="1"/>
  <c r="F234" i="43" s="1"/>
  <c r="H129" i="46"/>
  <c r="W186" i="43" s="1"/>
  <c r="H23" i="46"/>
  <c r="H26" i="46"/>
  <c r="H163" i="46"/>
  <c r="I143" i="46"/>
  <c r="H111" i="46"/>
  <c r="W169" i="43" s="1"/>
  <c r="I128" i="46"/>
  <c r="X185" i="43" s="1"/>
  <c r="F185" i="43" s="1"/>
  <c r="I22" i="46"/>
  <c r="I221" i="46"/>
  <c r="X280" i="43" s="1"/>
  <c r="V280" i="43" s="1"/>
  <c r="H60" i="46"/>
  <c r="H45" i="46"/>
  <c r="I31" i="46"/>
  <c r="X50" i="43" s="1"/>
  <c r="V50" i="43" s="1"/>
  <c r="I41" i="46"/>
  <c r="H82" i="46"/>
  <c r="I217" i="46"/>
  <c r="H56" i="46"/>
  <c r="W88" i="43" s="1"/>
  <c r="H170" i="46"/>
  <c r="W232" i="43" s="1"/>
  <c r="I81" i="46"/>
  <c r="H149" i="46"/>
  <c r="W205" i="43" s="1"/>
  <c r="I74" i="46"/>
  <c r="I66" i="46"/>
  <c r="H139" i="46"/>
  <c r="W196" i="43" s="1"/>
  <c r="I53" i="46"/>
  <c r="X85" i="43" s="1"/>
  <c r="V85" i="43" s="1"/>
  <c r="X101" i="43"/>
  <c r="F101" i="43" s="1"/>
  <c r="I59" i="46"/>
  <c r="I47" i="46"/>
  <c r="H186" i="46"/>
  <c r="W247" i="43" s="1"/>
  <c r="H188" i="46"/>
  <c r="W249" i="43" s="1"/>
  <c r="H105" i="46"/>
  <c r="W163" i="43" s="1"/>
  <c r="H103" i="46"/>
  <c r="W161" i="43" s="1"/>
  <c r="H34" i="46"/>
  <c r="W53" i="43" s="1"/>
  <c r="H30" i="46"/>
  <c r="W49" i="43" s="1"/>
  <c r="N64" i="43"/>
  <c r="N60" i="43"/>
  <c r="N59" i="43"/>
  <c r="N58" i="43"/>
  <c r="N56" i="43"/>
  <c r="N55" i="43"/>
  <c r="N266" i="43"/>
  <c r="N270" i="43"/>
  <c r="N269" i="43"/>
  <c r="N265" i="43"/>
  <c r="N268" i="43"/>
  <c r="I209" i="46"/>
  <c r="X269" i="43" s="1"/>
  <c r="F269" i="43" s="1"/>
  <c r="I210" i="46"/>
  <c r="P235" i="43"/>
  <c r="P234" i="43"/>
  <c r="P230" i="43"/>
  <c r="P231" i="43"/>
  <c r="P233" i="43"/>
  <c r="N214" i="43"/>
  <c r="N213" i="43"/>
  <c r="N209" i="43"/>
  <c r="N210" i="43"/>
  <c r="N212" i="43"/>
  <c r="I154" i="46"/>
  <c r="X210" i="43" s="1"/>
  <c r="V210" i="43" s="1"/>
  <c r="I156" i="46"/>
  <c r="X212" i="43" s="1"/>
  <c r="V212" i="43" s="1"/>
  <c r="L184" i="43"/>
  <c r="L186" i="43"/>
  <c r="L181" i="43"/>
  <c r="L185" i="43"/>
  <c r="L182" i="43"/>
  <c r="H126" i="46"/>
  <c r="W183" i="43" s="1"/>
  <c r="R157" i="43"/>
  <c r="R156" i="43"/>
  <c r="R158" i="43"/>
  <c r="R153" i="43"/>
  <c r="R154" i="43"/>
  <c r="S155" i="43"/>
  <c r="H96" i="46"/>
  <c r="W155" i="43" s="1"/>
  <c r="I12" i="46"/>
  <c r="X18" i="43" s="1"/>
  <c r="F18" i="43" s="1"/>
  <c r="H11" i="46"/>
  <c r="W17" i="43" s="1"/>
  <c r="H12" i="46"/>
  <c r="W18" i="43" s="1"/>
  <c r="H24" i="46"/>
  <c r="L279" i="43"/>
  <c r="L282" i="43"/>
  <c r="L280" i="43"/>
  <c r="L283" i="43"/>
  <c r="L284" i="43"/>
  <c r="R242" i="43"/>
  <c r="R241" i="43"/>
  <c r="R240" i="43"/>
  <c r="R238" i="43"/>
  <c r="R237" i="43"/>
  <c r="S239" i="43"/>
  <c r="H181" i="46"/>
  <c r="W242" i="43" s="1"/>
  <c r="R205" i="43"/>
  <c r="R206" i="43"/>
  <c r="R207" i="43"/>
  <c r="R203" i="43"/>
  <c r="R202" i="43"/>
  <c r="S204" i="43"/>
  <c r="I118" i="46"/>
  <c r="X176" i="43" s="1"/>
  <c r="V176" i="43" s="1"/>
  <c r="I121" i="46"/>
  <c r="R109" i="43"/>
  <c r="R108" i="43"/>
  <c r="R104" i="43"/>
  <c r="R105" i="43"/>
  <c r="R107" i="43"/>
  <c r="S106" i="43"/>
  <c r="R113" i="43"/>
  <c r="R24" i="43"/>
  <c r="R25" i="43"/>
  <c r="R21" i="43"/>
  <c r="R23" i="43"/>
  <c r="R20" i="43"/>
  <c r="R29" i="43"/>
  <c r="S22" i="43"/>
  <c r="M275" i="43"/>
  <c r="M277" i="43"/>
  <c r="M273" i="43"/>
  <c r="M276" i="43"/>
  <c r="M272" i="43"/>
  <c r="P256" i="43"/>
  <c r="P251" i="43"/>
  <c r="P254" i="43"/>
  <c r="P252" i="43"/>
  <c r="P255" i="43"/>
  <c r="H162" i="46"/>
  <c r="H164" i="46"/>
  <c r="I142" i="46"/>
  <c r="X199" i="43" s="1"/>
  <c r="F199" i="43" s="1"/>
  <c r="H110" i="46"/>
  <c r="W168" i="43" s="1"/>
  <c r="I188" i="46"/>
  <c r="W62" i="43"/>
  <c r="W55" i="43"/>
  <c r="O269" i="43"/>
  <c r="O265" i="43"/>
  <c r="O268" i="43"/>
  <c r="O270" i="43"/>
  <c r="O266" i="43"/>
  <c r="L213" i="43"/>
  <c r="L209" i="43"/>
  <c r="L214" i="43"/>
  <c r="L210" i="43"/>
  <c r="L212" i="43"/>
  <c r="N185" i="43"/>
  <c r="N186" i="43"/>
  <c r="N181" i="43"/>
  <c r="N184" i="43"/>
  <c r="N182" i="43"/>
  <c r="I129" i="46"/>
  <c r="L158" i="43"/>
  <c r="L156" i="43"/>
  <c r="L154" i="43"/>
  <c r="L153" i="43"/>
  <c r="L157" i="43"/>
  <c r="I95" i="46"/>
  <c r="X154" i="43" s="1"/>
  <c r="V154" i="43" s="1"/>
  <c r="I97" i="46"/>
  <c r="X156" i="43" s="1"/>
  <c r="V156" i="43" s="1"/>
  <c r="M18" i="43"/>
  <c r="M17" i="43"/>
  <c r="M14" i="43"/>
  <c r="M16" i="43"/>
  <c r="M13" i="43"/>
  <c r="I23" i="46"/>
  <c r="L24" i="43"/>
  <c r="L21" i="43"/>
  <c r="L25" i="43"/>
  <c r="L20" i="43"/>
  <c r="L23" i="43"/>
  <c r="L29" i="43"/>
  <c r="I16" i="46"/>
  <c r="X27" i="43"/>
  <c r="V27" i="43" s="1"/>
  <c r="X20" i="43"/>
  <c r="V20" i="43" s="1"/>
  <c r="M282" i="43"/>
  <c r="M280" i="43"/>
  <c r="M283" i="43"/>
  <c r="M284" i="43"/>
  <c r="M279" i="43"/>
  <c r="I222" i="46"/>
  <c r="X281" i="43" s="1"/>
  <c r="V281" i="43" s="1"/>
  <c r="O241" i="43"/>
  <c r="O242" i="43"/>
  <c r="O240" i="43"/>
  <c r="O238" i="43"/>
  <c r="O237" i="43"/>
  <c r="I181" i="46"/>
  <c r="I149" i="46"/>
  <c r="X205" i="43" s="1"/>
  <c r="V205" i="43" s="1"/>
  <c r="N177" i="43"/>
  <c r="N179" i="43"/>
  <c r="N175" i="43"/>
  <c r="N178" i="43"/>
  <c r="N174" i="43"/>
  <c r="M123" i="43"/>
  <c r="M122" i="43"/>
  <c r="M118" i="43"/>
  <c r="M121" i="43"/>
  <c r="M119" i="43"/>
  <c r="M127" i="43"/>
  <c r="H74" i="46"/>
  <c r="H76" i="46"/>
  <c r="X223" i="43"/>
  <c r="V223" i="43" s="1"/>
  <c r="X216" i="43"/>
  <c r="V216" i="43" s="1"/>
  <c r="L198" i="43"/>
  <c r="L200" i="43"/>
  <c r="L199" i="43"/>
  <c r="L195" i="43"/>
  <c r="L196" i="43"/>
  <c r="R172" i="43"/>
  <c r="R171" i="43"/>
  <c r="R168" i="43"/>
  <c r="R170" i="43"/>
  <c r="R167" i="43"/>
  <c r="S169" i="43"/>
  <c r="I114" i="46"/>
  <c r="R88" i="43"/>
  <c r="R87" i="43"/>
  <c r="R86" i="43"/>
  <c r="R84" i="43"/>
  <c r="R83" i="43"/>
  <c r="S85" i="43"/>
  <c r="H61" i="46"/>
  <c r="H59" i="46"/>
  <c r="H48" i="46"/>
  <c r="H44" i="46"/>
  <c r="Q263" i="43"/>
  <c r="Q258" i="43"/>
  <c r="Q262" i="43"/>
  <c r="Q261" i="43"/>
  <c r="Q259" i="43"/>
  <c r="H200" i="46"/>
  <c r="W260" i="43" s="1"/>
  <c r="Q244" i="43"/>
  <c r="Q249" i="43"/>
  <c r="Q247" i="43"/>
  <c r="Q248" i="43"/>
  <c r="Q245" i="43"/>
  <c r="L193" i="43"/>
  <c r="L191" i="43"/>
  <c r="L192" i="43"/>
  <c r="L188" i="43"/>
  <c r="L189" i="43"/>
  <c r="I133" i="46"/>
  <c r="X190" i="43" s="1"/>
  <c r="V190" i="43" s="1"/>
  <c r="I136" i="46"/>
  <c r="I104" i="46"/>
  <c r="X162" i="43" s="1"/>
  <c r="V162" i="43" s="1"/>
  <c r="I107" i="46"/>
  <c r="X165" i="43" s="1"/>
  <c r="F165" i="43" s="1"/>
  <c r="I30" i="46"/>
  <c r="X49" i="43" s="1"/>
  <c r="V49" i="43" s="1"/>
  <c r="I39" i="46"/>
  <c r="I40" i="46"/>
  <c r="H154" i="46"/>
  <c r="W210" i="43" s="1"/>
  <c r="N157" i="43"/>
  <c r="N158" i="43"/>
  <c r="N156" i="43"/>
  <c r="N154" i="43"/>
  <c r="N153" i="43"/>
  <c r="H81" i="46"/>
  <c r="AC61" i="44"/>
  <c r="U60" i="44"/>
  <c r="P39" i="43"/>
  <c r="P38" i="43"/>
  <c r="P37" i="43"/>
  <c r="P35" i="43"/>
  <c r="P34" i="43"/>
  <c r="P43" i="43"/>
  <c r="P25" i="43"/>
  <c r="P24" i="43"/>
  <c r="P21" i="43"/>
  <c r="P20" i="43"/>
  <c r="P23" i="43"/>
  <c r="P29" i="43"/>
  <c r="P279" i="43"/>
  <c r="P282" i="43"/>
  <c r="P280" i="43"/>
  <c r="P283" i="43"/>
  <c r="P284" i="43"/>
  <c r="Q241" i="43"/>
  <c r="Q242" i="43"/>
  <c r="Q240" i="43"/>
  <c r="Q238" i="43"/>
  <c r="Q237" i="43"/>
  <c r="M206" i="43"/>
  <c r="M207" i="43"/>
  <c r="M205" i="43"/>
  <c r="M202" i="43"/>
  <c r="M203" i="43"/>
  <c r="Q177" i="43"/>
  <c r="Q179" i="43"/>
  <c r="Q178" i="43"/>
  <c r="Q175" i="43"/>
  <c r="Q174" i="43"/>
  <c r="H88" i="46"/>
  <c r="W147" i="43" s="1"/>
  <c r="H90" i="46"/>
  <c r="W149" i="43" s="1"/>
  <c r="H66" i="46"/>
  <c r="H215" i="46"/>
  <c r="W275" i="43" s="1"/>
  <c r="H217" i="46"/>
  <c r="W277" i="43" s="1"/>
  <c r="X277" i="43"/>
  <c r="F277" i="43" s="1"/>
  <c r="M256" i="43"/>
  <c r="M252" i="43"/>
  <c r="M255" i="43"/>
  <c r="M254" i="43"/>
  <c r="M251" i="43"/>
  <c r="N220" i="43"/>
  <c r="N221" i="43"/>
  <c r="N219" i="43"/>
  <c r="N216" i="43"/>
  <c r="N217" i="43"/>
  <c r="N225" i="43"/>
  <c r="M198" i="43"/>
  <c r="M199" i="43"/>
  <c r="M200" i="43"/>
  <c r="M195" i="43"/>
  <c r="M196" i="43"/>
  <c r="M171" i="43"/>
  <c r="M172" i="43"/>
  <c r="M168" i="43"/>
  <c r="M170" i="43"/>
  <c r="M167" i="43"/>
  <c r="Q88" i="43"/>
  <c r="Q87" i="43"/>
  <c r="Q83" i="43"/>
  <c r="Q86" i="43"/>
  <c r="Q84" i="43"/>
  <c r="H53" i="46"/>
  <c r="W85" i="43" s="1"/>
  <c r="M95" i="43"/>
  <c r="M94" i="43"/>
  <c r="M93" i="43"/>
  <c r="M91" i="43"/>
  <c r="M90" i="43"/>
  <c r="M99" i="43"/>
  <c r="L78" i="43"/>
  <c r="L74" i="43"/>
  <c r="L73" i="43"/>
  <c r="L72" i="43"/>
  <c r="L69" i="43"/>
  <c r="L70" i="43"/>
  <c r="X263" i="43"/>
  <c r="F263" i="43" s="1"/>
  <c r="O247" i="43"/>
  <c r="O248" i="43"/>
  <c r="O244" i="43"/>
  <c r="O249" i="43"/>
  <c r="O245" i="43"/>
  <c r="L165" i="43"/>
  <c r="L164" i="43"/>
  <c r="L163" i="43"/>
  <c r="L160" i="43"/>
  <c r="L161" i="43"/>
  <c r="L64" i="43"/>
  <c r="L60" i="43"/>
  <c r="L59" i="43"/>
  <c r="L58" i="43"/>
  <c r="L56" i="43"/>
  <c r="L55" i="43"/>
  <c r="H173" i="46"/>
  <c r="W235" i="43" s="1"/>
  <c r="Q136" i="43"/>
  <c r="Q141" i="43"/>
  <c r="Q133" i="43"/>
  <c r="Q137" i="43"/>
  <c r="Q135" i="43"/>
  <c r="Q132" i="43"/>
  <c r="X141" i="43"/>
  <c r="V141" i="43" s="1"/>
  <c r="X134" i="43"/>
  <c r="V134" i="43" s="1"/>
  <c r="AD61" i="44"/>
  <c r="N25" i="43"/>
  <c r="N24" i="43"/>
  <c r="N21" i="43"/>
  <c r="N20" i="43"/>
  <c r="N23" i="43"/>
  <c r="N29" i="43"/>
  <c r="H17" i="46"/>
  <c r="R283" i="43"/>
  <c r="R284" i="43"/>
  <c r="R279" i="43"/>
  <c r="R282" i="43"/>
  <c r="R280" i="43"/>
  <c r="S281" i="43"/>
  <c r="Q207" i="43"/>
  <c r="Q205" i="43"/>
  <c r="Q206" i="43"/>
  <c r="Q202" i="43"/>
  <c r="Q203" i="43"/>
  <c r="H151" i="46"/>
  <c r="W207" i="43" s="1"/>
  <c r="O177" i="43"/>
  <c r="O179" i="43"/>
  <c r="O178" i="43"/>
  <c r="O175" i="43"/>
  <c r="O174" i="43"/>
  <c r="H118" i="46"/>
  <c r="W176" i="43" s="1"/>
  <c r="X127" i="43"/>
  <c r="V127" i="43" s="1"/>
  <c r="X120" i="43"/>
  <c r="V120" i="43" s="1"/>
  <c r="X130" i="43"/>
  <c r="F130" i="43" s="1"/>
  <c r="X123" i="43"/>
  <c r="F123" i="43" s="1"/>
  <c r="O108" i="43"/>
  <c r="O109" i="43"/>
  <c r="O104" i="43"/>
  <c r="O105" i="43"/>
  <c r="O107" i="43"/>
  <c r="O113" i="43"/>
  <c r="X113" i="43"/>
  <c r="V113" i="43" s="1"/>
  <c r="X106" i="43"/>
  <c r="V106" i="43" s="1"/>
  <c r="P277" i="43"/>
  <c r="P276" i="43"/>
  <c r="P275" i="43"/>
  <c r="P272" i="43"/>
  <c r="P273" i="43"/>
  <c r="Q252" i="43"/>
  <c r="Q255" i="43"/>
  <c r="Q256" i="43"/>
  <c r="Q254" i="43"/>
  <c r="Q251" i="43"/>
  <c r="R220" i="43"/>
  <c r="R221" i="43"/>
  <c r="R219" i="43"/>
  <c r="R216" i="43"/>
  <c r="R217" i="43"/>
  <c r="S218" i="43"/>
  <c r="R225" i="43"/>
  <c r="Q198" i="43"/>
  <c r="Q200" i="43"/>
  <c r="Q195" i="43"/>
  <c r="Q199" i="43"/>
  <c r="Q196" i="43"/>
  <c r="O172" i="43"/>
  <c r="O171" i="43"/>
  <c r="O168" i="43"/>
  <c r="O167" i="43"/>
  <c r="O170" i="43"/>
  <c r="N87" i="43"/>
  <c r="N88" i="43"/>
  <c r="N83" i="43"/>
  <c r="N86" i="43"/>
  <c r="N84" i="43"/>
  <c r="X88" i="43"/>
  <c r="F88" i="43" s="1"/>
  <c r="N95" i="43"/>
  <c r="N94" i="43"/>
  <c r="N93" i="43"/>
  <c r="N91" i="43"/>
  <c r="N90" i="43"/>
  <c r="N99" i="43"/>
  <c r="X99" i="43"/>
  <c r="V99" i="43" s="1"/>
  <c r="X92" i="43"/>
  <c r="V92" i="43" s="1"/>
  <c r="X102" i="43"/>
  <c r="F102" i="43" s="1"/>
  <c r="X95" i="43"/>
  <c r="F95" i="43" s="1"/>
  <c r="M72" i="43"/>
  <c r="M78" i="43"/>
  <c r="M74" i="43"/>
  <c r="M70" i="43"/>
  <c r="M73" i="43"/>
  <c r="M69" i="43"/>
  <c r="X77" i="43"/>
  <c r="V77" i="43" s="1"/>
  <c r="X70" i="43"/>
  <c r="V70" i="43" s="1"/>
  <c r="N262" i="43"/>
  <c r="N261" i="43"/>
  <c r="N263" i="43"/>
  <c r="N258" i="43"/>
  <c r="N259" i="43"/>
  <c r="R249" i="43"/>
  <c r="R247" i="43"/>
  <c r="R245" i="43"/>
  <c r="R244" i="43"/>
  <c r="R248" i="43"/>
  <c r="S246" i="43"/>
  <c r="M192" i="43"/>
  <c r="M191" i="43"/>
  <c r="M193" i="43"/>
  <c r="M188" i="43"/>
  <c r="M189" i="43"/>
  <c r="M165" i="43"/>
  <c r="M164" i="43"/>
  <c r="M160" i="43"/>
  <c r="M161" i="43"/>
  <c r="M163" i="43"/>
  <c r="I208" i="46"/>
  <c r="X268" i="43" s="1"/>
  <c r="V268" i="43" s="1"/>
  <c r="AE61" i="44"/>
  <c r="I10" i="46"/>
  <c r="X16" i="43" s="1"/>
  <c r="V16" i="43" s="1"/>
  <c r="W36" i="43"/>
  <c r="W43" i="43"/>
  <c r="W46" i="43"/>
  <c r="W39" i="43"/>
  <c r="Q282" i="43"/>
  <c r="Q280" i="43"/>
  <c r="Q283" i="43"/>
  <c r="Q284" i="43"/>
  <c r="Q279" i="43"/>
  <c r="H224" i="46"/>
  <c r="W283" i="43" s="1"/>
  <c r="H180" i="46"/>
  <c r="W241" i="43" s="1"/>
  <c r="M108" i="43"/>
  <c r="M109" i="43"/>
  <c r="M107" i="43"/>
  <c r="M105" i="43"/>
  <c r="M104" i="43"/>
  <c r="M113" i="43"/>
  <c r="O122" i="43"/>
  <c r="O123" i="43"/>
  <c r="O118" i="43"/>
  <c r="O121" i="43"/>
  <c r="O119" i="43"/>
  <c r="O127" i="43"/>
  <c r="L219" i="43"/>
  <c r="L220" i="43"/>
  <c r="L217" i="43"/>
  <c r="L221" i="43"/>
  <c r="L216" i="43"/>
  <c r="L225" i="43"/>
  <c r="W228" i="43"/>
  <c r="W221" i="43"/>
  <c r="W216" i="43"/>
  <c r="W223" i="43"/>
  <c r="N171" i="43"/>
  <c r="N170" i="43"/>
  <c r="N172" i="43"/>
  <c r="N168" i="43"/>
  <c r="N167" i="43"/>
  <c r="O87" i="43"/>
  <c r="O88" i="43"/>
  <c r="O83" i="43"/>
  <c r="O86" i="43"/>
  <c r="O84" i="43"/>
  <c r="Q95" i="43"/>
  <c r="Q94" i="43"/>
  <c r="Q93" i="43"/>
  <c r="Q91" i="43"/>
  <c r="Q90" i="43"/>
  <c r="Q99" i="43"/>
  <c r="Q72" i="43"/>
  <c r="Q78" i="43"/>
  <c r="Q74" i="43"/>
  <c r="Q70" i="43"/>
  <c r="Q73" i="43"/>
  <c r="Q69" i="43"/>
  <c r="P263" i="43"/>
  <c r="P262" i="43"/>
  <c r="P261" i="43"/>
  <c r="P258" i="43"/>
  <c r="P259" i="43"/>
  <c r="P249" i="43"/>
  <c r="P248" i="43"/>
  <c r="P247" i="43"/>
  <c r="P245" i="43"/>
  <c r="P244" i="43"/>
  <c r="N191" i="43"/>
  <c r="N192" i="43"/>
  <c r="N193" i="43"/>
  <c r="N188" i="43"/>
  <c r="N189" i="43"/>
  <c r="P165" i="43"/>
  <c r="P161" i="43"/>
  <c r="P160" i="43"/>
  <c r="P163" i="43"/>
  <c r="P164" i="43"/>
  <c r="P53" i="43"/>
  <c r="P51" i="43"/>
  <c r="P52" i="43"/>
  <c r="P48" i="43"/>
  <c r="P49" i="43"/>
  <c r="P64" i="43"/>
  <c r="P60" i="43"/>
  <c r="P59" i="43"/>
  <c r="P58" i="43"/>
  <c r="P56" i="43"/>
  <c r="P55" i="43"/>
  <c r="W63" i="43"/>
  <c r="W56" i="43"/>
  <c r="O235" i="43"/>
  <c r="O233" i="43"/>
  <c r="O234" i="43"/>
  <c r="O230" i="43"/>
  <c r="O231" i="43"/>
  <c r="AB61" i="44"/>
  <c r="X42" i="43"/>
  <c r="V42" i="43" s="1"/>
  <c r="X35" i="43"/>
  <c r="V35" i="43" s="1"/>
  <c r="X44" i="43"/>
  <c r="V44" i="43" s="1"/>
  <c r="X37" i="43"/>
  <c r="V37" i="43" s="1"/>
  <c r="X21" i="43"/>
  <c r="V21" i="43" s="1"/>
  <c r="P206" i="43"/>
  <c r="P207" i="43"/>
  <c r="P205" i="43"/>
  <c r="P203" i="43"/>
  <c r="P202" i="43"/>
  <c r="S151" i="43"/>
  <c r="S146" i="43"/>
  <c r="S149" i="43"/>
  <c r="S147" i="43"/>
  <c r="T148" i="43"/>
  <c r="S150" i="43"/>
  <c r="W130" i="43"/>
  <c r="W123" i="43"/>
  <c r="W125" i="43"/>
  <c r="W118" i="43"/>
  <c r="L109" i="43"/>
  <c r="L108" i="43"/>
  <c r="L107" i="43"/>
  <c r="L105" i="43"/>
  <c r="L104" i="43"/>
  <c r="L113" i="43"/>
  <c r="O255" i="43"/>
  <c r="O256" i="43"/>
  <c r="O252" i="43"/>
  <c r="O254" i="43"/>
  <c r="O251" i="43"/>
  <c r="M219" i="43"/>
  <c r="M220" i="43"/>
  <c r="M221" i="43"/>
  <c r="M217" i="43"/>
  <c r="M216" i="43"/>
  <c r="M225" i="43"/>
  <c r="X225" i="43"/>
  <c r="V225" i="43" s="1"/>
  <c r="X218" i="43"/>
  <c r="V218" i="43" s="1"/>
  <c r="R200" i="43"/>
  <c r="R199" i="43"/>
  <c r="R198" i="43"/>
  <c r="R196" i="43"/>
  <c r="R195" i="43"/>
  <c r="S197" i="43"/>
  <c r="W102" i="43"/>
  <c r="W95" i="43"/>
  <c r="W97" i="43"/>
  <c r="W90" i="43"/>
  <c r="W76" i="43"/>
  <c r="W69" i="43"/>
  <c r="X52" i="43"/>
  <c r="F52" i="43" s="1"/>
  <c r="X62" i="43"/>
  <c r="V62" i="43" s="1"/>
  <c r="X55" i="43"/>
  <c r="V55" i="43" s="1"/>
  <c r="X64" i="43"/>
  <c r="V64" i="43" s="1"/>
  <c r="X57" i="43"/>
  <c r="V57" i="43" s="1"/>
  <c r="P270" i="43"/>
  <c r="P266" i="43"/>
  <c r="P269" i="43"/>
  <c r="P265" i="43"/>
  <c r="P268" i="43"/>
  <c r="R234" i="43"/>
  <c r="R235" i="43"/>
  <c r="R231" i="43"/>
  <c r="R230" i="43"/>
  <c r="R233" i="43"/>
  <c r="S232" i="43"/>
  <c r="P214" i="43"/>
  <c r="P209" i="43"/>
  <c r="P213" i="43"/>
  <c r="P210" i="43"/>
  <c r="P212" i="43"/>
  <c r="Q186" i="43"/>
  <c r="Q185" i="43"/>
  <c r="Q181" i="43"/>
  <c r="Q184" i="43"/>
  <c r="Q182" i="43"/>
  <c r="W139" i="43"/>
  <c r="W132" i="43"/>
  <c r="P17" i="43"/>
  <c r="P18" i="43"/>
  <c r="P16" i="43"/>
  <c r="P13" i="43"/>
  <c r="P14" i="43"/>
  <c r="N108" i="43"/>
  <c r="N107" i="43"/>
  <c r="N109" i="43"/>
  <c r="N105" i="43"/>
  <c r="N104" i="43"/>
  <c r="N113" i="43"/>
  <c r="W111" i="43"/>
  <c r="W104" i="43"/>
  <c r="R277" i="43"/>
  <c r="R275" i="43"/>
  <c r="R276" i="43"/>
  <c r="R272" i="43"/>
  <c r="R273" i="43"/>
  <c r="S274" i="43"/>
  <c r="N276" i="43"/>
  <c r="N277" i="43"/>
  <c r="N275" i="43"/>
  <c r="N272" i="43"/>
  <c r="N273" i="43"/>
  <c r="L262" i="43"/>
  <c r="L263" i="43"/>
  <c r="L261" i="43"/>
  <c r="L259" i="43"/>
  <c r="L258" i="43"/>
  <c r="Q191" i="43"/>
  <c r="Q192" i="43"/>
  <c r="Q188" i="43"/>
  <c r="Q193" i="43"/>
  <c r="Q189" i="43"/>
  <c r="M60" i="43"/>
  <c r="M59" i="43"/>
  <c r="M58" i="43"/>
  <c r="M55" i="43"/>
  <c r="M64" i="43"/>
  <c r="M56" i="43"/>
  <c r="R266" i="43"/>
  <c r="R269" i="43"/>
  <c r="R270" i="43"/>
  <c r="R265" i="43"/>
  <c r="R268" i="43"/>
  <c r="S267" i="43"/>
  <c r="M234" i="43"/>
  <c r="M233" i="43"/>
  <c r="M231" i="43"/>
  <c r="M230" i="43"/>
  <c r="M235" i="43"/>
  <c r="R213" i="43"/>
  <c r="R214" i="43"/>
  <c r="R209" i="43"/>
  <c r="R210" i="43"/>
  <c r="R212" i="43"/>
  <c r="S211" i="43"/>
  <c r="O185" i="43"/>
  <c r="O186" i="43"/>
  <c r="O181" i="43"/>
  <c r="O184" i="43"/>
  <c r="O182" i="43"/>
  <c r="Q156" i="43"/>
  <c r="Q157" i="43"/>
  <c r="Q158" i="43"/>
  <c r="Q153" i="43"/>
  <c r="Q154" i="43"/>
  <c r="X144" i="43"/>
  <c r="F144" i="43" s="1"/>
  <c r="X137" i="43"/>
  <c r="F137" i="43" s="1"/>
  <c r="Q18" i="43"/>
  <c r="Q17" i="43"/>
  <c r="Q16" i="43"/>
  <c r="Q14" i="43"/>
  <c r="Q13" i="43"/>
  <c r="N39" i="43"/>
  <c r="N38" i="43"/>
  <c r="N37" i="43"/>
  <c r="N35" i="43"/>
  <c r="N34" i="43"/>
  <c r="N43" i="43"/>
  <c r="O25" i="43"/>
  <c r="O23" i="43"/>
  <c r="O20" i="43"/>
  <c r="O21" i="43"/>
  <c r="O24" i="43"/>
  <c r="O29" i="43"/>
  <c r="W31" i="43"/>
  <c r="W24" i="43"/>
  <c r="W29" i="43"/>
  <c r="W22" i="43"/>
  <c r="X128" i="43"/>
  <c r="V128" i="43" s="1"/>
  <c r="X121" i="43"/>
  <c r="V121" i="43" s="1"/>
  <c r="X116" i="43"/>
  <c r="F116" i="43" s="1"/>
  <c r="X109" i="43"/>
  <c r="F109" i="43" s="1"/>
  <c r="H141" i="46"/>
  <c r="W198" i="43" s="1"/>
  <c r="H143" i="46"/>
  <c r="W200" i="43" s="1"/>
  <c r="I55" i="46"/>
  <c r="X87" i="43" s="1"/>
  <c r="F87" i="43" s="1"/>
  <c r="I61" i="46"/>
  <c r="I45" i="46"/>
  <c r="X76" i="43"/>
  <c r="V76" i="43" s="1"/>
  <c r="X69" i="43"/>
  <c r="V69" i="43" s="1"/>
  <c r="H184" i="46"/>
  <c r="W245" i="43" s="1"/>
  <c r="H132" i="46"/>
  <c r="W189" i="43" s="1"/>
  <c r="H134" i="46"/>
  <c r="W191" i="43" s="1"/>
  <c r="H106" i="46"/>
  <c r="W164" i="43" s="1"/>
  <c r="S50" i="43"/>
  <c r="R53" i="43"/>
  <c r="R51" i="43"/>
  <c r="R52" i="43"/>
  <c r="R49" i="43"/>
  <c r="R48" i="43"/>
  <c r="H32" i="46"/>
  <c r="W51" i="43" s="1"/>
  <c r="S57" i="43"/>
  <c r="R64" i="43"/>
  <c r="R60" i="43"/>
  <c r="R59" i="43"/>
  <c r="R58" i="43"/>
  <c r="R56" i="43"/>
  <c r="R55" i="43"/>
  <c r="Q268" i="43"/>
  <c r="Q266" i="43"/>
  <c r="Q270" i="43"/>
  <c r="Q269" i="43"/>
  <c r="Q265" i="43"/>
  <c r="Q233" i="43"/>
  <c r="Q234" i="43"/>
  <c r="Q231" i="43"/>
  <c r="Q235" i="43"/>
  <c r="Q230" i="43"/>
  <c r="I169" i="46"/>
  <c r="X231" i="43" s="1"/>
  <c r="V231" i="43" s="1"/>
  <c r="I171" i="46"/>
  <c r="X233" i="43" s="1"/>
  <c r="V233" i="43" s="1"/>
  <c r="M214" i="43"/>
  <c r="M213" i="43"/>
  <c r="M212" i="43"/>
  <c r="M209" i="43"/>
  <c r="M210" i="43"/>
  <c r="I158" i="46"/>
  <c r="H128" i="46"/>
  <c r="W185" i="43" s="1"/>
  <c r="M156" i="43"/>
  <c r="M157" i="43"/>
  <c r="M153" i="43"/>
  <c r="M158" i="43"/>
  <c r="M154" i="43"/>
  <c r="H98" i="46"/>
  <c r="W157" i="43" s="1"/>
  <c r="N137" i="43"/>
  <c r="N141" i="43"/>
  <c r="N135" i="43"/>
  <c r="N133" i="43"/>
  <c r="N136" i="43"/>
  <c r="N132" i="43"/>
  <c r="R13" i="43"/>
  <c r="R16" i="43"/>
  <c r="R18" i="43"/>
  <c r="R17" i="43"/>
  <c r="R14" i="43"/>
  <c r="S15" i="43"/>
  <c r="R39" i="43"/>
  <c r="R38" i="43"/>
  <c r="R37" i="43"/>
  <c r="R35" i="43"/>
  <c r="R34" i="43"/>
  <c r="R43" i="43"/>
  <c r="S36" i="43"/>
  <c r="H22" i="46"/>
  <c r="H25" i="46"/>
  <c r="H222" i="46"/>
  <c r="W281" i="43" s="1"/>
  <c r="H225" i="46"/>
  <c r="W284" i="43" s="1"/>
  <c r="P241" i="43"/>
  <c r="P240" i="43"/>
  <c r="P237" i="43"/>
  <c r="P242" i="43"/>
  <c r="P238" i="43"/>
  <c r="H178" i="46"/>
  <c r="W239" i="43" s="1"/>
  <c r="L207" i="43"/>
  <c r="L206" i="43"/>
  <c r="L205" i="43"/>
  <c r="L203" i="43"/>
  <c r="L202" i="43"/>
  <c r="M178" i="43"/>
  <c r="M177" i="43"/>
  <c r="M179" i="43"/>
  <c r="M175" i="43"/>
  <c r="M174" i="43"/>
  <c r="L121" i="43"/>
  <c r="L123" i="43"/>
  <c r="L119" i="43"/>
  <c r="L118" i="43"/>
  <c r="L122" i="43"/>
  <c r="L127" i="43"/>
  <c r="O277" i="43"/>
  <c r="O275" i="43"/>
  <c r="O272" i="43"/>
  <c r="O276" i="43"/>
  <c r="O273" i="43"/>
  <c r="R256" i="43"/>
  <c r="R252" i="43"/>
  <c r="R251" i="43"/>
  <c r="R255" i="43"/>
  <c r="R254" i="43"/>
  <c r="S253" i="43"/>
  <c r="H165" i="46"/>
  <c r="I140" i="46"/>
  <c r="X197" i="43" s="1"/>
  <c r="V197" i="43" s="1"/>
  <c r="H112" i="46"/>
  <c r="W170" i="43" s="1"/>
  <c r="H114" i="46"/>
  <c r="W172" i="43" s="1"/>
  <c r="I184" i="46"/>
  <c r="X245" i="43" s="1"/>
  <c r="V245" i="43" s="1"/>
  <c r="M52" i="43"/>
  <c r="M53" i="43"/>
  <c r="M48" i="43"/>
  <c r="M49" i="43"/>
  <c r="M51" i="43"/>
  <c r="O64" i="43"/>
  <c r="O59" i="43"/>
  <c r="O60" i="43"/>
  <c r="O58" i="43"/>
  <c r="O56" i="43"/>
  <c r="O55" i="43"/>
  <c r="H38" i="46"/>
  <c r="H41" i="46"/>
  <c r="L270" i="43"/>
  <c r="L266" i="43"/>
  <c r="L269" i="43"/>
  <c r="L265" i="43"/>
  <c r="L268" i="43"/>
  <c r="R186" i="43"/>
  <c r="R185" i="43"/>
  <c r="R184" i="43"/>
  <c r="R182" i="43"/>
  <c r="R181" i="43"/>
  <c r="S183" i="43"/>
  <c r="I125" i="46"/>
  <c r="X182" i="43" s="1"/>
  <c r="V182" i="43" s="1"/>
  <c r="I127" i="46"/>
  <c r="X184" i="43" s="1"/>
  <c r="V184" i="43" s="1"/>
  <c r="O157" i="43"/>
  <c r="O156" i="43"/>
  <c r="O158" i="43"/>
  <c r="O153" i="43"/>
  <c r="O154" i="43"/>
  <c r="I99" i="46"/>
  <c r="P135" i="43"/>
  <c r="P136" i="43"/>
  <c r="P141" i="43"/>
  <c r="P132" i="43"/>
  <c r="P133" i="43"/>
  <c r="P137" i="43"/>
  <c r="O16" i="43"/>
  <c r="O14" i="43"/>
  <c r="O17" i="43"/>
  <c r="O18" i="43"/>
  <c r="O13" i="43"/>
  <c r="L39" i="43"/>
  <c r="L38" i="43"/>
  <c r="L37" i="43"/>
  <c r="L35" i="43"/>
  <c r="L34" i="43"/>
  <c r="L43" i="43"/>
  <c r="I26" i="46"/>
  <c r="X34" i="43"/>
  <c r="V34" i="43" s="1"/>
  <c r="X41" i="43"/>
  <c r="V41" i="43" s="1"/>
  <c r="M24" i="43"/>
  <c r="M25" i="43"/>
  <c r="M23" i="43"/>
  <c r="M20" i="43"/>
  <c r="M21" i="43"/>
  <c r="M29" i="43"/>
  <c r="I18" i="46"/>
  <c r="I225" i="46"/>
  <c r="X284" i="43" s="1"/>
  <c r="F284" i="43" s="1"/>
  <c r="M242" i="43"/>
  <c r="M241" i="43"/>
  <c r="M238" i="43"/>
  <c r="M237" i="43"/>
  <c r="M240" i="43"/>
  <c r="I178" i="46"/>
  <c r="X239" i="43" s="1"/>
  <c r="V239" i="43" s="1"/>
  <c r="I150" i="46"/>
  <c r="X206" i="43" s="1"/>
  <c r="F206" i="43" s="1"/>
  <c r="I147" i="46"/>
  <c r="X203" i="43" s="1"/>
  <c r="V203" i="43" s="1"/>
  <c r="L179" i="43"/>
  <c r="L178" i="43"/>
  <c r="L177" i="43"/>
  <c r="L174" i="43"/>
  <c r="L175" i="43"/>
  <c r="H77" i="46"/>
  <c r="Q108" i="43"/>
  <c r="Q109" i="43"/>
  <c r="Q107" i="43"/>
  <c r="Q104" i="43"/>
  <c r="Q105" i="43"/>
  <c r="Q113" i="43"/>
  <c r="H191" i="46"/>
  <c r="W252" i="43" s="1"/>
  <c r="H193" i="46"/>
  <c r="W254" i="43" s="1"/>
  <c r="I165" i="46"/>
  <c r="I162" i="46"/>
  <c r="P170" i="43"/>
  <c r="P172" i="43"/>
  <c r="P171" i="43"/>
  <c r="P167" i="43"/>
  <c r="P168" i="43"/>
  <c r="I110" i="46"/>
  <c r="X168" i="43" s="1"/>
  <c r="V168" i="43" s="1"/>
  <c r="I112" i="46"/>
  <c r="X170" i="43" s="1"/>
  <c r="V170" i="43" s="1"/>
  <c r="M88" i="43"/>
  <c r="M87" i="43"/>
  <c r="M83" i="43"/>
  <c r="M86" i="43"/>
  <c r="M84" i="43"/>
  <c r="H62" i="46"/>
  <c r="H46" i="46"/>
  <c r="M263" i="43"/>
  <c r="M262" i="43"/>
  <c r="M259" i="43"/>
  <c r="M261" i="43"/>
  <c r="M258" i="43"/>
  <c r="H202" i="46"/>
  <c r="W262" i="43" s="1"/>
  <c r="M249" i="43"/>
  <c r="M247" i="43"/>
  <c r="M244" i="43"/>
  <c r="M248" i="43"/>
  <c r="M245" i="43"/>
  <c r="R192" i="43"/>
  <c r="R191" i="43"/>
  <c r="R193" i="43"/>
  <c r="R188" i="43"/>
  <c r="R189" i="43"/>
  <c r="S190" i="43"/>
  <c r="O164" i="43"/>
  <c r="O165" i="43"/>
  <c r="O160" i="43"/>
  <c r="O161" i="43"/>
  <c r="O163" i="43"/>
  <c r="N52" i="43"/>
  <c r="N53" i="43"/>
  <c r="N51" i="43"/>
  <c r="N49" i="43"/>
  <c r="N48" i="43"/>
  <c r="I32" i="46"/>
  <c r="X51" i="43" s="1"/>
  <c r="V51" i="43" s="1"/>
  <c r="I34" i="46"/>
  <c r="X53" i="43" s="1"/>
  <c r="F53" i="43" s="1"/>
  <c r="Q60" i="43"/>
  <c r="Q59" i="43"/>
  <c r="Q58" i="43"/>
  <c r="Q64" i="43"/>
  <c r="Q56" i="43"/>
  <c r="Q55" i="43"/>
  <c r="I37" i="46"/>
  <c r="H156" i="46"/>
  <c r="W212" i="43" s="1"/>
  <c r="H158" i="46"/>
  <c r="W214" i="43" s="1"/>
  <c r="L141" i="43"/>
  <c r="L137" i="43"/>
  <c r="L136" i="43"/>
  <c r="L135" i="43"/>
  <c r="L133" i="43"/>
  <c r="L132" i="43"/>
  <c r="H83" i="46"/>
  <c r="H85" i="46"/>
  <c r="Y61" i="44"/>
  <c r="M39" i="43"/>
  <c r="M38" i="43"/>
  <c r="M37" i="43"/>
  <c r="M34" i="43"/>
  <c r="M35" i="43"/>
  <c r="M43" i="43"/>
  <c r="O284" i="43"/>
  <c r="O279" i="43"/>
  <c r="O282" i="43"/>
  <c r="O280" i="43"/>
  <c r="O283" i="43"/>
  <c r="N242" i="43"/>
  <c r="N240" i="43"/>
  <c r="N238" i="43"/>
  <c r="N237" i="43"/>
  <c r="N241" i="43"/>
  <c r="O206" i="43"/>
  <c r="O207" i="43"/>
  <c r="O205" i="43"/>
  <c r="O202" i="43"/>
  <c r="O203" i="43"/>
  <c r="P179" i="43"/>
  <c r="P178" i="43"/>
  <c r="P174" i="43"/>
  <c r="P177" i="43"/>
  <c r="P175" i="43"/>
  <c r="L150" i="43"/>
  <c r="L147" i="43"/>
  <c r="L149" i="43"/>
  <c r="L151" i="43"/>
  <c r="L146" i="43"/>
  <c r="H91" i="46"/>
  <c r="W150" i="43" s="1"/>
  <c r="H68" i="46"/>
  <c r="H70" i="46"/>
  <c r="H213" i="46"/>
  <c r="W273" i="43" s="1"/>
  <c r="I216" i="46"/>
  <c r="X276" i="43" s="1"/>
  <c r="F276" i="43" s="1"/>
  <c r="I214" i="46"/>
  <c r="X274" i="43" s="1"/>
  <c r="V274" i="43" s="1"/>
  <c r="I192" i="46"/>
  <c r="X253" i="43" s="1"/>
  <c r="V253" i="43" s="1"/>
  <c r="I195" i="46"/>
  <c r="O221" i="43"/>
  <c r="O219" i="43"/>
  <c r="O216" i="43"/>
  <c r="O217" i="43"/>
  <c r="O220" i="43"/>
  <c r="O225" i="43"/>
  <c r="P199" i="43"/>
  <c r="P198" i="43"/>
  <c r="P200" i="43"/>
  <c r="P196" i="43"/>
  <c r="P195" i="43"/>
  <c r="H55" i="46"/>
  <c r="W87" i="43" s="1"/>
  <c r="L95" i="43"/>
  <c r="L94" i="43"/>
  <c r="L93" i="43"/>
  <c r="L91" i="43"/>
  <c r="L90" i="43"/>
  <c r="L99" i="43"/>
  <c r="R74" i="43"/>
  <c r="R73" i="43"/>
  <c r="R70" i="43"/>
  <c r="R69" i="43"/>
  <c r="R78" i="43"/>
  <c r="R72" i="43"/>
  <c r="S71" i="43"/>
  <c r="I202" i="46"/>
  <c r="X262" i="43" s="1"/>
  <c r="F262" i="43" s="1"/>
  <c r="I200" i="46"/>
  <c r="X260" i="43" s="1"/>
  <c r="V260" i="43" s="1"/>
  <c r="R164" i="43"/>
  <c r="R163" i="43"/>
  <c r="R165" i="43"/>
  <c r="R161" i="43"/>
  <c r="R160" i="43"/>
  <c r="S162" i="43"/>
  <c r="L48" i="43"/>
  <c r="L52" i="43"/>
  <c r="L49" i="43"/>
  <c r="L53" i="43"/>
  <c r="L51" i="43"/>
  <c r="H206" i="46"/>
  <c r="W266" i="43" s="1"/>
  <c r="H208" i="46"/>
  <c r="W268" i="43" s="1"/>
  <c r="H169" i="46"/>
  <c r="W231" i="43" s="1"/>
  <c r="I84" i="46"/>
  <c r="X132" i="43"/>
  <c r="V132" i="43" s="1"/>
  <c r="X139" i="43"/>
  <c r="V139" i="43" s="1"/>
  <c r="AA61" i="44"/>
  <c r="H19" i="46"/>
  <c r="H15" i="46"/>
  <c r="N283" i="43"/>
  <c r="N284" i="43"/>
  <c r="N279" i="43"/>
  <c r="N282" i="43"/>
  <c r="N280" i="43"/>
  <c r="L241" i="43"/>
  <c r="L240" i="43"/>
  <c r="L238" i="43"/>
  <c r="L237" i="43"/>
  <c r="L242" i="43"/>
  <c r="N205" i="43"/>
  <c r="N206" i="43"/>
  <c r="N203" i="43"/>
  <c r="N202" i="43"/>
  <c r="N207" i="43"/>
  <c r="H148" i="46"/>
  <c r="W204" i="43" s="1"/>
  <c r="R178" i="43"/>
  <c r="R177" i="43"/>
  <c r="R179" i="43"/>
  <c r="R174" i="43"/>
  <c r="R175" i="43"/>
  <c r="S176" i="43"/>
  <c r="H121" i="46"/>
  <c r="W179" i="43" s="1"/>
  <c r="I90" i="46"/>
  <c r="X149" i="43" s="1"/>
  <c r="V149" i="43" s="1"/>
  <c r="X118" i="43"/>
  <c r="V118" i="43" s="1"/>
  <c r="X125" i="43"/>
  <c r="V125" i="43" s="1"/>
  <c r="X115" i="43"/>
  <c r="F115" i="43" s="1"/>
  <c r="X108" i="43"/>
  <c r="F108" i="43" s="1"/>
  <c r="X104" i="43"/>
  <c r="V104" i="43" s="1"/>
  <c r="X111" i="43"/>
  <c r="V111" i="43" s="1"/>
  <c r="L277" i="43"/>
  <c r="L275" i="43"/>
  <c r="L276" i="43"/>
  <c r="L272" i="43"/>
  <c r="L273" i="43"/>
  <c r="N252" i="43"/>
  <c r="N255" i="43"/>
  <c r="N256" i="43"/>
  <c r="N251" i="43"/>
  <c r="N254" i="43"/>
  <c r="P219" i="43"/>
  <c r="P220" i="43"/>
  <c r="P217" i="43"/>
  <c r="P216" i="43"/>
  <c r="P221" i="43"/>
  <c r="P225" i="43"/>
  <c r="O199" i="43"/>
  <c r="O198" i="43"/>
  <c r="O200" i="43"/>
  <c r="O195" i="43"/>
  <c r="O196" i="43"/>
  <c r="P88" i="43"/>
  <c r="P86" i="43"/>
  <c r="P87" i="43"/>
  <c r="P84" i="43"/>
  <c r="P83" i="43"/>
  <c r="P95" i="43"/>
  <c r="P94" i="43"/>
  <c r="P93" i="43"/>
  <c r="P91" i="43"/>
  <c r="P90" i="43"/>
  <c r="P99" i="43"/>
  <c r="X90" i="43"/>
  <c r="V90" i="43" s="1"/>
  <c r="X97" i="43"/>
  <c r="V97" i="43" s="1"/>
  <c r="N73" i="43"/>
  <c r="N78" i="43"/>
  <c r="N74" i="43"/>
  <c r="N70" i="43"/>
  <c r="N72" i="43"/>
  <c r="N69" i="43"/>
  <c r="X79" i="43"/>
  <c r="V79" i="43" s="1"/>
  <c r="X72" i="43"/>
  <c r="V72" i="43" s="1"/>
  <c r="X81" i="43"/>
  <c r="F81" i="43" s="1"/>
  <c r="X74" i="43"/>
  <c r="F74" i="43" s="1"/>
  <c r="O261" i="43"/>
  <c r="O263" i="43"/>
  <c r="O258" i="43"/>
  <c r="O259" i="43"/>
  <c r="O262" i="43"/>
  <c r="L249" i="43"/>
  <c r="L247" i="43"/>
  <c r="L248" i="43"/>
  <c r="L244" i="43"/>
  <c r="L245" i="43"/>
  <c r="O193" i="43"/>
  <c r="O192" i="43"/>
  <c r="O188" i="43"/>
  <c r="O191" i="43"/>
  <c r="O189" i="43"/>
  <c r="N164" i="43"/>
  <c r="N163" i="43"/>
  <c r="N165" i="43"/>
  <c r="N161" i="43"/>
  <c r="N160" i="43"/>
  <c r="X235" i="43"/>
  <c r="F235" i="43" s="1"/>
  <c r="O141" i="43"/>
  <c r="O136" i="43"/>
  <c r="O133" i="43"/>
  <c r="O135" i="43"/>
  <c r="O132" i="43"/>
  <c r="O137" i="43"/>
  <c r="H10" i="46"/>
  <c r="W16" i="43" s="1"/>
  <c r="O38" i="43"/>
  <c r="O35" i="43"/>
  <c r="O34" i="43"/>
  <c r="O37" i="43"/>
  <c r="O39" i="43"/>
  <c r="O43" i="43"/>
  <c r="W41" i="43"/>
  <c r="W34" i="43"/>
  <c r="Q25" i="43"/>
  <c r="Q23" i="43"/>
  <c r="Q24" i="43"/>
  <c r="Q21" i="43"/>
  <c r="Q20" i="43"/>
  <c r="Q29" i="43"/>
  <c r="Q122" i="43"/>
  <c r="Q123" i="43"/>
  <c r="Q118" i="43"/>
  <c r="Q119" i="43"/>
  <c r="Q121" i="43"/>
  <c r="Q127" i="43"/>
  <c r="Q219" i="43"/>
  <c r="Q220" i="43"/>
  <c r="Q221" i="43"/>
  <c r="Q216" i="43"/>
  <c r="Q217" i="43"/>
  <c r="Q225" i="43"/>
  <c r="W225" i="43"/>
  <c r="W218" i="43"/>
  <c r="N200" i="43"/>
  <c r="N199" i="43"/>
  <c r="N195" i="43"/>
  <c r="N196" i="43"/>
  <c r="N198" i="43"/>
  <c r="X200" i="43"/>
  <c r="F200" i="43" s="1"/>
  <c r="Q172" i="43"/>
  <c r="Q171" i="43"/>
  <c r="Q168" i="43"/>
  <c r="Q170" i="43"/>
  <c r="Q167" i="43"/>
  <c r="L86" i="43"/>
  <c r="L88" i="43"/>
  <c r="L83" i="43"/>
  <c r="L87" i="43"/>
  <c r="L84" i="43"/>
  <c r="R95" i="43"/>
  <c r="R94" i="43"/>
  <c r="R93" i="43"/>
  <c r="R91" i="43"/>
  <c r="R90" i="43"/>
  <c r="R99" i="43"/>
  <c r="S92" i="43"/>
  <c r="P74" i="43"/>
  <c r="P72" i="43"/>
  <c r="P78" i="43"/>
  <c r="P73" i="43"/>
  <c r="P70" i="43"/>
  <c r="P69" i="43"/>
  <c r="R261" i="43"/>
  <c r="R262" i="43"/>
  <c r="R263" i="43"/>
  <c r="R258" i="43"/>
  <c r="R259" i="43"/>
  <c r="S260" i="43"/>
  <c r="N249" i="43"/>
  <c r="N247" i="43"/>
  <c r="N245" i="43"/>
  <c r="N244" i="43"/>
  <c r="N248" i="43"/>
  <c r="P193" i="43"/>
  <c r="P192" i="43"/>
  <c r="P191" i="43"/>
  <c r="P188" i="43"/>
  <c r="P189" i="43"/>
  <c r="Q165" i="43"/>
  <c r="Q164" i="43"/>
  <c r="Q160" i="43"/>
  <c r="Q161" i="43"/>
  <c r="Q163" i="43"/>
  <c r="W65" i="43"/>
  <c r="W58" i="43"/>
  <c r="H40" i="46"/>
  <c r="M136" i="43"/>
  <c r="M141" i="43"/>
  <c r="M133" i="43"/>
  <c r="M132" i="43"/>
  <c r="M137" i="43"/>
  <c r="M135" i="43"/>
  <c r="Z61" i="44"/>
  <c r="Q39" i="43"/>
  <c r="Q38" i="43"/>
  <c r="Q37" i="43"/>
  <c r="Q35" i="43"/>
  <c r="Q34" i="43"/>
  <c r="Q43" i="43"/>
  <c r="I25" i="46"/>
  <c r="X30" i="43"/>
  <c r="V30" i="43" s="1"/>
  <c r="X23" i="43"/>
  <c r="V23" i="43" s="1"/>
  <c r="X32" i="43"/>
  <c r="F32" i="43" s="1"/>
  <c r="X25" i="43"/>
  <c r="F25" i="43" s="1"/>
  <c r="I224" i="46"/>
  <c r="X283" i="43" s="1"/>
  <c r="F283" i="43" s="1"/>
  <c r="I177" i="46"/>
  <c r="X238" i="43" s="1"/>
  <c r="V238" i="43" s="1"/>
  <c r="X207" i="43"/>
  <c r="F207" i="43" s="1"/>
  <c r="R123" i="43"/>
  <c r="R122" i="43"/>
  <c r="R121" i="43"/>
  <c r="R119" i="43"/>
  <c r="R118" i="43"/>
  <c r="S120" i="43"/>
  <c r="R127" i="43"/>
  <c r="W120" i="43"/>
  <c r="W127" i="43"/>
  <c r="L254" i="43"/>
  <c r="L252" i="43"/>
  <c r="L255" i="43"/>
  <c r="L251" i="43"/>
  <c r="L256" i="43"/>
  <c r="I164" i="46"/>
  <c r="X228" i="43"/>
  <c r="F228" i="43" s="1"/>
  <c r="X221" i="43"/>
  <c r="F221" i="43" s="1"/>
  <c r="O91" i="43"/>
  <c r="O95" i="43"/>
  <c r="O93" i="43"/>
  <c r="O94" i="43"/>
  <c r="O90" i="43"/>
  <c r="O99" i="43"/>
  <c r="W92" i="43"/>
  <c r="W99" i="43"/>
  <c r="O74" i="43"/>
  <c r="O78" i="43"/>
  <c r="O72" i="43"/>
  <c r="O70" i="43"/>
  <c r="O69" i="43"/>
  <c r="O73" i="43"/>
  <c r="W73" i="43"/>
  <c r="W80" i="43"/>
  <c r="W78" i="43"/>
  <c r="W71" i="43"/>
  <c r="I135" i="46"/>
  <c r="X192" i="43" s="1"/>
  <c r="F192" i="43" s="1"/>
  <c r="I106" i="46"/>
  <c r="X164" i="43" s="1"/>
  <c r="F164" i="43" s="1"/>
  <c r="O53" i="43"/>
  <c r="O52" i="43"/>
  <c r="O48" i="43"/>
  <c r="O49" i="43"/>
  <c r="O51" i="43"/>
  <c r="X67" i="43"/>
  <c r="F67" i="43" s="1"/>
  <c r="X60" i="43"/>
  <c r="F60" i="43" s="1"/>
  <c r="L235" i="43"/>
  <c r="L230" i="43"/>
  <c r="L231" i="43"/>
  <c r="L234" i="43"/>
  <c r="L233" i="43"/>
  <c r="O213" i="43"/>
  <c r="O212" i="43"/>
  <c r="O210" i="43"/>
  <c r="O214" i="43"/>
  <c r="O209" i="43"/>
  <c r="M186" i="43"/>
  <c r="M185" i="43"/>
  <c r="M181" i="43"/>
  <c r="M184" i="43"/>
  <c r="M182" i="43"/>
  <c r="W143" i="43"/>
  <c r="W136" i="43"/>
  <c r="W134" i="43"/>
  <c r="W141" i="43"/>
  <c r="L17" i="43"/>
  <c r="L16" i="43"/>
  <c r="L13" i="43"/>
  <c r="L18" i="43"/>
  <c r="L14" i="43"/>
  <c r="P122" i="43"/>
  <c r="P123" i="43"/>
  <c r="P121" i="43"/>
  <c r="P118" i="43"/>
  <c r="P119" i="43"/>
  <c r="P127" i="43"/>
  <c r="W115" i="43"/>
  <c r="W108" i="43"/>
  <c r="W106" i="43"/>
  <c r="W113" i="43"/>
  <c r="Q275" i="43"/>
  <c r="Q277" i="43"/>
  <c r="Q273" i="43"/>
  <c r="Q272" i="43"/>
  <c r="Q276" i="43"/>
  <c r="P109" i="43"/>
  <c r="P107" i="43"/>
  <c r="P104" i="43"/>
  <c r="P105" i="43"/>
  <c r="P108" i="43"/>
  <c r="P113" i="43"/>
  <c r="I213" i="46"/>
  <c r="X273" i="43" s="1"/>
  <c r="V273" i="43" s="1"/>
  <c r="L171" i="43"/>
  <c r="L170" i="43"/>
  <c r="L172" i="43"/>
  <c r="L168" i="43"/>
  <c r="L167" i="43"/>
  <c r="I199" i="46"/>
  <c r="X259" i="43" s="1"/>
  <c r="V259" i="43" s="1"/>
  <c r="Q53" i="43"/>
  <c r="Q52" i="43"/>
  <c r="Q48" i="43"/>
  <c r="Q49" i="43"/>
  <c r="Q51" i="43"/>
  <c r="M270" i="43"/>
  <c r="M266" i="43"/>
  <c r="M265" i="43"/>
  <c r="M269" i="43"/>
  <c r="M268" i="43"/>
  <c r="H210" i="46"/>
  <c r="W270" i="43" s="1"/>
  <c r="N234" i="43"/>
  <c r="N235" i="43"/>
  <c r="N230" i="43"/>
  <c r="N231" i="43"/>
  <c r="N233" i="43"/>
  <c r="Q212" i="43"/>
  <c r="Q214" i="43"/>
  <c r="Q213" i="43"/>
  <c r="Q210" i="43"/>
  <c r="Q209" i="43"/>
  <c r="P186" i="43"/>
  <c r="P184" i="43"/>
  <c r="P185" i="43"/>
  <c r="P182" i="43"/>
  <c r="P181" i="43"/>
  <c r="P158" i="43"/>
  <c r="P156" i="43"/>
  <c r="P154" i="43"/>
  <c r="P153" i="43"/>
  <c r="P157" i="43"/>
  <c r="R137" i="43"/>
  <c r="R136" i="43"/>
  <c r="R133" i="43"/>
  <c r="R132" i="43"/>
  <c r="R141" i="43"/>
  <c r="R135" i="43"/>
  <c r="S134" i="43"/>
  <c r="X140" i="43"/>
  <c r="V140" i="43" s="1"/>
  <c r="X133" i="43"/>
  <c r="V133" i="43" s="1"/>
  <c r="I83" i="46"/>
  <c r="N18" i="43"/>
  <c r="N16" i="43"/>
  <c r="N17" i="43"/>
  <c r="N14" i="43"/>
  <c r="W20" i="43"/>
  <c r="W27" i="43"/>
  <c r="H147" i="46"/>
  <c r="W203" i="43" s="1"/>
  <c r="H120" i="46"/>
  <c r="W178" i="43" s="1"/>
  <c r="N123" i="43"/>
  <c r="N122" i="43"/>
  <c r="N119" i="43"/>
  <c r="N121" i="43"/>
  <c r="N118" i="43"/>
  <c r="N127" i="43"/>
  <c r="I77" i="46"/>
  <c r="X126" i="43"/>
  <c r="V126" i="43" s="1"/>
  <c r="X119" i="43"/>
  <c r="V119" i="43" s="1"/>
  <c r="X112" i="43"/>
  <c r="V112" i="43" s="1"/>
  <c r="X105" i="43"/>
  <c r="V105" i="43" s="1"/>
  <c r="I68" i="46"/>
  <c r="N130" i="43" l="1"/>
  <c r="N125" i="43"/>
  <c r="N129" i="43"/>
  <c r="N128" i="43"/>
  <c r="N126" i="43"/>
  <c r="Q223" i="43"/>
  <c r="Q228" i="43"/>
  <c r="Q227" i="43"/>
  <c r="Q224" i="43"/>
  <c r="Q226" i="43"/>
  <c r="W32" i="43"/>
  <c r="W25" i="43"/>
  <c r="Q67" i="43"/>
  <c r="Q63" i="43"/>
  <c r="Q66" i="43"/>
  <c r="Q65" i="43"/>
  <c r="Q62" i="43"/>
  <c r="S188" i="43"/>
  <c r="S192" i="43"/>
  <c r="T190" i="43"/>
  <c r="S193" i="43"/>
  <c r="S189" i="43"/>
  <c r="S191" i="43"/>
  <c r="W67" i="43"/>
  <c r="W60" i="43"/>
  <c r="R44" i="43"/>
  <c r="R42" i="43"/>
  <c r="R46" i="43"/>
  <c r="R41" i="43"/>
  <c r="S43" i="43"/>
  <c r="R45" i="43"/>
  <c r="N44" i="43"/>
  <c r="N42" i="43"/>
  <c r="N46" i="43"/>
  <c r="N41" i="43"/>
  <c r="N45" i="43"/>
  <c r="N116" i="43"/>
  <c r="N111" i="43"/>
  <c r="N115" i="43"/>
  <c r="N114" i="43"/>
  <c r="N112" i="43"/>
  <c r="M81" i="43"/>
  <c r="M79" i="43"/>
  <c r="M80" i="43"/>
  <c r="M76" i="43"/>
  <c r="M77" i="43"/>
  <c r="P129" i="43"/>
  <c r="P128" i="43"/>
  <c r="P126" i="43"/>
  <c r="P130" i="43"/>
  <c r="P125" i="43"/>
  <c r="O79" i="43"/>
  <c r="O80" i="43"/>
  <c r="O76" i="43"/>
  <c r="O77" i="43"/>
  <c r="O81" i="43"/>
  <c r="O102" i="43"/>
  <c r="O101" i="43"/>
  <c r="O98" i="43"/>
  <c r="O100" i="43"/>
  <c r="O97" i="43"/>
  <c r="S178" i="43"/>
  <c r="S175" i="43"/>
  <c r="T176" i="43"/>
  <c r="S174" i="43"/>
  <c r="S179" i="43"/>
  <c r="S177" i="43"/>
  <c r="S165" i="43"/>
  <c r="S163" i="43"/>
  <c r="T162" i="43"/>
  <c r="S164" i="43"/>
  <c r="S160" i="43"/>
  <c r="S161" i="43"/>
  <c r="L100" i="43"/>
  <c r="L98" i="43"/>
  <c r="L102" i="43"/>
  <c r="L97" i="43"/>
  <c r="L101" i="43"/>
  <c r="L144" i="43"/>
  <c r="L140" i="43"/>
  <c r="L142" i="43"/>
  <c r="L143" i="43"/>
  <c r="L139" i="43"/>
  <c r="X63" i="43"/>
  <c r="V63" i="43" s="1"/>
  <c r="X56" i="43"/>
  <c r="V56" i="43" s="1"/>
  <c r="W79" i="43"/>
  <c r="W72" i="43"/>
  <c r="X224" i="43"/>
  <c r="V224" i="43" s="1"/>
  <c r="X217" i="43"/>
  <c r="V217" i="43" s="1"/>
  <c r="Q111" i="43"/>
  <c r="Q116" i="43"/>
  <c r="Q115" i="43"/>
  <c r="Q112" i="43"/>
  <c r="Q114" i="43"/>
  <c r="X158" i="43"/>
  <c r="F158" i="43" s="1"/>
  <c r="S185" i="43"/>
  <c r="T183" i="43"/>
  <c r="S186" i="43"/>
  <c r="S181" i="43"/>
  <c r="S184" i="43"/>
  <c r="S182" i="43"/>
  <c r="W64" i="43"/>
  <c r="W57" i="43"/>
  <c r="W227" i="43"/>
  <c r="W220" i="43"/>
  <c r="L128" i="43"/>
  <c r="L126" i="43"/>
  <c r="L130" i="43"/>
  <c r="L125" i="43"/>
  <c r="L129" i="43"/>
  <c r="W45" i="43"/>
  <c r="W38" i="43"/>
  <c r="X78" i="43"/>
  <c r="V78" i="43" s="1"/>
  <c r="X71" i="43"/>
  <c r="V71" i="43" s="1"/>
  <c r="S196" i="43"/>
  <c r="S200" i="43"/>
  <c r="S198" i="43"/>
  <c r="S199" i="43"/>
  <c r="S195" i="43"/>
  <c r="T197" i="43"/>
  <c r="M227" i="43"/>
  <c r="M224" i="43"/>
  <c r="M226" i="43"/>
  <c r="M223" i="43"/>
  <c r="M228" i="43"/>
  <c r="P63" i="43"/>
  <c r="P65" i="43"/>
  <c r="P62" i="43"/>
  <c r="P67" i="43"/>
  <c r="P66" i="43"/>
  <c r="Q98" i="43"/>
  <c r="Q100" i="43"/>
  <c r="Q97" i="43"/>
  <c r="Q102" i="43"/>
  <c r="Q101" i="43"/>
  <c r="L227" i="43"/>
  <c r="L226" i="43"/>
  <c r="L224" i="43"/>
  <c r="L228" i="43"/>
  <c r="L223" i="43"/>
  <c r="M111" i="43"/>
  <c r="M116" i="43"/>
  <c r="M115" i="43"/>
  <c r="M112" i="43"/>
  <c r="M114" i="43"/>
  <c r="R227" i="43"/>
  <c r="S225" i="43"/>
  <c r="R226" i="43"/>
  <c r="R224" i="43"/>
  <c r="R228" i="43"/>
  <c r="R223" i="43"/>
  <c r="L63" i="43"/>
  <c r="L65" i="43"/>
  <c r="L66" i="43"/>
  <c r="L67" i="43"/>
  <c r="L62" i="43"/>
  <c r="W112" i="43"/>
  <c r="W105" i="43"/>
  <c r="W81" i="43"/>
  <c r="W74" i="43"/>
  <c r="W126" i="43"/>
  <c r="W119" i="43"/>
  <c r="L30" i="43"/>
  <c r="L28" i="43"/>
  <c r="L32" i="43"/>
  <c r="L27" i="43"/>
  <c r="L31" i="43"/>
  <c r="W226" i="43"/>
  <c r="W219" i="43"/>
  <c r="S24" i="43"/>
  <c r="S20" i="43"/>
  <c r="T22" i="43"/>
  <c r="S21" i="43"/>
  <c r="S25" i="43"/>
  <c r="S23" i="43"/>
  <c r="S108" i="43"/>
  <c r="S104" i="43"/>
  <c r="S105" i="43"/>
  <c r="S109" i="43"/>
  <c r="T106" i="43"/>
  <c r="S107" i="43"/>
  <c r="S206" i="43"/>
  <c r="S202" i="43"/>
  <c r="T204" i="43"/>
  <c r="S203" i="43"/>
  <c r="S207" i="43"/>
  <c r="S205" i="43"/>
  <c r="R144" i="43"/>
  <c r="R142" i="43"/>
  <c r="R143" i="43"/>
  <c r="R140" i="43"/>
  <c r="R139" i="43"/>
  <c r="S141" i="43"/>
  <c r="W59" i="43"/>
  <c r="W66" i="43"/>
  <c r="X143" i="43"/>
  <c r="F143" i="43" s="1"/>
  <c r="X136" i="43"/>
  <c r="F136" i="43" s="1"/>
  <c r="R81" i="43"/>
  <c r="R79" i="43"/>
  <c r="R76" i="43"/>
  <c r="R80" i="43"/>
  <c r="R77" i="43"/>
  <c r="S78" i="43"/>
  <c r="X256" i="43"/>
  <c r="F256" i="43" s="1"/>
  <c r="W101" i="43"/>
  <c r="W94" i="43"/>
  <c r="L42" i="43"/>
  <c r="L46" i="43"/>
  <c r="L41" i="43"/>
  <c r="L45" i="43"/>
  <c r="L44" i="43"/>
  <c r="N144" i="43"/>
  <c r="N140" i="43"/>
  <c r="N139" i="43"/>
  <c r="N142" i="43"/>
  <c r="N143" i="43"/>
  <c r="S214" i="43"/>
  <c r="S210" i="43"/>
  <c r="S212" i="43"/>
  <c r="S213" i="43"/>
  <c r="S209" i="43"/>
  <c r="T211" i="43"/>
  <c r="S275" i="43"/>
  <c r="S277" i="43"/>
  <c r="T274" i="43"/>
  <c r="S273" i="43"/>
  <c r="S276" i="43"/>
  <c r="S272" i="43"/>
  <c r="L114" i="43"/>
  <c r="L112" i="43"/>
  <c r="L116" i="43"/>
  <c r="L111" i="43"/>
  <c r="L115" i="43"/>
  <c r="X114" i="43"/>
  <c r="V114" i="43" s="1"/>
  <c r="X107" i="43"/>
  <c r="V107" i="43" s="1"/>
  <c r="S135" i="43"/>
  <c r="S132" i="43"/>
  <c r="S136" i="43"/>
  <c r="T134" i="43"/>
  <c r="S137" i="43"/>
  <c r="S133" i="43"/>
  <c r="P114" i="43"/>
  <c r="P112" i="43"/>
  <c r="P116" i="43"/>
  <c r="P111" i="43"/>
  <c r="P115" i="43"/>
  <c r="X226" i="43"/>
  <c r="V226" i="43" s="1"/>
  <c r="X219" i="43"/>
  <c r="V219" i="43" s="1"/>
  <c r="R126" i="43"/>
  <c r="R130" i="43"/>
  <c r="R125" i="43"/>
  <c r="R129" i="43"/>
  <c r="R128" i="43"/>
  <c r="S127" i="43"/>
  <c r="X45" i="43"/>
  <c r="F45" i="43" s="1"/>
  <c r="X38" i="43"/>
  <c r="F38" i="43" s="1"/>
  <c r="M140" i="43"/>
  <c r="M144" i="43"/>
  <c r="M142" i="43"/>
  <c r="M143" i="43"/>
  <c r="M139" i="43"/>
  <c r="S262" i="43"/>
  <c r="S263" i="43"/>
  <c r="S258" i="43"/>
  <c r="S261" i="43"/>
  <c r="T260" i="43"/>
  <c r="S259" i="43"/>
  <c r="S93" i="43"/>
  <c r="T92" i="43"/>
  <c r="S94" i="43"/>
  <c r="S90" i="43"/>
  <c r="S91" i="43"/>
  <c r="S95" i="43"/>
  <c r="Q126" i="43"/>
  <c r="Q128" i="43"/>
  <c r="Q125" i="43"/>
  <c r="Q130" i="43"/>
  <c r="Q129" i="43"/>
  <c r="Q31" i="43"/>
  <c r="Q28" i="43"/>
  <c r="Q30" i="43"/>
  <c r="Q27" i="43"/>
  <c r="Q32" i="43"/>
  <c r="O46" i="43"/>
  <c r="O41" i="43"/>
  <c r="O45" i="43"/>
  <c r="O44" i="43"/>
  <c r="O42" i="43"/>
  <c r="O140" i="43"/>
  <c r="O143" i="43"/>
  <c r="O144" i="43"/>
  <c r="O139" i="43"/>
  <c r="O142" i="43"/>
  <c r="S72" i="43"/>
  <c r="S73" i="43"/>
  <c r="S70" i="43"/>
  <c r="T71" i="43"/>
  <c r="S69" i="43"/>
  <c r="S74" i="43"/>
  <c r="O224" i="43"/>
  <c r="O226" i="43"/>
  <c r="O223" i="43"/>
  <c r="O228" i="43"/>
  <c r="O227" i="43"/>
  <c r="W116" i="43"/>
  <c r="W109" i="43"/>
  <c r="M46" i="43"/>
  <c r="M41" i="43"/>
  <c r="M45" i="43"/>
  <c r="M44" i="43"/>
  <c r="M42" i="43"/>
  <c r="W144" i="43"/>
  <c r="W137" i="43"/>
  <c r="X227" i="43"/>
  <c r="F227" i="43" s="1"/>
  <c r="X220" i="43"/>
  <c r="F220" i="43" s="1"/>
  <c r="X31" i="43"/>
  <c r="F31" i="43" s="1"/>
  <c r="X24" i="43"/>
  <c r="F24" i="43" s="1"/>
  <c r="P144" i="43"/>
  <c r="P140" i="43"/>
  <c r="P139" i="43"/>
  <c r="P142" i="43"/>
  <c r="P143" i="43"/>
  <c r="S256" i="43"/>
  <c r="S252" i="43"/>
  <c r="T253" i="43"/>
  <c r="S254" i="43"/>
  <c r="S251" i="43"/>
  <c r="S255" i="43"/>
  <c r="W42" i="43"/>
  <c r="W35" i="43"/>
  <c r="S14" i="43"/>
  <c r="S18" i="43"/>
  <c r="S17" i="43"/>
  <c r="S13" i="43"/>
  <c r="S16" i="43"/>
  <c r="T15" i="43"/>
  <c r="X214" i="43"/>
  <c r="F214" i="43" s="1"/>
  <c r="R67" i="43"/>
  <c r="R66" i="43"/>
  <c r="R63" i="43"/>
  <c r="R62" i="43"/>
  <c r="R65" i="43"/>
  <c r="S64" i="43"/>
  <c r="T50" i="43"/>
  <c r="S52" i="43"/>
  <c r="S51" i="43"/>
  <c r="S49" i="43"/>
  <c r="S53" i="43"/>
  <c r="S48" i="43"/>
  <c r="X100" i="43"/>
  <c r="V100" i="43" s="1"/>
  <c r="X93" i="43"/>
  <c r="V93" i="43" s="1"/>
  <c r="O31" i="43"/>
  <c r="O28" i="43"/>
  <c r="O30" i="43"/>
  <c r="O27" i="43"/>
  <c r="O32" i="43"/>
  <c r="N102" i="43"/>
  <c r="N97" i="43"/>
  <c r="N101" i="43"/>
  <c r="N100" i="43"/>
  <c r="N98" i="43"/>
  <c r="S220" i="43"/>
  <c r="S216" i="43"/>
  <c r="S217" i="43"/>
  <c r="S221" i="43"/>
  <c r="T218" i="43"/>
  <c r="S219" i="43"/>
  <c r="W30" i="43"/>
  <c r="W23" i="43"/>
  <c r="Q142" i="43"/>
  <c r="Q143" i="43"/>
  <c r="Q139" i="43"/>
  <c r="Q140" i="43"/>
  <c r="Q144" i="43"/>
  <c r="N226" i="43"/>
  <c r="N224" i="43"/>
  <c r="N228" i="43"/>
  <c r="N223" i="43"/>
  <c r="N227" i="43"/>
  <c r="P45" i="43"/>
  <c r="P44" i="43"/>
  <c r="P42" i="43"/>
  <c r="P46" i="43"/>
  <c r="P41" i="43"/>
  <c r="W140" i="43"/>
  <c r="W133" i="43"/>
  <c r="X193" i="43"/>
  <c r="F193" i="43" s="1"/>
  <c r="W98" i="43"/>
  <c r="W91" i="43"/>
  <c r="X172" i="43"/>
  <c r="F172" i="43" s="1"/>
  <c r="M125" i="43"/>
  <c r="M130" i="43"/>
  <c r="M129" i="43"/>
  <c r="M126" i="43"/>
  <c r="M128" i="43"/>
  <c r="X242" i="43"/>
  <c r="F242" i="43" s="1"/>
  <c r="X249" i="43"/>
  <c r="F249" i="43" s="1"/>
  <c r="W224" i="43"/>
  <c r="W217" i="43"/>
  <c r="R31" i="43"/>
  <c r="R30" i="43"/>
  <c r="R28" i="43"/>
  <c r="S29" i="43"/>
  <c r="R32" i="43"/>
  <c r="R27" i="43"/>
  <c r="M67" i="43"/>
  <c r="M65" i="43"/>
  <c r="M62" i="43"/>
  <c r="M66" i="43"/>
  <c r="M63" i="43"/>
  <c r="S234" i="43"/>
  <c r="S235" i="43"/>
  <c r="S233" i="43"/>
  <c r="T232" i="43"/>
  <c r="S231" i="43"/>
  <c r="S230" i="43"/>
  <c r="X129" i="43"/>
  <c r="F129" i="43" s="1"/>
  <c r="X122" i="43"/>
  <c r="F122" i="43" s="1"/>
  <c r="X142" i="43"/>
  <c r="V142" i="43" s="1"/>
  <c r="X135" i="43"/>
  <c r="V135" i="43" s="1"/>
  <c r="S121" i="43"/>
  <c r="S122" i="43"/>
  <c r="S118" i="43"/>
  <c r="T120" i="43"/>
  <c r="S119" i="43"/>
  <c r="S123" i="43"/>
  <c r="Q45" i="43"/>
  <c r="Q44" i="43"/>
  <c r="Q42" i="43"/>
  <c r="Q46" i="43"/>
  <c r="Q41" i="43"/>
  <c r="P81" i="43"/>
  <c r="P77" i="43"/>
  <c r="P76" i="43"/>
  <c r="P80" i="43"/>
  <c r="P79" i="43"/>
  <c r="R98" i="43"/>
  <c r="R102" i="43"/>
  <c r="R97" i="43"/>
  <c r="S99" i="43"/>
  <c r="R101" i="43"/>
  <c r="R100" i="43"/>
  <c r="N81" i="43"/>
  <c r="N80" i="43"/>
  <c r="N77" i="43"/>
  <c r="N79" i="43"/>
  <c r="N76" i="43"/>
  <c r="P101" i="43"/>
  <c r="P100" i="43"/>
  <c r="P98" i="43"/>
  <c r="P102" i="43"/>
  <c r="P97" i="43"/>
  <c r="P226" i="43"/>
  <c r="P224" i="43"/>
  <c r="P228" i="43"/>
  <c r="P223" i="43"/>
  <c r="P227" i="43"/>
  <c r="W28" i="43"/>
  <c r="W21" i="43"/>
  <c r="W114" i="43"/>
  <c r="W107" i="43"/>
  <c r="W142" i="43"/>
  <c r="W135" i="43"/>
  <c r="W129" i="43"/>
  <c r="W122" i="43"/>
  <c r="M28" i="43"/>
  <c r="M30" i="43"/>
  <c r="M27" i="43"/>
  <c r="M32" i="43"/>
  <c r="M31" i="43"/>
  <c r="X46" i="43"/>
  <c r="F46" i="43" s="1"/>
  <c r="X39" i="43"/>
  <c r="F39" i="43" s="1"/>
  <c r="O67" i="43"/>
  <c r="O65" i="43"/>
  <c r="O63" i="43"/>
  <c r="O62" i="43"/>
  <c r="O66" i="43"/>
  <c r="S37" i="43"/>
  <c r="S38" i="43"/>
  <c r="S35" i="43"/>
  <c r="T36" i="43"/>
  <c r="S34" i="43"/>
  <c r="S39" i="43"/>
  <c r="T57" i="43"/>
  <c r="S59" i="43"/>
  <c r="S56" i="43"/>
  <c r="S55" i="43"/>
  <c r="S60" i="43"/>
  <c r="S58" i="43"/>
  <c r="S270" i="43"/>
  <c r="S268" i="43"/>
  <c r="S269" i="43"/>
  <c r="S265" i="43"/>
  <c r="T267" i="43"/>
  <c r="S266" i="43"/>
  <c r="T151" i="43"/>
  <c r="T149" i="43"/>
  <c r="T150" i="43"/>
  <c r="T147" i="43"/>
  <c r="T146" i="43"/>
  <c r="U148" i="43"/>
  <c r="Q80" i="43"/>
  <c r="Q76" i="43"/>
  <c r="Q77" i="43"/>
  <c r="Q81" i="43"/>
  <c r="Q79" i="43"/>
  <c r="O130" i="43"/>
  <c r="O129" i="43"/>
  <c r="O126" i="43"/>
  <c r="O128" i="43"/>
  <c r="O125" i="43"/>
  <c r="S245" i="43"/>
  <c r="S249" i="43"/>
  <c r="S247" i="43"/>
  <c r="T246" i="43"/>
  <c r="S248" i="43"/>
  <c r="S244" i="43"/>
  <c r="N30" i="43"/>
  <c r="N28" i="43"/>
  <c r="N32" i="43"/>
  <c r="N27" i="43"/>
  <c r="N31" i="43"/>
  <c r="L81" i="43"/>
  <c r="L79" i="43"/>
  <c r="L80" i="43"/>
  <c r="L76" i="43"/>
  <c r="L77" i="43"/>
  <c r="X66" i="43"/>
  <c r="F66" i="43" s="1"/>
  <c r="X59" i="43"/>
  <c r="F59" i="43" s="1"/>
  <c r="W100" i="43"/>
  <c r="W93" i="43"/>
  <c r="S170" i="43"/>
  <c r="S167" i="43"/>
  <c r="T169" i="43"/>
  <c r="S171" i="43"/>
  <c r="S172" i="43"/>
  <c r="S168" i="43"/>
  <c r="X43" i="43"/>
  <c r="V43" i="43" s="1"/>
  <c r="X36" i="43"/>
  <c r="V36" i="43" s="1"/>
  <c r="X179" i="43"/>
  <c r="F179" i="43" s="1"/>
  <c r="W44" i="43"/>
  <c r="W37" i="43"/>
  <c r="X80" i="43"/>
  <c r="F80" i="43" s="1"/>
  <c r="X73" i="43"/>
  <c r="F73" i="43" s="1"/>
  <c r="O115" i="43"/>
  <c r="O112" i="43"/>
  <c r="O114" i="43"/>
  <c r="O111" i="43"/>
  <c r="O116" i="43"/>
  <c r="S283" i="43"/>
  <c r="S279" i="43"/>
  <c r="S280" i="43"/>
  <c r="T281" i="43"/>
  <c r="S284" i="43"/>
  <c r="S282" i="43"/>
  <c r="M97" i="43"/>
  <c r="M102" i="43"/>
  <c r="M101" i="43"/>
  <c r="M98" i="43"/>
  <c r="M100" i="43"/>
  <c r="P31" i="43"/>
  <c r="P30" i="43"/>
  <c r="P28" i="43"/>
  <c r="P32" i="43"/>
  <c r="P27" i="43"/>
  <c r="L54" i="44"/>
  <c r="L44" i="44"/>
  <c r="L29" i="44"/>
  <c r="L37" i="44"/>
  <c r="L41" i="44"/>
  <c r="L59" i="44"/>
  <c r="L30" i="44"/>
  <c r="L24" i="44"/>
  <c r="L56" i="44"/>
  <c r="L32" i="44"/>
  <c r="L55" i="44"/>
  <c r="X65" i="43"/>
  <c r="V65" i="43" s="1"/>
  <c r="X58" i="43"/>
  <c r="V58" i="43" s="1"/>
  <c r="W77" i="43"/>
  <c r="W70" i="43"/>
  <c r="S84" i="43"/>
  <c r="S87" i="43"/>
  <c r="S88" i="43"/>
  <c r="S83" i="43"/>
  <c r="S86" i="43"/>
  <c r="T85" i="43"/>
  <c r="W128" i="43"/>
  <c r="W121" i="43"/>
  <c r="X22" i="43"/>
  <c r="V22" i="43" s="1"/>
  <c r="X29" i="43"/>
  <c r="V29" i="43" s="1"/>
  <c r="X186" i="43"/>
  <c r="F186" i="43" s="1"/>
  <c r="R112" i="43"/>
  <c r="R116" i="43"/>
  <c r="R111" i="43"/>
  <c r="S113" i="43"/>
  <c r="R115" i="43"/>
  <c r="R114" i="43"/>
  <c r="S238" i="43"/>
  <c r="S237" i="43"/>
  <c r="S241" i="43"/>
  <c r="S242" i="43"/>
  <c r="S240" i="43"/>
  <c r="T239" i="43"/>
  <c r="S157" i="43"/>
  <c r="T155" i="43"/>
  <c r="S156" i="43"/>
  <c r="S153" i="43"/>
  <c r="S154" i="43"/>
  <c r="S158" i="43"/>
  <c r="X270" i="43"/>
  <c r="F270" i="43" s="1"/>
  <c r="N67" i="43"/>
  <c r="N62" i="43"/>
  <c r="N66" i="43"/>
  <c r="N63" i="43"/>
  <c r="N65" i="43"/>
  <c r="X98" i="43"/>
  <c r="V98" i="43" s="1"/>
  <c r="X91" i="43"/>
  <c r="V91" i="43" s="1"/>
  <c r="T279" i="43" l="1"/>
  <c r="U281" i="43"/>
  <c r="T283" i="43"/>
  <c r="T284" i="43"/>
  <c r="T280" i="43"/>
  <c r="T282" i="43"/>
  <c r="U57" i="43"/>
  <c r="T59" i="43"/>
  <c r="T60" i="43"/>
  <c r="T55" i="43"/>
  <c r="T58" i="43"/>
  <c r="T56" i="43"/>
  <c r="T221" i="43"/>
  <c r="T217" i="43"/>
  <c r="T219" i="43"/>
  <c r="U218" i="43"/>
  <c r="T216" i="43"/>
  <c r="T220" i="43"/>
  <c r="T242" i="43"/>
  <c r="T237" i="43"/>
  <c r="U239" i="43"/>
  <c r="T241" i="43"/>
  <c r="T240" i="43"/>
  <c r="T238" i="43"/>
  <c r="S115" i="43"/>
  <c r="S112" i="43"/>
  <c r="S114" i="43"/>
  <c r="S111" i="43"/>
  <c r="S116" i="43"/>
  <c r="T113" i="43"/>
  <c r="X55" i="44"/>
  <c r="X30" i="44"/>
  <c r="X29" i="44"/>
  <c r="S100" i="43"/>
  <c r="S97" i="43"/>
  <c r="S102" i="43"/>
  <c r="S101" i="43"/>
  <c r="T99" i="43"/>
  <c r="S98" i="43"/>
  <c r="T121" i="43"/>
  <c r="T118" i="43"/>
  <c r="T122" i="43"/>
  <c r="T123" i="43"/>
  <c r="T119" i="43"/>
  <c r="U120" i="43"/>
  <c r="T135" i="43"/>
  <c r="T136" i="43"/>
  <c r="T132" i="43"/>
  <c r="U134" i="43"/>
  <c r="T133" i="43"/>
  <c r="T137" i="43"/>
  <c r="S143" i="43"/>
  <c r="S140" i="43"/>
  <c r="S142" i="43"/>
  <c r="S139" i="43"/>
  <c r="T141" i="43"/>
  <c r="S144" i="43"/>
  <c r="T185" i="43"/>
  <c r="T181" i="43"/>
  <c r="T186" i="43"/>
  <c r="U183" i="43"/>
  <c r="T184" i="43"/>
  <c r="T182" i="43"/>
  <c r="T165" i="43"/>
  <c r="T161" i="43"/>
  <c r="U162" i="43"/>
  <c r="T163" i="43"/>
  <c r="T160" i="43"/>
  <c r="T164" i="43"/>
  <c r="S46" i="43"/>
  <c r="S41" i="43"/>
  <c r="T43" i="43"/>
  <c r="S45" i="43"/>
  <c r="S44" i="43"/>
  <c r="S42" i="43"/>
  <c r="X37" i="44"/>
  <c r="X32" i="44"/>
  <c r="X59" i="44"/>
  <c r="X44" i="44"/>
  <c r="U150" i="43"/>
  <c r="U151" i="43"/>
  <c r="U146" i="43"/>
  <c r="U149" i="43"/>
  <c r="U147" i="43"/>
  <c r="T269" i="43"/>
  <c r="T270" i="43"/>
  <c r="T266" i="43"/>
  <c r="T268" i="43"/>
  <c r="U267" i="43"/>
  <c r="T265" i="43"/>
  <c r="S31" i="43"/>
  <c r="T29" i="43"/>
  <c r="S28" i="43"/>
  <c r="S30" i="43"/>
  <c r="S27" i="43"/>
  <c r="S32" i="43"/>
  <c r="U50" i="43"/>
  <c r="T48" i="43"/>
  <c r="T52" i="43"/>
  <c r="T53" i="43"/>
  <c r="T51" i="43"/>
  <c r="T49" i="43"/>
  <c r="T256" i="43"/>
  <c r="T254" i="43"/>
  <c r="T255" i="43"/>
  <c r="T251" i="43"/>
  <c r="T252" i="43"/>
  <c r="U253" i="43"/>
  <c r="T258" i="43"/>
  <c r="T263" i="43"/>
  <c r="T261" i="43"/>
  <c r="U260" i="43"/>
  <c r="T262" i="43"/>
  <c r="T259" i="43"/>
  <c r="S130" i="43"/>
  <c r="T127" i="43"/>
  <c r="S129" i="43"/>
  <c r="S126" i="43"/>
  <c r="S128" i="43"/>
  <c r="S125" i="43"/>
  <c r="T214" i="43"/>
  <c r="T212" i="43"/>
  <c r="T210" i="43"/>
  <c r="U211" i="43"/>
  <c r="T209" i="43"/>
  <c r="T213" i="43"/>
  <c r="T202" i="43"/>
  <c r="T206" i="43"/>
  <c r="T207" i="43"/>
  <c r="T203" i="43"/>
  <c r="T205" i="43"/>
  <c r="U204" i="43"/>
  <c r="T109" i="43"/>
  <c r="T105" i="43"/>
  <c r="T107" i="43"/>
  <c r="U106" i="43"/>
  <c r="T104" i="43"/>
  <c r="T108" i="43"/>
  <c r="T20" i="43"/>
  <c r="T24" i="43"/>
  <c r="U22" i="43"/>
  <c r="T25" i="43"/>
  <c r="T21" i="43"/>
  <c r="T23" i="43"/>
  <c r="T199" i="43"/>
  <c r="T200" i="43"/>
  <c r="T196" i="43"/>
  <c r="T198" i="43"/>
  <c r="U197" i="43"/>
  <c r="T195" i="43"/>
  <c r="T170" i="43"/>
  <c r="U169" i="43"/>
  <c r="T171" i="43"/>
  <c r="T167" i="43"/>
  <c r="T168" i="43"/>
  <c r="T172" i="43"/>
  <c r="T248" i="43"/>
  <c r="T249" i="43"/>
  <c r="T245" i="43"/>
  <c r="U246" i="43"/>
  <c r="T247" i="43"/>
  <c r="T244" i="43"/>
  <c r="T157" i="43"/>
  <c r="T153" i="43"/>
  <c r="T156" i="43"/>
  <c r="U155" i="43"/>
  <c r="T158" i="43"/>
  <c r="T154" i="43"/>
  <c r="T86" i="43"/>
  <c r="U85" i="43"/>
  <c r="T87" i="43"/>
  <c r="T84" i="43"/>
  <c r="T83" i="43"/>
  <c r="T88" i="43"/>
  <c r="X56" i="44"/>
  <c r="X41" i="44"/>
  <c r="X54" i="44"/>
  <c r="T37" i="43"/>
  <c r="T35" i="43"/>
  <c r="T38" i="43"/>
  <c r="T39" i="43"/>
  <c r="T34" i="43"/>
  <c r="U36" i="43"/>
  <c r="T233" i="43"/>
  <c r="T235" i="43"/>
  <c r="T231" i="43"/>
  <c r="U232" i="43"/>
  <c r="T234" i="43"/>
  <c r="T230" i="43"/>
  <c r="S66" i="43"/>
  <c r="S65" i="43"/>
  <c r="T64" i="43"/>
  <c r="S63" i="43"/>
  <c r="S67" i="43"/>
  <c r="S62" i="43"/>
  <c r="T13" i="43"/>
  <c r="T17" i="43"/>
  <c r="T16" i="43"/>
  <c r="T18" i="43"/>
  <c r="U15" i="43"/>
  <c r="T14" i="43"/>
  <c r="T74" i="43"/>
  <c r="T72" i="43"/>
  <c r="T70" i="43"/>
  <c r="U71" i="43"/>
  <c r="T73" i="43"/>
  <c r="T69" i="43"/>
  <c r="T90" i="43"/>
  <c r="T94" i="43"/>
  <c r="T95" i="43"/>
  <c r="T91" i="43"/>
  <c r="T93" i="43"/>
  <c r="U92" i="43"/>
  <c r="T276" i="43"/>
  <c r="T277" i="43"/>
  <c r="T275" i="43"/>
  <c r="T273" i="43"/>
  <c r="T272" i="43"/>
  <c r="U274" i="43"/>
  <c r="S77" i="43"/>
  <c r="S81" i="43"/>
  <c r="S76" i="43"/>
  <c r="S80" i="43"/>
  <c r="S79" i="43"/>
  <c r="T78" i="43"/>
  <c r="S227" i="43"/>
  <c r="S224" i="43"/>
  <c r="S226" i="43"/>
  <c r="S223" i="43"/>
  <c r="S228" i="43"/>
  <c r="T225" i="43"/>
  <c r="T175" i="43"/>
  <c r="T178" i="43"/>
  <c r="U176" i="43"/>
  <c r="T179" i="43"/>
  <c r="T174" i="43"/>
  <c r="T177" i="43"/>
  <c r="T192" i="43"/>
  <c r="T188" i="43"/>
  <c r="T189" i="43"/>
  <c r="T193" i="43"/>
  <c r="T191" i="43"/>
  <c r="U190" i="43"/>
  <c r="B44" i="24"/>
  <c r="U172" i="43" l="1"/>
  <c r="U168" i="43"/>
  <c r="U170" i="43"/>
  <c r="U167" i="43"/>
  <c r="U171" i="43"/>
  <c r="U23" i="43"/>
  <c r="U24" i="43"/>
  <c r="U20" i="43"/>
  <c r="U21" i="43"/>
  <c r="U25" i="43"/>
  <c r="U53" i="43"/>
  <c r="U48" i="43"/>
  <c r="U52" i="43"/>
  <c r="U51" i="43"/>
  <c r="U49" i="43"/>
  <c r="U270" i="43"/>
  <c r="U268" i="43"/>
  <c r="U269" i="43"/>
  <c r="U265" i="43"/>
  <c r="U266" i="43"/>
  <c r="U184" i="43"/>
  <c r="U182" i="43"/>
  <c r="U185" i="43"/>
  <c r="U186" i="43"/>
  <c r="U181" i="43"/>
  <c r="U133" i="43"/>
  <c r="U135" i="43"/>
  <c r="U132" i="43"/>
  <c r="U136" i="43"/>
  <c r="U137" i="43"/>
  <c r="U221" i="43"/>
  <c r="U217" i="43"/>
  <c r="U219" i="43"/>
  <c r="U220" i="43"/>
  <c r="U216" i="43"/>
  <c r="T65" i="43"/>
  <c r="T63" i="43"/>
  <c r="T67" i="43"/>
  <c r="T62" i="43"/>
  <c r="T66" i="43"/>
  <c r="U64" i="43"/>
  <c r="U108" i="43"/>
  <c r="U104" i="43"/>
  <c r="U105" i="43"/>
  <c r="U109" i="43"/>
  <c r="U107" i="43"/>
  <c r="U207" i="43"/>
  <c r="U205" i="43"/>
  <c r="U206" i="43"/>
  <c r="U203" i="43"/>
  <c r="U202" i="43"/>
  <c r="U213" i="43"/>
  <c r="U209" i="43"/>
  <c r="U214" i="43"/>
  <c r="U210" i="43"/>
  <c r="U212" i="43"/>
  <c r="U127" i="43"/>
  <c r="T128" i="43"/>
  <c r="T126" i="43"/>
  <c r="T130" i="43"/>
  <c r="T125" i="43"/>
  <c r="T129" i="43"/>
  <c r="U259" i="43"/>
  <c r="U258" i="43"/>
  <c r="U262" i="43"/>
  <c r="U261" i="43"/>
  <c r="U263" i="43"/>
  <c r="U256" i="43"/>
  <c r="U252" i="43"/>
  <c r="U254" i="43"/>
  <c r="U251" i="43"/>
  <c r="U255" i="43"/>
  <c r="T30" i="43"/>
  <c r="T28" i="43"/>
  <c r="T32" i="43"/>
  <c r="T27" i="43"/>
  <c r="U29" i="43"/>
  <c r="T31" i="43"/>
  <c r="T45" i="43"/>
  <c r="T44" i="43"/>
  <c r="T42" i="43"/>
  <c r="T46" i="43"/>
  <c r="T41" i="43"/>
  <c r="U43" i="43"/>
  <c r="T144" i="43"/>
  <c r="T139" i="43"/>
  <c r="T143" i="43"/>
  <c r="T142" i="43"/>
  <c r="T140" i="43"/>
  <c r="U141" i="43"/>
  <c r="U58" i="43"/>
  <c r="U59" i="43"/>
  <c r="U56" i="43"/>
  <c r="U55" i="43"/>
  <c r="U60" i="43"/>
  <c r="T81" i="43"/>
  <c r="T76" i="43"/>
  <c r="T80" i="43"/>
  <c r="T79" i="43"/>
  <c r="T77" i="43"/>
  <c r="U78" i="43"/>
  <c r="U69" i="43"/>
  <c r="U74" i="43"/>
  <c r="U72" i="43"/>
  <c r="U73" i="43"/>
  <c r="U70" i="43"/>
  <c r="U248" i="43"/>
  <c r="U249" i="43"/>
  <c r="U245" i="43"/>
  <c r="U247" i="43"/>
  <c r="U244" i="43"/>
  <c r="U123" i="43"/>
  <c r="U121" i="43"/>
  <c r="U122" i="43"/>
  <c r="U118" i="43"/>
  <c r="U119" i="43"/>
  <c r="U14" i="43"/>
  <c r="U18" i="43"/>
  <c r="U17" i="43"/>
  <c r="U13" i="43"/>
  <c r="U16" i="43"/>
  <c r="U191" i="43"/>
  <c r="U188" i="43"/>
  <c r="U192" i="43"/>
  <c r="U193" i="43"/>
  <c r="U189" i="43"/>
  <c r="T224" i="43"/>
  <c r="T228" i="43"/>
  <c r="T223" i="43"/>
  <c r="U225" i="43"/>
  <c r="T226" i="43"/>
  <c r="T227" i="43"/>
  <c r="U275" i="43"/>
  <c r="U277" i="43"/>
  <c r="U273" i="43"/>
  <c r="U276" i="43"/>
  <c r="U272" i="43"/>
  <c r="U234" i="43"/>
  <c r="U233" i="43"/>
  <c r="U235" i="43"/>
  <c r="U231" i="43"/>
  <c r="U230" i="43"/>
  <c r="U39" i="43"/>
  <c r="U37" i="43"/>
  <c r="U38" i="43"/>
  <c r="U35" i="43"/>
  <c r="U34" i="43"/>
  <c r="U88" i="43"/>
  <c r="U83" i="43"/>
  <c r="U86" i="43"/>
  <c r="U84" i="43"/>
  <c r="U87" i="43"/>
  <c r="U154" i="43"/>
  <c r="U158" i="43"/>
  <c r="U157" i="43"/>
  <c r="U156" i="43"/>
  <c r="U153" i="43"/>
  <c r="T111" i="43"/>
  <c r="T115" i="43"/>
  <c r="T114" i="43"/>
  <c r="T112" i="43"/>
  <c r="T116" i="43"/>
  <c r="U113" i="43"/>
  <c r="U282" i="43"/>
  <c r="U280" i="43"/>
  <c r="U283" i="43"/>
  <c r="U279" i="43"/>
  <c r="U284" i="43"/>
  <c r="U95" i="43"/>
  <c r="U93" i="43"/>
  <c r="U94" i="43"/>
  <c r="U90" i="43"/>
  <c r="U91" i="43"/>
  <c r="U199" i="43"/>
  <c r="U195" i="43"/>
  <c r="U196" i="43"/>
  <c r="U200" i="43"/>
  <c r="U198" i="43"/>
  <c r="X61" i="44"/>
  <c r="U177" i="43"/>
  <c r="U175" i="43"/>
  <c r="U178" i="43"/>
  <c r="U174" i="43"/>
  <c r="U179" i="43"/>
  <c r="U161" i="43"/>
  <c r="U165" i="43"/>
  <c r="U163" i="43"/>
  <c r="U164" i="43"/>
  <c r="U160" i="43"/>
  <c r="T101" i="43"/>
  <c r="T100" i="43"/>
  <c r="U99" i="43"/>
  <c r="T98" i="43"/>
  <c r="T102" i="43"/>
  <c r="T97" i="43"/>
  <c r="U238" i="43"/>
  <c r="U241" i="43"/>
  <c r="U242" i="43"/>
  <c r="U240" i="43"/>
  <c r="U237" i="43"/>
  <c r="U45" i="43" l="1"/>
  <c r="U44" i="43"/>
  <c r="U42" i="43"/>
  <c r="U46" i="43"/>
  <c r="U41" i="43"/>
  <c r="U77" i="43"/>
  <c r="U81" i="43"/>
  <c r="U76" i="43"/>
  <c r="U80" i="43"/>
  <c r="U79" i="43"/>
  <c r="U31" i="43"/>
  <c r="U28" i="43"/>
  <c r="U30" i="43"/>
  <c r="U27" i="43"/>
  <c r="U32" i="43"/>
  <c r="U126" i="43"/>
  <c r="U128" i="43"/>
  <c r="U125" i="43"/>
  <c r="U130" i="43"/>
  <c r="U129" i="43"/>
  <c r="U228" i="43"/>
  <c r="U227" i="43"/>
  <c r="U224" i="43"/>
  <c r="U223" i="43"/>
  <c r="U226" i="43"/>
  <c r="U102" i="43"/>
  <c r="U101" i="43"/>
  <c r="U98" i="43"/>
  <c r="U100" i="43"/>
  <c r="U97" i="43"/>
  <c r="U143" i="43"/>
  <c r="U140" i="43"/>
  <c r="U142" i="43"/>
  <c r="U139" i="43"/>
  <c r="U144" i="43"/>
  <c r="U111" i="43"/>
  <c r="U116" i="43"/>
  <c r="U115" i="43"/>
  <c r="U112" i="43"/>
  <c r="U114" i="43"/>
  <c r="U67" i="43"/>
  <c r="U62" i="43"/>
  <c r="U66" i="43"/>
  <c r="U65" i="43"/>
  <c r="U63" i="43"/>
  <c r="G183" i="17" l="1"/>
  <c r="G184" i="17" s="1"/>
  <c r="B336" i="17"/>
  <c r="C336" i="17"/>
  <c r="D336" i="17"/>
  <c r="E336" i="17"/>
  <c r="F336" i="17"/>
  <c r="G336" i="17"/>
  <c r="H337" i="17"/>
  <c r="H338" i="17"/>
  <c r="H339" i="17"/>
  <c r="H340" i="17"/>
  <c r="B341" i="17"/>
  <c r="C341" i="17"/>
  <c r="C346" i="17" s="1"/>
  <c r="D341" i="17"/>
  <c r="E341" i="17"/>
  <c r="E346" i="17" s="1"/>
  <c r="F341" i="17"/>
  <c r="G341" i="17"/>
  <c r="H342" i="17"/>
  <c r="H343" i="17"/>
  <c r="H344" i="17"/>
  <c r="B348" i="17"/>
  <c r="C348" i="17"/>
  <c r="D348" i="17"/>
  <c r="E348" i="17"/>
  <c r="F348" i="17"/>
  <c r="G348" i="17"/>
  <c r="H349" i="17"/>
  <c r="H350" i="17"/>
  <c r="B351" i="17"/>
  <c r="C351" i="17"/>
  <c r="D351" i="17"/>
  <c r="E351" i="17"/>
  <c r="F351" i="17"/>
  <c r="G351" i="17"/>
  <c r="H352" i="17"/>
  <c r="H353" i="17"/>
  <c r="H354" i="17"/>
  <c r="H355" i="17"/>
  <c r="H356" i="17"/>
  <c r="B357" i="17"/>
  <c r="C357" i="17"/>
  <c r="D357" i="17"/>
  <c r="E357" i="17"/>
  <c r="F357" i="17"/>
  <c r="G357" i="17"/>
  <c r="H358" i="17"/>
  <c r="H359" i="17"/>
  <c r="C312" i="17"/>
  <c r="D312" i="17"/>
  <c r="E312" i="17"/>
  <c r="F312" i="17"/>
  <c r="G312" i="17"/>
  <c r="H312" i="17"/>
  <c r="I312" i="17"/>
  <c r="J312" i="17"/>
  <c r="K312" i="17"/>
  <c r="B5" i="19"/>
  <c r="G4" i="17"/>
  <c r="H4" i="17"/>
  <c r="I4" i="17"/>
  <c r="F5" i="17"/>
  <c r="G5" i="17"/>
  <c r="H5" i="17"/>
  <c r="G6" i="17"/>
  <c r="H6" i="17"/>
  <c r="P337" i="43" s="1"/>
  <c r="G7" i="17"/>
  <c r="H7" i="17"/>
  <c r="P338" i="43" s="1"/>
  <c r="G8" i="17"/>
  <c r="H8" i="17"/>
  <c r="P339" i="43" s="1"/>
  <c r="G9" i="17"/>
  <c r="F340" i="43" s="1"/>
  <c r="H9" i="17"/>
  <c r="P340" i="43" s="1"/>
  <c r="I9" i="17"/>
  <c r="G10" i="17"/>
  <c r="H10" i="17"/>
  <c r="I10" i="17"/>
  <c r="G11" i="17"/>
  <c r="F342" i="43" s="1"/>
  <c r="H11" i="17"/>
  <c r="P342" i="43" s="1"/>
  <c r="I11" i="17"/>
  <c r="G12" i="17"/>
  <c r="H12" i="17"/>
  <c r="I12" i="17"/>
  <c r="C22" i="17"/>
  <c r="D22" i="17" s="1"/>
  <c r="E22" i="17" s="1"/>
  <c r="F22" i="17" s="1"/>
  <c r="G22" i="17" s="1"/>
  <c r="H22" i="17" s="1"/>
  <c r="I22" i="17" s="1"/>
  <c r="J22" i="17" s="1"/>
  <c r="K22" i="17" s="1"/>
  <c r="L22" i="17" s="1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C139" i="17"/>
  <c r="D139" i="17"/>
  <c r="E139" i="17"/>
  <c r="C142" i="17"/>
  <c r="D142" i="17"/>
  <c r="C143" i="17"/>
  <c r="D143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N182" i="17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AG182" i="17" s="1"/>
  <c r="AH182" i="17" s="1"/>
  <c r="AI182" i="17" s="1"/>
  <c r="AJ182" i="17" s="1"/>
  <c r="AK182" i="17" s="1"/>
  <c r="B183" i="17"/>
  <c r="B184" i="17" s="1"/>
  <c r="B185" i="17" s="1"/>
  <c r="C183" i="17"/>
  <c r="C184" i="17" s="1"/>
  <c r="C185" i="17" s="1"/>
  <c r="D183" i="17"/>
  <c r="D184" i="17" s="1"/>
  <c r="D185" i="17" s="1"/>
  <c r="E183" i="17"/>
  <c r="E184" i="17" s="1"/>
  <c r="E185" i="17" s="1"/>
  <c r="F183" i="17"/>
  <c r="F184" i="17" s="1"/>
  <c r="F185" i="17" s="1"/>
  <c r="H183" i="17"/>
  <c r="G185" i="17"/>
  <c r="B189" i="17"/>
  <c r="C189" i="17"/>
  <c r="D189" i="17"/>
  <c r="E189" i="17"/>
  <c r="F189" i="17"/>
  <c r="G189" i="17"/>
  <c r="H189" i="17"/>
  <c r="I189" i="17"/>
  <c r="J189" i="17"/>
  <c r="K189" i="17"/>
  <c r="L189" i="17"/>
  <c r="M189" i="17"/>
  <c r="B190" i="17"/>
  <c r="C190" i="17"/>
  <c r="C191" i="17" s="1"/>
  <c r="C192" i="17" s="1"/>
  <c r="D190" i="17"/>
  <c r="D191" i="17" s="1"/>
  <c r="D192" i="17" s="1"/>
  <c r="E190" i="17"/>
  <c r="F190" i="17"/>
  <c r="F191" i="17" s="1"/>
  <c r="F192" i="17" s="1"/>
  <c r="G190" i="17"/>
  <c r="H190" i="17"/>
  <c r="I190" i="17"/>
  <c r="I191" i="17" s="1"/>
  <c r="I192" i="17" s="1"/>
  <c r="J190" i="17"/>
  <c r="K190" i="17"/>
  <c r="K191" i="17" s="1"/>
  <c r="K192" i="17" s="1"/>
  <c r="L190" i="17"/>
  <c r="L191" i="17" s="1"/>
  <c r="L192" i="17" s="1"/>
  <c r="M190" i="17"/>
  <c r="B191" i="17"/>
  <c r="B192" i="17" s="1"/>
  <c r="E191" i="17"/>
  <c r="E192" i="17" s="1"/>
  <c r="G191" i="17"/>
  <c r="G192" i="17" s="1"/>
  <c r="H191" i="17"/>
  <c r="H192" i="17" s="1"/>
  <c r="J191" i="17"/>
  <c r="J192" i="17" s="1"/>
  <c r="M191" i="17"/>
  <c r="M192" i="17" s="1"/>
  <c r="N192" i="17" s="1"/>
  <c r="E195" i="17"/>
  <c r="F195" i="17"/>
  <c r="F196" i="17" s="1"/>
  <c r="F197" i="17" s="1"/>
  <c r="F198" i="17" s="1"/>
  <c r="G195" i="17"/>
  <c r="G196" i="17" s="1"/>
  <c r="G197" i="17" s="1"/>
  <c r="G198" i="17" s="1"/>
  <c r="H195" i="17"/>
  <c r="E196" i="17"/>
  <c r="E197" i="17" s="1"/>
  <c r="E198" i="17" s="1"/>
  <c r="H196" i="17"/>
  <c r="H197" i="17" s="1"/>
  <c r="H198" i="17" s="1"/>
  <c r="G200" i="17"/>
  <c r="Y9" i="24"/>
  <c r="X15" i="24"/>
  <c r="X24" i="24"/>
  <c r="X30" i="24"/>
  <c r="X29" i="24"/>
  <c r="G361" i="17"/>
  <c r="F339" i="43" l="1"/>
  <c r="G339" i="43" s="1"/>
  <c r="H339" i="43" s="1"/>
  <c r="I339" i="43" s="1"/>
  <c r="J339" i="43" s="1"/>
  <c r="K339" i="43" s="1"/>
  <c r="L339" i="43" s="1"/>
  <c r="M339" i="43" s="1"/>
  <c r="N339" i="43" s="1"/>
  <c r="O339" i="43" s="1"/>
  <c r="F338" i="43"/>
  <c r="G338" i="43" s="1"/>
  <c r="H338" i="43" s="1"/>
  <c r="I338" i="43" s="1"/>
  <c r="J338" i="43" s="1"/>
  <c r="K338" i="43" s="1"/>
  <c r="L338" i="43" s="1"/>
  <c r="M338" i="43" s="1"/>
  <c r="N338" i="43" s="1"/>
  <c r="O338" i="43" s="1"/>
  <c r="F335" i="43"/>
  <c r="G335" i="43" s="1"/>
  <c r="H335" i="43" s="1"/>
  <c r="I335" i="43" s="1"/>
  <c r="J335" i="43" s="1"/>
  <c r="K335" i="43" s="1"/>
  <c r="L335" i="43" s="1"/>
  <c r="M335" i="43" s="1"/>
  <c r="N335" i="43" s="1"/>
  <c r="O335" i="43" s="1"/>
  <c r="F336" i="43"/>
  <c r="G336" i="43" s="1"/>
  <c r="H336" i="43" s="1"/>
  <c r="I336" i="43" s="1"/>
  <c r="J336" i="43" s="1"/>
  <c r="K336" i="43" s="1"/>
  <c r="L336" i="43" s="1"/>
  <c r="M336" i="43" s="1"/>
  <c r="N336" i="43" s="1"/>
  <c r="O336" i="43" s="1"/>
  <c r="F341" i="43"/>
  <c r="G341" i="43" s="1"/>
  <c r="H341" i="43" s="1"/>
  <c r="I341" i="43" s="1"/>
  <c r="J341" i="43" s="1"/>
  <c r="K341" i="43" s="1"/>
  <c r="L341" i="43" s="1"/>
  <c r="M341" i="43" s="1"/>
  <c r="N341" i="43" s="1"/>
  <c r="O341" i="43" s="1"/>
  <c r="X20" i="24"/>
  <c r="F337" i="43"/>
  <c r="G337" i="43" s="1"/>
  <c r="H337" i="43" s="1"/>
  <c r="I337" i="43" s="1"/>
  <c r="J337" i="43" s="1"/>
  <c r="K337" i="43" s="1"/>
  <c r="L337" i="43" s="1"/>
  <c r="M337" i="43" s="1"/>
  <c r="N337" i="43" s="1"/>
  <c r="O337" i="43" s="1"/>
  <c r="H336" i="17"/>
  <c r="F343" i="43"/>
  <c r="G343" i="43" s="1"/>
  <c r="H343" i="43" s="1"/>
  <c r="I343" i="43" s="1"/>
  <c r="J343" i="43" s="1"/>
  <c r="K343" i="43" s="1"/>
  <c r="L343" i="43" s="1"/>
  <c r="M343" i="43" s="1"/>
  <c r="N343" i="43" s="1"/>
  <c r="O343" i="43" s="1"/>
  <c r="X12" i="24"/>
  <c r="Y12" i="24" s="1"/>
  <c r="X21" i="24"/>
  <c r="Y21" i="24" s="1"/>
  <c r="F361" i="17"/>
  <c r="B361" i="17"/>
  <c r="X35" i="24"/>
  <c r="Y35" i="24" s="1"/>
  <c r="C144" i="17"/>
  <c r="H351" i="17"/>
  <c r="H348" i="17"/>
  <c r="X33" i="24"/>
  <c r="Y33" i="24" s="1"/>
  <c r="X26" i="24"/>
  <c r="Y26" i="24" s="1"/>
  <c r="H341" i="17"/>
  <c r="F346" i="17"/>
  <c r="X28" i="24"/>
  <c r="Y28" i="24" s="1"/>
  <c r="D361" i="17"/>
  <c r="D346" i="17"/>
  <c r="H357" i="17"/>
  <c r="X39" i="24"/>
  <c r="Y39" i="24" s="1"/>
  <c r="X27" i="24"/>
  <c r="Y27" i="24" s="1"/>
  <c r="X18" i="24"/>
  <c r="Y18" i="24" s="1"/>
  <c r="X13" i="24"/>
  <c r="P336" i="43"/>
  <c r="X19" i="24"/>
  <c r="Y19" i="24" s="1"/>
  <c r="X14" i="24"/>
  <c r="Y14" i="24" s="1"/>
  <c r="I5" i="17"/>
  <c r="F6" i="17"/>
  <c r="X43" i="24"/>
  <c r="Y43" i="24" s="1"/>
  <c r="X38" i="24"/>
  <c r="Y38" i="24" s="1"/>
  <c r="X31" i="24"/>
  <c r="X23" i="24"/>
  <c r="Y23" i="24" s="1"/>
  <c r="X22" i="24"/>
  <c r="X8" i="24"/>
  <c r="Y8" i="24" s="1"/>
  <c r="X7" i="24"/>
  <c r="P343" i="43"/>
  <c r="G342" i="43"/>
  <c r="H342" i="43" s="1"/>
  <c r="I342" i="43" s="1"/>
  <c r="J342" i="43" s="1"/>
  <c r="K342" i="43" s="1"/>
  <c r="L342" i="43" s="1"/>
  <c r="M342" i="43" s="1"/>
  <c r="N342" i="43" s="1"/>
  <c r="O342" i="43" s="1"/>
  <c r="P341" i="43"/>
  <c r="G340" i="43"/>
  <c r="H340" i="43" s="1"/>
  <c r="I340" i="43" s="1"/>
  <c r="J340" i="43" s="1"/>
  <c r="K340" i="43" s="1"/>
  <c r="L340" i="43" s="1"/>
  <c r="M340" i="43" s="1"/>
  <c r="N340" i="43" s="1"/>
  <c r="O340" i="43" s="1"/>
  <c r="X44" i="24"/>
  <c r="Y44" i="24" s="1"/>
  <c r="X42" i="24"/>
  <c r="Y42" i="24" s="1"/>
  <c r="X40" i="24"/>
  <c r="Y40" i="24" s="1"/>
  <c r="X41" i="24"/>
  <c r="X37" i="24"/>
  <c r="Y37" i="24" s="1"/>
  <c r="X25" i="24"/>
  <c r="X17" i="24"/>
  <c r="Y17" i="24" s="1"/>
  <c r="X10" i="24"/>
  <c r="Y10" i="24" s="1"/>
  <c r="X16" i="24"/>
  <c r="Y16" i="24" s="1"/>
  <c r="X11" i="24"/>
  <c r="Y11" i="24" s="1"/>
  <c r="X6" i="24"/>
  <c r="Y6" i="24" s="1"/>
  <c r="X4" i="24"/>
  <c r="Y4" i="24" s="1"/>
  <c r="X5" i="24"/>
  <c r="Y5" i="24" s="1"/>
  <c r="E361" i="17"/>
  <c r="E363" i="17" s="1"/>
  <c r="O192" i="17"/>
  <c r="P192" i="17" s="1"/>
  <c r="Q192" i="17" s="1"/>
  <c r="R192" i="17" s="1"/>
  <c r="S192" i="17" s="1"/>
  <c r="T192" i="17" s="1"/>
  <c r="U192" i="17" s="1"/>
  <c r="V192" i="17" s="1"/>
  <c r="W192" i="17" s="1"/>
  <c r="X192" i="17" s="1"/>
  <c r="Y192" i="17" s="1"/>
  <c r="Z192" i="17" s="1"/>
  <c r="AA192" i="17" s="1"/>
  <c r="AB192" i="17" s="1"/>
  <c r="AC192" i="17" s="1"/>
  <c r="AD192" i="17" s="1"/>
  <c r="AE192" i="17" s="1"/>
  <c r="AF192" i="17" s="1"/>
  <c r="AG192" i="17" s="1"/>
  <c r="AH192" i="17" s="1"/>
  <c r="AI192" i="17" s="1"/>
  <c r="AJ192" i="17" s="1"/>
  <c r="AK192" i="17" s="1"/>
  <c r="AL192" i="17" s="1"/>
  <c r="AM192" i="17" s="1"/>
  <c r="D144" i="17"/>
  <c r="H184" i="17"/>
  <c r="H185" i="17" s="1"/>
  <c r="H206" i="17" s="1"/>
  <c r="C140" i="17"/>
  <c r="B18" i="17" s="1"/>
  <c r="C361" i="17"/>
  <c r="C363" i="17" s="1"/>
  <c r="G178" i="17"/>
  <c r="M200" i="17" s="1"/>
  <c r="M201" i="17" s="1"/>
  <c r="H361" i="17"/>
  <c r="D363" i="17"/>
  <c r="B346" i="17"/>
  <c r="B363" i="17" s="1"/>
  <c r="K200" i="17"/>
  <c r="K201" i="17" s="1"/>
  <c r="O200" i="17"/>
  <c r="O201" i="17" s="1"/>
  <c r="W200" i="17"/>
  <c r="W201" i="17" s="1"/>
  <c r="AA200" i="17"/>
  <c r="AA201" i="17" s="1"/>
  <c r="AE200" i="17"/>
  <c r="AE201" i="17" s="1"/>
  <c r="J200" i="17"/>
  <c r="J201" i="17" s="1"/>
  <c r="R200" i="17"/>
  <c r="R201" i="17" s="1"/>
  <c r="Z200" i="17"/>
  <c r="Z201" i="17" s="1"/>
  <c r="AD200" i="17"/>
  <c r="AD201" i="17" s="1"/>
  <c r="AH200" i="17"/>
  <c r="AH201" i="17" s="1"/>
  <c r="F363" i="17"/>
  <c r="G346" i="17"/>
  <c r="Y20" i="24"/>
  <c r="L193" i="17"/>
  <c r="C23" i="17" s="1"/>
  <c r="G193" i="17"/>
  <c r="B23" i="17" s="1"/>
  <c r="E18" i="17"/>
  <c r="I18" i="17"/>
  <c r="B9" i="24"/>
  <c r="B8" i="24"/>
  <c r="B7" i="24"/>
  <c r="B6" i="24"/>
  <c r="B5" i="24"/>
  <c r="Y30" i="24"/>
  <c r="Y31" i="24"/>
  <c r="Y25" i="24"/>
  <c r="Y24" i="24"/>
  <c r="Y41" i="24"/>
  <c r="Y29" i="24"/>
  <c r="Y22" i="24"/>
  <c r="Y15" i="24"/>
  <c r="Y13" i="24"/>
  <c r="B4" i="24"/>
  <c r="F206" i="17"/>
  <c r="Y7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G206" i="17"/>
  <c r="K18" i="17"/>
  <c r="G18" i="17"/>
  <c r="C18" i="17"/>
  <c r="Q193" i="17"/>
  <c r="D23" i="17" s="1"/>
  <c r="L18" i="17"/>
  <c r="J18" i="17"/>
  <c r="H18" i="17"/>
  <c r="F18" i="17"/>
  <c r="D18" i="17"/>
  <c r="E206" i="17"/>
  <c r="N200" i="17" l="1"/>
  <c r="N201" i="17" s="1"/>
  <c r="V200" i="17"/>
  <c r="V201" i="17" s="1"/>
  <c r="AI200" i="17"/>
  <c r="AI201" i="17" s="1"/>
  <c r="S200" i="17"/>
  <c r="S201" i="17" s="1"/>
  <c r="I6" i="17"/>
  <c r="F7" i="17"/>
  <c r="AD202" i="17"/>
  <c r="AD203" i="17" s="1"/>
  <c r="AD185" i="17" s="1"/>
  <c r="V202" i="17"/>
  <c r="V203" i="17" s="1"/>
  <c r="V185" i="17" s="1"/>
  <c r="N202" i="17"/>
  <c r="N203" i="17" s="1"/>
  <c r="N185" i="17" s="1"/>
  <c r="AI202" i="17"/>
  <c r="AI203" i="17" s="1"/>
  <c r="AI185" i="17" s="1"/>
  <c r="AA202" i="17"/>
  <c r="AA203" i="17" s="1"/>
  <c r="AA185" i="17" s="1"/>
  <c r="S202" i="17"/>
  <c r="S203" i="17" s="1"/>
  <c r="S185" i="17" s="1"/>
  <c r="K202" i="17"/>
  <c r="K203" i="17" s="1"/>
  <c r="M202" i="17"/>
  <c r="M203" i="17" s="1"/>
  <c r="AH202" i="17"/>
  <c r="AH203" i="17" s="1"/>
  <c r="AH185" i="17" s="1"/>
  <c r="Z202" i="17"/>
  <c r="Z203" i="17" s="1"/>
  <c r="Z185" i="17" s="1"/>
  <c r="R202" i="17"/>
  <c r="R203" i="17" s="1"/>
  <c r="R185" i="17" s="1"/>
  <c r="J202" i="17"/>
  <c r="J203" i="17" s="1"/>
  <c r="AE202" i="17"/>
  <c r="AE203" i="17" s="1"/>
  <c r="AE185" i="17" s="1"/>
  <c r="W202" i="17"/>
  <c r="W203" i="17" s="1"/>
  <c r="W185" i="17" s="1"/>
  <c r="O202" i="17"/>
  <c r="O203" i="17" s="1"/>
  <c r="O185" i="17" s="1"/>
  <c r="H207" i="17"/>
  <c r="L185" i="17" s="1"/>
  <c r="AJ200" i="17"/>
  <c r="AJ201" i="17" s="1"/>
  <c r="AF200" i="17"/>
  <c r="AF201" i="17" s="1"/>
  <c r="AB200" i="17"/>
  <c r="AB201" i="17" s="1"/>
  <c r="X200" i="17"/>
  <c r="X201" i="17" s="1"/>
  <c r="T200" i="17"/>
  <c r="T201" i="17" s="1"/>
  <c r="P200" i="17"/>
  <c r="P201" i="17" s="1"/>
  <c r="L200" i="17"/>
  <c r="L201" i="17" s="1"/>
  <c r="AK200" i="17"/>
  <c r="AK201" i="17" s="1"/>
  <c r="AG200" i="17"/>
  <c r="AG201" i="17" s="1"/>
  <c r="AC200" i="17"/>
  <c r="AC201" i="17" s="1"/>
  <c r="Y200" i="17"/>
  <c r="Y201" i="17" s="1"/>
  <c r="U200" i="17"/>
  <c r="U201" i="17" s="1"/>
  <c r="Q200" i="17"/>
  <c r="Q201" i="17" s="1"/>
  <c r="H346" i="17"/>
  <c r="G363" i="17"/>
  <c r="H363" i="17" s="1"/>
  <c r="V193" i="17"/>
  <c r="E23" i="17" s="1"/>
  <c r="J185" i="17" l="1"/>
  <c r="K185" i="17"/>
  <c r="M185" i="17"/>
  <c r="I185" i="17"/>
  <c r="G186" i="17" s="1"/>
  <c r="B24" i="17" s="1"/>
  <c r="I7" i="17"/>
  <c r="F8" i="17"/>
  <c r="U202" i="17"/>
  <c r="U203" i="17" s="1"/>
  <c r="U185" i="17" s="1"/>
  <c r="AC202" i="17"/>
  <c r="AC203" i="17" s="1"/>
  <c r="AC185" i="17" s="1"/>
  <c r="AK202" i="17"/>
  <c r="AK203" i="17" s="1"/>
  <c r="AK185" i="17" s="1"/>
  <c r="AM185" i="17" s="1"/>
  <c r="P202" i="17"/>
  <c r="P203" i="17" s="1"/>
  <c r="P185" i="17" s="1"/>
  <c r="X202" i="17"/>
  <c r="X203" i="17" s="1"/>
  <c r="X185" i="17" s="1"/>
  <c r="AF202" i="17"/>
  <c r="AF203" i="17" s="1"/>
  <c r="AF185" i="17" s="1"/>
  <c r="Q202" i="17"/>
  <c r="Q203" i="17" s="1"/>
  <c r="Q185" i="17" s="1"/>
  <c r="Y202" i="17"/>
  <c r="Y203" i="17" s="1"/>
  <c r="Y185" i="17" s="1"/>
  <c r="AG202" i="17"/>
  <c r="AG203" i="17" s="1"/>
  <c r="AG185" i="17" s="1"/>
  <c r="L202" i="17"/>
  <c r="L203" i="17" s="1"/>
  <c r="T202" i="17"/>
  <c r="T203" i="17" s="1"/>
  <c r="T185" i="17" s="1"/>
  <c r="AB202" i="17"/>
  <c r="AB203" i="17" s="1"/>
  <c r="AB185" i="17" s="1"/>
  <c r="AJ202" i="17"/>
  <c r="AJ203" i="17" s="1"/>
  <c r="AJ185" i="17" s="1"/>
  <c r="S44" i="24" a="1"/>
  <c r="S44" i="24" s="1"/>
  <c r="W44" i="24" s="1"/>
  <c r="AL185" i="17"/>
  <c r="Q186" i="17"/>
  <c r="D24" i="17" s="1"/>
  <c r="L186" i="17"/>
  <c r="C24" i="17" s="1"/>
  <c r="AA193" i="17"/>
  <c r="F23" i="17" s="1"/>
  <c r="V44" i="24" l="1"/>
  <c r="V186" i="17"/>
  <c r="E24" i="17" s="1"/>
  <c r="AA186" i="17"/>
  <c r="F24" i="17" s="1"/>
  <c r="I8" i="17"/>
  <c r="S4" i="24" a="1"/>
  <c r="S7" i="24" s="1"/>
  <c r="AF193" i="17"/>
  <c r="G23" i="17" s="1"/>
  <c r="AF186" i="17"/>
  <c r="G24" i="17" s="1"/>
  <c r="S18" i="24" l="1"/>
  <c r="W18" i="24" s="1"/>
  <c r="S34" i="24"/>
  <c r="W34" i="24" s="1"/>
  <c r="S43" i="24"/>
  <c r="V43" i="24" s="1"/>
  <c r="S11" i="24"/>
  <c r="W11" i="24" s="1"/>
  <c r="S27" i="24"/>
  <c r="W27" i="24" s="1"/>
  <c r="S42" i="24"/>
  <c r="V42" i="24" s="1"/>
  <c r="S26" i="24"/>
  <c r="W26" i="24" s="1"/>
  <c r="S10" i="24"/>
  <c r="W10" i="24" s="1"/>
  <c r="S35" i="24"/>
  <c r="W35" i="24" s="1"/>
  <c r="S19" i="24"/>
  <c r="V19" i="24" s="1"/>
  <c r="S8" i="24"/>
  <c r="W8" i="24" s="1"/>
  <c r="S38" i="24"/>
  <c r="V38" i="24" s="1"/>
  <c r="S30" i="24"/>
  <c r="V30" i="24" s="1"/>
  <c r="S22" i="24"/>
  <c r="W22" i="24" s="1"/>
  <c r="S14" i="24"/>
  <c r="W14" i="24" s="1"/>
  <c r="S9" i="24"/>
  <c r="V9" i="24" s="1"/>
  <c r="S39" i="24"/>
  <c r="V39" i="24" s="1"/>
  <c r="S31" i="24"/>
  <c r="V31" i="24" s="1"/>
  <c r="S23" i="24"/>
  <c r="W23" i="24" s="1"/>
  <c r="S15" i="24"/>
  <c r="W15" i="24" s="1"/>
  <c r="S5" i="24"/>
  <c r="V5" i="24" s="1"/>
  <c r="S40" i="24"/>
  <c r="W40" i="24" s="1"/>
  <c r="S36" i="24"/>
  <c r="V36" i="24" s="1"/>
  <c r="S32" i="24"/>
  <c r="S28" i="24"/>
  <c r="W28" i="24" s="1"/>
  <c r="S24" i="24"/>
  <c r="W24" i="24" s="1"/>
  <c r="S20" i="24"/>
  <c r="W20" i="24" s="1"/>
  <c r="S16" i="24"/>
  <c r="V16" i="24" s="1"/>
  <c r="S12" i="24"/>
  <c r="W12" i="24" s="1"/>
  <c r="S4" i="24"/>
  <c r="W4" i="24" s="1"/>
  <c r="S6" i="24"/>
  <c r="V6" i="24" s="1"/>
  <c r="S41" i="24"/>
  <c r="V41" i="24" s="1"/>
  <c r="S37" i="24"/>
  <c r="W37" i="24" s="1"/>
  <c r="S33" i="24"/>
  <c r="W33" i="24" s="1"/>
  <c r="S29" i="24"/>
  <c r="W29" i="24" s="1"/>
  <c r="S25" i="24"/>
  <c r="V25" i="24" s="1"/>
  <c r="S21" i="24"/>
  <c r="W21" i="24" s="1"/>
  <c r="S17" i="24"/>
  <c r="W17" i="24" s="1"/>
  <c r="S13" i="24"/>
  <c r="W13" i="24" s="1"/>
  <c r="AK186" i="17"/>
  <c r="H24" i="17" s="1"/>
  <c r="I24" i="17" s="1"/>
  <c r="J24" i="17" s="1"/>
  <c r="K24" i="17" s="1"/>
  <c r="L24" i="17" s="1"/>
  <c r="V24" i="24"/>
  <c r="V17" i="24"/>
  <c r="W7" i="24"/>
  <c r="V7" i="24"/>
  <c r="AK193" i="17"/>
  <c r="H23" i="17" s="1"/>
  <c r="I23" i="17" s="1"/>
  <c r="J23" i="17" s="1"/>
  <c r="K23" i="17" s="1"/>
  <c r="L23" i="17" s="1"/>
  <c r="V34" i="24"/>
  <c r="W43" i="24"/>
  <c r="V33" i="24" l="1"/>
  <c r="W5" i="24"/>
  <c r="V29" i="24"/>
  <c r="W31" i="24"/>
  <c r="W42" i="24"/>
  <c r="V40" i="24"/>
  <c r="W19" i="24"/>
  <c r="V35" i="24"/>
  <c r="V22" i="24"/>
  <c r="V37" i="24"/>
  <c r="V28" i="24"/>
  <c r="V27" i="24"/>
  <c r="W30" i="24"/>
  <c r="V21" i="24"/>
  <c r="V4" i="24"/>
  <c r="W39" i="24"/>
  <c r="V12" i="24"/>
  <c r="W38" i="24"/>
  <c r="W25" i="24"/>
  <c r="W41" i="24"/>
  <c r="V11" i="24"/>
  <c r="V10" i="24"/>
  <c r="W6" i="24"/>
  <c r="W16" i="24"/>
  <c r="V18" i="24"/>
  <c r="V26" i="24"/>
  <c r="V8" i="24"/>
  <c r="V20" i="24"/>
  <c r="V13" i="24"/>
  <c r="W36" i="24"/>
  <c r="V32" i="24"/>
  <c r="V15" i="24"/>
  <c r="V23" i="24"/>
  <c r="W9" i="24"/>
  <c r="V14" i="24"/>
  <c r="W32" i="24"/>
  <c r="AD6" i="24"/>
  <c r="AL6" i="24"/>
  <c r="AG7" i="24"/>
  <c r="AI7" i="24"/>
  <c r="AK7" i="24"/>
  <c r="AJ6" i="24"/>
  <c r="AH7" i="24"/>
  <c r="AE6" i="24"/>
  <c r="AF6" i="24"/>
  <c r="AL7" i="24"/>
  <c r="AG6" i="24"/>
  <c r="AE7" i="24"/>
  <c r="AI6" i="24"/>
  <c r="AK6" i="24"/>
  <c r="AJ7" i="24"/>
  <c r="AF7" i="24"/>
  <c r="AH6" i="24"/>
  <c r="AD7" i="24"/>
  <c r="X34" i="24"/>
  <c r="Y34" i="24" s="1"/>
  <c r="X36" i="24"/>
  <c r="Y36" i="24" s="1"/>
  <c r="X32" i="24"/>
  <c r="Y32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7" authorId="0" shapeId="0" xr:uid="{0AF5975B-2D7C-42B0-BD60-8991C41A679B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7" authorId="0" shapeId="0" xr:uid="{B6E3E400-DA70-4F77-B667-CFE45AC8B94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7" authorId="0" shapeId="0" xr:uid="{FD6016DA-F1C5-45BF-90DD-5ED4C91987F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" authorId="0" shapeId="0" xr:uid="{535AFAB9-C108-4556-9F58-8B69F7F1B6E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" authorId="0" shapeId="0" xr:uid="{E7E3EA59-6BC6-4595-8C4A-951FBAA177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" authorId="0" shapeId="0" xr:uid="{ACB8D1CD-D149-458A-AED4-AA719B4D47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" authorId="0" shapeId="0" xr:uid="{BF8A9BED-C2BF-4870-91BB-BECC314CA6E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" authorId="0" shapeId="0" xr:uid="{248A255B-3F97-4308-B5A0-BC107A5414A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" authorId="0" shapeId="0" xr:uid="{B32107BC-822E-4747-8848-8EE928D92C6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" authorId="0" shapeId="0" xr:uid="{68B6E007-A7D1-49E7-BCD7-DD36D7E564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" authorId="0" shapeId="0" xr:uid="{28A813E8-CBC2-4911-99F8-8639F41157C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" authorId="0" shapeId="0" xr:uid="{F5E310DD-CFED-4975-8D03-F4CC9F8EF01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" authorId="0" shapeId="0" xr:uid="{33677C6D-5FA5-4FEE-A10D-34308DDB75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" authorId="0" shapeId="0" xr:uid="{D40D8032-2F39-4CBE-88B7-45D753A002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" authorId="0" shapeId="0" xr:uid="{9C1EAF7C-6E29-41D0-BD74-A9DBAE67F5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" authorId="0" shapeId="0" xr:uid="{6B6D5C7E-FA87-4C8C-9E1B-57B5F84C663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" authorId="0" shapeId="0" xr:uid="{FD408BC0-681A-4624-9F02-32293830C1F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" authorId="0" shapeId="0" xr:uid="{E761A962-DF96-49C4-8184-E62207887F7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4" authorId="0" shapeId="0" xr:uid="{55EB26A6-EEF5-4E41-BC98-EBFBA38E86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" authorId="0" shapeId="0" xr:uid="{58DF9320-359A-4055-87BC-72814792C70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" authorId="0" shapeId="0" xr:uid="{2E8C05B8-EE94-414C-9459-F7C3F99C9B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" authorId="0" shapeId="0" xr:uid="{8C1E6178-54E1-433A-A407-B338600DF69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" authorId="0" shapeId="0" xr:uid="{6E202BDD-64C9-4F93-A21D-AF6AA39C4AC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" authorId="0" shapeId="0" xr:uid="{3F3230BD-CD77-4DE6-A302-CC2536F2C7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" authorId="0" shapeId="0" xr:uid="{F1F3BBE0-1F44-4CEE-BB30-771D1B8DA92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" authorId="0" shapeId="0" xr:uid="{28E693CC-0ADD-44DD-B946-59C47F35B3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" authorId="0" shapeId="0" xr:uid="{386449EA-31F4-438B-AD2A-58908F9417A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" authorId="0" shapeId="0" xr:uid="{B732CC0E-230D-4681-9E1A-4E7B14A4652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" authorId="0" shapeId="0" xr:uid="{98146933-3709-471C-9410-BF402EF94C3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" authorId="0" shapeId="0" xr:uid="{BB7D5926-FE65-4283-BFE8-207F10ABF0E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" authorId="0" shapeId="0" xr:uid="{ED5EF3F7-D083-4CCE-892D-E453E9132F6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" authorId="0" shapeId="0" xr:uid="{42E24439-0F25-45B5-AFD9-93223F563B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" authorId="0" shapeId="0" xr:uid="{D601AC51-B843-4B8F-87E2-16DBAF00E5C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" authorId="0" shapeId="0" xr:uid="{B70F3658-EA2F-4225-8EF8-991577C1C9F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" authorId="0" shapeId="0" xr:uid="{9817EB7F-343A-472E-A72C-7446C4F488E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" authorId="0" shapeId="0" xr:uid="{2B8896ED-F501-4901-8799-C8FEBA0892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" authorId="0" shapeId="0" xr:uid="{3EB53B11-A9A4-49A1-89D4-D3DB903AE9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" authorId="0" shapeId="0" xr:uid="{A4A60B17-52B6-4401-A036-04A7FB6E3F4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" authorId="0" shapeId="0" xr:uid="{FC75EA4F-5306-46ED-9368-930FB81DCA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" authorId="0" shapeId="0" xr:uid="{8651A6F8-EC3D-4235-9D27-F4B6ED3FEBB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" authorId="0" shapeId="0" xr:uid="{5E8D1FC8-0E20-470C-84D7-7FE488E6044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" authorId="0" shapeId="0" xr:uid="{83BF20C6-277C-44D7-80AE-E01F19016C5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8" authorId="0" shapeId="0" xr:uid="{A9B6D0A6-5A93-4CE2-B0FC-F17E1DCCDA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9" authorId="0" shapeId="0" xr:uid="{489DB838-8B41-4C2B-A99D-F564646EA7C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0" authorId="0" shapeId="0" xr:uid="{CEF3DFEC-B299-4E1F-9DE7-5ABBC14D748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1" authorId="0" shapeId="0" xr:uid="{91A056E8-6290-4870-9140-07D75FFFE1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2" authorId="0" shapeId="0" xr:uid="{3385A454-D90D-4AF5-8D96-422AE75A6D9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53" authorId="0" shapeId="0" xr:uid="{9CB8FEB8-64E8-46FC-BAAD-AF3ED8833A38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53" authorId="0" shapeId="0" xr:uid="{92E0513E-A29C-412D-82D7-7ACA4012858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53" authorId="0" shapeId="0" xr:uid="{DEE87190-208D-46E9-9478-4E5B259E43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4" authorId="0" shapeId="0" xr:uid="{081224F0-FEE1-4179-9280-D58A1A4DEC7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5" authorId="0" shapeId="0" xr:uid="{3408B469-A9A1-484E-B5AD-F34CC882DB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6" authorId="0" shapeId="0" xr:uid="{EE65CD94-3C24-4179-9E62-20ADCE7AC33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7" authorId="0" shapeId="0" xr:uid="{7C607CC5-5E4C-4C71-8958-7B6E6DC9D4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8" authorId="0" shapeId="0" xr:uid="{360734C6-DF26-48AE-A9EF-2B8A560603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9" authorId="0" shapeId="0" xr:uid="{A1C57D31-47FF-430E-95DB-43B17DD3EBF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0" authorId="0" shapeId="0" xr:uid="{7BC7FD36-F6B9-4E96-9D82-95CB66C70C1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1" authorId="0" shapeId="0" xr:uid="{D0AD62CB-0EEE-4F01-AB07-53A540A248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2" authorId="0" shapeId="0" xr:uid="{AEB967EF-37B0-452F-AF1C-6380E436462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3" authorId="0" shapeId="0" xr:uid="{771A36A2-B8FD-40DF-8A7B-9A31B6D2B49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4" authorId="0" shapeId="0" xr:uid="{E66A320C-4D17-4B11-9369-E5FF8881B5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5" authorId="0" shapeId="0" xr:uid="{10A78975-6E12-493F-979B-533B7888332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6" authorId="0" shapeId="0" xr:uid="{AC13927B-23C7-4D5C-ADA8-3682EEF098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7" authorId="0" shapeId="0" xr:uid="{E8C38E45-A40B-4633-A4F8-77A199DE99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8" authorId="0" shapeId="0" xr:uid="{43A0E9B7-2179-49CF-99F2-8579F72E528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9" authorId="0" shapeId="0" xr:uid="{4DE4C1FB-746F-4D65-970B-E95E9EFF05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0" authorId="0" shapeId="0" xr:uid="{1590469B-CF43-47A4-B50C-4543B5C3A34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1" authorId="0" shapeId="0" xr:uid="{50594B16-8BF2-4B3A-8102-4A66D50985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2" authorId="0" shapeId="0" xr:uid="{8AE8B710-CFAE-4AF8-B22E-497CAB7DFB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3" authorId="0" shapeId="0" xr:uid="{E009CF9B-7287-4FD4-BFF7-5C35FFE16D4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4" authorId="0" shapeId="0" xr:uid="{16E280C2-7E35-497E-A264-AD61E4A7FCA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5" authorId="0" shapeId="0" xr:uid="{B1F462DB-56A5-454F-96E3-A443654F26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6" authorId="0" shapeId="0" xr:uid="{F2732D80-DDF4-421A-A33C-623068C6EF8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7" authorId="0" shapeId="0" xr:uid="{02A0E336-8B49-4718-8E44-973C1031FE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8" authorId="0" shapeId="0" xr:uid="{E5438B4F-65BB-4CC7-945A-42CF8449EE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9" authorId="0" shapeId="0" xr:uid="{2E6BFD69-CF4A-47A5-B29B-7258C7DA593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0" authorId="0" shapeId="0" xr:uid="{6409D0C6-845C-45A1-9B1E-E66FB29264C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1" authorId="0" shapeId="0" xr:uid="{82945D1A-D1C7-4C87-982D-3DF7C6D02C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2" authorId="0" shapeId="0" xr:uid="{CC9485C2-FC46-4FB8-AA3F-D2ED07E571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3" authorId="0" shapeId="0" xr:uid="{2A2BFEFA-A97A-47EF-92A9-04290CF456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4" authorId="0" shapeId="0" xr:uid="{785C0833-0C09-4DFF-9040-295129EF793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5" authorId="0" shapeId="0" xr:uid="{343794FA-7AA0-4DC3-BD04-329FAD697F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6" authorId="0" shapeId="0" xr:uid="{3ADBB299-D029-47B7-995E-3538F784BE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7" authorId="0" shapeId="0" xr:uid="{018629BF-AF31-4F0B-825E-34000B3BF5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8" authorId="0" shapeId="0" xr:uid="{46C34338-08D0-4F6B-9FF9-E07392EBCD4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9" authorId="0" shapeId="0" xr:uid="{5AF5F21C-650F-497B-A9E5-CD8CED02661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0" authorId="0" shapeId="0" xr:uid="{F8581347-323C-4ABE-AC31-C85E3E3E8D1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1" authorId="0" shapeId="0" xr:uid="{F0A2808D-C445-4B3D-900C-F74D8EBF594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2" authorId="0" shapeId="0" xr:uid="{86EC79E6-4E27-49BD-BBC4-C030FCE83A3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3" authorId="0" shapeId="0" xr:uid="{31F820A3-DDC4-408A-97C6-11E394E155C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4" authorId="0" shapeId="0" xr:uid="{C5063CD7-318D-4168-A8E4-009A194A68A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5" authorId="0" shapeId="0" xr:uid="{61C5CE6D-6B46-4A73-873B-958654F5CFE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6" authorId="0" shapeId="0" xr:uid="{690709DA-C57F-46AA-AFEA-46D8A3017AF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7" authorId="0" shapeId="0" xr:uid="{02BFF0E7-1EB9-4F9C-ABDC-D6DC3E95D0C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8" authorId="0" shapeId="0" xr:uid="{20D15E87-8BC8-4BF8-87C4-44F51DE2B3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9" authorId="0" shapeId="0" xr:uid="{27DF9FC2-AC2D-45A8-9553-A039907A9DF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0" authorId="0" shapeId="0" xr:uid="{CE252E86-CDEC-48E5-ACFA-6E4959D7617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1" authorId="0" shapeId="0" xr:uid="{A238BC16-C778-4373-BA3A-8BE71F82FB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2" authorId="0" shapeId="0" xr:uid="{A5228269-2BD4-45E0-9AFA-0FC59F9536B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3" authorId="0" shapeId="0" xr:uid="{D7A5F8D0-895C-4BA4-A7D0-9E5FC401E7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4" authorId="0" shapeId="0" xr:uid="{AC2A73B5-9A79-4E73-8E65-89499C33F7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5" authorId="0" shapeId="0" xr:uid="{9CCFCDCE-8F95-4DBA-BF27-1C8372C63BC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6" authorId="0" shapeId="0" xr:uid="{842370CA-0A36-4C3A-A8F1-48DE9B1EF17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7" authorId="0" shapeId="0" xr:uid="{E36E7A35-4AD9-4C0E-8E0C-544A2FD93D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8" authorId="0" shapeId="0" xr:uid="{D981D630-699A-4CD1-85A5-752AF5C23D9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9" authorId="0" shapeId="0" xr:uid="{322A1442-593C-42BB-A229-4C604562005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0" authorId="0" shapeId="0" xr:uid="{5992153A-5BDC-4923-ADA4-2B0FC0B50A5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1" authorId="0" shapeId="0" xr:uid="{234CF8F7-DDD9-4636-BBAB-22EA405E12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2" authorId="0" shapeId="0" xr:uid="{23AAC15D-AF71-4DDC-86CB-D2FC6E064BD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3" authorId="0" shapeId="0" xr:uid="{FA195F31-38C5-40D7-ADF2-620C33D9827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4" authorId="0" shapeId="0" xr:uid="{5353C60E-0536-46CD-A727-895C760230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5" authorId="0" shapeId="0" xr:uid="{5AF88EDB-6988-4A29-AE14-0ED520CB31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6" authorId="0" shapeId="0" xr:uid="{84D72072-7B24-4587-A545-145D3D9F0E4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7" authorId="0" shapeId="0" xr:uid="{A569B8E7-3898-4B3C-BA39-A2108846B03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8" authorId="0" shapeId="0" xr:uid="{94C94C99-680A-4A24-B20F-9428FA82F9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9" authorId="0" shapeId="0" xr:uid="{CC7897AB-1EA6-40A4-B58E-6989C542273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0" authorId="0" shapeId="0" xr:uid="{5E0FD696-5EF0-45C9-BA0B-124F7894BB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1" authorId="0" shapeId="0" xr:uid="{260CFD7E-ACEC-4E34-83DD-7076FE27958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2" authorId="0" shapeId="0" xr:uid="{A5BF47AC-450E-4172-AE43-FF04671821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3" authorId="0" shapeId="0" xr:uid="{40D223A1-E079-4144-A103-8B9C74C7E6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4" authorId="0" shapeId="0" xr:uid="{3CA969CC-77C4-48E2-A2BB-27EC19DEA6A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5" authorId="0" shapeId="0" xr:uid="{5084D38E-69E2-474D-B9E2-D1F4148584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6" authorId="0" shapeId="0" xr:uid="{4D37DB46-D1A9-43A7-906B-5E5A01635A3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7" authorId="0" shapeId="0" xr:uid="{AAB909E7-EDD7-4EE4-8F62-E7F9C6A39C7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8" authorId="0" shapeId="0" xr:uid="{7E05A0DB-4B69-44C1-A02D-10001302437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9" authorId="0" shapeId="0" xr:uid="{E2688C6C-0145-4B83-9D83-094D1F99E23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0" authorId="0" shapeId="0" xr:uid="{410C6E1A-DDD1-4502-BD1E-A8E839F3653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1" authorId="0" shapeId="0" xr:uid="{38833749-DFB5-4EB4-A6E0-F7A2A34AE8F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2" authorId="0" shapeId="0" xr:uid="{4E26CE6C-7D35-4949-A23F-7BFE11C60FE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3" authorId="0" shapeId="0" xr:uid="{55B903A5-3536-43D2-BA6E-A9B9DB2BB4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4" authorId="0" shapeId="0" xr:uid="{D02DA386-599E-4005-B36F-2EE9A4B50AD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5" authorId="0" shapeId="0" xr:uid="{C896E7EA-C42E-4ACF-94FC-964314AD751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6" authorId="0" shapeId="0" xr:uid="{1FA41132-FBE0-475F-9B1D-BEA197F0DF2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7" authorId="0" shapeId="0" xr:uid="{60EC5EAE-FDF7-43BF-8FFC-DEB888038EF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8" authorId="0" shapeId="0" xr:uid="{76EAC187-A0CF-49DC-8928-7E16750CB6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39" authorId="0" shapeId="0" xr:uid="{F5C95536-15DF-4EFD-ADE3-DCD1A0F0D2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0" authorId="0" shapeId="0" xr:uid="{D60089F3-B939-4601-9BBF-C0F2150A8D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1" authorId="0" shapeId="0" xr:uid="{FACBE3D3-7B51-43E4-A573-4FFCF66BD0E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2" authorId="0" shapeId="0" xr:uid="{BF0BCD3C-E8F9-4C79-A558-A0A30ED021C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3" authorId="0" shapeId="0" xr:uid="{71289546-1F54-4414-956E-85D697E0D7B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4" authorId="0" shapeId="0" xr:uid="{39FF630D-1A71-40CE-9D7F-2438345D2D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5" authorId="0" shapeId="0" xr:uid="{F3D7A071-5E8F-47EF-BD30-A5ED4051261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6" authorId="0" shapeId="0" xr:uid="{F80DD307-4251-42BE-88C9-96ABF661A79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7" authorId="0" shapeId="0" xr:uid="{C34294D4-4D5A-4E37-9FF5-28A5445326F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8" authorId="0" shapeId="0" xr:uid="{0E454CC7-5110-49F6-9ACD-2779F7D331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49" authorId="0" shapeId="0" xr:uid="{BBBB6E6F-152B-40DB-B3D9-2FCE6AAB82B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0" authorId="0" shapeId="0" xr:uid="{E89419A8-F64F-4EA2-98B9-161528FB7B3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1" authorId="0" shapeId="0" xr:uid="{F63D7D39-59A6-45F0-BB04-81D4DBC5609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2" authorId="0" shapeId="0" xr:uid="{6B84C7E1-B131-4A51-BA87-944121015C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3" authorId="0" shapeId="0" xr:uid="{EBEC9739-09B9-4957-8AC3-868080CD9CE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4" authorId="0" shapeId="0" xr:uid="{2A455219-B818-4D2C-8DA7-23C6D5730D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5" authorId="0" shapeId="0" xr:uid="{45B443E1-C194-4F65-8A54-B9BEA395D78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6" authorId="0" shapeId="0" xr:uid="{6246FD9F-6712-4340-899A-5A0BEFD6E5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7" authorId="0" shapeId="0" xr:uid="{0962711A-9931-4B04-B3DE-BCB6A84ABEA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8" authorId="0" shapeId="0" xr:uid="{E64E73F3-21A7-4811-AED5-DB3BDE4D913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59" authorId="0" shapeId="0" xr:uid="{F4686EA9-9ED2-481D-88C5-46A82EC8F82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0" authorId="0" shapeId="0" xr:uid="{B356C82F-E163-4C5C-B95D-E6DBD14DEF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1" authorId="0" shapeId="0" xr:uid="{87AE413D-828C-4608-AB44-68F4C0B678C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2" authorId="0" shapeId="0" xr:uid="{BCD509F2-4128-4D4F-AABD-0AA1DF55F59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3" authorId="0" shapeId="0" xr:uid="{4E786096-EE78-414F-823A-04966F620A6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4" authorId="0" shapeId="0" xr:uid="{F0DE46FB-C9AB-471D-85F7-F1CD37F70D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5" authorId="0" shapeId="0" xr:uid="{6B0501A6-2EE4-4759-B31D-746064BD33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6" authorId="0" shapeId="0" xr:uid="{46E0C181-C7E4-4047-AABB-11A04E577B8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7" authorId="0" shapeId="0" xr:uid="{BB537D4D-410A-4FAC-BF3E-4D89E37C8D9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8" authorId="0" shapeId="0" xr:uid="{BDDCE8D9-E161-4EEC-99FF-E5549A80DC8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69" authorId="0" shapeId="0" xr:uid="{1C8DE35C-C4B0-4EFA-B9F4-E25967BD5FB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0" authorId="0" shapeId="0" xr:uid="{DE00B801-3E0C-4E11-9FCF-61FEBA74F0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1" authorId="0" shapeId="0" xr:uid="{8CA53C81-153E-48CC-9A1C-7F42FF24FD9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2" authorId="0" shapeId="0" xr:uid="{C834BE53-0C31-4961-91B8-9D80D99C2B4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3" authorId="0" shapeId="0" xr:uid="{C2516DFC-A1CB-4ADB-9EC0-EEDA41E912B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4" authorId="0" shapeId="0" xr:uid="{F457B305-4F4B-40E8-AA15-3D8167FD2B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5" authorId="0" shapeId="0" xr:uid="{1FBA932B-76AD-4704-A9DC-66950D985A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6" authorId="0" shapeId="0" xr:uid="{28DB65AB-4235-425C-9D37-7A5712882ED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7" authorId="0" shapeId="0" xr:uid="{58377BAD-5FD8-4D15-8C46-6671EDBED8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8" authorId="0" shapeId="0" xr:uid="{B187304A-99F0-4471-9E43-ED9ECBC39B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9" authorId="0" shapeId="0" xr:uid="{E8A25A8D-DCB4-48FA-8381-162A36F88F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0" authorId="0" shapeId="0" xr:uid="{4ECF4051-BEFD-4B0F-BAB5-8D7B4744C62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1" authorId="0" shapeId="0" xr:uid="{16B868B0-D0DF-4087-AF07-8612D0A3C71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2" authorId="0" shapeId="0" xr:uid="{3D62F5F2-C723-463C-B771-AD9CE413AC6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3" authorId="0" shapeId="0" xr:uid="{86D0DF61-B259-42EC-A1FD-CDA43A7625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4" authorId="0" shapeId="0" xr:uid="{3A40AF63-5A68-4014-BEC6-6834844AEB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5" authorId="0" shapeId="0" xr:uid="{27D5BA30-EAE4-485B-9D2D-0E38B41B76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6" authorId="0" shapeId="0" xr:uid="{F762BD11-445A-4ABB-9F0E-7C6CA16AEB6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7" authorId="0" shapeId="0" xr:uid="{A2F11DA4-79B8-4F43-843F-987E2621E4E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8" authorId="0" shapeId="0" xr:uid="{E140F9E6-1436-4DA4-89CE-36C41B7942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9" authorId="0" shapeId="0" xr:uid="{46AC0102-2FF2-4A9B-AFA2-C9A81E395A1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0" authorId="0" shapeId="0" xr:uid="{5AC1B1C7-A6D1-42DF-A1F8-E85FE95296A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1" authorId="0" shapeId="0" xr:uid="{C147BE75-A6E5-427F-8C19-F0CC8B814F7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2" authorId="0" shapeId="0" xr:uid="{D465A109-7862-420D-893B-B678FB974BA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3" authorId="0" shapeId="0" xr:uid="{CD7E2AE7-11C0-45FB-9119-A0F3DE05592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4" authorId="0" shapeId="0" xr:uid="{FDB385E1-788F-45EC-B605-63319B46C37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5" authorId="0" shapeId="0" xr:uid="{EAF76C15-CEFE-4DF5-93A0-396E844363F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6" authorId="0" shapeId="0" xr:uid="{4DC74C59-C6A6-4794-836F-4A4D0936CE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7" authorId="0" shapeId="0" xr:uid="{D1FCABC2-B73C-4806-BD76-2E944143607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8" authorId="0" shapeId="0" xr:uid="{94E58479-AF12-4C21-AC95-35C3304B420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9" authorId="0" shapeId="0" xr:uid="{5B0A07D7-628C-49B9-88F0-4FF8B3C061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0" authorId="0" shapeId="0" xr:uid="{4F3AC61A-097C-4ED5-BECA-857312227D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1" authorId="0" shapeId="0" xr:uid="{84968B1C-CD3C-4773-80D4-1CF5D1304C6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2" authorId="0" shapeId="0" xr:uid="{E4D7FF36-8393-4CE9-8EC3-E525D7D8C04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3" authorId="0" shapeId="0" xr:uid="{C8B71016-1FDE-45AE-B930-D7D59CF1D24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4" authorId="0" shapeId="0" xr:uid="{DF0D253A-6955-464F-A50F-C7BDD7CC086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5" authorId="0" shapeId="0" xr:uid="{A074F46F-B9C6-47B3-8C3D-445DD42D60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6" authorId="0" shapeId="0" xr:uid="{22D03A0F-A326-4C38-A70B-855121FA0E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7" authorId="0" shapeId="0" xr:uid="{B987D898-7DDE-4E5B-97AC-FFDAEB8C521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8" authorId="0" shapeId="0" xr:uid="{AFC85300-CF4E-41EB-A5FD-46F1A9C2A37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9" authorId="0" shapeId="0" xr:uid="{FE41DB59-65D1-4211-ACB6-68B434B958E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0" authorId="0" shapeId="0" xr:uid="{B0CE1CCF-A71B-4400-8B01-8F4AA09365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1" authorId="0" shapeId="0" xr:uid="{26BB53D1-4263-4AF9-8A84-7A7D91DE19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2" authorId="0" shapeId="0" xr:uid="{DF15E5C2-213A-44FE-8A91-1230849364F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3" authorId="0" shapeId="0" xr:uid="{F724BD18-119B-4B75-BACD-6D7CE7D98F4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4" authorId="0" shapeId="0" xr:uid="{23E7CDF5-551B-4118-BA5A-DD5D60D02C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5" authorId="0" shapeId="0" xr:uid="{52AAAB8E-4670-4A21-A83C-E317C8C5C7A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6" authorId="0" shapeId="0" xr:uid="{4D568580-1799-4E6D-8C65-B8F28A215C7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7" authorId="0" shapeId="0" xr:uid="{E34579A2-B7E8-4ACF-B9A0-0BE31D248B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8" authorId="0" shapeId="0" xr:uid="{D4A8DD9D-AAC2-4D10-A500-755583250C2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9" authorId="0" shapeId="0" xr:uid="{092900D0-A0E6-4AEF-B055-16B313D6F69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0" authorId="0" shapeId="0" xr:uid="{542ACA1B-D3CA-435D-9C0C-211EB2E886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1" authorId="0" shapeId="0" xr:uid="{CD708806-D764-48EB-B58E-FD2C46F73E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2" authorId="0" shapeId="0" xr:uid="{25E09773-F356-4DA2-96B5-7FB1108801D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3" authorId="0" shapeId="0" xr:uid="{AD002E50-DC30-44A2-82B0-E5556583002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4" authorId="0" shapeId="0" xr:uid="{EFDB22C9-2BF9-4751-A4A6-F5A80897A5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5" authorId="0" shapeId="0" xr:uid="{2F0FBF63-766B-456A-B658-6E0AE3140E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6" authorId="0" shapeId="0" xr:uid="{86CA600D-D434-4E81-B3AD-231083E2949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7" authorId="0" shapeId="0" xr:uid="{E94E0383-4134-473F-84D7-4776D46EC3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8" authorId="0" shapeId="0" xr:uid="{60979877-F887-4E68-A4FA-24B6571FFD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29" authorId="0" shapeId="0" xr:uid="{70065542-2081-4241-82C8-986966EDD4F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0" authorId="0" shapeId="0" xr:uid="{0B94598D-359F-4257-BD3A-3576396BA0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1" authorId="0" shapeId="0" xr:uid="{2639A6B4-6881-4110-8F9F-FD72D5A7319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2" authorId="0" shapeId="0" xr:uid="{FEC8304C-C1FE-4AA3-8C31-CF6A780B699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3" authorId="0" shapeId="0" xr:uid="{994A819C-33A5-449C-BB45-D357DB4909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4" authorId="0" shapeId="0" xr:uid="{4DAB6AFA-A841-4C96-A5F6-7B1B57B8D6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5" authorId="0" shapeId="0" xr:uid="{E8E23D5A-56FC-43D2-8F77-455DA85498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6" authorId="0" shapeId="0" xr:uid="{789E9DFE-107E-49DB-963B-23AC1FD3070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7" authorId="0" shapeId="0" xr:uid="{03F07ED2-916D-4636-A5E0-DC869942BE9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8" authorId="0" shapeId="0" xr:uid="{0ED7DD2B-411C-4319-A4B7-F7303048DD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39" authorId="0" shapeId="0" xr:uid="{B49958F3-B0E0-4070-8619-C2308FE9F76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40" authorId="0" shapeId="0" xr:uid="{3B90EFDA-940A-4075-93FB-EC59B21CD2F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48" authorId="0" shapeId="0" xr:uid="{1FD3995B-6AC0-452C-8A42-EF9BD3938A72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248" authorId="0" shapeId="0" xr:uid="{197D4A55-F138-4E8E-B17B-6E619F7EBFE6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248" authorId="0" shapeId="0" xr:uid="{F5755304-2962-4D8C-BB8E-6ACA15B5E9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49" authorId="0" shapeId="0" xr:uid="{5098C46E-E554-490C-8CEA-F4BB836CC68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0" authorId="0" shapeId="0" xr:uid="{6059B401-3B4D-45AF-916D-4309C331A8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1" authorId="0" shapeId="0" xr:uid="{803B1876-44C4-455F-B735-0A3291CA40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2" authorId="0" shapeId="0" xr:uid="{64DC4BC1-AF17-4254-B5CA-9F6B7BBE061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3" authorId="0" shapeId="0" xr:uid="{D8C601A2-9CCA-44F8-83FE-C098BB4996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4" authorId="0" shapeId="0" xr:uid="{A18BC4FB-CCC9-49E1-97E6-4EF6E2B25D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5" authorId="0" shapeId="0" xr:uid="{1244DEF1-5800-43D6-A197-23EC0295D3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6" authorId="0" shapeId="0" xr:uid="{6B755A58-A8D8-433C-9DC7-BB8065C17E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7" authorId="0" shapeId="0" xr:uid="{A7AEB71A-F1C7-4094-9FC1-C9C9795605C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8" authorId="0" shapeId="0" xr:uid="{7015EED6-A459-4C18-ADD0-DD5A2CB552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59" authorId="0" shapeId="0" xr:uid="{5F9C0DBF-6964-4803-B954-B3F59395E4B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0" authorId="0" shapeId="0" xr:uid="{B57D1E97-AB00-4D98-A0AB-D2F0E709CA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1" authorId="0" shapeId="0" xr:uid="{D95A843B-ABD2-4DAA-A983-7508D303DC1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2" authorId="0" shapeId="0" xr:uid="{2D610B2C-123F-4C5F-96FF-548C14027DC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3" authorId="0" shapeId="0" xr:uid="{6E9EFD6F-AF85-407C-9EAC-D193AB59EB0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4" authorId="0" shapeId="0" xr:uid="{91190E13-1F93-4A59-9440-89DEA3A872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5" authorId="0" shapeId="0" xr:uid="{3FB02847-8B57-4A3F-8351-B2ABB5DA052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6" authorId="0" shapeId="0" xr:uid="{370AC1B7-FBD3-4C13-8493-0B15386930B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7" authorId="0" shapeId="0" xr:uid="{A6DBCF2C-3825-43A9-9D8D-A5594941032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8" authorId="0" shapeId="0" xr:uid="{7866F96F-EDFA-41CD-9EE9-DF465CF000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69" authorId="0" shapeId="0" xr:uid="{95429645-F442-42C8-B98F-6230722856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0" authorId="0" shapeId="0" xr:uid="{51D1E30B-1675-42D4-AD74-09DF3D3C897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1" authorId="0" shapeId="0" xr:uid="{1109D774-AF18-4940-BC30-8054CC905DC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2" authorId="0" shapeId="0" xr:uid="{8F9D72E8-836A-44E9-8734-B63760F4FE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3" authorId="0" shapeId="0" xr:uid="{EFD6C386-DCA2-4B85-949A-9952C6DF8C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4" authorId="0" shapeId="0" xr:uid="{3DEA94E6-E6C3-44A2-BCEF-3AEA8AFFD4B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5" authorId="0" shapeId="0" xr:uid="{7D4F3DC2-4DEF-409F-8D4D-7F877C0EE94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6" authorId="0" shapeId="0" xr:uid="{AF7E7816-DF95-499E-B1BB-7A0FF98B63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7" authorId="0" shapeId="0" xr:uid="{E90B6D98-7879-43F8-A03B-406870E8A73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8" authorId="0" shapeId="0" xr:uid="{63369DF7-6069-49A1-AFD7-F49FCE9A43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79" authorId="0" shapeId="0" xr:uid="{7C06F988-2653-4630-A31B-998F4DE92B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0" authorId="0" shapeId="0" xr:uid="{96A256AF-E8C2-4C41-8F72-CA5CD50D54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1" authorId="0" shapeId="0" xr:uid="{A97F34D5-CF5F-407F-932C-787C4FBCE52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2" authorId="0" shapeId="0" xr:uid="{A30C90BD-5F48-4603-8956-A2E495963F8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3" authorId="0" shapeId="0" xr:uid="{844EF5C4-0783-428B-81F0-D2F6CE798D3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4" authorId="0" shapeId="0" xr:uid="{FEC7C948-D1BB-4BEC-A963-944E0557628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5" authorId="0" shapeId="0" xr:uid="{CF6241BA-9236-496F-A1C8-B0D83AB00E5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6" authorId="0" shapeId="0" xr:uid="{6E622930-7534-40B0-9797-E1A7889138D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7" authorId="0" shapeId="0" xr:uid="{47481BDC-9A00-4E0D-90D0-6F8DC8E8A69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88" authorId="0" shapeId="0" xr:uid="{8955C673-E598-4F1B-BA06-35863189236E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288" authorId="0" shapeId="0" xr:uid="{C02E7F3B-1C49-4CA1-8395-839C1816B72E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288" authorId="0" shapeId="0" xr:uid="{9B303175-0DC7-4A26-9037-EBDB8F0EF6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89" authorId="0" shapeId="0" xr:uid="{5CC252AC-0C24-43DC-AD3B-50FEF0B462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0" authorId="0" shapeId="0" xr:uid="{CF7BA226-F1DF-4C46-8950-16A64D9D72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1" authorId="0" shapeId="0" xr:uid="{F5820E42-9BC4-4E1C-B7C7-9AA28117BAC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2" authorId="0" shapeId="0" xr:uid="{636AC868-E68F-4AD6-870F-82FB79D8A5B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3" authorId="0" shapeId="0" xr:uid="{2C61BD8F-087B-4601-9E66-0B10BD52DA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4" authorId="0" shapeId="0" xr:uid="{FA96B72C-B87F-4D27-B189-D2A1B4F04C6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5" authorId="0" shapeId="0" xr:uid="{FD7B9B4B-0B7B-4845-A5C3-B8B477AD35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6" authorId="0" shapeId="0" xr:uid="{D11BC915-524C-456E-8953-B209DBACF27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7" authorId="0" shapeId="0" xr:uid="{7F99E6B6-DABD-420E-B27A-0FF5241820E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8" authorId="0" shapeId="0" xr:uid="{6618AA94-267F-4F25-801E-EE38E14B91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99" authorId="0" shapeId="0" xr:uid="{27C82839-D69B-42B1-AB50-C8EF53CC7C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0" authorId="0" shapeId="0" xr:uid="{8BBAFF1B-170C-400D-98DE-1A75F45DB90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1" authorId="0" shapeId="0" xr:uid="{4498BFCD-78F1-4D25-B8ED-FE3C26D780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2" authorId="0" shapeId="0" xr:uid="{DF2FA724-4F6E-4400-B45F-CF54BB2805D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3" authorId="0" shapeId="0" xr:uid="{AA259864-1493-43AA-879E-1E8FB73D013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4" authorId="0" shapeId="0" xr:uid="{EBEED025-7454-4797-BB9F-5DDF6250E15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5" authorId="0" shapeId="0" xr:uid="{01A380F8-DCF6-4BBE-A5DD-927566BB99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6" authorId="0" shapeId="0" xr:uid="{223AE666-918E-4296-868E-8A8A2B77C4F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7" authorId="0" shapeId="0" xr:uid="{86828989-F666-42DA-92FA-A318F4E89B2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8" authorId="0" shapeId="0" xr:uid="{7D475EC6-EA0A-40B6-ABD5-445AC56764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9" authorId="0" shapeId="0" xr:uid="{BBC0142B-A06E-4AB1-9EC9-59FC59CF2CC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0" authorId="0" shapeId="0" xr:uid="{FD5E8723-70FE-4FD0-A6BA-5F1B4400739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1" authorId="0" shapeId="0" xr:uid="{98C47B29-B40E-4557-B4EF-F05315DAC4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2" authorId="0" shapeId="0" xr:uid="{9D006039-D914-417A-9AF3-E0CFFBED9B2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3" authorId="0" shapeId="0" xr:uid="{6A9A6E9D-03EB-4C9B-8932-FAAD3062637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4" authorId="0" shapeId="0" xr:uid="{099F7B37-AE93-4E1B-A278-0B686AC0219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5" authorId="0" shapeId="0" xr:uid="{B7B3050E-EF18-445A-829D-B6B2126C9B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6" authorId="0" shapeId="0" xr:uid="{840F9055-C4B4-4A05-A425-DE03071A0A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7" authorId="0" shapeId="0" xr:uid="{6E6E8324-E969-4C32-9C1D-941D445DD40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8" authorId="0" shapeId="0" xr:uid="{BFAA1AD3-E606-4376-AD79-8BFDA56FDB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9" authorId="0" shapeId="0" xr:uid="{15B7B1F7-EBB7-4787-8952-21FE8080D88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0" authorId="0" shapeId="0" xr:uid="{6FFC541B-3C2B-4404-8A4F-8060DFD6F53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1" authorId="0" shapeId="0" xr:uid="{07A196DE-810D-4327-96E8-BCC81DC6C88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2" authorId="0" shapeId="0" xr:uid="{95E1780C-0C5D-4F15-A8F7-C601744B6C3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3" authorId="0" shapeId="0" xr:uid="{0C0196CE-D3E1-4BCE-B731-D6D0D5D45A3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4" authorId="0" shapeId="0" xr:uid="{2514FC03-4046-450C-8ADD-E50500279BC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5" authorId="0" shapeId="0" xr:uid="{488EECF0-EF05-42C2-82DD-152D8729F6C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6" authorId="0" shapeId="0" xr:uid="{4769BBCA-5508-4167-A73C-E4B42F2946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7" authorId="0" shapeId="0" xr:uid="{2D042635-301A-4D12-BCFF-E5C93E8E07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8" authorId="0" shapeId="0" xr:uid="{8E7FFEC3-CDAE-4D4C-ACCD-71B0AF5684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9" authorId="0" shapeId="0" xr:uid="{2BDA0904-3752-4684-AFF0-0CCD49456D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0" authorId="0" shapeId="0" xr:uid="{6F48516C-3692-460A-80F2-1C268683E5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1" authorId="0" shapeId="0" xr:uid="{55E263A9-A1B1-4C9B-97B2-424024BDBD2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2" authorId="0" shapeId="0" xr:uid="{72F16DEB-30DD-475A-B5F1-C9EC6CD70FE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3" authorId="0" shapeId="0" xr:uid="{7B8863F9-6711-4524-90CD-5ACFD23717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4" authorId="0" shapeId="0" xr:uid="{EC96D023-7EC5-4902-9562-81FB2EEF8BB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5" authorId="0" shapeId="0" xr:uid="{CFB3154C-6431-4A02-BF71-F1EC0CDAB8E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6" authorId="0" shapeId="0" xr:uid="{272ABAA9-D36C-4251-8761-87AD7EA4F2A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7" authorId="0" shapeId="0" xr:uid="{07D85124-87C8-4BA2-B5D7-DCDCF5BFB6D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8" authorId="0" shapeId="0" xr:uid="{3D7C4222-C0DA-46FC-9DDE-AF4BB57BE1D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9" authorId="0" shapeId="0" xr:uid="{1FDA6D62-47D5-48AF-B7CB-D22F1138CF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0" authorId="0" shapeId="0" xr:uid="{9FDEADFF-8A72-4A11-B8E9-A259EE915F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1" authorId="0" shapeId="0" xr:uid="{49EFB5D9-F780-4914-8E15-75B37859484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2" authorId="0" shapeId="0" xr:uid="{BD85ACD2-2920-4854-B308-6DF877B2500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3" authorId="0" shapeId="0" xr:uid="{E26FAD53-D121-4DF5-89A7-38F9064917C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4" authorId="0" shapeId="0" xr:uid="{27B897C4-BFE3-456E-ACD2-18EE1FF66B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5" authorId="0" shapeId="0" xr:uid="{BD26C399-01F5-44C1-BB60-FD9AA8DE05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6" authorId="0" shapeId="0" xr:uid="{ACCA13EE-4305-41E6-AD83-CF45BD9B4AC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7" authorId="0" shapeId="0" xr:uid="{20C22AE0-D6E3-4315-B7DE-E1115B1347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8" authorId="0" shapeId="0" xr:uid="{7BCE4745-4BDC-4178-A947-DECFF5BAF40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9" authorId="0" shapeId="0" xr:uid="{C6BDA47F-95F9-4613-AF5E-0E29A34371F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0" authorId="0" shapeId="0" xr:uid="{CC9A9DC5-8E5E-47E0-9A25-F1446353B7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1" authorId="0" shapeId="0" xr:uid="{5283F4C9-8BC9-4EC1-9197-A393BF4E502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2" authorId="0" shapeId="0" xr:uid="{9D815B81-CCC5-4AEB-A161-198BCA0B43F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3" authorId="0" shapeId="0" xr:uid="{13C76A03-EA0B-48C1-BADA-24E7F0F8AD4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4" authorId="0" shapeId="0" xr:uid="{E34A7317-2B8C-44B0-87BF-E2C03306FB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5" authorId="0" shapeId="0" xr:uid="{C85CE8FD-9470-415E-AF7B-CFDBA0D1516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6" authorId="0" shapeId="0" xr:uid="{4BF33BDE-C2F7-4018-995C-C520E1A16CA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7" authorId="0" shapeId="0" xr:uid="{821F8B26-81D5-48D0-9BD0-D3FE888799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8" authorId="0" shapeId="0" xr:uid="{5152F002-19F7-4624-A3BE-F5F766B8842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59" authorId="0" shapeId="0" xr:uid="{9460FFD0-6954-4262-8721-ABA429B2CC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0" authorId="0" shapeId="0" xr:uid="{807521BA-4874-4A7A-AEA7-A4B75BAE047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1" authorId="0" shapeId="0" xr:uid="{E95A766A-2D5C-461D-8C26-534CBCEA0F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2" authorId="0" shapeId="0" xr:uid="{C1315157-2766-4F1D-8971-2E0E721123C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3" authorId="0" shapeId="0" xr:uid="{1218F778-9416-4AF5-AEEF-7A7822C4E45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4" authorId="0" shapeId="0" xr:uid="{759E1420-AF2A-4514-9696-6BF026FB258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5" authorId="0" shapeId="0" xr:uid="{8EA0D7A4-89E4-488C-856B-E19999FF26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6" authorId="0" shapeId="0" xr:uid="{C8BBC70E-E17D-4F92-AC43-2448FA11E02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7" authorId="0" shapeId="0" xr:uid="{8E89AB1D-214D-4460-B8B8-674A9D7600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8" authorId="0" shapeId="0" xr:uid="{D922307C-BE9B-46DA-AABE-1563AF3D5CC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69" authorId="0" shapeId="0" xr:uid="{3031E26E-9396-4BB0-A6A9-A2F85674A2A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0" authorId="0" shapeId="0" xr:uid="{06E5271E-287D-46D0-B1AE-2F325EAD678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1" authorId="0" shapeId="0" xr:uid="{68F9A833-DBF4-489D-B970-B47A529D2BD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2" authorId="0" shapeId="0" xr:uid="{A75AE7F6-F6DB-4BCF-9B0B-63F59D27AA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3" authorId="0" shapeId="0" xr:uid="{CDA5D76C-0D50-4C17-9F9D-3C4F963FF8E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4" authorId="0" shapeId="0" xr:uid="{15FF627B-7CB3-4A47-86EC-36FFA3E0789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5" authorId="0" shapeId="0" xr:uid="{AAC11176-607A-408A-9760-7C51A505B2F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6" authorId="0" shapeId="0" xr:uid="{3CCC92CF-CDD3-458B-AD5B-4272A6325B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7" authorId="0" shapeId="0" xr:uid="{D3073A6A-4A6D-4C1A-AB97-25D34E0DCFD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8" authorId="0" shapeId="0" xr:uid="{3373F170-3EFC-4362-90A7-4156C48B7A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79" authorId="0" shapeId="0" xr:uid="{D95DA17F-3871-453B-8AAE-04E76066AA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0" authorId="0" shapeId="0" xr:uid="{D4DCA97A-E006-47F0-87BE-7037DE2E99B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1" authorId="0" shapeId="0" xr:uid="{DA223E9A-4E2A-418B-8A34-50A8BB33F20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2" authorId="0" shapeId="0" xr:uid="{F4947511-CB37-4229-899D-46CE6B3301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3" authorId="0" shapeId="0" xr:uid="{3C7100B4-638D-44AB-82DC-A12B0F8E74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4" authorId="0" shapeId="0" xr:uid="{31005135-9394-402C-9E0A-91134163B20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5" authorId="0" shapeId="0" xr:uid="{7E462651-9247-4CF3-A3B3-482DC4F8027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6" authorId="0" shapeId="0" xr:uid="{72B80F3B-0308-4989-A47F-BABB9D036B0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7" authorId="0" shapeId="0" xr:uid="{09F4C276-D672-4453-8B4C-BD15882EE71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8" authorId="0" shapeId="0" xr:uid="{FCA17F33-3ABF-4600-9FAA-154DFF9F549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89" authorId="0" shapeId="0" xr:uid="{A75DE4AC-C839-4A8E-A970-CD65CCC980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0" authorId="0" shapeId="0" xr:uid="{B206F754-D0C1-4692-865D-F292F87C6DE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1" authorId="0" shapeId="0" xr:uid="{367155D7-8313-4C7F-B8C8-D0B3CB1D86E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2" authorId="0" shapeId="0" xr:uid="{EF31AFA9-77BF-468D-80E7-76FBA982AF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3" authorId="0" shapeId="0" xr:uid="{F43E5C29-6D5E-4B70-BB43-942E5CEC32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4" authorId="0" shapeId="0" xr:uid="{F0B3A5FA-A85F-4657-8CFA-A1BD58B2113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5" authorId="0" shapeId="0" xr:uid="{9DC878E7-18C0-489B-B2D7-7351196C9BB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6" authorId="0" shapeId="0" xr:uid="{659C75C4-7E18-4A73-82AD-4D781FBA3C9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7" authorId="0" shapeId="0" xr:uid="{C65D3230-BC68-4B2F-923C-B1D7A45E122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8" authorId="0" shapeId="0" xr:uid="{496A958E-BC0B-4E3A-A5BD-62A772D0A9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9" authorId="0" shapeId="0" xr:uid="{4D53ADAF-29A1-44DE-BA86-2B4BC32A942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0" authorId="0" shapeId="0" xr:uid="{7750C000-EB42-4B16-B991-3CF799A9E98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1" authorId="0" shapeId="0" xr:uid="{8178D7E7-6247-48AD-8791-06CFA5EF6B1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2" authorId="0" shapeId="0" xr:uid="{989CE11E-FC38-4557-9B09-0FE06991646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3" authorId="0" shapeId="0" xr:uid="{50EBD1DA-5EA8-496D-B644-B297C0A27C4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4" authorId="0" shapeId="0" xr:uid="{50F3F92F-EEE6-4C6E-B8D1-C9B4BE7114B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5" authorId="0" shapeId="0" xr:uid="{4BB1F13B-DB96-4517-BCD4-640E3B5F7E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6" authorId="0" shapeId="0" xr:uid="{9C3AB4C7-9B2D-4424-8364-4DA11773889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7" authorId="0" shapeId="0" xr:uid="{3449F70B-076A-4DF9-9F76-0ADF7729E6C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8" authorId="0" shapeId="0" xr:uid="{EBD0108F-BE09-4EAA-B7A3-236A5CE90B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9" authorId="0" shapeId="0" xr:uid="{DB5E856D-7EA6-47E9-89E4-D3791281CC1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0" authorId="0" shapeId="0" xr:uid="{0E84BA74-7B28-49EC-8C19-74AB6918A3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1" authorId="0" shapeId="0" xr:uid="{C47119C5-242C-45F3-9E3C-1311B118E7C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2" authorId="0" shapeId="0" xr:uid="{D2F8B5C0-D047-4AEB-81A0-2E288FBE5B7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3" authorId="0" shapeId="0" xr:uid="{F5091649-58FD-4897-8D98-FCCB973370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4" authorId="0" shapeId="0" xr:uid="{2D155311-E455-494B-B883-E201DE0CDC1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5" authorId="0" shapeId="0" xr:uid="{79523B7D-BE69-47CD-BF55-7621FB85E51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6" authorId="0" shapeId="0" xr:uid="{6DFF014E-AB51-4FB8-8050-A8656F996D0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7" authorId="0" shapeId="0" xr:uid="{E10EF83B-0D3A-471F-A314-A9D5761CB4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8" authorId="0" shapeId="0" xr:uid="{BB14FFD4-6415-4C3C-83B6-35A037A9843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9" authorId="0" shapeId="0" xr:uid="{BDB84476-BF99-427A-94E1-B7F3CC649F3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0" authorId="0" shapeId="0" xr:uid="{A0AC1E3B-73A4-44A7-9B1A-B46D168A4C7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1" authorId="0" shapeId="0" xr:uid="{0B6143D2-C130-42E6-9CC4-A914BC46EE0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2" authorId="0" shapeId="0" xr:uid="{83B2EFD2-27F7-488F-9820-4A78DB9955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3" authorId="0" shapeId="0" xr:uid="{B8AB5E9F-363D-4955-9F0F-4F1EF9D4FF6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4" authorId="0" shapeId="0" xr:uid="{E301D151-7104-4DE9-9527-A9DD7A38090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5" authorId="0" shapeId="0" xr:uid="{017D8994-8EC8-4C97-822F-0AA88C7129D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6" authorId="0" shapeId="0" xr:uid="{1E8D4762-598B-49D0-831F-2F072AB4412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7" authorId="0" shapeId="0" xr:uid="{DD86E6A5-A802-4971-8F82-806E7DBE6CF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8" authorId="0" shapeId="0" xr:uid="{CBB3DCD0-DF13-44CA-98D4-2F88CB7F542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9" authorId="0" shapeId="0" xr:uid="{3445AA2F-7D79-49CD-9526-84FF71806B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0" authorId="0" shapeId="0" xr:uid="{472AEBB0-8AE6-4E3B-9E7A-24E0CF03DA2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1" authorId="0" shapeId="0" xr:uid="{08BF6D5A-57DD-4D78-9755-690DA45DAA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2" authorId="0" shapeId="0" xr:uid="{C747079B-2ED7-4F8F-9A56-8C27500AEA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3" authorId="0" shapeId="0" xr:uid="{3EDDC3C5-CD08-47D4-968F-3D444AB6312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4" authorId="0" shapeId="0" xr:uid="{8D50F77D-80BD-4FA7-AA20-449ED6D9B51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5" authorId="0" shapeId="0" xr:uid="{DBB23E97-ED4A-4768-82E0-A8FD5DDBE9D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6" authorId="0" shapeId="0" xr:uid="{8983DB9D-58F9-4F50-A9A9-FBA0A526C3A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7" authorId="0" shapeId="0" xr:uid="{21DFFD24-0EDF-4D8E-BD74-958223546C4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8" authorId="0" shapeId="0" xr:uid="{98D6AA43-458E-46A2-AB76-4F12275CDBF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9" authorId="0" shapeId="0" xr:uid="{68092DE5-AD19-42AA-9B9F-F8B658255EC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0" authorId="0" shapeId="0" xr:uid="{FF57B33A-51BE-4DA0-AA2F-BF31333526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1" authorId="0" shapeId="0" xr:uid="{6CF4ACC3-A30A-442A-991C-679B4FB626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2" authorId="0" shapeId="0" xr:uid="{97CC4263-706D-4C32-B634-26A4D5DD834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3" authorId="0" shapeId="0" xr:uid="{B8E17100-CE67-4A33-B4EC-CFF67BB3AD0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4" authorId="0" shapeId="0" xr:uid="{5B7BE79D-5F8B-4BC9-9F92-7858516B58E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5" authorId="0" shapeId="0" xr:uid="{C4E51A85-F9EA-4B2E-8651-07B4B9C1E4E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6" authorId="0" shapeId="0" xr:uid="{CCBE7B0C-2ED4-40BD-9CFD-464AFC9FD2A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7" authorId="0" shapeId="0" xr:uid="{64E6F509-D8D5-4568-B5BE-C2F512CE1C3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8" authorId="0" shapeId="0" xr:uid="{64481611-5B24-48D9-8737-A2C93E01D04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49" authorId="0" shapeId="0" xr:uid="{120E14ED-24BF-43AB-B64D-32B55FF31E7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0" authorId="0" shapeId="0" xr:uid="{5C4E6D08-D176-4A31-A574-D361541C6FB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1" authorId="0" shapeId="0" xr:uid="{AFEF45FC-9C36-4B34-AEF4-23332A8AE09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2" authorId="0" shapeId="0" xr:uid="{98120078-12A5-46E3-A4DE-36B7F46E168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3" authorId="0" shapeId="0" xr:uid="{BF35D4EB-665F-49DA-92E2-79DA8B26570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4" authorId="0" shapeId="0" xr:uid="{912737FB-DBB5-44FF-9918-0FEE54C8B04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5" authorId="0" shapeId="0" xr:uid="{50B1C53C-B63D-4CBE-AFE7-CF12355CFAB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6" authorId="0" shapeId="0" xr:uid="{E91219E0-0B5F-47FB-9817-1DB6E2C78CF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7" authorId="0" shapeId="0" xr:uid="{90044CAC-537C-40B6-9160-059D2D86E7D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8" authorId="0" shapeId="0" xr:uid="{C587BACF-D583-4E98-8A9A-BCFEB1AA241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59" authorId="0" shapeId="0" xr:uid="{36B13DD5-456F-41CF-ABDE-47D897AF298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0" authorId="0" shapeId="0" xr:uid="{400D63DA-13A7-4CE1-825F-F9F801FAA19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1" authorId="0" shapeId="0" xr:uid="{4D3D3236-8A10-4BC2-99E3-BB02A2E79A0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2" authorId="0" shapeId="0" xr:uid="{789747E4-5296-4D62-A7CC-1F5BC632D9D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3" authorId="0" shapeId="0" xr:uid="{3BA794C0-2688-419A-9D7A-B9D5DA2A961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4" authorId="0" shapeId="0" xr:uid="{5C9D908D-0166-41BB-8C9A-356032A90F2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5" authorId="0" shapeId="0" xr:uid="{2CE13223-3C72-4527-BD16-49BC6D777FB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6" authorId="0" shapeId="0" xr:uid="{3575F2F6-2AC6-44AD-90BA-ED3B7667EA1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7" authorId="0" shapeId="0" xr:uid="{2C4EB06A-B5E0-4943-8E6E-95BD65AFE92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8" authorId="0" shapeId="0" xr:uid="{151358AF-69F4-429D-9511-BDC26CFB1BD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69" authorId="0" shapeId="0" xr:uid="{27B8BBDD-9C15-4627-8CFB-DAF62F267C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0" authorId="0" shapeId="0" xr:uid="{9B285964-92C4-4AA1-B46B-32E3B01AD3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1" authorId="0" shapeId="0" xr:uid="{6BE99F16-75CB-4351-85C6-429A1BDAB90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2" authorId="0" shapeId="0" xr:uid="{FFACAB3F-9205-4F11-9D47-196306201ED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3" authorId="0" shapeId="0" xr:uid="{218F8AAF-B47E-4FB7-B7BF-78A895E7F4B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4" authorId="0" shapeId="0" xr:uid="{28230949-720F-4361-BDBC-A95A9EB125E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5" authorId="0" shapeId="0" xr:uid="{EA9CF6F3-A3DC-4B82-B41E-02FA67E5488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6" authorId="0" shapeId="0" xr:uid="{6559A90E-4FD4-43D5-B780-B02DD9BD9AC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7" authorId="0" shapeId="0" xr:uid="{A2D9DD8A-B960-4474-BECD-EE545496E7B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8" authorId="0" shapeId="0" xr:uid="{B67EEFB1-8CDB-4D77-85CC-A648BF0F00E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79" authorId="0" shapeId="0" xr:uid="{3DE873DE-2976-4B0D-8237-AADB1663C68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80" authorId="0" shapeId="0" xr:uid="{F2CAC7D1-D2C0-43CB-8AD7-3470B39F48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81" authorId="0" shapeId="0" xr:uid="{46096899-B112-488B-968F-A1CB62F8B24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newuser</author>
  </authors>
  <commentList>
    <comment ref="B4" authorId="0" shapeId="0" xr:uid="{00000000-0006-0000-0D00-000001000000}">
      <text>
        <r>
          <rPr>
            <sz val="8"/>
            <color indexed="81"/>
            <rFont val="Tahoma"/>
            <family val="2"/>
          </rPr>
          <t xml:space="preserve">From AEO2008, in $2006
</t>
        </r>
      </text>
    </comment>
    <comment ref="C4" authorId="0" shapeId="0" xr:uid="{00000000-0006-0000-0D00-000002000000}">
      <text>
        <r>
          <rPr>
            <sz val="8"/>
            <color indexed="81"/>
            <rFont val="Tahoma"/>
            <family val="2"/>
          </rPr>
          <t>From AEO2011, in $2009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newuser</author>
  </authors>
  <commentList>
    <comment ref="B4" authorId="0" shapeId="0" xr:uid="{00000000-0006-0000-0F00-000001000000}">
      <text>
        <r>
          <rPr>
            <sz val="8"/>
            <color indexed="81"/>
            <rFont val="Tahoma"/>
            <family val="2"/>
          </rPr>
          <t>From AEO2008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X9" authorId="0" shapeId="0" xr:uid="{00000000-0006-0000-1100-000001000000}">
      <text>
        <r>
          <rPr>
            <b/>
            <sz val="8"/>
            <color indexed="81"/>
            <rFont val="Tahoma"/>
            <family val="2"/>
          </rPr>
          <t>Lenox, Carol:</t>
        </r>
        <r>
          <rPr>
            <sz val="8"/>
            <color indexed="81"/>
            <rFont val="Tahoma"/>
            <family val="2"/>
          </rPr>
          <t xml:space="preserve">
Test value to see if it solves infeasibility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ctsuser</author>
  </authors>
  <commentList>
    <comment ref="C275" authorId="0" shapeId="0" xr:uid="{00000000-0006-0000-1400-000001000000}">
      <text>
        <r>
          <rPr>
            <b/>
            <sz val="8"/>
            <color indexed="81"/>
            <rFont val="Tahoma"/>
            <family val="2"/>
          </rPr>
          <t>ARC:
removed r from cell for computation (see footnote r)</t>
        </r>
      </text>
    </comment>
    <comment ref="C276" authorId="0" shapeId="0" xr:uid="{00000000-0006-0000-1400-000002000000}">
      <text>
        <r>
          <rPr>
            <b/>
            <sz val="8"/>
            <color indexed="81"/>
            <rFont val="Tahoma"/>
            <family val="2"/>
          </rPr>
          <t>ARC:
removed r from cell for computation (see footnote r)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7" authorId="0" shapeId="0" xr:uid="{00000000-0006-0000-1400-000003000000}">
      <text>
        <r>
          <rPr>
            <b/>
            <sz val="8"/>
            <color indexed="81"/>
            <rFont val="Tahoma"/>
            <family val="2"/>
          </rPr>
          <t>ARC:
removed r from cell for computation (see footnote r)</t>
        </r>
      </text>
    </comment>
  </commentList>
</comments>
</file>

<file path=xl/sharedStrings.xml><?xml version="1.0" encoding="utf-8"?>
<sst xmlns="http://schemas.openxmlformats.org/spreadsheetml/2006/main" count="3505" uniqueCount="1720">
  <si>
    <t>ANSWER-Commodities</t>
  </si>
  <si>
    <t>CommName</t>
  </si>
  <si>
    <t>CommDesc</t>
  </si>
  <si>
    <t>CommUnit</t>
  </si>
  <si>
    <t>Set Memberships</t>
  </si>
  <si>
    <t>Comment</t>
  </si>
  <si>
    <t>Maximum capacity technology growth:</t>
  </si>
  <si>
    <t>~UC_Sets: R_E: R0</t>
  </si>
  <si>
    <t>~UC_Sets: T_SUC:</t>
  </si>
  <si>
    <t>~UC_T</t>
  </si>
  <si>
    <t>UC_N</t>
  </si>
  <si>
    <t>Pset_PN</t>
  </si>
  <si>
    <t>Pset_CI</t>
  </si>
  <si>
    <t>Pset_CO</t>
  </si>
  <si>
    <t>UC_ATTR</t>
  </si>
  <si>
    <t>Year</t>
  </si>
  <si>
    <t>LimType</t>
  </si>
  <si>
    <t>UC_CAP~2010</t>
  </si>
  <si>
    <t>UC_CAP~2015</t>
  </si>
  <si>
    <t>UC_CAP~2020</t>
  </si>
  <si>
    <t>UC_CAP~2025</t>
  </si>
  <si>
    <t>UC_CAP~2030</t>
  </si>
  <si>
    <t>UC_CAP~2035</t>
  </si>
  <si>
    <t>UC_CAP~2040</t>
  </si>
  <si>
    <t>UC_CAP~2045</t>
  </si>
  <si>
    <t>UC_CAP~2050</t>
  </si>
  <si>
    <t>UC_CAP~2055</t>
  </si>
  <si>
    <t>UC_CAP~RHS</t>
  </si>
  <si>
    <t>UC_RHSRTS</t>
  </si>
  <si>
    <t>UC_RHSRTS~0</t>
  </si>
  <si>
    <t>UC_Desc</t>
  </si>
  <si>
    <t>UC_GrowthOfCOAUP1</t>
  </si>
  <si>
    <t>CAP, GROWTH</t>
  </si>
  <si>
    <t>UP</t>
  </si>
  <si>
    <t>UC_GrowthOfCOAUP2</t>
  </si>
  <si>
    <t>UC_GrowthOfCOAUP3</t>
  </si>
  <si>
    <t>UC_GrowthOfCOAUP4</t>
  </si>
  <si>
    <t>UC_GrowthOfCOAUP5</t>
  </si>
  <si>
    <t>UC_GrowthOfCOAUP6</t>
  </si>
  <si>
    <t>UC_GrowthOfCOAUP8</t>
  </si>
  <si>
    <t>UC_GrowthOfCOAUP9</t>
  </si>
  <si>
    <t>UC_GrowthOfCOAUP10</t>
  </si>
  <si>
    <t>UC_GrowthOfCOAUP11</t>
  </si>
  <si>
    <t>UC_GrowthOfCOAUP12</t>
  </si>
  <si>
    <t>UC_GrowthOfCOAUP13</t>
  </si>
  <si>
    <t>UC_GrowthOfCOAUP15</t>
  </si>
  <si>
    <t>UC_GrowthOfCOAUP16</t>
  </si>
  <si>
    <t>UC_GrowthOfCOAUP17</t>
  </si>
  <si>
    <t>UC_GrowthOfCOAUP18</t>
  </si>
  <si>
    <t>UC_GrowthOfCOAUP19</t>
  </si>
  <si>
    <t>UC_GrowthOfCOAUP20</t>
  </si>
  <si>
    <t>UC_GrowthOfCOAUP22</t>
  </si>
  <si>
    <t>UC_GrowthOfCOAUP23</t>
  </si>
  <si>
    <t>UC_GrowthOfCOAUP24</t>
  </si>
  <si>
    <t>UC_GrowthOfCOAUP25</t>
  </si>
  <si>
    <t>UC_GrowthOfCOAUP26</t>
  </si>
  <si>
    <t>UC_GrowthOfCOAUP27</t>
  </si>
  <si>
    <t>UC_GrowthOfCOAUP29</t>
  </si>
  <si>
    <t>UC_GrowthOfCOAUP30</t>
  </si>
  <si>
    <t>UC_GrowthOfCOAUP31</t>
  </si>
  <si>
    <t>UC_GrowthOfCOAUP32</t>
  </si>
  <si>
    <t>UC_GrowthOfCOAUP33</t>
  </si>
  <si>
    <t>UC_GrowthOfCOAUP34</t>
  </si>
  <si>
    <t>UC_GrowthOfCOAUP36</t>
  </si>
  <si>
    <t>UC_GrowthOfCOAUP37</t>
  </si>
  <si>
    <t>UC_GrowthOfCOAUP38</t>
  </si>
  <si>
    <t>UC_GrowthOfCOAUP39</t>
  </si>
  <si>
    <t>UC_GrowthOfCOAUP40</t>
  </si>
  <si>
    <t>UC_GrowthOfCOAUP41</t>
  </si>
  <si>
    <t>UC_GrowthOfCOAUP43</t>
  </si>
  <si>
    <t>UC_GrowthOfCOAUP44</t>
  </si>
  <si>
    <t>UC_GrowthOfCOAUP45</t>
  </si>
  <si>
    <t>UC_GrowthOfCOAUP46</t>
  </si>
  <si>
    <t>UC_GrowthOfCOAUP47</t>
  </si>
  <si>
    <t>UC_GrowthOfCOAUP48</t>
  </si>
  <si>
    <t>UC_GrowthOfCOAUP50</t>
  </si>
  <si>
    <t>UC_GrowthOfCOAUP51</t>
  </si>
  <si>
    <t>UC_GrowthOfCOAUP52</t>
  </si>
  <si>
    <t>UC_GrowthOfCOAUP53</t>
  </si>
  <si>
    <t>UC_GrowthOfCOAUP54</t>
  </si>
  <si>
    <t>UC_GrowthOfCOAUP55</t>
  </si>
  <si>
    <t>UC_GrowthOfCOAUP57</t>
  </si>
  <si>
    <t>UC_GrowthOfCOAUP58</t>
  </si>
  <si>
    <t>UC_GrowthOfCOAUP59</t>
  </si>
  <si>
    <t>UC_GrowthOfCOAUP60</t>
  </si>
  <si>
    <t>UC_GrowthOfCOAUP61</t>
  </si>
  <si>
    <t>UC_GrowthOfCOAUP62</t>
  </si>
  <si>
    <t>UC_GrowthOfCOAUP64</t>
  </si>
  <si>
    <t>UC_GrowthOfCOAUP65</t>
  </si>
  <si>
    <t>UC_GrowthOfCOAUP66</t>
  </si>
  <si>
    <t>UC_GrowthOfCOAUP67</t>
  </si>
  <si>
    <t>UC_GrowthOfCOAUP68</t>
  </si>
  <si>
    <t>UC_GrowthOfCOAUP69</t>
  </si>
  <si>
    <t>UC_GrowthOfCOAUP71</t>
  </si>
  <si>
    <t>UC_GrowthOfCOAUP72</t>
  </si>
  <si>
    <t>UC_GrowthOfCOAUP73</t>
  </si>
  <si>
    <t>UC_GrowthOfCOAUP74</t>
  </si>
  <si>
    <t>UC_GrowthOfCOAUP75</t>
  </si>
  <si>
    <t>UC_GrowthOfCOAUP76</t>
  </si>
  <si>
    <t>UC_GrowthOfCOAUP78</t>
  </si>
  <si>
    <t>UC_GrowthOfCOAUP79</t>
  </si>
  <si>
    <t>UC_GrowthOfCOAUP80</t>
  </si>
  <si>
    <t>UC_GrowthOfCOAUP81</t>
  </si>
  <si>
    <t>UC_GrowthOfCOAUP82</t>
  </si>
  <si>
    <t>UC_GrowthOfCOAUP83</t>
  </si>
  <si>
    <t>UC_GrowthOfCOAUP85</t>
  </si>
  <si>
    <t>UC_GrowthOfCOAUP86</t>
  </si>
  <si>
    <t>UC_GrowthOfCOAUP87</t>
  </si>
  <si>
    <t>UC_GrowthOfCOAUP88</t>
  </si>
  <si>
    <t>UC_GrowthOfCOAUP89</t>
  </si>
  <si>
    <t>UC_GrowthOfCOAUP90</t>
  </si>
  <si>
    <t>UC_GrowthOfCOAUP92</t>
  </si>
  <si>
    <t>UC_GrowthOfCOAUP93</t>
  </si>
  <si>
    <t>UC_GrowthOfCOAUP94</t>
  </si>
  <si>
    <t>UC_GrowthOfCOAUP95</t>
  </si>
  <si>
    <t>UC_GrowthOfCOAUP96</t>
  </si>
  <si>
    <t>UC_GrowthOfCOAUP97</t>
  </si>
  <si>
    <t>UC_GrowthOfCOAUP99</t>
  </si>
  <si>
    <t>UC_GrowthOfCOAUP100</t>
  </si>
  <si>
    <t>UC_GrowthOfCOAUP101</t>
  </si>
  <si>
    <t>UC_GrowthOfCOAUP102</t>
  </si>
  <si>
    <t>UC_GrowthOfCOAUP103</t>
  </si>
  <si>
    <t>UC_GrowthOfCOAUP104</t>
  </si>
  <si>
    <t>UC_GrowthOfCOAUP106</t>
  </si>
  <si>
    <t>UC_GrowthOfCOAUP107</t>
  </si>
  <si>
    <t>UC_GrowthOfCOAUP108</t>
  </si>
  <si>
    <t>UC_GrowthOfCOAUP109</t>
  </si>
  <si>
    <t>UC_GrowthOfCOAUP110</t>
  </si>
  <si>
    <t>UC_GrowthOfCOAUP111</t>
  </si>
  <si>
    <t>UC_GrowthOfCOAUP113</t>
  </si>
  <si>
    <t>UC_GrowthOfCOAUP114</t>
  </si>
  <si>
    <t>UC_GrowthOfCOAUP115</t>
  </si>
  <si>
    <t>UC_GrowthOfCOAUP116</t>
  </si>
  <si>
    <t>UC_GrowthOfCOAUP117</t>
  </si>
  <si>
    <t>UC_GrowthOfCOAUP118</t>
  </si>
  <si>
    <t>UC_GrowthOfCOAUP120</t>
  </si>
  <si>
    <t>UC_GrowthOfCOAUP121</t>
  </si>
  <si>
    <t>UC_GrowthOfCOAUP122</t>
  </si>
  <si>
    <t>UC_GrowthOfCOAUP123</t>
  </si>
  <si>
    <t>UC_GrowthOfCOAUP124</t>
  </si>
  <si>
    <t>UC_GrowthOfCOAUP125</t>
  </si>
  <si>
    <t>UC_GrowthOfCOAUP127</t>
  </si>
  <si>
    <t>UC_GrowthOfCOAUP128</t>
  </si>
  <si>
    <t>UC_GrowthOfCOAUP129</t>
  </si>
  <si>
    <t>UC_GrowthOfCOAUP130</t>
  </si>
  <si>
    <t>UC_GrowthOfCOAUP131</t>
  </si>
  <si>
    <t>UC_GrowthOfCOAUP132</t>
  </si>
  <si>
    <t>UC_GrowthOfCOAUP134</t>
  </si>
  <si>
    <t>UC_GrowthOfCOAUP135</t>
  </si>
  <si>
    <t>UC_GrowthOfCOAUP136</t>
  </si>
  <si>
    <t>UC_GrowthOfCOAUP137</t>
  </si>
  <si>
    <t>UC_GrowthOfCOAUP138</t>
  </si>
  <si>
    <t>UC_GrowthOfCOAUP139</t>
  </si>
  <si>
    <t>UC_GrowthOfCOAUP141</t>
  </si>
  <si>
    <t>UC_GrowthOfCOAUP142</t>
  </si>
  <si>
    <t>UC_GrowthOfCOAUP143</t>
  </si>
  <si>
    <t>UC_GrowthOfCOAUP144</t>
  </si>
  <si>
    <t>UC_GrowthOfCOAUP145</t>
  </si>
  <si>
    <t>UC_GrowthOfCOAUP146</t>
  </si>
  <si>
    <t>UC_GrowthOfCOAUP148</t>
  </si>
  <si>
    <t>UC_GrowthOfCOAUP149</t>
  </si>
  <si>
    <t>UC_GrowthOfCOAUP150</t>
  </si>
  <si>
    <t>UC_GrowthOfCOAUP151</t>
  </si>
  <si>
    <t>UC_GrowthOfCOAUP152</t>
  </si>
  <si>
    <t>UC_GrowthOfCOAUP153</t>
  </si>
  <si>
    <t>UC_GrowthOfCOAUP155</t>
  </si>
  <si>
    <t>UC_GrowthOfCOAUP156</t>
  </si>
  <si>
    <t>UC_GrowthOfCOAUP157</t>
  </si>
  <si>
    <t>UC_GrowthOfCOAUP158</t>
  </si>
  <si>
    <t>UC_GrowthOfCOAUP159</t>
  </si>
  <si>
    <t>UC_GrowthOfCOAUP160</t>
  </si>
  <si>
    <t>UC_GrowthOfCOAUP162</t>
  </si>
  <si>
    <t>UC_GrowthOfCOAUP163</t>
  </si>
  <si>
    <t>UC_GrowthOfCOAUP164</t>
  </si>
  <si>
    <t>UC_GrowthOfCOAUP165</t>
  </si>
  <si>
    <t>UC_GrowthOfCOAUP166</t>
  </si>
  <si>
    <t>UC_GrowthOfCOAUP167</t>
  </si>
  <si>
    <t>UC_GrowthOfCOAUP169</t>
  </si>
  <si>
    <t>UC_GrowthOfCOAUP170</t>
  </si>
  <si>
    <t>UC_GrowthOfCOAUP171</t>
  </si>
  <si>
    <t>UC_GrowthOfCOAUP172</t>
  </si>
  <si>
    <t>UC_GrowthOfCOAUP173</t>
  </si>
  <si>
    <t>UC_GrowthOfCOAUP174</t>
  </si>
  <si>
    <t>UC_GrowthOfCOAUP176</t>
  </si>
  <si>
    <t>UC_GrowthOfCOAUP177</t>
  </si>
  <si>
    <t>UC_GrowthOfCOAUP178</t>
  </si>
  <si>
    <t>UC_GrowthOfCOAUP179</t>
  </si>
  <si>
    <t>UC_GrowthOfCOAUP180</t>
  </si>
  <si>
    <t>UC_GrowthOfCOAUP181</t>
  </si>
  <si>
    <t>UC_GrowthOfCOAUP183</t>
  </si>
  <si>
    <t>UC_GrowthOfCOAUP184</t>
  </si>
  <si>
    <t>UC_GrowthOfCOAUP185</t>
  </si>
  <si>
    <t>UC_GrowthOfCOAUP186</t>
  </si>
  <si>
    <t>UC_GrowthOfCOAUP187</t>
  </si>
  <si>
    <t>UC_GrowthOfCOAUP188</t>
  </si>
  <si>
    <t>UC_GrowthOfCOAUP190</t>
  </si>
  <si>
    <t>UC_GrowthOfCOAUP191</t>
  </si>
  <si>
    <t>UC_GrowthOfCOAUP192</t>
  </si>
  <si>
    <t>UC_GrowthOfCOAUP193</t>
  </si>
  <si>
    <t>UC_GrowthOfCOAUP194</t>
  </si>
  <si>
    <t>UC_GrowthOfCOAUP195</t>
  </si>
  <si>
    <t>UC_GrowthOfCOAUP197</t>
  </si>
  <si>
    <t>UC_GrowthOfCOAUP198</t>
  </si>
  <si>
    <t>UC_GrowthOfCOAUP199</t>
  </si>
  <si>
    <t>UC_GrowthOfCOAUP200</t>
  </si>
  <si>
    <t>UC_GrowthOfCOAUP201</t>
  </si>
  <si>
    <t>UC_GrowthOfCOAUP202</t>
  </si>
  <si>
    <t>UC_GrowthOfCOAUP204</t>
  </si>
  <si>
    <t>UC_GrowthOfCOAUP205</t>
  </si>
  <si>
    <t>UC_GrowthOfCOAUP206</t>
  </si>
  <si>
    <t>UC_GrowthOfCOAUP207</t>
  </si>
  <si>
    <t>UC_GrowthOfCOAUP208</t>
  </si>
  <si>
    <t>UC_GrowthOfCOAUP209</t>
  </si>
  <si>
    <t>UC_GrowthOfCOAUP211</t>
  </si>
  <si>
    <t>UC_GrowthOfCOAUP212</t>
  </si>
  <si>
    <t>UC_GrowthOfCOAUP213</t>
  </si>
  <si>
    <t>UC_GrowthOfCOAUP214</t>
  </si>
  <si>
    <t>UC_GrowthOfCOAUP215</t>
  </si>
  <si>
    <t>UC_GrowthOfCOAUP216</t>
  </si>
  <si>
    <t>UC_GrowthOfCOAUP218</t>
  </si>
  <si>
    <t>UC_GrowthOfCOAUP219</t>
  </si>
  <si>
    <t>UC_GrowthOfCOAUP220</t>
  </si>
  <si>
    <t>UC_GrowthOfCOAUP221</t>
  </si>
  <si>
    <t>UC_GrowthOfCOAUP222</t>
  </si>
  <si>
    <t>UC_GrowthOfCOAUP223</t>
  </si>
  <si>
    <t>UC_GrowthOfCOAUP225</t>
  </si>
  <si>
    <t>UC_GrowthOfCOAUP226</t>
  </si>
  <si>
    <t>UC_GrowthOfCOAUP227</t>
  </si>
  <si>
    <t>UC_GrowthOfCOAUP228</t>
  </si>
  <si>
    <t>UC_GrowthOfCOAUP229</t>
  </si>
  <si>
    <t>UC_GrowthOfCOAUP230</t>
  </si>
  <si>
    <t>UC_GrowthOfCOAUP232</t>
  </si>
  <si>
    <t>UC_GrowthOfCOAUP233</t>
  </si>
  <si>
    <t>UC_GrowthOfCOAUP234</t>
  </si>
  <si>
    <t>UC_GrowthOfCOAUP235</t>
  </si>
  <si>
    <t>UC_GrowthOfCOAUP236</t>
  </si>
  <si>
    <t>UC_GrowthOfCOAUP237</t>
  </si>
  <si>
    <t>UC_GrowthOfCOAUP239</t>
  </si>
  <si>
    <t>UC_GrowthOfCOAUP240</t>
  </si>
  <si>
    <t>UC_GrowthOfCOAUP241</t>
  </si>
  <si>
    <t>UC_GrowthOfCOAUP242</t>
  </si>
  <si>
    <t>UC_GrowthOfCOAUP243</t>
  </si>
  <si>
    <t>UC_GrowthOfCOAUP244</t>
  </si>
  <si>
    <t>UC_GrowthOfCOAUP246</t>
  </si>
  <si>
    <t>UC_GrowthOfCOAUP247</t>
  </si>
  <si>
    <t>UC_GrowthOfCOAUP248</t>
  </si>
  <si>
    <t>UC_GrowthOfCOAUP249</t>
  </si>
  <si>
    <t>UC_GrowthOfCOAUP250</t>
  </si>
  <si>
    <t>UC_GrowthOfCOAUP251</t>
  </si>
  <si>
    <t>UC_GrowthOfCOAUP253</t>
  </si>
  <si>
    <t>UC_GrowthOfCOAUP254</t>
  </si>
  <si>
    <t>UC_GrowthOfCOAUP255</t>
  </si>
  <si>
    <t>UC_GrowthOfCOAUP256</t>
  </si>
  <si>
    <t>UC_GrowthOfCOAUP257</t>
  </si>
  <si>
    <t>UC_GrowthOfCOAUP258</t>
  </si>
  <si>
    <t>UC_GrowthOfCOAUP260</t>
  </si>
  <si>
    <t>UC_GrowthOfCOAUP261</t>
  </si>
  <si>
    <t>UC_GrowthOfCOAUP262</t>
  </si>
  <si>
    <t>UC_GrowthOfCOAUP263</t>
  </si>
  <si>
    <t>UC_GrowthOfCOAUP264</t>
  </si>
  <si>
    <t>UC_GrowthOfCOAUP265</t>
  </si>
  <si>
    <t>UC_GrowthOfCOAUP267</t>
  </si>
  <si>
    <t>UC_GrowthOfCOAUP268</t>
  </si>
  <si>
    <t>UC_GrowthOfCOAUP269</t>
  </si>
  <si>
    <t>UC_GrowthOfCOAUP270</t>
  </si>
  <si>
    <t>UC_GrowthOfCOAUP271</t>
  </si>
  <si>
    <t>UC_GrowthOfCOAUP272</t>
  </si>
  <si>
    <t>Maximum capacity technology decrease:</t>
  </si>
  <si>
    <t>UC_DeayOfCOAUP1</t>
  </si>
  <si>
    <t>LO</t>
  </si>
  <si>
    <t>UC_DeayOfCOAUP2</t>
  </si>
  <si>
    <t>UC_DeayOfCOAUP3</t>
  </si>
  <si>
    <t>UC_DeayOfCOAUP4</t>
  </si>
  <si>
    <t>UC_DeayOfCOAUP5</t>
  </si>
  <si>
    <t>UC_DeayOfCOAUP6</t>
  </si>
  <si>
    <t>UC_DeayOfCOAUP8</t>
  </si>
  <si>
    <t>UC_DeayOfCOAUP9</t>
  </si>
  <si>
    <t>UC_DeayOfCOAUP10</t>
  </si>
  <si>
    <t>UC_DeayOfCOAUP11</t>
  </si>
  <si>
    <t>UC_DeayOfCOAUP12</t>
  </si>
  <si>
    <t>UC_DeayOfCOAUP13</t>
  </si>
  <si>
    <t>UC_DeayOfCOAUP15</t>
  </si>
  <si>
    <t>UC_DeayOfCOAUP16</t>
  </si>
  <si>
    <t>UC_DeayOfCOAUP17</t>
  </si>
  <si>
    <t>UC_DeayOfCOAUP18</t>
  </si>
  <si>
    <t>UC_DeayOfCOAUP19</t>
  </si>
  <si>
    <t>UC_DeayOfCOAUP20</t>
  </si>
  <si>
    <t>UC_DeayOfCOAUP22</t>
  </si>
  <si>
    <t>UC_DeayOfCOAUP23</t>
  </si>
  <si>
    <t>UC_DeayOfCOAUP24</t>
  </si>
  <si>
    <t>UC_DeayOfCOAUP25</t>
  </si>
  <si>
    <t>UC_DeayOfCOAUP26</t>
  </si>
  <si>
    <t>UC_DeayOfCOAUP27</t>
  </si>
  <si>
    <t>UC_DeayOfCOAUP29</t>
  </si>
  <si>
    <t>UC_DeayOfCOAUP30</t>
  </si>
  <si>
    <t>UC_DeayOfCOAUP31</t>
  </si>
  <si>
    <t>UC_DeayOfCOAUP32</t>
  </si>
  <si>
    <t>UC_DeayOfCOAUP33</t>
  </si>
  <si>
    <t>UC_DeayOfCOAUP34</t>
  </si>
  <si>
    <t>UC_DeayOfCOAUP36</t>
  </si>
  <si>
    <t>UC_DeayOfCOAUP37</t>
  </si>
  <si>
    <t>UC_DeayOfCOAUP38</t>
  </si>
  <si>
    <t>UC_DeayOfCOAUP39</t>
  </si>
  <si>
    <t>UC_DeayOfCOAUP40</t>
  </si>
  <si>
    <t>UC_DeayOfCOAUP41</t>
  </si>
  <si>
    <t>UC_DeayOfCOAUP43</t>
  </si>
  <si>
    <t>UC_DeayOfCOAUP44</t>
  </si>
  <si>
    <t>UC_DeayOfCOAUP45</t>
  </si>
  <si>
    <t>UC_DeayOfCOAUP46</t>
  </si>
  <si>
    <t>UC_DeayOfCOAUP47</t>
  </si>
  <si>
    <t>UC_DeayOfCOAUP48</t>
  </si>
  <si>
    <t>UC_DeayOfCOAUP50</t>
  </si>
  <si>
    <t>UC_DeayOfCOAUP51</t>
  </si>
  <si>
    <t>UC_DeayOfCOAUP52</t>
  </si>
  <si>
    <t>UC_DeayOfCOAUP53</t>
  </si>
  <si>
    <t>UC_DeayOfCOAUP54</t>
  </si>
  <si>
    <t>UC_DeayOfCOAUP55</t>
  </si>
  <si>
    <t>UC_DeayOfCOAUP57</t>
  </si>
  <si>
    <t>UC_DeayOfCOAUP58</t>
  </si>
  <si>
    <t>UC_DeayOfCOAUP59</t>
  </si>
  <si>
    <t>UC_DeayOfCOAUP60</t>
  </si>
  <si>
    <t>UC_DeayOfCOAUP61</t>
  </si>
  <si>
    <t>UC_DeayOfCOAUP62</t>
  </si>
  <si>
    <t>UC_DeayOfCOAUP64</t>
  </si>
  <si>
    <t>UC_DeayOfCOAUP65</t>
  </si>
  <si>
    <t>UC_DeayOfCOAUP66</t>
  </si>
  <si>
    <t>UC_DeayOfCOAUP67</t>
  </si>
  <si>
    <t>UC_DeayOfCOAUP68</t>
  </si>
  <si>
    <t>UC_DeayOfCOAUP69</t>
  </si>
  <si>
    <t>UC_DeayOfCOAUP71</t>
  </si>
  <si>
    <t>UC_DeayOfCOAUP72</t>
  </si>
  <si>
    <t>UC_DeayOfCOAUP73</t>
  </si>
  <si>
    <t>UC_DeayOfCOAUP74</t>
  </si>
  <si>
    <t>UC_DeayOfCOAUP75</t>
  </si>
  <si>
    <t>UC_DeayOfCOAUP76</t>
  </si>
  <si>
    <t>UC_DeayOfCOAUP78</t>
  </si>
  <si>
    <t>UC_DeayOfCOAUP79</t>
  </si>
  <si>
    <t>UC_DeayOfCOAUP80</t>
  </si>
  <si>
    <t>UC_DeayOfCOAUP81</t>
  </si>
  <si>
    <t>UC_DeayOfCOAUP82</t>
  </si>
  <si>
    <t>UC_DeayOfCOAUP83</t>
  </si>
  <si>
    <t>UC_DeayOfCOAUP85</t>
  </si>
  <si>
    <t>UC_DeayOfCOAUP86</t>
  </si>
  <si>
    <t>UC_DeayOfCOAUP87</t>
  </si>
  <si>
    <t>UC_DeayOfCOAUP88</t>
  </si>
  <si>
    <t>UC_DeayOfCOAUP89</t>
  </si>
  <si>
    <t>UC_DeayOfCOAUP90</t>
  </si>
  <si>
    <t>UC_DeayOfCOAUP92</t>
  </si>
  <si>
    <t>UC_DeayOfCOAUP93</t>
  </si>
  <si>
    <t>UC_DeayOfCOAUP94</t>
  </si>
  <si>
    <t>UC_DeayOfCOAUP95</t>
  </si>
  <si>
    <t>UC_DeayOfCOAUP96</t>
  </si>
  <si>
    <t>UC_DeayOfCOAUP97</t>
  </si>
  <si>
    <t>UC_DeayOfCOAUP99</t>
  </si>
  <si>
    <t>UC_DeayOfCOAUP100</t>
  </si>
  <si>
    <t>UC_DeayOfCOAUP101</t>
  </si>
  <si>
    <t>UC_DeayOfCOAUP102</t>
  </si>
  <si>
    <t>UC_DeayOfCOAUP103</t>
  </si>
  <si>
    <t>UC_DeayOfCOAUP104</t>
  </si>
  <si>
    <t>UC_DeayOfCOAUP106</t>
  </si>
  <si>
    <t>UC_DeayOfCOAUP107</t>
  </si>
  <si>
    <t>UC_DeayOfCOAUP108</t>
  </si>
  <si>
    <t>UC_DeayOfCOAUP109</t>
  </si>
  <si>
    <t>UC_DeayOfCOAUP110</t>
  </si>
  <si>
    <t>UC_DeayOfCOAUP111</t>
  </si>
  <si>
    <t>UC_DeayOfCOAUP113</t>
  </si>
  <si>
    <t>UC_DeayOfCOAUP114</t>
  </si>
  <si>
    <t>UC_DeayOfCOAUP115</t>
  </si>
  <si>
    <t>UC_DeayOfCOAUP116</t>
  </si>
  <si>
    <t>UC_DeayOfCOAUP117</t>
  </si>
  <si>
    <t>UC_DeayOfCOAUP118</t>
  </si>
  <si>
    <t>UC_DeayOfCOAUP120</t>
  </si>
  <si>
    <t>UC_DeayOfCOAUP121</t>
  </si>
  <si>
    <t>UC_DeayOfCOAUP122</t>
  </si>
  <si>
    <t>UC_DeayOfCOAUP123</t>
  </si>
  <si>
    <t>UC_DeayOfCOAUP124</t>
  </si>
  <si>
    <t>UC_DeayOfCOAUP125</t>
  </si>
  <si>
    <t>UC_DeayOfCOAUP127</t>
  </si>
  <si>
    <t>UC_DeayOfCOAUP128</t>
  </si>
  <si>
    <t>UC_DeayOfCOAUP129</t>
  </si>
  <si>
    <t>UC_DeayOfCOAUP130</t>
  </si>
  <si>
    <t>UC_DeayOfCOAUP131</t>
  </si>
  <si>
    <t>UC_DeayOfCOAUP132</t>
  </si>
  <si>
    <t>UC_DeayOfCOAUP134</t>
  </si>
  <si>
    <t>UC_DeayOfCOAUP135</t>
  </si>
  <si>
    <t>UC_DeayOfCOAUP136</t>
  </si>
  <si>
    <t>UC_DeayOfCOAUP137</t>
  </si>
  <si>
    <t>UC_DeayOfCOAUP138</t>
  </si>
  <si>
    <t>UC_DeayOfCOAUP139</t>
  </si>
  <si>
    <t>UC_DeayOfCOAUP141</t>
  </si>
  <si>
    <t>UC_DeayOfCOAUP142</t>
  </si>
  <si>
    <t>UC_DeayOfCOAUP143</t>
  </si>
  <si>
    <t>UC_DeayOfCOAUP144</t>
  </si>
  <si>
    <t>UC_DeayOfCOAUP145</t>
  </si>
  <si>
    <t>UC_DeayOfCOAUP146</t>
  </si>
  <si>
    <t>UC_DeayOfCOAUP148</t>
  </si>
  <si>
    <t>UC_DeayOfCOAUP149</t>
  </si>
  <si>
    <t>UC_DeayOfCOAUP150</t>
  </si>
  <si>
    <t>UC_DeayOfCOAUP151</t>
  </si>
  <si>
    <t>UC_DeayOfCOAUP152</t>
  </si>
  <si>
    <t>UC_DeayOfCOAUP153</t>
  </si>
  <si>
    <t>UC_DeayOfCOAUP155</t>
  </si>
  <si>
    <t>UC_DeayOfCOAUP156</t>
  </si>
  <si>
    <t>UC_DeayOfCOAUP157</t>
  </si>
  <si>
    <t>UC_DeayOfCOAUP158</t>
  </si>
  <si>
    <t>UC_DeayOfCOAUP159</t>
  </si>
  <si>
    <t>UC_DeayOfCOAUP160</t>
  </si>
  <si>
    <t>UC_DeayOfCOAUP162</t>
  </si>
  <si>
    <t>UC_DeayOfCOAUP163</t>
  </si>
  <si>
    <t>UC_DeayOfCOAUP164</t>
  </si>
  <si>
    <t>UC_DeayOfCOAUP165</t>
  </si>
  <si>
    <t>UC_DeayOfCOAUP166</t>
  </si>
  <si>
    <t>UC_DeayOfCOAUP167</t>
  </si>
  <si>
    <t>UC_DeayOfCOAUP169</t>
  </si>
  <si>
    <t>UC_DeayOfCOAUP170</t>
  </si>
  <si>
    <t>UC_DeayOfCOAUP171</t>
  </si>
  <si>
    <t>UC_DeayOfCOAUP172</t>
  </si>
  <si>
    <t>UC_DeayOfCOAUP173</t>
  </si>
  <si>
    <t>UC_DeayOfCOAUP174</t>
  </si>
  <si>
    <t>UC_DeayOfCOAUP176</t>
  </si>
  <si>
    <t>UC_DeayOfCOAUP177</t>
  </si>
  <si>
    <t>UC_DeayOfCOAUP178</t>
  </si>
  <si>
    <t>UC_DeayOfCOAUP179</t>
  </si>
  <si>
    <t>UC_DeayOfCOAUP180</t>
  </si>
  <si>
    <t>UC_DeayOfCOAUP181</t>
  </si>
  <si>
    <t>UC_DeayOfCOAUP183</t>
  </si>
  <si>
    <t>UC_DeayOfCOAUP184</t>
  </si>
  <si>
    <t>UC_DeayOfCOAUP185</t>
  </si>
  <si>
    <t>UC_DeayOfCOAUP186</t>
  </si>
  <si>
    <t>UC_DeayOfCOAUP187</t>
  </si>
  <si>
    <t>UC_DeayOfCOAUP188</t>
  </si>
  <si>
    <t>UC_DeayOfCOAUP190</t>
  </si>
  <si>
    <t>UC_DeayOfCOAUP191</t>
  </si>
  <si>
    <t>UC_DeayOfCOAUP192</t>
  </si>
  <si>
    <t>UC_DeayOfCOAUP193</t>
  </si>
  <si>
    <t>UC_DeayOfCOAUP194</t>
  </si>
  <si>
    <t>UC_DeayOfCOAUP195</t>
  </si>
  <si>
    <t>UC_DeayOfCOAUP197</t>
  </si>
  <si>
    <t>UC_DeayOfCOAUP198</t>
  </si>
  <si>
    <t>UC_DeayOfCOAUP199</t>
  </si>
  <si>
    <t>UC_DeayOfCOAUP200</t>
  </si>
  <si>
    <t>UC_DeayOfCOAUP201</t>
  </si>
  <si>
    <t>UC_DeayOfCOAUP202</t>
  </si>
  <si>
    <t>UC_DeayOfCOAUP204</t>
  </si>
  <si>
    <t>UC_DeayOfCOAUP205</t>
  </si>
  <si>
    <t>UC_DeayOfCOAUP206</t>
  </si>
  <si>
    <t>UC_DeayOfCOAUP207</t>
  </si>
  <si>
    <t>UC_DeayOfCOAUP208</t>
  </si>
  <si>
    <t>UC_DeayOfCOAUP209</t>
  </si>
  <si>
    <t>UC_DeayOfCOAUP211</t>
  </si>
  <si>
    <t>UC_DeayOfCOAUP212</t>
  </si>
  <si>
    <t>UC_DeayOfCOAUP213</t>
  </si>
  <si>
    <t>UC_DeayOfCOAUP214</t>
  </si>
  <si>
    <t>UC_DeayOfCOAUP215</t>
  </si>
  <si>
    <t>UC_DeayOfCOAUP216</t>
  </si>
  <si>
    <t>UC_DeayOfCOAUP218</t>
  </si>
  <si>
    <t>UC_DeayOfCOAUP219</t>
  </si>
  <si>
    <t>UC_DeayOfCOAUP220</t>
  </si>
  <si>
    <t>UC_DeayOfCOAUP221</t>
  </si>
  <si>
    <t>UC_DeayOfCOAUP222</t>
  </si>
  <si>
    <t>UC_DeayOfCOAUP223</t>
  </si>
  <si>
    <t>UC_DeayOfCOAUP225</t>
  </si>
  <si>
    <t>UC_DeayOfCOAUP226</t>
  </si>
  <si>
    <t>UC_DeayOfCOAUP227</t>
  </si>
  <si>
    <t>UC_DeayOfCOAUP228</t>
  </si>
  <si>
    <t>UC_DeayOfCOAUP229</t>
  </si>
  <si>
    <t>UC_DeayOfCOAUP230</t>
  </si>
  <si>
    <t>UC_DeayOfCOAUP232</t>
  </si>
  <si>
    <t>UC_DeayOfCOAUP233</t>
  </si>
  <si>
    <t>UC_DeayOfCOAUP234</t>
  </si>
  <si>
    <t>UC_DeayOfCOAUP235</t>
  </si>
  <si>
    <t>UC_DeayOfCOAUP236</t>
  </si>
  <si>
    <t>UC_DeayOfCOAUP237</t>
  </si>
  <si>
    <t>UC_DeayOfCOAUP239</t>
  </si>
  <si>
    <t>UC_DeayOfCOAUP240</t>
  </si>
  <si>
    <t>UC_DeayOfCOAUP241</t>
  </si>
  <si>
    <t>UC_DeayOfCOAUP242</t>
  </si>
  <si>
    <t>UC_DeayOfCOAUP243</t>
  </si>
  <si>
    <t>UC_DeayOfCOAUP244</t>
  </si>
  <si>
    <t>UC_DeayOfCOAUP246</t>
  </si>
  <si>
    <t>UC_DeayOfCOAUP247</t>
  </si>
  <si>
    <t>UC_DeayOfCOAUP248</t>
  </si>
  <si>
    <t>UC_DeayOfCOAUP249</t>
  </si>
  <si>
    <t>UC_DeayOfCOAUP250</t>
  </si>
  <si>
    <t>UC_DeayOfCOAUP251</t>
  </si>
  <si>
    <t>UC_DeayOfCOAUP253</t>
  </si>
  <si>
    <t>UC_DeayOfCOAUP254</t>
  </si>
  <si>
    <t>UC_DeayOfCOAUP255</t>
  </si>
  <si>
    <t>UC_DeayOfCOAUP256</t>
  </si>
  <si>
    <t>UC_DeayOfCOAUP257</t>
  </si>
  <si>
    <t>UC_DeayOfCOAUP258</t>
  </si>
  <si>
    <t>UC_DeayOfCOAUP260</t>
  </si>
  <si>
    <t>UC_DeayOfCOAUP261</t>
  </si>
  <si>
    <t>UC_DeayOfCOAUP262</t>
  </si>
  <si>
    <t>UC_DeayOfCOAUP263</t>
  </si>
  <si>
    <t>UC_DeayOfCOAUP264</t>
  </si>
  <si>
    <t>UC_DeayOfCOAUP265</t>
  </si>
  <si>
    <t>UC_DeayOfCOAUP267</t>
  </si>
  <si>
    <t>UC_DeayOfCOAUP268</t>
  </si>
  <si>
    <t>UC_DeayOfCOAUP269</t>
  </si>
  <si>
    <t>UC_DeayOfCOAUP270</t>
  </si>
  <si>
    <t>UC_DeayOfCOAUP271</t>
  </si>
  <si>
    <t>UC_DeayOfCOAUP272</t>
  </si>
  <si>
    <t>TechData</t>
  </si>
  <si>
    <t>R0</t>
  </si>
  <si>
    <t>*</t>
  </si>
  <si>
    <t>START</t>
  </si>
  <si>
    <t xml:space="preserve">GROWTH_TIDr = right hand side of the growth constraint </t>
  </si>
  <si>
    <t>GROWTHr = growth rate</t>
  </si>
  <si>
    <t>GROWTHr</t>
  </si>
  <si>
    <t>DECAYr = decay rate of the production</t>
  </si>
  <si>
    <t>DECAYr</t>
  </si>
  <si>
    <t>COST</t>
  </si>
  <si>
    <t>CUM</t>
  </si>
  <si>
    <t>BOUND(LO)Or</t>
  </si>
  <si>
    <t>BOUND(UP)Or</t>
  </si>
  <si>
    <t>Region</t>
  </si>
  <si>
    <t>TechName</t>
  </si>
  <si>
    <t>*TechDesc</t>
  </si>
  <si>
    <t>CommOUT</t>
  </si>
  <si>
    <t>*TID</t>
  </si>
  <si>
    <t>*2010</t>
  </si>
  <si>
    <t>*2015-2020</t>
  </si>
  <si>
    <t>*2025-2055</t>
  </si>
  <si>
    <t>*2010-2055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</si>
  <si>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</si>
  <si>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</si>
  <si>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</si>
  <si>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</si>
  <si>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</si>
  <si>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</si>
  <si>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</si>
  <si>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</si>
  <si>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</si>
  <si>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</si>
  <si>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ACT_BND~LO~2010</t>
  </si>
  <si>
    <t>ACT_BND~UP~2005</t>
  </si>
  <si>
    <t>ACT_BND~UP~2010</t>
  </si>
  <si>
    <t>*Coal minning</t>
  </si>
  <si>
    <t>MINCNAPMU1</t>
  </si>
  <si>
    <t>MIN.COA.NA.PMU.1</t>
  </si>
  <si>
    <t>MINCNAPMU2</t>
  </si>
  <si>
    <t>MIN.COA.NA.PMU.2</t>
  </si>
  <si>
    <t>MINCNAPMU3</t>
  </si>
  <si>
    <t>MIN.COA.NA.PMU.3</t>
  </si>
  <si>
    <t>MINCNAPMU4</t>
  </si>
  <si>
    <t>MIN.COA.NA.PMU.4</t>
  </si>
  <si>
    <t>MINCNAPMU5</t>
  </si>
  <si>
    <t>MIN.COA.NA.PMU.5</t>
  </si>
  <si>
    <t>MINCNAPMU6</t>
  </si>
  <si>
    <t>MIN.COA.NA.PMU.6</t>
  </si>
  <si>
    <t>MINCNABMU1</t>
  </si>
  <si>
    <t>MIN.COA.NA.BMU.1</t>
  </si>
  <si>
    <t>MINCNABMU2</t>
  </si>
  <si>
    <t>MIN.COA.NA.BMU.2</t>
  </si>
  <si>
    <t>MINCNABMU3</t>
  </si>
  <si>
    <t>MIN.COA.NA.BMU.3</t>
  </si>
  <si>
    <t>MINCNABMU4</t>
  </si>
  <si>
    <t>MIN.COA.NA.BMU.4</t>
  </si>
  <si>
    <t>MINCNABMU5</t>
  </si>
  <si>
    <t>MIN.COA.NA.BMU.5</t>
  </si>
  <si>
    <t>MINCNABMU6</t>
  </si>
  <si>
    <t>MIN.COA.NA.BMU.6</t>
  </si>
  <si>
    <t>MINCNABMS1</t>
  </si>
  <si>
    <t>MIN.COA.NA.BMS.1</t>
  </si>
  <si>
    <t>MINCNABMS2</t>
  </si>
  <si>
    <t>MIN.COA.NA.BMS.2</t>
  </si>
  <si>
    <t>MINCNABMS3</t>
  </si>
  <si>
    <t>MIN.COA.NA.BMS.3</t>
  </si>
  <si>
    <t>MINCNABMS4</t>
  </si>
  <si>
    <t>MIN.COA.NA.BMS.4</t>
  </si>
  <si>
    <t>MINCNABMS5</t>
  </si>
  <si>
    <t>MIN.COA.NA.BMS.5</t>
  </si>
  <si>
    <t>MINCNABMS6</t>
  </si>
  <si>
    <t>MIN.COA.NA.BMS.6</t>
  </si>
  <si>
    <t>MINCNABHU1</t>
  </si>
  <si>
    <t>MIN.COA.NA.BHU.1</t>
  </si>
  <si>
    <t>MINCNABHU2</t>
  </si>
  <si>
    <t>MIN.COA.NA.BHU.2</t>
  </si>
  <si>
    <t>MINCNABHU3</t>
  </si>
  <si>
    <t>MIN.COA.NA.BHU.3</t>
  </si>
  <si>
    <t>MINCNABHU4</t>
  </si>
  <si>
    <t>MIN.COA.NA.BHU.4</t>
  </si>
  <si>
    <t>MINCNABHU5</t>
  </si>
  <si>
    <t>MIN.COA.NA.BHU.5</t>
  </si>
  <si>
    <t>MINCNABHU6</t>
  </si>
  <si>
    <t>MIN.COA.NA.BHU.6</t>
  </si>
  <si>
    <t>MINCNABHS1</t>
  </si>
  <si>
    <t>MIN.COA.NA.BHS.1</t>
  </si>
  <si>
    <t>MINCNABHS2</t>
  </si>
  <si>
    <t>MIN.COA.NA.BHS.2</t>
  </si>
  <si>
    <t>MINCNABHS3</t>
  </si>
  <si>
    <t>MIN.COA.NA.BHS.3</t>
  </si>
  <si>
    <t>MINCNABHS4</t>
  </si>
  <si>
    <t>MIN.COA.NA.BHS.4</t>
  </si>
  <si>
    <t>MINCNABHS5</t>
  </si>
  <si>
    <t>MIN.COA.NA.BHS.5</t>
  </si>
  <si>
    <t>MINCNABHS6</t>
  </si>
  <si>
    <t>MIN.COA.NA.BHS.6</t>
  </si>
  <si>
    <t>MINCCAPMU1</t>
  </si>
  <si>
    <t>MIN.COA.CA.PMU.1</t>
  </si>
  <si>
    <t>MINCCAPMU2</t>
  </si>
  <si>
    <t>MIN.COA.CA.PMU.2</t>
  </si>
  <si>
    <t>MINCCAPMU3</t>
  </si>
  <si>
    <t>MIN.COA.CA.PMU.3</t>
  </si>
  <si>
    <t>MINCCAPMU4</t>
  </si>
  <si>
    <t>MIN.COA.CA.PMU.4</t>
  </si>
  <si>
    <t>MINCCAPMU5</t>
  </si>
  <si>
    <t>MIN.COA.CA.PMU.5</t>
  </si>
  <si>
    <t>MINCCAPMU6</t>
  </si>
  <si>
    <t>MIN.COA.CA.PMU.6</t>
  </si>
  <si>
    <t>MINCCABLU1</t>
  </si>
  <si>
    <t>MIN.COA.CA.BLU.1</t>
  </si>
  <si>
    <t>MINCCABLU2</t>
  </si>
  <si>
    <t>MIN.COA.CA.BLU.2</t>
  </si>
  <si>
    <t>MINCCABLU3</t>
  </si>
  <si>
    <t>MIN.COA.CA.BLU.3</t>
  </si>
  <si>
    <t>MINCCABLU4</t>
  </si>
  <si>
    <t>MIN.COA.CA.BLU.4</t>
  </si>
  <si>
    <t>MINCCABLU5</t>
  </si>
  <si>
    <t>MIN.COA.CA.BLU.5</t>
  </si>
  <si>
    <t>MINCCABLU6</t>
  </si>
  <si>
    <t>MIN.COA.CA.BLU.6</t>
  </si>
  <si>
    <t>MINCCABLS1</t>
  </si>
  <si>
    <t>MIN.COA.CA.BLS.1</t>
  </si>
  <si>
    <t>MINCCABLS2</t>
  </si>
  <si>
    <t>MIN.COA.CA.BLS.2</t>
  </si>
  <si>
    <t>MINCCABLS3</t>
  </si>
  <si>
    <t>MIN.COA.CA.BLS.3</t>
  </si>
  <si>
    <t>MINCCABLS4</t>
  </si>
  <si>
    <t>MIN.COA.CA.BLS.4</t>
  </si>
  <si>
    <t>MINCCABLS5</t>
  </si>
  <si>
    <t>MIN.COA.CA.BLS.5</t>
  </si>
  <si>
    <t>MINCCABLS6</t>
  </si>
  <si>
    <t>MIN.COA.CA.BLS.6</t>
  </si>
  <si>
    <t>MINCCABMU1</t>
  </si>
  <si>
    <t>MIN.COA.CA.BMU.1</t>
  </si>
  <si>
    <t>MINCCABMU2</t>
  </si>
  <si>
    <t>MIN.COA.CA.BMU.2</t>
  </si>
  <si>
    <t>MINCCABMU3</t>
  </si>
  <si>
    <t>MIN.COA.CA.BMU.3</t>
  </si>
  <si>
    <t>MINCCABMU4</t>
  </si>
  <si>
    <t>MIN.COA.CA.BMU.4</t>
  </si>
  <si>
    <t>MINCCABMU5</t>
  </si>
  <si>
    <t>MIN.COA.CA.BMU.5</t>
  </si>
  <si>
    <t>MINCCABMU6</t>
  </si>
  <si>
    <t>MIN.COA.CA.BMU.6</t>
  </si>
  <si>
    <t>MINCCABMS1</t>
  </si>
  <si>
    <t>MIN.COA.CA.BMS.1</t>
  </si>
  <si>
    <t>MINCCABMS2</t>
  </si>
  <si>
    <t>MIN.COA.CA.BMS.2</t>
  </si>
  <si>
    <t>MINCCABMS3</t>
  </si>
  <si>
    <t>MIN.COA.CA.BMS.3</t>
  </si>
  <si>
    <t>MINCCABMS4</t>
  </si>
  <si>
    <t>MIN.COA.CA.BMS.4</t>
  </si>
  <si>
    <t>MINCCABMS5</t>
  </si>
  <si>
    <t>MIN.COA.CA.BMS.5</t>
  </si>
  <si>
    <t>MINCCABMS6</t>
  </si>
  <si>
    <t>MIN.COA.CA.BMS.6</t>
  </si>
  <si>
    <t>MINCSAPLU1</t>
  </si>
  <si>
    <t>MIN.COA.SA.PLU.1</t>
  </si>
  <si>
    <t>MINCSAPLU2</t>
  </si>
  <si>
    <t>MIN.COA.SA.PLU.2</t>
  </si>
  <si>
    <t>MINCSAPLU3</t>
  </si>
  <si>
    <t>MIN.COA.SA.PLU.3</t>
  </si>
  <si>
    <t>MINCSAPLU4</t>
  </si>
  <si>
    <t>MIN.COA.SA.PLU.4</t>
  </si>
  <si>
    <t>MINCSAPLU5</t>
  </si>
  <si>
    <t>MIN.COA.SA.PLU.5</t>
  </si>
  <si>
    <t>MINCSAPLU6</t>
  </si>
  <si>
    <t>MIN.COA.SA.PLU.6</t>
  </si>
  <si>
    <t>MINCSABLU1</t>
  </si>
  <si>
    <t>MIN.COA.SA.BLU.1</t>
  </si>
  <si>
    <t>MINCSABLU2</t>
  </si>
  <si>
    <t>MIN.COA.SA.BLU.2</t>
  </si>
  <si>
    <t>MINCSABLU3</t>
  </si>
  <si>
    <t>MIN.COA.SA.BLU.3</t>
  </si>
  <si>
    <t>MINCSABLU4</t>
  </si>
  <si>
    <t>MIN.COA.SA.BLU.4</t>
  </si>
  <si>
    <t>MINCSABLU5</t>
  </si>
  <si>
    <t>MIN.COA.SA.BLU.5</t>
  </si>
  <si>
    <t>MINCSABLU6</t>
  </si>
  <si>
    <t>MIN.COA.SA.BLU.6</t>
  </si>
  <si>
    <t>MINCSABLS1</t>
  </si>
  <si>
    <t>MIN.COA.SA.BLS.1</t>
  </si>
  <si>
    <t>MINCSABLS2</t>
  </si>
  <si>
    <t>MIN.COA.SA.BLS.2</t>
  </si>
  <si>
    <t>MINCSABLS3</t>
  </si>
  <si>
    <t>MIN.COA.SA.BLS.3</t>
  </si>
  <si>
    <t>MINCSABLS4</t>
  </si>
  <si>
    <t>MIN.COA.SA.BLS.4</t>
  </si>
  <si>
    <t>MINCSABLS5</t>
  </si>
  <si>
    <t>MIN.COA.SA.BLS.5</t>
  </si>
  <si>
    <t>MINCSABLS6</t>
  </si>
  <si>
    <t>MIN.COA.SA.BLS.6</t>
  </si>
  <si>
    <t>MINCSABMU1</t>
  </si>
  <si>
    <t>MIN.COA.SA.BMU.1</t>
  </si>
  <si>
    <t>MINCSABMU2</t>
  </si>
  <si>
    <t>MIN.COA.SA.BMU.2</t>
  </si>
  <si>
    <t>MINCSABMU3</t>
  </si>
  <si>
    <t>MIN.COA.SA.BMU.3</t>
  </si>
  <si>
    <t>MINCSABMU4</t>
  </si>
  <si>
    <t>MIN.COA.SA.BMU.4</t>
  </si>
  <si>
    <t>MINCSABMU5</t>
  </si>
  <si>
    <t>MIN.COA.SA.BMU.5</t>
  </si>
  <si>
    <t>MINCSABMU6</t>
  </si>
  <si>
    <t>MIN.COA.SA.BMU.6</t>
  </si>
  <si>
    <t>MINCSABMS1</t>
  </si>
  <si>
    <t>MIN.COA.SA.BMS.1</t>
  </si>
  <si>
    <t>MINCSABMS2</t>
  </si>
  <si>
    <t>MIN.COA.SA.BMS.2</t>
  </si>
  <si>
    <t>MINCSABMS3</t>
  </si>
  <si>
    <t>MIN.COA.SA.BMS.3</t>
  </si>
  <si>
    <t>MINCSABMS4</t>
  </si>
  <si>
    <t>MIN.COA.SA.BMS.4</t>
  </si>
  <si>
    <t>MINCSABMS5</t>
  </si>
  <si>
    <t>MIN.COA.SA.BMS.5</t>
  </si>
  <si>
    <t>MINCSABMS6</t>
  </si>
  <si>
    <t>MIN.COA.SA.BMS.6</t>
  </si>
  <si>
    <t>MINCEIBMU1</t>
  </si>
  <si>
    <t>MIN.COA.EI.BMU.1</t>
  </si>
  <si>
    <t>MINCEIBMU2</t>
  </si>
  <si>
    <t>MIN.COA.EI.BMU.2</t>
  </si>
  <si>
    <t>MINCEIBMU3</t>
  </si>
  <si>
    <t>MIN.COA.EI.BMU.3</t>
  </si>
  <si>
    <t>MINCEIBMU4</t>
  </si>
  <si>
    <t>MIN.COA.EI.BMU.4</t>
  </si>
  <si>
    <t>MINCEIBMU5</t>
  </si>
  <si>
    <t>MIN.COA.EI.BMU.5</t>
  </si>
  <si>
    <t>MINCEIBMU6</t>
  </si>
  <si>
    <t>MIN.COA.EI.BMU.6</t>
  </si>
  <si>
    <t>MINCEIBMS1</t>
  </si>
  <si>
    <t>MIN.COA.EI.BMS.1</t>
  </si>
  <si>
    <t>MINCEIBMS2</t>
  </si>
  <si>
    <t>MIN.COA.EI.BMS.2</t>
  </si>
  <si>
    <t>MINCEIBMS3</t>
  </si>
  <si>
    <t>MIN.COA.EI.BMS.3</t>
  </si>
  <si>
    <t>MINCEIBMS4</t>
  </si>
  <si>
    <t>MIN.COA.EI.BMS.4</t>
  </si>
  <si>
    <t>MINCEIBMS5</t>
  </si>
  <si>
    <t>MIN.COA.EI.BMS.5</t>
  </si>
  <si>
    <t>MINCEIBMS6</t>
  </si>
  <si>
    <t>MIN.COA.EI.BMS.6</t>
  </si>
  <si>
    <t>MINCEIBHU1</t>
  </si>
  <si>
    <t>MIN.COA.EI.BHU.1</t>
  </si>
  <si>
    <t>MINCEIBHU2</t>
  </si>
  <si>
    <t>MIN.COA.EI.BHU.2</t>
  </si>
  <si>
    <t>MINCEIBHU3</t>
  </si>
  <si>
    <t>MIN.COA.EI.BHU.3</t>
  </si>
  <si>
    <t>MINCEIBHU4</t>
  </si>
  <si>
    <t>MIN.COA.EI.BHU.4</t>
  </si>
  <si>
    <t>MINCEIBHU5</t>
  </si>
  <si>
    <t>MIN.COA.EI.BHU.5</t>
  </si>
  <si>
    <t>MINCEIBHU6</t>
  </si>
  <si>
    <t>MIN.COA.EI.BHU.6</t>
  </si>
  <si>
    <t>MINCEIBHS1</t>
  </si>
  <si>
    <t>MIN.COA.EI.BHS.1</t>
  </si>
  <si>
    <t>MINCEIBHS2</t>
  </si>
  <si>
    <t>MIN.COA.EI.BHS.2</t>
  </si>
  <si>
    <t>MINCEIBHS3</t>
  </si>
  <si>
    <t>MIN.COA.EI.BHS.3</t>
  </si>
  <si>
    <t>MINCEIBHS4</t>
  </si>
  <si>
    <t>MIN.COA.EI.BHS.4</t>
  </si>
  <si>
    <t>MINCEIBHS5</t>
  </si>
  <si>
    <t>MIN.COA.EI.BHS.5</t>
  </si>
  <si>
    <t>MINCEIBHS6</t>
  </si>
  <si>
    <t>MIN.COA.EI.BHS.6</t>
  </si>
  <si>
    <t>MINCEILMS1</t>
  </si>
  <si>
    <t>MIN.COA.EI.LMS.1</t>
  </si>
  <si>
    <t>MINCEILMS2</t>
  </si>
  <si>
    <t>MIN.COA.EI.LMS.2</t>
  </si>
  <si>
    <t>MINCEILMS3</t>
  </si>
  <si>
    <t>MIN.COA.EI.LMS.3</t>
  </si>
  <si>
    <t>MINCEILMS4</t>
  </si>
  <si>
    <t>MIN.COA.EI.LMS.4</t>
  </si>
  <si>
    <t>MINCEILMS5</t>
  </si>
  <si>
    <t>MIN.COA.EI.LMS.5</t>
  </si>
  <si>
    <t>MINCEILMS6</t>
  </si>
  <si>
    <t>MIN.COA.EI.LMS.6</t>
  </si>
  <si>
    <t>MINCWIBHS1</t>
  </si>
  <si>
    <t>MIN.COA.WI.BHS.1</t>
  </si>
  <si>
    <t>MINCWIBHS2</t>
  </si>
  <si>
    <t>MIN.COA.WI.BHS.2</t>
  </si>
  <si>
    <t>MINCWIBHS3</t>
  </si>
  <si>
    <t>MIN.COA.WI.BHS.3</t>
  </si>
  <si>
    <t>MINCWIBHS4</t>
  </si>
  <si>
    <t>MIN.COA.WI.BHS.4</t>
  </si>
  <si>
    <t>MINCWIBHS5</t>
  </si>
  <si>
    <t>MIN.COA.WI.BHS.5</t>
  </si>
  <si>
    <t>MINCWIBHS6</t>
  </si>
  <si>
    <t>MIN.COA.WI.BHS.6</t>
  </si>
  <si>
    <t>MINCGLLMS1</t>
  </si>
  <si>
    <t>MIN.COA.GL.LMS.1</t>
  </si>
  <si>
    <t>MINCGLLMS2</t>
  </si>
  <si>
    <t>MIN.COA.GL.LMS.2</t>
  </si>
  <si>
    <t>MINCGLLMS3</t>
  </si>
  <si>
    <t>MIN.COA.GL.LMS.3</t>
  </si>
  <si>
    <t>MINCGLLMS4</t>
  </si>
  <si>
    <t>MIN.COA.GL.LMS.4</t>
  </si>
  <si>
    <t>MINCGLLMS5</t>
  </si>
  <si>
    <t>MIN.COA.GL.LMS.5</t>
  </si>
  <si>
    <t>MINCGLLMS6</t>
  </si>
  <si>
    <t>MIN.COA.GL.LMS.6</t>
  </si>
  <si>
    <t>MINCGLLHS1</t>
  </si>
  <si>
    <t>MIN.COA.GL.LHS.1</t>
  </si>
  <si>
    <t>MINCGLLHS2</t>
  </si>
  <si>
    <t>MIN.COA.GL.LHS.2</t>
  </si>
  <si>
    <t>MINCGLLHS3</t>
  </si>
  <si>
    <t>MIN.COA.GL.LHS.3</t>
  </si>
  <si>
    <t>MINCGLLHS4</t>
  </si>
  <si>
    <t>MIN.COA.GL.LHS.4</t>
  </si>
  <si>
    <t>MINCGLLHS5</t>
  </si>
  <si>
    <t>MIN.COA.GL.LHS.5</t>
  </si>
  <si>
    <t>MINCGLLHS6</t>
  </si>
  <si>
    <t>MIN.COA.GL.LHS.6</t>
  </si>
  <si>
    <t>MINCDLLMS1</t>
  </si>
  <si>
    <t>MIN.COA.DL.LMS.1</t>
  </si>
  <si>
    <t>MINCDLLMS2</t>
  </si>
  <si>
    <t>MIN.COA.DL.LMS.2</t>
  </si>
  <si>
    <t>MINCDLLMS3</t>
  </si>
  <si>
    <t>MIN.COA.DL.LMS.3</t>
  </si>
  <si>
    <t>MINCDLLMS4</t>
  </si>
  <si>
    <t>MIN.COA.DL.LMS.4</t>
  </si>
  <si>
    <t>MINCDLLMS5</t>
  </si>
  <si>
    <t>MIN.COA.DL.LMS.5</t>
  </si>
  <si>
    <t>MINCDLLMS6</t>
  </si>
  <si>
    <t>MIN.COA.DL.LMS.6</t>
  </si>
  <si>
    <t>MINCWMBLU1</t>
  </si>
  <si>
    <t>MIN.COA.WM.BLU.1</t>
  </si>
  <si>
    <t>MINCWMBLU2</t>
  </si>
  <si>
    <t>MIN.COA.WM.BLU.2</t>
  </si>
  <si>
    <t>MINCWMBLU3</t>
  </si>
  <si>
    <t>MIN.COA.WM.BLU.3</t>
  </si>
  <si>
    <t>MINCWMBLU4</t>
  </si>
  <si>
    <t>MIN.COA.WM.BLU.4</t>
  </si>
  <si>
    <t>MINCWMBLU5</t>
  </si>
  <si>
    <t>MIN.COA.WM.BLU.5</t>
  </si>
  <si>
    <t>MINCWMBLU6</t>
  </si>
  <si>
    <t>MIN.COA.WM.BLU.6</t>
  </si>
  <si>
    <t>MINCWMSLS1</t>
  </si>
  <si>
    <t>MIN.COA.WM.SLS.1</t>
  </si>
  <si>
    <t>MINCWMSLS2</t>
  </si>
  <si>
    <t>MIN.COA.WM.SLS.2</t>
  </si>
  <si>
    <t>MINCWMSLS3</t>
  </si>
  <si>
    <t>MIN.COA.WM.SLS.3</t>
  </si>
  <si>
    <t>MINCWMSLS4</t>
  </si>
  <si>
    <t>MIN.COA.WM.SLS.4</t>
  </si>
  <si>
    <t>MINCWMSLS5</t>
  </si>
  <si>
    <t>MIN.COA.WM.SLS.5</t>
  </si>
  <si>
    <t>MINCWMSLS6</t>
  </si>
  <si>
    <t>MIN.COA.WM.SLS.6</t>
  </si>
  <si>
    <t>MINCWMSMS1</t>
  </si>
  <si>
    <t>MIN.COA.WM.SMS.1</t>
  </si>
  <si>
    <t>MINCWMSMS2</t>
  </si>
  <si>
    <t>MIN.COA.WM.SMS.2</t>
  </si>
  <si>
    <t>MINCWMSMS3</t>
  </si>
  <si>
    <t>MIN.COA.WM.SMS.3</t>
  </si>
  <si>
    <t>MINCWMSMS4</t>
  </si>
  <si>
    <t>MIN.COA.WM.SMS.4</t>
  </si>
  <si>
    <t>MINCWMSMS5</t>
  </si>
  <si>
    <t>MIN.COA.WM.SMS.5</t>
  </si>
  <si>
    <t>MINCWMSMS6</t>
  </si>
  <si>
    <t>MIN.COA.WM.SMS.6</t>
  </si>
  <si>
    <t>MINCNWSLS1</t>
  </si>
  <si>
    <t>MIN.COA.NW.SLS.1</t>
  </si>
  <si>
    <t>MINCNWSLS2</t>
  </si>
  <si>
    <t>MIN.COA.NW.SLS.2</t>
  </si>
  <si>
    <t>MINCNWSLS3</t>
  </si>
  <si>
    <t>MIN.COA.NW.SLS.3</t>
  </si>
  <si>
    <t>MINCNWSLS4</t>
  </si>
  <si>
    <t>MIN.COA.NW.SLS.4</t>
  </si>
  <si>
    <t>MINCNWSLS5</t>
  </si>
  <si>
    <t>MIN.COA.NW.SLS.5</t>
  </si>
  <si>
    <t>MINCNWSLS6</t>
  </si>
  <si>
    <t>MIN.COA.NW.SLS.6</t>
  </si>
  <si>
    <t>MINCNWSMS1</t>
  </si>
  <si>
    <t>MIN.COA.NW.SMS.1</t>
  </si>
  <si>
    <t>MINCNWSMS2</t>
  </si>
  <si>
    <t>MIN.COA.NW.SMS.2</t>
  </si>
  <si>
    <t>MINCNWSMS3</t>
  </si>
  <si>
    <t>MIN.COA.NW.SMS.3</t>
  </si>
  <si>
    <t>MINCNWSMS4</t>
  </si>
  <si>
    <t>MIN.COA.NW.SMS.4</t>
  </si>
  <si>
    <t>MINCNWSMS5</t>
  </si>
  <si>
    <t>MIN.COA.NW.SMS.5</t>
  </si>
  <si>
    <t>MINCNWSMS6</t>
  </si>
  <si>
    <t>MIN.COA.NW.SMS.6</t>
  </si>
  <si>
    <t>MINCWWSLU1</t>
  </si>
  <si>
    <t>MIN.COA.WW.SLU.1</t>
  </si>
  <si>
    <t>MINCWWSLU2</t>
  </si>
  <si>
    <t>MIN.COA.WW.SLU.2</t>
  </si>
  <si>
    <t>MINCWWSLU3</t>
  </si>
  <si>
    <t>MIN.COA.WW.SLU.3</t>
  </si>
  <si>
    <t>MINCWWSLU4</t>
  </si>
  <si>
    <t>MIN.COA.WW.SLU.4</t>
  </si>
  <si>
    <t>MINCWWSLU5</t>
  </si>
  <si>
    <t>MIN.COA.WW.SLU.5</t>
  </si>
  <si>
    <t>MINCWWSLU6</t>
  </si>
  <si>
    <t>MIN.COA.WW.SLU.6</t>
  </si>
  <si>
    <t>MINCWWSLS1</t>
  </si>
  <si>
    <t>MIN.COA.WW.SLS.1</t>
  </si>
  <si>
    <t>MINCWWSLS2</t>
  </si>
  <si>
    <t>MIN.COA.WW.SLS.2</t>
  </si>
  <si>
    <t>MINCWWSLS3</t>
  </si>
  <si>
    <t>MIN.COA.WW.SLS.3</t>
  </si>
  <si>
    <t>MINCWWSLS4</t>
  </si>
  <si>
    <t>MIN.COA.WW.SLS.4</t>
  </si>
  <si>
    <t>MINCWWSLS5</t>
  </si>
  <si>
    <t>MIN.COA.WW.SLS.5</t>
  </si>
  <si>
    <t>MINCWWSLS6</t>
  </si>
  <si>
    <t>MIN.COA.WW.SLS.6</t>
  </si>
  <si>
    <t>MINCWWSMS1</t>
  </si>
  <si>
    <t>MIN.COA.WW.SMS.1</t>
  </si>
  <si>
    <t>MINCWWSMS2</t>
  </si>
  <si>
    <t>MIN.COA.WW.SMS.2</t>
  </si>
  <si>
    <t>MINCWWSMS3</t>
  </si>
  <si>
    <t>MIN.COA.WW.SMS.3</t>
  </si>
  <si>
    <t>MINCWWSMS4</t>
  </si>
  <si>
    <t>MIN.COA.WW.SMS.4</t>
  </si>
  <si>
    <t>MINCWWSMS5</t>
  </si>
  <si>
    <t>MIN.COA.WW.SMS.5</t>
  </si>
  <si>
    <t>MINCWWSMS6</t>
  </si>
  <si>
    <t>MIN.COA.WW.SMS.6</t>
  </si>
  <si>
    <t>MINCRMPLU1</t>
  </si>
  <si>
    <t>MIN.COA.RM.PLU.1</t>
  </si>
  <si>
    <t>MINCRMPLU2</t>
  </si>
  <si>
    <t>MIN.COA.RM.PLU.2</t>
  </si>
  <si>
    <t>MINCRMPLU3</t>
  </si>
  <si>
    <t>MIN.COA.RM.PLU.3</t>
  </si>
  <si>
    <t>MINCRMPLU4</t>
  </si>
  <si>
    <t>MIN.COA.RM.PLU.4</t>
  </si>
  <si>
    <t>MINCRMPLU5</t>
  </si>
  <si>
    <t>MIN.COA.RM.PLU.5</t>
  </si>
  <si>
    <t>MINCRMPLU6</t>
  </si>
  <si>
    <t>MIN.COA.RM.PLU.6</t>
  </si>
  <si>
    <t>MINCRMBLU1</t>
  </si>
  <si>
    <t>MIN.COA.RM.BLU.1</t>
  </si>
  <si>
    <t>MINCRMBLU2</t>
  </si>
  <si>
    <t>MIN.COA.RM.BLU.2</t>
  </si>
  <si>
    <t>MINCRMBLU3</t>
  </si>
  <si>
    <t>MIN.COA.RM.BLU.3</t>
  </si>
  <si>
    <t>MINCRMBLU4</t>
  </si>
  <si>
    <t>MIN.COA.RM.BLU.4</t>
  </si>
  <si>
    <t>MINCRMBLU5</t>
  </si>
  <si>
    <t>MIN.COA.RM.BLU.5</t>
  </si>
  <si>
    <t>MINCRMBLU6</t>
  </si>
  <si>
    <t>MIN.COA.RM.BLU.6</t>
  </si>
  <si>
    <t>MINCRMSLS1</t>
  </si>
  <si>
    <t>MIN.COA.RM.SLS.1</t>
  </si>
  <si>
    <t>MINCRMSLS2</t>
  </si>
  <si>
    <t>MIN.COA.RM.SLS.2</t>
  </si>
  <si>
    <t>MINCRMSLS3</t>
  </si>
  <si>
    <t>MIN.COA.RM.SLS.3</t>
  </si>
  <si>
    <t>MINCRMSLS4</t>
  </si>
  <si>
    <t>MIN.COA.RM.SLS.4</t>
  </si>
  <si>
    <t>MINCRMSLS5</t>
  </si>
  <si>
    <t>MIN.COA.RM.SLS.5</t>
  </si>
  <si>
    <t>MINCRMSLS6</t>
  </si>
  <si>
    <t>MIN.COA.RM.SLS.6</t>
  </si>
  <si>
    <t>MINCZNBLS1</t>
  </si>
  <si>
    <t>MIN.COA.ZN.BLS.1</t>
  </si>
  <si>
    <t>MINCZNBLS2</t>
  </si>
  <si>
    <t>MIN.COA.ZN.BLS.2</t>
  </si>
  <si>
    <t>MINCZNBLS3</t>
  </si>
  <si>
    <t>MIN.COA.ZN.BLS.3</t>
  </si>
  <si>
    <t>MINCZNBLS4</t>
  </si>
  <si>
    <t>MIN.COA.ZN.BLS.4</t>
  </si>
  <si>
    <t>MINCZNBLS5</t>
  </si>
  <si>
    <t>MIN.COA.ZN.BLS.5</t>
  </si>
  <si>
    <t>MINCZNBLS6</t>
  </si>
  <si>
    <t>MIN.COA.ZN.BLS.6</t>
  </si>
  <si>
    <t>MINCZNBMU1</t>
  </si>
  <si>
    <t>MIN.COA.ZN.BMU.1</t>
  </si>
  <si>
    <t>MINCZNBMU2</t>
  </si>
  <si>
    <t>MIN.COA.ZN.BMU.2</t>
  </si>
  <si>
    <t>MINCZNBMU3</t>
  </si>
  <si>
    <t>MIN.COA.ZN.BMU.3</t>
  </si>
  <si>
    <t>MINCZNBMU4</t>
  </si>
  <si>
    <t>MIN.COA.ZN.BMU.4</t>
  </si>
  <si>
    <t>MINCZNBMU5</t>
  </si>
  <si>
    <t>MIN.COA.ZN.BMU.5</t>
  </si>
  <si>
    <t>MINCZNBMU6</t>
  </si>
  <si>
    <t>MIN.COA.ZN.BMU.6</t>
  </si>
  <si>
    <t>MINCZNSMS1</t>
  </si>
  <si>
    <t>MIN.COA.ZN.SMS.1</t>
  </si>
  <si>
    <t>MINCZNSMS2</t>
  </si>
  <si>
    <t>MIN.COA.ZN.SMS.2</t>
  </si>
  <si>
    <t>MINCZNSMS3</t>
  </si>
  <si>
    <t>MIN.COA.ZN.SMS.3</t>
  </si>
  <si>
    <t>MINCZNSMS4</t>
  </si>
  <si>
    <t>MIN.COA.ZN.SMS.4</t>
  </si>
  <si>
    <t>MINCZNSMS5</t>
  </si>
  <si>
    <t>MIN.COA.ZN.SMS.5</t>
  </si>
  <si>
    <t>MINCZNSMS6</t>
  </si>
  <si>
    <t>MIN.COA.ZN.SMS.6</t>
  </si>
  <si>
    <t>MINCPCSLS1</t>
  </si>
  <si>
    <t>MIN.COA.PC.SLS.1</t>
  </si>
  <si>
    <t>MINCPCSLS2</t>
  </si>
  <si>
    <t>MIN.COA.PC.SLS.2</t>
  </si>
  <si>
    <t>MINCPCSLS3</t>
  </si>
  <si>
    <t>MIN.COA.PC.SLS.3</t>
  </si>
  <si>
    <t>MINCPCSLS4</t>
  </si>
  <si>
    <t>MIN.COA.PC.SLS.4</t>
  </si>
  <si>
    <t>MINCPCSLS5</t>
  </si>
  <si>
    <t>MIN.COA.PC.SLS.5</t>
  </si>
  <si>
    <t>MINCPCSLS6</t>
  </si>
  <si>
    <t>MIN.COA.PC.SLS.6</t>
  </si>
  <si>
    <t>CommIN</t>
  </si>
  <si>
    <t>EFF</t>
  </si>
  <si>
    <t>NCAP_COST</t>
  </si>
  <si>
    <t>NCAP_FOM</t>
  </si>
  <si>
    <t>ACT_COST</t>
  </si>
  <si>
    <t>AFA</t>
  </si>
  <si>
    <t>*Coal extraction</t>
  </si>
  <si>
    <t>SECCNAPMU</t>
  </si>
  <si>
    <t>SEC.COA.NA.PMU</t>
  </si>
  <si>
    <t>SECCNABMU</t>
  </si>
  <si>
    <t>SEC.COA.NA.BMU</t>
  </si>
  <si>
    <t>SECCNABMS</t>
  </si>
  <si>
    <t>SEC.COA.NA.BMS</t>
  </si>
  <si>
    <t>SECCNABHU</t>
  </si>
  <si>
    <t>SEC.COA.NA.BHU</t>
  </si>
  <si>
    <t>SECCNABHS</t>
  </si>
  <si>
    <t>SEC.COA.NA.BHS</t>
  </si>
  <si>
    <t>SECCNALHS</t>
  </si>
  <si>
    <t>SEC.COA.NA.LHS</t>
  </si>
  <si>
    <t>SECCCAPMU</t>
  </si>
  <si>
    <t>SEC.COA.CA.PMU</t>
  </si>
  <si>
    <t>SECCCABLU</t>
  </si>
  <si>
    <t>SEC.COA.CA.BLU</t>
  </si>
  <si>
    <t>SECCCABLS</t>
  </si>
  <si>
    <t>SEC.COA.CA.BLS</t>
  </si>
  <si>
    <t>SECCCABMU</t>
  </si>
  <si>
    <t>SEC.COA.CA.BMU</t>
  </si>
  <si>
    <t>SECCCABMS</t>
  </si>
  <si>
    <t>SEC.COA.CA.BMS</t>
  </si>
  <si>
    <t>SECCSAPLU</t>
  </si>
  <si>
    <t>SEC.COA.SA.PLU</t>
  </si>
  <si>
    <t>SECCSABLU</t>
  </si>
  <si>
    <t>SEC.COA.SA.BLU</t>
  </si>
  <si>
    <t>SECCSABLS</t>
  </si>
  <si>
    <t>SEC.COA.SA.BLS</t>
  </si>
  <si>
    <t>SECCSABMU</t>
  </si>
  <si>
    <t>SEC.COA.SA.BMU</t>
  </si>
  <si>
    <t>SECCSABMS</t>
  </si>
  <si>
    <t>SEC.COA.SA.BMS</t>
  </si>
  <si>
    <t>SECCEIBMU</t>
  </si>
  <si>
    <t>SEC.COA.EI.BMU</t>
  </si>
  <si>
    <t>SECCEIBMS</t>
  </si>
  <si>
    <t>SEC.COA.EI.BMS</t>
  </si>
  <si>
    <t>SECCEIBHU</t>
  </si>
  <si>
    <t>SEC.COA.EI.BHU</t>
  </si>
  <si>
    <t>SECCEIBHS</t>
  </si>
  <si>
    <t>SEC.COA.EI.BHS</t>
  </si>
  <si>
    <t>SECCEILMS</t>
  </si>
  <si>
    <t>SEC.COA.EI.LMS</t>
  </si>
  <si>
    <t>SECCWIBHS</t>
  </si>
  <si>
    <t>SEC.COA.WI.BHS</t>
  </si>
  <si>
    <t>SECCGLLMS</t>
  </si>
  <si>
    <t>SEC.COA.GL.LMS</t>
  </si>
  <si>
    <t>SECCGLLHS</t>
  </si>
  <si>
    <t>SEC.COA.GL.LHS</t>
  </si>
  <si>
    <t>SECCDLLMS</t>
  </si>
  <si>
    <t>SEC.COA.DL.LMS</t>
  </si>
  <si>
    <t>SECCWMBLU</t>
  </si>
  <si>
    <t>SEC.COA.WM.BLU</t>
  </si>
  <si>
    <t>SECCWMSLS</t>
  </si>
  <si>
    <t>SEC.COA.WM.SLS</t>
  </si>
  <si>
    <t>SECCWMSMS</t>
  </si>
  <si>
    <t>SEC.COA.WM.SMS</t>
  </si>
  <si>
    <t>SECCNWSLS</t>
  </si>
  <si>
    <t>SEC.COA.NW.SLS</t>
  </si>
  <si>
    <t>SECCNWSMS</t>
  </si>
  <si>
    <t>SEC.COA.NW.SMS</t>
  </si>
  <si>
    <t>SECCSWSLS</t>
  </si>
  <si>
    <t>SEC.COA.SW.SLS</t>
  </si>
  <si>
    <t>SECCWWSLU</t>
  </si>
  <si>
    <t>SEC.COA.WW.SLU</t>
  </si>
  <si>
    <t>SECCWWSLS</t>
  </si>
  <si>
    <t>SEC.COA.WW.SLS</t>
  </si>
  <si>
    <t>SECCWWSMS</t>
  </si>
  <si>
    <t>SEC.COA.WW.SMS</t>
  </si>
  <si>
    <t>SECCRMPLU</t>
  </si>
  <si>
    <t>SEC.COA.RM.PLU</t>
  </si>
  <si>
    <t>SECCRMBLU</t>
  </si>
  <si>
    <t>SEC.COA.RM.BLU</t>
  </si>
  <si>
    <t>SECCRMSLS</t>
  </si>
  <si>
    <t>SEC.COA.RM.SLS</t>
  </si>
  <si>
    <t>SECCZNBLS</t>
  </si>
  <si>
    <t>SEC.COA.ZN.BLS</t>
  </si>
  <si>
    <t>SECCZNBMU</t>
  </si>
  <si>
    <t>SEC.COA.ZN.BMU</t>
  </si>
  <si>
    <t>SECCZNSMS</t>
  </si>
  <si>
    <t>SEC.COA.ZN.SMS</t>
  </si>
  <si>
    <t>SECCPCSLS</t>
  </si>
  <si>
    <t>SEC.COA.PC.SLS</t>
  </si>
  <si>
    <t>* Imported Coke Technology</t>
  </si>
  <si>
    <t>IMPCOKE0</t>
  </si>
  <si>
    <t>Coke (coal derived) imports, Step 0</t>
  </si>
  <si>
    <t>IMPCOKE1</t>
  </si>
  <si>
    <t>Coke (coal derived) imports, Step 1</t>
  </si>
  <si>
    <t>IMPCOKE2</t>
  </si>
  <si>
    <t>Coke (coal derived) imports, Step 2</t>
  </si>
  <si>
    <t>IMPCOKE3</t>
  </si>
  <si>
    <t>Coke (coal derived) imports, Step 3</t>
  </si>
  <si>
    <t>IMPCOKE4</t>
  </si>
  <si>
    <t>Coke (coal derived) imports, Step 4</t>
  </si>
  <si>
    <t>IMPCOKE5</t>
  </si>
  <si>
    <t>Coke (coal derived) imports, Step 5</t>
  </si>
  <si>
    <t>IMPCOKE6</t>
  </si>
  <si>
    <t>Coke (coal derived) imports, Step 6</t>
  </si>
  <si>
    <t>IMPCOKE7</t>
  </si>
  <si>
    <t>Coke (coal derived) imports, Step 7</t>
  </si>
  <si>
    <t>IMPCOKE8</t>
  </si>
  <si>
    <t>Coke (coal derived) imports, Step 8</t>
  </si>
  <si>
    <t>ANSWER-Technologies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</si>
  <si>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</si>
  <si>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</si>
  <si>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</si>
  <si>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</si>
  <si>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</si>
  <si>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</si>
  <si>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</si>
  <si>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</si>
  <si>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ANSWER-TechData</t>
  </si>
  <si>
    <t>Surface</t>
  </si>
  <si>
    <t>Underground</t>
  </si>
  <si>
    <t>NA</t>
  </si>
  <si>
    <t>CA</t>
  </si>
  <si>
    <t>SA</t>
  </si>
  <si>
    <t>EI</t>
  </si>
  <si>
    <t>GL</t>
  </si>
  <si>
    <t>DL</t>
  </si>
  <si>
    <t>SW</t>
  </si>
  <si>
    <t>WI</t>
  </si>
  <si>
    <t>WM</t>
  </si>
  <si>
    <t>WW</t>
  </si>
  <si>
    <t>RM</t>
  </si>
  <si>
    <t>ZN</t>
  </si>
  <si>
    <t>PC</t>
  </si>
  <si>
    <t>Average</t>
  </si>
  <si>
    <t>Coal Name</t>
  </si>
  <si>
    <t>CSRG</t>
  </si>
  <si>
    <t>CSRGCLT</t>
  </si>
  <si>
    <t>Coal Minemouth Prices by Region and Type, Reference case</t>
  </si>
  <si>
    <t>(2012 dollars per short ton)</t>
  </si>
  <si>
    <t>PJ per million btu</t>
  </si>
  <si>
    <t>Supply Regions and Coal Types</t>
  </si>
  <si>
    <t>Northern Appalachia 1/</t>
  </si>
  <si>
    <t>  Medium Sulfur (Premium) 2/</t>
  </si>
  <si>
    <t>  Medium Sulfur (Bituminous)</t>
  </si>
  <si>
    <t>  High Sulfur (Bituminous)</t>
  </si>
  <si>
    <t>Central Appalachia</t>
  </si>
  <si>
    <t>  Low Sulfur (Bituminous)</t>
  </si>
  <si>
    <t>Southern Appalachia</t>
  </si>
  <si>
    <t>  Low Sulfur (Premium) 2/</t>
  </si>
  <si>
    <t>Eastern Interior</t>
  </si>
  <si>
    <t>w</t>
  </si>
  <si>
    <t>  Medium Sulfur (Lignite)</t>
  </si>
  <si>
    <t>Western Interior High Sulfur (Bituminous)</t>
  </si>
  <si>
    <t>Gulf</t>
  </si>
  <si>
    <t>  High Sulfur (Lignite)</t>
  </si>
  <si>
    <t>Dakota Medium Sulfur (Lignite)</t>
  </si>
  <si>
    <t>Western Montana</t>
  </si>
  <si>
    <t>  Low Sulfur (Sub-Bituminous)</t>
  </si>
  <si>
    <t>  Medium Sulfur (Sub-Bituminous)</t>
  </si>
  <si>
    <t>Wyoming, Powder River Basin</t>
  </si>
  <si>
    <t>Western Wyoming</t>
  </si>
  <si>
    <t>Rocky Mountain</t>
  </si>
  <si>
    <t>Arizona/New Mexico</t>
  </si>
  <si>
    <t>Washington/Alaska</t>
  </si>
  <si>
    <t>Average by Type:  All Regions</t>
  </si>
  <si>
    <t>  Premium Metallurgical 2/</t>
  </si>
  <si>
    <t>  Bituminous</t>
  </si>
  <si>
    <t>  Sub-Bituminous</t>
  </si>
  <si>
    <t>  Lignite</t>
  </si>
  <si>
    <t>  Low Sulfur</t>
  </si>
  <si>
    <t>  Medium Sulfur</t>
  </si>
  <si>
    <t>  High Sulfur</t>
  </si>
  <si>
    <t>  Underground</t>
  </si>
  <si>
    <t>  Surface</t>
  </si>
  <si>
    <t>United States Average</t>
  </si>
  <si>
    <t>Waste Coal</t>
  </si>
  <si>
    <t>   1/ Includes Pennsylvania anthracite.</t>
  </si>
  <si>
    <t>   2/ "Premium" coal is used to make metallurgical coke.</t>
  </si>
  <si>
    <t>   Northern Appalachia:  Pennsylvania, Maryland, Ohio, Northern West Virginia.</t>
  </si>
  <si>
    <t>   Central Appalachia:  Southern West Virginia, Virginia, Eastern Kentucky, Northern Tennessee.</t>
  </si>
  <si>
    <t>   Southern Appalachia:  Alabama, Southern Tennessee.</t>
  </si>
  <si>
    <t>   Eastern Interior:  Illinois, Indiana, Mississippi, Western Kentucky.</t>
  </si>
  <si>
    <t>   Western Interior:  Iowa, Missouri, Kansas, Oklahoma, Arkansas, Texas (bituminous).</t>
  </si>
  <si>
    <t>   Gulf (lignite Only):  Texas, Louisiana, Arkansas.</t>
  </si>
  <si>
    <t>   Dakota:  North Dakota, Montana (lignite).</t>
  </si>
  <si>
    <t>   Western Montana:  Montana (subbituminous).</t>
  </si>
  <si>
    <t>   Wyoming, Powder River Basin:  Wyoming portion of Powder River Basin.</t>
  </si>
  <si>
    <t>   Western Wyoming:  Wyoming other than Powder River Basin.</t>
  </si>
  <si>
    <t>   Rocky Mountain:  Colorado, Utah.</t>
  </si>
  <si>
    <t>   Sulfur Definitions:</t>
  </si>
  <si>
    <t>   Low Sulfur:     0 - 0.60 pounds of sulfur per million British thermal unit.</t>
  </si>
  <si>
    <t>   Medium Sulfur:  0.61 - 1.67 pounds of sulfur per million British thermal unit.</t>
  </si>
  <si>
    <t>   High Sulfur:    Over 1.67 pounds of sulfur per million British thermal unit.</t>
  </si>
  <si>
    <t>   W = Withheld to avoid disclosure of individual company data.</t>
  </si>
  <si>
    <t>   Note:  Totals may not equal sum of components due to independent rounding.  Includes reported prices for both open market and captive mines.</t>
  </si>
  <si>
    <t>Prices weighted by production, which differs from average minemouth prices published in EIA data reports where it is weighted by reported sales.</t>
  </si>
  <si>
    <t>   Source:  U.S. Energy Information Administration, AEO2014 National Energy Modeling System.</t>
  </si>
  <si>
    <t>%U</t>
  </si>
  <si>
    <t>%S</t>
  </si>
  <si>
    <t>Supply Curve Steps</t>
  </si>
  <si>
    <t>Prices</t>
  </si>
  <si>
    <t>Quantity</t>
  </si>
  <si>
    <t xml:space="preserve">Step 3 Price Starting Point: </t>
  </si>
  <si>
    <t>*10% above average price</t>
  </si>
  <si>
    <t>TOTAL</t>
  </si>
  <si>
    <t>Coal Production by Region and Type, Reference case</t>
  </si>
  <si>
    <t>(million short tons)</t>
  </si>
  <si>
    <t>Subtotals:  All Regions</t>
  </si>
  <si>
    <t>United States Total</t>
  </si>
  <si>
    <t>   Note:  Totals may not equal sum of components due to independent rounding.</t>
  </si>
  <si>
    <t>Coal Supply Curves from the Annual Energy Outlook 2014 Early Release (December 2013)</t>
  </si>
  <si>
    <t>SCENARIO_DATE</t>
  </si>
  <si>
    <t>ref2014.d102413a</t>
  </si>
  <si>
    <t>Northern Appalachia</t>
  </si>
  <si>
    <t>PA,OH,MD,N.WV</t>
  </si>
  <si>
    <t>Bituminous</t>
  </si>
  <si>
    <t>Premium</t>
  </si>
  <si>
    <t>GOB</t>
  </si>
  <si>
    <t>Central Appalachia</t>
  </si>
  <si>
    <t>S.WV,VA,E.KY,N.TN</t>
  </si>
  <si>
    <t>Southern Appalachia</t>
  </si>
  <si>
    <t>AL,S.TN</t>
  </si>
  <si>
    <t>East Interior</t>
  </si>
  <si>
    <t>W.KY,IL,IN,MS</t>
  </si>
  <si>
    <t>Lignite</t>
  </si>
  <si>
    <t>West Interior</t>
  </si>
  <si>
    <t>IA,MO,KS,AR,OK,TX</t>
  </si>
  <si>
    <t>Gulf Lignite</t>
  </si>
  <si>
    <t>TX,LA</t>
  </si>
  <si>
    <t>Dakota Lignite</t>
  </si>
  <si>
    <t>ND,E.MT</t>
  </si>
  <si>
    <t>Western Montana</t>
  </si>
  <si>
    <t>W.MT</t>
  </si>
  <si>
    <t>Subbituminous</t>
  </si>
  <si>
    <t>NW</t>
  </si>
  <si>
    <t>Wyoming Northern PRB</t>
  </si>
  <si>
    <t>WY N.PRB</t>
  </si>
  <si>
    <t>Wyoming Southern PRB</t>
  </si>
  <si>
    <t>WY S.PRB</t>
  </si>
  <si>
    <t>Western Wyoming</t>
  </si>
  <si>
    <t>W.WY</t>
  </si>
  <si>
    <t>Rocky Mountain</t>
  </si>
  <si>
    <t>CO,UT</t>
  </si>
  <si>
    <t>Arizona/New Mexico</t>
  </si>
  <si>
    <t>AZ,NM</t>
  </si>
  <si>
    <t>Alaska/Washington</t>
  </si>
  <si>
    <t>AK,WA</t>
  </si>
  <si>
    <t>Data from EMMDB2010 Table CMM_BASE_YR_SUPPLY_CURVE</t>
  </si>
  <si>
    <t>Contact: Michael.Mellish@eia.doe.gov</t>
  </si>
  <si>
    <t>Received:02.24.2010</t>
  </si>
  <si>
    <t>CSCURVE</t>
  </si>
  <si>
    <t>CSRG Code</t>
  </si>
  <si>
    <t>CPSCLT</t>
  </si>
  <si>
    <t>NBAS Coal Type</t>
  </si>
  <si>
    <t>CSUL</t>
  </si>
  <si>
    <t>CMINE</t>
  </si>
  <si>
    <t>CRANK</t>
  </si>
  <si>
    <t>Coal Type</t>
  </si>
  <si>
    <t>Types</t>
  </si>
  <si>
    <t>AVG_BTU_CONTENT
(MMBtu/ton)</t>
  </si>
  <si>
    <t>AEO Cumulative
Production
(MMTons)</t>
  </si>
  <si>
    <t>AVG_SULFUR_CONTENT
(Lbs/MMBtu)</t>
  </si>
  <si>
    <t>AVG_MERC_CONTENT
(Lbs/MMBtu)</t>
  </si>
  <si>
    <t>Wtd S
(lbs/MMBtu)</t>
  </si>
  <si>
    <t>Wtd Hg
(lbs/MMBtu)</t>
  </si>
  <si>
    <t>Reserves</t>
  </si>
  <si>
    <t>Reserves
(PJ)</t>
  </si>
  <si>
    <t>BASE_YR Prod</t>
  </si>
  <si>
    <t>AVG_CO2_EMISS_FCTR
(Lbs/MMBtu)</t>
  </si>
  <si>
    <t>BH</t>
  </si>
  <si>
    <t>BL</t>
  </si>
  <si>
    <t>BM</t>
  </si>
  <si>
    <t>LH</t>
  </si>
  <si>
    <t>LM</t>
  </si>
  <si>
    <t>PL</t>
  </si>
  <si>
    <t>PM</t>
  </si>
  <si>
    <t>SL</t>
  </si>
  <si>
    <t>SM</t>
  </si>
  <si>
    <t>Hg avg</t>
  </si>
  <si>
    <t>S avg</t>
  </si>
  <si>
    <t xml:space="preserve">Base-Year (2012) Coal Quality Data for Coal Supply Curves </t>
  </si>
  <si>
    <t>Scenario</t>
  </si>
  <si>
    <t>CMM_CSCURVE_INDEX</t>
  </si>
  <si>
    <t>CMM_CSRG_INDEX</t>
  </si>
  <si>
    <t>CMM_CSRG_CODE</t>
  </si>
  <si>
    <t>CMM_CSRG_NAME</t>
  </si>
  <si>
    <t>CMM_CSRG_STATES_LABEL</t>
  </si>
  <si>
    <t>CMM_CSRGCLT_INDEX</t>
  </si>
  <si>
    <t>CoalType</t>
  </si>
  <si>
    <t>CMM_CMINE_NAME</t>
  </si>
  <si>
    <t>CMM_CRANK_NAME</t>
  </si>
  <si>
    <t>CMM_CSUL_SHORT_NAME</t>
  </si>
  <si>
    <t>Prod</t>
  </si>
  <si>
    <t>AvgBTUCont</t>
  </si>
  <si>
    <t>AvgSulfCont</t>
  </si>
  <si>
    <t>AvgCO2EmisFctr</t>
  </si>
  <si>
    <t>AveMercCont</t>
  </si>
  <si>
    <t>MDB</t>
  </si>
  <si>
    <t>Deep</t>
  </si>
  <si>
    <t>Medium</t>
  </si>
  <si>
    <t>HDB</t>
  </si>
  <si>
    <t>High</t>
  </si>
  <si>
    <t>MSB</t>
  </si>
  <si>
    <t>HSB</t>
  </si>
  <si>
    <t>HAL</t>
  </si>
  <si>
    <t>MUP</t>
  </si>
  <si>
    <t>CDB</t>
  </si>
  <si>
    <t>Low</t>
  </si>
  <si>
    <t>CSB</t>
  </si>
  <si>
    <t>CUP</t>
  </si>
  <si>
    <t>MAL</t>
  </si>
  <si>
    <t>MSL</t>
  </si>
  <si>
    <t>HSL</t>
  </si>
  <si>
    <t>CSS</t>
  </si>
  <si>
    <t>MSS</t>
  </si>
  <si>
    <t>CDS</t>
  </si>
  <si>
    <t>Total</t>
  </si>
  <si>
    <t>Transposed and Sorted
Supply Curve Values</t>
  </si>
  <si>
    <t>P</t>
  </si>
  <si>
    <t>Q</t>
  </si>
  <si>
    <t>Step</t>
  </si>
  <si>
    <t>Sort Supply Curve Values by Price</t>
  </si>
  <si>
    <t>Q (PJ)</t>
  </si>
  <si>
    <t>P (Mill $2000 per PJ)</t>
  </si>
  <si>
    <t>% of total reserves</t>
  </si>
  <si>
    <t>Inferred Supply Curve</t>
  </si>
  <si>
    <t>Report #:</t>
  </si>
  <si>
    <t>Annual Energy Outlook 2010</t>
  </si>
  <si>
    <t>Scenario:</t>
  </si>
  <si>
    <t>aeo2010r</t>
  </si>
  <si>
    <t>Reference case</t>
  </si>
  <si>
    <t>Datekey:</t>
  </si>
  <si>
    <t>d111809a</t>
  </si>
  <si>
    <t>Release Date:</t>
  </si>
  <si>
    <t>Table 15.  Coal Supply, Disposition, and Prices</t>
  </si>
  <si>
    <t>(million short tons, unless otherwise noted)</t>
  </si>
  <si>
    <t/>
  </si>
  <si>
    <t>(Retained from AEO 2006)</t>
  </si>
  <si>
    <t>(Retained from AEO 2008)</t>
  </si>
  <si>
    <t>(Retained from AEO 2010)</t>
  </si>
  <si>
    <t>2008-</t>
  </si>
  <si>
    <t xml:space="preserve"> Supply, Disposition, and Prices</t>
  </si>
  <si>
    <t>2003</t>
  </si>
  <si>
    <t>2004</t>
  </si>
  <si>
    <t>2005</t>
  </si>
  <si>
    <t>2006</t>
  </si>
  <si>
    <t>Production 1/</t>
  </si>
  <si>
    <t>  Appalachia</t>
  </si>
  <si>
    <t>  Interior</t>
  </si>
  <si>
    <t>  West</t>
  </si>
  <si>
    <t>  East of the Mississippi</t>
  </si>
  <si>
    <t>  West of the Mississippi</t>
  </si>
  <si>
    <t>    Total</t>
  </si>
  <si>
    <t>Waste Coal Supplied 2/</t>
  </si>
  <si>
    <t>Net Imports</t>
  </si>
  <si>
    <t>  Imports 3/</t>
  </si>
  <si>
    <t>  Exports</t>
  </si>
  <si>
    <t>Total Supply 4/</t>
  </si>
  <si>
    <t>Consumption by Sector</t>
  </si>
  <si>
    <t>  Residential and Commercial</t>
  </si>
  <si>
    <t>  Coke Plants</t>
  </si>
  <si>
    <t>  Other Industrial 5/</t>
  </si>
  <si>
    <t>  Coal-to-Liquids Heat and Power</t>
  </si>
  <si>
    <t>- -</t>
  </si>
  <si>
    <t>  Coal to Liquids Production</t>
  </si>
  <si>
    <t>  Electric Power 6/</t>
  </si>
  <si>
    <t>Discrepancy and Stock Change 7/</t>
  </si>
  <si>
    <t xml:space="preserve">- - </t>
  </si>
  <si>
    <t>Average Minemouth Price 8/</t>
  </si>
  <si>
    <t>  (2010 dollars per short ton)</t>
  </si>
  <si>
    <t>  (2010 dollars per million Btu)</t>
  </si>
  <si>
    <t>Delivered Prices</t>
  </si>
  <si>
    <t>(2010 dollars per short ton) 9/</t>
  </si>
  <si>
    <t>  Coal to Liquids</t>
  </si>
  <si>
    <t>  Electric Power</t>
  </si>
  <si>
    <t>    (2010 dollars per short ton)</t>
  </si>
  <si>
    <t>    (2010 dollars per million Btu)</t>
  </si>
  <si>
    <t>      Average</t>
  </si>
  <si>
    <t>  Exports 10/</t>
  </si>
  <si>
    <t>  (nominal dollars per short ton)</t>
  </si>
  <si>
    <t>  (nominal dollars per million Btu)</t>
  </si>
  <si>
    <t>(nominal dollars per short ton) 9/</t>
  </si>
  <si>
    <t>    (nominal dollars per short ton)</t>
  </si>
  <si>
    <t>    (nominal dollars per million Btu)</t>
  </si>
  <si>
    <t>   1/ Includes anthracite, bituminous coal, subbituminous coal, and lignite.</t>
  </si>
  <si>
    <t>   2/ Includes waste coal consumed by the electric power and industrial sectors.  Waste coal supplied is counted</t>
  </si>
  <si>
    <t>as a supply-side item to balance the same amount of waste coal included in the consumption data.</t>
  </si>
  <si>
    <t>   3/ Excludes imports to Puerto Rico and the U.S. Virgin Islands.</t>
  </si>
  <si>
    <t>   4/ Production plus waste coal supplied plus net imports.</t>
  </si>
  <si>
    <t>   5/ Includes consumption for combined heat and power plants, except those plants whose primary business is to</t>
  </si>
  <si>
    <t>sell electricity, or electricity and heat, to the public.  Excludes all coal use in the coal-to-liquids process.</t>
  </si>
  <si>
    <t>   6/ Includes all electricity-only and combined heat and power plants whose primary business is to sell</t>
  </si>
  <si>
    <t>electricity, or electricity and heat, to the public.</t>
  </si>
  <si>
    <t>   7/ Balancing item:  the sum of production, net imports, and waste coal supplied minus total consumption.</t>
  </si>
  <si>
    <t>   8/ Includes reported prices for both open market and captive mines.</t>
  </si>
  <si>
    <t>   9/ Prices weighted by consumption; weighted average excludes residential and commercial</t>
  </si>
  <si>
    <t>prices, and export free-alongside-ship (f.a.s.) prices.</t>
  </si>
  <si>
    <t>   10/ F.a.s. price at U.S. port of exit.</t>
  </si>
  <si>
    <t>   - - = Not applicable.</t>
  </si>
  <si>
    <t>   Btu = British thermal unit.</t>
  </si>
  <si>
    <t>   Note:  Totals may not equal sum of components due to independent rounding.  Data for 2009 and 2010</t>
  </si>
  <si>
    <t>are model results and may differ slightly from official EIA data reports.</t>
  </si>
  <si>
    <t>   Sources:  2009 and 2010 data based on:  U.S. Energy Information Administration (EIA),</t>
  </si>
  <si>
    <t>Annual Coal Report 2010, DOE/EIA-0584(2010) (Washington, DC, November 2011); EIA,</t>
  </si>
  <si>
    <t>Quarterly Coal Report, October-December 2010, DOE/EIA-0121(2010/4Q) (Washington, DC, May 2011); and EIA,</t>
  </si>
  <si>
    <t>AEO2012 National Energy Modeling System.  Projections:  EIA, AEO2012</t>
  </si>
  <si>
    <t>National Energy Modeling System.</t>
  </si>
  <si>
    <t>Energy Information Administration</t>
  </si>
  <si>
    <t>International Energy Annual 2006</t>
  </si>
  <si>
    <t>Table Posted: October 17, 2008</t>
  </si>
  <si>
    <t>Next Update: August 2009</t>
  </si>
  <si>
    <t>Table Notes and Sources</t>
  </si>
  <si>
    <t xml:space="preserve">8.2  World Estimated Recoverable Coal, December 31, 2005 </t>
  </si>
  <si>
    <t xml:space="preserve">        (Million Short Tons)</t>
  </si>
  <si>
    <t xml:space="preserve">Recoverable Anthracite </t>
  </si>
  <si>
    <t xml:space="preserve">Recoverable Lignite </t>
  </si>
  <si>
    <t>Country</t>
  </si>
  <si>
    <t>and Bituminous</t>
  </si>
  <si>
    <t>and Subbituminous</t>
  </si>
  <si>
    <t>Total Recoverable Coal</t>
  </si>
  <si>
    <t>World Total</t>
  </si>
  <si>
    <t>United States</t>
  </si>
  <si>
    <t>Rest of World (World-US)</t>
  </si>
  <si>
    <t>Rest of World (World-US) in PJ</t>
  </si>
  <si>
    <t>U.S. Metallurgical Coal and Coke Supplies - Prices, Availability, and Emerging Futures Markets (http://www.eia.doe.gov/cneaf/coal/page/f_p_coal/isspaper_p4.html)</t>
  </si>
  <si>
    <t>Table II. Prices of Metallurgical Coal and Coke by Disposition (Dollars per Short Ton)</t>
  </si>
  <si>
    <t>Table V. Coke Supplies, Blast Furnace Production, and Iron and Steel Imports</t>
  </si>
  <si>
    <t>Quarter</t>
  </si>
  <si>
    <t>U.S. Coal to Coke Plants</t>
  </si>
  <si>
    <t>U.S. Met Coal Exports</t>
  </si>
  <si>
    <t>U.S Coke Exports</t>
  </si>
  <si>
    <t>U.S. Imports of Coke</t>
  </si>
  <si>
    <t>Import Price/Export Price</t>
  </si>
  <si>
    <t>Imports of Iron and Steel (Thousand Net Tons)</t>
  </si>
  <si>
    <t>Blast Furnace Production (Thousand Net Tons)</t>
  </si>
  <si>
    <r>
      <t>U.S. Coke Supply</t>
    </r>
    <r>
      <rPr>
        <b/>
        <vertAlign val="superscript"/>
        <sz val="10"/>
        <rFont val="Arial"/>
        <family val="2"/>
      </rPr>
      <t>a</t>
    </r>
    <r>
      <rPr>
        <b/>
        <sz val="10"/>
        <rFont val="Arial"/>
        <family val="2"/>
      </rPr>
      <t xml:space="preserve"> (Thousand Tons)</t>
    </r>
  </si>
  <si>
    <t>U.S. Coke Production (Thousand Tons)</t>
  </si>
  <si>
    <t>U.S Coke Exports (Thousand Tons)</t>
  </si>
  <si>
    <t>U.S. Imports of Coke (Thousand Tons)</t>
  </si>
  <si>
    <t>Q1</t>
  </si>
  <si>
    <t>Q2</t>
  </si>
  <si>
    <t>Q3</t>
  </si>
  <si>
    <t>Q4</t>
  </si>
  <si>
    <r>
      <t>   </t>
    </r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 xml:space="preserve"> Coke supply equals domestic coke production, minus coke exports, plus coke imports.</t>
    </r>
  </si>
  <si>
    <t xml:space="preserve">   Source: American Iron and Steel Institute, Annual Statistical Report, and Energy Information Administration, Quarterly Coal Report. </t>
  </si>
  <si>
    <r>
      <t xml:space="preserve">   Source: Energy Information Administration, </t>
    </r>
    <r>
      <rPr>
        <i/>
        <sz val="10"/>
        <rFont val="Arial"/>
        <family val="2"/>
      </rPr>
      <t>Quarterly Coal Report</t>
    </r>
    <r>
      <rPr>
        <sz val="10"/>
        <rFont val="Arial"/>
        <family val="2"/>
      </rPr>
      <t>.</t>
    </r>
  </si>
  <si>
    <t>Import Coke Prices (Dollars per Short Ton)</t>
  </si>
  <si>
    <t>Import Coke Prices (Dollars per MMBTU)</t>
  </si>
  <si>
    <t>Import Coke Prices (Million $2000 Dollars per PJ)</t>
  </si>
  <si>
    <t>Five year average</t>
  </si>
  <si>
    <t>U.S. Coke Imports (Thousand tons)</t>
  </si>
  <si>
    <t>U.S. Coke Exports (Thousand tons)</t>
  </si>
  <si>
    <t>U.S. Coke Net Imports (Thousand short tons)</t>
  </si>
  <si>
    <t>U.S. Coke Net Imports (PJ)</t>
  </si>
  <si>
    <t>Import Coal Prices (Dollars per Metric Ton)</t>
  </si>
  <si>
    <t>Import Coal Prices (Dollars per Short Ton)</t>
  </si>
  <si>
    <t>Import Coal Prices (Dollars per MMBTU)</t>
  </si>
  <si>
    <t>Import Coal Prices (Million $2000 Dollars per PJ)</t>
  </si>
  <si>
    <t>Inferred Import Prices ($2004 Dollars per Short Ton)</t>
  </si>
  <si>
    <t>Inferred Import Prices ($2000 Dollars per Short Ton)</t>
  </si>
  <si>
    <t>Inferred Import Prices ($2000 Dollars per MMTU)</t>
  </si>
  <si>
    <t>Inferred Import Prices (Million $2000 Dollars per PJ)</t>
  </si>
  <si>
    <t>Coke to Coal Price Mark-up</t>
  </si>
  <si>
    <t>Average Mark-up</t>
  </si>
  <si>
    <t>Annual Energy Review 2008</t>
  </si>
  <si>
    <t>Report No. DOE/EIA-0384(2008)</t>
  </si>
  <si>
    <t>Release Date: June 26, 2009</t>
  </si>
  <si>
    <t>Next Update: June 2010</t>
  </si>
  <si>
    <t>http://www.eia.doe.gov/emeu/aer/coal.html</t>
  </si>
  <si>
    <t>Table 7.8  Coal Prices, 1949-2008</t>
  </si>
  <si>
    <t>                    (Dollars per Short Ton)</t>
  </si>
  <si>
    <t>Bituminous Coal</t>
  </si>
  <si>
    <t>Subbituminous Coal</t>
  </si>
  <si>
    <r>
      <t>Lignite </t>
    </r>
    <r>
      <rPr>
        <vertAlign val="superscript"/>
        <sz val="10"/>
        <rFont val="Arial"/>
        <family val="2"/>
      </rPr>
      <t>1</t>
    </r>
  </si>
  <si>
    <t>Anthracite</t>
  </si>
  <si>
    <r>
      <t>Nominal </t>
    </r>
    <r>
      <rPr>
        <vertAlign val="superscript"/>
        <sz val="10"/>
        <rFont val="Arial"/>
        <family val="2"/>
      </rPr>
      <t>2</t>
    </r>
  </si>
  <si>
    <r>
      <t>Real </t>
    </r>
    <r>
      <rPr>
        <vertAlign val="superscript"/>
        <sz val="10"/>
        <rFont val="Arial"/>
        <family val="2"/>
      </rPr>
      <t>3</t>
    </r>
  </si>
  <si>
    <r>
      <t>4 </t>
    </r>
    <r>
      <rPr>
        <sz val="10"/>
        <rFont val="Arial"/>
        <family val="2"/>
      </rPr>
      <t>4.90</t>
    </r>
  </si>
  <si>
    <r>
      <t>4 </t>
    </r>
    <r>
      <rPr>
        <sz val="10"/>
        <rFont val="Arial"/>
        <family val="2"/>
      </rPr>
      <t>29.97</t>
    </r>
  </si>
  <si>
    <t>[4]</t>
  </si>
  <si>
    <r>
      <t>4 </t>
    </r>
    <r>
      <rPr>
        <sz val="10"/>
        <rFont val="Arial"/>
        <family val="2"/>
      </rPr>
      <t>4.86</t>
    </r>
  </si>
  <si>
    <r>
      <t>4 </t>
    </r>
    <r>
      <rPr>
        <sz val="10"/>
        <rFont val="Arial"/>
        <family val="2"/>
      </rPr>
      <t>29.40</t>
    </r>
  </si>
  <si>
    <r>
      <t>4 </t>
    </r>
    <r>
      <rPr>
        <sz val="10"/>
        <rFont val="Arial"/>
        <family val="2"/>
      </rPr>
      <t>4.94</t>
    </r>
  </si>
  <si>
    <r>
      <t>4 </t>
    </r>
    <r>
      <rPr>
        <sz val="10"/>
        <rFont val="Arial"/>
        <family val="2"/>
      </rPr>
      <t>27.88</t>
    </r>
  </si>
  <si>
    <r>
      <t>4 </t>
    </r>
    <r>
      <rPr>
        <sz val="10"/>
        <rFont val="Arial"/>
        <family val="2"/>
      </rPr>
      <t>4.92</t>
    </r>
  </si>
  <si>
    <r>
      <t>4 </t>
    </r>
    <r>
      <rPr>
        <sz val="10"/>
        <rFont val="Arial"/>
        <family val="2"/>
      </rPr>
      <t>27.30</t>
    </r>
  </si>
  <si>
    <r>
      <t>4 </t>
    </r>
    <r>
      <rPr>
        <sz val="10"/>
        <rFont val="Arial"/>
        <family val="2"/>
      </rPr>
      <t>27.08</t>
    </r>
  </si>
  <si>
    <r>
      <t>4 </t>
    </r>
    <r>
      <rPr>
        <sz val="10"/>
        <rFont val="Arial"/>
        <family val="2"/>
      </rPr>
      <t>4.54</t>
    </r>
  </si>
  <si>
    <r>
      <t>4 </t>
    </r>
    <r>
      <rPr>
        <sz val="10"/>
        <rFont val="Arial"/>
        <family val="2"/>
      </rPr>
      <t>24.65</t>
    </r>
  </si>
  <si>
    <r>
      <t>4 </t>
    </r>
    <r>
      <rPr>
        <sz val="10"/>
        <rFont val="Arial"/>
        <family val="2"/>
      </rPr>
      <t>4.51</t>
    </r>
  </si>
  <si>
    <r>
      <t>4 </t>
    </r>
    <r>
      <rPr>
        <sz val="10"/>
        <rFont val="Arial"/>
        <family val="2"/>
      </rPr>
      <t>24.06</t>
    </r>
  </si>
  <si>
    <r>
      <t>4 </t>
    </r>
    <r>
      <rPr>
        <sz val="10"/>
        <rFont val="Arial"/>
        <family val="2"/>
      </rPr>
      <t>4.83</t>
    </r>
  </si>
  <si>
    <r>
      <t>4 </t>
    </r>
    <r>
      <rPr>
        <sz val="10"/>
        <rFont val="Arial"/>
        <family val="2"/>
      </rPr>
      <t>24.91</t>
    </r>
  </si>
  <si>
    <r>
      <t>4 </t>
    </r>
    <r>
      <rPr>
        <sz val="10"/>
        <rFont val="Arial"/>
        <family val="2"/>
      </rPr>
      <t>5.09</t>
    </r>
  </si>
  <si>
    <r>
      <t>4 </t>
    </r>
    <r>
      <rPr>
        <sz val="10"/>
        <rFont val="Arial"/>
        <family val="2"/>
      </rPr>
      <t>25.40</t>
    </r>
  </si>
  <si>
    <r>
      <t>4 </t>
    </r>
    <r>
      <rPr>
        <sz val="10"/>
        <rFont val="Arial"/>
        <family val="2"/>
      </rPr>
      <t>4.87</t>
    </r>
  </si>
  <si>
    <r>
      <t>4 </t>
    </r>
    <r>
      <rPr>
        <sz val="10"/>
        <rFont val="Arial"/>
        <family val="2"/>
      </rPr>
      <t>23.76</t>
    </r>
  </si>
  <si>
    <r>
      <t>4 </t>
    </r>
    <r>
      <rPr>
        <sz val="10"/>
        <rFont val="Arial"/>
        <family val="2"/>
      </rPr>
      <t>4.79</t>
    </r>
  </si>
  <si>
    <r>
      <t>4 </t>
    </r>
    <r>
      <rPr>
        <sz val="10"/>
        <rFont val="Arial"/>
        <family val="2"/>
      </rPr>
      <t>23.08</t>
    </r>
  </si>
  <si>
    <r>
      <t>4 </t>
    </r>
    <r>
      <rPr>
        <sz val="10"/>
        <rFont val="Arial"/>
        <family val="2"/>
      </rPr>
      <t>4.71</t>
    </r>
  </si>
  <si>
    <r>
      <t>4 </t>
    </r>
    <r>
      <rPr>
        <sz val="10"/>
        <rFont val="Arial"/>
        <family val="2"/>
      </rPr>
      <t>22.38</t>
    </r>
  </si>
  <si>
    <r>
      <t>4 </t>
    </r>
    <r>
      <rPr>
        <sz val="10"/>
        <rFont val="Arial"/>
        <family val="2"/>
      </rPr>
      <t>4.60</t>
    </r>
  </si>
  <si>
    <r>
      <t>4 </t>
    </r>
    <r>
      <rPr>
        <sz val="10"/>
        <rFont val="Arial"/>
        <family val="2"/>
      </rPr>
      <t>21.62</t>
    </r>
  </si>
  <si>
    <r>
      <t>4 </t>
    </r>
    <r>
      <rPr>
        <sz val="10"/>
        <rFont val="Arial"/>
        <family val="2"/>
      </rPr>
      <t>4.50</t>
    </r>
  </si>
  <si>
    <r>
      <t>4 </t>
    </r>
    <r>
      <rPr>
        <sz val="10"/>
        <rFont val="Arial"/>
        <family val="2"/>
      </rPr>
      <t>20.86</t>
    </r>
  </si>
  <si>
    <r>
      <t>4 </t>
    </r>
    <r>
      <rPr>
        <sz val="10"/>
        <rFont val="Arial"/>
        <family val="2"/>
      </rPr>
      <t>4.40</t>
    </r>
  </si>
  <si>
    <r>
      <t>4 </t>
    </r>
    <r>
      <rPr>
        <sz val="10"/>
        <rFont val="Arial"/>
        <family val="2"/>
      </rPr>
      <t>20.19</t>
    </r>
  </si>
  <si>
    <r>
      <t>4 </t>
    </r>
    <r>
      <rPr>
        <sz val="10"/>
        <rFont val="Arial"/>
        <family val="2"/>
      </rPr>
      <t>4.46</t>
    </r>
  </si>
  <si>
    <r>
      <t>4 </t>
    </r>
    <r>
      <rPr>
        <sz val="10"/>
        <rFont val="Arial"/>
        <family val="2"/>
      </rPr>
      <t>20.15</t>
    </r>
  </si>
  <si>
    <r>
      <t>4 </t>
    </r>
    <r>
      <rPr>
        <sz val="10"/>
        <rFont val="Arial"/>
        <family val="2"/>
      </rPr>
      <t>4.45</t>
    </r>
  </si>
  <si>
    <r>
      <t>4 </t>
    </r>
    <r>
      <rPr>
        <sz val="10"/>
        <rFont val="Arial"/>
        <family val="2"/>
      </rPr>
      <t>19.75</t>
    </r>
  </si>
  <si>
    <r>
      <t>4 </t>
    </r>
    <r>
      <rPr>
        <sz val="10"/>
        <rFont val="Arial"/>
        <family val="2"/>
      </rPr>
      <t>4.56</t>
    </r>
  </si>
  <si>
    <r>
      <t>4 </t>
    </r>
    <r>
      <rPr>
        <sz val="10"/>
        <rFont val="Arial"/>
        <family val="2"/>
      </rPr>
      <t>19.68</t>
    </r>
  </si>
  <si>
    <r>
      <t>4 </t>
    </r>
    <r>
      <rPr>
        <sz val="10"/>
        <rFont val="Arial"/>
        <family val="2"/>
      </rPr>
      <t>4.64</t>
    </r>
  </si>
  <si>
    <r>
      <t>4 </t>
    </r>
    <r>
      <rPr>
        <sz val="10"/>
        <rFont val="Arial"/>
        <family val="2"/>
      </rPr>
      <t>19.42</t>
    </r>
  </si>
  <si>
    <r>
      <t>4 </t>
    </r>
    <r>
      <rPr>
        <sz val="10"/>
        <rFont val="Arial"/>
        <family val="2"/>
      </rPr>
      <t>4.70</t>
    </r>
  </si>
  <si>
    <r>
      <t>4 </t>
    </r>
    <r>
      <rPr>
        <sz val="10"/>
        <rFont val="Arial"/>
        <family val="2"/>
      </rPr>
      <t>18.87</t>
    </r>
  </si>
  <si>
    <r>
      <t>4 </t>
    </r>
    <r>
      <rPr>
        <sz val="10"/>
        <rFont val="Arial"/>
        <family val="2"/>
      </rPr>
      <t>5.02</t>
    </r>
  </si>
  <si>
    <r>
      <t>4 </t>
    </r>
    <r>
      <rPr>
        <sz val="10"/>
        <rFont val="Arial"/>
        <family val="2"/>
      </rPr>
      <t>19.20</t>
    </r>
  </si>
  <si>
    <r>
      <t>4 </t>
    </r>
    <r>
      <rPr>
        <sz val="10"/>
        <rFont val="Arial"/>
        <family val="2"/>
      </rPr>
      <t>6.30</t>
    </r>
  </si>
  <si>
    <r>
      <t>4 </t>
    </r>
    <r>
      <rPr>
        <sz val="10"/>
        <rFont val="Arial"/>
        <family val="2"/>
      </rPr>
      <t>22.88</t>
    </r>
  </si>
  <si>
    <r>
      <t>4 </t>
    </r>
    <r>
      <rPr>
        <sz val="10"/>
        <rFont val="Arial"/>
        <family val="2"/>
      </rPr>
      <t>7.13</t>
    </r>
  </si>
  <si>
    <r>
      <t>4 </t>
    </r>
    <r>
      <rPr>
        <sz val="10"/>
        <rFont val="Arial"/>
        <family val="2"/>
      </rPr>
      <t>24.66</t>
    </r>
  </si>
  <si>
    <r>
      <t>4 </t>
    </r>
    <r>
      <rPr>
        <sz val="10"/>
        <rFont val="Arial"/>
        <family val="2"/>
      </rPr>
      <t>7.78</t>
    </r>
  </si>
  <si>
    <r>
      <t>4 </t>
    </r>
    <r>
      <rPr>
        <sz val="10"/>
        <rFont val="Arial"/>
        <family val="2"/>
      </rPr>
      <t>25.79</t>
    </r>
  </si>
  <si>
    <r>
      <t>4 </t>
    </r>
    <r>
      <rPr>
        <sz val="10"/>
        <rFont val="Arial"/>
        <family val="2"/>
      </rPr>
      <t>8.71</t>
    </r>
  </si>
  <si>
    <r>
      <t>4 </t>
    </r>
    <r>
      <rPr>
        <sz val="10"/>
        <rFont val="Arial"/>
        <family val="2"/>
      </rPr>
      <t>27.35</t>
    </r>
  </si>
  <si>
    <r>
      <t>4 </t>
    </r>
    <r>
      <rPr>
        <sz val="10"/>
        <rFont val="Arial"/>
        <family val="2"/>
      </rPr>
      <t>16.01</t>
    </r>
  </si>
  <si>
    <r>
      <t>4 </t>
    </r>
    <r>
      <rPr>
        <sz val="10"/>
        <rFont val="Arial"/>
        <family val="2"/>
      </rPr>
      <t>46.11</t>
    </r>
  </si>
  <si>
    <r>
      <t>4 </t>
    </r>
    <r>
      <rPr>
        <sz val="10"/>
        <rFont val="Arial"/>
        <family val="2"/>
      </rPr>
      <t>19.79</t>
    </r>
  </si>
  <si>
    <r>
      <t>4 </t>
    </r>
    <r>
      <rPr>
        <sz val="10"/>
        <rFont val="Arial"/>
        <family val="2"/>
      </rPr>
      <t>52.08</t>
    </r>
  </si>
  <si>
    <r>
      <t>4 </t>
    </r>
    <r>
      <rPr>
        <sz val="10"/>
        <rFont val="Arial"/>
        <family val="2"/>
      </rPr>
      <t>20.11</t>
    </r>
  </si>
  <si>
    <r>
      <t>4 </t>
    </r>
    <r>
      <rPr>
        <sz val="10"/>
        <rFont val="Arial"/>
        <family val="2"/>
      </rPr>
      <t>50.03</t>
    </r>
  </si>
  <si>
    <r>
      <t>4 </t>
    </r>
    <r>
      <rPr>
        <sz val="10"/>
        <rFont val="Arial"/>
        <family val="2"/>
      </rPr>
      <t>20.59</t>
    </r>
  </si>
  <si>
    <r>
      <t>4 </t>
    </r>
    <r>
      <rPr>
        <sz val="10"/>
        <rFont val="Arial"/>
        <family val="2"/>
      </rPr>
      <t>48.16</t>
    </r>
  </si>
  <si>
    <r>
      <t>4 </t>
    </r>
    <r>
      <rPr>
        <sz val="10"/>
        <rFont val="Arial"/>
        <family val="2"/>
      </rPr>
      <t>22.64</t>
    </r>
  </si>
  <si>
    <r>
      <t>4 </t>
    </r>
    <r>
      <rPr>
        <sz val="10"/>
        <rFont val="Arial"/>
        <family val="2"/>
      </rPr>
      <t>49.48</t>
    </r>
  </si>
  <si>
    <r>
      <t>R </t>
    </r>
    <r>
      <rPr>
        <sz val="10"/>
        <rFont val="Arial"/>
        <family val="2"/>
      </rPr>
      <t>11.93</t>
    </r>
  </si>
  <si>
    <r>
      <t>R </t>
    </r>
    <r>
      <rPr>
        <sz val="10"/>
        <rFont val="Arial"/>
        <family val="2"/>
      </rPr>
      <t>36.27</t>
    </r>
  </si>
  <si>
    <r>
      <t>R </t>
    </r>
    <r>
      <rPr>
        <sz val="10"/>
        <rFont val="Arial"/>
        <family val="2"/>
      </rPr>
      <t>20.87</t>
    </r>
  </si>
  <si>
    <r>
      <t>R </t>
    </r>
    <r>
      <rPr>
        <sz val="10"/>
        <rFont val="Arial"/>
        <family val="2"/>
      </rPr>
      <t>8.53</t>
    </r>
  </si>
  <si>
    <r>
      <t>R </t>
    </r>
    <r>
      <rPr>
        <sz val="10"/>
        <rFont val="Arial"/>
        <family val="2"/>
      </rPr>
      <t>12.00</t>
    </r>
  </si>
  <si>
    <r>
      <t>R </t>
    </r>
    <r>
      <rPr>
        <sz val="10"/>
        <rFont val="Arial"/>
        <family val="2"/>
      </rPr>
      <t>37.38</t>
    </r>
  </si>
  <si>
    <r>
      <t>R </t>
    </r>
    <r>
      <rPr>
        <sz val="10"/>
        <rFont val="Arial"/>
        <family val="2"/>
      </rPr>
      <t>21.56</t>
    </r>
  </si>
  <si>
    <r>
      <t>R </t>
    </r>
    <r>
      <rPr>
        <sz val="10"/>
        <rFont val="Arial"/>
        <family val="2"/>
      </rPr>
      <t>40.80</t>
    </r>
  </si>
  <si>
    <r>
      <t> </t>
    </r>
    <r>
      <rPr>
        <sz val="10"/>
        <rFont val="Arial"/>
        <family val="2"/>
      </rPr>
      <t>34.05</t>
    </r>
  </si>
  <si>
    <r>
      <t>R </t>
    </r>
    <r>
      <rPr>
        <sz val="10"/>
        <rFont val="Arial"/>
        <family val="2"/>
      </rPr>
      <t>10.69</t>
    </r>
  </si>
  <si>
    <r>
      <t>R </t>
    </r>
    <r>
      <rPr>
        <sz val="10"/>
        <rFont val="Arial"/>
        <family val="2"/>
      </rPr>
      <t>8.92</t>
    </r>
  </si>
  <si>
    <r>
      <t>R </t>
    </r>
    <r>
      <rPr>
        <sz val="10"/>
        <rFont val="Arial"/>
        <family val="2"/>
      </rPr>
      <t>12.43</t>
    </r>
  </si>
  <si>
    <r>
      <t>R </t>
    </r>
    <r>
      <rPr>
        <sz val="10"/>
        <rFont val="Arial"/>
        <family val="2"/>
      </rPr>
      <t>52.24</t>
    </r>
  </si>
  <si>
    <r>
      <t>R </t>
    </r>
    <r>
      <rPr>
        <sz val="10"/>
        <rFont val="Arial"/>
        <family val="2"/>
      </rPr>
      <t>43.60</t>
    </r>
  </si>
  <si>
    <r>
      <t>R </t>
    </r>
    <r>
      <rPr>
        <sz val="10"/>
        <rFont val="Arial"/>
        <family val="2"/>
      </rPr>
      <t>26.20</t>
    </r>
  </si>
  <si>
    <r>
      <t>R </t>
    </r>
    <r>
      <rPr>
        <sz val="10"/>
        <rFont val="Arial"/>
        <family val="2"/>
      </rPr>
      <t>21.87</t>
    </r>
  </si>
  <si>
    <r>
      <t>2008</t>
    </r>
    <r>
      <rPr>
        <vertAlign val="superscript"/>
        <sz val="10"/>
        <rFont val="Arial"/>
        <family val="2"/>
      </rPr>
      <t>E</t>
    </r>
  </si>
  <si>
    <r>
      <t>1</t>
    </r>
    <r>
      <rPr>
        <sz val="10"/>
        <rFont val="Arial"/>
        <family val="2"/>
      </rPr>
      <t>Because of withholding to protect company confidentiality, lignite prices exclude Texas for 1955-1977</t>
    </r>
  </si>
  <si>
    <t>R=Revised.  E=Estimate.  </t>
  </si>
  <si>
    <t>and Montana for 1974-1978.  As a result, lignite prices for 1974-1977 are for North Dakota only.</t>
  </si>
  <si>
    <r>
      <t>2</t>
    </r>
    <r>
      <rPr>
        <sz val="10"/>
        <rFont val="Arial"/>
        <family val="2"/>
      </rPr>
      <t>See "Nominal Dollars" in Glossary.</t>
    </r>
  </si>
  <si>
    <t>Note:  Prices are free-on-board (F.O.B.) rail/barge prices, which are the F.O.B. prices of coal at the point</t>
  </si>
  <si>
    <t>of first sale, excluding freight or shipping and insurance costs.  See "Free on Board (F.O.B.)" in Glossary.</t>
  </si>
  <si>
    <r>
      <t>3</t>
    </r>
    <r>
      <rPr>
        <sz val="10"/>
        <rFont val="Arial"/>
        <family val="2"/>
      </rPr>
      <t>In chained (2000) dollars, calculated by using gross domestic product implicit price deflators in Table</t>
    </r>
  </si>
  <si>
    <t>Web Page:  For related information, see http://www.eia.doe.gov/fuelcoal.html.</t>
  </si>
  <si>
    <t>D1.  See "Chained Dollars" in Glossary.</t>
  </si>
  <si>
    <r>
      <t>4</t>
    </r>
    <r>
      <rPr>
        <sz val="10"/>
        <rFont val="Arial"/>
        <family val="2"/>
      </rPr>
      <t>Through 1978, subbituminous coal is included in "Bituminous Coal."</t>
    </r>
  </si>
  <si>
    <r>
      <t>Sources:  ·  1949-1975—Bureau of Mines (BOM), </t>
    </r>
    <r>
      <rPr>
        <i/>
        <sz val="10"/>
        <rFont val="Arial"/>
        <family val="2"/>
      </rPr>
      <t>Minerals Yearbook.  </t>
    </r>
    <r>
      <rPr>
        <sz val="10"/>
        <rFont val="Arial"/>
        <family val="2"/>
      </rPr>
      <t>·  1976—Energy Information</t>
    </r>
  </si>
  <si>
    <r>
      <t>Administration (EIA), Energy Data Report, </t>
    </r>
    <r>
      <rPr>
        <i/>
        <sz val="10"/>
        <rFont val="Arial"/>
        <family val="2"/>
      </rPr>
      <t>Coal—Bituminous and Lignite in 1976, </t>
    </r>
    <r>
      <rPr>
        <sz val="10"/>
        <rFont val="Arial"/>
        <family val="2"/>
      </rPr>
      <t>and BOM, </t>
    </r>
    <r>
      <rPr>
        <i/>
        <sz val="10"/>
        <rFont val="Arial"/>
        <family val="2"/>
      </rPr>
      <t>Minerals</t>
    </r>
  </si>
  <si>
    <r>
      <t>Yearbook.  </t>
    </r>
    <r>
      <rPr>
        <sz val="10"/>
        <rFont val="Arial"/>
        <family val="2"/>
      </rPr>
      <t>·  1977 and 1978—EIA, Energy Data Reports, </t>
    </r>
    <r>
      <rPr>
        <i/>
        <sz val="10"/>
        <rFont val="Arial"/>
        <family val="2"/>
      </rPr>
      <t>Bituminous Coal and Lignite Production and Mine</t>
    </r>
  </si>
  <si>
    <r>
      <t>Operations, </t>
    </r>
    <r>
      <rPr>
        <sz val="10"/>
        <rFont val="Arial"/>
        <family val="2"/>
      </rPr>
      <t>and </t>
    </r>
    <r>
      <rPr>
        <i/>
        <sz val="10"/>
        <rFont val="Arial"/>
        <family val="2"/>
      </rPr>
      <t>Coal—Pennsylvania Anthracite.  </t>
    </r>
    <r>
      <rPr>
        <sz val="10"/>
        <rFont val="Arial"/>
        <family val="2"/>
      </rPr>
      <t>·  1979—EIA, </t>
    </r>
    <r>
      <rPr>
        <i/>
        <sz val="10"/>
        <rFont val="Arial"/>
        <family val="2"/>
      </rPr>
      <t>Coal Production, </t>
    </r>
    <r>
      <rPr>
        <sz val="10"/>
        <rFont val="Arial"/>
        <family val="2"/>
      </rPr>
      <t>and Energy Data Report,</t>
    </r>
  </si>
  <si>
    <r>
      <t>Coal—Pennsylvania Anthracite.  </t>
    </r>
    <r>
      <rPr>
        <sz val="10"/>
        <rFont val="Arial"/>
        <family val="2"/>
      </rPr>
      <t>·  1980-1992—EIA, </t>
    </r>
    <r>
      <rPr>
        <i/>
        <sz val="10"/>
        <rFont val="Arial"/>
        <family val="2"/>
      </rPr>
      <t>Coal Production, </t>
    </r>
    <r>
      <rPr>
        <sz val="10"/>
        <rFont val="Arial"/>
        <family val="2"/>
      </rPr>
      <t>annual reports.</t>
    </r>
  </si>
  <si>
    <r>
      <t>·  1993-2000—EIA, </t>
    </r>
    <r>
      <rPr>
        <i/>
        <sz val="10"/>
        <rFont val="Arial"/>
        <family val="2"/>
      </rPr>
      <t>Coal Industry Annual, </t>
    </r>
    <r>
      <rPr>
        <sz val="10"/>
        <rFont val="Arial"/>
        <family val="2"/>
      </rPr>
      <t>annual reports and unpublished revisions.  ·  2001-2007—EIA,</t>
    </r>
  </si>
  <si>
    <r>
      <t>Annual Coal Report, </t>
    </r>
    <r>
      <rPr>
        <sz val="10"/>
        <rFont val="Arial"/>
        <family val="2"/>
      </rPr>
      <t>annual reports.  ·  2008—EIA, Form EIA-7A, "Coal Production Report," and U.S.</t>
    </r>
  </si>
  <si>
    <t>Department of Labor, Mine Safety and Health Administration, Form 7000-2, "Quarterly Mine Employment</t>
  </si>
  <si>
    <t>and Coal Production Report."</t>
  </si>
  <si>
    <t>Table Posted: August 19, 2008</t>
  </si>
  <si>
    <t>Next Update: December 2008</t>
  </si>
  <si>
    <t>Coking Coal Import Costs</t>
  </si>
  <si>
    <r>
      <t xml:space="preserve">( U.S. Dollars per Metric Ton 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- Average Unit Value, CIF 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</si>
  <si>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(1998 retained from 2006 workbook)</t>
  </si>
  <si>
    <t>Belgium</t>
  </si>
  <si>
    <t>France</t>
  </si>
  <si>
    <t>Germany</t>
  </si>
  <si>
    <t>Italy</t>
  </si>
  <si>
    <t>Japan</t>
  </si>
  <si>
    <t>Netherlands</t>
  </si>
  <si>
    <t>Spain</t>
  </si>
  <si>
    <t>United Kingdom</t>
  </si>
  <si>
    <r>
      <t>1</t>
    </r>
    <r>
      <rPr>
        <sz val="10"/>
        <rFont val="Arial"/>
        <family val="2"/>
      </rPr>
      <t xml:space="preserve"> To convert U.S. dollars per metric ton to U.S. dollars per short ton divide by 1.1023</t>
    </r>
  </si>
  <si>
    <r>
      <t>2</t>
    </r>
    <r>
      <rPr>
        <sz val="10"/>
        <rFont val="Arial"/>
        <family val="2"/>
      </rPr>
      <t xml:space="preserve"> CIF (cargo, insurance and freight) refers to cargos for which the seller pays for the transportation and insurance up to </t>
    </r>
  </si>
  <si>
    <t xml:space="preserve">the port of destination. It is similar to the  terms of an f.o.b. (free on board) sale, except that the seller, as a service for which </t>
  </si>
  <si>
    <t>he is compensated, arranges for transportation and insurance.</t>
  </si>
  <si>
    <t>NA =Not available.</t>
  </si>
  <si>
    <r>
      <t xml:space="preserve">Source: </t>
    </r>
    <r>
      <rPr>
        <i/>
        <sz val="10"/>
        <rFont val="Arial"/>
        <family val="2"/>
      </rPr>
      <t>Energy Prices &amp; Taxes - Quarterly Statistics, First Quarter 2008</t>
    </r>
    <r>
      <rPr>
        <sz val="10"/>
        <rFont val="Arial"/>
        <family val="2"/>
      </rPr>
      <t xml:space="preserve">, Part I, Table 18,  Paris: International </t>
    </r>
  </si>
  <si>
    <t>Energy Agency, 2008.  The Paris-based International Energy Agency (IEA) maintains annual and quarterly time</t>
  </si>
  <si>
    <t xml:space="preserve">series of this price data that begin with the year 1980 and that also include the most recent quarterly prices. </t>
  </si>
  <si>
    <t xml:space="preserve">Information on purchasing this data online from the IEA is available at: </t>
  </si>
  <si>
    <t>http://data.iea.org/ieastore/default.asp</t>
  </si>
  <si>
    <t>Report #:DOE/EIA-0484(2009)</t>
  </si>
  <si>
    <t>Release Date: May 2009</t>
  </si>
  <si>
    <t>Next Release Date: May 2010</t>
  </si>
  <si>
    <t>IEO2009: World Coal Consumption by Region, 2006-2030 (million short tons)</t>
  </si>
  <si>
    <t>Ann Growth</t>
  </si>
  <si>
    <t>2006-2030</t>
  </si>
  <si>
    <t>(percent)</t>
  </si>
  <si>
    <t xml:space="preserve">  OECD North America</t>
  </si>
  <si>
    <t xml:space="preserve">    United States</t>
  </si>
  <si>
    <t xml:space="preserve">    Canada</t>
  </si>
  <si>
    <t xml:space="preserve">    Mexico</t>
  </si>
  <si>
    <t xml:space="preserve">  OECD Europe</t>
  </si>
  <si>
    <t xml:space="preserve">  OECD Asia</t>
  </si>
  <si>
    <t xml:space="preserve">   Japan</t>
  </si>
  <si>
    <t xml:space="preserve">   South Korea</t>
  </si>
  <si>
    <t xml:space="preserve">   Australia/New Zealand</t>
  </si>
  <si>
    <t>Total OECD</t>
  </si>
  <si>
    <t xml:space="preserve">  Non-OECD Europe and Eurasia</t>
  </si>
  <si>
    <t xml:space="preserve">     Russia</t>
  </si>
  <si>
    <t xml:space="preserve">     Other</t>
  </si>
  <si>
    <t xml:space="preserve">  Non-OECD Asia</t>
  </si>
  <si>
    <t xml:space="preserve">     China</t>
  </si>
  <si>
    <t xml:space="preserve">     India</t>
  </si>
  <si>
    <t xml:space="preserve">     Other non-OECD Asia</t>
  </si>
  <si>
    <t xml:space="preserve">   Middle East</t>
  </si>
  <si>
    <t xml:space="preserve">   Africa</t>
  </si>
  <si>
    <t xml:space="preserve">   Central and South America</t>
  </si>
  <si>
    <t xml:space="preserve">      Brazil</t>
  </si>
  <si>
    <t xml:space="preserve">      Other Central and South America</t>
  </si>
  <si>
    <t>Total Non-OECD</t>
  </si>
  <si>
    <t>Total World</t>
  </si>
  <si>
    <t>Table 7.7  Coke Overview, 1949-2008</t>
  </si>
  <si>
    <t>                     (Thousand Short Tons)</t>
  </si>
  <si>
    <t>Production</t>
  </si>
  <si>
    <t>Trade</t>
  </si>
  <si>
    <r>
      <t>Stock Change </t>
    </r>
    <r>
      <rPr>
        <vertAlign val="superscript"/>
        <sz val="10"/>
        <rFont val="Arial"/>
        <family val="2"/>
      </rPr>
      <t>2</t>
    </r>
  </si>
  <si>
    <r>
      <t>Consumption </t>
    </r>
    <r>
      <rPr>
        <vertAlign val="superscript"/>
        <sz val="10"/>
        <rFont val="Arial"/>
        <family val="2"/>
      </rPr>
      <t>3</t>
    </r>
  </si>
  <si>
    <t>Imports</t>
  </si>
  <si>
    <t>Exports</t>
  </si>
  <si>
    <r>
      <t>Net Imports </t>
    </r>
    <r>
      <rPr>
        <vertAlign val="superscript"/>
        <sz val="10"/>
        <rFont val="Arial"/>
        <family val="2"/>
      </rPr>
      <t>1</t>
    </r>
  </si>
  <si>
    <r>
      <t>2008</t>
    </r>
    <r>
      <rPr>
        <vertAlign val="superscript"/>
        <sz val="10"/>
        <rFont val="Arial"/>
        <family val="2"/>
      </rPr>
      <t>P</t>
    </r>
  </si>
  <si>
    <r>
      <t>1</t>
    </r>
    <r>
      <rPr>
        <sz val="10"/>
        <rFont val="Arial"/>
        <family val="2"/>
      </rPr>
      <t>Net imports equal imports minus exports.  Minus sign indicates exports are greater than imports.</t>
    </r>
  </si>
  <si>
    <t>Note:  Totals may not equal sum of components due to independent rounding.</t>
  </si>
  <si>
    <r>
      <t>2</t>
    </r>
    <r>
      <rPr>
        <sz val="10"/>
        <rFont val="Arial"/>
        <family val="2"/>
      </rPr>
      <t>Producer and distributor stocks at end of year.  A negative value indicates a decrease in stocks; a</t>
    </r>
  </si>
  <si>
    <t>positive value indicates an increase.</t>
  </si>
  <si>
    <r>
      <t>3</t>
    </r>
    <r>
      <rPr>
        <sz val="10"/>
        <rFont val="Arial"/>
        <family val="2"/>
      </rPr>
      <t>"Consumption"  is calculated as the sum of production and imports minus exports and stock change.</t>
    </r>
  </si>
  <si>
    <r>
      <t>Sources:  ·  1949-1975Bureau of Mines, </t>
    </r>
    <r>
      <rPr>
        <i/>
        <sz val="10"/>
        <rFont val="Arial"/>
        <family val="2"/>
      </rPr>
      <t>Minerals Yearbook, </t>
    </r>
    <r>
      <rPr>
        <sz val="10"/>
        <rFont val="Arial"/>
        <family val="2"/>
      </rPr>
      <t>"Coke and Coal Chemicals" chapter.</t>
    </r>
  </si>
  <si>
    <r>
      <t>·  1976-1980Energy Information Administration (EIA), Energy Data Report, </t>
    </r>
    <r>
      <rPr>
        <i/>
        <sz val="10"/>
        <rFont val="Arial"/>
        <family val="2"/>
      </rPr>
      <t>Coke and Coal Chemicals,</t>
    </r>
  </si>
  <si>
    <r>
      <t>annual reports.  ·  1981-2001EIA, </t>
    </r>
    <r>
      <rPr>
        <i/>
        <sz val="10"/>
        <rFont val="Arial"/>
        <family val="2"/>
      </rPr>
      <t>Quarterly Coal Report (QCR) October-December, </t>
    </r>
    <r>
      <rPr>
        <sz val="10"/>
        <rFont val="Arial"/>
        <family val="2"/>
      </rPr>
      <t>quarterly reports.</t>
    </r>
  </si>
  <si>
    <r>
      <t>·  2002 forwardEIA, </t>
    </r>
    <r>
      <rPr>
        <i/>
        <sz val="10"/>
        <rFont val="Arial"/>
        <family val="2"/>
      </rPr>
      <t>QCR October-December 2008 </t>
    </r>
    <r>
      <rPr>
        <sz val="10"/>
        <rFont val="Arial"/>
        <family val="2"/>
      </rPr>
      <t>(April 2009), Table ES-2.</t>
    </r>
  </si>
  <si>
    <t>P=Preliminary.  (s)=Less than 0.05 million short tons.  </t>
  </si>
  <si>
    <t>Data synthesized from REF2014 Table CMM_TRAN_RATE_ESC_COMP</t>
  </si>
  <si>
    <t>Received: 02.12.2014</t>
  </si>
  <si>
    <t>CurYear</t>
  </si>
  <si>
    <t>EastTranRateEsc</t>
  </si>
  <si>
    <t>WestRateEsc</t>
  </si>
  <si>
    <t>CALENDAR_YEAR</t>
  </si>
  <si>
    <t>East</t>
  </si>
  <si>
    <t>West</t>
  </si>
  <si>
    <t>Eastern</t>
  </si>
  <si>
    <t>Western</t>
  </si>
  <si>
    <t>From AEO documentation:</t>
  </si>
  <si>
    <t>Coal transportation costs, both first- and second-tier rates, are modified over time by two regional (east and west)</t>
  </si>
  <si>
    <t>transportation indices. The indices, calculated econometrically, are measures of the change in average transportation rates</t>
  </si>
  <si>
    <t>for coal shipments on a tonnage basis, which occurs between successive years for coal shipments. An east index is used for</t>
  </si>
  <si>
    <t>coal originating from eastern supply regions while a west index is used for coal originating from western supply regions. The</t>
  </si>
  <si>
    <t>east index is a function of railroad productivity, the user cost of capital for railroad equipment, and national average diesel fuel</t>
  </si>
  <si>
    <t>price. The user cost of capital for railroad equipment is calculated from the producer price index (PPI) for railroad equipment,</t>
  </si>
  <si>
    <t>and accounts for the opportunity cost of money used to purchase equipment, depreciation occurring as a result of use of</t>
  </si>
  <si>
    <t>the equipment (assumed at 10 percent), less any capital gain associated with the worth of the equipment. In calculating the</t>
  </si>
  <si>
    <t>user cost of capital, three percentage points are added to the cost of borrowing in order to account for the possibility that</t>
  </si>
  <si>
    <t>greenhouse gas emissions may be regulated in the future. The west index is a function of railroad productivity, investment,</t>
  </si>
  <si>
    <t>and the western share of national coal consumption. The indices are universally applied to all domestic coal transportation</t>
  </si>
  <si>
    <t>movements within the CMM. In the AEO2013 Reference case, eastern coal transportation rates are projected to be 3 percent</t>
  </si>
  <si>
    <t>higher by 2020 but then return to 2011 levels after 2025. Western rates fall slightly early in the projection but are 1 percent</t>
  </si>
  <si>
    <t>higher than 2011 in 2040.</t>
  </si>
  <si>
    <t>Conversion Factors</t>
  </si>
  <si>
    <t>1 barrel (bbl)</t>
  </si>
  <si>
    <t>U. S. gallons (gal)</t>
  </si>
  <si>
    <t>MBTU to PJ</t>
  </si>
  <si>
    <t>PJ to MBTU</t>
  </si>
  <si>
    <t>MBTU per short ton</t>
  </si>
  <si>
    <t>approximate heat content of imported coke (from the 2009 Annual Energy Review, Table A5 Approximate Heat Content of Coal or Coal Coke, 1949-2008)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</si>
  <si>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</si>
  <si>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 xml:space="preserve">[Index numbers, 2009=100]                                                                                                                                                                                                                                 </t>
  </si>
  <si>
    <t>US Department of Commerce: Bureau of Economic Analysis</t>
  </si>
  <si>
    <t>http://www.bea.gov/national/nipaweb/SelectTable.asp?Selected=Y</t>
  </si>
  <si>
    <t>Downloaded on 1/09/2014    Last Revised 12/23/2013</t>
  </si>
  <si>
    <t>Deflator</t>
  </si>
  <si>
    <t>To bring to $2005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</si>
  <si>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</si>
  <si>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</si>
  <si>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</si>
  <si>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</si>
  <si>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</si>
  <si>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</si>
  <si>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</si>
  <si>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</si>
  <si>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</si>
  <si>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</si>
  <si>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</si>
  <si>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</si>
  <si>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</si>
  <si>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</si>
  <si>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</si>
  <si>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</si>
  <si>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</si>
  <si>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</si>
  <si>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</si>
  <si>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</si>
  <si>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2007</t>
  </si>
  <si>
    <t>2008</t>
  </si>
  <si>
    <t>2009</t>
  </si>
  <si>
    <t>2010</t>
  </si>
  <si>
    <t>2011</t>
  </si>
  <si>
    <t>2012</t>
  </si>
  <si>
    <t>ANSWER-ConstrData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</si>
</sst>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67" formatCode="0.00_)"/>
    <numFmt numFmtId="168" formatCode="0.0"/>
    <numFmt numFmtId="169" formatCode="_-* #,##0_-;\-* #,##0_-;_-* &quot;-&quot;??_-;_-@_-"/>
    <numFmt numFmtId="170" formatCode="#,##0.0"/>
    <numFmt numFmtId="171" formatCode="0_)"/>
    <numFmt numFmtId="172" formatCode="&quot;$&quot;#,##0.000_);[Red]\(&quot;$&quot;#,##0.000\)"/>
    <numFmt numFmtId="173" formatCode="0_);\(0\)"/>
    <numFmt numFmtId="174" formatCode="0.00000000%"/>
    <numFmt numFmtId="175" formatCode="0.000000"/>
    <numFmt numFmtId="176" formatCode="0.0000"/>
    <numFmt numFmtId="177" formatCode="_-&quot;$&quot;* #,##0.00_-;\-&quot;$&quot;* #,##0.00_-;_-&quot;$&quot;* &quot;-&quot;??_-;_-@_-"/>
    <numFmt numFmtId="178" formatCode="m\o\n\th\ d\,\ yyyy"/>
    <numFmt numFmtId="179" formatCode="#.00"/>
    <numFmt numFmtId="180" formatCode="#."/>
    <numFmt numFmtId="181" formatCode="yyyy"/>
    <numFmt numFmtId="182" formatCode="\Te\x\t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0"/>
      <color indexed="16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MS Sans Serif"/>
      <family val="2"/>
    </font>
    <font>
      <u/>
      <sz val="10"/>
      <color indexed="12"/>
      <name val="MS Sans Serif"/>
      <family val="2"/>
    </font>
    <font>
      <i/>
      <u/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vertAlign val="superscript"/>
      <sz val="5"/>
      <name val="Arial"/>
      <family val="2"/>
    </font>
    <font>
      <sz val="7"/>
      <name val="Arial"/>
      <family val="2"/>
    </font>
    <font>
      <vertAlign val="superscript"/>
      <sz val="10"/>
      <name val="Arial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b/>
      <sz val="7"/>
      <name val="MS Sans Serif"/>
      <family val="2"/>
    </font>
    <font>
      <sz val="10"/>
      <color indexed="12"/>
      <name val="MS Sans Serif"/>
      <family val="2"/>
    </font>
    <font>
      <sz val="10"/>
      <color rgb="FFFF0000"/>
      <name val="MS Sans Serif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MS Sans Serif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color indexed="8"/>
      <name val="Arial"/>
      <family val="2"/>
    </font>
    <font>
      <sz val="10"/>
      <color rgb="FF0000CC"/>
      <name val="MS Sans Serif"/>
      <family val="2"/>
    </font>
    <font>
      <sz val="1"/>
      <color indexed="8"/>
      <name val="Courier"/>
      <family val="3"/>
    </font>
    <font>
      <b/>
      <sz val="11"/>
      <color theme="1"/>
      <name val="Calibri"/>
      <family val="2"/>
      <scheme val="minor"/>
    </font>
    <font>
      <b/>
      <sz val="1"/>
      <color indexed="8"/>
      <name val="Courier"/>
      <family val="3"/>
    </font>
    <font>
      <b/>
      <sz val="13.5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8"/>
      <name val="Arial"/>
      <family val="2"/>
    </font>
    <font>
      <sz val="10"/>
      <color theme="4"/>
      <name val="Arial"/>
      <family val="2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vertAlign val="superscript"/>
      <sz val="10"/>
      <name val="Arial"/>
      <family val="2"/>
    </font>
    <font>
      <sz val="10"/>
      <color theme="3" tint="0.39997558519241921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1" applyNumberFormat="0" applyAlignment="0" applyProtection="0"/>
    <xf numFmtId="0" fontId="20" fillId="17" borderId="2" applyNumberFormat="0" applyAlignment="0" applyProtection="0"/>
    <xf numFmtId="164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6" applyNumberFormat="0" applyFill="0" applyAlignment="0" applyProtection="0"/>
    <xf numFmtId="0" fontId="28" fillId="7" borderId="0" applyNumberFormat="0" applyBorder="0" applyAlignment="0" applyProtection="0"/>
    <xf numFmtId="0" fontId="29" fillId="0" borderId="0"/>
    <xf numFmtId="0" fontId="30" fillId="0" borderId="0"/>
    <xf numFmtId="0" fontId="2" fillId="0" borderId="0"/>
    <xf numFmtId="0" fontId="2" fillId="0" borderId="0"/>
    <xf numFmtId="0" fontId="29" fillId="0" borderId="0"/>
    <xf numFmtId="0" fontId="30" fillId="0" borderId="0"/>
    <xf numFmtId="0" fontId="2" fillId="0" borderId="0"/>
    <xf numFmtId="0" fontId="30" fillId="0" borderId="0"/>
    <xf numFmtId="0" fontId="2" fillId="4" borderId="7" applyNumberFormat="0" applyFont="0" applyAlignment="0" applyProtection="0"/>
    <xf numFmtId="0" fontId="31" fillId="16" borderId="8" applyNumberFormat="0" applyAlignment="0" applyProtection="0"/>
    <xf numFmtId="166" fontId="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52" fillId="0" borderId="0"/>
    <xf numFmtId="0" fontId="4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1" applyNumberFormat="0" applyAlignment="0" applyProtection="0"/>
    <xf numFmtId="0" fontId="20" fillId="17" borderId="2" applyNumberFormat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6" applyNumberFormat="0" applyFill="0" applyAlignment="0" applyProtection="0"/>
    <xf numFmtId="0" fontId="28" fillId="7" borderId="0" applyNumberFormat="0" applyBorder="0" applyAlignment="0" applyProtection="0"/>
    <xf numFmtId="0" fontId="4" fillId="4" borderId="7" applyNumberFormat="0" applyFont="0" applyAlignment="0" applyProtection="0"/>
    <xf numFmtId="0" fontId="31" fillId="16" borderId="8" applyNumberForma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60" fillId="0" borderId="0">
      <protection locked="0"/>
    </xf>
    <xf numFmtId="179" fontId="60" fillId="0" borderId="0">
      <protection locked="0"/>
    </xf>
    <xf numFmtId="0" fontId="61" fillId="0" borderId="53" applyNumberFormat="0" applyFill="0" applyProtection="0">
      <alignment wrapText="1"/>
    </xf>
    <xf numFmtId="180" fontId="62" fillId="0" borderId="0">
      <protection locked="0"/>
    </xf>
    <xf numFmtId="180" fontId="62" fillId="0" borderId="0">
      <protection locked="0"/>
    </xf>
    <xf numFmtId="0" fontId="61" fillId="0" borderId="54" applyNumberFormat="0" applyProtection="0">
      <alignment wrapText="1"/>
    </xf>
    <xf numFmtId="0" fontId="2" fillId="0" borderId="0"/>
    <xf numFmtId="0" fontId="1" fillId="0" borderId="55" applyNumberFormat="0" applyProtection="0">
      <alignment vertical="top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4" fillId="0" borderId="0"/>
    <xf numFmtId="0" fontId="64" fillId="0" borderId="0"/>
    <xf numFmtId="0" fontId="5" fillId="0" borderId="0"/>
    <xf numFmtId="0" fontId="64" fillId="0" borderId="0"/>
    <xf numFmtId="0" fontId="5" fillId="0" borderId="0"/>
    <xf numFmtId="0" fontId="2" fillId="0" borderId="0"/>
  </cellStyleXfs>
  <cellXfs count="369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18" borderId="0" xfId="0" applyFill="1"/>
    <xf numFmtId="0" fontId="7" fillId="0" borderId="0" xfId="0" applyFont="1"/>
    <xf numFmtId="49" fontId="5" fillId="0" borderId="0" xfId="0" applyNumberFormat="1" applyFont="1"/>
    <xf numFmtId="11" fontId="5" fillId="0" borderId="0" xfId="0" applyNumberFormat="1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0" fontId="10" fillId="0" borderId="0" xfId="0" applyFont="1"/>
    <xf numFmtId="0" fontId="2" fillId="0" borderId="0" xfId="44"/>
    <xf numFmtId="0" fontId="29" fillId="0" borderId="0" xfId="45"/>
    <xf numFmtId="0" fontId="29" fillId="0" borderId="0" xfId="45" applyAlignment="1">
      <alignment horizontal="center"/>
    </xf>
    <xf numFmtId="0" fontId="57" fillId="0" borderId="0" xfId="0" applyFont="1"/>
    <xf numFmtId="0" fontId="58" fillId="0" borderId="7" xfId="46" applyFont="1" applyBorder="1"/>
    <xf numFmtId="175" fontId="0" fillId="0" borderId="0" xfId="0" applyNumberFormat="1"/>
    <xf numFmtId="0" fontId="50" fillId="0" borderId="0" xfId="45" applyFont="1" applyAlignment="1">
      <alignment horizontal="center"/>
    </xf>
    <xf numFmtId="0" fontId="0" fillId="0" borderId="0" xfId="0" applyAlignment="1">
      <alignment wrapText="1"/>
    </xf>
    <xf numFmtId="0" fontId="5" fillId="19" borderId="18" xfId="127" applyFont="1" applyFill="1" applyBorder="1" applyAlignment="1">
      <alignment horizontal="center"/>
    </xf>
    <xf numFmtId="0" fontId="5" fillId="0" borderId="56" xfId="128" applyFont="1" applyBorder="1" applyAlignment="1">
      <alignment wrapText="1"/>
    </xf>
    <xf numFmtId="0" fontId="5" fillId="0" borderId="56" xfId="128" applyFont="1" applyBorder="1" applyAlignment="1">
      <alignment horizontal="right" wrapText="1"/>
    </xf>
    <xf numFmtId="2" fontId="5" fillId="0" borderId="56" xfId="128" applyNumberFormat="1" applyFont="1" applyBorder="1" applyAlignment="1">
      <alignment horizontal="right" wrapText="1"/>
    </xf>
    <xf numFmtId="168" fontId="5" fillId="0" borderId="56" xfId="128" applyNumberFormat="1" applyFont="1" applyBorder="1" applyAlignment="1">
      <alignment horizontal="right" wrapText="1"/>
    </xf>
    <xf numFmtId="0" fontId="3" fillId="20" borderId="0" xfId="0" applyFont="1" applyFill="1"/>
    <xf numFmtId="0" fontId="2" fillId="20" borderId="0" xfId="0" applyFont="1" applyFill="1"/>
    <xf numFmtId="0" fontId="0" fillId="20" borderId="0" xfId="0" applyFill="1"/>
    <xf numFmtId="0" fontId="51" fillId="20" borderId="0" xfId="0" applyFont="1" applyFill="1"/>
    <xf numFmtId="0" fontId="0" fillId="20" borderId="0" xfId="0" applyFill="1" applyAlignment="1">
      <alignment horizontal="center"/>
    </xf>
    <xf numFmtId="0" fontId="67" fillId="20" borderId="0" xfId="0" applyFont="1" applyFill="1" applyAlignment="1">
      <alignment horizontal="center" wrapText="1"/>
    </xf>
    <xf numFmtId="0" fontId="67" fillId="20" borderId="50" xfId="0" applyFont="1" applyFill="1" applyBorder="1" applyAlignment="1">
      <alignment horizontal="center" wrapText="1"/>
    </xf>
    <xf numFmtId="0" fontId="51" fillId="20" borderId="14" xfId="0" applyFont="1" applyFill="1" applyBorder="1" applyAlignment="1">
      <alignment wrapText="1"/>
    </xf>
    <xf numFmtId="0" fontId="67" fillId="20" borderId="52" xfId="0" applyFont="1" applyFill="1" applyBorder="1" applyAlignment="1">
      <alignment wrapText="1"/>
    </xf>
    <xf numFmtId="167" fontId="51" fillId="20" borderId="0" xfId="0" applyNumberFormat="1" applyFont="1" applyFill="1"/>
    <xf numFmtId="0" fontId="67" fillId="20" borderId="0" xfId="0" applyFont="1" applyFill="1" applyAlignment="1">
      <alignment wrapText="1"/>
    </xf>
    <xf numFmtId="0" fontId="51" fillId="20" borderId="52" xfId="0" applyFont="1" applyFill="1" applyBorder="1" applyAlignment="1">
      <alignment wrapText="1"/>
    </xf>
    <xf numFmtId="165" fontId="51" fillId="20" borderId="0" xfId="0" applyNumberFormat="1" applyFont="1" applyFill="1"/>
    <xf numFmtId="2" fontId="51" fillId="20" borderId="0" xfId="0" applyNumberFormat="1" applyFont="1" applyFill="1"/>
    <xf numFmtId="167" fontId="51" fillId="20" borderId="0" xfId="0" applyNumberFormat="1" applyFont="1" applyFill="1" applyAlignment="1">
      <alignment horizontal="center"/>
    </xf>
    <xf numFmtId="165" fontId="65" fillId="20" borderId="0" xfId="0" applyNumberFormat="1" applyFont="1" applyFill="1"/>
    <xf numFmtId="2" fontId="66" fillId="20" borderId="0" xfId="0" applyNumberFormat="1" applyFont="1" applyFill="1"/>
    <xf numFmtId="0" fontId="65" fillId="20" borderId="0" xfId="0" applyFont="1" applyFill="1"/>
    <xf numFmtId="0" fontId="51" fillId="20" borderId="49" xfId="0" applyFont="1" applyFill="1" applyBorder="1"/>
    <xf numFmtId="0" fontId="61" fillId="20" borderId="51" xfId="0" applyFont="1" applyFill="1" applyBorder="1" applyAlignment="1">
      <alignment wrapText="1"/>
    </xf>
    <xf numFmtId="0" fontId="0" fillId="20" borderId="52" xfId="0" applyFill="1" applyBorder="1" applyAlignment="1">
      <alignment wrapText="1"/>
    </xf>
    <xf numFmtId="0" fontId="61" fillId="20" borderId="52" xfId="0" applyFont="1" applyFill="1" applyBorder="1" applyAlignment="1">
      <alignment wrapText="1"/>
    </xf>
    <xf numFmtId="0" fontId="0" fillId="20" borderId="56" xfId="0" applyFill="1" applyBorder="1"/>
    <xf numFmtId="0" fontId="0" fillId="20" borderId="56" xfId="0" applyFill="1" applyBorder="1" applyAlignment="1">
      <alignment wrapText="1"/>
    </xf>
    <xf numFmtId="0" fontId="0" fillId="20" borderId="56" xfId="0" applyFill="1" applyBorder="1" applyAlignment="1">
      <alignment horizontal="center" wrapText="1"/>
    </xf>
    <xf numFmtId="0" fontId="61" fillId="20" borderId="0" xfId="0" applyFont="1" applyFill="1" applyAlignment="1">
      <alignment wrapText="1"/>
    </xf>
    <xf numFmtId="0" fontId="0" fillId="20" borderId="0" xfId="0" applyFill="1" applyAlignment="1">
      <alignment wrapText="1"/>
    </xf>
    <xf numFmtId="0" fontId="61" fillId="20" borderId="0" xfId="0" applyFont="1" applyFill="1" applyAlignment="1">
      <alignment horizontal="center" wrapText="1"/>
    </xf>
    <xf numFmtId="167" fontId="0" fillId="20" borderId="0" xfId="0" applyNumberFormat="1" applyFill="1"/>
    <xf numFmtId="165" fontId="0" fillId="20" borderId="0" xfId="0" applyNumberFormat="1" applyFill="1"/>
    <xf numFmtId="0" fontId="3" fillId="20" borderId="0" xfId="41" applyFont="1" applyFill="1"/>
    <xf numFmtId="0" fontId="29" fillId="20" borderId="0" xfId="45" applyFill="1"/>
    <xf numFmtId="0" fontId="29" fillId="20" borderId="0" xfId="45" applyFill="1" applyAlignment="1">
      <alignment horizontal="center"/>
    </xf>
    <xf numFmtId="0" fontId="50" fillId="20" borderId="0" xfId="45" applyFont="1" applyFill="1" applyAlignment="1">
      <alignment horizontal="center"/>
    </xf>
    <xf numFmtId="0" fontId="29" fillId="20" borderId="0" xfId="45" quotePrefix="1" applyFill="1"/>
    <xf numFmtId="0" fontId="8" fillId="20" borderId="0" xfId="41" applyFont="1" applyFill="1" applyAlignment="1">
      <alignment wrapText="1"/>
    </xf>
    <xf numFmtId="0" fontId="49" fillId="20" borderId="0" xfId="45" quotePrefix="1" applyFont="1" applyFill="1"/>
    <xf numFmtId="0" fontId="29" fillId="20" borderId="0" xfId="45" quotePrefix="1" applyFill="1" applyAlignment="1">
      <alignment horizontal="center"/>
    </xf>
    <xf numFmtId="0" fontId="50" fillId="20" borderId="0" xfId="45" quotePrefix="1" applyFont="1" applyFill="1" applyAlignment="1">
      <alignment horizontal="center"/>
    </xf>
    <xf numFmtId="0" fontId="59" fillId="20" borderId="0" xfId="45" applyFont="1" applyFill="1" applyAlignment="1">
      <alignment horizontal="center"/>
    </xf>
    <xf numFmtId="0" fontId="49" fillId="20" borderId="0" xfId="45" quotePrefix="1" applyFont="1" applyFill="1" applyAlignment="1">
      <alignment horizontal="center"/>
    </xf>
    <xf numFmtId="2" fontId="29" fillId="20" borderId="0" xfId="45" quotePrefix="1" applyNumberFormat="1" applyFill="1" applyAlignment="1">
      <alignment horizontal="center"/>
    </xf>
    <xf numFmtId="2" fontId="49" fillId="20" borderId="0" xfId="45" quotePrefix="1" applyNumberFormat="1" applyFont="1" applyFill="1" applyAlignment="1">
      <alignment horizontal="center"/>
    </xf>
    <xf numFmtId="2" fontId="49" fillId="20" borderId="0" xfId="45" quotePrefix="1" applyNumberFormat="1" applyFont="1" applyFill="1"/>
    <xf numFmtId="0" fontId="29" fillId="20" borderId="14" xfId="45" applyFill="1" applyBorder="1"/>
    <xf numFmtId="0" fontId="29" fillId="20" borderId="42" xfId="45" applyFill="1" applyBorder="1"/>
    <xf numFmtId="0" fontId="29" fillId="20" borderId="13" xfId="45" applyFill="1" applyBorder="1"/>
    <xf numFmtId="0" fontId="29" fillId="20" borderId="25" xfId="45" applyFill="1" applyBorder="1"/>
    <xf numFmtId="0" fontId="29" fillId="20" borderId="17" xfId="45" applyFill="1" applyBorder="1"/>
    <xf numFmtId="2" fontId="49" fillId="20" borderId="42" xfId="45" applyNumberFormat="1" applyFont="1" applyFill="1" applyBorder="1"/>
    <xf numFmtId="2" fontId="49" fillId="20" borderId="25" xfId="45" applyNumberFormat="1" applyFont="1" applyFill="1" applyBorder="1"/>
    <xf numFmtId="2" fontId="53" fillId="20" borderId="0" xfId="45" quotePrefix="1" applyNumberFormat="1" applyFont="1" applyFill="1"/>
    <xf numFmtId="0" fontId="36" fillId="20" borderId="0" xfId="45" applyFont="1" applyFill="1"/>
    <xf numFmtId="0" fontId="3" fillId="20" borderId="0" xfId="45" applyFont="1" applyFill="1"/>
    <xf numFmtId="0" fontId="37" fillId="20" borderId="0" xfId="47" applyFont="1" applyFill="1" applyAlignment="1">
      <alignment horizontal="left"/>
    </xf>
    <xf numFmtId="0" fontId="37" fillId="20" borderId="0" xfId="47" applyFont="1" applyFill="1"/>
    <xf numFmtId="17" fontId="37" fillId="20" borderId="0" xfId="47" applyNumberFormat="1" applyFont="1" applyFill="1" applyAlignment="1">
      <alignment horizontal="left"/>
    </xf>
    <xf numFmtId="0" fontId="38" fillId="20" borderId="0" xfId="47" applyFont="1" applyFill="1" applyAlignment="1">
      <alignment horizontal="left"/>
    </xf>
    <xf numFmtId="17" fontId="38" fillId="20" borderId="0" xfId="47" applyNumberFormat="1" applyFont="1" applyFill="1" applyAlignment="1">
      <alignment horizontal="left"/>
    </xf>
    <xf numFmtId="0" fontId="38" fillId="20" borderId="0" xfId="47" applyFont="1" applyFill="1"/>
    <xf numFmtId="0" fontId="3" fillId="20" borderId="0" xfId="47" applyFont="1" applyFill="1"/>
    <xf numFmtId="0" fontId="3" fillId="20" borderId="0" xfId="47" applyFont="1" applyFill="1" applyAlignment="1">
      <alignment horizontal="right"/>
    </xf>
    <xf numFmtId="0" fontId="13" fillId="20" borderId="0" xfId="47" applyFont="1" applyFill="1"/>
    <xf numFmtId="0" fontId="40" fillId="20" borderId="0" xfId="45" applyFont="1" applyFill="1" applyAlignment="1">
      <alignment horizontal="right"/>
    </xf>
    <xf numFmtId="1" fontId="3" fillId="20" borderId="0" xfId="47" applyNumberFormat="1" applyFont="1" applyFill="1"/>
    <xf numFmtId="166" fontId="3" fillId="20" borderId="0" xfId="51" applyFont="1" applyFill="1"/>
    <xf numFmtId="166" fontId="2" fillId="20" borderId="0" xfId="51" quotePrefix="1" applyFont="1" applyFill="1" applyAlignment="1">
      <alignment horizontal="center"/>
    </xf>
    <xf numFmtId="2" fontId="3" fillId="20" borderId="0" xfId="47" applyNumberFormat="1" applyFont="1" applyFill="1"/>
    <xf numFmtId="0" fontId="13" fillId="20" borderId="0" xfId="45" applyFont="1" applyFill="1"/>
    <xf numFmtId="0" fontId="3" fillId="20" borderId="0" xfId="45" applyFont="1" applyFill="1" applyAlignment="1">
      <alignment horizontal="center"/>
    </xf>
    <xf numFmtId="0" fontId="3" fillId="20" borderId="13" xfId="45" applyFont="1" applyFill="1" applyBorder="1"/>
    <xf numFmtId="3" fontId="3" fillId="20" borderId="0" xfId="45" applyNumberFormat="1" applyFont="1" applyFill="1" applyAlignment="1">
      <alignment horizontal="right"/>
    </xf>
    <xf numFmtId="0" fontId="3" fillId="20" borderId="13" xfId="45" applyFont="1" applyFill="1" applyBorder="1" applyAlignment="1">
      <alignment vertical="center"/>
    </xf>
    <xf numFmtId="0" fontId="3" fillId="20" borderId="0" xfId="45" applyFont="1" applyFill="1" applyAlignment="1">
      <alignment vertical="center"/>
    </xf>
    <xf numFmtId="2" fontId="3" fillId="20" borderId="0" xfId="45" applyNumberFormat="1" applyFont="1" applyFill="1" applyAlignment="1">
      <alignment horizontal="center"/>
    </xf>
    <xf numFmtId="1" fontId="3" fillId="20" borderId="0" xfId="45" applyNumberFormat="1" applyFont="1" applyFill="1"/>
    <xf numFmtId="0" fontId="3" fillId="20" borderId="0" xfId="45" applyFont="1" applyFill="1" applyAlignment="1">
      <alignment horizontal="right" vertical="center"/>
    </xf>
    <xf numFmtId="0" fontId="3" fillId="20" borderId="14" xfId="45" applyFont="1" applyFill="1" applyBorder="1" applyAlignment="1">
      <alignment horizontal="right" vertical="center"/>
    </xf>
    <xf numFmtId="0" fontId="45" fillId="20" borderId="13" xfId="45" applyFont="1" applyFill="1" applyBorder="1"/>
    <xf numFmtId="0" fontId="45" fillId="20" borderId="0" xfId="45" applyFont="1" applyFill="1"/>
    <xf numFmtId="0" fontId="3" fillId="20" borderId="0" xfId="45" quotePrefix="1" applyFont="1" applyFill="1" applyAlignment="1">
      <alignment horizontal="center"/>
    </xf>
    <xf numFmtId="0" fontId="44" fillId="20" borderId="0" xfId="45" applyFont="1" applyFill="1" applyAlignment="1">
      <alignment vertical="top" wrapText="1"/>
    </xf>
    <xf numFmtId="0" fontId="29" fillId="20" borderId="0" xfId="45" applyFill="1" applyAlignment="1">
      <alignment wrapText="1"/>
    </xf>
    <xf numFmtId="1" fontId="3" fillId="20" borderId="0" xfId="29" applyNumberFormat="1" applyFont="1" applyFill="1" applyBorder="1" applyAlignment="1">
      <alignment wrapText="1"/>
    </xf>
    <xf numFmtId="1" fontId="3" fillId="20" borderId="0" xfId="45" applyNumberFormat="1" applyFont="1" applyFill="1" applyAlignment="1">
      <alignment wrapText="1"/>
    </xf>
    <xf numFmtId="1" fontId="3" fillId="20" borderId="0" xfId="29" applyNumberFormat="1" applyFont="1" applyFill="1" applyBorder="1"/>
    <xf numFmtId="173" fontId="3" fillId="20" borderId="0" xfId="29" applyNumberFormat="1" applyFont="1" applyFill="1" applyBorder="1" applyAlignment="1">
      <alignment wrapText="1"/>
    </xf>
    <xf numFmtId="0" fontId="2" fillId="20" borderId="0" xfId="45" applyFont="1" applyFill="1"/>
    <xf numFmtId="0" fontId="2" fillId="20" borderId="19" xfId="45" applyFont="1" applyFill="1" applyBorder="1"/>
    <xf numFmtId="0" fontId="2" fillId="20" borderId="20" xfId="45" applyFont="1" applyFill="1" applyBorder="1"/>
    <xf numFmtId="0" fontId="2" fillId="20" borderId="21" xfId="45" applyFont="1" applyFill="1" applyBorder="1"/>
    <xf numFmtId="2" fontId="55" fillId="20" borderId="43" xfId="45" applyNumberFormat="1" applyFont="1" applyFill="1" applyBorder="1"/>
    <xf numFmtId="2" fontId="68" fillId="20" borderId="43" xfId="45" applyNumberFormat="1" applyFont="1" applyFill="1" applyBorder="1"/>
    <xf numFmtId="0" fontId="2" fillId="20" borderId="13" xfId="45" applyFont="1" applyFill="1" applyBorder="1" applyAlignment="1">
      <alignment horizontal="right"/>
    </xf>
    <xf numFmtId="0" fontId="2" fillId="20" borderId="0" xfId="45" applyFont="1" applyFill="1" applyAlignment="1">
      <alignment horizontal="left"/>
    </xf>
    <xf numFmtId="2" fontId="2" fillId="20" borderId="0" xfId="45" applyNumberFormat="1" applyFont="1" applyFill="1"/>
    <xf numFmtId="0" fontId="2" fillId="20" borderId="14" xfId="45" applyFont="1" applyFill="1" applyBorder="1"/>
    <xf numFmtId="2" fontId="55" fillId="20" borderId="42" xfId="45" applyNumberFormat="1" applyFont="1" applyFill="1" applyBorder="1"/>
    <xf numFmtId="2" fontId="68" fillId="20" borderId="42" xfId="45" applyNumberFormat="1" applyFont="1" applyFill="1" applyBorder="1"/>
    <xf numFmtId="0" fontId="2" fillId="20" borderId="15" xfId="45" applyFont="1" applyFill="1" applyBorder="1" applyAlignment="1">
      <alignment horizontal="right"/>
    </xf>
    <xf numFmtId="0" fontId="2" fillId="20" borderId="16" xfId="45" applyFont="1" applyFill="1" applyBorder="1" applyAlignment="1">
      <alignment horizontal="left"/>
    </xf>
    <xf numFmtId="2" fontId="2" fillId="20" borderId="16" xfId="45" applyNumberFormat="1" applyFont="1" applyFill="1" applyBorder="1"/>
    <xf numFmtId="0" fontId="2" fillId="20" borderId="17" xfId="45" applyFont="1" applyFill="1" applyBorder="1"/>
    <xf numFmtId="2" fontId="55" fillId="20" borderId="25" xfId="45" applyNumberFormat="1" applyFont="1" applyFill="1" applyBorder="1"/>
    <xf numFmtId="2" fontId="68" fillId="20" borderId="25" xfId="45" applyNumberFormat="1" applyFont="1" applyFill="1" applyBorder="1"/>
    <xf numFmtId="2" fontId="68" fillId="20" borderId="11" xfId="45" applyNumberFormat="1" applyFont="1" applyFill="1" applyBorder="1"/>
    <xf numFmtId="2" fontId="68" fillId="20" borderId="12" xfId="45" applyNumberFormat="1" applyFont="1" applyFill="1" applyBorder="1"/>
    <xf numFmtId="0" fontId="2" fillId="20" borderId="15" xfId="45" applyFont="1" applyFill="1" applyBorder="1"/>
    <xf numFmtId="2" fontId="55" fillId="20" borderId="16" xfId="45" applyNumberFormat="1" applyFont="1" applyFill="1" applyBorder="1"/>
    <xf numFmtId="2" fontId="55" fillId="20" borderId="17" xfId="45" applyNumberFormat="1" applyFont="1" applyFill="1" applyBorder="1"/>
    <xf numFmtId="174" fontId="2" fillId="20" borderId="20" xfId="45" applyNumberFormat="1" applyFont="1" applyFill="1" applyBorder="1"/>
    <xf numFmtId="174" fontId="2" fillId="20" borderId="21" xfId="45" applyNumberFormat="1" applyFont="1" applyFill="1" applyBorder="1"/>
    <xf numFmtId="2" fontId="69" fillId="20" borderId="11" xfId="45" applyNumberFormat="1" applyFont="1" applyFill="1" applyBorder="1"/>
    <xf numFmtId="2" fontId="69" fillId="20" borderId="12" xfId="45" applyNumberFormat="1" applyFont="1" applyFill="1" applyBorder="1"/>
    <xf numFmtId="8" fontId="55" fillId="20" borderId="16" xfId="45" applyNumberFormat="1" applyFont="1" applyFill="1" applyBorder="1"/>
    <xf numFmtId="0" fontId="2" fillId="20" borderId="22" xfId="45" applyFont="1" applyFill="1" applyBorder="1"/>
    <xf numFmtId="0" fontId="37" fillId="20" borderId="0" xfId="45" applyFont="1" applyFill="1"/>
    <xf numFmtId="0" fontId="2" fillId="20" borderId="0" xfId="47" applyFill="1"/>
    <xf numFmtId="0" fontId="9" fillId="20" borderId="0" xfId="45" applyFont="1" applyFill="1" applyAlignment="1">
      <alignment horizontal="right"/>
    </xf>
    <xf numFmtId="171" fontId="2" fillId="20" borderId="0" xfId="45" applyNumberFormat="1" applyFont="1" applyFill="1"/>
    <xf numFmtId="1" fontId="2" fillId="20" borderId="0" xfId="47" applyNumberFormat="1" applyFill="1"/>
    <xf numFmtId="166" fontId="2" fillId="20" borderId="0" xfId="51" applyFont="1" applyFill="1"/>
    <xf numFmtId="167" fontId="2" fillId="20" borderId="0" xfId="45" applyNumberFormat="1" applyFont="1" applyFill="1"/>
    <xf numFmtId="2" fontId="2" fillId="20" borderId="0" xfId="47" applyNumberFormat="1" applyFill="1"/>
    <xf numFmtId="0" fontId="70" fillId="20" borderId="0" xfId="37" applyFont="1" applyFill="1"/>
    <xf numFmtId="0" fontId="2" fillId="20" borderId="13" xfId="45" applyFont="1" applyFill="1" applyBorder="1"/>
    <xf numFmtId="3" fontId="2" fillId="20" borderId="0" xfId="45" applyNumberFormat="1" applyFont="1" applyFill="1" applyAlignment="1">
      <alignment horizontal="right"/>
    </xf>
    <xf numFmtId="3" fontId="2" fillId="20" borderId="0" xfId="45" applyNumberFormat="1" applyFont="1" applyFill="1"/>
    <xf numFmtId="0" fontId="2" fillId="20" borderId="30" xfId="45" applyFont="1" applyFill="1" applyBorder="1"/>
    <xf numFmtId="0" fontId="2" fillId="20" borderId="31" xfId="45" applyFont="1" applyFill="1" applyBorder="1"/>
    <xf numFmtId="0" fontId="2" fillId="20" borderId="32" xfId="45" applyFont="1" applyFill="1" applyBorder="1"/>
    <xf numFmtId="0" fontId="2" fillId="20" borderId="33" xfId="45" applyFont="1" applyFill="1" applyBorder="1"/>
    <xf numFmtId="0" fontId="2" fillId="20" borderId="34" xfId="45" applyFont="1" applyFill="1" applyBorder="1"/>
    <xf numFmtId="8" fontId="2" fillId="20" borderId="0" xfId="45" applyNumberFormat="1" applyFont="1" applyFill="1"/>
    <xf numFmtId="2" fontId="2" fillId="20" borderId="34" xfId="45" applyNumberFormat="1" applyFont="1" applyFill="1" applyBorder="1"/>
    <xf numFmtId="2" fontId="2" fillId="20" borderId="0" xfId="30" applyNumberFormat="1" applyFont="1" applyFill="1" applyBorder="1"/>
    <xf numFmtId="172" fontId="2" fillId="20" borderId="0" xfId="45" applyNumberFormat="1" applyFont="1" applyFill="1"/>
    <xf numFmtId="0" fontId="2" fillId="20" borderId="35" xfId="45" applyFont="1" applyFill="1" applyBorder="1"/>
    <xf numFmtId="0" fontId="2" fillId="20" borderId="36" xfId="45" applyFont="1" applyFill="1" applyBorder="1"/>
    <xf numFmtId="0" fontId="2" fillId="20" borderId="12" xfId="45" applyFont="1" applyFill="1" applyBorder="1"/>
    <xf numFmtId="0" fontId="2" fillId="20" borderId="0" xfId="45" applyFont="1" applyFill="1" applyAlignment="1">
      <alignment horizontal="center" vertical="center"/>
    </xf>
    <xf numFmtId="0" fontId="2" fillId="20" borderId="13" xfId="45" applyFont="1" applyFill="1" applyBorder="1" applyAlignment="1">
      <alignment vertical="center"/>
    </xf>
    <xf numFmtId="0" fontId="2" fillId="20" borderId="0" xfId="45" applyFont="1" applyFill="1" applyAlignment="1">
      <alignment vertical="center"/>
    </xf>
    <xf numFmtId="2" fontId="2" fillId="20" borderId="0" xfId="45" applyNumberFormat="1" applyFont="1" applyFill="1" applyAlignment="1">
      <alignment horizontal="justify" vertical="center"/>
    </xf>
    <xf numFmtId="4" fontId="2" fillId="20" borderId="0" xfId="45" applyNumberFormat="1" applyFont="1" applyFill="1" applyAlignment="1">
      <alignment horizontal="right" vertical="center"/>
    </xf>
    <xf numFmtId="168" fontId="2" fillId="20" borderId="0" xfId="45" applyNumberFormat="1" applyFont="1" applyFill="1" applyAlignment="1">
      <alignment horizontal="right" vertical="center"/>
    </xf>
    <xf numFmtId="0" fontId="2" fillId="20" borderId="14" xfId="45" applyFont="1" applyFill="1" applyBorder="1" applyAlignment="1">
      <alignment horizontal="right"/>
    </xf>
    <xf numFmtId="4" fontId="2" fillId="20" borderId="0" xfId="45" applyNumberFormat="1" applyFont="1" applyFill="1"/>
    <xf numFmtId="0" fontId="2" fillId="20" borderId="0" xfId="45" applyFont="1" applyFill="1" applyAlignment="1">
      <alignment horizontal="right" vertical="center"/>
    </xf>
    <xf numFmtId="49" fontId="2" fillId="20" borderId="13" xfId="45" applyNumberFormat="1" applyFont="1" applyFill="1" applyBorder="1"/>
    <xf numFmtId="0" fontId="2" fillId="20" borderId="16" xfId="45" applyFont="1" applyFill="1" applyBorder="1"/>
    <xf numFmtId="0" fontId="70" fillId="20" borderId="16" xfId="37" applyFont="1" applyFill="1" applyBorder="1"/>
    <xf numFmtId="0" fontId="2" fillId="20" borderId="37" xfId="45" applyFont="1" applyFill="1" applyBorder="1"/>
    <xf numFmtId="166" fontId="2" fillId="20" borderId="0" xfId="45" applyNumberFormat="1" applyFont="1" applyFill="1"/>
    <xf numFmtId="0" fontId="2" fillId="20" borderId="0" xfId="45" applyFont="1" applyFill="1" applyAlignment="1">
      <alignment wrapText="1"/>
    </xf>
    <xf numFmtId="0" fontId="2" fillId="20" borderId="22" xfId="45" applyFont="1" applyFill="1" applyBorder="1" applyAlignment="1">
      <alignment wrapText="1"/>
    </xf>
    <xf numFmtId="170" fontId="2" fillId="20" borderId="0" xfId="45" applyNumberFormat="1" applyFont="1" applyFill="1"/>
    <xf numFmtId="0" fontId="71" fillId="20" borderId="0" xfId="47" applyFont="1" applyFill="1"/>
    <xf numFmtId="165" fontId="71" fillId="20" borderId="0" xfId="47" applyNumberFormat="1" applyFont="1" applyFill="1"/>
    <xf numFmtId="165" fontId="71" fillId="20" borderId="0" xfId="45" applyNumberFormat="1" applyFont="1" applyFill="1"/>
    <xf numFmtId="0" fontId="71" fillId="20" borderId="0" xfId="45" applyFont="1" applyFill="1"/>
    <xf numFmtId="0" fontId="3" fillId="20" borderId="23" xfId="45" applyFont="1" applyFill="1" applyBorder="1" applyAlignment="1">
      <alignment horizontal="center" vertical="center" wrapText="1"/>
    </xf>
    <xf numFmtId="0" fontId="3" fillId="20" borderId="24" xfId="45" applyFont="1" applyFill="1" applyBorder="1" applyAlignment="1">
      <alignment horizontal="center" vertical="center" wrapText="1"/>
    </xf>
    <xf numFmtId="0" fontId="3" fillId="20" borderId="25" xfId="45" applyFont="1" applyFill="1" applyBorder="1" applyAlignment="1">
      <alignment horizontal="center" vertical="center" wrapText="1"/>
    </xf>
    <xf numFmtId="0" fontId="3" fillId="20" borderId="18" xfId="45" applyFont="1" applyFill="1" applyBorder="1" applyAlignment="1">
      <alignment horizontal="center" vertical="center" wrapText="1"/>
    </xf>
    <xf numFmtId="0" fontId="2" fillId="20" borderId="26" xfId="45" applyFont="1" applyFill="1" applyBorder="1" applyAlignment="1">
      <alignment wrapText="1"/>
    </xf>
    <xf numFmtId="0" fontId="2" fillId="20" borderId="18" xfId="45" applyFont="1" applyFill="1" applyBorder="1" applyAlignment="1">
      <alignment horizontal="center" wrapText="1"/>
    </xf>
    <xf numFmtId="8" fontId="2" fillId="20" borderId="18" xfId="45" applyNumberFormat="1" applyFont="1" applyFill="1" applyBorder="1" applyAlignment="1">
      <alignment horizontal="center" wrapText="1"/>
    </xf>
    <xf numFmtId="8" fontId="2" fillId="20" borderId="18" xfId="45" applyNumberFormat="1" applyFont="1" applyFill="1" applyBorder="1" applyAlignment="1">
      <alignment horizontal="right" wrapText="1"/>
    </xf>
    <xf numFmtId="8" fontId="2" fillId="20" borderId="27" xfId="45" applyNumberFormat="1" applyFont="1" applyFill="1" applyBorder="1" applyAlignment="1">
      <alignment horizontal="right" wrapText="1"/>
    </xf>
    <xf numFmtId="0" fontId="2" fillId="20" borderId="18" xfId="45" applyFont="1" applyFill="1" applyBorder="1" applyAlignment="1">
      <alignment wrapText="1"/>
    </xf>
    <xf numFmtId="3" fontId="2" fillId="20" borderId="18" xfId="45" applyNumberFormat="1" applyFont="1" applyFill="1" applyBorder="1" applyAlignment="1">
      <alignment horizontal="center" wrapText="1"/>
    </xf>
    <xf numFmtId="0" fontId="3" fillId="20" borderId="18" xfId="45" applyFont="1" applyFill="1" applyBorder="1" applyAlignment="1">
      <alignment horizontal="right" wrapText="1"/>
    </xf>
    <xf numFmtId="3" fontId="3" fillId="20" borderId="18" xfId="45" applyNumberFormat="1" applyFont="1" applyFill="1" applyBorder="1" applyAlignment="1">
      <alignment horizontal="center" wrapText="1"/>
    </xf>
    <xf numFmtId="0" fontId="2" fillId="20" borderId="29" xfId="45" applyFont="1" applyFill="1" applyBorder="1" applyAlignment="1">
      <alignment wrapText="1"/>
    </xf>
    <xf numFmtId="3" fontId="3" fillId="20" borderId="18" xfId="45" applyNumberFormat="1" applyFont="1" applyFill="1" applyBorder="1" applyAlignment="1">
      <alignment horizontal="right" wrapText="1"/>
    </xf>
    <xf numFmtId="0" fontId="2" fillId="20" borderId="23" xfId="45" applyFont="1" applyFill="1" applyBorder="1" applyAlignment="1">
      <alignment wrapText="1"/>
    </xf>
    <xf numFmtId="0" fontId="55" fillId="20" borderId="0" xfId="45" applyFont="1" applyFill="1"/>
    <xf numFmtId="0" fontId="3" fillId="20" borderId="33" xfId="45" applyFont="1" applyFill="1" applyBorder="1"/>
    <xf numFmtId="8" fontId="3" fillId="20" borderId="0" xfId="45" applyNumberFormat="1" applyFont="1" applyFill="1"/>
    <xf numFmtId="0" fontId="3" fillId="20" borderId="34" xfId="45" applyFont="1" applyFill="1" applyBorder="1"/>
    <xf numFmtId="2" fontId="3" fillId="20" borderId="0" xfId="45" applyNumberFormat="1" applyFont="1" applyFill="1"/>
    <xf numFmtId="2" fontId="3" fillId="20" borderId="34" xfId="45" applyNumberFormat="1" applyFont="1" applyFill="1" applyBorder="1"/>
    <xf numFmtId="0" fontId="3" fillId="20" borderId="18" xfId="45" applyFont="1" applyFill="1" applyBorder="1" applyAlignment="1">
      <alignment horizontal="center" wrapText="1"/>
    </xf>
    <xf numFmtId="0" fontId="2" fillId="20" borderId="18" xfId="45" applyFont="1" applyFill="1" applyBorder="1" applyAlignment="1">
      <alignment horizontal="left" wrapText="1"/>
    </xf>
    <xf numFmtId="0" fontId="45" fillId="20" borderId="18" xfId="45" applyFont="1" applyFill="1" applyBorder="1" applyAlignment="1">
      <alignment horizontal="right" wrapText="1"/>
    </xf>
    <xf numFmtId="0" fontId="2" fillId="20" borderId="18" xfId="45" applyFont="1" applyFill="1" applyBorder="1" applyAlignment="1">
      <alignment horizontal="right" wrapText="1"/>
    </xf>
    <xf numFmtId="0" fontId="37" fillId="20" borderId="0" xfId="45" applyFont="1" applyFill="1" applyAlignment="1">
      <alignment vertical="top"/>
    </xf>
    <xf numFmtId="0" fontId="37" fillId="20" borderId="0" xfId="45" applyFont="1" applyFill="1" applyAlignment="1">
      <alignment horizontal="left" vertical="top" wrapText="1"/>
    </xf>
    <xf numFmtId="3" fontId="2" fillId="20" borderId="18" xfId="45" applyNumberFormat="1" applyFont="1" applyFill="1" applyBorder="1" applyAlignment="1">
      <alignment horizontal="right" wrapText="1"/>
    </xf>
    <xf numFmtId="0" fontId="2" fillId="20" borderId="22" xfId="45" applyFont="1" applyFill="1" applyBorder="1" applyAlignment="1">
      <alignment vertical="top" wrapText="1"/>
    </xf>
    <xf numFmtId="0" fontId="2" fillId="20" borderId="0" xfId="41" applyFont="1" applyFill="1"/>
    <xf numFmtId="0" fontId="5" fillId="21" borderId="0" xfId="48" applyFont="1" applyFill="1" applyAlignment="1">
      <alignment horizontal="center"/>
    </xf>
    <xf numFmtId="0" fontId="2" fillId="20" borderId="0" xfId="45" quotePrefix="1" applyFont="1" applyFill="1"/>
    <xf numFmtId="0" fontId="5" fillId="20" borderId="0" xfId="48" applyFont="1" applyFill="1" applyAlignment="1">
      <alignment wrapText="1"/>
    </xf>
    <xf numFmtId="0" fontId="5" fillId="20" borderId="0" xfId="130" applyFont="1" applyFill="1" applyAlignment="1">
      <alignment wrapText="1"/>
    </xf>
    <xf numFmtId="0" fontId="5" fillId="20" borderId="0" xfId="131" applyFill="1" applyAlignment="1">
      <alignment horizontal="right" wrapText="1"/>
    </xf>
    <xf numFmtId="165" fontId="5" fillId="20" borderId="0" xfId="131" applyNumberFormat="1" applyFill="1" applyAlignment="1">
      <alignment horizontal="right" wrapText="1"/>
    </xf>
    <xf numFmtId="176" fontId="2" fillId="20" borderId="0" xfId="45" applyNumberFormat="1" applyFont="1" applyFill="1"/>
    <xf numFmtId="2" fontId="2" fillId="20" borderId="0" xfId="45" quotePrefix="1" applyNumberFormat="1" applyFont="1" applyFill="1"/>
    <xf numFmtId="0" fontId="73" fillId="20" borderId="0" xfId="0" quotePrefix="1" applyFont="1" applyFill="1" applyAlignment="1">
      <alignment horizontal="left"/>
    </xf>
    <xf numFmtId="165" fontId="2" fillId="20" borderId="0" xfId="0" applyNumberFormat="1" applyFont="1" applyFill="1"/>
    <xf numFmtId="0" fontId="2" fillId="20" borderId="0" xfId="48" applyFont="1" applyFill="1" applyAlignment="1">
      <alignment horizontal="right" wrapText="1"/>
    </xf>
    <xf numFmtId="2" fontId="2" fillId="20" borderId="0" xfId="48" applyNumberFormat="1" applyFont="1" applyFill="1" applyAlignment="1">
      <alignment horizontal="right" wrapText="1"/>
    </xf>
    <xf numFmtId="0" fontId="5" fillId="20" borderId="0" xfId="48" applyFont="1" applyFill="1" applyAlignment="1">
      <alignment horizontal="right" wrapText="1"/>
    </xf>
    <xf numFmtId="2" fontId="5" fillId="20" borderId="0" xfId="48" applyNumberFormat="1" applyFont="1" applyFill="1" applyAlignment="1">
      <alignment horizontal="right" wrapText="1"/>
    </xf>
    <xf numFmtId="0" fontId="5" fillId="21" borderId="0" xfId="129" applyFill="1" applyAlignment="1">
      <alignment horizontal="center"/>
    </xf>
    <xf numFmtId="0" fontId="56" fillId="20" borderId="0" xfId="43" applyFont="1" applyFill="1"/>
    <xf numFmtId="0" fontId="39" fillId="20" borderId="0" xfId="43" applyFont="1" applyFill="1" applyAlignment="1">
      <alignment horizontal="left" vertical="center" indent="1"/>
    </xf>
    <xf numFmtId="0" fontId="4" fillId="20" borderId="0" xfId="43" applyFont="1" applyFill="1"/>
    <xf numFmtId="0" fontId="47" fillId="20" borderId="0" xfId="44" applyFont="1" applyFill="1"/>
    <xf numFmtId="0" fontId="15" fillId="20" borderId="0" xfId="44" applyFont="1" applyFill="1"/>
    <xf numFmtId="0" fontId="2" fillId="20" borderId="0" xfId="43" applyFill="1"/>
    <xf numFmtId="0" fontId="54" fillId="20" borderId="0" xfId="98" applyFill="1" applyAlignment="1" applyProtection="1"/>
    <xf numFmtId="165" fontId="15" fillId="20" borderId="0" xfId="44" applyNumberFormat="1" applyFont="1" applyFill="1"/>
    <xf numFmtId="0" fontId="5" fillId="20" borderId="0" xfId="42" applyFont="1" applyFill="1" applyAlignment="1">
      <alignment horizontal="right" wrapText="1"/>
    </xf>
    <xf numFmtId="0" fontId="3" fillId="20" borderId="0" xfId="43" applyFont="1" applyFill="1"/>
    <xf numFmtId="0" fontId="39" fillId="20" borderId="0" xfId="45" applyFont="1" applyFill="1" applyAlignment="1">
      <alignment wrapText="1"/>
    </xf>
    <xf numFmtId="0" fontId="39" fillId="20" borderId="0" xfId="45" applyFont="1" applyFill="1" applyAlignment="1">
      <alignment horizontal="left" wrapText="1"/>
    </xf>
    <xf numFmtId="0" fontId="29" fillId="20" borderId="0" xfId="45" applyFill="1" applyAlignment="1">
      <alignment horizontal="left" wrapText="1"/>
    </xf>
    <xf numFmtId="0" fontId="42" fillId="20" borderId="0" xfId="45" applyFont="1" applyFill="1" applyAlignment="1">
      <alignment wrapText="1"/>
    </xf>
    <xf numFmtId="0" fontId="42" fillId="20" borderId="0" xfId="45" applyFont="1" applyFill="1" applyAlignment="1">
      <alignment horizontal="center" wrapText="1"/>
    </xf>
    <xf numFmtId="0" fontId="29" fillId="20" borderId="0" xfId="45" applyFill="1" applyAlignment="1">
      <alignment horizontal="center" wrapText="1"/>
    </xf>
    <xf numFmtId="0" fontId="48" fillId="20" borderId="0" xfId="45" applyFont="1" applyFill="1" applyAlignment="1">
      <alignment horizontal="center" wrapText="1"/>
    </xf>
    <xf numFmtId="0" fontId="44" fillId="20" borderId="0" xfId="45" applyFont="1" applyFill="1" applyAlignment="1">
      <alignment horizontal="left" wrapText="1"/>
    </xf>
    <xf numFmtId="0" fontId="44" fillId="20" borderId="0" xfId="45" applyFont="1" applyFill="1" applyAlignment="1">
      <alignment horizontal="right" wrapText="1"/>
    </xf>
    <xf numFmtId="0" fontId="43" fillId="20" borderId="0" xfId="45" applyFont="1" applyFill="1" applyAlignment="1">
      <alignment vertical="top" wrapText="1"/>
    </xf>
    <xf numFmtId="0" fontId="2" fillId="0" borderId="0" xfId="0" applyFont="1"/>
    <xf numFmtId="182" fontId="3" fillId="22" borderId="57" xfId="0" applyNumberFormat="1" applyFont="1" applyFill="1" applyBorder="1" applyAlignment="1">
      <alignment horizontal="left"/>
    </xf>
    <xf numFmtId="0" fontId="2" fillId="23" borderId="0" xfId="44" applyFill="1"/>
    <xf numFmtId="0" fontId="2" fillId="23" borderId="0" xfId="0" applyFont="1" applyFill="1"/>
    <xf numFmtId="0" fontId="2" fillId="22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2" fontId="2" fillId="0" borderId="0" xfId="99" applyNumberFormat="1" applyAlignment="1">
      <alignment horizontal="right"/>
    </xf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3" fillId="22" borderId="0" xfId="0" applyFont="1" applyFill="1"/>
    <xf numFmtId="0" fontId="5" fillId="23" borderId="0" xfId="0" applyFont="1" applyFill="1"/>
    <xf numFmtId="0" fontId="8" fillId="23" borderId="0" xfId="0" applyFont="1" applyFill="1"/>
    <xf numFmtId="2" fontId="2" fillId="23" borderId="0" xfId="99" applyNumberFormat="1" applyFill="1" applyAlignment="1">
      <alignment horizontal="right"/>
    </xf>
    <xf numFmtId="4" fontId="2" fillId="23" borderId="0" xfId="0" applyNumberFormat="1" applyFont="1" applyFill="1"/>
    <xf numFmtId="165" fontId="2" fillId="23" borderId="0" xfId="0" applyNumberFormat="1" applyFont="1" applyFill="1"/>
    <xf numFmtId="0" fontId="11" fillId="24" borderId="0" xfId="0" applyFont="1" applyFill="1" applyAlignment="1">
      <alignment wrapText="1"/>
    </xf>
    <xf numFmtId="0" fontId="11" fillId="24" borderId="0" xfId="0" applyFont="1" applyFill="1" applyAlignment="1">
      <alignment horizontal="center"/>
    </xf>
    <xf numFmtId="0" fontId="12" fillId="23" borderId="0" xfId="44" applyFont="1" applyFill="1"/>
    <xf numFmtId="8" fontId="12" fillId="23" borderId="0" xfId="44" applyNumberFormat="1" applyFont="1" applyFill="1"/>
    <xf numFmtId="2" fontId="12" fillId="23" borderId="0" xfId="0" applyNumberFormat="1" applyFont="1" applyFill="1"/>
    <xf numFmtId="175" fontId="2" fillId="0" borderId="0" xfId="0" applyNumberFormat="1" applyFont="1"/>
    <xf numFmtId="0" fontId="0" fillId="22" borderId="0" xfId="0" applyFill="1"/>
    <xf numFmtId="0" fontId="2" fillId="22" borderId="0" xfId="132" applyFill="1" applyAlignment="1">
      <alignment horizontal="center" wrapText="1"/>
    </xf>
    <xf numFmtId="0" fontId="3" fillId="25" borderId="0" xfId="0" applyFont="1" applyFill="1"/>
    <xf numFmtId="0" fontId="2" fillId="25" borderId="0" xfId="0" applyFont="1" applyFill="1"/>
    <xf numFmtId="0" fontId="74" fillId="0" borderId="0" xfId="0" applyFont="1"/>
    <xf numFmtId="0" fontId="75" fillId="22" borderId="37" xfId="0" applyFont="1" applyFill="1" applyBorder="1"/>
    <xf numFmtId="0" fontId="75" fillId="26" borderId="37" xfId="0" applyFont="1" applyFill="1" applyBorder="1"/>
    <xf numFmtId="0" fontId="75" fillId="27" borderId="37" xfId="0" applyFont="1" applyFill="1" applyBorder="1"/>
    <xf numFmtId="0" fontId="0" fillId="26" borderId="0" xfId="0" applyFill="1"/>
    <xf numFmtId="0" fontId="0" fillId="28" borderId="0" xfId="0" applyFill="1"/>
    <xf numFmtId="0" fontId="0" fillId="27" borderId="0" xfId="0" applyFill="1"/>
    <xf numFmtId="0" fontId="76" fillId="22" borderId="0" xfId="56" applyFont="1" applyFill="1"/>
    <xf numFmtId="0" fontId="76" fillId="0" borderId="0" xfId="56" applyFont="1"/>
    <xf numFmtId="0" fontId="51" fillId="20" borderId="0" xfId="0" applyFont="1" applyFill="1" applyAlignment="1">
      <alignment wrapText="1"/>
    </xf>
    <xf numFmtId="0" fontId="3" fillId="20" borderId="56" xfId="0" applyFont="1" applyFill="1" applyBorder="1" applyAlignment="1">
      <alignment horizontal="center"/>
    </xf>
    <xf numFmtId="0" fontId="0" fillId="20" borderId="0" xfId="0" applyFill="1" applyAlignment="1">
      <alignment wrapText="1"/>
    </xf>
    <xf numFmtId="0" fontId="2" fillId="20" borderId="0" xfId="45" applyFont="1" applyFill="1" applyAlignment="1">
      <alignment vertical="top" wrapText="1"/>
    </xf>
    <xf numFmtId="0" fontId="2" fillId="20" borderId="10" xfId="45" applyFont="1" applyFill="1" applyBorder="1"/>
    <xf numFmtId="0" fontId="2" fillId="20" borderId="11" xfId="45" applyFont="1" applyFill="1" applyBorder="1"/>
    <xf numFmtId="0" fontId="2" fillId="20" borderId="28" xfId="45" applyFont="1" applyFill="1" applyBorder="1"/>
    <xf numFmtId="0" fontId="67" fillId="20" borderId="59" xfId="0" applyFont="1" applyFill="1" applyBorder="1" applyAlignment="1">
      <alignment wrapText="1"/>
    </xf>
    <xf numFmtId="0" fontId="67" fillId="20" borderId="58" xfId="0" applyFont="1" applyFill="1" applyBorder="1" applyAlignment="1">
      <alignment horizontal="center" wrapText="1"/>
    </xf>
    <xf numFmtId="0" fontId="29" fillId="20" borderId="56" xfId="45" quotePrefix="1" applyFill="1" applyBorder="1"/>
    <xf numFmtId="0" fontId="29" fillId="20" borderId="56" xfId="45" applyFill="1" applyBorder="1" applyAlignment="1">
      <alignment horizontal="center"/>
    </xf>
    <xf numFmtId="0" fontId="29" fillId="20" borderId="56" xfId="45" applyFill="1" applyBorder="1" applyAlignment="1">
      <alignment horizontal="center" wrapText="1"/>
    </xf>
    <xf numFmtId="0" fontId="50" fillId="20" borderId="56" xfId="45" applyFont="1" applyFill="1" applyBorder="1" applyAlignment="1">
      <alignment horizontal="center"/>
    </xf>
    <xf numFmtId="0" fontId="2" fillId="20" borderId="0" xfId="43" applyFont="1" applyFill="1" applyAlignment="1">
      <alignment vertical="top" wrapText="1"/>
    </xf>
    <xf numFmtId="0" fontId="2" fillId="20" borderId="0" xfId="43" applyFont="1" applyFill="1"/>
    <xf numFmtId="0" fontId="2" fillId="20" borderId="0" xfId="43" applyFont="1" applyFill="1" applyAlignment="1">
      <alignment horizontal="right" vertical="top" wrapText="1"/>
    </xf>
    <xf numFmtId="0" fontId="2" fillId="20" borderId="0" xfId="43" applyFont="1" applyFill="1" applyAlignment="1">
      <alignment vertical="top"/>
    </xf>
    <xf numFmtId="0" fontId="2" fillId="20" borderId="0" xfId="43" applyFont="1" applyFill="1" applyAlignment="1">
      <alignment horizontal="right" vertical="top"/>
    </xf>
    <xf numFmtId="169" fontId="2" fillId="20" borderId="0" xfId="28" applyNumberFormat="1" applyFont="1" applyFill="1" applyBorder="1" applyAlignment="1">
      <alignment vertical="top" wrapText="1"/>
    </xf>
    <xf numFmtId="0" fontId="54" fillId="20" borderId="0" xfId="98" applyFont="1" applyFill="1" applyBorder="1" applyAlignment="1" applyProtection="1"/>
    <xf numFmtId="0" fontId="2" fillId="20" borderId="0" xfId="45" applyFont="1" applyFill="1" applyAlignment="1">
      <alignment horizontal="left" wrapText="1"/>
    </xf>
    <xf numFmtId="0" fontId="51" fillId="20" borderId="0" xfId="0" applyFont="1" applyFill="1" applyAlignment="1">
      <alignment wrapText="1"/>
    </xf>
    <xf numFmtId="0" fontId="67" fillId="20" borderId="0" xfId="0" applyFont="1" applyFill="1" applyAlignment="1">
      <alignment horizontal="left" vertical="center" wrapText="1"/>
    </xf>
    <xf numFmtId="0" fontId="51" fillId="20" borderId="0" xfId="0" applyFont="1" applyFill="1" applyAlignment="1">
      <alignment horizontal="left" vertical="center" wrapText="1"/>
    </xf>
    <xf numFmtId="0" fontId="51" fillId="20" borderId="49" xfId="0" applyFont="1" applyFill="1" applyBorder="1" applyAlignment="1">
      <alignment wrapText="1"/>
    </xf>
    <xf numFmtId="0" fontId="3" fillId="20" borderId="56" xfId="0" applyFont="1" applyFill="1" applyBorder="1" applyAlignment="1">
      <alignment horizontal="center"/>
    </xf>
    <xf numFmtId="0" fontId="0" fillId="20" borderId="0" xfId="0" applyFill="1" applyAlignment="1">
      <alignment wrapText="1"/>
    </xf>
    <xf numFmtId="0" fontId="63" fillId="20" borderId="0" xfId="0" applyFont="1" applyFill="1" applyAlignment="1">
      <alignment horizontal="left" vertical="center" wrapText="1"/>
    </xf>
    <xf numFmtId="0" fontId="0" fillId="20" borderId="0" xfId="0" applyFill="1" applyAlignment="1">
      <alignment horizontal="left" vertical="center" wrapText="1"/>
    </xf>
    <xf numFmtId="0" fontId="2" fillId="20" borderId="0" xfId="0" applyFont="1" applyFill="1" applyAlignment="1">
      <alignment wrapText="1"/>
    </xf>
    <xf numFmtId="0" fontId="2" fillId="20" borderId="19" xfId="45" applyFont="1" applyFill="1" applyBorder="1" applyAlignment="1">
      <alignment horizontal="center" wrapText="1"/>
    </xf>
    <xf numFmtId="0" fontId="2" fillId="20" borderId="21" xfId="45" applyFont="1" applyFill="1" applyBorder="1" applyAlignment="1">
      <alignment horizontal="center"/>
    </xf>
    <xf numFmtId="0" fontId="2" fillId="20" borderId="27" xfId="45" applyFont="1" applyFill="1" applyBorder="1" applyAlignment="1">
      <alignment wrapText="1"/>
    </xf>
    <xf numFmtId="0" fontId="2" fillId="20" borderId="48" xfId="45" applyFont="1" applyFill="1" applyBorder="1" applyAlignment="1">
      <alignment wrapText="1"/>
    </xf>
    <xf numFmtId="0" fontId="2" fillId="20" borderId="46" xfId="45" applyFont="1" applyFill="1" applyBorder="1" applyAlignment="1">
      <alignment wrapText="1"/>
    </xf>
    <xf numFmtId="0" fontId="45" fillId="20" borderId="38" xfId="45" applyFont="1" applyFill="1" applyBorder="1" applyAlignment="1">
      <alignment vertical="top" wrapText="1"/>
    </xf>
    <xf numFmtId="0" fontId="45" fillId="20" borderId="47" xfId="45" applyFont="1" applyFill="1" applyBorder="1" applyAlignment="1">
      <alignment vertical="top" wrapText="1"/>
    </xf>
    <xf numFmtId="0" fontId="2" fillId="20" borderId="39" xfId="45" applyFont="1" applyFill="1" applyBorder="1" applyAlignment="1">
      <alignment vertical="top" wrapText="1"/>
    </xf>
    <xf numFmtId="0" fontId="2" fillId="20" borderId="0" xfId="45" applyFont="1" applyFill="1" applyAlignment="1">
      <alignment vertical="top" wrapText="1"/>
    </xf>
    <xf numFmtId="0" fontId="2" fillId="20" borderId="47" xfId="45" applyFont="1" applyFill="1" applyBorder="1" applyAlignment="1">
      <alignment vertical="top" wrapText="1"/>
    </xf>
    <xf numFmtId="0" fontId="2" fillId="20" borderId="41" xfId="45" applyFont="1" applyFill="1" applyBorder="1" applyAlignment="1">
      <alignment vertical="top" wrapText="1"/>
    </xf>
    <xf numFmtId="0" fontId="2" fillId="20" borderId="45" xfId="45" applyFont="1" applyFill="1" applyBorder="1" applyAlignment="1">
      <alignment vertical="top" wrapText="1"/>
    </xf>
    <xf numFmtId="0" fontId="3" fillId="20" borderId="27" xfId="45" applyFont="1" applyFill="1" applyBorder="1" applyAlignment="1">
      <alignment horizontal="center" vertical="center" wrapText="1"/>
    </xf>
    <xf numFmtId="0" fontId="2" fillId="20" borderId="48" xfId="45" applyFont="1" applyFill="1" applyBorder="1" applyAlignment="1">
      <alignment horizontal="center" vertical="center" wrapText="1"/>
    </xf>
    <xf numFmtId="0" fontId="2" fillId="20" borderId="46" xfId="45" applyFont="1" applyFill="1" applyBorder="1" applyAlignment="1">
      <alignment horizontal="center" vertical="center" wrapText="1"/>
    </xf>
    <xf numFmtId="0" fontId="2" fillId="20" borderId="38" xfId="45" applyFont="1" applyFill="1" applyBorder="1" applyAlignment="1">
      <alignment wrapText="1"/>
    </xf>
    <xf numFmtId="0" fontId="2" fillId="20" borderId="47" xfId="45" applyFont="1" applyFill="1" applyBorder="1" applyAlignment="1">
      <alignment wrapText="1"/>
    </xf>
    <xf numFmtId="0" fontId="2" fillId="20" borderId="41" xfId="45" applyFont="1" applyFill="1" applyBorder="1" applyAlignment="1">
      <alignment wrapText="1"/>
    </xf>
    <xf numFmtId="0" fontId="2" fillId="20" borderId="24" xfId="45" applyFont="1" applyFill="1" applyBorder="1" applyAlignment="1">
      <alignment wrapText="1"/>
    </xf>
    <xf numFmtId="0" fontId="2" fillId="20" borderId="44" xfId="45" applyFont="1" applyFill="1" applyBorder="1" applyAlignment="1">
      <alignment wrapText="1"/>
    </xf>
    <xf numFmtId="0" fontId="2" fillId="20" borderId="40" xfId="45" applyFont="1" applyFill="1" applyBorder="1" applyAlignment="1">
      <alignment wrapText="1"/>
    </xf>
    <xf numFmtId="0" fontId="3" fillId="20" borderId="27" xfId="45" applyFont="1" applyFill="1" applyBorder="1" applyAlignment="1">
      <alignment horizontal="center" wrapText="1"/>
    </xf>
    <xf numFmtId="0" fontId="3" fillId="20" borderId="46" xfId="45" applyFont="1" applyFill="1" applyBorder="1" applyAlignment="1">
      <alignment horizontal="center" wrapText="1"/>
    </xf>
    <xf numFmtId="0" fontId="9" fillId="20" borderId="0" xfId="45" applyFont="1" applyFill="1" applyAlignment="1">
      <alignment horizontal="center"/>
    </xf>
    <xf numFmtId="0" fontId="2" fillId="20" borderId="49" xfId="0" applyFont="1" applyFill="1" applyBorder="1" applyAlignment="1">
      <alignment wrapText="1"/>
    </xf>
    <xf numFmtId="0" fontId="13" fillId="20" borderId="0" xfId="45" applyFont="1" applyFill="1" applyAlignment="1">
      <alignment vertical="top" wrapText="1"/>
    </xf>
    <xf numFmtId="0" fontId="13" fillId="20" borderId="45" xfId="45" applyFont="1" applyFill="1" applyBorder="1" applyAlignment="1">
      <alignment vertical="top" wrapText="1"/>
    </xf>
    <xf numFmtId="0" fontId="3" fillId="20" borderId="26" xfId="45" applyFont="1" applyFill="1" applyBorder="1" applyAlignment="1">
      <alignment horizontal="center" wrapText="1"/>
    </xf>
    <xf numFmtId="0" fontId="3" fillId="20" borderId="23" xfId="45" applyFont="1" applyFill="1" applyBorder="1" applyAlignment="1">
      <alignment horizontal="center" wrapText="1"/>
    </xf>
    <xf numFmtId="0" fontId="3" fillId="20" borderId="38" xfId="45" applyFont="1" applyFill="1" applyBorder="1" applyAlignment="1">
      <alignment horizontal="left" wrapText="1"/>
    </xf>
    <xf numFmtId="0" fontId="3" fillId="20" borderId="47" xfId="45" applyFont="1" applyFill="1" applyBorder="1" applyAlignment="1">
      <alignment horizontal="left" wrapText="1"/>
    </xf>
    <xf numFmtId="0" fontId="3" fillId="20" borderId="41" xfId="45" applyFont="1" applyFill="1" applyBorder="1" applyAlignment="1">
      <alignment horizontal="left" wrapText="1"/>
    </xf>
    <xf numFmtId="0" fontId="2" fillId="20" borderId="10" xfId="45" applyFont="1" applyFill="1" applyBorder="1" applyAlignment="1"/>
    <xf numFmtId="0" fontId="2" fillId="20" borderId="11" xfId="45" applyFont="1" applyFill="1" applyBorder="1" applyAlignment="1"/>
    <xf numFmtId="0" fontId="45" fillId="20" borderId="39" xfId="45" applyFont="1" applyFill="1" applyBorder="1" applyAlignment="1">
      <alignment vertical="top" wrapText="1"/>
    </xf>
    <xf numFmtId="0" fontId="45" fillId="20" borderId="0" xfId="45" applyFont="1" applyFill="1" applyAlignment="1">
      <alignment vertical="top" wrapText="1"/>
    </xf>
    <xf numFmtId="0" fontId="45" fillId="20" borderId="24" xfId="45" applyFont="1" applyFill="1" applyBorder="1" applyAlignment="1">
      <alignment vertical="top" wrapText="1"/>
    </xf>
    <xf numFmtId="0" fontId="45" fillId="20" borderId="44" xfId="45" applyFont="1" applyFill="1" applyBorder="1" applyAlignment="1">
      <alignment vertical="top" wrapText="1"/>
    </xf>
    <xf numFmtId="0" fontId="3" fillId="20" borderId="48" xfId="45" applyFont="1" applyFill="1" applyBorder="1" applyAlignment="1">
      <alignment horizontal="center" wrapText="1"/>
    </xf>
    <xf numFmtId="0" fontId="2" fillId="20" borderId="24" xfId="45" applyFont="1" applyFill="1" applyBorder="1" applyAlignment="1">
      <alignment horizontal="left" wrapText="1"/>
    </xf>
    <xf numFmtId="0" fontId="2" fillId="20" borderId="44" xfId="45" applyFont="1" applyFill="1" applyBorder="1" applyAlignment="1">
      <alignment horizontal="left" wrapText="1"/>
    </xf>
    <xf numFmtId="0" fontId="2" fillId="20" borderId="40" xfId="45" applyFont="1" applyFill="1" applyBorder="1" applyAlignment="1">
      <alignment horizontal="left" wrapText="1"/>
    </xf>
    <xf numFmtId="0" fontId="2" fillId="20" borderId="44" xfId="45" applyFont="1" applyFill="1" applyBorder="1" applyAlignment="1">
      <alignment vertical="top" wrapText="1"/>
    </xf>
    <xf numFmtId="0" fontId="2" fillId="20" borderId="40" xfId="45" applyFont="1" applyFill="1" applyBorder="1" applyAlignment="1">
      <alignment vertical="top" wrapText="1"/>
    </xf>
    <xf numFmtId="0" fontId="3" fillId="20" borderId="28" xfId="45" applyFont="1" applyFill="1" applyBorder="1" applyAlignment="1">
      <alignment horizontal="center" vertical="center" wrapText="1"/>
    </xf>
    <xf numFmtId="0" fontId="2" fillId="20" borderId="28" xfId="45" applyFont="1" applyFill="1" applyBorder="1" applyAlignment="1">
      <alignment horizontal="center" vertical="center" wrapText="1"/>
    </xf>
    <xf numFmtId="0" fontId="2" fillId="20" borderId="28" xfId="45" applyFont="1" applyFill="1" applyBorder="1" applyAlignment="1"/>
    <xf numFmtId="0" fontId="40" fillId="20" borderId="0" xfId="45" applyFont="1" applyFill="1" applyAlignment="1">
      <alignment horizontal="center"/>
    </xf>
  </cellXfs>
  <cellStyles count="133">
    <cellStyle name="20% - Accent1" xfId="1" builtinId="30" customBuiltin="1"/>
    <cellStyle name="20% - Accent1 2" xfId="57" xr:uid="{00000000-0005-0000-0000-000001000000}"/>
    <cellStyle name="20% - Accent2" xfId="2" builtinId="34" customBuiltin="1"/>
    <cellStyle name="20% - Accent2 2" xfId="58" xr:uid="{00000000-0005-0000-0000-000003000000}"/>
    <cellStyle name="20% - Accent3" xfId="3" builtinId="38" customBuiltin="1"/>
    <cellStyle name="20% - Accent3 2" xfId="59" xr:uid="{00000000-0005-0000-0000-000005000000}"/>
    <cellStyle name="20% - Accent4" xfId="4" builtinId="42" customBuiltin="1"/>
    <cellStyle name="20% - Accent4 2" xfId="60" xr:uid="{00000000-0005-0000-0000-000007000000}"/>
    <cellStyle name="20% - Accent5" xfId="5" builtinId="46" customBuiltin="1"/>
    <cellStyle name="20% - Accent5 2" xfId="61" xr:uid="{00000000-0005-0000-0000-000009000000}"/>
    <cellStyle name="20% - Accent6" xfId="6" builtinId="50" customBuiltin="1"/>
    <cellStyle name="20% - Accent6 2" xfId="62" xr:uid="{00000000-0005-0000-0000-00000B000000}"/>
    <cellStyle name="40% - Accent1" xfId="7" builtinId="31" customBuiltin="1"/>
    <cellStyle name="40% - Accent1 2" xfId="63" xr:uid="{00000000-0005-0000-0000-00000D000000}"/>
    <cellStyle name="40% - Accent2" xfId="8" builtinId="35" customBuiltin="1"/>
    <cellStyle name="40% - Accent2 2" xfId="64" xr:uid="{00000000-0005-0000-0000-00000F000000}"/>
    <cellStyle name="40% - Accent3" xfId="9" builtinId="39" customBuiltin="1"/>
    <cellStyle name="40% - Accent3 2" xfId="65" xr:uid="{00000000-0005-0000-0000-000011000000}"/>
    <cellStyle name="40% - Accent4" xfId="10" builtinId="43" customBuiltin="1"/>
    <cellStyle name="40% - Accent4 2" xfId="66" xr:uid="{00000000-0005-0000-0000-000013000000}"/>
    <cellStyle name="40% - Accent5" xfId="11" builtinId="47" customBuiltin="1"/>
    <cellStyle name="40% - Accent5 2" xfId="67" xr:uid="{00000000-0005-0000-0000-000015000000}"/>
    <cellStyle name="40% - Accent6" xfId="12" builtinId="51" customBuiltin="1"/>
    <cellStyle name="40% - Accent6 2" xfId="68" xr:uid="{00000000-0005-0000-0000-000017000000}"/>
    <cellStyle name="60% - Accent1" xfId="13" builtinId="32" customBuiltin="1"/>
    <cellStyle name="60% - Accent1 2" xfId="69" xr:uid="{00000000-0005-0000-0000-000019000000}"/>
    <cellStyle name="60% - Accent2" xfId="14" builtinId="36" customBuiltin="1"/>
    <cellStyle name="60% - Accent2 2" xfId="70" xr:uid="{00000000-0005-0000-0000-00001B000000}"/>
    <cellStyle name="60% - Accent3" xfId="15" builtinId="40" customBuiltin="1"/>
    <cellStyle name="60% - Accent3 2" xfId="71" xr:uid="{00000000-0005-0000-0000-00001D000000}"/>
    <cellStyle name="60% - Accent4" xfId="16" builtinId="44" customBuiltin="1"/>
    <cellStyle name="60% - Accent4 2" xfId="72" xr:uid="{00000000-0005-0000-0000-00001F000000}"/>
    <cellStyle name="60% - Accent5" xfId="17" builtinId="48" customBuiltin="1"/>
    <cellStyle name="60% - Accent5 2" xfId="73" xr:uid="{00000000-0005-0000-0000-000021000000}"/>
    <cellStyle name="60% - Accent6" xfId="18" builtinId="52" customBuiltin="1"/>
    <cellStyle name="60% - Accent6 2" xfId="74" xr:uid="{00000000-0005-0000-0000-000023000000}"/>
    <cellStyle name="Accent1" xfId="19" builtinId="29" customBuiltin="1"/>
    <cellStyle name="Accent1 2" xfId="75" xr:uid="{00000000-0005-0000-0000-000025000000}"/>
    <cellStyle name="Accent2" xfId="20" builtinId="33" customBuiltin="1"/>
    <cellStyle name="Accent2 2" xfId="76" xr:uid="{00000000-0005-0000-0000-000027000000}"/>
    <cellStyle name="Accent3" xfId="21" builtinId="37" customBuiltin="1"/>
    <cellStyle name="Accent3 2" xfId="77" xr:uid="{00000000-0005-0000-0000-000029000000}"/>
    <cellStyle name="Accent4" xfId="22" builtinId="41" customBuiltin="1"/>
    <cellStyle name="Accent4 2" xfId="78" xr:uid="{00000000-0005-0000-0000-00002B000000}"/>
    <cellStyle name="Accent5" xfId="23" builtinId="45" customBuiltin="1"/>
    <cellStyle name="Accent5 2" xfId="79" xr:uid="{00000000-0005-0000-0000-00002D000000}"/>
    <cellStyle name="Accent6" xfId="24" builtinId="49" customBuiltin="1"/>
    <cellStyle name="Accent6 2" xfId="80" xr:uid="{00000000-0005-0000-0000-00002F000000}"/>
    <cellStyle name="Bad" xfId="25" builtinId="27" customBuiltin="1"/>
    <cellStyle name="Bad 2" xfId="81" xr:uid="{00000000-0005-0000-0000-000031000000}"/>
    <cellStyle name="Calculation" xfId="26" builtinId="22" customBuiltin="1"/>
    <cellStyle name="Calculation 2" xfId="82" xr:uid="{00000000-0005-0000-0000-000033000000}"/>
    <cellStyle name="Check Cell" xfId="27" builtinId="23" customBuiltin="1"/>
    <cellStyle name="Check Cell 2" xfId="83" xr:uid="{00000000-0005-0000-0000-000035000000}"/>
    <cellStyle name="Comma 2" xfId="101" xr:uid="{00000000-0005-0000-0000-000036000000}"/>
    <cellStyle name="Comma 2 4" xfId="102" xr:uid="{00000000-0005-0000-0000-000037000000}"/>
    <cellStyle name="Comma 3" xfId="103" xr:uid="{00000000-0005-0000-0000-000038000000}"/>
    <cellStyle name="Comma 4" xfId="104" xr:uid="{00000000-0005-0000-0000-000039000000}"/>
    <cellStyle name="Comma 4 2" xfId="105" xr:uid="{00000000-0005-0000-0000-00003A000000}"/>
    <cellStyle name="Comma_EPAUS9r_08_SRC_Coal_v0.1a" xfId="28" xr:uid="{00000000-0005-0000-0000-00003B000000}"/>
    <cellStyle name="Comma_EPAUS9r_10_SRC_Coal" xfId="29" xr:uid="{00000000-0005-0000-0000-00003C000000}"/>
    <cellStyle name="Currency 2" xfId="106" xr:uid="{00000000-0005-0000-0000-00003D000000}"/>
    <cellStyle name="Currency 3" xfId="107" xr:uid="{00000000-0005-0000-0000-00003E000000}"/>
    <cellStyle name="Currency_EPAUS9r_10_SRC_Coal" xfId="30" xr:uid="{00000000-0005-0000-0000-00003F000000}"/>
    <cellStyle name="Date" xfId="108" xr:uid="{00000000-0005-0000-0000-000040000000}"/>
    <cellStyle name="Explanatory Text" xfId="31" builtinId="53" customBuiltin="1"/>
    <cellStyle name="Explanatory Text 2" xfId="84" xr:uid="{00000000-0005-0000-0000-000042000000}"/>
    <cellStyle name="Fixed" xfId="109" xr:uid="{00000000-0005-0000-0000-000043000000}"/>
    <cellStyle name="Good" xfId="32" builtinId="26" customBuiltin="1"/>
    <cellStyle name="Good 2" xfId="85" xr:uid="{00000000-0005-0000-0000-000045000000}"/>
    <cellStyle name="header-top" xfId="110" xr:uid="{00000000-0005-0000-0000-000046000000}"/>
    <cellStyle name="Heading 1" xfId="33" builtinId="16" customBuiltin="1"/>
    <cellStyle name="Heading 1 2" xfId="86" xr:uid="{00000000-0005-0000-0000-000048000000}"/>
    <cellStyle name="Heading 2" xfId="34" builtinId="17" customBuiltin="1"/>
    <cellStyle name="Heading 2 2" xfId="87" xr:uid="{00000000-0005-0000-0000-00004A000000}"/>
    <cellStyle name="Heading 3" xfId="35" builtinId="18" customBuiltin="1"/>
    <cellStyle name="Heading 3 2" xfId="88" xr:uid="{00000000-0005-0000-0000-00004C000000}"/>
    <cellStyle name="Heading 4" xfId="36" builtinId="19" customBuiltin="1"/>
    <cellStyle name="Heading 4 2" xfId="89" xr:uid="{00000000-0005-0000-0000-00004E000000}"/>
    <cellStyle name="Heading1" xfId="111" xr:uid="{00000000-0005-0000-0000-00004F000000}"/>
    <cellStyle name="Heading2" xfId="112" xr:uid="{00000000-0005-0000-0000-000050000000}"/>
    <cellStyle name="Hyperlink" xfId="98" builtinId="8"/>
    <cellStyle name="Hyperlink_EPAUS9r_10_SRC_Coal" xfId="37" xr:uid="{00000000-0005-0000-0000-000052000000}"/>
    <cellStyle name="Input" xfId="38" builtinId="20" customBuiltin="1"/>
    <cellStyle name="Input 2" xfId="90" xr:uid="{00000000-0005-0000-0000-000054000000}"/>
    <cellStyle name="Last Header Row" xfId="113" xr:uid="{00000000-0005-0000-0000-000055000000}"/>
    <cellStyle name="Linked Cell" xfId="39" builtinId="24" customBuiltin="1"/>
    <cellStyle name="Linked Cell 2" xfId="91" xr:uid="{00000000-0005-0000-0000-000057000000}"/>
    <cellStyle name="Neutral" xfId="40" builtinId="28" customBuiltin="1"/>
    <cellStyle name="Neutral 2" xfId="92" xr:uid="{00000000-0005-0000-0000-000059000000}"/>
    <cellStyle name="Normal" xfId="0" builtinId="0"/>
    <cellStyle name="Normal 10" xfId="132" xr:uid="{02EAFA86-6886-4FA6-8177-1AF0C26083D7}"/>
    <cellStyle name="Normal 2" xfId="56" xr:uid="{00000000-0005-0000-0000-00005B000000}"/>
    <cellStyle name="Normal 3" xfId="55" xr:uid="{00000000-0005-0000-0000-00005C000000}"/>
    <cellStyle name="Normal 4" xfId="114" xr:uid="{00000000-0005-0000-0000-00005D000000}"/>
    <cellStyle name="normal cell" xfId="115" xr:uid="{00000000-0005-0000-0000-00005E000000}"/>
    <cellStyle name="Normal_AEO2010 escalator" xfId="129" xr:uid="{00000000-0005-0000-0000-00005F000000}"/>
    <cellStyle name="Normal_AEO2012 Reference Case" xfId="128" xr:uid="{00000000-0005-0000-0000-000060000000}"/>
    <cellStyle name="Normal_AEO2013 Early Release" xfId="127" xr:uid="{00000000-0005-0000-0000-000061000000}"/>
    <cellStyle name="Normal_CMM_SUPPLY_data" xfId="41" xr:uid="{00000000-0005-0000-0000-000062000000}"/>
    <cellStyle name="Normal_Conv" xfId="42" xr:uid="{00000000-0005-0000-0000-000064000000}"/>
    <cellStyle name="Normal_conversion factors" xfId="43" xr:uid="{00000000-0005-0000-0000-000065000000}"/>
    <cellStyle name="Normal_EPAUS9r_08_SRC_Coal_v0.1a" xfId="44" xr:uid="{00000000-0005-0000-0000-000066000000}"/>
    <cellStyle name="Normal_EPAUS9r_10_SRC_Coal" xfId="45" xr:uid="{00000000-0005-0000-0000-000067000000}"/>
    <cellStyle name="Normal_Sheet1" xfId="46" xr:uid="{00000000-0005-0000-0000-00006A000000}"/>
    <cellStyle name="Normal_Sheet2_1" xfId="47" xr:uid="{00000000-0005-0000-0000-00006D000000}"/>
    <cellStyle name="Normal_Sheet4" xfId="48" xr:uid="{00000000-0005-0000-0000-00006F000000}"/>
    <cellStyle name="Normal_Tech_RC 2" xfId="99" xr:uid="{00000000-0005-0000-0000-000070000000}"/>
    <cellStyle name="Normal_Trasnportation Multipliers" xfId="131" xr:uid="{00000000-0005-0000-0000-000071000000}"/>
    <cellStyle name="Normal_Trasnportation Multipliers_1" xfId="130" xr:uid="{00000000-0005-0000-0000-000072000000}"/>
    <cellStyle name="Note" xfId="49" builtinId="10" customBuiltin="1"/>
    <cellStyle name="Note 2" xfId="93" xr:uid="{00000000-0005-0000-0000-000074000000}"/>
    <cellStyle name="Output" xfId="50" builtinId="21" customBuiltin="1"/>
    <cellStyle name="Output 2" xfId="94" xr:uid="{00000000-0005-0000-0000-000076000000}"/>
    <cellStyle name="Percent 2" xfId="100" xr:uid="{00000000-0005-0000-0000-000077000000}"/>
    <cellStyle name="Percent 3" xfId="116" xr:uid="{00000000-0005-0000-0000-000078000000}"/>
    <cellStyle name="Percent 3 2" xfId="117" xr:uid="{00000000-0005-0000-0000-000079000000}"/>
    <cellStyle name="Percent 4 2" xfId="118" xr:uid="{00000000-0005-0000-0000-00007A000000}"/>
    <cellStyle name="Percent_Sheet2" xfId="51" xr:uid="{00000000-0005-0000-0000-00007B000000}"/>
    <cellStyle name="Style 29" xfId="119" xr:uid="{00000000-0005-0000-0000-00007C000000}"/>
    <cellStyle name="Style 29 2" xfId="120" xr:uid="{00000000-0005-0000-0000-00007D000000}"/>
    <cellStyle name="Style 29 3" xfId="121" xr:uid="{00000000-0005-0000-0000-00007E000000}"/>
    <cellStyle name="Style 29 3 2" xfId="122" xr:uid="{00000000-0005-0000-0000-00007F000000}"/>
    <cellStyle name="Style 35" xfId="123" xr:uid="{00000000-0005-0000-0000-000080000000}"/>
    <cellStyle name="Style 35 2" xfId="124" xr:uid="{00000000-0005-0000-0000-000081000000}"/>
    <cellStyle name="Style 36" xfId="125" xr:uid="{00000000-0005-0000-0000-000082000000}"/>
    <cellStyle name="Style 36 2" xfId="126" xr:uid="{00000000-0005-0000-0000-000083000000}"/>
    <cellStyle name="Title" xfId="52" builtinId="15" customBuiltin="1"/>
    <cellStyle name="Title 2" xfId="95" xr:uid="{00000000-0005-0000-0000-000085000000}"/>
    <cellStyle name="Total" xfId="53" builtinId="25" customBuiltin="1"/>
    <cellStyle name="Total 2" xfId="96" xr:uid="{00000000-0005-0000-0000-000087000000}"/>
    <cellStyle name="Warning Text" xfId="54" builtinId="11" customBuiltin="1"/>
    <cellStyle name="Warning Text 2" xfId="97" xr:uid="{00000000-0005-0000-0000-000089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99FF"/>
      <color rgb="FF0000CC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5" Type="http://schemas.openxmlformats.org/officeDocument/2006/relationships/image" Target="../media/image9.emf"/><Relationship Id="rId4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Relationship Id="rId4" Type="http://schemas.openxmlformats.org/officeDocument/2006/relationships/image" Target="../media/image1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21.emf"/><Relationship Id="rId1" Type="http://schemas.openxmlformats.org/officeDocument/2006/relationships/image" Target="../media/image22.emf"/><Relationship Id="rId5" Type="http://schemas.openxmlformats.org/officeDocument/2006/relationships/image" Target="../media/image18.emf"/><Relationship Id="rId4" Type="http://schemas.openxmlformats.org/officeDocument/2006/relationships/image" Target="../media/image1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7" Type="http://schemas.openxmlformats.org/officeDocument/2006/relationships/image" Target="../media/image23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Relationship Id="rId6" Type="http://schemas.openxmlformats.org/officeDocument/2006/relationships/image" Target="../media/image30.emf"/><Relationship Id="rId5" Type="http://schemas.openxmlformats.org/officeDocument/2006/relationships/image" Target="../media/image31.emf"/><Relationship Id="rId4" Type="http://schemas.openxmlformats.org/officeDocument/2006/relationships/image" Target="../media/image32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0.emf"/><Relationship Id="rId7" Type="http://schemas.openxmlformats.org/officeDocument/2006/relationships/image" Target="../media/image36.emf"/><Relationship Id="rId2" Type="http://schemas.openxmlformats.org/officeDocument/2006/relationships/image" Target="../media/image41.emf"/><Relationship Id="rId1" Type="http://schemas.openxmlformats.org/officeDocument/2006/relationships/image" Target="../media/image42.emf"/><Relationship Id="rId6" Type="http://schemas.openxmlformats.org/officeDocument/2006/relationships/image" Target="../media/image37.emf"/><Relationship Id="rId5" Type="http://schemas.openxmlformats.org/officeDocument/2006/relationships/image" Target="../media/image38.emf"/><Relationship Id="rId4" Type="http://schemas.openxmlformats.org/officeDocument/2006/relationships/image" Target="../media/image39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49.emf"/><Relationship Id="rId2" Type="http://schemas.openxmlformats.org/officeDocument/2006/relationships/image" Target="../media/image50.emf"/><Relationship Id="rId1" Type="http://schemas.openxmlformats.org/officeDocument/2006/relationships/image" Target="../media/image51.emf"/><Relationship Id="rId4" Type="http://schemas.openxmlformats.org/officeDocument/2006/relationships/image" Target="../media/image48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5.emf"/><Relationship Id="rId1" Type="http://schemas.openxmlformats.org/officeDocument/2006/relationships/image" Target="../media/image56.emf"/><Relationship Id="rId5" Type="http://schemas.openxmlformats.org/officeDocument/2006/relationships/image" Target="../media/image52.emf"/><Relationship Id="rId4" Type="http://schemas.openxmlformats.org/officeDocument/2006/relationships/image" Target="../media/image53.emf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7" Type="http://schemas.openxmlformats.org/officeDocument/2006/relationships/image" Target="../media/image57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6" Type="http://schemas.openxmlformats.org/officeDocument/2006/relationships/image" Target="../media/image58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5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5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7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7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7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8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8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8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8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8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9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9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9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9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9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9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9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48</xdr:row>
      <xdr:rowOff>95250</xdr:rowOff>
    </xdr:from>
    <xdr:ext cx="7623625" cy="31803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23825" y="8096250"/>
          <a:ext cx="7623625" cy="3180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NA = Not applicable.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Source: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Annual Energy Outlook 2014 Early Release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(December 2013), National Energy Modeling System run ref2014.d102413a. </a:t>
          </a:r>
        </a:p>
      </xdr:txBody>
    </xdr:sp>
    <xdr:clientData/>
  </xdr:oneCellAnchor>
  <xdr:oneCellAnchor>
    <xdr:from>
      <xdr:col>0</xdr:col>
      <xdr:colOff>123825</xdr:colOff>
      <xdr:row>48</xdr:row>
      <xdr:rowOff>57150</xdr:rowOff>
    </xdr:from>
    <xdr:ext cx="7623625" cy="318036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123825" y="7896225"/>
          <a:ext cx="7623625" cy="3180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NA = Not applicable.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Source: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Annual Energy Outlook 2014 Early Release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(December 2013), National Energy Modeling System run ref2014.d102413a.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364</xdr:row>
      <xdr:rowOff>104775</xdr:rowOff>
    </xdr:from>
    <xdr:ext cx="6301993" cy="346948"/>
    <xdr:sp macro="" textlink="">
      <xdr:nvSpPr>
        <xdr:cNvPr id="61441" name="Text Box 1">
          <a:extLst>
            <a:ext uri="{FF2B5EF4-FFF2-40B4-BE49-F238E27FC236}">
              <a16:creationId xmlns:a16="http://schemas.microsoft.com/office/drawing/2014/main" id="{00000000-0008-0000-1600-000001F00000}"/>
            </a:ext>
          </a:extLst>
        </xdr:cNvPr>
        <xdr:cNvSpPr txBox="1">
          <a:spLocks noChangeArrowheads="1"/>
        </xdr:cNvSpPr>
      </xdr:nvSpPr>
      <xdr:spPr bwMode="auto">
        <a:xfrm>
          <a:off x="161925" y="59455050"/>
          <a:ext cx="6625660" cy="3180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Sources: 2006: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Energy Information Administration (EIA), International Energy Annual 2006 (June-December 2008),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web site www.eia.doe.gov/iea;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Projections: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EIA, World Energy Projection System (2009).  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D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D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D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D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D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1D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7585" name="cmdTechNameAndDesc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E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7586" name="cmdCommIN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E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7587" name="cmdCommOU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E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67588" name="cmdAddParameter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E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7589" name="cmdAddParamQualifier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1E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7590" name="cmdCheckTechDataSheet" hidden="1">
              <a:extLst>
                <a:ext uri="{63B3BB69-23CF-44E3-9099-C40C66FF867C}">
                  <a14:compatExt spid="_x0000_s67590"/>
                </a:ext>
                <a:ext uri="{FF2B5EF4-FFF2-40B4-BE49-F238E27FC236}">
                  <a16:creationId xmlns:a16="http://schemas.microsoft.com/office/drawing/2014/main" id="{00000000-0008-0000-1E00-000006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67591" name="cmdRefreshUnits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00000000-0008-0000-1E00-000007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6561" name="cmdAddParameter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F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6562" name="cmdCommNameAndDesc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F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6563" name="cmdAddParamQualifier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F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6564" name="cmdCheckCommDataShee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F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F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5537" name="cmdConstraintSets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20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5538" name="cmdCheckConstraintsSheet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20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5539" name="cmdConstraintUnit" hidden="1">
              <a:extLst>
                <a:ext uri="{63B3BB69-23CF-44E3-9099-C40C66FF867C}">
                  <a14:compatExt spid="_x0000_s65539"/>
                </a:ext>
                <a:ext uri="{FF2B5EF4-FFF2-40B4-BE49-F238E27FC236}">
                  <a16:creationId xmlns:a16="http://schemas.microsoft.com/office/drawing/2014/main" id="{00000000-0008-0000-2000-00000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65540" name="cmdRefreshUnits" hidden="1">
              <a:extLst>
                <a:ext uri="{63B3BB69-23CF-44E3-9099-C40C66FF867C}">
                  <a14:compatExt spid="_x0000_s65540"/>
                </a:ext>
                <a:ext uri="{FF2B5EF4-FFF2-40B4-BE49-F238E27FC236}">
                  <a16:creationId xmlns:a16="http://schemas.microsoft.com/office/drawing/2014/main" id="{00000000-0008-0000-2000-00000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4513" name="cmdTechnologySets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21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4514" name="cmdCheckTechnologiesSheet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21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64515" name="cmdTACTUni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21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64516" name="cmdTCAPUnit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21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64517" name="cmdRefreshUnits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21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22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22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22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22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22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22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22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2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2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2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2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2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2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hyperlink" Target="http://data.iea.org/ieastore/default.asp" TargetMode="External"/><Relationship Id="rId7" Type="http://schemas.openxmlformats.org/officeDocument/2006/relationships/vmlDrawing" Target="../drawings/vmlDrawing10.vml"/><Relationship Id="rId2" Type="http://schemas.openxmlformats.org/officeDocument/2006/relationships/hyperlink" Target="http://www.eia.doe.gov/emeu/aer/coal.html" TargetMode="External"/><Relationship Id="rId1" Type="http://schemas.openxmlformats.org/officeDocument/2006/relationships/hyperlink" Target="http://www.eia.doe.gov/emeu/iea/Notes%20for%20Table%208_2.html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://www.eia.doe.gov/emeu/aer/coal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bea.gov/national/nipaweb/SelectTable.asp?Selected=Y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17" Type="http://schemas.openxmlformats.org/officeDocument/2006/relationships/image" Target="../media/image42.emf"/><Relationship Id="rId2" Type="http://schemas.openxmlformats.org/officeDocument/2006/relationships/drawing" Target="../drawings/drawing9.xml"/><Relationship Id="rId16" Type="http://schemas.openxmlformats.org/officeDocument/2006/relationships/control" Target="../activeX/activeX42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5.xml"/><Relationship Id="rId13" Type="http://schemas.openxmlformats.org/officeDocument/2006/relationships/image" Target="../media/image47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44.emf"/><Relationship Id="rId12" Type="http://schemas.openxmlformats.org/officeDocument/2006/relationships/control" Target="../activeX/activeX4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44.xml"/><Relationship Id="rId11" Type="http://schemas.openxmlformats.org/officeDocument/2006/relationships/image" Target="../media/image46.emf"/><Relationship Id="rId5" Type="http://schemas.openxmlformats.org/officeDocument/2006/relationships/image" Target="../media/image43.emf"/><Relationship Id="rId10" Type="http://schemas.openxmlformats.org/officeDocument/2006/relationships/control" Target="../activeX/activeX46.xml"/><Relationship Id="rId4" Type="http://schemas.openxmlformats.org/officeDocument/2006/relationships/control" Target="../activeX/activeX43.xml"/><Relationship Id="rId9" Type="http://schemas.openxmlformats.org/officeDocument/2006/relationships/image" Target="../media/image45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49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4.xml"/><Relationship Id="rId13" Type="http://schemas.openxmlformats.org/officeDocument/2006/relationships/image" Target="../media/image56.emf"/><Relationship Id="rId3" Type="http://schemas.openxmlformats.org/officeDocument/2006/relationships/vmlDrawing" Target="../drawings/vmlDrawing15.vml"/><Relationship Id="rId7" Type="http://schemas.openxmlformats.org/officeDocument/2006/relationships/image" Target="../media/image53.emf"/><Relationship Id="rId12" Type="http://schemas.openxmlformats.org/officeDocument/2006/relationships/control" Target="../activeX/activeX56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53.xml"/><Relationship Id="rId11" Type="http://schemas.openxmlformats.org/officeDocument/2006/relationships/image" Target="../media/image55.emf"/><Relationship Id="rId5" Type="http://schemas.openxmlformats.org/officeDocument/2006/relationships/image" Target="../media/image52.emf"/><Relationship Id="rId10" Type="http://schemas.openxmlformats.org/officeDocument/2006/relationships/control" Target="../activeX/activeX55.xml"/><Relationship Id="rId4" Type="http://schemas.openxmlformats.org/officeDocument/2006/relationships/control" Target="../activeX/activeX52.xml"/><Relationship Id="rId9" Type="http://schemas.openxmlformats.org/officeDocument/2006/relationships/image" Target="../media/image54.emf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1.emf"/><Relationship Id="rId3" Type="http://schemas.openxmlformats.org/officeDocument/2006/relationships/vmlDrawing" Target="../drawings/vmlDrawing16.vml"/><Relationship Id="rId7" Type="http://schemas.openxmlformats.org/officeDocument/2006/relationships/image" Target="../media/image58.emf"/><Relationship Id="rId12" Type="http://schemas.openxmlformats.org/officeDocument/2006/relationships/control" Target="../activeX/activeX61.xml"/><Relationship Id="rId17" Type="http://schemas.openxmlformats.org/officeDocument/2006/relationships/image" Target="../media/image63.emf"/><Relationship Id="rId2" Type="http://schemas.openxmlformats.org/officeDocument/2006/relationships/drawing" Target="../drawings/drawing13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58.xml"/><Relationship Id="rId11" Type="http://schemas.openxmlformats.org/officeDocument/2006/relationships/image" Target="../media/image60.emf"/><Relationship Id="rId5" Type="http://schemas.openxmlformats.org/officeDocument/2006/relationships/image" Target="../media/image57.emf"/><Relationship Id="rId15" Type="http://schemas.openxmlformats.org/officeDocument/2006/relationships/image" Target="../media/image62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9.emf"/><Relationship Id="rId14" Type="http://schemas.openxmlformats.org/officeDocument/2006/relationships/control" Target="../activeX/activeX62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7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25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A3EC-C395-4B66-A776-6495E84B23F3}">
  <sheetPr>
    <tabColor theme="8"/>
  </sheetPr>
  <dimension ref="A2:U481"/>
  <sheetViews>
    <sheetView workbookViewId="0">
      <selection activeCell="G249" sqref="G249:G481"/>
    </sheetView>
  </sheetViews>
  <sheetFormatPr defaultRowHeight="12.75" x14ac:dyDescent="0.2"/>
  <cols>
    <col min="1" max="1" width="36.42578125" bestFit="1" customWidth="1"/>
    <col min="2" max="2" width="13.28515625" bestFit="1" customWidth="1"/>
    <col min="3" max="3" width="7.28515625" bestFit="1" customWidth="1"/>
    <col min="4" max="4" width="8.140625" bestFit="1" customWidth="1"/>
    <col min="5" max="5" width="14.42578125" bestFit="1" customWidth="1"/>
    <col min="6" max="6" width="4.7109375" bestFit="1" customWidth="1"/>
    <col min="7" max="7" width="7.85546875" bestFit="1" customWidth="1"/>
    <col min="8" max="17" width="12.7109375" bestFit="1" customWidth="1"/>
    <col min="18" max="18" width="12.140625" bestFit="1" customWidth="1"/>
    <col min="19" max="19" width="11" bestFit="1" customWidth="1"/>
    <col min="20" max="20" width="13.140625" bestFit="1" customWidth="1"/>
    <col min="21" max="21" width="8.42578125" bestFit="1" customWidth="1"/>
  </cols>
  <sheetData>
    <row r="2" spans="1:21" s="281" customFormat="1" x14ac:dyDescent="0.2">
      <c r="A2" s="280" t="s">
        <v>6</v>
      </c>
    </row>
    <row r="3" spans="1:21" x14ac:dyDescent="0.2">
      <c r="A3" s="282" t="s">
        <v>7</v>
      </c>
    </row>
    <row r="4" spans="1:21" x14ac:dyDescent="0.2">
      <c r="A4" s="282" t="s">
        <v>8</v>
      </c>
    </row>
    <row r="5" spans="1:21" x14ac:dyDescent="0.2">
      <c r="G5" s="282" t="s">
        <v>9</v>
      </c>
    </row>
    <row r="6" spans="1:21" ht="13.5" thickBot="1" x14ac:dyDescent="0.25">
      <c r="A6" s="283" t="s">
        <v>10</v>
      </c>
      <c r="B6" s="284" t="s">
        <v>11</v>
      </c>
      <c r="C6" s="284" t="s">
        <v>12</v>
      </c>
      <c r="D6" s="284" t="s">
        <v>13</v>
      </c>
      <c r="E6" s="283" t="s">
        <v>14</v>
      </c>
      <c r="F6" s="283" t="s">
        <v>15</v>
      </c>
      <c r="G6" s="283" t="s">
        <v>16</v>
      </c>
      <c r="H6" s="283" t="s">
        <v>17</v>
      </c>
      <c r="I6" s="283" t="s">
        <v>18</v>
      </c>
      <c r="J6" s="283" t="s">
        <v>19</v>
      </c>
      <c r="K6" s="283" t="s">
        <v>20</v>
      </c>
      <c r="L6" s="283" t="s">
        <v>21</v>
      </c>
      <c r="M6" s="283" t="s">
        <v>22</v>
      </c>
      <c r="N6" s="283" t="s">
        <v>23</v>
      </c>
      <c r="O6" s="283" t="s">
        <v>24</v>
      </c>
      <c r="P6" s="283" t="s">
        <v>25</v>
      </c>
      <c r="Q6" s="283" t="s">
        <v>26</v>
      </c>
      <c r="R6" s="283" t="s">
        <v>27</v>
      </c>
      <c r="S6" s="283" t="s">
        <v>28</v>
      </c>
      <c r="T6" s="285" t="s">
        <v>29</v>
      </c>
      <c r="U6" s="283" t="s">
        <v>30</v>
      </c>
    </row>
    <row r="7" spans="1:21" x14ac:dyDescent="0.2">
      <c r="A7" s="256" t="s">
        <v>31</v>
      </c>
      <c r="B7" s="286" t="str">
        <f>TechData_R0!B13</f>
        <v>MINCNAPMU1</v>
      </c>
      <c r="C7" s="286"/>
      <c r="D7" s="286"/>
      <c r="E7" s="278" t="s">
        <v>32</v>
      </c>
      <c r="F7" s="278"/>
      <c r="G7" s="278" t="s">
        <v>33</v>
      </c>
      <c r="H7" s="287">
        <f>TechData_R0!G13</f>
        <v>1.05</v>
      </c>
      <c r="I7" s="287">
        <f>H7</f>
        <v>1.05</v>
      </c>
      <c r="J7" s="287">
        <f t="shared" ref="J7:Q7" si="0">I7</f>
        <v>1.05</v>
      </c>
      <c r="K7" s="287">
        <f t="shared" si="0"/>
        <v>1.05</v>
      </c>
      <c r="L7" s="287">
        <f t="shared" si="0"/>
        <v>1.05</v>
      </c>
      <c r="M7" s="287">
        <f t="shared" si="0"/>
        <v>1.05</v>
      </c>
      <c r="N7" s="287">
        <f t="shared" si="0"/>
        <v>1.05</v>
      </c>
      <c r="O7" s="287">
        <f t="shared" si="0"/>
        <v>1.05</v>
      </c>
      <c r="P7" s="287">
        <f t="shared" si="0"/>
        <v>1.05</v>
      </c>
      <c r="Q7" s="287">
        <f t="shared" si="0"/>
        <v>1.05</v>
      </c>
      <c r="R7" s="278">
        <f>MAX(TechData_R0!F13,1)</f>
        <v>1</v>
      </c>
      <c r="S7" s="278"/>
      <c r="T7" s="288">
        <v>5</v>
      </c>
      <c r="U7" s="289"/>
    </row>
    <row r="8" spans="1:21" x14ac:dyDescent="0.2">
      <c r="A8" s="256" t="s">
        <v>34</v>
      </c>
      <c r="B8" s="286" t="str">
        <f>TechData_R0!B14</f>
        <v>MINCNAPMU2</v>
      </c>
      <c r="C8" s="286"/>
      <c r="D8" s="286"/>
      <c r="E8" s="278" t="s">
        <v>32</v>
      </c>
      <c r="F8" s="278"/>
      <c r="G8" s="278" t="s">
        <v>33</v>
      </c>
      <c r="H8" s="287">
        <f>TechData_R0!G14</f>
        <v>1.05</v>
      </c>
      <c r="I8" s="287">
        <f t="shared" ref="I8:Q8" si="1">H8</f>
        <v>1.05</v>
      </c>
      <c r="J8" s="287">
        <f t="shared" si="1"/>
        <v>1.05</v>
      </c>
      <c r="K8" s="287">
        <f t="shared" si="1"/>
        <v>1.05</v>
      </c>
      <c r="L8" s="287">
        <f t="shared" si="1"/>
        <v>1.05</v>
      </c>
      <c r="M8" s="287">
        <f t="shared" si="1"/>
        <v>1.05</v>
      </c>
      <c r="N8" s="287">
        <f t="shared" si="1"/>
        <v>1.05</v>
      </c>
      <c r="O8" s="287">
        <f t="shared" si="1"/>
        <v>1.05</v>
      </c>
      <c r="P8" s="287">
        <f t="shared" si="1"/>
        <v>1.05</v>
      </c>
      <c r="Q8" s="287">
        <f t="shared" si="1"/>
        <v>1.05</v>
      </c>
      <c r="R8" s="278">
        <f>MAX(TechData_R0!F14,1)</f>
        <v>1</v>
      </c>
      <c r="S8" s="278"/>
      <c r="T8" s="288">
        <v>5</v>
      </c>
      <c r="U8" s="289"/>
    </row>
    <row r="9" spans="1:21" x14ac:dyDescent="0.2">
      <c r="A9" s="256" t="s">
        <v>35</v>
      </c>
      <c r="B9" s="286" t="str">
        <f>TechData_R0!B15</f>
        <v>MINCNAPMU3</v>
      </c>
      <c r="C9" s="286"/>
      <c r="D9" s="286"/>
      <c r="E9" s="278" t="s">
        <v>32</v>
      </c>
      <c r="F9" s="278"/>
      <c r="G9" s="278" t="s">
        <v>33</v>
      </c>
      <c r="H9" s="287">
        <f>TechData_R0!G15</f>
        <v>1.05</v>
      </c>
      <c r="I9" s="287">
        <f t="shared" ref="I9:Q9" si="2">H9</f>
        <v>1.05</v>
      </c>
      <c r="J9" s="287">
        <f t="shared" si="2"/>
        <v>1.05</v>
      </c>
      <c r="K9" s="287">
        <f t="shared" si="2"/>
        <v>1.05</v>
      </c>
      <c r="L9" s="287">
        <f t="shared" si="2"/>
        <v>1.05</v>
      </c>
      <c r="M9" s="287">
        <f t="shared" si="2"/>
        <v>1.05</v>
      </c>
      <c r="N9" s="287">
        <f t="shared" si="2"/>
        <v>1.05</v>
      </c>
      <c r="O9" s="287">
        <f t="shared" si="2"/>
        <v>1.05</v>
      </c>
      <c r="P9" s="287">
        <f t="shared" si="2"/>
        <v>1.05</v>
      </c>
      <c r="Q9" s="287">
        <f t="shared" si="2"/>
        <v>1.05</v>
      </c>
      <c r="R9" s="278">
        <f>MAX(TechData_R0!F15,1)</f>
        <v>1</v>
      </c>
      <c r="S9" s="278"/>
      <c r="T9" s="288">
        <v>5</v>
      </c>
      <c r="U9" s="289"/>
    </row>
    <row r="10" spans="1:21" x14ac:dyDescent="0.2">
      <c r="A10" s="256" t="s">
        <v>36</v>
      </c>
      <c r="B10" s="286" t="str">
        <f>TechData_R0!B16</f>
        <v>MINCNAPMU4</v>
      </c>
      <c r="C10" s="286"/>
      <c r="D10" s="286"/>
      <c r="E10" s="278" t="s">
        <v>32</v>
      </c>
      <c r="F10" s="278"/>
      <c r="G10" s="278" t="s">
        <v>33</v>
      </c>
      <c r="H10" s="287">
        <f>TechData_R0!G16</f>
        <v>1.05</v>
      </c>
      <c r="I10" s="287">
        <f t="shared" ref="I10:Q10" si="3">H10</f>
        <v>1.05</v>
      </c>
      <c r="J10" s="287">
        <f t="shared" si="3"/>
        <v>1.05</v>
      </c>
      <c r="K10" s="287">
        <f t="shared" si="3"/>
        <v>1.05</v>
      </c>
      <c r="L10" s="287">
        <f t="shared" si="3"/>
        <v>1.05</v>
      </c>
      <c r="M10" s="287">
        <f t="shared" si="3"/>
        <v>1.05</v>
      </c>
      <c r="N10" s="287">
        <f t="shared" si="3"/>
        <v>1.05</v>
      </c>
      <c r="O10" s="287">
        <f t="shared" si="3"/>
        <v>1.05</v>
      </c>
      <c r="P10" s="287">
        <f t="shared" si="3"/>
        <v>1.05</v>
      </c>
      <c r="Q10" s="287">
        <f t="shared" si="3"/>
        <v>1.05</v>
      </c>
      <c r="R10" s="278">
        <f>MAX(TechData_R0!F16,1)</f>
        <v>1</v>
      </c>
      <c r="S10" s="278"/>
      <c r="T10" s="288">
        <v>5</v>
      </c>
      <c r="U10" s="289"/>
    </row>
    <row r="11" spans="1:21" x14ac:dyDescent="0.2">
      <c r="A11" s="256" t="s">
        <v>37</v>
      </c>
      <c r="B11" s="286" t="str">
        <f>TechData_R0!B17</f>
        <v>MINCNAPMU5</v>
      </c>
      <c r="C11" s="286"/>
      <c r="D11" s="286"/>
      <c r="E11" s="278" t="s">
        <v>32</v>
      </c>
      <c r="F11" s="278"/>
      <c r="G11" s="278" t="s">
        <v>33</v>
      </c>
      <c r="H11" s="287">
        <f>TechData_R0!G17</f>
        <v>1.05</v>
      </c>
      <c r="I11" s="287">
        <f t="shared" ref="I11:Q11" si="4">H11</f>
        <v>1.05</v>
      </c>
      <c r="J11" s="287">
        <f t="shared" si="4"/>
        <v>1.05</v>
      </c>
      <c r="K11" s="287">
        <f t="shared" si="4"/>
        <v>1.05</v>
      </c>
      <c r="L11" s="287">
        <f t="shared" si="4"/>
        <v>1.05</v>
      </c>
      <c r="M11" s="287">
        <f t="shared" si="4"/>
        <v>1.05</v>
      </c>
      <c r="N11" s="287">
        <f t="shared" si="4"/>
        <v>1.05</v>
      </c>
      <c r="O11" s="287">
        <f t="shared" si="4"/>
        <v>1.05</v>
      </c>
      <c r="P11" s="287">
        <f t="shared" si="4"/>
        <v>1.05</v>
      </c>
      <c r="Q11" s="287">
        <f t="shared" si="4"/>
        <v>1.05</v>
      </c>
      <c r="R11" s="278">
        <f>MAX(TechData_R0!F17,1)</f>
        <v>5.0108651707704475</v>
      </c>
      <c r="S11" s="278"/>
      <c r="T11" s="288">
        <v>5</v>
      </c>
      <c r="U11" s="289"/>
    </row>
    <row r="12" spans="1:21" x14ac:dyDescent="0.2">
      <c r="A12" s="256" t="s">
        <v>38</v>
      </c>
      <c r="B12" s="286" t="str">
        <f>TechData_R0!B18</f>
        <v>MINCNAPMU6</v>
      </c>
      <c r="C12" s="286"/>
      <c r="D12" s="286"/>
      <c r="E12" s="278" t="s">
        <v>32</v>
      </c>
      <c r="F12" s="278"/>
      <c r="G12" s="278" t="s">
        <v>33</v>
      </c>
      <c r="H12" s="287">
        <f>TechData_R0!G18</f>
        <v>1.05</v>
      </c>
      <c r="I12" s="287">
        <f t="shared" ref="I12:Q12" si="5">H12</f>
        <v>1.05</v>
      </c>
      <c r="J12" s="287">
        <f t="shared" si="5"/>
        <v>1.05</v>
      </c>
      <c r="K12" s="287">
        <f t="shared" si="5"/>
        <v>1.05</v>
      </c>
      <c r="L12" s="287">
        <f t="shared" si="5"/>
        <v>1.05</v>
      </c>
      <c r="M12" s="287">
        <f t="shared" si="5"/>
        <v>1.05</v>
      </c>
      <c r="N12" s="287">
        <f t="shared" si="5"/>
        <v>1.05</v>
      </c>
      <c r="O12" s="287">
        <f t="shared" si="5"/>
        <v>1.05</v>
      </c>
      <c r="P12" s="287">
        <f t="shared" si="5"/>
        <v>1.05</v>
      </c>
      <c r="Q12" s="287">
        <f t="shared" si="5"/>
        <v>1.05</v>
      </c>
      <c r="R12" s="278">
        <f>MAX(TechData_R0!F18,1)</f>
        <v>5.5676279675227134</v>
      </c>
      <c r="S12" s="278"/>
      <c r="T12" s="288">
        <v>5</v>
      </c>
      <c r="U12" s="289"/>
    </row>
    <row r="13" spans="1:21" x14ac:dyDescent="0.2">
      <c r="A13" s="256" t="s">
        <v>39</v>
      </c>
      <c r="B13" s="286" t="str">
        <f>TechData_R0!B20</f>
        <v>MINCNABMU1</v>
      </c>
      <c r="C13" s="286"/>
      <c r="D13" s="286"/>
      <c r="E13" s="278" t="s">
        <v>32</v>
      </c>
      <c r="F13" s="278"/>
      <c r="G13" s="278" t="s">
        <v>33</v>
      </c>
      <c r="H13" s="287">
        <f>TechData_R0!G20</f>
        <v>1.05</v>
      </c>
      <c r="I13" s="287">
        <f t="shared" ref="I13:Q13" si="6">H13</f>
        <v>1.05</v>
      </c>
      <c r="J13" s="287">
        <f t="shared" si="6"/>
        <v>1.05</v>
      </c>
      <c r="K13" s="287">
        <f t="shared" si="6"/>
        <v>1.05</v>
      </c>
      <c r="L13" s="287">
        <f t="shared" si="6"/>
        <v>1.05</v>
      </c>
      <c r="M13" s="287">
        <f t="shared" si="6"/>
        <v>1.05</v>
      </c>
      <c r="N13" s="287">
        <f t="shared" si="6"/>
        <v>1.05</v>
      </c>
      <c r="O13" s="287">
        <f t="shared" si="6"/>
        <v>1.05</v>
      </c>
      <c r="P13" s="287">
        <f t="shared" si="6"/>
        <v>1.05</v>
      </c>
      <c r="Q13" s="287">
        <f t="shared" si="6"/>
        <v>1.05</v>
      </c>
      <c r="R13" s="278">
        <f>MAX(TechData_R0!F19,1)</f>
        <v>1</v>
      </c>
      <c r="S13" s="278"/>
      <c r="T13" s="288">
        <v>5</v>
      </c>
      <c r="U13" s="289"/>
    </row>
    <row r="14" spans="1:21" x14ac:dyDescent="0.2">
      <c r="A14" s="256" t="s">
        <v>40</v>
      </c>
      <c r="B14" s="286" t="str">
        <f>TechData_R0!B21</f>
        <v>MINCNABMU2</v>
      </c>
      <c r="C14" s="286"/>
      <c r="D14" s="286"/>
      <c r="E14" s="278" t="s">
        <v>32</v>
      </c>
      <c r="F14" s="278"/>
      <c r="G14" s="278" t="s">
        <v>33</v>
      </c>
      <c r="H14" s="287">
        <f>TechData_R0!G21</f>
        <v>1.05</v>
      </c>
      <c r="I14" s="287">
        <f t="shared" ref="I14:Q14" si="7">H14</f>
        <v>1.05</v>
      </c>
      <c r="J14" s="287">
        <f t="shared" si="7"/>
        <v>1.05</v>
      </c>
      <c r="K14" s="287">
        <f t="shared" si="7"/>
        <v>1.05</v>
      </c>
      <c r="L14" s="287">
        <f t="shared" si="7"/>
        <v>1.05</v>
      </c>
      <c r="M14" s="287">
        <f t="shared" si="7"/>
        <v>1.05</v>
      </c>
      <c r="N14" s="287">
        <f t="shared" si="7"/>
        <v>1.05</v>
      </c>
      <c r="O14" s="287">
        <f t="shared" si="7"/>
        <v>1.05</v>
      </c>
      <c r="P14" s="287">
        <f t="shared" si="7"/>
        <v>1.05</v>
      </c>
      <c r="Q14" s="287">
        <f t="shared" si="7"/>
        <v>1.05</v>
      </c>
      <c r="R14" s="278">
        <f>MAX(TechData_R0!F20,1)</f>
        <v>1</v>
      </c>
      <c r="S14" s="278"/>
      <c r="T14" s="288">
        <v>5</v>
      </c>
      <c r="U14" s="289"/>
    </row>
    <row r="15" spans="1:21" x14ac:dyDescent="0.2">
      <c r="A15" s="256" t="s">
        <v>41</v>
      </c>
      <c r="B15" s="286" t="str">
        <f>TechData_R0!B22</f>
        <v>MINCNABMU3</v>
      </c>
      <c r="C15" s="286"/>
      <c r="D15" s="286"/>
      <c r="E15" s="278" t="s">
        <v>32</v>
      </c>
      <c r="F15" s="278"/>
      <c r="G15" s="278" t="s">
        <v>33</v>
      </c>
      <c r="H15" s="287">
        <f>TechData_R0!G22</f>
        <v>1.05</v>
      </c>
      <c r="I15" s="287">
        <f t="shared" ref="I15:Q15" si="8">H15</f>
        <v>1.05</v>
      </c>
      <c r="J15" s="287">
        <f t="shared" si="8"/>
        <v>1.05</v>
      </c>
      <c r="K15" s="287">
        <f t="shared" si="8"/>
        <v>1.05</v>
      </c>
      <c r="L15" s="287">
        <f t="shared" si="8"/>
        <v>1.05</v>
      </c>
      <c r="M15" s="287">
        <f t="shared" si="8"/>
        <v>1.05</v>
      </c>
      <c r="N15" s="287">
        <f t="shared" si="8"/>
        <v>1.05</v>
      </c>
      <c r="O15" s="287">
        <f t="shared" si="8"/>
        <v>1.05</v>
      </c>
      <c r="P15" s="287">
        <f t="shared" si="8"/>
        <v>1.05</v>
      </c>
      <c r="Q15" s="287">
        <f t="shared" si="8"/>
        <v>1.05</v>
      </c>
      <c r="R15" s="278">
        <f>MAX(TechData_R0!F21,1)</f>
        <v>1</v>
      </c>
      <c r="S15" s="278"/>
      <c r="T15" s="288">
        <v>5</v>
      </c>
      <c r="U15" s="289"/>
    </row>
    <row r="16" spans="1:21" x14ac:dyDescent="0.2">
      <c r="A16" s="256" t="s">
        <v>42</v>
      </c>
      <c r="B16" s="286" t="str">
        <f>TechData_R0!B23</f>
        <v>MINCNABMU4</v>
      </c>
      <c r="C16" s="286"/>
      <c r="D16" s="286"/>
      <c r="E16" s="278" t="s">
        <v>32</v>
      </c>
      <c r="F16" s="278"/>
      <c r="G16" s="278" t="s">
        <v>33</v>
      </c>
      <c r="H16" s="287">
        <f>TechData_R0!G23</f>
        <v>1.05</v>
      </c>
      <c r="I16" s="287">
        <f t="shared" ref="I16:Q16" si="9">H16</f>
        <v>1.05</v>
      </c>
      <c r="J16" s="287">
        <f t="shared" si="9"/>
        <v>1.05</v>
      </c>
      <c r="K16" s="287">
        <f t="shared" si="9"/>
        <v>1.05</v>
      </c>
      <c r="L16" s="287">
        <f t="shared" si="9"/>
        <v>1.05</v>
      </c>
      <c r="M16" s="287">
        <f t="shared" si="9"/>
        <v>1.05</v>
      </c>
      <c r="N16" s="287">
        <f t="shared" si="9"/>
        <v>1.05</v>
      </c>
      <c r="O16" s="287">
        <f t="shared" si="9"/>
        <v>1.05</v>
      </c>
      <c r="P16" s="287">
        <f t="shared" si="9"/>
        <v>1.05</v>
      </c>
      <c r="Q16" s="287">
        <f t="shared" si="9"/>
        <v>1.05</v>
      </c>
      <c r="R16" s="278">
        <f>MAX(TechData_R0!F22,1)</f>
        <v>1</v>
      </c>
      <c r="S16" s="278"/>
      <c r="T16" s="288">
        <v>5</v>
      </c>
      <c r="U16" s="289"/>
    </row>
    <row r="17" spans="1:21" x14ac:dyDescent="0.2">
      <c r="A17" s="256" t="s">
        <v>43</v>
      </c>
      <c r="B17" s="286" t="str">
        <f>TechData_R0!B24</f>
        <v>MINCNABMU5</v>
      </c>
      <c r="C17" s="286"/>
      <c r="D17" s="286"/>
      <c r="E17" s="278" t="s">
        <v>32</v>
      </c>
      <c r="F17" s="278"/>
      <c r="G17" s="278" t="s">
        <v>33</v>
      </c>
      <c r="H17" s="287">
        <f>TechData_R0!G24</f>
        <v>1.05</v>
      </c>
      <c r="I17" s="287">
        <f t="shared" ref="I17:Q17" si="10">H17</f>
        <v>1.05</v>
      </c>
      <c r="J17" s="287">
        <f t="shared" si="10"/>
        <v>1.05</v>
      </c>
      <c r="K17" s="287">
        <f t="shared" si="10"/>
        <v>1.05</v>
      </c>
      <c r="L17" s="287">
        <f t="shared" si="10"/>
        <v>1.05</v>
      </c>
      <c r="M17" s="287">
        <f t="shared" si="10"/>
        <v>1.05</v>
      </c>
      <c r="N17" s="287">
        <f t="shared" si="10"/>
        <v>1.05</v>
      </c>
      <c r="O17" s="287">
        <f t="shared" si="10"/>
        <v>1.05</v>
      </c>
      <c r="P17" s="287">
        <f t="shared" si="10"/>
        <v>1.05</v>
      </c>
      <c r="Q17" s="287">
        <f t="shared" si="10"/>
        <v>1.05</v>
      </c>
      <c r="R17" s="278">
        <f>MAX(TechData_R0!F23,1)</f>
        <v>1</v>
      </c>
      <c r="S17" s="278"/>
      <c r="T17" s="288">
        <v>5</v>
      </c>
      <c r="U17" s="289"/>
    </row>
    <row r="18" spans="1:21" x14ac:dyDescent="0.2">
      <c r="A18" s="256" t="s">
        <v>44</v>
      </c>
      <c r="B18" s="286" t="str">
        <f>TechData_R0!B25</f>
        <v>MINCNABMU6</v>
      </c>
      <c r="C18" s="286"/>
      <c r="D18" s="286"/>
      <c r="E18" s="278" t="s">
        <v>32</v>
      </c>
      <c r="F18" s="278"/>
      <c r="G18" s="278" t="s">
        <v>33</v>
      </c>
      <c r="H18" s="287">
        <f>TechData_R0!G25</f>
        <v>1.05</v>
      </c>
      <c r="I18" s="287">
        <f t="shared" ref="I18:Q18" si="11">H18</f>
        <v>1.05</v>
      </c>
      <c r="J18" s="287">
        <f t="shared" si="11"/>
        <v>1.05</v>
      </c>
      <c r="K18" s="287">
        <f t="shared" si="11"/>
        <v>1.05</v>
      </c>
      <c r="L18" s="287">
        <f t="shared" si="11"/>
        <v>1.05</v>
      </c>
      <c r="M18" s="287">
        <f t="shared" si="11"/>
        <v>1.05</v>
      </c>
      <c r="N18" s="287">
        <f t="shared" si="11"/>
        <v>1.05</v>
      </c>
      <c r="O18" s="287">
        <f t="shared" si="11"/>
        <v>1.05</v>
      </c>
      <c r="P18" s="287">
        <f t="shared" si="11"/>
        <v>1.05</v>
      </c>
      <c r="Q18" s="287">
        <f t="shared" si="11"/>
        <v>1.05</v>
      </c>
      <c r="R18" s="278">
        <f>MAX(TechData_R0!F24,1)</f>
        <v>7.1466410288048952</v>
      </c>
      <c r="S18" s="278"/>
      <c r="T18" s="288">
        <v>5</v>
      </c>
      <c r="U18" s="289"/>
    </row>
    <row r="19" spans="1:21" x14ac:dyDescent="0.2">
      <c r="A19" s="256" t="s">
        <v>45</v>
      </c>
      <c r="B19" s="286" t="str">
        <f>TechData_R0!B27</f>
        <v>MINCNABMS1</v>
      </c>
      <c r="C19" s="286"/>
      <c r="D19" s="286"/>
      <c r="E19" s="278" t="s">
        <v>32</v>
      </c>
      <c r="F19" s="278"/>
      <c r="G19" s="278" t="s">
        <v>33</v>
      </c>
      <c r="H19" s="287">
        <f>TechData_R0!G27</f>
        <v>1.05</v>
      </c>
      <c r="I19" s="287">
        <f t="shared" ref="I19:Q19" si="12">H19</f>
        <v>1.05</v>
      </c>
      <c r="J19" s="287">
        <f t="shared" si="12"/>
        <v>1.05</v>
      </c>
      <c r="K19" s="287">
        <f t="shared" si="12"/>
        <v>1.05</v>
      </c>
      <c r="L19" s="287">
        <f t="shared" si="12"/>
        <v>1.05</v>
      </c>
      <c r="M19" s="287">
        <f t="shared" si="12"/>
        <v>1.05</v>
      </c>
      <c r="N19" s="287">
        <f t="shared" si="12"/>
        <v>1.05</v>
      </c>
      <c r="O19" s="287">
        <f t="shared" si="12"/>
        <v>1.05</v>
      </c>
      <c r="P19" s="287">
        <f t="shared" si="12"/>
        <v>1.05</v>
      </c>
      <c r="Q19" s="287">
        <f t="shared" si="12"/>
        <v>1.05</v>
      </c>
      <c r="R19" s="278">
        <f>MAX(TechData_R0!F26,1)</f>
        <v>1</v>
      </c>
      <c r="S19" s="278"/>
      <c r="T19" s="288">
        <v>5</v>
      </c>
      <c r="U19" s="289"/>
    </row>
    <row r="20" spans="1:21" x14ac:dyDescent="0.2">
      <c r="A20" s="256" t="s">
        <v>46</v>
      </c>
      <c r="B20" s="286" t="str">
        <f>TechData_R0!B28</f>
        <v>MINCNABMS2</v>
      </c>
      <c r="C20" s="286"/>
      <c r="D20" s="286"/>
      <c r="E20" s="278" t="s">
        <v>32</v>
      </c>
      <c r="F20" s="278"/>
      <c r="G20" s="278" t="s">
        <v>33</v>
      </c>
      <c r="H20" s="287">
        <f>TechData_R0!G28</f>
        <v>1.05</v>
      </c>
      <c r="I20" s="287">
        <f t="shared" ref="I20:Q20" si="13">H20</f>
        <v>1.05</v>
      </c>
      <c r="J20" s="287">
        <f t="shared" si="13"/>
        <v>1.05</v>
      </c>
      <c r="K20" s="287">
        <f t="shared" si="13"/>
        <v>1.05</v>
      </c>
      <c r="L20" s="287">
        <f t="shared" si="13"/>
        <v>1.05</v>
      </c>
      <c r="M20" s="287">
        <f t="shared" si="13"/>
        <v>1.05</v>
      </c>
      <c r="N20" s="287">
        <f t="shared" si="13"/>
        <v>1.05</v>
      </c>
      <c r="O20" s="287">
        <f t="shared" si="13"/>
        <v>1.05</v>
      </c>
      <c r="P20" s="287">
        <f t="shared" si="13"/>
        <v>1.05</v>
      </c>
      <c r="Q20" s="287">
        <f t="shared" si="13"/>
        <v>1.05</v>
      </c>
      <c r="R20" s="278">
        <f>MAX(TechData_R0!F27,1)</f>
        <v>1</v>
      </c>
      <c r="S20" s="278"/>
      <c r="T20" s="288">
        <v>5</v>
      </c>
      <c r="U20" s="289"/>
    </row>
    <row r="21" spans="1:21" x14ac:dyDescent="0.2">
      <c r="A21" s="256" t="s">
        <v>47</v>
      </c>
      <c r="B21" s="286" t="str">
        <f>TechData_R0!B29</f>
        <v>MINCNABMS3</v>
      </c>
      <c r="C21" s="286"/>
      <c r="D21" s="286"/>
      <c r="E21" s="278" t="s">
        <v>32</v>
      </c>
      <c r="F21" s="278"/>
      <c r="G21" s="278" t="s">
        <v>33</v>
      </c>
      <c r="H21" s="287">
        <f>TechData_R0!G29</f>
        <v>1.05</v>
      </c>
      <c r="I21" s="287">
        <f t="shared" ref="I21:Q21" si="14">H21</f>
        <v>1.05</v>
      </c>
      <c r="J21" s="287">
        <f t="shared" si="14"/>
        <v>1.05</v>
      </c>
      <c r="K21" s="287">
        <f t="shared" si="14"/>
        <v>1.05</v>
      </c>
      <c r="L21" s="287">
        <f t="shared" si="14"/>
        <v>1.05</v>
      </c>
      <c r="M21" s="287">
        <f t="shared" si="14"/>
        <v>1.05</v>
      </c>
      <c r="N21" s="287">
        <f t="shared" si="14"/>
        <v>1.05</v>
      </c>
      <c r="O21" s="287">
        <f t="shared" si="14"/>
        <v>1.05</v>
      </c>
      <c r="P21" s="287">
        <f t="shared" si="14"/>
        <v>1.05</v>
      </c>
      <c r="Q21" s="287">
        <f t="shared" si="14"/>
        <v>1.05</v>
      </c>
      <c r="R21" s="278">
        <f>MAX(TechData_R0!F28,1)</f>
        <v>1</v>
      </c>
      <c r="S21" s="278"/>
      <c r="T21" s="288">
        <v>5</v>
      </c>
      <c r="U21" s="289"/>
    </row>
    <row r="22" spans="1:21" x14ac:dyDescent="0.2">
      <c r="A22" s="256" t="s">
        <v>48</v>
      </c>
      <c r="B22" s="286" t="str">
        <f>TechData_R0!B30</f>
        <v>MINCNABMS4</v>
      </c>
      <c r="C22" s="286"/>
      <c r="D22" s="286"/>
      <c r="E22" s="278" t="s">
        <v>32</v>
      </c>
      <c r="F22" s="278"/>
      <c r="G22" s="278" t="s">
        <v>33</v>
      </c>
      <c r="H22" s="287">
        <f>TechData_R0!G30</f>
        <v>1.05</v>
      </c>
      <c r="I22" s="287">
        <f t="shared" ref="I22:Q22" si="15">H22</f>
        <v>1.05</v>
      </c>
      <c r="J22" s="287">
        <f t="shared" si="15"/>
        <v>1.05</v>
      </c>
      <c r="K22" s="287">
        <f t="shared" si="15"/>
        <v>1.05</v>
      </c>
      <c r="L22" s="287">
        <f t="shared" si="15"/>
        <v>1.05</v>
      </c>
      <c r="M22" s="287">
        <f t="shared" si="15"/>
        <v>1.05</v>
      </c>
      <c r="N22" s="287">
        <f t="shared" si="15"/>
        <v>1.05</v>
      </c>
      <c r="O22" s="287">
        <f t="shared" si="15"/>
        <v>1.05</v>
      </c>
      <c r="P22" s="287">
        <f t="shared" si="15"/>
        <v>1.05</v>
      </c>
      <c r="Q22" s="287">
        <f t="shared" si="15"/>
        <v>1.05</v>
      </c>
      <c r="R22" s="278">
        <f>MAX(TechData_R0!F29,1)</f>
        <v>1</v>
      </c>
      <c r="S22" s="278"/>
      <c r="T22" s="288">
        <v>5</v>
      </c>
      <c r="U22" s="289"/>
    </row>
    <row r="23" spans="1:21" x14ac:dyDescent="0.2">
      <c r="A23" s="256" t="s">
        <v>49</v>
      </c>
      <c r="B23" s="286" t="str">
        <f>TechData_R0!B31</f>
        <v>MINCNABMS5</v>
      </c>
      <c r="C23" s="286"/>
      <c r="D23" s="286"/>
      <c r="E23" s="278" t="s">
        <v>32</v>
      </c>
      <c r="F23" s="278"/>
      <c r="G23" s="278" t="s">
        <v>33</v>
      </c>
      <c r="H23" s="287">
        <f>TechData_R0!G31</f>
        <v>1.05</v>
      </c>
      <c r="I23" s="287">
        <f t="shared" ref="I23:Q23" si="16">H23</f>
        <v>1.05</v>
      </c>
      <c r="J23" s="287">
        <f t="shared" si="16"/>
        <v>1.05</v>
      </c>
      <c r="K23" s="287">
        <f t="shared" si="16"/>
        <v>1.05</v>
      </c>
      <c r="L23" s="287">
        <f t="shared" si="16"/>
        <v>1.05</v>
      </c>
      <c r="M23" s="287">
        <f t="shared" si="16"/>
        <v>1.05</v>
      </c>
      <c r="N23" s="287">
        <f t="shared" si="16"/>
        <v>1.05</v>
      </c>
      <c r="O23" s="287">
        <f t="shared" si="16"/>
        <v>1.05</v>
      </c>
      <c r="P23" s="287">
        <f t="shared" si="16"/>
        <v>1.05</v>
      </c>
      <c r="Q23" s="287">
        <f t="shared" si="16"/>
        <v>1.05</v>
      </c>
      <c r="R23" s="278">
        <f>MAX(TechData_R0!F30,1)</f>
        <v>1</v>
      </c>
      <c r="S23" s="278"/>
      <c r="T23" s="288">
        <v>5</v>
      </c>
      <c r="U23" s="289"/>
    </row>
    <row r="24" spans="1:21" x14ac:dyDescent="0.2">
      <c r="A24" s="256" t="s">
        <v>50</v>
      </c>
      <c r="B24" s="286" t="str">
        <f>TechData_R0!B32</f>
        <v>MINCNABMS6</v>
      </c>
      <c r="C24" s="286"/>
      <c r="D24" s="286"/>
      <c r="E24" s="278" t="s">
        <v>32</v>
      </c>
      <c r="F24" s="278"/>
      <c r="G24" s="278" t="s">
        <v>33</v>
      </c>
      <c r="H24" s="287">
        <f>TechData_R0!G32</f>
        <v>1.05</v>
      </c>
      <c r="I24" s="287">
        <f t="shared" ref="I24:Q24" si="17">H24</f>
        <v>1.05</v>
      </c>
      <c r="J24" s="287">
        <f t="shared" si="17"/>
        <v>1.05</v>
      </c>
      <c r="K24" s="287">
        <f t="shared" si="17"/>
        <v>1.05</v>
      </c>
      <c r="L24" s="287">
        <f t="shared" si="17"/>
        <v>1.05</v>
      </c>
      <c r="M24" s="287">
        <f t="shared" si="17"/>
        <v>1.05</v>
      </c>
      <c r="N24" s="287">
        <f t="shared" si="17"/>
        <v>1.05</v>
      </c>
      <c r="O24" s="287">
        <f t="shared" si="17"/>
        <v>1.05</v>
      </c>
      <c r="P24" s="287">
        <f t="shared" si="17"/>
        <v>1.05</v>
      </c>
      <c r="Q24" s="287">
        <f t="shared" si="17"/>
        <v>1.05</v>
      </c>
      <c r="R24" s="278">
        <f>MAX(TechData_R0!F31,1)</f>
        <v>2.497794737368416</v>
      </c>
      <c r="S24" s="278"/>
      <c r="T24" s="288">
        <v>5</v>
      </c>
      <c r="U24" s="289"/>
    </row>
    <row r="25" spans="1:21" x14ac:dyDescent="0.2">
      <c r="A25" s="256" t="s">
        <v>51</v>
      </c>
      <c r="B25" s="286" t="str">
        <f>TechData_R0!B34</f>
        <v>MINCNABHU1</v>
      </c>
      <c r="C25" s="286"/>
      <c r="D25" s="286"/>
      <c r="E25" s="278" t="s">
        <v>32</v>
      </c>
      <c r="F25" s="278"/>
      <c r="G25" s="278" t="s">
        <v>33</v>
      </c>
      <c r="H25" s="287">
        <f>TechData_R0!G34</f>
        <v>1.05</v>
      </c>
      <c r="I25" s="287">
        <f t="shared" ref="I25:Q25" si="18">H25</f>
        <v>1.05</v>
      </c>
      <c r="J25" s="287">
        <f t="shared" si="18"/>
        <v>1.05</v>
      </c>
      <c r="K25" s="287">
        <f t="shared" si="18"/>
        <v>1.05</v>
      </c>
      <c r="L25" s="287">
        <f t="shared" si="18"/>
        <v>1.05</v>
      </c>
      <c r="M25" s="287">
        <f t="shared" si="18"/>
        <v>1.05</v>
      </c>
      <c r="N25" s="287">
        <f t="shared" si="18"/>
        <v>1.05</v>
      </c>
      <c r="O25" s="287">
        <f t="shared" si="18"/>
        <v>1.05</v>
      </c>
      <c r="P25" s="287">
        <f t="shared" si="18"/>
        <v>1.05</v>
      </c>
      <c r="Q25" s="287">
        <f t="shared" si="18"/>
        <v>1.05</v>
      </c>
      <c r="R25" s="278">
        <f>MAX(TechData_R0!F33,1)</f>
        <v>1</v>
      </c>
      <c r="S25" s="278"/>
      <c r="T25" s="288">
        <v>5</v>
      </c>
      <c r="U25" s="289"/>
    </row>
    <row r="26" spans="1:21" x14ac:dyDescent="0.2">
      <c r="A26" s="256" t="s">
        <v>52</v>
      </c>
      <c r="B26" s="286" t="str">
        <f>TechData_R0!B35</f>
        <v>MINCNABHU2</v>
      </c>
      <c r="C26" s="286"/>
      <c r="D26" s="286"/>
      <c r="E26" s="278" t="s">
        <v>32</v>
      </c>
      <c r="F26" s="278"/>
      <c r="G26" s="278" t="s">
        <v>33</v>
      </c>
      <c r="H26" s="287">
        <f>TechData_R0!G35</f>
        <v>1.05</v>
      </c>
      <c r="I26" s="287">
        <f t="shared" ref="I26:Q26" si="19">H26</f>
        <v>1.05</v>
      </c>
      <c r="J26" s="287">
        <f t="shared" si="19"/>
        <v>1.05</v>
      </c>
      <c r="K26" s="287">
        <f t="shared" si="19"/>
        <v>1.05</v>
      </c>
      <c r="L26" s="287">
        <f t="shared" si="19"/>
        <v>1.05</v>
      </c>
      <c r="M26" s="287">
        <f t="shared" si="19"/>
        <v>1.05</v>
      </c>
      <c r="N26" s="287">
        <f t="shared" si="19"/>
        <v>1.05</v>
      </c>
      <c r="O26" s="287">
        <f t="shared" si="19"/>
        <v>1.05</v>
      </c>
      <c r="P26" s="287">
        <f t="shared" si="19"/>
        <v>1.05</v>
      </c>
      <c r="Q26" s="287">
        <f t="shared" si="19"/>
        <v>1.05</v>
      </c>
      <c r="R26" s="278">
        <f>MAX(TechData_R0!F34,1)</f>
        <v>1</v>
      </c>
      <c r="S26" s="278"/>
      <c r="T26" s="288">
        <v>5</v>
      </c>
      <c r="U26" s="289"/>
    </row>
    <row r="27" spans="1:21" x14ac:dyDescent="0.2">
      <c r="A27" s="256" t="s">
        <v>53</v>
      </c>
      <c r="B27" s="286" t="str">
        <f>TechData_R0!B36</f>
        <v>MINCNABHU3</v>
      </c>
      <c r="C27" s="286"/>
      <c r="D27" s="286"/>
      <c r="E27" s="278" t="s">
        <v>32</v>
      </c>
      <c r="F27" s="278"/>
      <c r="G27" s="278" t="s">
        <v>33</v>
      </c>
      <c r="H27" s="287">
        <f>TechData_R0!G36</f>
        <v>1.05</v>
      </c>
      <c r="I27" s="287">
        <f t="shared" ref="I27:Q27" si="20">H27</f>
        <v>1.05</v>
      </c>
      <c r="J27" s="287">
        <f t="shared" si="20"/>
        <v>1.05</v>
      </c>
      <c r="K27" s="287">
        <f t="shared" si="20"/>
        <v>1.05</v>
      </c>
      <c r="L27" s="287">
        <f t="shared" si="20"/>
        <v>1.05</v>
      </c>
      <c r="M27" s="287">
        <f t="shared" si="20"/>
        <v>1.05</v>
      </c>
      <c r="N27" s="287">
        <f t="shared" si="20"/>
        <v>1.05</v>
      </c>
      <c r="O27" s="287">
        <f t="shared" si="20"/>
        <v>1.05</v>
      </c>
      <c r="P27" s="287">
        <f t="shared" si="20"/>
        <v>1.05</v>
      </c>
      <c r="Q27" s="287">
        <f t="shared" si="20"/>
        <v>1.05</v>
      </c>
      <c r="R27" s="278">
        <f>MAX(TechData_R0!F35,1)</f>
        <v>1</v>
      </c>
      <c r="S27" s="278"/>
      <c r="T27" s="288">
        <v>5</v>
      </c>
      <c r="U27" s="289"/>
    </row>
    <row r="28" spans="1:21" x14ac:dyDescent="0.2">
      <c r="A28" s="256" t="s">
        <v>54</v>
      </c>
      <c r="B28" s="286" t="str">
        <f>TechData_R0!B37</f>
        <v>MINCNABHU4</v>
      </c>
      <c r="C28" s="286"/>
      <c r="D28" s="286"/>
      <c r="E28" s="278" t="s">
        <v>32</v>
      </c>
      <c r="F28" s="278"/>
      <c r="G28" s="278" t="s">
        <v>33</v>
      </c>
      <c r="H28" s="287">
        <f>TechData_R0!G37</f>
        <v>1.05</v>
      </c>
      <c r="I28" s="287">
        <f t="shared" ref="I28:Q28" si="21">H28</f>
        <v>1.05</v>
      </c>
      <c r="J28" s="287">
        <f t="shared" si="21"/>
        <v>1.05</v>
      </c>
      <c r="K28" s="287">
        <f t="shared" si="21"/>
        <v>1.05</v>
      </c>
      <c r="L28" s="287">
        <f t="shared" si="21"/>
        <v>1.05</v>
      </c>
      <c r="M28" s="287">
        <f t="shared" si="21"/>
        <v>1.05</v>
      </c>
      <c r="N28" s="287">
        <f t="shared" si="21"/>
        <v>1.05</v>
      </c>
      <c r="O28" s="287">
        <f t="shared" si="21"/>
        <v>1.05</v>
      </c>
      <c r="P28" s="287">
        <f t="shared" si="21"/>
        <v>1.05</v>
      </c>
      <c r="Q28" s="287">
        <f t="shared" si="21"/>
        <v>1.05</v>
      </c>
      <c r="R28" s="278">
        <f>MAX(TechData_R0!F36,1)</f>
        <v>1</v>
      </c>
      <c r="S28" s="278"/>
      <c r="T28" s="288">
        <v>5</v>
      </c>
      <c r="U28" s="289"/>
    </row>
    <row r="29" spans="1:21" x14ac:dyDescent="0.2">
      <c r="A29" s="256" t="s">
        <v>55</v>
      </c>
      <c r="B29" s="286" t="str">
        <f>TechData_R0!B38</f>
        <v>MINCNABHU5</v>
      </c>
      <c r="C29" s="286"/>
      <c r="D29" s="286"/>
      <c r="E29" s="278" t="s">
        <v>32</v>
      </c>
      <c r="F29" s="278"/>
      <c r="G29" s="278" t="s">
        <v>33</v>
      </c>
      <c r="H29" s="287">
        <f>TechData_R0!G38</f>
        <v>1.05</v>
      </c>
      <c r="I29" s="287">
        <f t="shared" ref="I29:Q29" si="22">H29</f>
        <v>1.05</v>
      </c>
      <c r="J29" s="287">
        <f t="shared" si="22"/>
        <v>1.05</v>
      </c>
      <c r="K29" s="287">
        <f t="shared" si="22"/>
        <v>1.05</v>
      </c>
      <c r="L29" s="287">
        <f t="shared" si="22"/>
        <v>1.05</v>
      </c>
      <c r="M29" s="287">
        <f t="shared" si="22"/>
        <v>1.05</v>
      </c>
      <c r="N29" s="287">
        <f t="shared" si="22"/>
        <v>1.05</v>
      </c>
      <c r="O29" s="287">
        <f t="shared" si="22"/>
        <v>1.05</v>
      </c>
      <c r="P29" s="287">
        <f t="shared" si="22"/>
        <v>1.05</v>
      </c>
      <c r="Q29" s="287">
        <f t="shared" si="22"/>
        <v>1.05</v>
      </c>
      <c r="R29" s="278">
        <f>MAX(TechData_R0!F37,1)</f>
        <v>1</v>
      </c>
      <c r="S29" s="278"/>
      <c r="T29" s="288">
        <v>5</v>
      </c>
      <c r="U29" s="289"/>
    </row>
    <row r="30" spans="1:21" x14ac:dyDescent="0.2">
      <c r="A30" s="256" t="s">
        <v>56</v>
      </c>
      <c r="B30" s="286" t="str">
        <f>TechData_R0!B39</f>
        <v>MINCNABHU6</v>
      </c>
      <c r="C30" s="286"/>
      <c r="D30" s="286"/>
      <c r="E30" s="278" t="s">
        <v>32</v>
      </c>
      <c r="F30" s="278"/>
      <c r="G30" s="278" t="s">
        <v>33</v>
      </c>
      <c r="H30" s="287">
        <f>TechData_R0!G39</f>
        <v>1.05</v>
      </c>
      <c r="I30" s="287">
        <f t="shared" ref="I30:Q30" si="23">H30</f>
        <v>1.05</v>
      </c>
      <c r="J30" s="287">
        <f t="shared" si="23"/>
        <v>1.05</v>
      </c>
      <c r="K30" s="287">
        <f t="shared" si="23"/>
        <v>1.05</v>
      </c>
      <c r="L30" s="287">
        <f t="shared" si="23"/>
        <v>1.05</v>
      </c>
      <c r="M30" s="287">
        <f t="shared" si="23"/>
        <v>1.05</v>
      </c>
      <c r="N30" s="287">
        <f t="shared" si="23"/>
        <v>1.05</v>
      </c>
      <c r="O30" s="287">
        <f t="shared" si="23"/>
        <v>1.05</v>
      </c>
      <c r="P30" s="287">
        <f t="shared" si="23"/>
        <v>1.05</v>
      </c>
      <c r="Q30" s="287">
        <f t="shared" si="23"/>
        <v>1.05</v>
      </c>
      <c r="R30" s="278">
        <f>MAX(TechData_R0!F38,1)</f>
        <v>16.15340437981445</v>
      </c>
      <c r="S30" s="278"/>
      <c r="T30" s="288">
        <v>5</v>
      </c>
      <c r="U30" s="289"/>
    </row>
    <row r="31" spans="1:21" x14ac:dyDescent="0.2">
      <c r="A31" s="256" t="s">
        <v>57</v>
      </c>
      <c r="B31" s="286" t="str">
        <f>TechData_R0!B41</f>
        <v>MINCNABHS1</v>
      </c>
      <c r="C31" s="286"/>
      <c r="D31" s="286"/>
      <c r="E31" s="278" t="s">
        <v>32</v>
      </c>
      <c r="F31" s="278"/>
      <c r="G31" s="278" t="s">
        <v>33</v>
      </c>
      <c r="H31" s="287">
        <f>TechData_R0!G41</f>
        <v>1.05</v>
      </c>
      <c r="I31" s="287">
        <f t="shared" ref="I31:Q31" si="24">H31</f>
        <v>1.05</v>
      </c>
      <c r="J31" s="287">
        <f t="shared" si="24"/>
        <v>1.05</v>
      </c>
      <c r="K31" s="287">
        <f t="shared" si="24"/>
        <v>1.05</v>
      </c>
      <c r="L31" s="287">
        <f t="shared" si="24"/>
        <v>1.05</v>
      </c>
      <c r="M31" s="287">
        <f t="shared" si="24"/>
        <v>1.05</v>
      </c>
      <c r="N31" s="287">
        <f t="shared" si="24"/>
        <v>1.05</v>
      </c>
      <c r="O31" s="287">
        <f t="shared" si="24"/>
        <v>1.05</v>
      </c>
      <c r="P31" s="287">
        <f t="shared" si="24"/>
        <v>1.05</v>
      </c>
      <c r="Q31" s="287">
        <f t="shared" si="24"/>
        <v>1.05</v>
      </c>
      <c r="R31" s="278">
        <f>MAX(TechData_R0!F40,1)</f>
        <v>1</v>
      </c>
      <c r="S31" s="278"/>
      <c r="T31" s="288">
        <v>5</v>
      </c>
      <c r="U31" s="289"/>
    </row>
    <row r="32" spans="1:21" x14ac:dyDescent="0.2">
      <c r="A32" s="256" t="s">
        <v>58</v>
      </c>
      <c r="B32" s="286" t="str">
        <f>TechData_R0!B42</f>
        <v>MINCNABHS2</v>
      </c>
      <c r="C32" s="286"/>
      <c r="D32" s="286"/>
      <c r="E32" s="278" t="s">
        <v>32</v>
      </c>
      <c r="F32" s="278"/>
      <c r="G32" s="278" t="s">
        <v>33</v>
      </c>
      <c r="H32" s="287">
        <f>TechData_R0!G42</f>
        <v>1.05</v>
      </c>
      <c r="I32" s="287">
        <f t="shared" ref="I32:Q32" si="25">H32</f>
        <v>1.05</v>
      </c>
      <c r="J32" s="287">
        <f t="shared" si="25"/>
        <v>1.05</v>
      </c>
      <c r="K32" s="287">
        <f t="shared" si="25"/>
        <v>1.05</v>
      </c>
      <c r="L32" s="287">
        <f t="shared" si="25"/>
        <v>1.05</v>
      </c>
      <c r="M32" s="287">
        <f t="shared" si="25"/>
        <v>1.05</v>
      </c>
      <c r="N32" s="287">
        <f t="shared" si="25"/>
        <v>1.05</v>
      </c>
      <c r="O32" s="287">
        <f t="shared" si="25"/>
        <v>1.05</v>
      </c>
      <c r="P32" s="287">
        <f t="shared" si="25"/>
        <v>1.05</v>
      </c>
      <c r="Q32" s="287">
        <f t="shared" si="25"/>
        <v>1.05</v>
      </c>
      <c r="R32" s="278">
        <f>MAX(TechData_R0!F41,1)</f>
        <v>1</v>
      </c>
      <c r="S32" s="278"/>
      <c r="T32" s="288">
        <v>5</v>
      </c>
      <c r="U32" s="289"/>
    </row>
    <row r="33" spans="1:21" x14ac:dyDescent="0.2">
      <c r="A33" s="256" t="s">
        <v>59</v>
      </c>
      <c r="B33" s="286" t="str">
        <f>TechData_R0!B43</f>
        <v>MINCNABHS3</v>
      </c>
      <c r="C33" s="286"/>
      <c r="D33" s="286"/>
      <c r="E33" s="278" t="s">
        <v>32</v>
      </c>
      <c r="F33" s="278"/>
      <c r="G33" s="278" t="s">
        <v>33</v>
      </c>
      <c r="H33" s="287">
        <f>TechData_R0!G43</f>
        <v>1.05</v>
      </c>
      <c r="I33" s="287">
        <f t="shared" ref="I33:Q33" si="26">H33</f>
        <v>1.05</v>
      </c>
      <c r="J33" s="287">
        <f t="shared" si="26"/>
        <v>1.05</v>
      </c>
      <c r="K33" s="287">
        <f t="shared" si="26"/>
        <v>1.05</v>
      </c>
      <c r="L33" s="287">
        <f t="shared" si="26"/>
        <v>1.05</v>
      </c>
      <c r="M33" s="287">
        <f t="shared" si="26"/>
        <v>1.05</v>
      </c>
      <c r="N33" s="287">
        <f t="shared" si="26"/>
        <v>1.05</v>
      </c>
      <c r="O33" s="287">
        <f t="shared" si="26"/>
        <v>1.05</v>
      </c>
      <c r="P33" s="287">
        <f t="shared" si="26"/>
        <v>1.05</v>
      </c>
      <c r="Q33" s="287">
        <f t="shared" si="26"/>
        <v>1.05</v>
      </c>
      <c r="R33" s="278">
        <f>MAX(TechData_R0!F42,1)</f>
        <v>1</v>
      </c>
      <c r="S33" s="278"/>
      <c r="T33" s="288">
        <v>5</v>
      </c>
      <c r="U33" s="289"/>
    </row>
    <row r="34" spans="1:21" x14ac:dyDescent="0.2">
      <c r="A34" s="256" t="s">
        <v>60</v>
      </c>
      <c r="B34" s="286" t="str">
        <f>TechData_R0!B44</f>
        <v>MINCNABHS4</v>
      </c>
      <c r="C34" s="286"/>
      <c r="D34" s="286"/>
      <c r="E34" s="278" t="s">
        <v>32</v>
      </c>
      <c r="F34" s="278"/>
      <c r="G34" s="278" t="s">
        <v>33</v>
      </c>
      <c r="H34" s="287">
        <f>TechData_R0!G44</f>
        <v>1.05</v>
      </c>
      <c r="I34" s="287">
        <f t="shared" ref="I34:Q34" si="27">H34</f>
        <v>1.05</v>
      </c>
      <c r="J34" s="287">
        <f t="shared" si="27"/>
        <v>1.05</v>
      </c>
      <c r="K34" s="287">
        <f t="shared" si="27"/>
        <v>1.05</v>
      </c>
      <c r="L34" s="287">
        <f t="shared" si="27"/>
        <v>1.05</v>
      </c>
      <c r="M34" s="287">
        <f t="shared" si="27"/>
        <v>1.05</v>
      </c>
      <c r="N34" s="287">
        <f t="shared" si="27"/>
        <v>1.05</v>
      </c>
      <c r="O34" s="287">
        <f t="shared" si="27"/>
        <v>1.05</v>
      </c>
      <c r="P34" s="287">
        <f t="shared" si="27"/>
        <v>1.05</v>
      </c>
      <c r="Q34" s="287">
        <f t="shared" si="27"/>
        <v>1.05</v>
      </c>
      <c r="R34" s="278">
        <f>MAX(TechData_R0!F43,1)</f>
        <v>1</v>
      </c>
      <c r="S34" s="278"/>
      <c r="T34" s="288">
        <v>5</v>
      </c>
      <c r="U34" s="289"/>
    </row>
    <row r="35" spans="1:21" x14ac:dyDescent="0.2">
      <c r="A35" s="256" t="s">
        <v>61</v>
      </c>
      <c r="B35" s="286" t="str">
        <f>TechData_R0!B45</f>
        <v>MINCNABHS5</v>
      </c>
      <c r="C35" s="286"/>
      <c r="D35" s="286"/>
      <c r="E35" s="278" t="s">
        <v>32</v>
      </c>
      <c r="F35" s="278"/>
      <c r="G35" s="278" t="s">
        <v>33</v>
      </c>
      <c r="H35" s="287">
        <f>TechData_R0!G45</f>
        <v>1.05</v>
      </c>
      <c r="I35" s="287">
        <f t="shared" ref="I35:Q35" si="28">H35</f>
        <v>1.05</v>
      </c>
      <c r="J35" s="287">
        <f t="shared" si="28"/>
        <v>1.05</v>
      </c>
      <c r="K35" s="287">
        <f t="shared" si="28"/>
        <v>1.05</v>
      </c>
      <c r="L35" s="287">
        <f t="shared" si="28"/>
        <v>1.05</v>
      </c>
      <c r="M35" s="287">
        <f t="shared" si="28"/>
        <v>1.05</v>
      </c>
      <c r="N35" s="287">
        <f t="shared" si="28"/>
        <v>1.05</v>
      </c>
      <c r="O35" s="287">
        <f t="shared" si="28"/>
        <v>1.05</v>
      </c>
      <c r="P35" s="287">
        <f t="shared" si="28"/>
        <v>1.05</v>
      </c>
      <c r="Q35" s="287">
        <f t="shared" si="28"/>
        <v>1.05</v>
      </c>
      <c r="R35" s="278">
        <f>MAX(TechData_R0!F44,1)</f>
        <v>1</v>
      </c>
      <c r="S35" s="278"/>
      <c r="T35" s="288">
        <v>5</v>
      </c>
      <c r="U35" s="289"/>
    </row>
    <row r="36" spans="1:21" x14ac:dyDescent="0.2">
      <c r="A36" s="256" t="s">
        <v>62</v>
      </c>
      <c r="B36" s="286" t="str">
        <f>TechData_R0!B46</f>
        <v>MINCNABHS6</v>
      </c>
      <c r="C36" s="286"/>
      <c r="D36" s="286"/>
      <c r="E36" s="278" t="s">
        <v>32</v>
      </c>
      <c r="F36" s="278"/>
      <c r="G36" s="278" t="s">
        <v>33</v>
      </c>
      <c r="H36" s="287">
        <f>TechData_R0!G46</f>
        <v>1.05</v>
      </c>
      <c r="I36" s="287">
        <f t="shared" ref="I36:Q36" si="29">H36</f>
        <v>1.05</v>
      </c>
      <c r="J36" s="287">
        <f t="shared" si="29"/>
        <v>1.05</v>
      </c>
      <c r="K36" s="287">
        <f t="shared" si="29"/>
        <v>1.05</v>
      </c>
      <c r="L36" s="287">
        <f t="shared" si="29"/>
        <v>1.05</v>
      </c>
      <c r="M36" s="287">
        <f t="shared" si="29"/>
        <v>1.05</v>
      </c>
      <c r="N36" s="287">
        <f t="shared" si="29"/>
        <v>1.05</v>
      </c>
      <c r="O36" s="287">
        <f t="shared" si="29"/>
        <v>1.05</v>
      </c>
      <c r="P36" s="287">
        <f t="shared" si="29"/>
        <v>1.05</v>
      </c>
      <c r="Q36" s="287">
        <f t="shared" si="29"/>
        <v>1.05</v>
      </c>
      <c r="R36" s="278">
        <f>MAX(TechData_R0!F45,1)</f>
        <v>3.9360355754156005</v>
      </c>
      <c r="S36" s="278"/>
      <c r="T36" s="288">
        <v>5</v>
      </c>
      <c r="U36" s="289"/>
    </row>
    <row r="37" spans="1:21" x14ac:dyDescent="0.2">
      <c r="A37" s="256" t="s">
        <v>63</v>
      </c>
      <c r="B37" s="286" t="str">
        <f>TechData_R0!B48</f>
        <v>MINCCAPMU1</v>
      </c>
      <c r="C37" s="286"/>
      <c r="D37" s="286"/>
      <c r="E37" s="278" t="s">
        <v>32</v>
      </c>
      <c r="F37" s="278"/>
      <c r="G37" s="278" t="s">
        <v>33</v>
      </c>
      <c r="H37" s="287">
        <f>TechData_R0!G48</f>
        <v>1.05</v>
      </c>
      <c r="I37" s="287">
        <f t="shared" ref="I37:Q37" si="30">H37</f>
        <v>1.05</v>
      </c>
      <c r="J37" s="287">
        <f t="shared" si="30"/>
        <v>1.05</v>
      </c>
      <c r="K37" s="287">
        <f t="shared" si="30"/>
        <v>1.05</v>
      </c>
      <c r="L37" s="287">
        <f t="shared" si="30"/>
        <v>1.05</v>
      </c>
      <c r="M37" s="287">
        <f t="shared" si="30"/>
        <v>1.05</v>
      </c>
      <c r="N37" s="287">
        <f t="shared" si="30"/>
        <v>1.05</v>
      </c>
      <c r="O37" s="287">
        <f t="shared" si="30"/>
        <v>1.05</v>
      </c>
      <c r="P37" s="287">
        <f t="shared" si="30"/>
        <v>1.05</v>
      </c>
      <c r="Q37" s="287">
        <f t="shared" si="30"/>
        <v>1.05</v>
      </c>
      <c r="R37" s="278">
        <f>MAX(TechData_R0!F47,1)</f>
        <v>1</v>
      </c>
      <c r="S37" s="278"/>
      <c r="T37" s="288">
        <v>5</v>
      </c>
      <c r="U37" s="289"/>
    </row>
    <row r="38" spans="1:21" x14ac:dyDescent="0.2">
      <c r="A38" s="256" t="s">
        <v>64</v>
      </c>
      <c r="B38" s="286" t="str">
        <f>TechData_R0!B49</f>
        <v>MINCCAPMU2</v>
      </c>
      <c r="C38" s="286"/>
      <c r="D38" s="286"/>
      <c r="E38" s="278" t="s">
        <v>32</v>
      </c>
      <c r="F38" s="278"/>
      <c r="G38" s="278" t="s">
        <v>33</v>
      </c>
      <c r="H38" s="287">
        <f>TechData_R0!G49</f>
        <v>1.05</v>
      </c>
      <c r="I38" s="287">
        <f t="shared" ref="I38:Q38" si="31">H38</f>
        <v>1.05</v>
      </c>
      <c r="J38" s="287">
        <f t="shared" si="31"/>
        <v>1.05</v>
      </c>
      <c r="K38" s="287">
        <f t="shared" si="31"/>
        <v>1.05</v>
      </c>
      <c r="L38" s="287">
        <f t="shared" si="31"/>
        <v>1.05</v>
      </c>
      <c r="M38" s="287">
        <f t="shared" si="31"/>
        <v>1.05</v>
      </c>
      <c r="N38" s="287">
        <f t="shared" si="31"/>
        <v>1.05</v>
      </c>
      <c r="O38" s="287">
        <f t="shared" si="31"/>
        <v>1.05</v>
      </c>
      <c r="P38" s="287">
        <f t="shared" si="31"/>
        <v>1.05</v>
      </c>
      <c r="Q38" s="287">
        <f t="shared" si="31"/>
        <v>1.05</v>
      </c>
      <c r="R38" s="278">
        <f>MAX(TechData_R0!F48,1)</f>
        <v>1</v>
      </c>
      <c r="S38" s="278"/>
      <c r="T38" s="288">
        <v>5</v>
      </c>
      <c r="U38" s="289"/>
    </row>
    <row r="39" spans="1:21" x14ac:dyDescent="0.2">
      <c r="A39" s="256" t="s">
        <v>65</v>
      </c>
      <c r="B39" s="286" t="str">
        <f>TechData_R0!B50</f>
        <v>MINCCAPMU3</v>
      </c>
      <c r="C39" s="286"/>
      <c r="D39" s="286"/>
      <c r="E39" s="278" t="s">
        <v>32</v>
      </c>
      <c r="F39" s="278"/>
      <c r="G39" s="278" t="s">
        <v>33</v>
      </c>
      <c r="H39" s="287">
        <f>TechData_R0!G50</f>
        <v>1.05</v>
      </c>
      <c r="I39" s="287">
        <f t="shared" ref="I39:Q39" si="32">H39</f>
        <v>1.05</v>
      </c>
      <c r="J39" s="287">
        <f t="shared" si="32"/>
        <v>1.05</v>
      </c>
      <c r="K39" s="287">
        <f t="shared" si="32"/>
        <v>1.05</v>
      </c>
      <c r="L39" s="287">
        <f t="shared" si="32"/>
        <v>1.05</v>
      </c>
      <c r="M39" s="287">
        <f t="shared" si="32"/>
        <v>1.05</v>
      </c>
      <c r="N39" s="287">
        <f t="shared" si="32"/>
        <v>1.05</v>
      </c>
      <c r="O39" s="287">
        <f t="shared" si="32"/>
        <v>1.05</v>
      </c>
      <c r="P39" s="287">
        <f t="shared" si="32"/>
        <v>1.05</v>
      </c>
      <c r="Q39" s="287">
        <f t="shared" si="32"/>
        <v>1.05</v>
      </c>
      <c r="R39" s="278">
        <f>MAX(TechData_R0!F49,1)</f>
        <v>1</v>
      </c>
      <c r="S39" s="278"/>
      <c r="T39" s="288">
        <v>5</v>
      </c>
      <c r="U39" s="289"/>
    </row>
    <row r="40" spans="1:21" x14ac:dyDescent="0.2">
      <c r="A40" s="256" t="s">
        <v>66</v>
      </c>
      <c r="B40" s="286" t="str">
        <f>TechData_R0!B51</f>
        <v>MINCCAPMU4</v>
      </c>
      <c r="C40" s="286"/>
      <c r="D40" s="286"/>
      <c r="E40" s="278" t="s">
        <v>32</v>
      </c>
      <c r="F40" s="278"/>
      <c r="G40" s="278" t="s">
        <v>33</v>
      </c>
      <c r="H40" s="287">
        <f>TechData_R0!G51</f>
        <v>1.05</v>
      </c>
      <c r="I40" s="287">
        <f t="shared" ref="I40:Q40" si="33">H40</f>
        <v>1.05</v>
      </c>
      <c r="J40" s="287">
        <f t="shared" si="33"/>
        <v>1.05</v>
      </c>
      <c r="K40" s="287">
        <f t="shared" si="33"/>
        <v>1.05</v>
      </c>
      <c r="L40" s="287">
        <f t="shared" si="33"/>
        <v>1.05</v>
      </c>
      <c r="M40" s="287">
        <f t="shared" si="33"/>
        <v>1.05</v>
      </c>
      <c r="N40" s="287">
        <f t="shared" si="33"/>
        <v>1.05</v>
      </c>
      <c r="O40" s="287">
        <f t="shared" si="33"/>
        <v>1.05</v>
      </c>
      <c r="P40" s="287">
        <f t="shared" si="33"/>
        <v>1.05</v>
      </c>
      <c r="Q40" s="287">
        <f t="shared" si="33"/>
        <v>1.05</v>
      </c>
      <c r="R40" s="278">
        <f>MAX(TechData_R0!F50,1)</f>
        <v>1</v>
      </c>
      <c r="S40" s="278"/>
      <c r="T40" s="288">
        <v>5</v>
      </c>
      <c r="U40" s="289"/>
    </row>
    <row r="41" spans="1:21" x14ac:dyDescent="0.2">
      <c r="A41" s="256" t="s">
        <v>67</v>
      </c>
      <c r="B41" s="286" t="str">
        <f>TechData_R0!B52</f>
        <v>MINCCAPMU5</v>
      </c>
      <c r="C41" s="286"/>
      <c r="D41" s="286"/>
      <c r="E41" s="278" t="s">
        <v>32</v>
      </c>
      <c r="F41" s="278"/>
      <c r="G41" s="278" t="s">
        <v>33</v>
      </c>
      <c r="H41" s="287">
        <f>TechData_R0!G52</f>
        <v>1.05</v>
      </c>
      <c r="I41" s="287">
        <f t="shared" ref="I41:Q41" si="34">H41</f>
        <v>1.05</v>
      </c>
      <c r="J41" s="287">
        <f t="shared" si="34"/>
        <v>1.05</v>
      </c>
      <c r="K41" s="287">
        <f t="shared" si="34"/>
        <v>1.05</v>
      </c>
      <c r="L41" s="287">
        <f t="shared" si="34"/>
        <v>1.05</v>
      </c>
      <c r="M41" s="287">
        <f t="shared" si="34"/>
        <v>1.05</v>
      </c>
      <c r="N41" s="287">
        <f t="shared" si="34"/>
        <v>1.05</v>
      </c>
      <c r="O41" s="287">
        <f t="shared" si="34"/>
        <v>1.05</v>
      </c>
      <c r="P41" s="287">
        <f t="shared" si="34"/>
        <v>1.05</v>
      </c>
      <c r="Q41" s="287">
        <f t="shared" si="34"/>
        <v>1.05</v>
      </c>
      <c r="R41" s="278">
        <f>MAX(TechData_R0!F51,1)</f>
        <v>1</v>
      </c>
      <c r="S41" s="278"/>
      <c r="T41" s="288">
        <v>5</v>
      </c>
      <c r="U41" s="289"/>
    </row>
    <row r="42" spans="1:21" x14ac:dyDescent="0.2">
      <c r="A42" s="256" t="s">
        <v>68</v>
      </c>
      <c r="B42" s="286" t="str">
        <f>TechData_R0!B53</f>
        <v>MINCCAPMU6</v>
      </c>
      <c r="C42" s="286"/>
      <c r="D42" s="286"/>
      <c r="E42" s="278" t="s">
        <v>32</v>
      </c>
      <c r="F42" s="278"/>
      <c r="G42" s="278" t="s">
        <v>33</v>
      </c>
      <c r="H42" s="287">
        <f>TechData_R0!G53</f>
        <v>1.05</v>
      </c>
      <c r="I42" s="287">
        <f t="shared" ref="I42:Q42" si="35">H42</f>
        <v>1.05</v>
      </c>
      <c r="J42" s="287">
        <f t="shared" si="35"/>
        <v>1.05</v>
      </c>
      <c r="K42" s="287">
        <f t="shared" si="35"/>
        <v>1.05</v>
      </c>
      <c r="L42" s="287">
        <f t="shared" si="35"/>
        <v>1.05</v>
      </c>
      <c r="M42" s="287">
        <f t="shared" si="35"/>
        <v>1.05</v>
      </c>
      <c r="N42" s="287">
        <f t="shared" si="35"/>
        <v>1.05</v>
      </c>
      <c r="O42" s="287">
        <f t="shared" si="35"/>
        <v>1.05</v>
      </c>
      <c r="P42" s="287">
        <f t="shared" si="35"/>
        <v>1.05</v>
      </c>
      <c r="Q42" s="287">
        <f t="shared" si="35"/>
        <v>1.05</v>
      </c>
      <c r="R42" s="278">
        <f>MAX(TechData_R0!F52,1)</f>
        <v>16.94050339293603</v>
      </c>
      <c r="S42" s="278"/>
      <c r="T42" s="288">
        <v>5</v>
      </c>
      <c r="U42" s="289"/>
    </row>
    <row r="43" spans="1:21" x14ac:dyDescent="0.2">
      <c r="A43" s="256" t="s">
        <v>69</v>
      </c>
      <c r="B43" s="286" t="str">
        <f>TechData_R0!B55</f>
        <v>MINCCABLU1</v>
      </c>
      <c r="C43" s="286"/>
      <c r="D43" s="286"/>
      <c r="E43" s="278" t="s">
        <v>32</v>
      </c>
      <c r="F43" s="278"/>
      <c r="G43" s="278" t="s">
        <v>33</v>
      </c>
      <c r="H43" s="287">
        <f>TechData_R0!G55</f>
        <v>1.05</v>
      </c>
      <c r="I43" s="287">
        <f t="shared" ref="I43:Q43" si="36">H43</f>
        <v>1.05</v>
      </c>
      <c r="J43" s="287">
        <f t="shared" si="36"/>
        <v>1.05</v>
      </c>
      <c r="K43" s="287">
        <f t="shared" si="36"/>
        <v>1.05</v>
      </c>
      <c r="L43" s="287">
        <f t="shared" si="36"/>
        <v>1.05</v>
      </c>
      <c r="M43" s="287">
        <f t="shared" si="36"/>
        <v>1.05</v>
      </c>
      <c r="N43" s="287">
        <f t="shared" si="36"/>
        <v>1.05</v>
      </c>
      <c r="O43" s="287">
        <f t="shared" si="36"/>
        <v>1.05</v>
      </c>
      <c r="P43" s="287">
        <f t="shared" si="36"/>
        <v>1.05</v>
      </c>
      <c r="Q43" s="287">
        <f t="shared" si="36"/>
        <v>1.05</v>
      </c>
      <c r="R43" s="278">
        <f>MAX(TechData_R0!F54,1)</f>
        <v>1</v>
      </c>
      <c r="S43" s="278"/>
      <c r="T43" s="288">
        <v>5</v>
      </c>
      <c r="U43" s="289"/>
    </row>
    <row r="44" spans="1:21" x14ac:dyDescent="0.2">
      <c r="A44" s="256" t="s">
        <v>70</v>
      </c>
      <c r="B44" s="286" t="str">
        <f>TechData_R0!B56</f>
        <v>MINCCABLU2</v>
      </c>
      <c r="C44" s="286"/>
      <c r="D44" s="286"/>
      <c r="E44" s="278" t="s">
        <v>32</v>
      </c>
      <c r="F44" s="278"/>
      <c r="G44" s="278" t="s">
        <v>33</v>
      </c>
      <c r="H44" s="287">
        <f>TechData_R0!G56</f>
        <v>1.05</v>
      </c>
      <c r="I44" s="287">
        <f t="shared" ref="I44:Q44" si="37">H44</f>
        <v>1.05</v>
      </c>
      <c r="J44" s="287">
        <f t="shared" si="37"/>
        <v>1.05</v>
      </c>
      <c r="K44" s="287">
        <f t="shared" si="37"/>
        <v>1.05</v>
      </c>
      <c r="L44" s="287">
        <f t="shared" si="37"/>
        <v>1.05</v>
      </c>
      <c r="M44" s="287">
        <f t="shared" si="37"/>
        <v>1.05</v>
      </c>
      <c r="N44" s="287">
        <f t="shared" si="37"/>
        <v>1.05</v>
      </c>
      <c r="O44" s="287">
        <f t="shared" si="37"/>
        <v>1.05</v>
      </c>
      <c r="P44" s="287">
        <f t="shared" si="37"/>
        <v>1.05</v>
      </c>
      <c r="Q44" s="287">
        <f t="shared" si="37"/>
        <v>1.05</v>
      </c>
      <c r="R44" s="278">
        <f>MAX(TechData_R0!F55,1)</f>
        <v>1</v>
      </c>
      <c r="S44" s="278"/>
      <c r="T44" s="288">
        <v>5</v>
      </c>
      <c r="U44" s="289"/>
    </row>
    <row r="45" spans="1:21" x14ac:dyDescent="0.2">
      <c r="A45" s="256" t="s">
        <v>71</v>
      </c>
      <c r="B45" s="286" t="str">
        <f>TechData_R0!B57</f>
        <v>MINCCABLU3</v>
      </c>
      <c r="C45" s="286"/>
      <c r="D45" s="286"/>
      <c r="E45" s="278" t="s">
        <v>32</v>
      </c>
      <c r="F45" s="278"/>
      <c r="G45" s="278" t="s">
        <v>33</v>
      </c>
      <c r="H45" s="287">
        <f>TechData_R0!G57</f>
        <v>1.05</v>
      </c>
      <c r="I45" s="287">
        <f t="shared" ref="I45:Q45" si="38">H45</f>
        <v>1.05</v>
      </c>
      <c r="J45" s="287">
        <f t="shared" si="38"/>
        <v>1.05</v>
      </c>
      <c r="K45" s="287">
        <f t="shared" si="38"/>
        <v>1.05</v>
      </c>
      <c r="L45" s="287">
        <f t="shared" si="38"/>
        <v>1.05</v>
      </c>
      <c r="M45" s="287">
        <f t="shared" si="38"/>
        <v>1.05</v>
      </c>
      <c r="N45" s="287">
        <f t="shared" si="38"/>
        <v>1.05</v>
      </c>
      <c r="O45" s="287">
        <f t="shared" si="38"/>
        <v>1.05</v>
      </c>
      <c r="P45" s="287">
        <f t="shared" si="38"/>
        <v>1.05</v>
      </c>
      <c r="Q45" s="287">
        <f t="shared" si="38"/>
        <v>1.05</v>
      </c>
      <c r="R45" s="278">
        <f>MAX(TechData_R0!F56,1)</f>
        <v>1</v>
      </c>
      <c r="S45" s="278"/>
      <c r="T45" s="288">
        <v>5</v>
      </c>
      <c r="U45" s="289"/>
    </row>
    <row r="46" spans="1:21" x14ac:dyDescent="0.2">
      <c r="A46" s="256" t="s">
        <v>72</v>
      </c>
      <c r="B46" s="286" t="str">
        <f>TechData_R0!B58</f>
        <v>MINCCABLU4</v>
      </c>
      <c r="C46" s="286"/>
      <c r="D46" s="286"/>
      <c r="E46" s="278" t="s">
        <v>32</v>
      </c>
      <c r="F46" s="278"/>
      <c r="G46" s="278" t="s">
        <v>33</v>
      </c>
      <c r="H46" s="287">
        <f>TechData_R0!G58</f>
        <v>1.05</v>
      </c>
      <c r="I46" s="287">
        <f t="shared" ref="I46:Q46" si="39">H46</f>
        <v>1.05</v>
      </c>
      <c r="J46" s="287">
        <f t="shared" si="39"/>
        <v>1.05</v>
      </c>
      <c r="K46" s="287">
        <f t="shared" si="39"/>
        <v>1.05</v>
      </c>
      <c r="L46" s="287">
        <f t="shared" si="39"/>
        <v>1.05</v>
      </c>
      <c r="M46" s="287">
        <f t="shared" si="39"/>
        <v>1.05</v>
      </c>
      <c r="N46" s="287">
        <f t="shared" si="39"/>
        <v>1.05</v>
      </c>
      <c r="O46" s="287">
        <f t="shared" si="39"/>
        <v>1.05</v>
      </c>
      <c r="P46" s="287">
        <f t="shared" si="39"/>
        <v>1.05</v>
      </c>
      <c r="Q46" s="287">
        <f t="shared" si="39"/>
        <v>1.05</v>
      </c>
      <c r="R46" s="278">
        <f>MAX(TechData_R0!F57,1)</f>
        <v>1</v>
      </c>
      <c r="S46" s="278"/>
      <c r="T46" s="288">
        <v>5</v>
      </c>
      <c r="U46" s="289"/>
    </row>
    <row r="47" spans="1:21" x14ac:dyDescent="0.2">
      <c r="A47" s="256" t="s">
        <v>73</v>
      </c>
      <c r="B47" s="286" t="str">
        <f>TechData_R0!B59</f>
        <v>MINCCABLU5</v>
      </c>
      <c r="C47" s="286"/>
      <c r="D47" s="286"/>
      <c r="E47" s="278" t="s">
        <v>32</v>
      </c>
      <c r="F47" s="278"/>
      <c r="G47" s="278" t="s">
        <v>33</v>
      </c>
      <c r="H47" s="287">
        <f>TechData_R0!G59</f>
        <v>1.05</v>
      </c>
      <c r="I47" s="287">
        <f t="shared" ref="I47:Q47" si="40">H47</f>
        <v>1.05</v>
      </c>
      <c r="J47" s="287">
        <f t="shared" si="40"/>
        <v>1.05</v>
      </c>
      <c r="K47" s="287">
        <f t="shared" si="40"/>
        <v>1.05</v>
      </c>
      <c r="L47" s="287">
        <f t="shared" si="40"/>
        <v>1.05</v>
      </c>
      <c r="M47" s="287">
        <f t="shared" si="40"/>
        <v>1.05</v>
      </c>
      <c r="N47" s="287">
        <f t="shared" si="40"/>
        <v>1.05</v>
      </c>
      <c r="O47" s="287">
        <f t="shared" si="40"/>
        <v>1.05</v>
      </c>
      <c r="P47" s="287">
        <f t="shared" si="40"/>
        <v>1.05</v>
      </c>
      <c r="Q47" s="287">
        <f t="shared" si="40"/>
        <v>1.05</v>
      </c>
      <c r="R47" s="278">
        <f>MAX(TechData_R0!F58,1)</f>
        <v>1</v>
      </c>
      <c r="S47" s="278"/>
      <c r="T47" s="288">
        <v>5</v>
      </c>
      <c r="U47" s="289"/>
    </row>
    <row r="48" spans="1:21" x14ac:dyDescent="0.2">
      <c r="A48" s="256" t="s">
        <v>74</v>
      </c>
      <c r="B48" s="286" t="str">
        <f>TechData_R0!B60</f>
        <v>MINCCABLU6</v>
      </c>
      <c r="C48" s="286"/>
      <c r="D48" s="286"/>
      <c r="E48" s="278" t="s">
        <v>32</v>
      </c>
      <c r="F48" s="278"/>
      <c r="G48" s="278" t="s">
        <v>33</v>
      </c>
      <c r="H48" s="287">
        <f>TechData_R0!G60</f>
        <v>1.05</v>
      </c>
      <c r="I48" s="287">
        <f t="shared" ref="I48:Q48" si="41">H48</f>
        <v>1.05</v>
      </c>
      <c r="J48" s="287">
        <f t="shared" si="41"/>
        <v>1.05</v>
      </c>
      <c r="K48" s="287">
        <f t="shared" si="41"/>
        <v>1.05</v>
      </c>
      <c r="L48" s="287">
        <f t="shared" si="41"/>
        <v>1.05</v>
      </c>
      <c r="M48" s="287">
        <f t="shared" si="41"/>
        <v>1.05</v>
      </c>
      <c r="N48" s="287">
        <f t="shared" si="41"/>
        <v>1.05</v>
      </c>
      <c r="O48" s="287">
        <f t="shared" si="41"/>
        <v>1.05</v>
      </c>
      <c r="P48" s="287">
        <f t="shared" si="41"/>
        <v>1.05</v>
      </c>
      <c r="Q48" s="287">
        <f t="shared" si="41"/>
        <v>1.05</v>
      </c>
      <c r="R48" s="278">
        <f>MAX(TechData_R0!F59,1)</f>
        <v>1</v>
      </c>
      <c r="S48" s="278"/>
      <c r="T48" s="288">
        <v>5</v>
      </c>
      <c r="U48" s="289"/>
    </row>
    <row r="49" spans="1:21" x14ac:dyDescent="0.2">
      <c r="A49" s="256" t="s">
        <v>75</v>
      </c>
      <c r="B49" s="286" t="str">
        <f>TechData_R0!B62</f>
        <v>MINCCABLS1</v>
      </c>
      <c r="C49" s="286"/>
      <c r="D49" s="286"/>
      <c r="E49" s="278" t="s">
        <v>32</v>
      </c>
      <c r="F49" s="278"/>
      <c r="G49" s="278" t="s">
        <v>33</v>
      </c>
      <c r="H49" s="287">
        <f>TechData_R0!G62</f>
        <v>1.05</v>
      </c>
      <c r="I49" s="287">
        <f t="shared" ref="I49:Q49" si="42">H49</f>
        <v>1.05</v>
      </c>
      <c r="J49" s="287">
        <f t="shared" si="42"/>
        <v>1.05</v>
      </c>
      <c r="K49" s="287">
        <f t="shared" si="42"/>
        <v>1.05</v>
      </c>
      <c r="L49" s="287">
        <f t="shared" si="42"/>
        <v>1.05</v>
      </c>
      <c r="M49" s="287">
        <f t="shared" si="42"/>
        <v>1.05</v>
      </c>
      <c r="N49" s="287">
        <f t="shared" si="42"/>
        <v>1.05</v>
      </c>
      <c r="O49" s="287">
        <f t="shared" si="42"/>
        <v>1.05</v>
      </c>
      <c r="P49" s="287">
        <f t="shared" si="42"/>
        <v>1.05</v>
      </c>
      <c r="Q49" s="287">
        <f t="shared" si="42"/>
        <v>1.05</v>
      </c>
      <c r="R49" s="278">
        <f>MAX(TechData_R0!F61,1)</f>
        <v>1</v>
      </c>
      <c r="S49" s="278"/>
      <c r="T49" s="288">
        <v>5</v>
      </c>
      <c r="U49" s="289"/>
    </row>
    <row r="50" spans="1:21" x14ac:dyDescent="0.2">
      <c r="A50" s="256" t="s">
        <v>76</v>
      </c>
      <c r="B50" s="286" t="str">
        <f>TechData_R0!B63</f>
        <v>MINCCABLS2</v>
      </c>
      <c r="C50" s="286"/>
      <c r="D50" s="286"/>
      <c r="E50" s="278" t="s">
        <v>32</v>
      </c>
      <c r="F50" s="278"/>
      <c r="G50" s="278" t="s">
        <v>33</v>
      </c>
      <c r="H50" s="287">
        <f>TechData_R0!G63</f>
        <v>1.05</v>
      </c>
      <c r="I50" s="287">
        <f t="shared" ref="I50:Q50" si="43">H50</f>
        <v>1.05</v>
      </c>
      <c r="J50" s="287">
        <f t="shared" si="43"/>
        <v>1.05</v>
      </c>
      <c r="K50" s="287">
        <f t="shared" si="43"/>
        <v>1.05</v>
      </c>
      <c r="L50" s="287">
        <f t="shared" si="43"/>
        <v>1.05</v>
      </c>
      <c r="M50" s="287">
        <f t="shared" si="43"/>
        <v>1.05</v>
      </c>
      <c r="N50" s="287">
        <f t="shared" si="43"/>
        <v>1.05</v>
      </c>
      <c r="O50" s="287">
        <f t="shared" si="43"/>
        <v>1.05</v>
      </c>
      <c r="P50" s="287">
        <f t="shared" si="43"/>
        <v>1.05</v>
      </c>
      <c r="Q50" s="287">
        <f t="shared" si="43"/>
        <v>1.05</v>
      </c>
      <c r="R50" s="278">
        <f>MAX(TechData_R0!F62,1)</f>
        <v>1</v>
      </c>
      <c r="S50" s="278"/>
      <c r="T50" s="288">
        <v>5</v>
      </c>
      <c r="U50" s="289"/>
    </row>
    <row r="51" spans="1:21" x14ac:dyDescent="0.2">
      <c r="A51" s="256" t="s">
        <v>77</v>
      </c>
      <c r="B51" s="286" t="str">
        <f>TechData_R0!B64</f>
        <v>MINCCABLS3</v>
      </c>
      <c r="C51" s="286"/>
      <c r="D51" s="286"/>
      <c r="E51" s="278" t="s">
        <v>32</v>
      </c>
      <c r="F51" s="278"/>
      <c r="G51" s="278" t="s">
        <v>33</v>
      </c>
      <c r="H51" s="287">
        <f>TechData_R0!G64</f>
        <v>1.05</v>
      </c>
      <c r="I51" s="287">
        <f t="shared" ref="I51:Q51" si="44">H51</f>
        <v>1.05</v>
      </c>
      <c r="J51" s="287">
        <f t="shared" si="44"/>
        <v>1.05</v>
      </c>
      <c r="K51" s="287">
        <f t="shared" si="44"/>
        <v>1.05</v>
      </c>
      <c r="L51" s="287">
        <f t="shared" si="44"/>
        <v>1.05</v>
      </c>
      <c r="M51" s="287">
        <f t="shared" si="44"/>
        <v>1.05</v>
      </c>
      <c r="N51" s="287">
        <f t="shared" si="44"/>
        <v>1.05</v>
      </c>
      <c r="O51" s="287">
        <f t="shared" si="44"/>
        <v>1.05</v>
      </c>
      <c r="P51" s="287">
        <f t="shared" si="44"/>
        <v>1.05</v>
      </c>
      <c r="Q51" s="287">
        <f t="shared" si="44"/>
        <v>1.05</v>
      </c>
      <c r="R51" s="278">
        <f>MAX(TechData_R0!F63,1)</f>
        <v>1</v>
      </c>
      <c r="S51" s="278"/>
      <c r="T51" s="288">
        <v>5</v>
      </c>
      <c r="U51" s="289"/>
    </row>
    <row r="52" spans="1:21" x14ac:dyDescent="0.2">
      <c r="A52" s="256" t="s">
        <v>78</v>
      </c>
      <c r="B52" s="286" t="str">
        <f>TechData_R0!B65</f>
        <v>MINCCABLS4</v>
      </c>
      <c r="C52" s="286"/>
      <c r="D52" s="286"/>
      <c r="E52" s="278" t="s">
        <v>32</v>
      </c>
      <c r="F52" s="278"/>
      <c r="G52" s="278" t="s">
        <v>33</v>
      </c>
      <c r="H52" s="287">
        <f>TechData_R0!G65</f>
        <v>1.05</v>
      </c>
      <c r="I52" s="287">
        <f t="shared" ref="I52:Q52" si="45">H52</f>
        <v>1.05</v>
      </c>
      <c r="J52" s="287">
        <f t="shared" si="45"/>
        <v>1.05</v>
      </c>
      <c r="K52" s="287">
        <f t="shared" si="45"/>
        <v>1.05</v>
      </c>
      <c r="L52" s="287">
        <f t="shared" si="45"/>
        <v>1.05</v>
      </c>
      <c r="M52" s="287">
        <f t="shared" si="45"/>
        <v>1.05</v>
      </c>
      <c r="N52" s="287">
        <f t="shared" si="45"/>
        <v>1.05</v>
      </c>
      <c r="O52" s="287">
        <f t="shared" si="45"/>
        <v>1.05</v>
      </c>
      <c r="P52" s="287">
        <f t="shared" si="45"/>
        <v>1.05</v>
      </c>
      <c r="Q52" s="287">
        <f t="shared" si="45"/>
        <v>1.05</v>
      </c>
      <c r="R52" s="278">
        <f>MAX(TechData_R0!F64,1)</f>
        <v>1</v>
      </c>
      <c r="S52" s="278"/>
      <c r="T52" s="288">
        <v>5</v>
      </c>
      <c r="U52" s="289"/>
    </row>
    <row r="53" spans="1:21" x14ac:dyDescent="0.2">
      <c r="A53" s="256" t="s">
        <v>79</v>
      </c>
      <c r="B53" s="286" t="str">
        <f>TechData_R0!B66</f>
        <v>MINCCABLS5</v>
      </c>
      <c r="C53" s="286"/>
      <c r="D53" s="286"/>
      <c r="E53" s="278" t="s">
        <v>32</v>
      </c>
      <c r="F53" s="278"/>
      <c r="G53" s="278" t="s">
        <v>33</v>
      </c>
      <c r="H53" s="287">
        <f>TechData_R0!G66</f>
        <v>1.05</v>
      </c>
      <c r="I53" s="287">
        <f t="shared" ref="I53:Q53" si="46">H53</f>
        <v>1.05</v>
      </c>
      <c r="J53" s="287">
        <f t="shared" si="46"/>
        <v>1.05</v>
      </c>
      <c r="K53" s="287">
        <f t="shared" si="46"/>
        <v>1.05</v>
      </c>
      <c r="L53" s="287">
        <f t="shared" si="46"/>
        <v>1.05</v>
      </c>
      <c r="M53" s="287">
        <f t="shared" si="46"/>
        <v>1.05</v>
      </c>
      <c r="N53" s="287">
        <f t="shared" si="46"/>
        <v>1.05</v>
      </c>
      <c r="O53" s="287">
        <f t="shared" si="46"/>
        <v>1.05</v>
      </c>
      <c r="P53" s="287">
        <f t="shared" si="46"/>
        <v>1.05</v>
      </c>
      <c r="Q53" s="287">
        <f t="shared" si="46"/>
        <v>1.05</v>
      </c>
      <c r="R53" s="278">
        <f>MAX(TechData_R0!F65,1)</f>
        <v>1</v>
      </c>
      <c r="S53" s="278"/>
      <c r="T53" s="288">
        <v>5</v>
      </c>
      <c r="U53" s="289"/>
    </row>
    <row r="54" spans="1:21" x14ac:dyDescent="0.2">
      <c r="A54" s="256" t="s">
        <v>80</v>
      </c>
      <c r="B54" s="286" t="str">
        <f>TechData_R0!B67</f>
        <v>MINCCABLS6</v>
      </c>
      <c r="C54" s="286"/>
      <c r="D54" s="286"/>
      <c r="E54" s="278" t="s">
        <v>32</v>
      </c>
      <c r="F54" s="278"/>
      <c r="G54" s="278" t="s">
        <v>33</v>
      </c>
      <c r="H54" s="287">
        <f>TechData_R0!G67</f>
        <v>1.05</v>
      </c>
      <c r="I54" s="287">
        <f t="shared" ref="I54:Q54" si="47">H54</f>
        <v>1.05</v>
      </c>
      <c r="J54" s="287">
        <f t="shared" si="47"/>
        <v>1.05</v>
      </c>
      <c r="K54" s="287">
        <f t="shared" si="47"/>
        <v>1.05</v>
      </c>
      <c r="L54" s="287">
        <f t="shared" si="47"/>
        <v>1.05</v>
      </c>
      <c r="M54" s="287">
        <f t="shared" si="47"/>
        <v>1.05</v>
      </c>
      <c r="N54" s="287">
        <f t="shared" si="47"/>
        <v>1.05</v>
      </c>
      <c r="O54" s="287">
        <f t="shared" si="47"/>
        <v>1.05</v>
      </c>
      <c r="P54" s="287">
        <f t="shared" si="47"/>
        <v>1.05</v>
      </c>
      <c r="Q54" s="287">
        <f t="shared" si="47"/>
        <v>1.05</v>
      </c>
      <c r="R54" s="278">
        <f>MAX(TechData_R0!F66,1)</f>
        <v>2.9342976440803858</v>
      </c>
      <c r="S54" s="278"/>
      <c r="T54" s="288">
        <v>5</v>
      </c>
      <c r="U54" s="289"/>
    </row>
    <row r="55" spans="1:21" x14ac:dyDescent="0.2">
      <c r="A55" s="256" t="s">
        <v>81</v>
      </c>
      <c r="B55" s="286" t="str">
        <f>TechData_R0!B69</f>
        <v>MINCCABMU1</v>
      </c>
      <c r="C55" s="286"/>
      <c r="D55" s="286"/>
      <c r="E55" s="278" t="s">
        <v>32</v>
      </c>
      <c r="F55" s="278"/>
      <c r="G55" s="278" t="s">
        <v>33</v>
      </c>
      <c r="H55" s="287">
        <f>TechData_R0!G69</f>
        <v>1.05</v>
      </c>
      <c r="I55" s="287">
        <f t="shared" ref="I55:Q55" si="48">H55</f>
        <v>1.05</v>
      </c>
      <c r="J55" s="287">
        <f t="shared" si="48"/>
        <v>1.05</v>
      </c>
      <c r="K55" s="287">
        <f t="shared" si="48"/>
        <v>1.05</v>
      </c>
      <c r="L55" s="287">
        <f t="shared" si="48"/>
        <v>1.05</v>
      </c>
      <c r="M55" s="287">
        <f t="shared" si="48"/>
        <v>1.05</v>
      </c>
      <c r="N55" s="287">
        <f t="shared" si="48"/>
        <v>1.05</v>
      </c>
      <c r="O55" s="287">
        <f t="shared" si="48"/>
        <v>1.05</v>
      </c>
      <c r="P55" s="287">
        <f t="shared" si="48"/>
        <v>1.05</v>
      </c>
      <c r="Q55" s="287">
        <f t="shared" si="48"/>
        <v>1.05</v>
      </c>
      <c r="R55" s="278">
        <f>MAX(TechData_R0!F68,1)</f>
        <v>1</v>
      </c>
      <c r="S55" s="278"/>
      <c r="T55" s="288">
        <v>5</v>
      </c>
      <c r="U55" s="289"/>
    </row>
    <row r="56" spans="1:21" x14ac:dyDescent="0.2">
      <c r="A56" s="256" t="s">
        <v>82</v>
      </c>
      <c r="B56" s="286" t="str">
        <f>TechData_R0!B70</f>
        <v>MINCCABMU2</v>
      </c>
      <c r="C56" s="286"/>
      <c r="D56" s="286"/>
      <c r="E56" s="278" t="s">
        <v>32</v>
      </c>
      <c r="F56" s="278"/>
      <c r="G56" s="278" t="s">
        <v>33</v>
      </c>
      <c r="H56" s="287">
        <f>TechData_R0!G70</f>
        <v>1.05</v>
      </c>
      <c r="I56" s="287">
        <f t="shared" ref="I56:Q56" si="49">H56</f>
        <v>1.05</v>
      </c>
      <c r="J56" s="287">
        <f t="shared" si="49"/>
        <v>1.05</v>
      </c>
      <c r="K56" s="287">
        <f t="shared" si="49"/>
        <v>1.05</v>
      </c>
      <c r="L56" s="287">
        <f t="shared" si="49"/>
        <v>1.05</v>
      </c>
      <c r="M56" s="287">
        <f t="shared" si="49"/>
        <v>1.05</v>
      </c>
      <c r="N56" s="287">
        <f t="shared" si="49"/>
        <v>1.05</v>
      </c>
      <c r="O56" s="287">
        <f t="shared" si="49"/>
        <v>1.05</v>
      </c>
      <c r="P56" s="287">
        <f t="shared" si="49"/>
        <v>1.05</v>
      </c>
      <c r="Q56" s="287">
        <f t="shared" si="49"/>
        <v>1.05</v>
      </c>
      <c r="R56" s="278">
        <f>MAX(TechData_R0!F69,1)</f>
        <v>1</v>
      </c>
      <c r="S56" s="278"/>
      <c r="T56" s="288">
        <v>5</v>
      </c>
      <c r="U56" s="289"/>
    </row>
    <row r="57" spans="1:21" x14ac:dyDescent="0.2">
      <c r="A57" s="256" t="s">
        <v>83</v>
      </c>
      <c r="B57" s="286" t="str">
        <f>TechData_R0!B71</f>
        <v>MINCCABMU3</v>
      </c>
      <c r="C57" s="286"/>
      <c r="D57" s="286"/>
      <c r="E57" s="278" t="s">
        <v>32</v>
      </c>
      <c r="F57" s="278"/>
      <c r="G57" s="278" t="s">
        <v>33</v>
      </c>
      <c r="H57" s="287">
        <f>TechData_R0!G71</f>
        <v>1.05</v>
      </c>
      <c r="I57" s="287">
        <f t="shared" ref="I57:Q57" si="50">H57</f>
        <v>1.05</v>
      </c>
      <c r="J57" s="287">
        <f t="shared" si="50"/>
        <v>1.05</v>
      </c>
      <c r="K57" s="287">
        <f t="shared" si="50"/>
        <v>1.05</v>
      </c>
      <c r="L57" s="287">
        <f t="shared" si="50"/>
        <v>1.05</v>
      </c>
      <c r="M57" s="287">
        <f t="shared" si="50"/>
        <v>1.05</v>
      </c>
      <c r="N57" s="287">
        <f t="shared" si="50"/>
        <v>1.05</v>
      </c>
      <c r="O57" s="287">
        <f t="shared" si="50"/>
        <v>1.05</v>
      </c>
      <c r="P57" s="287">
        <f t="shared" si="50"/>
        <v>1.05</v>
      </c>
      <c r="Q57" s="287">
        <f t="shared" si="50"/>
        <v>1.05</v>
      </c>
      <c r="R57" s="278">
        <f>MAX(TechData_R0!F70,1)</f>
        <v>1</v>
      </c>
      <c r="S57" s="278"/>
      <c r="T57" s="288">
        <v>5</v>
      </c>
      <c r="U57" s="289"/>
    </row>
    <row r="58" spans="1:21" x14ac:dyDescent="0.2">
      <c r="A58" s="256" t="s">
        <v>84</v>
      </c>
      <c r="B58" s="286" t="str">
        <f>TechData_R0!B72</f>
        <v>MINCCABMU4</v>
      </c>
      <c r="C58" s="286"/>
      <c r="D58" s="286"/>
      <c r="E58" s="278" t="s">
        <v>32</v>
      </c>
      <c r="F58" s="278"/>
      <c r="G58" s="278" t="s">
        <v>33</v>
      </c>
      <c r="H58" s="287">
        <f>TechData_R0!G72</f>
        <v>1.05</v>
      </c>
      <c r="I58" s="287">
        <f t="shared" ref="I58:Q58" si="51">H58</f>
        <v>1.05</v>
      </c>
      <c r="J58" s="287">
        <f t="shared" si="51"/>
        <v>1.05</v>
      </c>
      <c r="K58" s="287">
        <f t="shared" si="51"/>
        <v>1.05</v>
      </c>
      <c r="L58" s="287">
        <f t="shared" si="51"/>
        <v>1.05</v>
      </c>
      <c r="M58" s="287">
        <f t="shared" si="51"/>
        <v>1.05</v>
      </c>
      <c r="N58" s="287">
        <f t="shared" si="51"/>
        <v>1.05</v>
      </c>
      <c r="O58" s="287">
        <f t="shared" si="51"/>
        <v>1.05</v>
      </c>
      <c r="P58" s="287">
        <f t="shared" si="51"/>
        <v>1.05</v>
      </c>
      <c r="Q58" s="287">
        <f t="shared" si="51"/>
        <v>1.05</v>
      </c>
      <c r="R58" s="278">
        <f>MAX(TechData_R0!F71,1)</f>
        <v>1</v>
      </c>
      <c r="S58" s="278"/>
      <c r="T58" s="288">
        <v>5</v>
      </c>
      <c r="U58" s="289"/>
    </row>
    <row r="59" spans="1:21" x14ac:dyDescent="0.2">
      <c r="A59" s="256" t="s">
        <v>85</v>
      </c>
      <c r="B59" s="286" t="str">
        <f>TechData_R0!B73</f>
        <v>MINCCABMU5</v>
      </c>
      <c r="C59" s="286"/>
      <c r="D59" s="286"/>
      <c r="E59" s="278" t="s">
        <v>32</v>
      </c>
      <c r="F59" s="278"/>
      <c r="G59" s="278" t="s">
        <v>33</v>
      </c>
      <c r="H59" s="287">
        <f>TechData_R0!G73</f>
        <v>1.05</v>
      </c>
      <c r="I59" s="287">
        <f t="shared" ref="I59:Q59" si="52">H59</f>
        <v>1.05</v>
      </c>
      <c r="J59" s="287">
        <f t="shared" si="52"/>
        <v>1.05</v>
      </c>
      <c r="K59" s="287">
        <f t="shared" si="52"/>
        <v>1.05</v>
      </c>
      <c r="L59" s="287">
        <f t="shared" si="52"/>
        <v>1.05</v>
      </c>
      <c r="M59" s="287">
        <f t="shared" si="52"/>
        <v>1.05</v>
      </c>
      <c r="N59" s="287">
        <f t="shared" si="52"/>
        <v>1.05</v>
      </c>
      <c r="O59" s="287">
        <f t="shared" si="52"/>
        <v>1.05</v>
      </c>
      <c r="P59" s="287">
        <f t="shared" si="52"/>
        <v>1.05</v>
      </c>
      <c r="Q59" s="287">
        <f t="shared" si="52"/>
        <v>1.05</v>
      </c>
      <c r="R59" s="278">
        <f>MAX(TechData_R0!F72,1)</f>
        <v>1</v>
      </c>
      <c r="S59" s="278"/>
      <c r="T59" s="288">
        <v>5</v>
      </c>
      <c r="U59" s="289"/>
    </row>
    <row r="60" spans="1:21" x14ac:dyDescent="0.2">
      <c r="A60" s="256" t="s">
        <v>86</v>
      </c>
      <c r="B60" s="286" t="str">
        <f>TechData_R0!B74</f>
        <v>MINCCABMU6</v>
      </c>
      <c r="C60" s="286"/>
      <c r="D60" s="286"/>
      <c r="E60" s="278" t="s">
        <v>32</v>
      </c>
      <c r="F60" s="278"/>
      <c r="G60" s="278" t="s">
        <v>33</v>
      </c>
      <c r="H60" s="287">
        <f>TechData_R0!G74</f>
        <v>1.05</v>
      </c>
      <c r="I60" s="287">
        <f t="shared" ref="I60:Q60" si="53">H60</f>
        <v>1.05</v>
      </c>
      <c r="J60" s="287">
        <f t="shared" si="53"/>
        <v>1.05</v>
      </c>
      <c r="K60" s="287">
        <f t="shared" si="53"/>
        <v>1.05</v>
      </c>
      <c r="L60" s="287">
        <f t="shared" si="53"/>
        <v>1.05</v>
      </c>
      <c r="M60" s="287">
        <f t="shared" si="53"/>
        <v>1.05</v>
      </c>
      <c r="N60" s="287">
        <f t="shared" si="53"/>
        <v>1.05</v>
      </c>
      <c r="O60" s="287">
        <f t="shared" si="53"/>
        <v>1.05</v>
      </c>
      <c r="P60" s="287">
        <f t="shared" si="53"/>
        <v>1.05</v>
      </c>
      <c r="Q60" s="287">
        <f t="shared" si="53"/>
        <v>1.05</v>
      </c>
      <c r="R60" s="278">
        <f>MAX(TechData_R0!F73,1)</f>
        <v>7.2145057452377817</v>
      </c>
      <c r="S60" s="278"/>
      <c r="T60" s="288">
        <v>5</v>
      </c>
      <c r="U60" s="289"/>
    </row>
    <row r="61" spans="1:21" x14ac:dyDescent="0.2">
      <c r="A61" s="256" t="s">
        <v>87</v>
      </c>
      <c r="B61" s="286" t="str">
        <f>TechData_R0!B76</f>
        <v>MINCCABMS1</v>
      </c>
      <c r="C61" s="286"/>
      <c r="D61" s="286"/>
      <c r="E61" s="278" t="s">
        <v>32</v>
      </c>
      <c r="F61" s="278"/>
      <c r="G61" s="278" t="s">
        <v>33</v>
      </c>
      <c r="H61" s="287">
        <f>TechData_R0!G76</f>
        <v>1.05</v>
      </c>
      <c r="I61" s="287">
        <f t="shared" ref="I61:Q61" si="54">H61</f>
        <v>1.05</v>
      </c>
      <c r="J61" s="287">
        <f t="shared" si="54"/>
        <v>1.05</v>
      </c>
      <c r="K61" s="287">
        <f t="shared" si="54"/>
        <v>1.05</v>
      </c>
      <c r="L61" s="287">
        <f t="shared" si="54"/>
        <v>1.05</v>
      </c>
      <c r="M61" s="287">
        <f t="shared" si="54"/>
        <v>1.05</v>
      </c>
      <c r="N61" s="287">
        <f t="shared" si="54"/>
        <v>1.05</v>
      </c>
      <c r="O61" s="287">
        <f t="shared" si="54"/>
        <v>1.05</v>
      </c>
      <c r="P61" s="287">
        <f t="shared" si="54"/>
        <v>1.05</v>
      </c>
      <c r="Q61" s="287">
        <f t="shared" si="54"/>
        <v>1.05</v>
      </c>
      <c r="R61" s="278">
        <f>MAX(TechData_R0!F75,1)</f>
        <v>1</v>
      </c>
      <c r="S61" s="278"/>
      <c r="T61" s="288">
        <v>5</v>
      </c>
      <c r="U61" s="289"/>
    </row>
    <row r="62" spans="1:21" x14ac:dyDescent="0.2">
      <c r="A62" s="256" t="s">
        <v>88</v>
      </c>
      <c r="B62" s="286" t="str">
        <f>TechData_R0!B77</f>
        <v>MINCCABMS2</v>
      </c>
      <c r="C62" s="286"/>
      <c r="D62" s="286"/>
      <c r="E62" s="278" t="s">
        <v>32</v>
      </c>
      <c r="F62" s="278"/>
      <c r="G62" s="278" t="s">
        <v>33</v>
      </c>
      <c r="H62" s="287">
        <f>TechData_R0!G77</f>
        <v>1.05</v>
      </c>
      <c r="I62" s="287">
        <f t="shared" ref="I62:Q62" si="55">H62</f>
        <v>1.05</v>
      </c>
      <c r="J62" s="287">
        <f t="shared" si="55"/>
        <v>1.05</v>
      </c>
      <c r="K62" s="287">
        <f t="shared" si="55"/>
        <v>1.05</v>
      </c>
      <c r="L62" s="287">
        <f t="shared" si="55"/>
        <v>1.05</v>
      </c>
      <c r="M62" s="287">
        <f t="shared" si="55"/>
        <v>1.05</v>
      </c>
      <c r="N62" s="287">
        <f t="shared" si="55"/>
        <v>1.05</v>
      </c>
      <c r="O62" s="287">
        <f t="shared" si="55"/>
        <v>1.05</v>
      </c>
      <c r="P62" s="287">
        <f t="shared" si="55"/>
        <v>1.05</v>
      </c>
      <c r="Q62" s="287">
        <f t="shared" si="55"/>
        <v>1.05</v>
      </c>
      <c r="R62" s="278">
        <f>MAX(TechData_R0!F76,1)</f>
        <v>1</v>
      </c>
      <c r="S62" s="278"/>
      <c r="T62" s="288">
        <v>5</v>
      </c>
      <c r="U62" s="289"/>
    </row>
    <row r="63" spans="1:21" x14ac:dyDescent="0.2">
      <c r="A63" s="256" t="s">
        <v>89</v>
      </c>
      <c r="B63" s="286" t="str">
        <f>TechData_R0!B78</f>
        <v>MINCCABMS3</v>
      </c>
      <c r="C63" s="286"/>
      <c r="D63" s="286"/>
      <c r="E63" s="278" t="s">
        <v>32</v>
      </c>
      <c r="F63" s="278"/>
      <c r="G63" s="278" t="s">
        <v>33</v>
      </c>
      <c r="H63" s="287">
        <f>TechData_R0!G78</f>
        <v>1.05</v>
      </c>
      <c r="I63" s="287">
        <f t="shared" ref="I63:Q63" si="56">H63</f>
        <v>1.05</v>
      </c>
      <c r="J63" s="287">
        <f t="shared" si="56"/>
        <v>1.05</v>
      </c>
      <c r="K63" s="287">
        <f t="shared" si="56"/>
        <v>1.05</v>
      </c>
      <c r="L63" s="287">
        <f t="shared" si="56"/>
        <v>1.05</v>
      </c>
      <c r="M63" s="287">
        <f t="shared" si="56"/>
        <v>1.05</v>
      </c>
      <c r="N63" s="287">
        <f t="shared" si="56"/>
        <v>1.05</v>
      </c>
      <c r="O63" s="287">
        <f t="shared" si="56"/>
        <v>1.05</v>
      </c>
      <c r="P63" s="287">
        <f t="shared" si="56"/>
        <v>1.05</v>
      </c>
      <c r="Q63" s="287">
        <f t="shared" si="56"/>
        <v>1.05</v>
      </c>
      <c r="R63" s="278">
        <f>MAX(TechData_R0!F77,1)</f>
        <v>1</v>
      </c>
      <c r="S63" s="278"/>
      <c r="T63" s="288">
        <v>5</v>
      </c>
      <c r="U63" s="289"/>
    </row>
    <row r="64" spans="1:21" x14ac:dyDescent="0.2">
      <c r="A64" s="256" t="s">
        <v>90</v>
      </c>
      <c r="B64" s="286" t="str">
        <f>TechData_R0!B79</f>
        <v>MINCCABMS4</v>
      </c>
      <c r="C64" s="286"/>
      <c r="D64" s="286"/>
      <c r="E64" s="278" t="s">
        <v>32</v>
      </c>
      <c r="F64" s="278"/>
      <c r="G64" s="278" t="s">
        <v>33</v>
      </c>
      <c r="H64" s="287">
        <f>TechData_R0!G79</f>
        <v>1.05</v>
      </c>
      <c r="I64" s="287">
        <f t="shared" ref="I64:Q64" si="57">H64</f>
        <v>1.05</v>
      </c>
      <c r="J64" s="287">
        <f t="shared" si="57"/>
        <v>1.05</v>
      </c>
      <c r="K64" s="287">
        <f t="shared" si="57"/>
        <v>1.05</v>
      </c>
      <c r="L64" s="287">
        <f t="shared" si="57"/>
        <v>1.05</v>
      </c>
      <c r="M64" s="287">
        <f t="shared" si="57"/>
        <v>1.05</v>
      </c>
      <c r="N64" s="287">
        <f t="shared" si="57"/>
        <v>1.05</v>
      </c>
      <c r="O64" s="287">
        <f t="shared" si="57"/>
        <v>1.05</v>
      </c>
      <c r="P64" s="287">
        <f t="shared" si="57"/>
        <v>1.05</v>
      </c>
      <c r="Q64" s="287">
        <f t="shared" si="57"/>
        <v>1.05</v>
      </c>
      <c r="R64" s="278">
        <f>MAX(TechData_R0!F78,1)</f>
        <v>1</v>
      </c>
      <c r="S64" s="278"/>
      <c r="T64" s="288">
        <v>5</v>
      </c>
      <c r="U64" s="289"/>
    </row>
    <row r="65" spans="1:21" x14ac:dyDescent="0.2">
      <c r="A65" s="256" t="s">
        <v>91</v>
      </c>
      <c r="B65" s="286" t="str">
        <f>TechData_R0!B80</f>
        <v>MINCCABMS5</v>
      </c>
      <c r="C65" s="286"/>
      <c r="D65" s="286"/>
      <c r="E65" s="278" t="s">
        <v>32</v>
      </c>
      <c r="F65" s="278"/>
      <c r="G65" s="278" t="s">
        <v>33</v>
      </c>
      <c r="H65" s="287">
        <f>TechData_R0!G80</f>
        <v>1.05</v>
      </c>
      <c r="I65" s="287">
        <f t="shared" ref="I65:Q65" si="58">H65</f>
        <v>1.05</v>
      </c>
      <c r="J65" s="287">
        <f t="shared" si="58"/>
        <v>1.05</v>
      </c>
      <c r="K65" s="287">
        <f t="shared" si="58"/>
        <v>1.05</v>
      </c>
      <c r="L65" s="287">
        <f t="shared" si="58"/>
        <v>1.05</v>
      </c>
      <c r="M65" s="287">
        <f t="shared" si="58"/>
        <v>1.05</v>
      </c>
      <c r="N65" s="287">
        <f t="shared" si="58"/>
        <v>1.05</v>
      </c>
      <c r="O65" s="287">
        <f t="shared" si="58"/>
        <v>1.05</v>
      </c>
      <c r="P65" s="287">
        <f t="shared" si="58"/>
        <v>1.05</v>
      </c>
      <c r="Q65" s="287">
        <f t="shared" si="58"/>
        <v>1.05</v>
      </c>
      <c r="R65" s="278">
        <f>MAX(TechData_R0!F79,1)</f>
        <v>1</v>
      </c>
      <c r="S65" s="278"/>
      <c r="T65" s="288">
        <v>5</v>
      </c>
      <c r="U65" s="289"/>
    </row>
    <row r="66" spans="1:21" x14ac:dyDescent="0.2">
      <c r="A66" s="256" t="s">
        <v>92</v>
      </c>
      <c r="B66" s="286" t="str">
        <f>TechData_R0!B81</f>
        <v>MINCCABMS6</v>
      </c>
      <c r="C66" s="286"/>
      <c r="D66" s="286"/>
      <c r="E66" s="278" t="s">
        <v>32</v>
      </c>
      <c r="F66" s="278"/>
      <c r="G66" s="278" t="s">
        <v>33</v>
      </c>
      <c r="H66" s="287">
        <f>TechData_R0!G81</f>
        <v>1.05</v>
      </c>
      <c r="I66" s="287">
        <f t="shared" ref="I66:Q66" si="59">H66</f>
        <v>1.05</v>
      </c>
      <c r="J66" s="287">
        <f t="shared" si="59"/>
        <v>1.05</v>
      </c>
      <c r="K66" s="287">
        <f t="shared" si="59"/>
        <v>1.05</v>
      </c>
      <c r="L66" s="287">
        <f t="shared" si="59"/>
        <v>1.05</v>
      </c>
      <c r="M66" s="287">
        <f t="shared" si="59"/>
        <v>1.05</v>
      </c>
      <c r="N66" s="287">
        <f t="shared" si="59"/>
        <v>1.05</v>
      </c>
      <c r="O66" s="287">
        <f t="shared" si="59"/>
        <v>1.05</v>
      </c>
      <c r="P66" s="287">
        <f t="shared" si="59"/>
        <v>1.05</v>
      </c>
      <c r="Q66" s="287">
        <f t="shared" si="59"/>
        <v>1.05</v>
      </c>
      <c r="R66" s="278">
        <f>MAX(TechData_R0!F80,1)</f>
        <v>20.940353376756754</v>
      </c>
      <c r="S66" s="278"/>
      <c r="T66" s="288">
        <v>5</v>
      </c>
      <c r="U66" s="289"/>
    </row>
    <row r="67" spans="1:21" x14ac:dyDescent="0.2">
      <c r="A67" s="256" t="s">
        <v>93</v>
      </c>
      <c r="B67" s="286" t="str">
        <f>TechData_R0!B83</f>
        <v>MINCSAPLU1</v>
      </c>
      <c r="C67" s="286"/>
      <c r="D67" s="286"/>
      <c r="E67" s="278" t="s">
        <v>32</v>
      </c>
      <c r="F67" s="278"/>
      <c r="G67" s="278" t="s">
        <v>33</v>
      </c>
      <c r="H67" s="287">
        <f>TechData_R0!G83</f>
        <v>1.05</v>
      </c>
      <c r="I67" s="287">
        <f t="shared" ref="I67:Q67" si="60">H67</f>
        <v>1.05</v>
      </c>
      <c r="J67" s="287">
        <f t="shared" si="60"/>
        <v>1.05</v>
      </c>
      <c r="K67" s="287">
        <f t="shared" si="60"/>
        <v>1.05</v>
      </c>
      <c r="L67" s="287">
        <f t="shared" si="60"/>
        <v>1.05</v>
      </c>
      <c r="M67" s="287">
        <f t="shared" si="60"/>
        <v>1.05</v>
      </c>
      <c r="N67" s="287">
        <f t="shared" si="60"/>
        <v>1.05</v>
      </c>
      <c r="O67" s="287">
        <f t="shared" si="60"/>
        <v>1.05</v>
      </c>
      <c r="P67" s="287">
        <f t="shared" si="60"/>
        <v>1.05</v>
      </c>
      <c r="Q67" s="287">
        <f t="shared" si="60"/>
        <v>1.05</v>
      </c>
      <c r="R67" s="278">
        <f>MAX(TechData_R0!F82,1)</f>
        <v>1</v>
      </c>
      <c r="S67" s="278"/>
      <c r="T67" s="288">
        <v>5</v>
      </c>
      <c r="U67" s="289"/>
    </row>
    <row r="68" spans="1:21" x14ac:dyDescent="0.2">
      <c r="A68" s="256" t="s">
        <v>94</v>
      </c>
      <c r="B68" s="286" t="str">
        <f>TechData_R0!B84</f>
        <v>MINCSAPLU2</v>
      </c>
      <c r="C68" s="286"/>
      <c r="D68" s="286"/>
      <c r="E68" s="278" t="s">
        <v>32</v>
      </c>
      <c r="F68" s="278"/>
      <c r="G68" s="278" t="s">
        <v>33</v>
      </c>
      <c r="H68" s="287">
        <f>TechData_R0!G84</f>
        <v>1.05</v>
      </c>
      <c r="I68" s="287">
        <f t="shared" ref="I68:Q68" si="61">H68</f>
        <v>1.05</v>
      </c>
      <c r="J68" s="287">
        <f t="shared" si="61"/>
        <v>1.05</v>
      </c>
      <c r="K68" s="287">
        <f t="shared" si="61"/>
        <v>1.05</v>
      </c>
      <c r="L68" s="287">
        <f t="shared" si="61"/>
        <v>1.05</v>
      </c>
      <c r="M68" s="287">
        <f t="shared" si="61"/>
        <v>1.05</v>
      </c>
      <c r="N68" s="287">
        <f t="shared" si="61"/>
        <v>1.05</v>
      </c>
      <c r="O68" s="287">
        <f t="shared" si="61"/>
        <v>1.05</v>
      </c>
      <c r="P68" s="287">
        <f t="shared" si="61"/>
        <v>1.05</v>
      </c>
      <c r="Q68" s="287">
        <f t="shared" si="61"/>
        <v>1.05</v>
      </c>
      <c r="R68" s="278">
        <f>MAX(TechData_R0!F83,1)</f>
        <v>1</v>
      </c>
      <c r="S68" s="278"/>
      <c r="T68" s="288">
        <v>5</v>
      </c>
      <c r="U68" s="289"/>
    </row>
    <row r="69" spans="1:21" x14ac:dyDescent="0.2">
      <c r="A69" s="256" t="s">
        <v>95</v>
      </c>
      <c r="B69" s="286" t="str">
        <f>TechData_R0!B85</f>
        <v>MINCSAPLU3</v>
      </c>
      <c r="C69" s="286"/>
      <c r="D69" s="286"/>
      <c r="E69" s="278" t="s">
        <v>32</v>
      </c>
      <c r="F69" s="278"/>
      <c r="G69" s="278" t="s">
        <v>33</v>
      </c>
      <c r="H69" s="287">
        <f>TechData_R0!G85</f>
        <v>1.05</v>
      </c>
      <c r="I69" s="287">
        <f t="shared" ref="I69:Q69" si="62">H69</f>
        <v>1.05</v>
      </c>
      <c r="J69" s="287">
        <f t="shared" si="62"/>
        <v>1.05</v>
      </c>
      <c r="K69" s="287">
        <f t="shared" si="62"/>
        <v>1.05</v>
      </c>
      <c r="L69" s="287">
        <f t="shared" si="62"/>
        <v>1.05</v>
      </c>
      <c r="M69" s="287">
        <f t="shared" si="62"/>
        <v>1.05</v>
      </c>
      <c r="N69" s="287">
        <f t="shared" si="62"/>
        <v>1.05</v>
      </c>
      <c r="O69" s="287">
        <f t="shared" si="62"/>
        <v>1.05</v>
      </c>
      <c r="P69" s="287">
        <f t="shared" si="62"/>
        <v>1.05</v>
      </c>
      <c r="Q69" s="287">
        <f t="shared" si="62"/>
        <v>1.05</v>
      </c>
      <c r="R69" s="278">
        <f>MAX(TechData_R0!F84,1)</f>
        <v>1</v>
      </c>
      <c r="S69" s="278"/>
      <c r="T69" s="288">
        <v>5</v>
      </c>
      <c r="U69" s="289"/>
    </row>
    <row r="70" spans="1:21" x14ac:dyDescent="0.2">
      <c r="A70" s="256" t="s">
        <v>96</v>
      </c>
      <c r="B70" s="286" t="str">
        <f>TechData_R0!B86</f>
        <v>MINCSAPLU4</v>
      </c>
      <c r="C70" s="286"/>
      <c r="D70" s="286"/>
      <c r="E70" s="278" t="s">
        <v>32</v>
      </c>
      <c r="F70" s="278"/>
      <c r="G70" s="278" t="s">
        <v>33</v>
      </c>
      <c r="H70" s="287">
        <f>TechData_R0!G86</f>
        <v>1.05</v>
      </c>
      <c r="I70" s="287">
        <f t="shared" ref="I70:Q70" si="63">H70</f>
        <v>1.05</v>
      </c>
      <c r="J70" s="287">
        <f t="shared" si="63"/>
        <v>1.05</v>
      </c>
      <c r="K70" s="287">
        <f t="shared" si="63"/>
        <v>1.05</v>
      </c>
      <c r="L70" s="287">
        <f t="shared" si="63"/>
        <v>1.05</v>
      </c>
      <c r="M70" s="287">
        <f t="shared" si="63"/>
        <v>1.05</v>
      </c>
      <c r="N70" s="287">
        <f t="shared" si="63"/>
        <v>1.05</v>
      </c>
      <c r="O70" s="287">
        <f t="shared" si="63"/>
        <v>1.05</v>
      </c>
      <c r="P70" s="287">
        <f t="shared" si="63"/>
        <v>1.05</v>
      </c>
      <c r="Q70" s="287">
        <f t="shared" si="63"/>
        <v>1.05</v>
      </c>
      <c r="R70" s="278">
        <f>MAX(TechData_R0!F85,1)</f>
        <v>1</v>
      </c>
      <c r="S70" s="278"/>
      <c r="T70" s="288">
        <v>5</v>
      </c>
      <c r="U70" s="289"/>
    </row>
    <row r="71" spans="1:21" x14ac:dyDescent="0.2">
      <c r="A71" s="256" t="s">
        <v>97</v>
      </c>
      <c r="B71" s="286" t="str">
        <f>TechData_R0!B87</f>
        <v>MINCSAPLU5</v>
      </c>
      <c r="C71" s="286"/>
      <c r="D71" s="286"/>
      <c r="E71" s="278" t="s">
        <v>32</v>
      </c>
      <c r="F71" s="278"/>
      <c r="G71" s="278" t="s">
        <v>33</v>
      </c>
      <c r="H71" s="287">
        <f>TechData_R0!G87</f>
        <v>1.05</v>
      </c>
      <c r="I71" s="287">
        <f t="shared" ref="I71:Q71" si="64">H71</f>
        <v>1.05</v>
      </c>
      <c r="J71" s="287">
        <f t="shared" si="64"/>
        <v>1.05</v>
      </c>
      <c r="K71" s="287">
        <f t="shared" si="64"/>
        <v>1.05</v>
      </c>
      <c r="L71" s="287">
        <f t="shared" si="64"/>
        <v>1.05</v>
      </c>
      <c r="M71" s="287">
        <f t="shared" si="64"/>
        <v>1.05</v>
      </c>
      <c r="N71" s="287">
        <f t="shared" si="64"/>
        <v>1.05</v>
      </c>
      <c r="O71" s="287">
        <f t="shared" si="64"/>
        <v>1.05</v>
      </c>
      <c r="P71" s="287">
        <f t="shared" si="64"/>
        <v>1.05</v>
      </c>
      <c r="Q71" s="287">
        <f t="shared" si="64"/>
        <v>1.05</v>
      </c>
      <c r="R71" s="278">
        <f>MAX(TechData_R0!F86,1)</f>
        <v>1</v>
      </c>
      <c r="S71" s="278"/>
      <c r="T71" s="288">
        <v>5</v>
      </c>
      <c r="U71" s="289"/>
    </row>
    <row r="72" spans="1:21" x14ac:dyDescent="0.2">
      <c r="A72" s="256" t="s">
        <v>98</v>
      </c>
      <c r="B72" s="286" t="str">
        <f>TechData_R0!B88</f>
        <v>MINCSAPLU6</v>
      </c>
      <c r="C72" s="286"/>
      <c r="D72" s="286"/>
      <c r="E72" s="278" t="s">
        <v>32</v>
      </c>
      <c r="F72" s="278"/>
      <c r="G72" s="278" t="s">
        <v>33</v>
      </c>
      <c r="H72" s="287">
        <f>TechData_R0!G88</f>
        <v>1.05</v>
      </c>
      <c r="I72" s="287">
        <f t="shared" ref="I72:Q72" si="65">H72</f>
        <v>1.05</v>
      </c>
      <c r="J72" s="287">
        <f t="shared" si="65"/>
        <v>1.05</v>
      </c>
      <c r="K72" s="287">
        <f t="shared" si="65"/>
        <v>1.05</v>
      </c>
      <c r="L72" s="287">
        <f t="shared" si="65"/>
        <v>1.05</v>
      </c>
      <c r="M72" s="287">
        <f t="shared" si="65"/>
        <v>1.05</v>
      </c>
      <c r="N72" s="287">
        <f t="shared" si="65"/>
        <v>1.05</v>
      </c>
      <c r="O72" s="287">
        <f t="shared" si="65"/>
        <v>1.05</v>
      </c>
      <c r="P72" s="287">
        <f t="shared" si="65"/>
        <v>1.05</v>
      </c>
      <c r="Q72" s="287">
        <f t="shared" si="65"/>
        <v>1.05</v>
      </c>
      <c r="R72" s="278">
        <f>MAX(TechData_R0!F87,1)</f>
        <v>2.8064405132216654</v>
      </c>
      <c r="S72" s="278"/>
      <c r="T72" s="288">
        <v>5</v>
      </c>
      <c r="U72" s="289"/>
    </row>
    <row r="73" spans="1:21" x14ac:dyDescent="0.2">
      <c r="A73" s="256" t="s">
        <v>99</v>
      </c>
      <c r="B73" s="286" t="str">
        <f>TechData_R0!B90</f>
        <v>MINCSABLU1</v>
      </c>
      <c r="C73" s="286"/>
      <c r="D73" s="286"/>
      <c r="E73" s="278" t="s">
        <v>32</v>
      </c>
      <c r="F73" s="278"/>
      <c r="G73" s="278" t="s">
        <v>33</v>
      </c>
      <c r="H73" s="287">
        <f>TechData_R0!G90</f>
        <v>1.05</v>
      </c>
      <c r="I73" s="287">
        <f t="shared" ref="I73:Q73" si="66">H73</f>
        <v>1.05</v>
      </c>
      <c r="J73" s="287">
        <f t="shared" si="66"/>
        <v>1.05</v>
      </c>
      <c r="K73" s="287">
        <f t="shared" si="66"/>
        <v>1.05</v>
      </c>
      <c r="L73" s="287">
        <f t="shared" si="66"/>
        <v>1.05</v>
      </c>
      <c r="M73" s="287">
        <f t="shared" si="66"/>
        <v>1.05</v>
      </c>
      <c r="N73" s="287">
        <f t="shared" si="66"/>
        <v>1.05</v>
      </c>
      <c r="O73" s="287">
        <f t="shared" si="66"/>
        <v>1.05</v>
      </c>
      <c r="P73" s="287">
        <f t="shared" si="66"/>
        <v>1.05</v>
      </c>
      <c r="Q73" s="287">
        <f t="shared" si="66"/>
        <v>1.05</v>
      </c>
      <c r="R73" s="278">
        <f>MAX(TechData_R0!F89,1)</f>
        <v>1</v>
      </c>
      <c r="S73" s="278"/>
      <c r="T73" s="288">
        <v>5</v>
      </c>
      <c r="U73" s="289"/>
    </row>
    <row r="74" spans="1:21" x14ac:dyDescent="0.2">
      <c r="A74" s="256" t="s">
        <v>100</v>
      </c>
      <c r="B74" s="286" t="str">
        <f>TechData_R0!B91</f>
        <v>MINCSABLU2</v>
      </c>
      <c r="C74" s="286"/>
      <c r="D74" s="286"/>
      <c r="E74" s="278" t="s">
        <v>32</v>
      </c>
      <c r="F74" s="278"/>
      <c r="G74" s="278" t="s">
        <v>33</v>
      </c>
      <c r="H74" s="287">
        <f>TechData_R0!G91</f>
        <v>1.05</v>
      </c>
      <c r="I74" s="287">
        <f t="shared" ref="I74:Q74" si="67">H74</f>
        <v>1.05</v>
      </c>
      <c r="J74" s="287">
        <f t="shared" si="67"/>
        <v>1.05</v>
      </c>
      <c r="K74" s="287">
        <f t="shared" si="67"/>
        <v>1.05</v>
      </c>
      <c r="L74" s="287">
        <f t="shared" si="67"/>
        <v>1.05</v>
      </c>
      <c r="M74" s="287">
        <f t="shared" si="67"/>
        <v>1.05</v>
      </c>
      <c r="N74" s="287">
        <f t="shared" si="67"/>
        <v>1.05</v>
      </c>
      <c r="O74" s="287">
        <f t="shared" si="67"/>
        <v>1.05</v>
      </c>
      <c r="P74" s="287">
        <f t="shared" si="67"/>
        <v>1.05</v>
      </c>
      <c r="Q74" s="287">
        <f t="shared" si="67"/>
        <v>1.05</v>
      </c>
      <c r="R74" s="278">
        <f>MAX(TechData_R0!F90,1)</f>
        <v>1</v>
      </c>
      <c r="S74" s="278"/>
      <c r="T74" s="288">
        <v>5</v>
      </c>
      <c r="U74" s="289"/>
    </row>
    <row r="75" spans="1:21" x14ac:dyDescent="0.2">
      <c r="A75" s="256" t="s">
        <v>101</v>
      </c>
      <c r="B75" s="286" t="str">
        <f>TechData_R0!B92</f>
        <v>MINCSABLU3</v>
      </c>
      <c r="C75" s="286"/>
      <c r="D75" s="286"/>
      <c r="E75" s="278" t="s">
        <v>32</v>
      </c>
      <c r="F75" s="278"/>
      <c r="G75" s="278" t="s">
        <v>33</v>
      </c>
      <c r="H75" s="287">
        <f>TechData_R0!G92</f>
        <v>1.05</v>
      </c>
      <c r="I75" s="287">
        <f t="shared" ref="I75:Q75" si="68">H75</f>
        <v>1.05</v>
      </c>
      <c r="J75" s="287">
        <f t="shared" si="68"/>
        <v>1.05</v>
      </c>
      <c r="K75" s="287">
        <f t="shared" si="68"/>
        <v>1.05</v>
      </c>
      <c r="L75" s="287">
        <f t="shared" si="68"/>
        <v>1.05</v>
      </c>
      <c r="M75" s="287">
        <f t="shared" si="68"/>
        <v>1.05</v>
      </c>
      <c r="N75" s="287">
        <f t="shared" si="68"/>
        <v>1.05</v>
      </c>
      <c r="O75" s="287">
        <f t="shared" si="68"/>
        <v>1.05</v>
      </c>
      <c r="P75" s="287">
        <f t="shared" si="68"/>
        <v>1.05</v>
      </c>
      <c r="Q75" s="287">
        <f t="shared" si="68"/>
        <v>1.05</v>
      </c>
      <c r="R75" s="278">
        <f>MAX(TechData_R0!F91,1)</f>
        <v>1</v>
      </c>
      <c r="S75" s="278"/>
      <c r="T75" s="288">
        <v>5</v>
      </c>
      <c r="U75" s="289"/>
    </row>
    <row r="76" spans="1:21" x14ac:dyDescent="0.2">
      <c r="A76" s="256" t="s">
        <v>102</v>
      </c>
      <c r="B76" s="286" t="str">
        <f>TechData_R0!B93</f>
        <v>MINCSABLU4</v>
      </c>
      <c r="C76" s="286"/>
      <c r="D76" s="286"/>
      <c r="E76" s="278" t="s">
        <v>32</v>
      </c>
      <c r="F76" s="278"/>
      <c r="G76" s="278" t="s">
        <v>33</v>
      </c>
      <c r="H76" s="287">
        <f>TechData_R0!G93</f>
        <v>1.05</v>
      </c>
      <c r="I76" s="287">
        <f t="shared" ref="I76:Q76" si="69">H76</f>
        <v>1.05</v>
      </c>
      <c r="J76" s="287">
        <f t="shared" si="69"/>
        <v>1.05</v>
      </c>
      <c r="K76" s="287">
        <f t="shared" si="69"/>
        <v>1.05</v>
      </c>
      <c r="L76" s="287">
        <f t="shared" si="69"/>
        <v>1.05</v>
      </c>
      <c r="M76" s="287">
        <f t="shared" si="69"/>
        <v>1.05</v>
      </c>
      <c r="N76" s="287">
        <f t="shared" si="69"/>
        <v>1.05</v>
      </c>
      <c r="O76" s="287">
        <f t="shared" si="69"/>
        <v>1.05</v>
      </c>
      <c r="P76" s="287">
        <f t="shared" si="69"/>
        <v>1.05</v>
      </c>
      <c r="Q76" s="287">
        <f t="shared" si="69"/>
        <v>1.05</v>
      </c>
      <c r="R76" s="278">
        <f>MAX(TechData_R0!F92,1)</f>
        <v>1</v>
      </c>
      <c r="S76" s="278"/>
      <c r="T76" s="288">
        <v>5</v>
      </c>
      <c r="U76" s="289"/>
    </row>
    <row r="77" spans="1:21" x14ac:dyDescent="0.2">
      <c r="A77" s="256" t="s">
        <v>103</v>
      </c>
      <c r="B77" s="286" t="str">
        <f>TechData_R0!B94</f>
        <v>MINCSABLU5</v>
      </c>
      <c r="C77" s="286"/>
      <c r="D77" s="286"/>
      <c r="E77" s="278" t="s">
        <v>32</v>
      </c>
      <c r="F77" s="278"/>
      <c r="G77" s="278" t="s">
        <v>33</v>
      </c>
      <c r="H77" s="287">
        <f>TechData_R0!G94</f>
        <v>1.05</v>
      </c>
      <c r="I77" s="287">
        <f t="shared" ref="I77:Q77" si="70">H77</f>
        <v>1.05</v>
      </c>
      <c r="J77" s="287">
        <f t="shared" si="70"/>
        <v>1.05</v>
      </c>
      <c r="K77" s="287">
        <f t="shared" si="70"/>
        <v>1.05</v>
      </c>
      <c r="L77" s="287">
        <f t="shared" si="70"/>
        <v>1.05</v>
      </c>
      <c r="M77" s="287">
        <f t="shared" si="70"/>
        <v>1.05</v>
      </c>
      <c r="N77" s="287">
        <f t="shared" si="70"/>
        <v>1.05</v>
      </c>
      <c r="O77" s="287">
        <f t="shared" si="70"/>
        <v>1.05</v>
      </c>
      <c r="P77" s="287">
        <f t="shared" si="70"/>
        <v>1.05</v>
      </c>
      <c r="Q77" s="287">
        <f t="shared" si="70"/>
        <v>1.05</v>
      </c>
      <c r="R77" s="278">
        <f>MAX(TechData_R0!F93,1)</f>
        <v>1</v>
      </c>
      <c r="S77" s="278"/>
      <c r="T77" s="288">
        <v>5</v>
      </c>
      <c r="U77" s="289"/>
    </row>
    <row r="78" spans="1:21" x14ac:dyDescent="0.2">
      <c r="A78" s="256" t="s">
        <v>104</v>
      </c>
      <c r="B78" s="286" t="str">
        <f>TechData_R0!B95</f>
        <v>MINCSABLU6</v>
      </c>
      <c r="C78" s="286"/>
      <c r="D78" s="286"/>
      <c r="E78" s="278" t="s">
        <v>32</v>
      </c>
      <c r="F78" s="278"/>
      <c r="G78" s="278" t="s">
        <v>33</v>
      </c>
      <c r="H78" s="287">
        <f>TechData_R0!G95</f>
        <v>1.05</v>
      </c>
      <c r="I78" s="287">
        <f t="shared" ref="I78:Q78" si="71">H78</f>
        <v>1.05</v>
      </c>
      <c r="J78" s="287">
        <f t="shared" si="71"/>
        <v>1.05</v>
      </c>
      <c r="K78" s="287">
        <f t="shared" si="71"/>
        <v>1.05</v>
      </c>
      <c r="L78" s="287">
        <f t="shared" si="71"/>
        <v>1.05</v>
      </c>
      <c r="M78" s="287">
        <f t="shared" si="71"/>
        <v>1.05</v>
      </c>
      <c r="N78" s="287">
        <f t="shared" si="71"/>
        <v>1.05</v>
      </c>
      <c r="O78" s="287">
        <f t="shared" si="71"/>
        <v>1.05</v>
      </c>
      <c r="P78" s="287">
        <f t="shared" si="71"/>
        <v>1.05</v>
      </c>
      <c r="Q78" s="287">
        <f t="shared" si="71"/>
        <v>1.05</v>
      </c>
      <c r="R78" s="278">
        <f>MAX(TechData_R0!F94,1)</f>
        <v>1</v>
      </c>
      <c r="S78" s="278"/>
      <c r="T78" s="288">
        <v>5</v>
      </c>
      <c r="U78" s="289"/>
    </row>
    <row r="79" spans="1:21" x14ac:dyDescent="0.2">
      <c r="A79" s="256" t="s">
        <v>105</v>
      </c>
      <c r="B79" s="286" t="str">
        <f>TechData_R0!B97</f>
        <v>MINCSABLS1</v>
      </c>
      <c r="C79" s="286"/>
      <c r="D79" s="286"/>
      <c r="E79" s="278" t="s">
        <v>32</v>
      </c>
      <c r="F79" s="278"/>
      <c r="G79" s="278" t="s">
        <v>33</v>
      </c>
      <c r="H79" s="287">
        <f>TechData_R0!G97</f>
        <v>1.05</v>
      </c>
      <c r="I79" s="287">
        <f t="shared" ref="I79:Q79" si="72">H79</f>
        <v>1.05</v>
      </c>
      <c r="J79" s="287">
        <f t="shared" si="72"/>
        <v>1.05</v>
      </c>
      <c r="K79" s="287">
        <f t="shared" si="72"/>
        <v>1.05</v>
      </c>
      <c r="L79" s="287">
        <f t="shared" si="72"/>
        <v>1.05</v>
      </c>
      <c r="M79" s="287">
        <f t="shared" si="72"/>
        <v>1.05</v>
      </c>
      <c r="N79" s="287">
        <f t="shared" si="72"/>
        <v>1.05</v>
      </c>
      <c r="O79" s="287">
        <f t="shared" si="72"/>
        <v>1.05</v>
      </c>
      <c r="P79" s="287">
        <f t="shared" si="72"/>
        <v>1.05</v>
      </c>
      <c r="Q79" s="287">
        <f t="shared" si="72"/>
        <v>1.05</v>
      </c>
      <c r="R79" s="278">
        <f>MAX(TechData_R0!F96,1)</f>
        <v>1</v>
      </c>
      <c r="S79" s="278"/>
      <c r="T79" s="288">
        <v>5</v>
      </c>
      <c r="U79" s="289"/>
    </row>
    <row r="80" spans="1:21" x14ac:dyDescent="0.2">
      <c r="A80" s="256" t="s">
        <v>106</v>
      </c>
      <c r="B80" s="286" t="str">
        <f>TechData_R0!B98</f>
        <v>MINCSABLS2</v>
      </c>
      <c r="C80" s="286"/>
      <c r="D80" s="286"/>
      <c r="E80" s="278" t="s">
        <v>32</v>
      </c>
      <c r="F80" s="278"/>
      <c r="G80" s="278" t="s">
        <v>33</v>
      </c>
      <c r="H80" s="287">
        <f>TechData_R0!G98</f>
        <v>1.05</v>
      </c>
      <c r="I80" s="287">
        <f t="shared" ref="I80:Q80" si="73">H80</f>
        <v>1.05</v>
      </c>
      <c r="J80" s="287">
        <f t="shared" si="73"/>
        <v>1.05</v>
      </c>
      <c r="K80" s="287">
        <f t="shared" si="73"/>
        <v>1.05</v>
      </c>
      <c r="L80" s="287">
        <f t="shared" si="73"/>
        <v>1.05</v>
      </c>
      <c r="M80" s="287">
        <f t="shared" si="73"/>
        <v>1.05</v>
      </c>
      <c r="N80" s="287">
        <f t="shared" si="73"/>
        <v>1.05</v>
      </c>
      <c r="O80" s="287">
        <f t="shared" si="73"/>
        <v>1.05</v>
      </c>
      <c r="P80" s="287">
        <f t="shared" si="73"/>
        <v>1.05</v>
      </c>
      <c r="Q80" s="287">
        <f t="shared" si="73"/>
        <v>1.05</v>
      </c>
      <c r="R80" s="278">
        <f>MAX(TechData_R0!F97,1)</f>
        <v>1</v>
      </c>
      <c r="S80" s="278"/>
      <c r="T80" s="288">
        <v>5</v>
      </c>
      <c r="U80" s="289"/>
    </row>
    <row r="81" spans="1:21" x14ac:dyDescent="0.2">
      <c r="A81" s="256" t="s">
        <v>107</v>
      </c>
      <c r="B81" s="286" t="str">
        <f>TechData_R0!B99</f>
        <v>MINCSABLS3</v>
      </c>
      <c r="C81" s="286"/>
      <c r="D81" s="286"/>
      <c r="E81" s="278" t="s">
        <v>32</v>
      </c>
      <c r="F81" s="278"/>
      <c r="G81" s="278" t="s">
        <v>33</v>
      </c>
      <c r="H81" s="287">
        <f>TechData_R0!G99</f>
        <v>1.05</v>
      </c>
      <c r="I81" s="287">
        <f t="shared" ref="I81:Q81" si="74">H81</f>
        <v>1.05</v>
      </c>
      <c r="J81" s="287">
        <f t="shared" si="74"/>
        <v>1.05</v>
      </c>
      <c r="K81" s="287">
        <f t="shared" si="74"/>
        <v>1.05</v>
      </c>
      <c r="L81" s="287">
        <f t="shared" si="74"/>
        <v>1.05</v>
      </c>
      <c r="M81" s="287">
        <f t="shared" si="74"/>
        <v>1.05</v>
      </c>
      <c r="N81" s="287">
        <f t="shared" si="74"/>
        <v>1.05</v>
      </c>
      <c r="O81" s="287">
        <f t="shared" si="74"/>
        <v>1.05</v>
      </c>
      <c r="P81" s="287">
        <f t="shared" si="74"/>
        <v>1.05</v>
      </c>
      <c r="Q81" s="287">
        <f t="shared" si="74"/>
        <v>1.05</v>
      </c>
      <c r="R81" s="278">
        <f>MAX(TechData_R0!F98,1)</f>
        <v>1</v>
      </c>
      <c r="S81" s="278"/>
      <c r="T81" s="288">
        <v>5</v>
      </c>
      <c r="U81" s="289"/>
    </row>
    <row r="82" spans="1:21" x14ac:dyDescent="0.2">
      <c r="A82" s="256" t="s">
        <v>108</v>
      </c>
      <c r="B82" s="286" t="str">
        <f>TechData_R0!B100</f>
        <v>MINCSABLS4</v>
      </c>
      <c r="C82" s="286"/>
      <c r="D82" s="286"/>
      <c r="E82" s="278" t="s">
        <v>32</v>
      </c>
      <c r="F82" s="278"/>
      <c r="G82" s="278" t="s">
        <v>33</v>
      </c>
      <c r="H82" s="287">
        <f>TechData_R0!G100</f>
        <v>1.05</v>
      </c>
      <c r="I82" s="287">
        <f t="shared" ref="I82:Q82" si="75">H82</f>
        <v>1.05</v>
      </c>
      <c r="J82" s="287">
        <f t="shared" si="75"/>
        <v>1.05</v>
      </c>
      <c r="K82" s="287">
        <f t="shared" si="75"/>
        <v>1.05</v>
      </c>
      <c r="L82" s="287">
        <f t="shared" si="75"/>
        <v>1.05</v>
      </c>
      <c r="M82" s="287">
        <f t="shared" si="75"/>
        <v>1.05</v>
      </c>
      <c r="N82" s="287">
        <f t="shared" si="75"/>
        <v>1.05</v>
      </c>
      <c r="O82" s="287">
        <f t="shared" si="75"/>
        <v>1.05</v>
      </c>
      <c r="P82" s="287">
        <f t="shared" si="75"/>
        <v>1.05</v>
      </c>
      <c r="Q82" s="287">
        <f t="shared" si="75"/>
        <v>1.05</v>
      </c>
      <c r="R82" s="278">
        <f>MAX(TechData_R0!F99,1)</f>
        <v>1</v>
      </c>
      <c r="S82" s="278"/>
      <c r="T82" s="288">
        <v>5</v>
      </c>
      <c r="U82" s="289"/>
    </row>
    <row r="83" spans="1:21" x14ac:dyDescent="0.2">
      <c r="A83" s="256" t="s">
        <v>109</v>
      </c>
      <c r="B83" s="286" t="str">
        <f>TechData_R0!B101</f>
        <v>MINCSABLS5</v>
      </c>
      <c r="C83" s="286"/>
      <c r="D83" s="286"/>
      <c r="E83" s="278" t="s">
        <v>32</v>
      </c>
      <c r="F83" s="278"/>
      <c r="G83" s="278" t="s">
        <v>33</v>
      </c>
      <c r="H83" s="287">
        <f>TechData_R0!G101</f>
        <v>1.05</v>
      </c>
      <c r="I83" s="287">
        <f t="shared" ref="I83:Q83" si="76">H83</f>
        <v>1.05</v>
      </c>
      <c r="J83" s="287">
        <f t="shared" si="76"/>
        <v>1.05</v>
      </c>
      <c r="K83" s="287">
        <f t="shared" si="76"/>
        <v>1.05</v>
      </c>
      <c r="L83" s="287">
        <f t="shared" si="76"/>
        <v>1.05</v>
      </c>
      <c r="M83" s="287">
        <f t="shared" si="76"/>
        <v>1.05</v>
      </c>
      <c r="N83" s="287">
        <f t="shared" si="76"/>
        <v>1.05</v>
      </c>
      <c r="O83" s="287">
        <f t="shared" si="76"/>
        <v>1.05</v>
      </c>
      <c r="P83" s="287">
        <f t="shared" si="76"/>
        <v>1.05</v>
      </c>
      <c r="Q83" s="287">
        <f t="shared" si="76"/>
        <v>1.05</v>
      </c>
      <c r="R83" s="278">
        <f>MAX(TechData_R0!F100,1)</f>
        <v>1</v>
      </c>
      <c r="S83" s="278"/>
      <c r="T83" s="288">
        <v>5</v>
      </c>
      <c r="U83" s="289"/>
    </row>
    <row r="84" spans="1:21" x14ac:dyDescent="0.2">
      <c r="A84" s="256" t="s">
        <v>110</v>
      </c>
      <c r="B84" s="286" t="str">
        <f>TechData_R0!B102</f>
        <v>MINCSABLS6</v>
      </c>
      <c r="C84" s="286"/>
      <c r="D84" s="286"/>
      <c r="E84" s="278" t="s">
        <v>32</v>
      </c>
      <c r="F84" s="278"/>
      <c r="G84" s="278" t="s">
        <v>33</v>
      </c>
      <c r="H84" s="287">
        <f>TechData_R0!G102</f>
        <v>1.05</v>
      </c>
      <c r="I84" s="287">
        <f t="shared" ref="I84:Q84" si="77">H84</f>
        <v>1.05</v>
      </c>
      <c r="J84" s="287">
        <f t="shared" si="77"/>
        <v>1.05</v>
      </c>
      <c r="K84" s="287">
        <f t="shared" si="77"/>
        <v>1.05</v>
      </c>
      <c r="L84" s="287">
        <f t="shared" si="77"/>
        <v>1.05</v>
      </c>
      <c r="M84" s="287">
        <f t="shared" si="77"/>
        <v>1.05</v>
      </c>
      <c r="N84" s="287">
        <f t="shared" si="77"/>
        <v>1.05</v>
      </c>
      <c r="O84" s="287">
        <f t="shared" si="77"/>
        <v>1.05</v>
      </c>
      <c r="P84" s="287">
        <f t="shared" si="77"/>
        <v>1.05</v>
      </c>
      <c r="Q84" s="287">
        <f t="shared" si="77"/>
        <v>1.05</v>
      </c>
      <c r="R84" s="278">
        <f>MAX(TechData_R0!F101,1)</f>
        <v>1</v>
      </c>
      <c r="S84" s="278"/>
      <c r="T84" s="288">
        <v>5</v>
      </c>
      <c r="U84" s="289"/>
    </row>
    <row r="85" spans="1:21" x14ac:dyDescent="0.2">
      <c r="A85" s="256" t="s">
        <v>111</v>
      </c>
      <c r="B85" s="286" t="str">
        <f>TechData_R0!B104</f>
        <v>MINCSABMU1</v>
      </c>
      <c r="C85" s="286"/>
      <c r="D85" s="286"/>
      <c r="E85" s="278" t="s">
        <v>32</v>
      </c>
      <c r="F85" s="278"/>
      <c r="G85" s="278" t="s">
        <v>33</v>
      </c>
      <c r="H85" s="287">
        <f>TechData_R0!G104</f>
        <v>1.05</v>
      </c>
      <c r="I85" s="287">
        <f t="shared" ref="I85:Q85" si="78">H85</f>
        <v>1.05</v>
      </c>
      <c r="J85" s="287">
        <f t="shared" si="78"/>
        <v>1.05</v>
      </c>
      <c r="K85" s="287">
        <f t="shared" si="78"/>
        <v>1.05</v>
      </c>
      <c r="L85" s="287">
        <f t="shared" si="78"/>
        <v>1.05</v>
      </c>
      <c r="M85" s="287">
        <f t="shared" si="78"/>
        <v>1.05</v>
      </c>
      <c r="N85" s="287">
        <f t="shared" si="78"/>
        <v>1.05</v>
      </c>
      <c r="O85" s="287">
        <f t="shared" si="78"/>
        <v>1.05</v>
      </c>
      <c r="P85" s="287">
        <f t="shared" si="78"/>
        <v>1.05</v>
      </c>
      <c r="Q85" s="287">
        <f t="shared" si="78"/>
        <v>1.05</v>
      </c>
      <c r="R85" s="278">
        <f>MAX(TechData_R0!F103,1)</f>
        <v>1</v>
      </c>
      <c r="S85" s="278"/>
      <c r="T85" s="288">
        <v>5</v>
      </c>
      <c r="U85" s="289"/>
    </row>
    <row r="86" spans="1:21" x14ac:dyDescent="0.2">
      <c r="A86" s="256" t="s">
        <v>112</v>
      </c>
      <c r="B86" s="286" t="str">
        <f>TechData_R0!B105</f>
        <v>MINCSABMU2</v>
      </c>
      <c r="C86" s="286"/>
      <c r="D86" s="286"/>
      <c r="E86" s="278" t="s">
        <v>32</v>
      </c>
      <c r="F86" s="278"/>
      <c r="G86" s="278" t="s">
        <v>33</v>
      </c>
      <c r="H86" s="287">
        <f>TechData_R0!G105</f>
        <v>1.05</v>
      </c>
      <c r="I86" s="287">
        <f t="shared" ref="I86:Q86" si="79">H86</f>
        <v>1.05</v>
      </c>
      <c r="J86" s="287">
        <f t="shared" si="79"/>
        <v>1.05</v>
      </c>
      <c r="K86" s="287">
        <f t="shared" si="79"/>
        <v>1.05</v>
      </c>
      <c r="L86" s="287">
        <f t="shared" si="79"/>
        <v>1.05</v>
      </c>
      <c r="M86" s="287">
        <f t="shared" si="79"/>
        <v>1.05</v>
      </c>
      <c r="N86" s="287">
        <f t="shared" si="79"/>
        <v>1.05</v>
      </c>
      <c r="O86" s="287">
        <f t="shared" si="79"/>
        <v>1.05</v>
      </c>
      <c r="P86" s="287">
        <f t="shared" si="79"/>
        <v>1.05</v>
      </c>
      <c r="Q86" s="287">
        <f t="shared" si="79"/>
        <v>1.05</v>
      </c>
      <c r="R86" s="278">
        <f>MAX(TechData_R0!F104,1)</f>
        <v>1</v>
      </c>
      <c r="S86" s="278"/>
      <c r="T86" s="288">
        <v>5</v>
      </c>
      <c r="U86" s="289"/>
    </row>
    <row r="87" spans="1:21" x14ac:dyDescent="0.2">
      <c r="A87" s="256" t="s">
        <v>113</v>
      </c>
      <c r="B87" s="286" t="str">
        <f>TechData_R0!B106</f>
        <v>MINCSABMU3</v>
      </c>
      <c r="C87" s="286"/>
      <c r="D87" s="286"/>
      <c r="E87" s="278" t="s">
        <v>32</v>
      </c>
      <c r="F87" s="278"/>
      <c r="G87" s="278" t="s">
        <v>33</v>
      </c>
      <c r="H87" s="287">
        <f>TechData_R0!G106</f>
        <v>1.05</v>
      </c>
      <c r="I87" s="287">
        <f t="shared" ref="I87:Q87" si="80">H87</f>
        <v>1.05</v>
      </c>
      <c r="J87" s="287">
        <f t="shared" si="80"/>
        <v>1.05</v>
      </c>
      <c r="K87" s="287">
        <f t="shared" si="80"/>
        <v>1.05</v>
      </c>
      <c r="L87" s="287">
        <f t="shared" si="80"/>
        <v>1.05</v>
      </c>
      <c r="M87" s="287">
        <f t="shared" si="80"/>
        <v>1.05</v>
      </c>
      <c r="N87" s="287">
        <f t="shared" si="80"/>
        <v>1.05</v>
      </c>
      <c r="O87" s="287">
        <f t="shared" si="80"/>
        <v>1.05</v>
      </c>
      <c r="P87" s="287">
        <f t="shared" si="80"/>
        <v>1.05</v>
      </c>
      <c r="Q87" s="287">
        <f t="shared" si="80"/>
        <v>1.05</v>
      </c>
      <c r="R87" s="278">
        <f>MAX(TechData_R0!F105,1)</f>
        <v>1</v>
      </c>
      <c r="S87" s="278"/>
      <c r="T87" s="288">
        <v>5</v>
      </c>
      <c r="U87" s="289"/>
    </row>
    <row r="88" spans="1:21" x14ac:dyDescent="0.2">
      <c r="A88" s="256" t="s">
        <v>114</v>
      </c>
      <c r="B88" s="286" t="str">
        <f>TechData_R0!B107</f>
        <v>MINCSABMU4</v>
      </c>
      <c r="C88" s="286"/>
      <c r="D88" s="286"/>
      <c r="E88" s="278" t="s">
        <v>32</v>
      </c>
      <c r="F88" s="278"/>
      <c r="G88" s="278" t="s">
        <v>33</v>
      </c>
      <c r="H88" s="287">
        <f>TechData_R0!G107</f>
        <v>1.05</v>
      </c>
      <c r="I88" s="287">
        <f t="shared" ref="I88:Q88" si="81">H88</f>
        <v>1.05</v>
      </c>
      <c r="J88" s="287">
        <f t="shared" si="81"/>
        <v>1.05</v>
      </c>
      <c r="K88" s="287">
        <f t="shared" si="81"/>
        <v>1.05</v>
      </c>
      <c r="L88" s="287">
        <f t="shared" si="81"/>
        <v>1.05</v>
      </c>
      <c r="M88" s="287">
        <f t="shared" si="81"/>
        <v>1.05</v>
      </c>
      <c r="N88" s="287">
        <f t="shared" si="81"/>
        <v>1.05</v>
      </c>
      <c r="O88" s="287">
        <f t="shared" si="81"/>
        <v>1.05</v>
      </c>
      <c r="P88" s="287">
        <f t="shared" si="81"/>
        <v>1.05</v>
      </c>
      <c r="Q88" s="287">
        <f t="shared" si="81"/>
        <v>1.05</v>
      </c>
      <c r="R88" s="278">
        <f>MAX(TechData_R0!F106,1)</f>
        <v>1</v>
      </c>
      <c r="S88" s="278"/>
      <c r="T88" s="288">
        <v>5</v>
      </c>
      <c r="U88" s="289"/>
    </row>
    <row r="89" spans="1:21" x14ac:dyDescent="0.2">
      <c r="A89" s="256" t="s">
        <v>115</v>
      </c>
      <c r="B89" s="286" t="str">
        <f>TechData_R0!B108</f>
        <v>MINCSABMU5</v>
      </c>
      <c r="C89" s="286"/>
      <c r="D89" s="286"/>
      <c r="E89" s="278" t="s">
        <v>32</v>
      </c>
      <c r="F89" s="278"/>
      <c r="G89" s="278" t="s">
        <v>33</v>
      </c>
      <c r="H89" s="287">
        <f>TechData_R0!G108</f>
        <v>1.05</v>
      </c>
      <c r="I89" s="287">
        <f t="shared" ref="I89:Q89" si="82">H89</f>
        <v>1.05</v>
      </c>
      <c r="J89" s="287">
        <f t="shared" si="82"/>
        <v>1.05</v>
      </c>
      <c r="K89" s="287">
        <f t="shared" si="82"/>
        <v>1.05</v>
      </c>
      <c r="L89" s="287">
        <f t="shared" si="82"/>
        <v>1.05</v>
      </c>
      <c r="M89" s="287">
        <f t="shared" si="82"/>
        <v>1.05</v>
      </c>
      <c r="N89" s="287">
        <f t="shared" si="82"/>
        <v>1.05</v>
      </c>
      <c r="O89" s="287">
        <f t="shared" si="82"/>
        <v>1.05</v>
      </c>
      <c r="P89" s="287">
        <f t="shared" si="82"/>
        <v>1.05</v>
      </c>
      <c r="Q89" s="287">
        <f t="shared" si="82"/>
        <v>1.05</v>
      </c>
      <c r="R89" s="278">
        <f>MAX(TechData_R0!F107,1)</f>
        <v>1</v>
      </c>
      <c r="S89" s="278"/>
      <c r="T89" s="288">
        <v>5</v>
      </c>
      <c r="U89" s="289"/>
    </row>
    <row r="90" spans="1:21" x14ac:dyDescent="0.2">
      <c r="A90" s="256" t="s">
        <v>116</v>
      </c>
      <c r="B90" s="286" t="str">
        <f>TechData_R0!B109</f>
        <v>MINCSABMU6</v>
      </c>
      <c r="C90" s="286"/>
      <c r="D90" s="286"/>
      <c r="E90" s="278" t="s">
        <v>32</v>
      </c>
      <c r="F90" s="278"/>
      <c r="G90" s="278" t="s">
        <v>33</v>
      </c>
      <c r="H90" s="287">
        <f>TechData_R0!G109</f>
        <v>1.05</v>
      </c>
      <c r="I90" s="287">
        <f t="shared" ref="I90:Q90" si="83">H90</f>
        <v>1.05</v>
      </c>
      <c r="J90" s="287">
        <f t="shared" si="83"/>
        <v>1.05</v>
      </c>
      <c r="K90" s="287">
        <f t="shared" si="83"/>
        <v>1.05</v>
      </c>
      <c r="L90" s="287">
        <f t="shared" si="83"/>
        <v>1.05</v>
      </c>
      <c r="M90" s="287">
        <f t="shared" si="83"/>
        <v>1.05</v>
      </c>
      <c r="N90" s="287">
        <f t="shared" si="83"/>
        <v>1.05</v>
      </c>
      <c r="O90" s="287">
        <f t="shared" si="83"/>
        <v>1.05</v>
      </c>
      <c r="P90" s="287">
        <f t="shared" si="83"/>
        <v>1.05</v>
      </c>
      <c r="Q90" s="287">
        <f t="shared" si="83"/>
        <v>1.05</v>
      </c>
      <c r="R90" s="278">
        <f>MAX(TechData_R0!F108,1)</f>
        <v>1</v>
      </c>
      <c r="S90" s="278"/>
      <c r="T90" s="288">
        <v>5</v>
      </c>
      <c r="U90" s="289"/>
    </row>
    <row r="91" spans="1:21" x14ac:dyDescent="0.2">
      <c r="A91" s="256" t="s">
        <v>117</v>
      </c>
      <c r="B91" s="286" t="str">
        <f>TechData_R0!B111</f>
        <v>MINCSABMS1</v>
      </c>
      <c r="C91" s="286"/>
      <c r="D91" s="286"/>
      <c r="E91" s="278" t="s">
        <v>32</v>
      </c>
      <c r="F91" s="278"/>
      <c r="G91" s="278" t="s">
        <v>33</v>
      </c>
      <c r="H91" s="287">
        <f>TechData_R0!G111</f>
        <v>1.05</v>
      </c>
      <c r="I91" s="287">
        <f t="shared" ref="I91:Q91" si="84">H91</f>
        <v>1.05</v>
      </c>
      <c r="J91" s="287">
        <f t="shared" si="84"/>
        <v>1.05</v>
      </c>
      <c r="K91" s="287">
        <f t="shared" si="84"/>
        <v>1.05</v>
      </c>
      <c r="L91" s="287">
        <f t="shared" si="84"/>
        <v>1.05</v>
      </c>
      <c r="M91" s="287">
        <f t="shared" si="84"/>
        <v>1.05</v>
      </c>
      <c r="N91" s="287">
        <f t="shared" si="84"/>
        <v>1.05</v>
      </c>
      <c r="O91" s="287">
        <f t="shared" si="84"/>
        <v>1.05</v>
      </c>
      <c r="P91" s="287">
        <f t="shared" si="84"/>
        <v>1.05</v>
      </c>
      <c r="Q91" s="287">
        <f t="shared" si="84"/>
        <v>1.05</v>
      </c>
      <c r="R91" s="278">
        <f>MAX(TechData_R0!F110,1)</f>
        <v>1</v>
      </c>
      <c r="S91" s="278"/>
      <c r="T91" s="288">
        <v>5</v>
      </c>
      <c r="U91" s="289"/>
    </row>
    <row r="92" spans="1:21" x14ac:dyDescent="0.2">
      <c r="A92" s="256" t="s">
        <v>118</v>
      </c>
      <c r="B92" s="286" t="str">
        <f>TechData_R0!B112</f>
        <v>MINCSABMS2</v>
      </c>
      <c r="C92" s="286"/>
      <c r="D92" s="286"/>
      <c r="E92" s="278" t="s">
        <v>32</v>
      </c>
      <c r="F92" s="278"/>
      <c r="G92" s="278" t="s">
        <v>33</v>
      </c>
      <c r="H92" s="287">
        <f>TechData_R0!G112</f>
        <v>1.05</v>
      </c>
      <c r="I92" s="287">
        <f t="shared" ref="I92:Q92" si="85">H92</f>
        <v>1.05</v>
      </c>
      <c r="J92" s="287">
        <f t="shared" si="85"/>
        <v>1.05</v>
      </c>
      <c r="K92" s="287">
        <f t="shared" si="85"/>
        <v>1.05</v>
      </c>
      <c r="L92" s="287">
        <f t="shared" si="85"/>
        <v>1.05</v>
      </c>
      <c r="M92" s="287">
        <f t="shared" si="85"/>
        <v>1.05</v>
      </c>
      <c r="N92" s="287">
        <f t="shared" si="85"/>
        <v>1.05</v>
      </c>
      <c r="O92" s="287">
        <f t="shared" si="85"/>
        <v>1.05</v>
      </c>
      <c r="P92" s="287">
        <f t="shared" si="85"/>
        <v>1.05</v>
      </c>
      <c r="Q92" s="287">
        <f t="shared" si="85"/>
        <v>1.05</v>
      </c>
      <c r="R92" s="278">
        <f>MAX(TechData_R0!F111,1)</f>
        <v>1</v>
      </c>
      <c r="S92" s="278"/>
      <c r="T92" s="288">
        <v>5</v>
      </c>
      <c r="U92" s="289"/>
    </row>
    <row r="93" spans="1:21" x14ac:dyDescent="0.2">
      <c r="A93" s="256" t="s">
        <v>119</v>
      </c>
      <c r="B93" s="286" t="str">
        <f>TechData_R0!B113</f>
        <v>MINCSABMS3</v>
      </c>
      <c r="C93" s="286"/>
      <c r="D93" s="286"/>
      <c r="E93" s="278" t="s">
        <v>32</v>
      </c>
      <c r="F93" s="278"/>
      <c r="G93" s="278" t="s">
        <v>33</v>
      </c>
      <c r="H93" s="287">
        <f>TechData_R0!G113</f>
        <v>1.05</v>
      </c>
      <c r="I93" s="287">
        <f t="shared" ref="I93:Q93" si="86">H93</f>
        <v>1.05</v>
      </c>
      <c r="J93" s="287">
        <f t="shared" si="86"/>
        <v>1.05</v>
      </c>
      <c r="K93" s="287">
        <f t="shared" si="86"/>
        <v>1.05</v>
      </c>
      <c r="L93" s="287">
        <f t="shared" si="86"/>
        <v>1.05</v>
      </c>
      <c r="M93" s="287">
        <f t="shared" si="86"/>
        <v>1.05</v>
      </c>
      <c r="N93" s="287">
        <f t="shared" si="86"/>
        <v>1.05</v>
      </c>
      <c r="O93" s="287">
        <f t="shared" si="86"/>
        <v>1.05</v>
      </c>
      <c r="P93" s="287">
        <f t="shared" si="86"/>
        <v>1.05</v>
      </c>
      <c r="Q93" s="287">
        <f t="shared" si="86"/>
        <v>1.05</v>
      </c>
      <c r="R93" s="278">
        <f>MAX(TechData_R0!F112,1)</f>
        <v>1</v>
      </c>
      <c r="S93" s="278"/>
      <c r="T93" s="288">
        <v>5</v>
      </c>
      <c r="U93" s="289"/>
    </row>
    <row r="94" spans="1:21" x14ac:dyDescent="0.2">
      <c r="A94" s="256" t="s">
        <v>120</v>
      </c>
      <c r="B94" s="286" t="str">
        <f>TechData_R0!B114</f>
        <v>MINCSABMS4</v>
      </c>
      <c r="C94" s="286"/>
      <c r="D94" s="286"/>
      <c r="E94" s="278" t="s">
        <v>32</v>
      </c>
      <c r="F94" s="278"/>
      <c r="G94" s="278" t="s">
        <v>33</v>
      </c>
      <c r="H94" s="287">
        <f>TechData_R0!G114</f>
        <v>1.05</v>
      </c>
      <c r="I94" s="287">
        <f t="shared" ref="I94:Q94" si="87">H94</f>
        <v>1.05</v>
      </c>
      <c r="J94" s="287">
        <f t="shared" si="87"/>
        <v>1.05</v>
      </c>
      <c r="K94" s="287">
        <f t="shared" si="87"/>
        <v>1.05</v>
      </c>
      <c r="L94" s="287">
        <f t="shared" si="87"/>
        <v>1.05</v>
      </c>
      <c r="M94" s="287">
        <f t="shared" si="87"/>
        <v>1.05</v>
      </c>
      <c r="N94" s="287">
        <f t="shared" si="87"/>
        <v>1.05</v>
      </c>
      <c r="O94" s="287">
        <f t="shared" si="87"/>
        <v>1.05</v>
      </c>
      <c r="P94" s="287">
        <f t="shared" si="87"/>
        <v>1.05</v>
      </c>
      <c r="Q94" s="287">
        <f t="shared" si="87"/>
        <v>1.05</v>
      </c>
      <c r="R94" s="278">
        <f>MAX(TechData_R0!F113,1)</f>
        <v>1</v>
      </c>
      <c r="S94" s="278"/>
      <c r="T94" s="288">
        <v>5</v>
      </c>
      <c r="U94" s="289"/>
    </row>
    <row r="95" spans="1:21" x14ac:dyDescent="0.2">
      <c r="A95" s="256" t="s">
        <v>121</v>
      </c>
      <c r="B95" s="286" t="str">
        <f>TechData_R0!B115</f>
        <v>MINCSABMS5</v>
      </c>
      <c r="C95" s="286"/>
      <c r="D95" s="286"/>
      <c r="E95" s="278" t="s">
        <v>32</v>
      </c>
      <c r="F95" s="278"/>
      <c r="G95" s="278" t="s">
        <v>33</v>
      </c>
      <c r="H95" s="287">
        <f>TechData_R0!G115</f>
        <v>1.05</v>
      </c>
      <c r="I95" s="287">
        <f t="shared" ref="I95:Q95" si="88">H95</f>
        <v>1.05</v>
      </c>
      <c r="J95" s="287">
        <f t="shared" si="88"/>
        <v>1.05</v>
      </c>
      <c r="K95" s="287">
        <f t="shared" si="88"/>
        <v>1.05</v>
      </c>
      <c r="L95" s="287">
        <f t="shared" si="88"/>
        <v>1.05</v>
      </c>
      <c r="M95" s="287">
        <f t="shared" si="88"/>
        <v>1.05</v>
      </c>
      <c r="N95" s="287">
        <f t="shared" si="88"/>
        <v>1.05</v>
      </c>
      <c r="O95" s="287">
        <f t="shared" si="88"/>
        <v>1.05</v>
      </c>
      <c r="P95" s="287">
        <f t="shared" si="88"/>
        <v>1.05</v>
      </c>
      <c r="Q95" s="287">
        <f t="shared" si="88"/>
        <v>1.05</v>
      </c>
      <c r="R95" s="278">
        <f>MAX(TechData_R0!F114,1)</f>
        <v>1</v>
      </c>
      <c r="S95" s="278"/>
      <c r="T95" s="288">
        <v>5</v>
      </c>
      <c r="U95" s="289"/>
    </row>
    <row r="96" spans="1:21" x14ac:dyDescent="0.2">
      <c r="A96" s="256" t="s">
        <v>122</v>
      </c>
      <c r="B96" s="286" t="str">
        <f>TechData_R0!B116</f>
        <v>MINCSABMS6</v>
      </c>
      <c r="C96" s="286"/>
      <c r="D96" s="286"/>
      <c r="E96" s="278" t="s">
        <v>32</v>
      </c>
      <c r="F96" s="278"/>
      <c r="G96" s="278" t="s">
        <v>33</v>
      </c>
      <c r="H96" s="287">
        <f>TechData_R0!G116</f>
        <v>1.05</v>
      </c>
      <c r="I96" s="287">
        <f t="shared" ref="I96:Q96" si="89">H96</f>
        <v>1.05</v>
      </c>
      <c r="J96" s="287">
        <f t="shared" si="89"/>
        <v>1.05</v>
      </c>
      <c r="K96" s="287">
        <f t="shared" si="89"/>
        <v>1.05</v>
      </c>
      <c r="L96" s="287">
        <f t="shared" si="89"/>
        <v>1.05</v>
      </c>
      <c r="M96" s="287">
        <f t="shared" si="89"/>
        <v>1.05</v>
      </c>
      <c r="N96" s="287">
        <f t="shared" si="89"/>
        <v>1.05</v>
      </c>
      <c r="O96" s="287">
        <f t="shared" si="89"/>
        <v>1.05</v>
      </c>
      <c r="P96" s="287">
        <f t="shared" si="89"/>
        <v>1.05</v>
      </c>
      <c r="Q96" s="287">
        <f t="shared" si="89"/>
        <v>1.05</v>
      </c>
      <c r="R96" s="278">
        <f>MAX(TechData_R0!F115,1)</f>
        <v>2.117149612497236</v>
      </c>
      <c r="S96" s="278"/>
      <c r="T96" s="288">
        <v>5</v>
      </c>
      <c r="U96" s="289"/>
    </row>
    <row r="97" spans="1:21" x14ac:dyDescent="0.2">
      <c r="A97" s="256" t="s">
        <v>123</v>
      </c>
      <c r="B97" s="286" t="str">
        <f>TechData_R0!B118</f>
        <v>MINCEIBMU1</v>
      </c>
      <c r="C97" s="286"/>
      <c r="D97" s="286"/>
      <c r="E97" s="278" t="s">
        <v>32</v>
      </c>
      <c r="F97" s="278"/>
      <c r="G97" s="278" t="s">
        <v>33</v>
      </c>
      <c r="H97" s="287">
        <f>TechData_R0!G118</f>
        <v>1.05</v>
      </c>
      <c r="I97" s="287">
        <f t="shared" ref="I97:Q97" si="90">H97</f>
        <v>1.05</v>
      </c>
      <c r="J97" s="287">
        <f t="shared" si="90"/>
        <v>1.05</v>
      </c>
      <c r="K97" s="287">
        <f t="shared" si="90"/>
        <v>1.05</v>
      </c>
      <c r="L97" s="287">
        <f t="shared" si="90"/>
        <v>1.05</v>
      </c>
      <c r="M97" s="287">
        <f t="shared" si="90"/>
        <v>1.05</v>
      </c>
      <c r="N97" s="287">
        <f t="shared" si="90"/>
        <v>1.05</v>
      </c>
      <c r="O97" s="287">
        <f t="shared" si="90"/>
        <v>1.05</v>
      </c>
      <c r="P97" s="287">
        <f t="shared" si="90"/>
        <v>1.05</v>
      </c>
      <c r="Q97" s="287">
        <f t="shared" si="90"/>
        <v>1.05</v>
      </c>
      <c r="R97" s="278">
        <f>MAX(TechData_R0!F117,1)</f>
        <v>1</v>
      </c>
      <c r="S97" s="278"/>
      <c r="T97" s="288">
        <v>5</v>
      </c>
      <c r="U97" s="289"/>
    </row>
    <row r="98" spans="1:21" x14ac:dyDescent="0.2">
      <c r="A98" s="256" t="s">
        <v>124</v>
      </c>
      <c r="B98" s="286" t="str">
        <f>TechData_R0!B119</f>
        <v>MINCEIBMU2</v>
      </c>
      <c r="C98" s="286"/>
      <c r="D98" s="286"/>
      <c r="E98" s="278" t="s">
        <v>32</v>
      </c>
      <c r="F98" s="278"/>
      <c r="G98" s="278" t="s">
        <v>33</v>
      </c>
      <c r="H98" s="287">
        <f>TechData_R0!G119</f>
        <v>1.05</v>
      </c>
      <c r="I98" s="287">
        <f t="shared" ref="I98:Q98" si="91">H98</f>
        <v>1.05</v>
      </c>
      <c r="J98" s="287">
        <f t="shared" si="91"/>
        <v>1.05</v>
      </c>
      <c r="K98" s="287">
        <f t="shared" si="91"/>
        <v>1.05</v>
      </c>
      <c r="L98" s="287">
        <f t="shared" si="91"/>
        <v>1.05</v>
      </c>
      <c r="M98" s="287">
        <f t="shared" si="91"/>
        <v>1.05</v>
      </c>
      <c r="N98" s="287">
        <f t="shared" si="91"/>
        <v>1.05</v>
      </c>
      <c r="O98" s="287">
        <f t="shared" si="91"/>
        <v>1.05</v>
      </c>
      <c r="P98" s="287">
        <f t="shared" si="91"/>
        <v>1.05</v>
      </c>
      <c r="Q98" s="287">
        <f t="shared" si="91"/>
        <v>1.05</v>
      </c>
      <c r="R98" s="278">
        <f>MAX(TechData_R0!F118,1)</f>
        <v>1</v>
      </c>
      <c r="S98" s="278"/>
      <c r="T98" s="288">
        <v>5</v>
      </c>
      <c r="U98" s="289"/>
    </row>
    <row r="99" spans="1:21" x14ac:dyDescent="0.2">
      <c r="A99" s="256" t="s">
        <v>125</v>
      </c>
      <c r="B99" s="286" t="str">
        <f>TechData_R0!B120</f>
        <v>MINCEIBMU3</v>
      </c>
      <c r="C99" s="286"/>
      <c r="D99" s="286"/>
      <c r="E99" s="278" t="s">
        <v>32</v>
      </c>
      <c r="F99" s="278"/>
      <c r="G99" s="278" t="s">
        <v>33</v>
      </c>
      <c r="H99" s="287">
        <f>TechData_R0!G120</f>
        <v>1.05</v>
      </c>
      <c r="I99" s="287">
        <f t="shared" ref="I99:Q99" si="92">H99</f>
        <v>1.05</v>
      </c>
      <c r="J99" s="287">
        <f t="shared" si="92"/>
        <v>1.05</v>
      </c>
      <c r="K99" s="287">
        <f t="shared" si="92"/>
        <v>1.05</v>
      </c>
      <c r="L99" s="287">
        <f t="shared" si="92"/>
        <v>1.05</v>
      </c>
      <c r="M99" s="287">
        <f t="shared" si="92"/>
        <v>1.05</v>
      </c>
      <c r="N99" s="287">
        <f t="shared" si="92"/>
        <v>1.05</v>
      </c>
      <c r="O99" s="287">
        <f t="shared" si="92"/>
        <v>1.05</v>
      </c>
      <c r="P99" s="287">
        <f t="shared" si="92"/>
        <v>1.05</v>
      </c>
      <c r="Q99" s="287">
        <f t="shared" si="92"/>
        <v>1.05</v>
      </c>
      <c r="R99" s="278">
        <f>MAX(TechData_R0!F119,1)</f>
        <v>1</v>
      </c>
      <c r="S99" s="278"/>
      <c r="T99" s="288">
        <v>5</v>
      </c>
      <c r="U99" s="289"/>
    </row>
    <row r="100" spans="1:21" x14ac:dyDescent="0.2">
      <c r="A100" s="256" t="s">
        <v>126</v>
      </c>
      <c r="B100" s="286" t="str">
        <f>TechData_R0!B121</f>
        <v>MINCEIBMU4</v>
      </c>
      <c r="C100" s="286"/>
      <c r="D100" s="286"/>
      <c r="E100" s="278" t="s">
        <v>32</v>
      </c>
      <c r="F100" s="278"/>
      <c r="G100" s="278" t="s">
        <v>33</v>
      </c>
      <c r="H100" s="287">
        <f>TechData_R0!G121</f>
        <v>1.05</v>
      </c>
      <c r="I100" s="287">
        <f t="shared" ref="I100:Q100" si="93">H100</f>
        <v>1.05</v>
      </c>
      <c r="J100" s="287">
        <f t="shared" si="93"/>
        <v>1.05</v>
      </c>
      <c r="K100" s="287">
        <f t="shared" si="93"/>
        <v>1.05</v>
      </c>
      <c r="L100" s="287">
        <f t="shared" si="93"/>
        <v>1.05</v>
      </c>
      <c r="M100" s="287">
        <f t="shared" si="93"/>
        <v>1.05</v>
      </c>
      <c r="N100" s="287">
        <f t="shared" si="93"/>
        <v>1.05</v>
      </c>
      <c r="O100" s="287">
        <f t="shared" si="93"/>
        <v>1.05</v>
      </c>
      <c r="P100" s="287">
        <f t="shared" si="93"/>
        <v>1.05</v>
      </c>
      <c r="Q100" s="287">
        <f t="shared" si="93"/>
        <v>1.05</v>
      </c>
      <c r="R100" s="278">
        <f>MAX(TechData_R0!F120,1)</f>
        <v>1</v>
      </c>
      <c r="S100" s="278"/>
      <c r="T100" s="288">
        <v>5</v>
      </c>
      <c r="U100" s="289"/>
    </row>
    <row r="101" spans="1:21" x14ac:dyDescent="0.2">
      <c r="A101" s="256" t="s">
        <v>127</v>
      </c>
      <c r="B101" s="286" t="str">
        <f>TechData_R0!B122</f>
        <v>MINCEIBMU5</v>
      </c>
      <c r="C101" s="286"/>
      <c r="D101" s="286"/>
      <c r="E101" s="278" t="s">
        <v>32</v>
      </c>
      <c r="F101" s="278"/>
      <c r="G101" s="278" t="s">
        <v>33</v>
      </c>
      <c r="H101" s="287">
        <f>TechData_R0!G122</f>
        <v>1.05</v>
      </c>
      <c r="I101" s="287">
        <f t="shared" ref="I101:Q101" si="94">H101</f>
        <v>1.05</v>
      </c>
      <c r="J101" s="287">
        <f t="shared" si="94"/>
        <v>1.05</v>
      </c>
      <c r="K101" s="287">
        <f t="shared" si="94"/>
        <v>1.05</v>
      </c>
      <c r="L101" s="287">
        <f t="shared" si="94"/>
        <v>1.05</v>
      </c>
      <c r="M101" s="287">
        <f t="shared" si="94"/>
        <v>1.05</v>
      </c>
      <c r="N101" s="287">
        <f t="shared" si="94"/>
        <v>1.05</v>
      </c>
      <c r="O101" s="287">
        <f t="shared" si="94"/>
        <v>1.05</v>
      </c>
      <c r="P101" s="287">
        <f t="shared" si="94"/>
        <v>1.05</v>
      </c>
      <c r="Q101" s="287">
        <f t="shared" si="94"/>
        <v>1.05</v>
      </c>
      <c r="R101" s="278">
        <f>MAX(TechData_R0!F121,1)</f>
        <v>1</v>
      </c>
      <c r="S101" s="278"/>
      <c r="T101" s="288">
        <v>5</v>
      </c>
      <c r="U101" s="289"/>
    </row>
    <row r="102" spans="1:21" x14ac:dyDescent="0.2">
      <c r="A102" s="256" t="s">
        <v>128</v>
      </c>
      <c r="B102" s="286" t="str">
        <f>TechData_R0!B123</f>
        <v>MINCEIBMU6</v>
      </c>
      <c r="C102" s="286"/>
      <c r="D102" s="286"/>
      <c r="E102" s="278" t="s">
        <v>32</v>
      </c>
      <c r="F102" s="278"/>
      <c r="G102" s="278" t="s">
        <v>33</v>
      </c>
      <c r="H102" s="287">
        <f>TechData_R0!G123</f>
        <v>1.05</v>
      </c>
      <c r="I102" s="287">
        <f t="shared" ref="I102:Q102" si="95">H102</f>
        <v>1.05</v>
      </c>
      <c r="J102" s="287">
        <f t="shared" si="95"/>
        <v>1.05</v>
      </c>
      <c r="K102" s="287">
        <f t="shared" si="95"/>
        <v>1.05</v>
      </c>
      <c r="L102" s="287">
        <f t="shared" si="95"/>
        <v>1.05</v>
      </c>
      <c r="M102" s="287">
        <f t="shared" si="95"/>
        <v>1.05</v>
      </c>
      <c r="N102" s="287">
        <f t="shared" si="95"/>
        <v>1.05</v>
      </c>
      <c r="O102" s="287">
        <f t="shared" si="95"/>
        <v>1.05</v>
      </c>
      <c r="P102" s="287">
        <f t="shared" si="95"/>
        <v>1.05</v>
      </c>
      <c r="Q102" s="287">
        <f t="shared" si="95"/>
        <v>1.05</v>
      </c>
      <c r="R102" s="278">
        <f>MAX(TechData_R0!F122,1)</f>
        <v>1.8055000815065751</v>
      </c>
      <c r="S102" s="278"/>
      <c r="T102" s="288">
        <v>5</v>
      </c>
      <c r="U102" s="289"/>
    </row>
    <row r="103" spans="1:21" x14ac:dyDescent="0.2">
      <c r="A103" s="256" t="s">
        <v>129</v>
      </c>
      <c r="B103" s="286" t="str">
        <f>TechData_R0!B125</f>
        <v>MINCEIBMS1</v>
      </c>
      <c r="C103" s="286"/>
      <c r="D103" s="286"/>
      <c r="E103" s="278" t="s">
        <v>32</v>
      </c>
      <c r="F103" s="278"/>
      <c r="G103" s="278" t="s">
        <v>33</v>
      </c>
      <c r="H103" s="287">
        <f>TechData_R0!G125</f>
        <v>1.05</v>
      </c>
      <c r="I103" s="287">
        <f t="shared" ref="I103:Q103" si="96">H103</f>
        <v>1.05</v>
      </c>
      <c r="J103" s="287">
        <f t="shared" si="96"/>
        <v>1.05</v>
      </c>
      <c r="K103" s="287">
        <f t="shared" si="96"/>
        <v>1.05</v>
      </c>
      <c r="L103" s="287">
        <f t="shared" si="96"/>
        <v>1.05</v>
      </c>
      <c r="M103" s="287">
        <f t="shared" si="96"/>
        <v>1.05</v>
      </c>
      <c r="N103" s="287">
        <f t="shared" si="96"/>
        <v>1.05</v>
      </c>
      <c r="O103" s="287">
        <f t="shared" si="96"/>
        <v>1.05</v>
      </c>
      <c r="P103" s="287">
        <f t="shared" si="96"/>
        <v>1.05</v>
      </c>
      <c r="Q103" s="287">
        <f t="shared" si="96"/>
        <v>1.05</v>
      </c>
      <c r="R103" s="278">
        <f>MAX(TechData_R0!F124,1)</f>
        <v>1</v>
      </c>
      <c r="S103" s="278"/>
      <c r="T103" s="288">
        <v>5</v>
      </c>
      <c r="U103" s="289"/>
    </row>
    <row r="104" spans="1:21" x14ac:dyDescent="0.2">
      <c r="A104" s="256" t="s">
        <v>130</v>
      </c>
      <c r="B104" s="286" t="str">
        <f>TechData_R0!B126</f>
        <v>MINCEIBMS2</v>
      </c>
      <c r="C104" s="286"/>
      <c r="D104" s="286"/>
      <c r="E104" s="278" t="s">
        <v>32</v>
      </c>
      <c r="F104" s="278"/>
      <c r="G104" s="278" t="s">
        <v>33</v>
      </c>
      <c r="H104" s="287">
        <f>TechData_R0!G126</f>
        <v>1.05</v>
      </c>
      <c r="I104" s="287">
        <f t="shared" ref="I104:Q104" si="97">H104</f>
        <v>1.05</v>
      </c>
      <c r="J104" s="287">
        <f t="shared" si="97"/>
        <v>1.05</v>
      </c>
      <c r="K104" s="287">
        <f t="shared" si="97"/>
        <v>1.05</v>
      </c>
      <c r="L104" s="287">
        <f t="shared" si="97"/>
        <v>1.05</v>
      </c>
      <c r="M104" s="287">
        <f t="shared" si="97"/>
        <v>1.05</v>
      </c>
      <c r="N104" s="287">
        <f t="shared" si="97"/>
        <v>1.05</v>
      </c>
      <c r="O104" s="287">
        <f t="shared" si="97"/>
        <v>1.05</v>
      </c>
      <c r="P104" s="287">
        <f t="shared" si="97"/>
        <v>1.05</v>
      </c>
      <c r="Q104" s="287">
        <f t="shared" si="97"/>
        <v>1.05</v>
      </c>
      <c r="R104" s="278">
        <f>MAX(TechData_R0!F125,1)</f>
        <v>1</v>
      </c>
      <c r="S104" s="278"/>
      <c r="T104" s="288">
        <v>5</v>
      </c>
      <c r="U104" s="289"/>
    </row>
    <row r="105" spans="1:21" x14ac:dyDescent="0.2">
      <c r="A105" s="256" t="s">
        <v>131</v>
      </c>
      <c r="B105" s="286" t="str">
        <f>TechData_R0!B127</f>
        <v>MINCEIBMS3</v>
      </c>
      <c r="C105" s="286"/>
      <c r="D105" s="286"/>
      <c r="E105" s="278" t="s">
        <v>32</v>
      </c>
      <c r="F105" s="278"/>
      <c r="G105" s="278" t="s">
        <v>33</v>
      </c>
      <c r="H105" s="287">
        <f>TechData_R0!G127</f>
        <v>1.05</v>
      </c>
      <c r="I105" s="287">
        <f t="shared" ref="I105:Q105" si="98">H105</f>
        <v>1.05</v>
      </c>
      <c r="J105" s="287">
        <f t="shared" si="98"/>
        <v>1.05</v>
      </c>
      <c r="K105" s="287">
        <f t="shared" si="98"/>
        <v>1.05</v>
      </c>
      <c r="L105" s="287">
        <f t="shared" si="98"/>
        <v>1.05</v>
      </c>
      <c r="M105" s="287">
        <f t="shared" si="98"/>
        <v>1.05</v>
      </c>
      <c r="N105" s="287">
        <f t="shared" si="98"/>
        <v>1.05</v>
      </c>
      <c r="O105" s="287">
        <f t="shared" si="98"/>
        <v>1.05</v>
      </c>
      <c r="P105" s="287">
        <f t="shared" si="98"/>
        <v>1.05</v>
      </c>
      <c r="Q105" s="287">
        <f t="shared" si="98"/>
        <v>1.05</v>
      </c>
      <c r="R105" s="278">
        <f>MAX(TechData_R0!F126,1)</f>
        <v>1</v>
      </c>
      <c r="S105" s="278"/>
      <c r="T105" s="288">
        <v>5</v>
      </c>
      <c r="U105" s="289"/>
    </row>
    <row r="106" spans="1:21" x14ac:dyDescent="0.2">
      <c r="A106" s="256" t="s">
        <v>132</v>
      </c>
      <c r="B106" s="286" t="str">
        <f>TechData_R0!B128</f>
        <v>MINCEIBMS4</v>
      </c>
      <c r="C106" s="286"/>
      <c r="D106" s="286"/>
      <c r="E106" s="278" t="s">
        <v>32</v>
      </c>
      <c r="F106" s="278"/>
      <c r="G106" s="278" t="s">
        <v>33</v>
      </c>
      <c r="H106" s="287">
        <f>TechData_R0!G128</f>
        <v>1.05</v>
      </c>
      <c r="I106" s="287">
        <f t="shared" ref="I106:Q106" si="99">H106</f>
        <v>1.05</v>
      </c>
      <c r="J106" s="287">
        <f t="shared" si="99"/>
        <v>1.05</v>
      </c>
      <c r="K106" s="287">
        <f t="shared" si="99"/>
        <v>1.05</v>
      </c>
      <c r="L106" s="287">
        <f t="shared" si="99"/>
        <v>1.05</v>
      </c>
      <c r="M106" s="287">
        <f t="shared" si="99"/>
        <v>1.05</v>
      </c>
      <c r="N106" s="287">
        <f t="shared" si="99"/>
        <v>1.05</v>
      </c>
      <c r="O106" s="287">
        <f t="shared" si="99"/>
        <v>1.05</v>
      </c>
      <c r="P106" s="287">
        <f t="shared" si="99"/>
        <v>1.05</v>
      </c>
      <c r="Q106" s="287">
        <f t="shared" si="99"/>
        <v>1.05</v>
      </c>
      <c r="R106" s="278">
        <f>MAX(TechData_R0!F127,1)</f>
        <v>1</v>
      </c>
      <c r="S106" s="278"/>
      <c r="T106" s="288">
        <v>5</v>
      </c>
      <c r="U106" s="289"/>
    </row>
    <row r="107" spans="1:21" x14ac:dyDescent="0.2">
      <c r="A107" s="256" t="s">
        <v>133</v>
      </c>
      <c r="B107" s="286" t="str">
        <f>TechData_R0!B129</f>
        <v>MINCEIBMS5</v>
      </c>
      <c r="C107" s="286"/>
      <c r="D107" s="286"/>
      <c r="E107" s="278" t="s">
        <v>32</v>
      </c>
      <c r="F107" s="278"/>
      <c r="G107" s="278" t="s">
        <v>33</v>
      </c>
      <c r="H107" s="287">
        <f>TechData_R0!G129</f>
        <v>1.05</v>
      </c>
      <c r="I107" s="287">
        <f t="shared" ref="I107:Q107" si="100">H107</f>
        <v>1.05</v>
      </c>
      <c r="J107" s="287">
        <f t="shared" si="100"/>
        <v>1.05</v>
      </c>
      <c r="K107" s="287">
        <f t="shared" si="100"/>
        <v>1.05</v>
      </c>
      <c r="L107" s="287">
        <f t="shared" si="100"/>
        <v>1.05</v>
      </c>
      <c r="M107" s="287">
        <f t="shared" si="100"/>
        <v>1.05</v>
      </c>
      <c r="N107" s="287">
        <f t="shared" si="100"/>
        <v>1.05</v>
      </c>
      <c r="O107" s="287">
        <f t="shared" si="100"/>
        <v>1.05</v>
      </c>
      <c r="P107" s="287">
        <f t="shared" si="100"/>
        <v>1.05</v>
      </c>
      <c r="Q107" s="287">
        <f t="shared" si="100"/>
        <v>1.05</v>
      </c>
      <c r="R107" s="278">
        <f>MAX(TechData_R0!F128,1)</f>
        <v>1</v>
      </c>
      <c r="S107" s="278"/>
      <c r="T107" s="288">
        <v>5</v>
      </c>
      <c r="U107" s="289"/>
    </row>
    <row r="108" spans="1:21" x14ac:dyDescent="0.2">
      <c r="A108" s="256" t="s">
        <v>134</v>
      </c>
      <c r="B108" s="286" t="str">
        <f>TechData_R0!B130</f>
        <v>MINCEIBMS6</v>
      </c>
      <c r="C108" s="286"/>
      <c r="D108" s="286"/>
      <c r="E108" s="278" t="s">
        <v>32</v>
      </c>
      <c r="F108" s="278"/>
      <c r="G108" s="278" t="s">
        <v>33</v>
      </c>
      <c r="H108" s="287">
        <f>TechData_R0!G130</f>
        <v>1.05</v>
      </c>
      <c r="I108" s="287">
        <f t="shared" ref="I108:Q108" si="101">H108</f>
        <v>1.05</v>
      </c>
      <c r="J108" s="287">
        <f t="shared" si="101"/>
        <v>1.05</v>
      </c>
      <c r="K108" s="287">
        <f t="shared" si="101"/>
        <v>1.05</v>
      </c>
      <c r="L108" s="287">
        <f t="shared" si="101"/>
        <v>1.05</v>
      </c>
      <c r="M108" s="287">
        <f t="shared" si="101"/>
        <v>1.05</v>
      </c>
      <c r="N108" s="287">
        <f t="shared" si="101"/>
        <v>1.05</v>
      </c>
      <c r="O108" s="287">
        <f t="shared" si="101"/>
        <v>1.05</v>
      </c>
      <c r="P108" s="287">
        <f t="shared" si="101"/>
        <v>1.05</v>
      </c>
      <c r="Q108" s="287">
        <f t="shared" si="101"/>
        <v>1.05</v>
      </c>
      <c r="R108" s="278">
        <f>MAX(TechData_R0!F129,1)</f>
        <v>1</v>
      </c>
      <c r="S108" s="278"/>
      <c r="T108" s="288">
        <v>5</v>
      </c>
      <c r="U108" s="289"/>
    </row>
    <row r="109" spans="1:21" x14ac:dyDescent="0.2">
      <c r="A109" s="256" t="s">
        <v>135</v>
      </c>
      <c r="B109" s="286" t="str">
        <f>TechData_R0!B132</f>
        <v>MINCEIBHU1</v>
      </c>
      <c r="C109" s="286"/>
      <c r="D109" s="286"/>
      <c r="E109" s="278" t="s">
        <v>32</v>
      </c>
      <c r="F109" s="278"/>
      <c r="G109" s="278" t="s">
        <v>33</v>
      </c>
      <c r="H109" s="287">
        <f>TechData_R0!G132</f>
        <v>1.05</v>
      </c>
      <c r="I109" s="287">
        <f t="shared" ref="I109:Q109" si="102">H109</f>
        <v>1.05</v>
      </c>
      <c r="J109" s="287">
        <f t="shared" si="102"/>
        <v>1.05</v>
      </c>
      <c r="K109" s="287">
        <f t="shared" si="102"/>
        <v>1.05</v>
      </c>
      <c r="L109" s="287">
        <f t="shared" si="102"/>
        <v>1.05</v>
      </c>
      <c r="M109" s="287">
        <f t="shared" si="102"/>
        <v>1.05</v>
      </c>
      <c r="N109" s="287">
        <f t="shared" si="102"/>
        <v>1.05</v>
      </c>
      <c r="O109" s="287">
        <f t="shared" si="102"/>
        <v>1.05</v>
      </c>
      <c r="P109" s="287">
        <f t="shared" si="102"/>
        <v>1.05</v>
      </c>
      <c r="Q109" s="287">
        <f t="shared" si="102"/>
        <v>1.05</v>
      </c>
      <c r="R109" s="278">
        <f>MAX(TechData_R0!F131,1)</f>
        <v>1</v>
      </c>
      <c r="S109" s="278"/>
      <c r="T109" s="288">
        <v>5</v>
      </c>
      <c r="U109" s="289"/>
    </row>
    <row r="110" spans="1:21" x14ac:dyDescent="0.2">
      <c r="A110" s="256" t="s">
        <v>136</v>
      </c>
      <c r="B110" s="286" t="str">
        <f>TechData_R0!B133</f>
        <v>MINCEIBHU2</v>
      </c>
      <c r="C110" s="286"/>
      <c r="D110" s="286"/>
      <c r="E110" s="278" t="s">
        <v>32</v>
      </c>
      <c r="F110" s="278"/>
      <c r="G110" s="278" t="s">
        <v>33</v>
      </c>
      <c r="H110" s="287">
        <f>TechData_R0!G133</f>
        <v>1.05</v>
      </c>
      <c r="I110" s="287">
        <f t="shared" ref="I110:Q110" si="103">H110</f>
        <v>1.05</v>
      </c>
      <c r="J110" s="287">
        <f t="shared" si="103"/>
        <v>1.05</v>
      </c>
      <c r="K110" s="287">
        <f t="shared" si="103"/>
        <v>1.05</v>
      </c>
      <c r="L110" s="287">
        <f t="shared" si="103"/>
        <v>1.05</v>
      </c>
      <c r="M110" s="287">
        <f t="shared" si="103"/>
        <v>1.05</v>
      </c>
      <c r="N110" s="287">
        <f t="shared" si="103"/>
        <v>1.05</v>
      </c>
      <c r="O110" s="287">
        <f t="shared" si="103"/>
        <v>1.05</v>
      </c>
      <c r="P110" s="287">
        <f t="shared" si="103"/>
        <v>1.05</v>
      </c>
      <c r="Q110" s="287">
        <f t="shared" si="103"/>
        <v>1.05</v>
      </c>
      <c r="R110" s="278">
        <f>MAX(TechData_R0!F132,1)</f>
        <v>1</v>
      </c>
      <c r="S110" s="278"/>
      <c r="T110" s="288">
        <v>5</v>
      </c>
      <c r="U110" s="289"/>
    </row>
    <row r="111" spans="1:21" x14ac:dyDescent="0.2">
      <c r="A111" s="256" t="s">
        <v>137</v>
      </c>
      <c r="B111" s="286" t="str">
        <f>TechData_R0!B134</f>
        <v>MINCEIBHU3</v>
      </c>
      <c r="C111" s="286"/>
      <c r="D111" s="286"/>
      <c r="E111" s="278" t="s">
        <v>32</v>
      </c>
      <c r="F111" s="278"/>
      <c r="G111" s="278" t="s">
        <v>33</v>
      </c>
      <c r="H111" s="287">
        <f>TechData_R0!G134</f>
        <v>1.05</v>
      </c>
      <c r="I111" s="287">
        <f t="shared" ref="I111:Q111" si="104">H111</f>
        <v>1.05</v>
      </c>
      <c r="J111" s="287">
        <f t="shared" si="104"/>
        <v>1.05</v>
      </c>
      <c r="K111" s="287">
        <f t="shared" si="104"/>
        <v>1.05</v>
      </c>
      <c r="L111" s="287">
        <f t="shared" si="104"/>
        <v>1.05</v>
      </c>
      <c r="M111" s="287">
        <f t="shared" si="104"/>
        <v>1.05</v>
      </c>
      <c r="N111" s="287">
        <f t="shared" si="104"/>
        <v>1.05</v>
      </c>
      <c r="O111" s="287">
        <f t="shared" si="104"/>
        <v>1.05</v>
      </c>
      <c r="P111" s="287">
        <f t="shared" si="104"/>
        <v>1.05</v>
      </c>
      <c r="Q111" s="287">
        <f t="shared" si="104"/>
        <v>1.05</v>
      </c>
      <c r="R111" s="278">
        <f>MAX(TechData_R0!F133,1)</f>
        <v>1</v>
      </c>
      <c r="S111" s="278"/>
      <c r="T111" s="288">
        <v>5</v>
      </c>
      <c r="U111" s="289"/>
    </row>
    <row r="112" spans="1:21" x14ac:dyDescent="0.2">
      <c r="A112" s="256" t="s">
        <v>138</v>
      </c>
      <c r="B112" s="286" t="str">
        <f>TechData_R0!B135</f>
        <v>MINCEIBHU4</v>
      </c>
      <c r="C112" s="286"/>
      <c r="D112" s="286"/>
      <c r="E112" s="278" t="s">
        <v>32</v>
      </c>
      <c r="F112" s="278"/>
      <c r="G112" s="278" t="s">
        <v>33</v>
      </c>
      <c r="H112" s="287">
        <f>TechData_R0!G135</f>
        <v>1.05</v>
      </c>
      <c r="I112" s="287">
        <f t="shared" ref="I112:Q112" si="105">H112</f>
        <v>1.05</v>
      </c>
      <c r="J112" s="287">
        <f t="shared" si="105"/>
        <v>1.05</v>
      </c>
      <c r="K112" s="287">
        <f t="shared" si="105"/>
        <v>1.05</v>
      </c>
      <c r="L112" s="287">
        <f t="shared" si="105"/>
        <v>1.05</v>
      </c>
      <c r="M112" s="287">
        <f t="shared" si="105"/>
        <v>1.05</v>
      </c>
      <c r="N112" s="287">
        <f t="shared" si="105"/>
        <v>1.05</v>
      </c>
      <c r="O112" s="287">
        <f t="shared" si="105"/>
        <v>1.05</v>
      </c>
      <c r="P112" s="287">
        <f t="shared" si="105"/>
        <v>1.05</v>
      </c>
      <c r="Q112" s="287">
        <f t="shared" si="105"/>
        <v>1.05</v>
      </c>
      <c r="R112" s="278">
        <f>MAX(TechData_R0!F134,1)</f>
        <v>1</v>
      </c>
      <c r="S112" s="278"/>
      <c r="T112" s="288">
        <v>5</v>
      </c>
      <c r="U112" s="289"/>
    </row>
    <row r="113" spans="1:21" x14ac:dyDescent="0.2">
      <c r="A113" s="256" t="s">
        <v>139</v>
      </c>
      <c r="B113" s="286" t="str">
        <f>TechData_R0!B136</f>
        <v>MINCEIBHU5</v>
      </c>
      <c r="C113" s="286"/>
      <c r="D113" s="286"/>
      <c r="E113" s="278" t="s">
        <v>32</v>
      </c>
      <c r="F113" s="278"/>
      <c r="G113" s="278" t="s">
        <v>33</v>
      </c>
      <c r="H113" s="287">
        <f>TechData_R0!G136</f>
        <v>1.05</v>
      </c>
      <c r="I113" s="287">
        <f t="shared" ref="I113:Q113" si="106">H113</f>
        <v>1.05</v>
      </c>
      <c r="J113" s="287">
        <f t="shared" si="106"/>
        <v>1.05</v>
      </c>
      <c r="K113" s="287">
        <f t="shared" si="106"/>
        <v>1.05</v>
      </c>
      <c r="L113" s="287">
        <f t="shared" si="106"/>
        <v>1.05</v>
      </c>
      <c r="M113" s="287">
        <f t="shared" si="106"/>
        <v>1.05</v>
      </c>
      <c r="N113" s="287">
        <f t="shared" si="106"/>
        <v>1.05</v>
      </c>
      <c r="O113" s="287">
        <f t="shared" si="106"/>
        <v>1.05</v>
      </c>
      <c r="P113" s="287">
        <f t="shared" si="106"/>
        <v>1.05</v>
      </c>
      <c r="Q113" s="287">
        <f t="shared" si="106"/>
        <v>1.05</v>
      </c>
      <c r="R113" s="278">
        <f>MAX(TechData_R0!F135,1)</f>
        <v>1</v>
      </c>
      <c r="S113" s="278"/>
      <c r="T113" s="288">
        <v>5</v>
      </c>
      <c r="U113" s="289"/>
    </row>
    <row r="114" spans="1:21" x14ac:dyDescent="0.2">
      <c r="A114" s="256" t="s">
        <v>140</v>
      </c>
      <c r="B114" s="286" t="str">
        <f>TechData_R0!B137</f>
        <v>MINCEIBHU6</v>
      </c>
      <c r="C114" s="286"/>
      <c r="D114" s="286"/>
      <c r="E114" s="278" t="s">
        <v>32</v>
      </c>
      <c r="F114" s="278"/>
      <c r="G114" s="278" t="s">
        <v>33</v>
      </c>
      <c r="H114" s="287">
        <f>TechData_R0!G137</f>
        <v>1.05</v>
      </c>
      <c r="I114" s="287">
        <f t="shared" ref="I114:Q114" si="107">H114</f>
        <v>1.05</v>
      </c>
      <c r="J114" s="287">
        <f t="shared" si="107"/>
        <v>1.05</v>
      </c>
      <c r="K114" s="287">
        <f t="shared" si="107"/>
        <v>1.05</v>
      </c>
      <c r="L114" s="287">
        <f t="shared" si="107"/>
        <v>1.05</v>
      </c>
      <c r="M114" s="287">
        <f t="shared" si="107"/>
        <v>1.05</v>
      </c>
      <c r="N114" s="287">
        <f t="shared" si="107"/>
        <v>1.05</v>
      </c>
      <c r="O114" s="287">
        <f t="shared" si="107"/>
        <v>1.05</v>
      </c>
      <c r="P114" s="287">
        <f t="shared" si="107"/>
        <v>1.05</v>
      </c>
      <c r="Q114" s="287">
        <f t="shared" si="107"/>
        <v>1.05</v>
      </c>
      <c r="R114" s="278">
        <f>MAX(TechData_R0!F136,1)</f>
        <v>18.268496268991075</v>
      </c>
      <c r="S114" s="278"/>
      <c r="T114" s="288">
        <v>5</v>
      </c>
      <c r="U114" s="289"/>
    </row>
    <row r="115" spans="1:21" x14ac:dyDescent="0.2">
      <c r="A115" s="256" t="s">
        <v>141</v>
      </c>
      <c r="B115" s="286" t="str">
        <f>TechData_R0!B139</f>
        <v>MINCEIBHS1</v>
      </c>
      <c r="C115" s="286"/>
      <c r="D115" s="286"/>
      <c r="E115" s="278" t="s">
        <v>32</v>
      </c>
      <c r="F115" s="278"/>
      <c r="G115" s="278" t="s">
        <v>33</v>
      </c>
      <c r="H115" s="287">
        <f>TechData_R0!G139</f>
        <v>1.05</v>
      </c>
      <c r="I115" s="287">
        <f t="shared" ref="I115:Q115" si="108">H115</f>
        <v>1.05</v>
      </c>
      <c r="J115" s="287">
        <f t="shared" si="108"/>
        <v>1.05</v>
      </c>
      <c r="K115" s="287">
        <f t="shared" si="108"/>
        <v>1.05</v>
      </c>
      <c r="L115" s="287">
        <f t="shared" si="108"/>
        <v>1.05</v>
      </c>
      <c r="M115" s="287">
        <f t="shared" si="108"/>
        <v>1.05</v>
      </c>
      <c r="N115" s="287">
        <f t="shared" si="108"/>
        <v>1.05</v>
      </c>
      <c r="O115" s="287">
        <f t="shared" si="108"/>
        <v>1.05</v>
      </c>
      <c r="P115" s="287">
        <f t="shared" si="108"/>
        <v>1.05</v>
      </c>
      <c r="Q115" s="287">
        <f t="shared" si="108"/>
        <v>1.05</v>
      </c>
      <c r="R115" s="278">
        <f>MAX(TechData_R0!F138,1)</f>
        <v>1</v>
      </c>
      <c r="S115" s="278"/>
      <c r="T115" s="288">
        <v>5</v>
      </c>
      <c r="U115" s="289"/>
    </row>
    <row r="116" spans="1:21" x14ac:dyDescent="0.2">
      <c r="A116" s="256" t="s">
        <v>142</v>
      </c>
      <c r="B116" s="286" t="str">
        <f>TechData_R0!B140</f>
        <v>MINCEIBHS2</v>
      </c>
      <c r="C116" s="286"/>
      <c r="D116" s="286"/>
      <c r="E116" s="278" t="s">
        <v>32</v>
      </c>
      <c r="F116" s="278"/>
      <c r="G116" s="278" t="s">
        <v>33</v>
      </c>
      <c r="H116" s="287">
        <f>TechData_R0!G140</f>
        <v>1.05</v>
      </c>
      <c r="I116" s="287">
        <f t="shared" ref="I116:Q116" si="109">H116</f>
        <v>1.05</v>
      </c>
      <c r="J116" s="287">
        <f t="shared" si="109"/>
        <v>1.05</v>
      </c>
      <c r="K116" s="287">
        <f t="shared" si="109"/>
        <v>1.05</v>
      </c>
      <c r="L116" s="287">
        <f t="shared" si="109"/>
        <v>1.05</v>
      </c>
      <c r="M116" s="287">
        <f t="shared" si="109"/>
        <v>1.05</v>
      </c>
      <c r="N116" s="287">
        <f t="shared" si="109"/>
        <v>1.05</v>
      </c>
      <c r="O116" s="287">
        <f t="shared" si="109"/>
        <v>1.05</v>
      </c>
      <c r="P116" s="287">
        <f t="shared" si="109"/>
        <v>1.05</v>
      </c>
      <c r="Q116" s="287">
        <f t="shared" si="109"/>
        <v>1.05</v>
      </c>
      <c r="R116" s="278">
        <f>MAX(TechData_R0!F139,1)</f>
        <v>1</v>
      </c>
      <c r="S116" s="278"/>
      <c r="T116" s="288">
        <v>5</v>
      </c>
      <c r="U116" s="289"/>
    </row>
    <row r="117" spans="1:21" x14ac:dyDescent="0.2">
      <c r="A117" s="256" t="s">
        <v>143</v>
      </c>
      <c r="B117" s="286" t="str">
        <f>TechData_R0!B141</f>
        <v>MINCEIBHS3</v>
      </c>
      <c r="C117" s="286"/>
      <c r="D117" s="286"/>
      <c r="E117" s="278" t="s">
        <v>32</v>
      </c>
      <c r="F117" s="278"/>
      <c r="G117" s="278" t="s">
        <v>33</v>
      </c>
      <c r="H117" s="287">
        <f>TechData_R0!G141</f>
        <v>1.05</v>
      </c>
      <c r="I117" s="287">
        <f t="shared" ref="I117:Q117" si="110">H117</f>
        <v>1.05</v>
      </c>
      <c r="J117" s="287">
        <f t="shared" si="110"/>
        <v>1.05</v>
      </c>
      <c r="K117" s="287">
        <f t="shared" si="110"/>
        <v>1.05</v>
      </c>
      <c r="L117" s="287">
        <f t="shared" si="110"/>
        <v>1.05</v>
      </c>
      <c r="M117" s="287">
        <f t="shared" si="110"/>
        <v>1.05</v>
      </c>
      <c r="N117" s="287">
        <f t="shared" si="110"/>
        <v>1.05</v>
      </c>
      <c r="O117" s="287">
        <f t="shared" si="110"/>
        <v>1.05</v>
      </c>
      <c r="P117" s="287">
        <f t="shared" si="110"/>
        <v>1.05</v>
      </c>
      <c r="Q117" s="287">
        <f t="shared" si="110"/>
        <v>1.05</v>
      </c>
      <c r="R117" s="278">
        <f>MAX(TechData_R0!F140,1)</f>
        <v>1</v>
      </c>
      <c r="S117" s="278"/>
      <c r="T117" s="288">
        <v>5</v>
      </c>
      <c r="U117" s="289"/>
    </row>
    <row r="118" spans="1:21" x14ac:dyDescent="0.2">
      <c r="A118" s="256" t="s">
        <v>144</v>
      </c>
      <c r="B118" s="286" t="str">
        <f>TechData_R0!B142</f>
        <v>MINCEIBHS4</v>
      </c>
      <c r="C118" s="286"/>
      <c r="D118" s="286"/>
      <c r="E118" s="278" t="s">
        <v>32</v>
      </c>
      <c r="F118" s="278"/>
      <c r="G118" s="278" t="s">
        <v>33</v>
      </c>
      <c r="H118" s="287">
        <f>TechData_R0!G142</f>
        <v>1.05</v>
      </c>
      <c r="I118" s="287">
        <f t="shared" ref="I118:Q118" si="111">H118</f>
        <v>1.05</v>
      </c>
      <c r="J118" s="287">
        <f t="shared" si="111"/>
        <v>1.05</v>
      </c>
      <c r="K118" s="287">
        <f t="shared" si="111"/>
        <v>1.05</v>
      </c>
      <c r="L118" s="287">
        <f t="shared" si="111"/>
        <v>1.05</v>
      </c>
      <c r="M118" s="287">
        <f t="shared" si="111"/>
        <v>1.05</v>
      </c>
      <c r="N118" s="287">
        <f t="shared" si="111"/>
        <v>1.05</v>
      </c>
      <c r="O118" s="287">
        <f t="shared" si="111"/>
        <v>1.05</v>
      </c>
      <c r="P118" s="287">
        <f t="shared" si="111"/>
        <v>1.05</v>
      </c>
      <c r="Q118" s="287">
        <f t="shared" si="111"/>
        <v>1.05</v>
      </c>
      <c r="R118" s="278">
        <f>MAX(TechData_R0!F141,1)</f>
        <v>1</v>
      </c>
      <c r="S118" s="278"/>
      <c r="T118" s="288">
        <v>5</v>
      </c>
      <c r="U118" s="289"/>
    </row>
    <row r="119" spans="1:21" x14ac:dyDescent="0.2">
      <c r="A119" s="256" t="s">
        <v>145</v>
      </c>
      <c r="B119" s="286" t="str">
        <f>TechData_R0!B143</f>
        <v>MINCEIBHS5</v>
      </c>
      <c r="C119" s="286"/>
      <c r="D119" s="286"/>
      <c r="E119" s="278" t="s">
        <v>32</v>
      </c>
      <c r="F119" s="278"/>
      <c r="G119" s="278" t="s">
        <v>33</v>
      </c>
      <c r="H119" s="287">
        <f>TechData_R0!G143</f>
        <v>1.05</v>
      </c>
      <c r="I119" s="287">
        <f t="shared" ref="I119:Q119" si="112">H119</f>
        <v>1.05</v>
      </c>
      <c r="J119" s="287">
        <f t="shared" si="112"/>
        <v>1.05</v>
      </c>
      <c r="K119" s="287">
        <f t="shared" si="112"/>
        <v>1.05</v>
      </c>
      <c r="L119" s="287">
        <f t="shared" si="112"/>
        <v>1.05</v>
      </c>
      <c r="M119" s="287">
        <f t="shared" si="112"/>
        <v>1.05</v>
      </c>
      <c r="N119" s="287">
        <f t="shared" si="112"/>
        <v>1.05</v>
      </c>
      <c r="O119" s="287">
        <f t="shared" si="112"/>
        <v>1.05</v>
      </c>
      <c r="P119" s="287">
        <f t="shared" si="112"/>
        <v>1.05</v>
      </c>
      <c r="Q119" s="287">
        <f t="shared" si="112"/>
        <v>1.05</v>
      </c>
      <c r="R119" s="278">
        <f>MAX(TechData_R0!F142,1)</f>
        <v>1</v>
      </c>
      <c r="S119" s="278"/>
      <c r="T119" s="288">
        <v>5</v>
      </c>
      <c r="U119" s="289"/>
    </row>
    <row r="120" spans="1:21" x14ac:dyDescent="0.2">
      <c r="A120" s="256" t="s">
        <v>146</v>
      </c>
      <c r="B120" s="286" t="str">
        <f>TechData_R0!B144</f>
        <v>MINCEIBHS6</v>
      </c>
      <c r="C120" s="286"/>
      <c r="D120" s="286"/>
      <c r="E120" s="278" t="s">
        <v>32</v>
      </c>
      <c r="F120" s="278"/>
      <c r="G120" s="278" t="s">
        <v>33</v>
      </c>
      <c r="H120" s="287">
        <f>TechData_R0!G144</f>
        <v>1.05</v>
      </c>
      <c r="I120" s="287">
        <f t="shared" ref="I120:Q120" si="113">H120</f>
        <v>1.05</v>
      </c>
      <c r="J120" s="287">
        <f t="shared" si="113"/>
        <v>1.05</v>
      </c>
      <c r="K120" s="287">
        <f t="shared" si="113"/>
        <v>1.05</v>
      </c>
      <c r="L120" s="287">
        <f t="shared" si="113"/>
        <v>1.05</v>
      </c>
      <c r="M120" s="287">
        <f t="shared" si="113"/>
        <v>1.05</v>
      </c>
      <c r="N120" s="287">
        <f t="shared" si="113"/>
        <v>1.05</v>
      </c>
      <c r="O120" s="287">
        <f t="shared" si="113"/>
        <v>1.05</v>
      </c>
      <c r="P120" s="287">
        <f t="shared" si="113"/>
        <v>1.05</v>
      </c>
      <c r="Q120" s="287">
        <f t="shared" si="113"/>
        <v>1.05</v>
      </c>
      <c r="R120" s="278">
        <f>MAX(TechData_R0!F143,1)</f>
        <v>6.9792784265027139</v>
      </c>
      <c r="S120" s="278"/>
      <c r="T120" s="288">
        <v>5</v>
      </c>
      <c r="U120" s="289"/>
    </row>
    <row r="121" spans="1:21" x14ac:dyDescent="0.2">
      <c r="A121" s="256" t="s">
        <v>147</v>
      </c>
      <c r="B121" s="286" t="str">
        <f>TechData_R0!B146</f>
        <v>MINCEILMS1</v>
      </c>
      <c r="C121" s="286"/>
      <c r="D121" s="286"/>
      <c r="E121" s="278" t="s">
        <v>32</v>
      </c>
      <c r="F121" s="278"/>
      <c r="G121" s="278" t="s">
        <v>33</v>
      </c>
      <c r="H121" s="287">
        <f>TechData_R0!G146</f>
        <v>1.05</v>
      </c>
      <c r="I121" s="287">
        <f t="shared" ref="I121:Q121" si="114">H121</f>
        <v>1.05</v>
      </c>
      <c r="J121" s="287">
        <f t="shared" si="114"/>
        <v>1.05</v>
      </c>
      <c r="K121" s="287">
        <f t="shared" si="114"/>
        <v>1.05</v>
      </c>
      <c r="L121" s="287">
        <f t="shared" si="114"/>
        <v>1.05</v>
      </c>
      <c r="M121" s="287">
        <f t="shared" si="114"/>
        <v>1.05</v>
      </c>
      <c r="N121" s="287">
        <f t="shared" si="114"/>
        <v>1.05</v>
      </c>
      <c r="O121" s="287">
        <f t="shared" si="114"/>
        <v>1.05</v>
      </c>
      <c r="P121" s="287">
        <f t="shared" si="114"/>
        <v>1.05</v>
      </c>
      <c r="Q121" s="287">
        <f t="shared" si="114"/>
        <v>1.05</v>
      </c>
      <c r="R121" s="278">
        <f>MAX(TechData_R0!F145,1)</f>
        <v>1</v>
      </c>
      <c r="S121" s="278"/>
      <c r="T121" s="288">
        <v>5</v>
      </c>
      <c r="U121" s="289"/>
    </row>
    <row r="122" spans="1:21" x14ac:dyDescent="0.2">
      <c r="A122" s="256" t="s">
        <v>148</v>
      </c>
      <c r="B122" s="286" t="str">
        <f>TechData_R0!B147</f>
        <v>MINCEILMS2</v>
      </c>
      <c r="C122" s="286"/>
      <c r="D122" s="286"/>
      <c r="E122" s="278" t="s">
        <v>32</v>
      </c>
      <c r="F122" s="278"/>
      <c r="G122" s="278" t="s">
        <v>33</v>
      </c>
      <c r="H122" s="287">
        <f>TechData_R0!G147</f>
        <v>1.05</v>
      </c>
      <c r="I122" s="287">
        <f t="shared" ref="I122:Q122" si="115">H122</f>
        <v>1.05</v>
      </c>
      <c r="J122" s="287">
        <f t="shared" si="115"/>
        <v>1.05</v>
      </c>
      <c r="K122" s="287">
        <f t="shared" si="115"/>
        <v>1.05</v>
      </c>
      <c r="L122" s="287">
        <f t="shared" si="115"/>
        <v>1.05</v>
      </c>
      <c r="M122" s="287">
        <f t="shared" si="115"/>
        <v>1.05</v>
      </c>
      <c r="N122" s="287">
        <f t="shared" si="115"/>
        <v>1.05</v>
      </c>
      <c r="O122" s="287">
        <f t="shared" si="115"/>
        <v>1.05</v>
      </c>
      <c r="P122" s="287">
        <f t="shared" si="115"/>
        <v>1.05</v>
      </c>
      <c r="Q122" s="287">
        <f t="shared" si="115"/>
        <v>1.05</v>
      </c>
      <c r="R122" s="278">
        <f>MAX(TechData_R0!F146,1)</f>
        <v>1</v>
      </c>
      <c r="S122" s="278"/>
      <c r="T122" s="288">
        <v>5</v>
      </c>
      <c r="U122" s="289"/>
    </row>
    <row r="123" spans="1:21" x14ac:dyDescent="0.2">
      <c r="A123" s="256" t="s">
        <v>149</v>
      </c>
      <c r="B123" s="286" t="str">
        <f>TechData_R0!B148</f>
        <v>MINCEILMS3</v>
      </c>
      <c r="C123" s="286"/>
      <c r="D123" s="286"/>
      <c r="E123" s="278" t="s">
        <v>32</v>
      </c>
      <c r="F123" s="278"/>
      <c r="G123" s="278" t="s">
        <v>33</v>
      </c>
      <c r="H123" s="287">
        <f>TechData_R0!G148</f>
        <v>1.05</v>
      </c>
      <c r="I123" s="287">
        <f t="shared" ref="I123:Q123" si="116">H123</f>
        <v>1.05</v>
      </c>
      <c r="J123" s="287">
        <f t="shared" si="116"/>
        <v>1.05</v>
      </c>
      <c r="K123" s="287">
        <f t="shared" si="116"/>
        <v>1.05</v>
      </c>
      <c r="L123" s="287">
        <f t="shared" si="116"/>
        <v>1.05</v>
      </c>
      <c r="M123" s="287">
        <f t="shared" si="116"/>
        <v>1.05</v>
      </c>
      <c r="N123" s="287">
        <f t="shared" si="116"/>
        <v>1.05</v>
      </c>
      <c r="O123" s="287">
        <f t="shared" si="116"/>
        <v>1.05</v>
      </c>
      <c r="P123" s="287">
        <f t="shared" si="116"/>
        <v>1.05</v>
      </c>
      <c r="Q123" s="287">
        <f t="shared" si="116"/>
        <v>1.05</v>
      </c>
      <c r="R123" s="278">
        <f>MAX(TechData_R0!F147,1)</f>
        <v>1</v>
      </c>
      <c r="S123" s="278"/>
      <c r="T123" s="288">
        <v>5</v>
      </c>
      <c r="U123" s="289"/>
    </row>
    <row r="124" spans="1:21" x14ac:dyDescent="0.2">
      <c r="A124" s="256" t="s">
        <v>150</v>
      </c>
      <c r="B124" s="286" t="str">
        <f>TechData_R0!B149</f>
        <v>MINCEILMS4</v>
      </c>
      <c r="C124" s="286"/>
      <c r="D124" s="286"/>
      <c r="E124" s="278" t="s">
        <v>32</v>
      </c>
      <c r="F124" s="278"/>
      <c r="G124" s="278" t="s">
        <v>33</v>
      </c>
      <c r="H124" s="287">
        <f>TechData_R0!G149</f>
        <v>1.05</v>
      </c>
      <c r="I124" s="287">
        <f t="shared" ref="I124:Q124" si="117">H124</f>
        <v>1.05</v>
      </c>
      <c r="J124" s="287">
        <f t="shared" si="117"/>
        <v>1.05</v>
      </c>
      <c r="K124" s="287">
        <f t="shared" si="117"/>
        <v>1.05</v>
      </c>
      <c r="L124" s="287">
        <f t="shared" si="117"/>
        <v>1.05</v>
      </c>
      <c r="M124" s="287">
        <f t="shared" si="117"/>
        <v>1.05</v>
      </c>
      <c r="N124" s="287">
        <f t="shared" si="117"/>
        <v>1.05</v>
      </c>
      <c r="O124" s="287">
        <f t="shared" si="117"/>
        <v>1.05</v>
      </c>
      <c r="P124" s="287">
        <f t="shared" si="117"/>
        <v>1.05</v>
      </c>
      <c r="Q124" s="287">
        <f t="shared" si="117"/>
        <v>1.05</v>
      </c>
      <c r="R124" s="278">
        <f>MAX(TechData_R0!F148,1)</f>
        <v>1</v>
      </c>
      <c r="S124" s="278"/>
      <c r="T124" s="288">
        <v>5</v>
      </c>
      <c r="U124" s="289"/>
    </row>
    <row r="125" spans="1:21" x14ac:dyDescent="0.2">
      <c r="A125" s="256" t="s">
        <v>151</v>
      </c>
      <c r="B125" s="286" t="str">
        <f>TechData_R0!B150</f>
        <v>MINCEILMS5</v>
      </c>
      <c r="C125" s="286"/>
      <c r="D125" s="286"/>
      <c r="E125" s="278" t="s">
        <v>32</v>
      </c>
      <c r="F125" s="278"/>
      <c r="G125" s="278" t="s">
        <v>33</v>
      </c>
      <c r="H125" s="287">
        <f>TechData_R0!G150</f>
        <v>1.05</v>
      </c>
      <c r="I125" s="287">
        <f t="shared" ref="I125:Q125" si="118">H125</f>
        <v>1.05</v>
      </c>
      <c r="J125" s="287">
        <f t="shared" si="118"/>
        <v>1.05</v>
      </c>
      <c r="K125" s="287">
        <f t="shared" si="118"/>
        <v>1.05</v>
      </c>
      <c r="L125" s="287">
        <f t="shared" si="118"/>
        <v>1.05</v>
      </c>
      <c r="M125" s="287">
        <f t="shared" si="118"/>
        <v>1.05</v>
      </c>
      <c r="N125" s="287">
        <f t="shared" si="118"/>
        <v>1.05</v>
      </c>
      <c r="O125" s="287">
        <f t="shared" si="118"/>
        <v>1.05</v>
      </c>
      <c r="P125" s="287">
        <f t="shared" si="118"/>
        <v>1.05</v>
      </c>
      <c r="Q125" s="287">
        <f t="shared" si="118"/>
        <v>1.05</v>
      </c>
      <c r="R125" s="278">
        <f>MAX(TechData_R0!F149,1)</f>
        <v>1</v>
      </c>
      <c r="S125" s="278"/>
      <c r="T125" s="288">
        <v>5</v>
      </c>
      <c r="U125" s="289"/>
    </row>
    <row r="126" spans="1:21" x14ac:dyDescent="0.2">
      <c r="A126" s="256" t="s">
        <v>152</v>
      </c>
      <c r="B126" s="286" t="str">
        <f>TechData_R0!B151</f>
        <v>MINCEILMS6</v>
      </c>
      <c r="C126" s="286"/>
      <c r="D126" s="286"/>
      <c r="E126" s="278" t="s">
        <v>32</v>
      </c>
      <c r="F126" s="278"/>
      <c r="G126" s="278" t="s">
        <v>33</v>
      </c>
      <c r="H126" s="287">
        <f>TechData_R0!G151</f>
        <v>1.05</v>
      </c>
      <c r="I126" s="287">
        <f t="shared" ref="I126:Q126" si="119">H126</f>
        <v>1.05</v>
      </c>
      <c r="J126" s="287">
        <f t="shared" si="119"/>
        <v>1.05</v>
      </c>
      <c r="K126" s="287">
        <f t="shared" si="119"/>
        <v>1.05</v>
      </c>
      <c r="L126" s="287">
        <f t="shared" si="119"/>
        <v>1.05</v>
      </c>
      <c r="M126" s="287">
        <f t="shared" si="119"/>
        <v>1.05</v>
      </c>
      <c r="N126" s="287">
        <f t="shared" si="119"/>
        <v>1.05</v>
      </c>
      <c r="O126" s="287">
        <f t="shared" si="119"/>
        <v>1.05</v>
      </c>
      <c r="P126" s="287">
        <f t="shared" si="119"/>
        <v>1.05</v>
      </c>
      <c r="Q126" s="287">
        <f t="shared" si="119"/>
        <v>1.05</v>
      </c>
      <c r="R126" s="278">
        <f>MAX(TechData_R0!F150,1)</f>
        <v>1</v>
      </c>
      <c r="S126" s="278"/>
      <c r="T126" s="288">
        <v>5</v>
      </c>
      <c r="U126" s="289"/>
    </row>
    <row r="127" spans="1:21" x14ac:dyDescent="0.2">
      <c r="A127" s="256" t="s">
        <v>153</v>
      </c>
      <c r="B127" s="286" t="str">
        <f>TechData_R0!B153</f>
        <v>MINCWIBHS1</v>
      </c>
      <c r="C127" s="286"/>
      <c r="D127" s="286"/>
      <c r="E127" s="278" t="s">
        <v>32</v>
      </c>
      <c r="F127" s="278"/>
      <c r="G127" s="278" t="s">
        <v>33</v>
      </c>
      <c r="H127" s="287">
        <f>TechData_R0!G153</f>
        <v>1.05</v>
      </c>
      <c r="I127" s="287">
        <f t="shared" ref="I127:Q127" si="120">H127</f>
        <v>1.05</v>
      </c>
      <c r="J127" s="287">
        <f t="shared" si="120"/>
        <v>1.05</v>
      </c>
      <c r="K127" s="287">
        <f t="shared" si="120"/>
        <v>1.05</v>
      </c>
      <c r="L127" s="287">
        <f t="shared" si="120"/>
        <v>1.05</v>
      </c>
      <c r="M127" s="287">
        <f t="shared" si="120"/>
        <v>1.05</v>
      </c>
      <c r="N127" s="287">
        <f t="shared" si="120"/>
        <v>1.05</v>
      </c>
      <c r="O127" s="287">
        <f t="shared" si="120"/>
        <v>1.05</v>
      </c>
      <c r="P127" s="287">
        <f t="shared" si="120"/>
        <v>1.05</v>
      </c>
      <c r="Q127" s="287">
        <f t="shared" si="120"/>
        <v>1.05</v>
      </c>
      <c r="R127" s="278">
        <f>MAX(TechData_R0!F152,1)</f>
        <v>1</v>
      </c>
      <c r="S127" s="278"/>
      <c r="T127" s="288">
        <v>5</v>
      </c>
      <c r="U127" s="289"/>
    </row>
    <row r="128" spans="1:21" x14ac:dyDescent="0.2">
      <c r="A128" s="256" t="s">
        <v>154</v>
      </c>
      <c r="B128" s="286" t="str">
        <f>TechData_R0!B154</f>
        <v>MINCWIBHS2</v>
      </c>
      <c r="C128" s="286"/>
      <c r="D128" s="286"/>
      <c r="E128" s="278" t="s">
        <v>32</v>
      </c>
      <c r="F128" s="278"/>
      <c r="G128" s="278" t="s">
        <v>33</v>
      </c>
      <c r="H128" s="287">
        <f>TechData_R0!G154</f>
        <v>1.05</v>
      </c>
      <c r="I128" s="287">
        <f t="shared" ref="I128:Q128" si="121">H128</f>
        <v>1.05</v>
      </c>
      <c r="J128" s="287">
        <f t="shared" si="121"/>
        <v>1.05</v>
      </c>
      <c r="K128" s="287">
        <f t="shared" si="121"/>
        <v>1.05</v>
      </c>
      <c r="L128" s="287">
        <f t="shared" si="121"/>
        <v>1.05</v>
      </c>
      <c r="M128" s="287">
        <f t="shared" si="121"/>
        <v>1.05</v>
      </c>
      <c r="N128" s="287">
        <f t="shared" si="121"/>
        <v>1.05</v>
      </c>
      <c r="O128" s="287">
        <f t="shared" si="121"/>
        <v>1.05</v>
      </c>
      <c r="P128" s="287">
        <f t="shared" si="121"/>
        <v>1.05</v>
      </c>
      <c r="Q128" s="287">
        <f t="shared" si="121"/>
        <v>1.05</v>
      </c>
      <c r="R128" s="278">
        <f>MAX(TechData_R0!F153,1)</f>
        <v>1</v>
      </c>
      <c r="S128" s="278"/>
      <c r="T128" s="288">
        <v>5</v>
      </c>
      <c r="U128" s="289"/>
    </row>
    <row r="129" spans="1:21" x14ac:dyDescent="0.2">
      <c r="A129" s="256" t="s">
        <v>155</v>
      </c>
      <c r="B129" s="286" t="str">
        <f>TechData_R0!B155</f>
        <v>MINCWIBHS3</v>
      </c>
      <c r="C129" s="286"/>
      <c r="D129" s="286"/>
      <c r="E129" s="278" t="s">
        <v>32</v>
      </c>
      <c r="F129" s="278"/>
      <c r="G129" s="278" t="s">
        <v>33</v>
      </c>
      <c r="H129" s="287">
        <f>TechData_R0!G155</f>
        <v>1.05</v>
      </c>
      <c r="I129" s="287">
        <f t="shared" ref="I129:Q129" si="122">H129</f>
        <v>1.05</v>
      </c>
      <c r="J129" s="287">
        <f t="shared" si="122"/>
        <v>1.05</v>
      </c>
      <c r="K129" s="287">
        <f t="shared" si="122"/>
        <v>1.05</v>
      </c>
      <c r="L129" s="287">
        <f t="shared" si="122"/>
        <v>1.05</v>
      </c>
      <c r="M129" s="287">
        <f t="shared" si="122"/>
        <v>1.05</v>
      </c>
      <c r="N129" s="287">
        <f t="shared" si="122"/>
        <v>1.05</v>
      </c>
      <c r="O129" s="287">
        <f t="shared" si="122"/>
        <v>1.05</v>
      </c>
      <c r="P129" s="287">
        <f t="shared" si="122"/>
        <v>1.05</v>
      </c>
      <c r="Q129" s="287">
        <f t="shared" si="122"/>
        <v>1.05</v>
      </c>
      <c r="R129" s="278">
        <f>MAX(TechData_R0!F154,1)</f>
        <v>1</v>
      </c>
      <c r="S129" s="278"/>
      <c r="T129" s="288">
        <v>5</v>
      </c>
      <c r="U129" s="289"/>
    </row>
    <row r="130" spans="1:21" x14ac:dyDescent="0.2">
      <c r="A130" s="256" t="s">
        <v>156</v>
      </c>
      <c r="B130" s="286" t="str">
        <f>TechData_R0!B156</f>
        <v>MINCWIBHS4</v>
      </c>
      <c r="C130" s="286"/>
      <c r="D130" s="286"/>
      <c r="E130" s="278" t="s">
        <v>32</v>
      </c>
      <c r="F130" s="278"/>
      <c r="G130" s="278" t="s">
        <v>33</v>
      </c>
      <c r="H130" s="287">
        <f>TechData_R0!G156</f>
        <v>1.05</v>
      </c>
      <c r="I130" s="287">
        <f t="shared" ref="I130:Q130" si="123">H130</f>
        <v>1.05</v>
      </c>
      <c r="J130" s="287">
        <f t="shared" si="123"/>
        <v>1.05</v>
      </c>
      <c r="K130" s="287">
        <f t="shared" si="123"/>
        <v>1.05</v>
      </c>
      <c r="L130" s="287">
        <f t="shared" si="123"/>
        <v>1.05</v>
      </c>
      <c r="M130" s="287">
        <f t="shared" si="123"/>
        <v>1.05</v>
      </c>
      <c r="N130" s="287">
        <f t="shared" si="123"/>
        <v>1.05</v>
      </c>
      <c r="O130" s="287">
        <f t="shared" si="123"/>
        <v>1.05</v>
      </c>
      <c r="P130" s="287">
        <f t="shared" si="123"/>
        <v>1.05</v>
      </c>
      <c r="Q130" s="287">
        <f t="shared" si="123"/>
        <v>1.05</v>
      </c>
      <c r="R130" s="278">
        <f>MAX(TechData_R0!F155,1)</f>
        <v>1</v>
      </c>
      <c r="S130" s="278"/>
      <c r="T130" s="288">
        <v>5</v>
      </c>
      <c r="U130" s="289"/>
    </row>
    <row r="131" spans="1:21" x14ac:dyDescent="0.2">
      <c r="A131" s="256" t="s">
        <v>157</v>
      </c>
      <c r="B131" s="286" t="str">
        <f>TechData_R0!B157</f>
        <v>MINCWIBHS5</v>
      </c>
      <c r="C131" s="286"/>
      <c r="D131" s="286"/>
      <c r="E131" s="278" t="s">
        <v>32</v>
      </c>
      <c r="F131" s="278"/>
      <c r="G131" s="278" t="s">
        <v>33</v>
      </c>
      <c r="H131" s="287">
        <f>TechData_R0!G157</f>
        <v>1.05</v>
      </c>
      <c r="I131" s="287">
        <f t="shared" ref="I131:Q131" si="124">H131</f>
        <v>1.05</v>
      </c>
      <c r="J131" s="287">
        <f t="shared" si="124"/>
        <v>1.05</v>
      </c>
      <c r="K131" s="287">
        <f t="shared" si="124"/>
        <v>1.05</v>
      </c>
      <c r="L131" s="287">
        <f t="shared" si="124"/>
        <v>1.05</v>
      </c>
      <c r="M131" s="287">
        <f t="shared" si="124"/>
        <v>1.05</v>
      </c>
      <c r="N131" s="287">
        <f t="shared" si="124"/>
        <v>1.05</v>
      </c>
      <c r="O131" s="287">
        <f t="shared" si="124"/>
        <v>1.05</v>
      </c>
      <c r="P131" s="287">
        <f t="shared" si="124"/>
        <v>1.05</v>
      </c>
      <c r="Q131" s="287">
        <f t="shared" si="124"/>
        <v>1.05</v>
      </c>
      <c r="R131" s="278">
        <f>MAX(TechData_R0!F156,1)</f>
        <v>1</v>
      </c>
      <c r="S131" s="278"/>
      <c r="T131" s="288">
        <v>5</v>
      </c>
      <c r="U131" s="289"/>
    </row>
    <row r="132" spans="1:21" x14ac:dyDescent="0.2">
      <c r="A132" s="256" t="s">
        <v>158</v>
      </c>
      <c r="B132" s="286" t="str">
        <f>TechData_R0!B158</f>
        <v>MINCWIBHS6</v>
      </c>
      <c r="C132" s="286"/>
      <c r="D132" s="286"/>
      <c r="E132" s="278" t="s">
        <v>32</v>
      </c>
      <c r="F132" s="278"/>
      <c r="G132" s="278" t="s">
        <v>33</v>
      </c>
      <c r="H132" s="287">
        <f>TechData_R0!G158</f>
        <v>1.05</v>
      </c>
      <c r="I132" s="287">
        <f t="shared" ref="I132:Q132" si="125">H132</f>
        <v>1.05</v>
      </c>
      <c r="J132" s="287">
        <f t="shared" si="125"/>
        <v>1.05</v>
      </c>
      <c r="K132" s="287">
        <f t="shared" si="125"/>
        <v>1.05</v>
      </c>
      <c r="L132" s="287">
        <f t="shared" si="125"/>
        <v>1.05</v>
      </c>
      <c r="M132" s="287">
        <f t="shared" si="125"/>
        <v>1.05</v>
      </c>
      <c r="N132" s="287">
        <f t="shared" si="125"/>
        <v>1.05</v>
      </c>
      <c r="O132" s="287">
        <f t="shared" si="125"/>
        <v>1.05</v>
      </c>
      <c r="P132" s="287">
        <f t="shared" si="125"/>
        <v>1.05</v>
      </c>
      <c r="Q132" s="287">
        <f t="shared" si="125"/>
        <v>1.05</v>
      </c>
      <c r="R132" s="278">
        <f>MAX(TechData_R0!F157,1)</f>
        <v>1</v>
      </c>
      <c r="S132" s="278"/>
      <c r="T132" s="288">
        <v>5</v>
      </c>
      <c r="U132" s="289"/>
    </row>
    <row r="133" spans="1:21" x14ac:dyDescent="0.2">
      <c r="A133" s="256" t="s">
        <v>159</v>
      </c>
      <c r="B133" s="286" t="str">
        <f>TechData_R0!B160</f>
        <v>MINCGLLMS1</v>
      </c>
      <c r="C133" s="286"/>
      <c r="D133" s="286"/>
      <c r="E133" s="278" t="s">
        <v>32</v>
      </c>
      <c r="F133" s="278"/>
      <c r="G133" s="278" t="s">
        <v>33</v>
      </c>
      <c r="H133" s="287">
        <f>TechData_R0!G160</f>
        <v>1.05</v>
      </c>
      <c r="I133" s="287">
        <f t="shared" ref="I133:Q133" si="126">H133</f>
        <v>1.05</v>
      </c>
      <c r="J133" s="287">
        <f t="shared" si="126"/>
        <v>1.05</v>
      </c>
      <c r="K133" s="287">
        <f t="shared" si="126"/>
        <v>1.05</v>
      </c>
      <c r="L133" s="287">
        <f t="shared" si="126"/>
        <v>1.05</v>
      </c>
      <c r="M133" s="287">
        <f t="shared" si="126"/>
        <v>1.05</v>
      </c>
      <c r="N133" s="287">
        <f t="shared" si="126"/>
        <v>1.05</v>
      </c>
      <c r="O133" s="287">
        <f t="shared" si="126"/>
        <v>1.05</v>
      </c>
      <c r="P133" s="287">
        <f t="shared" si="126"/>
        <v>1.05</v>
      </c>
      <c r="Q133" s="287">
        <f t="shared" si="126"/>
        <v>1.05</v>
      </c>
      <c r="R133" s="278">
        <f>MAX(TechData_R0!F159,1)</f>
        <v>1</v>
      </c>
      <c r="S133" s="278"/>
      <c r="T133" s="288">
        <v>5</v>
      </c>
      <c r="U133" s="289"/>
    </row>
    <row r="134" spans="1:21" x14ac:dyDescent="0.2">
      <c r="A134" s="256" t="s">
        <v>160</v>
      </c>
      <c r="B134" s="286" t="str">
        <f>TechData_R0!B161</f>
        <v>MINCGLLMS2</v>
      </c>
      <c r="C134" s="286"/>
      <c r="D134" s="286"/>
      <c r="E134" s="278" t="s">
        <v>32</v>
      </c>
      <c r="F134" s="278"/>
      <c r="G134" s="278" t="s">
        <v>33</v>
      </c>
      <c r="H134" s="287">
        <f>TechData_R0!G161</f>
        <v>1.05</v>
      </c>
      <c r="I134" s="287">
        <f t="shared" ref="I134:Q134" si="127">H134</f>
        <v>1.05</v>
      </c>
      <c r="J134" s="287">
        <f t="shared" si="127"/>
        <v>1.05</v>
      </c>
      <c r="K134" s="287">
        <f t="shared" si="127"/>
        <v>1.05</v>
      </c>
      <c r="L134" s="287">
        <f t="shared" si="127"/>
        <v>1.05</v>
      </c>
      <c r="M134" s="287">
        <f t="shared" si="127"/>
        <v>1.05</v>
      </c>
      <c r="N134" s="287">
        <f t="shared" si="127"/>
        <v>1.05</v>
      </c>
      <c r="O134" s="287">
        <f t="shared" si="127"/>
        <v>1.05</v>
      </c>
      <c r="P134" s="287">
        <f t="shared" si="127"/>
        <v>1.05</v>
      </c>
      <c r="Q134" s="287">
        <f t="shared" si="127"/>
        <v>1.05</v>
      </c>
      <c r="R134" s="278">
        <f>MAX(TechData_R0!F160,1)</f>
        <v>1</v>
      </c>
      <c r="S134" s="278"/>
      <c r="T134" s="288">
        <v>5</v>
      </c>
      <c r="U134" s="289"/>
    </row>
    <row r="135" spans="1:21" x14ac:dyDescent="0.2">
      <c r="A135" s="256" t="s">
        <v>161</v>
      </c>
      <c r="B135" s="286" t="str">
        <f>TechData_R0!B162</f>
        <v>MINCGLLMS3</v>
      </c>
      <c r="C135" s="286"/>
      <c r="D135" s="286"/>
      <c r="E135" s="278" t="s">
        <v>32</v>
      </c>
      <c r="F135" s="278"/>
      <c r="G135" s="278" t="s">
        <v>33</v>
      </c>
      <c r="H135" s="287">
        <f>TechData_R0!G162</f>
        <v>1.05</v>
      </c>
      <c r="I135" s="287">
        <f t="shared" ref="I135:Q135" si="128">H135</f>
        <v>1.05</v>
      </c>
      <c r="J135" s="287">
        <f t="shared" si="128"/>
        <v>1.05</v>
      </c>
      <c r="K135" s="287">
        <f t="shared" si="128"/>
        <v>1.05</v>
      </c>
      <c r="L135" s="287">
        <f t="shared" si="128"/>
        <v>1.05</v>
      </c>
      <c r="M135" s="287">
        <f t="shared" si="128"/>
        <v>1.05</v>
      </c>
      <c r="N135" s="287">
        <f t="shared" si="128"/>
        <v>1.05</v>
      </c>
      <c r="O135" s="287">
        <f t="shared" si="128"/>
        <v>1.05</v>
      </c>
      <c r="P135" s="287">
        <f t="shared" si="128"/>
        <v>1.05</v>
      </c>
      <c r="Q135" s="287">
        <f t="shared" si="128"/>
        <v>1.05</v>
      </c>
      <c r="R135" s="278">
        <f>MAX(TechData_R0!F161,1)</f>
        <v>1</v>
      </c>
      <c r="S135" s="278"/>
      <c r="T135" s="288">
        <v>5</v>
      </c>
      <c r="U135" s="289"/>
    </row>
    <row r="136" spans="1:21" x14ac:dyDescent="0.2">
      <c r="A136" s="256" t="s">
        <v>162</v>
      </c>
      <c r="B136" s="286" t="str">
        <f>TechData_R0!B163</f>
        <v>MINCGLLMS4</v>
      </c>
      <c r="C136" s="286"/>
      <c r="D136" s="286"/>
      <c r="E136" s="278" t="s">
        <v>32</v>
      </c>
      <c r="F136" s="278"/>
      <c r="G136" s="278" t="s">
        <v>33</v>
      </c>
      <c r="H136" s="287">
        <f>TechData_R0!G163</f>
        <v>1.05</v>
      </c>
      <c r="I136" s="287">
        <f t="shared" ref="I136:Q136" si="129">H136</f>
        <v>1.05</v>
      </c>
      <c r="J136" s="287">
        <f t="shared" si="129"/>
        <v>1.05</v>
      </c>
      <c r="K136" s="287">
        <f t="shared" si="129"/>
        <v>1.05</v>
      </c>
      <c r="L136" s="287">
        <f t="shared" si="129"/>
        <v>1.05</v>
      </c>
      <c r="M136" s="287">
        <f t="shared" si="129"/>
        <v>1.05</v>
      </c>
      <c r="N136" s="287">
        <f t="shared" si="129"/>
        <v>1.05</v>
      </c>
      <c r="O136" s="287">
        <f t="shared" si="129"/>
        <v>1.05</v>
      </c>
      <c r="P136" s="287">
        <f t="shared" si="129"/>
        <v>1.05</v>
      </c>
      <c r="Q136" s="287">
        <f t="shared" si="129"/>
        <v>1.05</v>
      </c>
      <c r="R136" s="278">
        <f>MAX(TechData_R0!F162,1)</f>
        <v>1</v>
      </c>
      <c r="S136" s="278"/>
      <c r="T136" s="288">
        <v>5</v>
      </c>
      <c r="U136" s="289"/>
    </row>
    <row r="137" spans="1:21" x14ac:dyDescent="0.2">
      <c r="A137" s="256" t="s">
        <v>163</v>
      </c>
      <c r="B137" s="286" t="str">
        <f>TechData_R0!B164</f>
        <v>MINCGLLMS5</v>
      </c>
      <c r="C137" s="286"/>
      <c r="D137" s="286"/>
      <c r="E137" s="278" t="s">
        <v>32</v>
      </c>
      <c r="F137" s="278"/>
      <c r="G137" s="278" t="s">
        <v>33</v>
      </c>
      <c r="H137" s="287">
        <f>TechData_R0!G164</f>
        <v>1.05</v>
      </c>
      <c r="I137" s="287">
        <f t="shared" ref="I137:Q137" si="130">H137</f>
        <v>1.05</v>
      </c>
      <c r="J137" s="287">
        <f t="shared" si="130"/>
        <v>1.05</v>
      </c>
      <c r="K137" s="287">
        <f t="shared" si="130"/>
        <v>1.05</v>
      </c>
      <c r="L137" s="287">
        <f t="shared" si="130"/>
        <v>1.05</v>
      </c>
      <c r="M137" s="287">
        <f t="shared" si="130"/>
        <v>1.05</v>
      </c>
      <c r="N137" s="287">
        <f t="shared" si="130"/>
        <v>1.05</v>
      </c>
      <c r="O137" s="287">
        <f t="shared" si="130"/>
        <v>1.05</v>
      </c>
      <c r="P137" s="287">
        <f t="shared" si="130"/>
        <v>1.05</v>
      </c>
      <c r="Q137" s="287">
        <f t="shared" si="130"/>
        <v>1.05</v>
      </c>
      <c r="R137" s="278">
        <f>MAX(TechData_R0!F163,1)</f>
        <v>1</v>
      </c>
      <c r="S137" s="278"/>
      <c r="T137" s="288">
        <v>5</v>
      </c>
      <c r="U137" s="289"/>
    </row>
    <row r="138" spans="1:21" x14ac:dyDescent="0.2">
      <c r="A138" s="256" t="s">
        <v>164</v>
      </c>
      <c r="B138" s="286" t="str">
        <f>TechData_R0!B165</f>
        <v>MINCGLLMS6</v>
      </c>
      <c r="C138" s="286"/>
      <c r="D138" s="286"/>
      <c r="E138" s="278" t="s">
        <v>32</v>
      </c>
      <c r="F138" s="278"/>
      <c r="G138" s="278" t="s">
        <v>33</v>
      </c>
      <c r="H138" s="287">
        <f>TechData_R0!G165</f>
        <v>1.05</v>
      </c>
      <c r="I138" s="287">
        <f t="shared" ref="I138:Q138" si="131">H138</f>
        <v>1.05</v>
      </c>
      <c r="J138" s="287">
        <f t="shared" si="131"/>
        <v>1.05</v>
      </c>
      <c r="K138" s="287">
        <f t="shared" si="131"/>
        <v>1.05</v>
      </c>
      <c r="L138" s="287">
        <f t="shared" si="131"/>
        <v>1.05</v>
      </c>
      <c r="M138" s="287">
        <f t="shared" si="131"/>
        <v>1.05</v>
      </c>
      <c r="N138" s="287">
        <f t="shared" si="131"/>
        <v>1.05</v>
      </c>
      <c r="O138" s="287">
        <f t="shared" si="131"/>
        <v>1.05</v>
      </c>
      <c r="P138" s="287">
        <f t="shared" si="131"/>
        <v>1.05</v>
      </c>
      <c r="Q138" s="287">
        <f t="shared" si="131"/>
        <v>1.05</v>
      </c>
      <c r="R138" s="278">
        <f>MAX(TechData_R0!F164,1)</f>
        <v>5.4740854458369803</v>
      </c>
      <c r="S138" s="278"/>
      <c r="T138" s="288">
        <v>5</v>
      </c>
      <c r="U138" s="289"/>
    </row>
    <row r="139" spans="1:21" x14ac:dyDescent="0.2">
      <c r="A139" s="256" t="s">
        <v>165</v>
      </c>
      <c r="B139" s="286" t="str">
        <f>TechData_R0!B167</f>
        <v>MINCGLLHS1</v>
      </c>
      <c r="C139" s="286"/>
      <c r="D139" s="286"/>
      <c r="E139" s="278" t="s">
        <v>32</v>
      </c>
      <c r="F139" s="278"/>
      <c r="G139" s="278" t="s">
        <v>33</v>
      </c>
      <c r="H139" s="287">
        <f>TechData_R0!G167</f>
        <v>1.05</v>
      </c>
      <c r="I139" s="287">
        <f t="shared" ref="I139:Q139" si="132">H139</f>
        <v>1.05</v>
      </c>
      <c r="J139" s="287">
        <f t="shared" si="132"/>
        <v>1.05</v>
      </c>
      <c r="K139" s="287">
        <f t="shared" si="132"/>
        <v>1.05</v>
      </c>
      <c r="L139" s="287">
        <f t="shared" si="132"/>
        <v>1.05</v>
      </c>
      <c r="M139" s="287">
        <f t="shared" si="132"/>
        <v>1.05</v>
      </c>
      <c r="N139" s="287">
        <f t="shared" si="132"/>
        <v>1.05</v>
      </c>
      <c r="O139" s="287">
        <f t="shared" si="132"/>
        <v>1.05</v>
      </c>
      <c r="P139" s="287">
        <f t="shared" si="132"/>
        <v>1.05</v>
      </c>
      <c r="Q139" s="287">
        <f t="shared" si="132"/>
        <v>1.05</v>
      </c>
      <c r="R139" s="278">
        <f>MAX(TechData_R0!F166,1)</f>
        <v>1</v>
      </c>
      <c r="S139" s="278"/>
      <c r="T139" s="288">
        <v>5</v>
      </c>
      <c r="U139" s="289"/>
    </row>
    <row r="140" spans="1:21" x14ac:dyDescent="0.2">
      <c r="A140" s="256" t="s">
        <v>166</v>
      </c>
      <c r="B140" s="286" t="str">
        <f>TechData_R0!B168</f>
        <v>MINCGLLHS2</v>
      </c>
      <c r="C140" s="286"/>
      <c r="D140" s="286"/>
      <c r="E140" s="278" t="s">
        <v>32</v>
      </c>
      <c r="F140" s="278"/>
      <c r="G140" s="278" t="s">
        <v>33</v>
      </c>
      <c r="H140" s="287">
        <f>TechData_R0!G168</f>
        <v>1.05</v>
      </c>
      <c r="I140" s="287">
        <f t="shared" ref="I140:Q140" si="133">H140</f>
        <v>1.05</v>
      </c>
      <c r="J140" s="287">
        <f t="shared" si="133"/>
        <v>1.05</v>
      </c>
      <c r="K140" s="287">
        <f t="shared" si="133"/>
        <v>1.05</v>
      </c>
      <c r="L140" s="287">
        <f t="shared" si="133"/>
        <v>1.05</v>
      </c>
      <c r="M140" s="287">
        <f t="shared" si="133"/>
        <v>1.05</v>
      </c>
      <c r="N140" s="287">
        <f t="shared" si="133"/>
        <v>1.05</v>
      </c>
      <c r="O140" s="287">
        <f t="shared" si="133"/>
        <v>1.05</v>
      </c>
      <c r="P140" s="287">
        <f t="shared" si="133"/>
        <v>1.05</v>
      </c>
      <c r="Q140" s="287">
        <f t="shared" si="133"/>
        <v>1.05</v>
      </c>
      <c r="R140" s="278">
        <f>MAX(TechData_R0!F167,1)</f>
        <v>1</v>
      </c>
      <c r="S140" s="278"/>
      <c r="T140" s="288">
        <v>5</v>
      </c>
      <c r="U140" s="289"/>
    </row>
    <row r="141" spans="1:21" x14ac:dyDescent="0.2">
      <c r="A141" s="256" t="s">
        <v>167</v>
      </c>
      <c r="B141" s="286" t="str">
        <f>TechData_R0!B169</f>
        <v>MINCGLLHS3</v>
      </c>
      <c r="C141" s="286"/>
      <c r="D141" s="286"/>
      <c r="E141" s="278" t="s">
        <v>32</v>
      </c>
      <c r="F141" s="278"/>
      <c r="G141" s="278" t="s">
        <v>33</v>
      </c>
      <c r="H141" s="287">
        <f>TechData_R0!G169</f>
        <v>1.05</v>
      </c>
      <c r="I141" s="287">
        <f t="shared" ref="I141:Q141" si="134">H141</f>
        <v>1.05</v>
      </c>
      <c r="J141" s="287">
        <f t="shared" si="134"/>
        <v>1.05</v>
      </c>
      <c r="K141" s="287">
        <f t="shared" si="134"/>
        <v>1.05</v>
      </c>
      <c r="L141" s="287">
        <f t="shared" si="134"/>
        <v>1.05</v>
      </c>
      <c r="M141" s="287">
        <f t="shared" si="134"/>
        <v>1.05</v>
      </c>
      <c r="N141" s="287">
        <f t="shared" si="134"/>
        <v>1.05</v>
      </c>
      <c r="O141" s="287">
        <f t="shared" si="134"/>
        <v>1.05</v>
      </c>
      <c r="P141" s="287">
        <f t="shared" si="134"/>
        <v>1.05</v>
      </c>
      <c r="Q141" s="287">
        <f t="shared" si="134"/>
        <v>1.05</v>
      </c>
      <c r="R141" s="278">
        <f>MAX(TechData_R0!F168,1)</f>
        <v>1</v>
      </c>
      <c r="S141" s="278"/>
      <c r="T141" s="288">
        <v>5</v>
      </c>
      <c r="U141" s="289"/>
    </row>
    <row r="142" spans="1:21" x14ac:dyDescent="0.2">
      <c r="A142" s="256" t="s">
        <v>168</v>
      </c>
      <c r="B142" s="286" t="str">
        <f>TechData_R0!B170</f>
        <v>MINCGLLHS4</v>
      </c>
      <c r="C142" s="286"/>
      <c r="D142" s="286"/>
      <c r="E142" s="278" t="s">
        <v>32</v>
      </c>
      <c r="F142" s="278"/>
      <c r="G142" s="278" t="s">
        <v>33</v>
      </c>
      <c r="H142" s="287">
        <f>TechData_R0!G170</f>
        <v>1.05</v>
      </c>
      <c r="I142" s="287">
        <f t="shared" ref="I142:Q142" si="135">H142</f>
        <v>1.05</v>
      </c>
      <c r="J142" s="287">
        <f t="shared" si="135"/>
        <v>1.05</v>
      </c>
      <c r="K142" s="287">
        <f t="shared" si="135"/>
        <v>1.05</v>
      </c>
      <c r="L142" s="287">
        <f t="shared" si="135"/>
        <v>1.05</v>
      </c>
      <c r="M142" s="287">
        <f t="shared" si="135"/>
        <v>1.05</v>
      </c>
      <c r="N142" s="287">
        <f t="shared" si="135"/>
        <v>1.05</v>
      </c>
      <c r="O142" s="287">
        <f t="shared" si="135"/>
        <v>1.05</v>
      </c>
      <c r="P142" s="287">
        <f t="shared" si="135"/>
        <v>1.05</v>
      </c>
      <c r="Q142" s="287">
        <f t="shared" si="135"/>
        <v>1.05</v>
      </c>
      <c r="R142" s="278">
        <f>MAX(TechData_R0!F169,1)</f>
        <v>1</v>
      </c>
      <c r="S142" s="278"/>
      <c r="T142" s="288">
        <v>5</v>
      </c>
      <c r="U142" s="289"/>
    </row>
    <row r="143" spans="1:21" x14ac:dyDescent="0.2">
      <c r="A143" s="256" t="s">
        <v>169</v>
      </c>
      <c r="B143" s="286" t="str">
        <f>TechData_R0!B171</f>
        <v>MINCGLLHS5</v>
      </c>
      <c r="C143" s="286"/>
      <c r="D143" s="286"/>
      <c r="E143" s="278" t="s">
        <v>32</v>
      </c>
      <c r="F143" s="278"/>
      <c r="G143" s="278" t="s">
        <v>33</v>
      </c>
      <c r="H143" s="287">
        <f>TechData_R0!G171</f>
        <v>1.05</v>
      </c>
      <c r="I143" s="287">
        <f t="shared" ref="I143:Q143" si="136">H143</f>
        <v>1.05</v>
      </c>
      <c r="J143" s="287">
        <f t="shared" si="136"/>
        <v>1.05</v>
      </c>
      <c r="K143" s="287">
        <f t="shared" si="136"/>
        <v>1.05</v>
      </c>
      <c r="L143" s="287">
        <f t="shared" si="136"/>
        <v>1.05</v>
      </c>
      <c r="M143" s="287">
        <f t="shared" si="136"/>
        <v>1.05</v>
      </c>
      <c r="N143" s="287">
        <f t="shared" si="136"/>
        <v>1.05</v>
      </c>
      <c r="O143" s="287">
        <f t="shared" si="136"/>
        <v>1.05</v>
      </c>
      <c r="P143" s="287">
        <f t="shared" si="136"/>
        <v>1.05</v>
      </c>
      <c r="Q143" s="287">
        <f t="shared" si="136"/>
        <v>1.05</v>
      </c>
      <c r="R143" s="278">
        <f>MAX(TechData_R0!F170,1)</f>
        <v>1</v>
      </c>
      <c r="S143" s="278"/>
      <c r="T143" s="288">
        <v>5</v>
      </c>
      <c r="U143" s="289"/>
    </row>
    <row r="144" spans="1:21" x14ac:dyDescent="0.2">
      <c r="A144" s="256" t="s">
        <v>170</v>
      </c>
      <c r="B144" s="286" t="str">
        <f>TechData_R0!B172</f>
        <v>MINCGLLHS6</v>
      </c>
      <c r="C144" s="286"/>
      <c r="D144" s="286"/>
      <c r="E144" s="278" t="s">
        <v>32</v>
      </c>
      <c r="F144" s="278"/>
      <c r="G144" s="278" t="s">
        <v>33</v>
      </c>
      <c r="H144" s="287">
        <f>TechData_R0!G172</f>
        <v>1.05</v>
      </c>
      <c r="I144" s="287">
        <f t="shared" ref="I144:Q144" si="137">H144</f>
        <v>1.05</v>
      </c>
      <c r="J144" s="287">
        <f t="shared" si="137"/>
        <v>1.05</v>
      </c>
      <c r="K144" s="287">
        <f t="shared" si="137"/>
        <v>1.05</v>
      </c>
      <c r="L144" s="287">
        <f t="shared" si="137"/>
        <v>1.05</v>
      </c>
      <c r="M144" s="287">
        <f t="shared" si="137"/>
        <v>1.05</v>
      </c>
      <c r="N144" s="287">
        <f t="shared" si="137"/>
        <v>1.05</v>
      </c>
      <c r="O144" s="287">
        <f t="shared" si="137"/>
        <v>1.05</v>
      </c>
      <c r="P144" s="287">
        <f t="shared" si="137"/>
        <v>1.05</v>
      </c>
      <c r="Q144" s="287">
        <f t="shared" si="137"/>
        <v>1.05</v>
      </c>
      <c r="R144" s="278">
        <f>MAX(TechData_R0!F171,1)</f>
        <v>1.3565460192167684</v>
      </c>
      <c r="S144" s="278"/>
      <c r="T144" s="288">
        <v>5</v>
      </c>
      <c r="U144" s="289"/>
    </row>
    <row r="145" spans="1:21" x14ac:dyDescent="0.2">
      <c r="A145" s="256" t="s">
        <v>171</v>
      </c>
      <c r="B145" s="286" t="str">
        <f>TechData_R0!B174</f>
        <v>MINCDLLMS1</v>
      </c>
      <c r="C145" s="286"/>
      <c r="D145" s="286"/>
      <c r="E145" s="278" t="s">
        <v>32</v>
      </c>
      <c r="F145" s="278"/>
      <c r="G145" s="278" t="s">
        <v>33</v>
      </c>
      <c r="H145" s="287">
        <f>TechData_R0!G174</f>
        <v>1.05</v>
      </c>
      <c r="I145" s="287">
        <f t="shared" ref="I145:Q145" si="138">H145</f>
        <v>1.05</v>
      </c>
      <c r="J145" s="287">
        <f t="shared" si="138"/>
        <v>1.05</v>
      </c>
      <c r="K145" s="287">
        <f t="shared" si="138"/>
        <v>1.05</v>
      </c>
      <c r="L145" s="287">
        <f t="shared" si="138"/>
        <v>1.05</v>
      </c>
      <c r="M145" s="287">
        <f t="shared" si="138"/>
        <v>1.05</v>
      </c>
      <c r="N145" s="287">
        <f t="shared" si="138"/>
        <v>1.05</v>
      </c>
      <c r="O145" s="287">
        <f t="shared" si="138"/>
        <v>1.05</v>
      </c>
      <c r="P145" s="287">
        <f t="shared" si="138"/>
        <v>1.05</v>
      </c>
      <c r="Q145" s="287">
        <f t="shared" si="138"/>
        <v>1.05</v>
      </c>
      <c r="R145" s="278">
        <f>MAX(TechData_R0!F173,1)</f>
        <v>1</v>
      </c>
      <c r="S145" s="278"/>
      <c r="T145" s="288">
        <v>5</v>
      </c>
      <c r="U145" s="289"/>
    </row>
    <row r="146" spans="1:21" x14ac:dyDescent="0.2">
      <c r="A146" s="256" t="s">
        <v>172</v>
      </c>
      <c r="B146" s="286" t="str">
        <f>TechData_R0!B175</f>
        <v>MINCDLLMS2</v>
      </c>
      <c r="C146" s="286"/>
      <c r="D146" s="286"/>
      <c r="E146" s="278" t="s">
        <v>32</v>
      </c>
      <c r="F146" s="278"/>
      <c r="G146" s="278" t="s">
        <v>33</v>
      </c>
      <c r="H146" s="287">
        <f>TechData_R0!G175</f>
        <v>1.05</v>
      </c>
      <c r="I146" s="287">
        <f t="shared" ref="I146:Q146" si="139">H146</f>
        <v>1.05</v>
      </c>
      <c r="J146" s="287">
        <f t="shared" si="139"/>
        <v>1.05</v>
      </c>
      <c r="K146" s="287">
        <f t="shared" si="139"/>
        <v>1.05</v>
      </c>
      <c r="L146" s="287">
        <f t="shared" si="139"/>
        <v>1.05</v>
      </c>
      <c r="M146" s="287">
        <f t="shared" si="139"/>
        <v>1.05</v>
      </c>
      <c r="N146" s="287">
        <f t="shared" si="139"/>
        <v>1.05</v>
      </c>
      <c r="O146" s="287">
        <f t="shared" si="139"/>
        <v>1.05</v>
      </c>
      <c r="P146" s="287">
        <f t="shared" si="139"/>
        <v>1.05</v>
      </c>
      <c r="Q146" s="287">
        <f t="shared" si="139"/>
        <v>1.05</v>
      </c>
      <c r="R146" s="278">
        <f>MAX(TechData_R0!F174,1)</f>
        <v>1</v>
      </c>
      <c r="S146" s="278"/>
      <c r="T146" s="288">
        <v>5</v>
      </c>
      <c r="U146" s="289"/>
    </row>
    <row r="147" spans="1:21" x14ac:dyDescent="0.2">
      <c r="A147" s="256" t="s">
        <v>173</v>
      </c>
      <c r="B147" s="286" t="str">
        <f>TechData_R0!B176</f>
        <v>MINCDLLMS3</v>
      </c>
      <c r="C147" s="286"/>
      <c r="D147" s="286"/>
      <c r="E147" s="278" t="s">
        <v>32</v>
      </c>
      <c r="F147" s="278"/>
      <c r="G147" s="278" t="s">
        <v>33</v>
      </c>
      <c r="H147" s="287">
        <f>TechData_R0!G176</f>
        <v>1.05</v>
      </c>
      <c r="I147" s="287">
        <f t="shared" ref="I147:Q147" si="140">H147</f>
        <v>1.05</v>
      </c>
      <c r="J147" s="287">
        <f t="shared" si="140"/>
        <v>1.05</v>
      </c>
      <c r="K147" s="287">
        <f t="shared" si="140"/>
        <v>1.05</v>
      </c>
      <c r="L147" s="287">
        <f t="shared" si="140"/>
        <v>1.05</v>
      </c>
      <c r="M147" s="287">
        <f t="shared" si="140"/>
        <v>1.05</v>
      </c>
      <c r="N147" s="287">
        <f t="shared" si="140"/>
        <v>1.05</v>
      </c>
      <c r="O147" s="287">
        <f t="shared" si="140"/>
        <v>1.05</v>
      </c>
      <c r="P147" s="287">
        <f t="shared" si="140"/>
        <v>1.05</v>
      </c>
      <c r="Q147" s="287">
        <f t="shared" si="140"/>
        <v>1.05</v>
      </c>
      <c r="R147" s="278">
        <f>MAX(TechData_R0!F175,1)</f>
        <v>1</v>
      </c>
      <c r="S147" s="278"/>
      <c r="T147" s="288">
        <v>5</v>
      </c>
      <c r="U147" s="289"/>
    </row>
    <row r="148" spans="1:21" x14ac:dyDescent="0.2">
      <c r="A148" s="256" t="s">
        <v>174</v>
      </c>
      <c r="B148" s="286" t="str">
        <f>TechData_R0!B177</f>
        <v>MINCDLLMS4</v>
      </c>
      <c r="C148" s="286"/>
      <c r="D148" s="286"/>
      <c r="E148" s="278" t="s">
        <v>32</v>
      </c>
      <c r="F148" s="278"/>
      <c r="G148" s="278" t="s">
        <v>33</v>
      </c>
      <c r="H148" s="287">
        <f>TechData_R0!G177</f>
        <v>1.05</v>
      </c>
      <c r="I148" s="287">
        <f t="shared" ref="I148:Q148" si="141">H148</f>
        <v>1.05</v>
      </c>
      <c r="J148" s="287">
        <f t="shared" si="141"/>
        <v>1.05</v>
      </c>
      <c r="K148" s="287">
        <f t="shared" si="141"/>
        <v>1.05</v>
      </c>
      <c r="L148" s="287">
        <f t="shared" si="141"/>
        <v>1.05</v>
      </c>
      <c r="M148" s="287">
        <f t="shared" si="141"/>
        <v>1.05</v>
      </c>
      <c r="N148" s="287">
        <f t="shared" si="141"/>
        <v>1.05</v>
      </c>
      <c r="O148" s="287">
        <f t="shared" si="141"/>
        <v>1.05</v>
      </c>
      <c r="P148" s="287">
        <f t="shared" si="141"/>
        <v>1.05</v>
      </c>
      <c r="Q148" s="287">
        <f t="shared" si="141"/>
        <v>1.05</v>
      </c>
      <c r="R148" s="278">
        <f>MAX(TechData_R0!F176,1)</f>
        <v>1</v>
      </c>
      <c r="S148" s="278"/>
      <c r="T148" s="288">
        <v>5</v>
      </c>
      <c r="U148" s="289"/>
    </row>
    <row r="149" spans="1:21" x14ac:dyDescent="0.2">
      <c r="A149" s="256" t="s">
        <v>175</v>
      </c>
      <c r="B149" s="286" t="str">
        <f>TechData_R0!B178</f>
        <v>MINCDLLMS5</v>
      </c>
      <c r="C149" s="286"/>
      <c r="D149" s="286"/>
      <c r="E149" s="278" t="s">
        <v>32</v>
      </c>
      <c r="F149" s="278"/>
      <c r="G149" s="278" t="s">
        <v>33</v>
      </c>
      <c r="H149" s="287">
        <f>TechData_R0!G178</f>
        <v>1.05</v>
      </c>
      <c r="I149" s="287">
        <f t="shared" ref="I149:Q149" si="142">H149</f>
        <v>1.05</v>
      </c>
      <c r="J149" s="287">
        <f t="shared" si="142"/>
        <v>1.05</v>
      </c>
      <c r="K149" s="287">
        <f t="shared" si="142"/>
        <v>1.05</v>
      </c>
      <c r="L149" s="287">
        <f t="shared" si="142"/>
        <v>1.05</v>
      </c>
      <c r="M149" s="287">
        <f t="shared" si="142"/>
        <v>1.05</v>
      </c>
      <c r="N149" s="287">
        <f t="shared" si="142"/>
        <v>1.05</v>
      </c>
      <c r="O149" s="287">
        <f t="shared" si="142"/>
        <v>1.05</v>
      </c>
      <c r="P149" s="287">
        <f t="shared" si="142"/>
        <v>1.05</v>
      </c>
      <c r="Q149" s="287">
        <f t="shared" si="142"/>
        <v>1.05</v>
      </c>
      <c r="R149" s="278">
        <f>MAX(TechData_R0!F177,1)</f>
        <v>1</v>
      </c>
      <c r="S149" s="278"/>
      <c r="T149" s="288">
        <v>5</v>
      </c>
      <c r="U149" s="289"/>
    </row>
    <row r="150" spans="1:21" x14ac:dyDescent="0.2">
      <c r="A150" s="256" t="s">
        <v>176</v>
      </c>
      <c r="B150" s="286" t="str">
        <f>TechData_R0!B179</f>
        <v>MINCDLLMS6</v>
      </c>
      <c r="C150" s="286"/>
      <c r="D150" s="286"/>
      <c r="E150" s="278" t="s">
        <v>32</v>
      </c>
      <c r="F150" s="278"/>
      <c r="G150" s="278" t="s">
        <v>33</v>
      </c>
      <c r="H150" s="287">
        <f>TechData_R0!G179</f>
        <v>1.05</v>
      </c>
      <c r="I150" s="287">
        <f t="shared" ref="I150:Q150" si="143">H150</f>
        <v>1.05</v>
      </c>
      <c r="J150" s="287">
        <f t="shared" si="143"/>
        <v>1.05</v>
      </c>
      <c r="K150" s="287">
        <f t="shared" si="143"/>
        <v>1.05</v>
      </c>
      <c r="L150" s="287">
        <f t="shared" si="143"/>
        <v>1.05</v>
      </c>
      <c r="M150" s="287">
        <f t="shared" si="143"/>
        <v>1.05</v>
      </c>
      <c r="N150" s="287">
        <f t="shared" si="143"/>
        <v>1.05</v>
      </c>
      <c r="O150" s="287">
        <f t="shared" si="143"/>
        <v>1.05</v>
      </c>
      <c r="P150" s="287">
        <f t="shared" si="143"/>
        <v>1.05</v>
      </c>
      <c r="Q150" s="287">
        <f t="shared" si="143"/>
        <v>1.05</v>
      </c>
      <c r="R150" s="278">
        <f>MAX(TechData_R0!F178,1)</f>
        <v>3.9442863122025282</v>
      </c>
      <c r="S150" s="278"/>
      <c r="T150" s="288">
        <v>5</v>
      </c>
      <c r="U150" s="289"/>
    </row>
    <row r="151" spans="1:21" x14ac:dyDescent="0.2">
      <c r="A151" s="256" t="s">
        <v>177</v>
      </c>
      <c r="B151" s="286" t="str">
        <f>TechData_R0!B181</f>
        <v>MINCWMBLU1</v>
      </c>
      <c r="C151" s="286"/>
      <c r="D151" s="286"/>
      <c r="E151" s="278" t="s">
        <v>32</v>
      </c>
      <c r="F151" s="278"/>
      <c r="G151" s="278" t="s">
        <v>33</v>
      </c>
      <c r="H151" s="287">
        <f>TechData_R0!G181</f>
        <v>1.05</v>
      </c>
      <c r="I151" s="287">
        <f t="shared" ref="I151:Q151" si="144">H151</f>
        <v>1.05</v>
      </c>
      <c r="J151" s="287">
        <f t="shared" si="144"/>
        <v>1.05</v>
      </c>
      <c r="K151" s="287">
        <f t="shared" si="144"/>
        <v>1.05</v>
      </c>
      <c r="L151" s="287">
        <f t="shared" si="144"/>
        <v>1.05</v>
      </c>
      <c r="M151" s="287">
        <f t="shared" si="144"/>
        <v>1.05</v>
      </c>
      <c r="N151" s="287">
        <f t="shared" si="144"/>
        <v>1.05</v>
      </c>
      <c r="O151" s="287">
        <f t="shared" si="144"/>
        <v>1.05</v>
      </c>
      <c r="P151" s="287">
        <f t="shared" si="144"/>
        <v>1.05</v>
      </c>
      <c r="Q151" s="287">
        <f t="shared" si="144"/>
        <v>1.05</v>
      </c>
      <c r="R151" s="278">
        <f>MAX(TechData_R0!F180,1)</f>
        <v>1</v>
      </c>
      <c r="S151" s="278"/>
      <c r="T151" s="288">
        <v>5</v>
      </c>
      <c r="U151" s="289"/>
    </row>
    <row r="152" spans="1:21" x14ac:dyDescent="0.2">
      <c r="A152" s="256" t="s">
        <v>178</v>
      </c>
      <c r="B152" s="286" t="str">
        <f>TechData_R0!B182</f>
        <v>MINCWMBLU2</v>
      </c>
      <c r="C152" s="286"/>
      <c r="D152" s="286"/>
      <c r="E152" s="278" t="s">
        <v>32</v>
      </c>
      <c r="F152" s="278"/>
      <c r="G152" s="278" t="s">
        <v>33</v>
      </c>
      <c r="H152" s="287">
        <f>TechData_R0!G182</f>
        <v>1.05</v>
      </c>
      <c r="I152" s="287">
        <f t="shared" ref="I152:Q152" si="145">H152</f>
        <v>1.05</v>
      </c>
      <c r="J152" s="287">
        <f t="shared" si="145"/>
        <v>1.05</v>
      </c>
      <c r="K152" s="287">
        <f t="shared" si="145"/>
        <v>1.05</v>
      </c>
      <c r="L152" s="287">
        <f t="shared" si="145"/>
        <v>1.05</v>
      </c>
      <c r="M152" s="287">
        <f t="shared" si="145"/>
        <v>1.05</v>
      </c>
      <c r="N152" s="287">
        <f t="shared" si="145"/>
        <v>1.05</v>
      </c>
      <c r="O152" s="287">
        <f t="shared" si="145"/>
        <v>1.05</v>
      </c>
      <c r="P152" s="287">
        <f t="shared" si="145"/>
        <v>1.05</v>
      </c>
      <c r="Q152" s="287">
        <f t="shared" si="145"/>
        <v>1.05</v>
      </c>
      <c r="R152" s="278">
        <f>MAX(TechData_R0!F181,1)</f>
        <v>1</v>
      </c>
      <c r="S152" s="278"/>
      <c r="T152" s="288">
        <v>5</v>
      </c>
      <c r="U152" s="289"/>
    </row>
    <row r="153" spans="1:21" x14ac:dyDescent="0.2">
      <c r="A153" s="256" t="s">
        <v>179</v>
      </c>
      <c r="B153" s="286" t="str">
        <f>TechData_R0!B183</f>
        <v>MINCWMBLU3</v>
      </c>
      <c r="C153" s="286"/>
      <c r="D153" s="286"/>
      <c r="E153" s="278" t="s">
        <v>32</v>
      </c>
      <c r="F153" s="278"/>
      <c r="G153" s="278" t="s">
        <v>33</v>
      </c>
      <c r="H153" s="287">
        <f>TechData_R0!G183</f>
        <v>1.05</v>
      </c>
      <c r="I153" s="287">
        <f t="shared" ref="I153:Q153" si="146">H153</f>
        <v>1.05</v>
      </c>
      <c r="J153" s="287">
        <f t="shared" si="146"/>
        <v>1.05</v>
      </c>
      <c r="K153" s="287">
        <f t="shared" si="146"/>
        <v>1.05</v>
      </c>
      <c r="L153" s="287">
        <f t="shared" si="146"/>
        <v>1.05</v>
      </c>
      <c r="M153" s="287">
        <f t="shared" si="146"/>
        <v>1.05</v>
      </c>
      <c r="N153" s="287">
        <f t="shared" si="146"/>
        <v>1.05</v>
      </c>
      <c r="O153" s="287">
        <f t="shared" si="146"/>
        <v>1.05</v>
      </c>
      <c r="P153" s="287">
        <f t="shared" si="146"/>
        <v>1.05</v>
      </c>
      <c r="Q153" s="287">
        <f t="shared" si="146"/>
        <v>1.05</v>
      </c>
      <c r="R153" s="278">
        <f>MAX(TechData_R0!F182,1)</f>
        <v>1</v>
      </c>
      <c r="S153" s="278"/>
      <c r="T153" s="288">
        <v>5</v>
      </c>
      <c r="U153" s="289"/>
    </row>
    <row r="154" spans="1:21" x14ac:dyDescent="0.2">
      <c r="A154" s="256" t="s">
        <v>180</v>
      </c>
      <c r="B154" s="286" t="str">
        <f>TechData_R0!B184</f>
        <v>MINCWMBLU4</v>
      </c>
      <c r="C154" s="286"/>
      <c r="D154" s="286"/>
      <c r="E154" s="278" t="s">
        <v>32</v>
      </c>
      <c r="F154" s="278"/>
      <c r="G154" s="278" t="s">
        <v>33</v>
      </c>
      <c r="H154" s="287">
        <f>TechData_R0!G184</f>
        <v>1.05</v>
      </c>
      <c r="I154" s="287">
        <f t="shared" ref="I154:Q154" si="147">H154</f>
        <v>1.05</v>
      </c>
      <c r="J154" s="287">
        <f t="shared" si="147"/>
        <v>1.05</v>
      </c>
      <c r="K154" s="287">
        <f t="shared" si="147"/>
        <v>1.05</v>
      </c>
      <c r="L154" s="287">
        <f t="shared" si="147"/>
        <v>1.05</v>
      </c>
      <c r="M154" s="287">
        <f t="shared" si="147"/>
        <v>1.05</v>
      </c>
      <c r="N154" s="287">
        <f t="shared" si="147"/>
        <v>1.05</v>
      </c>
      <c r="O154" s="287">
        <f t="shared" si="147"/>
        <v>1.05</v>
      </c>
      <c r="P154" s="287">
        <f t="shared" si="147"/>
        <v>1.05</v>
      </c>
      <c r="Q154" s="287">
        <f t="shared" si="147"/>
        <v>1.05</v>
      </c>
      <c r="R154" s="278">
        <f>MAX(TechData_R0!F183,1)</f>
        <v>1</v>
      </c>
      <c r="S154" s="278"/>
      <c r="T154" s="288">
        <v>5</v>
      </c>
      <c r="U154" s="289"/>
    </row>
    <row r="155" spans="1:21" x14ac:dyDescent="0.2">
      <c r="A155" s="256" t="s">
        <v>181</v>
      </c>
      <c r="B155" s="286" t="str">
        <f>TechData_R0!B185</f>
        <v>MINCWMBLU5</v>
      </c>
      <c r="C155" s="286"/>
      <c r="D155" s="286"/>
      <c r="E155" s="278" t="s">
        <v>32</v>
      </c>
      <c r="F155" s="278"/>
      <c r="G155" s="278" t="s">
        <v>33</v>
      </c>
      <c r="H155" s="287">
        <f>TechData_R0!G185</f>
        <v>1.05</v>
      </c>
      <c r="I155" s="287">
        <f t="shared" ref="I155:Q155" si="148">H155</f>
        <v>1.05</v>
      </c>
      <c r="J155" s="287">
        <f t="shared" si="148"/>
        <v>1.05</v>
      </c>
      <c r="K155" s="287">
        <f t="shared" si="148"/>
        <v>1.05</v>
      </c>
      <c r="L155" s="287">
        <f t="shared" si="148"/>
        <v>1.05</v>
      </c>
      <c r="M155" s="287">
        <f t="shared" si="148"/>
        <v>1.05</v>
      </c>
      <c r="N155" s="287">
        <f t="shared" si="148"/>
        <v>1.05</v>
      </c>
      <c r="O155" s="287">
        <f t="shared" si="148"/>
        <v>1.05</v>
      </c>
      <c r="P155" s="287">
        <f t="shared" si="148"/>
        <v>1.05</v>
      </c>
      <c r="Q155" s="287">
        <f t="shared" si="148"/>
        <v>1.05</v>
      </c>
      <c r="R155" s="278">
        <f>MAX(TechData_R0!F184,1)</f>
        <v>1</v>
      </c>
      <c r="S155" s="278"/>
      <c r="T155" s="288">
        <v>5</v>
      </c>
      <c r="U155" s="289"/>
    </row>
    <row r="156" spans="1:21" x14ac:dyDescent="0.2">
      <c r="A156" s="256" t="s">
        <v>182</v>
      </c>
      <c r="B156" s="286" t="str">
        <f>TechData_R0!B186</f>
        <v>MINCWMBLU6</v>
      </c>
      <c r="C156" s="286"/>
      <c r="D156" s="286"/>
      <c r="E156" s="278" t="s">
        <v>32</v>
      </c>
      <c r="F156" s="278"/>
      <c r="G156" s="278" t="s">
        <v>33</v>
      </c>
      <c r="H156" s="287">
        <f>TechData_R0!G186</f>
        <v>1.05</v>
      </c>
      <c r="I156" s="287">
        <f t="shared" ref="I156:Q156" si="149">H156</f>
        <v>1.05</v>
      </c>
      <c r="J156" s="287">
        <f t="shared" si="149"/>
        <v>1.05</v>
      </c>
      <c r="K156" s="287">
        <f t="shared" si="149"/>
        <v>1.05</v>
      </c>
      <c r="L156" s="287">
        <f t="shared" si="149"/>
        <v>1.05</v>
      </c>
      <c r="M156" s="287">
        <f t="shared" si="149"/>
        <v>1.05</v>
      </c>
      <c r="N156" s="287">
        <f t="shared" si="149"/>
        <v>1.05</v>
      </c>
      <c r="O156" s="287">
        <f t="shared" si="149"/>
        <v>1.05</v>
      </c>
      <c r="P156" s="287">
        <f t="shared" si="149"/>
        <v>1.05</v>
      </c>
      <c r="Q156" s="287">
        <f t="shared" si="149"/>
        <v>1.05</v>
      </c>
      <c r="R156" s="278">
        <f>MAX(TechData_R0!F185,1)</f>
        <v>1.0626405194712392</v>
      </c>
      <c r="S156" s="278"/>
      <c r="T156" s="288">
        <v>5</v>
      </c>
      <c r="U156" s="289"/>
    </row>
    <row r="157" spans="1:21" x14ac:dyDescent="0.2">
      <c r="A157" s="256" t="s">
        <v>183</v>
      </c>
      <c r="B157" s="286" t="str">
        <f>TechData_R0!B188</f>
        <v>MINCWMSLS1</v>
      </c>
      <c r="C157" s="286"/>
      <c r="D157" s="286"/>
      <c r="E157" s="278" t="s">
        <v>32</v>
      </c>
      <c r="F157" s="278"/>
      <c r="G157" s="278" t="s">
        <v>33</v>
      </c>
      <c r="H157" s="287">
        <f>TechData_R0!G188</f>
        <v>1.05</v>
      </c>
      <c r="I157" s="287">
        <f t="shared" ref="I157:Q157" si="150">H157</f>
        <v>1.05</v>
      </c>
      <c r="J157" s="287">
        <f t="shared" si="150"/>
        <v>1.05</v>
      </c>
      <c r="K157" s="287">
        <f t="shared" si="150"/>
        <v>1.05</v>
      </c>
      <c r="L157" s="287">
        <f t="shared" si="150"/>
        <v>1.05</v>
      </c>
      <c r="M157" s="287">
        <f t="shared" si="150"/>
        <v>1.05</v>
      </c>
      <c r="N157" s="287">
        <f t="shared" si="150"/>
        <v>1.05</v>
      </c>
      <c r="O157" s="287">
        <f t="shared" si="150"/>
        <v>1.05</v>
      </c>
      <c r="P157" s="287">
        <f t="shared" si="150"/>
        <v>1.05</v>
      </c>
      <c r="Q157" s="287">
        <f t="shared" si="150"/>
        <v>1.05</v>
      </c>
      <c r="R157" s="278">
        <f>MAX(TechData_R0!F187,1)</f>
        <v>1</v>
      </c>
      <c r="S157" s="278"/>
      <c r="T157" s="288">
        <v>5</v>
      </c>
      <c r="U157" s="289"/>
    </row>
    <row r="158" spans="1:21" x14ac:dyDescent="0.2">
      <c r="A158" s="256" t="s">
        <v>184</v>
      </c>
      <c r="B158" s="286" t="str">
        <f>TechData_R0!B189</f>
        <v>MINCWMSLS2</v>
      </c>
      <c r="C158" s="286"/>
      <c r="D158" s="286"/>
      <c r="E158" s="278" t="s">
        <v>32</v>
      </c>
      <c r="F158" s="278"/>
      <c r="G158" s="278" t="s">
        <v>33</v>
      </c>
      <c r="H158" s="287">
        <f>TechData_R0!G189</f>
        <v>1.05</v>
      </c>
      <c r="I158" s="287">
        <f t="shared" ref="I158:Q158" si="151">H158</f>
        <v>1.05</v>
      </c>
      <c r="J158" s="287">
        <f t="shared" si="151"/>
        <v>1.05</v>
      </c>
      <c r="K158" s="287">
        <f t="shared" si="151"/>
        <v>1.05</v>
      </c>
      <c r="L158" s="287">
        <f t="shared" si="151"/>
        <v>1.05</v>
      </c>
      <c r="M158" s="287">
        <f t="shared" si="151"/>
        <v>1.05</v>
      </c>
      <c r="N158" s="287">
        <f t="shared" si="151"/>
        <v>1.05</v>
      </c>
      <c r="O158" s="287">
        <f t="shared" si="151"/>
        <v>1.05</v>
      </c>
      <c r="P158" s="287">
        <f t="shared" si="151"/>
        <v>1.05</v>
      </c>
      <c r="Q158" s="287">
        <f t="shared" si="151"/>
        <v>1.05</v>
      </c>
      <c r="R158" s="278">
        <f>MAX(TechData_R0!F188,1)</f>
        <v>1</v>
      </c>
      <c r="S158" s="278"/>
      <c r="T158" s="288">
        <v>5</v>
      </c>
      <c r="U158" s="289"/>
    </row>
    <row r="159" spans="1:21" x14ac:dyDescent="0.2">
      <c r="A159" s="256" t="s">
        <v>185</v>
      </c>
      <c r="B159" s="286" t="str">
        <f>TechData_R0!B190</f>
        <v>MINCWMSLS3</v>
      </c>
      <c r="C159" s="286"/>
      <c r="D159" s="286"/>
      <c r="E159" s="278" t="s">
        <v>32</v>
      </c>
      <c r="F159" s="278"/>
      <c r="G159" s="278" t="s">
        <v>33</v>
      </c>
      <c r="H159" s="287">
        <f>TechData_R0!G190</f>
        <v>1.05</v>
      </c>
      <c r="I159" s="287">
        <f t="shared" ref="I159:Q159" si="152">H159</f>
        <v>1.05</v>
      </c>
      <c r="J159" s="287">
        <f t="shared" si="152"/>
        <v>1.05</v>
      </c>
      <c r="K159" s="287">
        <f t="shared" si="152"/>
        <v>1.05</v>
      </c>
      <c r="L159" s="287">
        <f t="shared" si="152"/>
        <v>1.05</v>
      </c>
      <c r="M159" s="287">
        <f t="shared" si="152"/>
        <v>1.05</v>
      </c>
      <c r="N159" s="287">
        <f t="shared" si="152"/>
        <v>1.05</v>
      </c>
      <c r="O159" s="287">
        <f t="shared" si="152"/>
        <v>1.05</v>
      </c>
      <c r="P159" s="287">
        <f t="shared" si="152"/>
        <v>1.05</v>
      </c>
      <c r="Q159" s="287">
        <f t="shared" si="152"/>
        <v>1.05</v>
      </c>
      <c r="R159" s="278">
        <f>MAX(TechData_R0!F189,1)</f>
        <v>1</v>
      </c>
      <c r="S159" s="278"/>
      <c r="T159" s="288">
        <v>5</v>
      </c>
      <c r="U159" s="289"/>
    </row>
    <row r="160" spans="1:21" x14ac:dyDescent="0.2">
      <c r="A160" s="256" t="s">
        <v>186</v>
      </c>
      <c r="B160" s="286" t="str">
        <f>TechData_R0!B191</f>
        <v>MINCWMSLS4</v>
      </c>
      <c r="C160" s="286"/>
      <c r="D160" s="286"/>
      <c r="E160" s="278" t="s">
        <v>32</v>
      </c>
      <c r="F160" s="278"/>
      <c r="G160" s="278" t="s">
        <v>33</v>
      </c>
      <c r="H160" s="287">
        <f>TechData_R0!G191</f>
        <v>1.05</v>
      </c>
      <c r="I160" s="287">
        <f t="shared" ref="I160:Q160" si="153">H160</f>
        <v>1.05</v>
      </c>
      <c r="J160" s="287">
        <f t="shared" si="153"/>
        <v>1.05</v>
      </c>
      <c r="K160" s="287">
        <f t="shared" si="153"/>
        <v>1.05</v>
      </c>
      <c r="L160" s="287">
        <f t="shared" si="153"/>
        <v>1.05</v>
      </c>
      <c r="M160" s="287">
        <f t="shared" si="153"/>
        <v>1.05</v>
      </c>
      <c r="N160" s="287">
        <f t="shared" si="153"/>
        <v>1.05</v>
      </c>
      <c r="O160" s="287">
        <f t="shared" si="153"/>
        <v>1.05</v>
      </c>
      <c r="P160" s="287">
        <f t="shared" si="153"/>
        <v>1.05</v>
      </c>
      <c r="Q160" s="287">
        <f t="shared" si="153"/>
        <v>1.05</v>
      </c>
      <c r="R160" s="278">
        <f>MAX(TechData_R0!F190,1)</f>
        <v>1</v>
      </c>
      <c r="S160" s="278"/>
      <c r="T160" s="288">
        <v>5</v>
      </c>
      <c r="U160" s="289"/>
    </row>
    <row r="161" spans="1:21" x14ac:dyDescent="0.2">
      <c r="A161" s="256" t="s">
        <v>187</v>
      </c>
      <c r="B161" s="286" t="str">
        <f>TechData_R0!B192</f>
        <v>MINCWMSLS5</v>
      </c>
      <c r="C161" s="286"/>
      <c r="D161" s="286"/>
      <c r="E161" s="278" t="s">
        <v>32</v>
      </c>
      <c r="F161" s="278"/>
      <c r="G161" s="278" t="s">
        <v>33</v>
      </c>
      <c r="H161" s="287">
        <f>TechData_R0!G192</f>
        <v>1.05</v>
      </c>
      <c r="I161" s="287">
        <f t="shared" ref="I161:Q161" si="154">H161</f>
        <v>1.05</v>
      </c>
      <c r="J161" s="287">
        <f t="shared" si="154"/>
        <v>1.05</v>
      </c>
      <c r="K161" s="287">
        <f t="shared" si="154"/>
        <v>1.05</v>
      </c>
      <c r="L161" s="287">
        <f t="shared" si="154"/>
        <v>1.05</v>
      </c>
      <c r="M161" s="287">
        <f t="shared" si="154"/>
        <v>1.05</v>
      </c>
      <c r="N161" s="287">
        <f t="shared" si="154"/>
        <v>1.05</v>
      </c>
      <c r="O161" s="287">
        <f t="shared" si="154"/>
        <v>1.05</v>
      </c>
      <c r="P161" s="287">
        <f t="shared" si="154"/>
        <v>1.05</v>
      </c>
      <c r="Q161" s="287">
        <f t="shared" si="154"/>
        <v>1.05</v>
      </c>
      <c r="R161" s="278">
        <f>MAX(TechData_R0!F191,1)</f>
        <v>1</v>
      </c>
      <c r="S161" s="278"/>
      <c r="T161" s="288">
        <v>5</v>
      </c>
      <c r="U161" s="289"/>
    </row>
    <row r="162" spans="1:21" x14ac:dyDescent="0.2">
      <c r="A162" s="256" t="s">
        <v>188</v>
      </c>
      <c r="B162" s="286" t="str">
        <f>TechData_R0!B193</f>
        <v>MINCWMSLS6</v>
      </c>
      <c r="C162" s="286"/>
      <c r="D162" s="286"/>
      <c r="E162" s="278" t="s">
        <v>32</v>
      </c>
      <c r="F162" s="278"/>
      <c r="G162" s="278" t="s">
        <v>33</v>
      </c>
      <c r="H162" s="287">
        <f>TechData_R0!G193</f>
        <v>1.05</v>
      </c>
      <c r="I162" s="287">
        <f t="shared" ref="I162:Q162" si="155">H162</f>
        <v>1.05</v>
      </c>
      <c r="J162" s="287">
        <f t="shared" si="155"/>
        <v>1.05</v>
      </c>
      <c r="K162" s="287">
        <f t="shared" si="155"/>
        <v>1.05</v>
      </c>
      <c r="L162" s="287">
        <f t="shared" si="155"/>
        <v>1.05</v>
      </c>
      <c r="M162" s="287">
        <f t="shared" si="155"/>
        <v>1.05</v>
      </c>
      <c r="N162" s="287">
        <f t="shared" si="155"/>
        <v>1.05</v>
      </c>
      <c r="O162" s="287">
        <f t="shared" si="155"/>
        <v>1.05</v>
      </c>
      <c r="P162" s="287">
        <f t="shared" si="155"/>
        <v>1.05</v>
      </c>
      <c r="Q162" s="287">
        <f t="shared" si="155"/>
        <v>1.05</v>
      </c>
      <c r="R162" s="278">
        <f>MAX(TechData_R0!F192,1)</f>
        <v>3.6373329967312844</v>
      </c>
      <c r="S162" s="278"/>
      <c r="T162" s="288">
        <v>5</v>
      </c>
      <c r="U162" s="289"/>
    </row>
    <row r="163" spans="1:21" x14ac:dyDescent="0.2">
      <c r="A163" s="256" t="s">
        <v>189</v>
      </c>
      <c r="B163" s="286" t="str">
        <f>TechData_R0!B195</f>
        <v>MINCWMSMS1</v>
      </c>
      <c r="C163" s="286"/>
      <c r="D163" s="286"/>
      <c r="E163" s="278" t="s">
        <v>32</v>
      </c>
      <c r="F163" s="278"/>
      <c r="G163" s="278" t="s">
        <v>33</v>
      </c>
      <c r="H163" s="287">
        <f>TechData_R0!G195</f>
        <v>1.05</v>
      </c>
      <c r="I163" s="287">
        <f t="shared" ref="I163:Q163" si="156">H163</f>
        <v>1.05</v>
      </c>
      <c r="J163" s="287">
        <f t="shared" si="156"/>
        <v>1.05</v>
      </c>
      <c r="K163" s="287">
        <f t="shared" si="156"/>
        <v>1.05</v>
      </c>
      <c r="L163" s="287">
        <f t="shared" si="156"/>
        <v>1.05</v>
      </c>
      <c r="M163" s="287">
        <f t="shared" si="156"/>
        <v>1.05</v>
      </c>
      <c r="N163" s="287">
        <f t="shared" si="156"/>
        <v>1.05</v>
      </c>
      <c r="O163" s="287">
        <f t="shared" si="156"/>
        <v>1.05</v>
      </c>
      <c r="P163" s="287">
        <f t="shared" si="156"/>
        <v>1.05</v>
      </c>
      <c r="Q163" s="287">
        <f t="shared" si="156"/>
        <v>1.05</v>
      </c>
      <c r="R163" s="278">
        <f>MAX(TechData_R0!F194,1)</f>
        <v>1</v>
      </c>
      <c r="S163" s="278"/>
      <c r="T163" s="288">
        <v>5</v>
      </c>
      <c r="U163" s="289"/>
    </row>
    <row r="164" spans="1:21" x14ac:dyDescent="0.2">
      <c r="A164" s="256" t="s">
        <v>190</v>
      </c>
      <c r="B164" s="286" t="str">
        <f>TechData_R0!B196</f>
        <v>MINCWMSMS2</v>
      </c>
      <c r="C164" s="286"/>
      <c r="D164" s="286"/>
      <c r="E164" s="278" t="s">
        <v>32</v>
      </c>
      <c r="F164" s="278"/>
      <c r="G164" s="278" t="s">
        <v>33</v>
      </c>
      <c r="H164" s="287">
        <f>TechData_R0!G196</f>
        <v>1.05</v>
      </c>
      <c r="I164" s="287">
        <f t="shared" ref="I164:Q164" si="157">H164</f>
        <v>1.05</v>
      </c>
      <c r="J164" s="287">
        <f t="shared" si="157"/>
        <v>1.05</v>
      </c>
      <c r="K164" s="287">
        <f t="shared" si="157"/>
        <v>1.05</v>
      </c>
      <c r="L164" s="287">
        <f t="shared" si="157"/>
        <v>1.05</v>
      </c>
      <c r="M164" s="287">
        <f t="shared" si="157"/>
        <v>1.05</v>
      </c>
      <c r="N164" s="287">
        <f t="shared" si="157"/>
        <v>1.05</v>
      </c>
      <c r="O164" s="287">
        <f t="shared" si="157"/>
        <v>1.05</v>
      </c>
      <c r="P164" s="287">
        <f t="shared" si="157"/>
        <v>1.05</v>
      </c>
      <c r="Q164" s="287">
        <f t="shared" si="157"/>
        <v>1.05</v>
      </c>
      <c r="R164" s="278">
        <f>MAX(TechData_R0!F195,1)</f>
        <v>1</v>
      </c>
      <c r="S164" s="278"/>
      <c r="T164" s="288">
        <v>5</v>
      </c>
      <c r="U164" s="289"/>
    </row>
    <row r="165" spans="1:21" x14ac:dyDescent="0.2">
      <c r="A165" s="256" t="s">
        <v>191</v>
      </c>
      <c r="B165" s="286" t="str">
        <f>TechData_R0!B197</f>
        <v>MINCWMSMS3</v>
      </c>
      <c r="C165" s="286"/>
      <c r="D165" s="286"/>
      <c r="E165" s="278" t="s">
        <v>32</v>
      </c>
      <c r="F165" s="278"/>
      <c r="G165" s="278" t="s">
        <v>33</v>
      </c>
      <c r="H165" s="287">
        <f>TechData_R0!G197</f>
        <v>1.05</v>
      </c>
      <c r="I165" s="287">
        <f t="shared" ref="I165:Q165" si="158">H165</f>
        <v>1.05</v>
      </c>
      <c r="J165" s="287">
        <f t="shared" si="158"/>
        <v>1.05</v>
      </c>
      <c r="K165" s="287">
        <f t="shared" si="158"/>
        <v>1.05</v>
      </c>
      <c r="L165" s="287">
        <f t="shared" si="158"/>
        <v>1.05</v>
      </c>
      <c r="M165" s="287">
        <f t="shared" si="158"/>
        <v>1.05</v>
      </c>
      <c r="N165" s="287">
        <f t="shared" si="158"/>
        <v>1.05</v>
      </c>
      <c r="O165" s="287">
        <f t="shared" si="158"/>
        <v>1.05</v>
      </c>
      <c r="P165" s="287">
        <f t="shared" si="158"/>
        <v>1.05</v>
      </c>
      <c r="Q165" s="287">
        <f t="shared" si="158"/>
        <v>1.05</v>
      </c>
      <c r="R165" s="278">
        <f>MAX(TechData_R0!F196,1)</f>
        <v>1</v>
      </c>
      <c r="S165" s="278"/>
      <c r="T165" s="288">
        <v>5</v>
      </c>
      <c r="U165" s="289"/>
    </row>
    <row r="166" spans="1:21" x14ac:dyDescent="0.2">
      <c r="A166" s="256" t="s">
        <v>192</v>
      </c>
      <c r="B166" s="286" t="str">
        <f>TechData_R0!B198</f>
        <v>MINCWMSMS4</v>
      </c>
      <c r="C166" s="286"/>
      <c r="D166" s="286"/>
      <c r="E166" s="278" t="s">
        <v>32</v>
      </c>
      <c r="F166" s="278"/>
      <c r="G166" s="278" t="s">
        <v>33</v>
      </c>
      <c r="H166" s="287">
        <f>TechData_R0!G198</f>
        <v>1.05</v>
      </c>
      <c r="I166" s="287">
        <f t="shared" ref="I166:Q166" si="159">H166</f>
        <v>1.05</v>
      </c>
      <c r="J166" s="287">
        <f t="shared" si="159"/>
        <v>1.05</v>
      </c>
      <c r="K166" s="287">
        <f t="shared" si="159"/>
        <v>1.05</v>
      </c>
      <c r="L166" s="287">
        <f t="shared" si="159"/>
        <v>1.05</v>
      </c>
      <c r="M166" s="287">
        <f t="shared" si="159"/>
        <v>1.05</v>
      </c>
      <c r="N166" s="287">
        <f t="shared" si="159"/>
        <v>1.05</v>
      </c>
      <c r="O166" s="287">
        <f t="shared" si="159"/>
        <v>1.05</v>
      </c>
      <c r="P166" s="287">
        <f t="shared" si="159"/>
        <v>1.05</v>
      </c>
      <c r="Q166" s="287">
        <f t="shared" si="159"/>
        <v>1.05</v>
      </c>
      <c r="R166" s="278">
        <f>MAX(TechData_R0!F197,1)</f>
        <v>1</v>
      </c>
      <c r="S166" s="278"/>
      <c r="T166" s="288">
        <v>5</v>
      </c>
      <c r="U166" s="289"/>
    </row>
    <row r="167" spans="1:21" x14ac:dyDescent="0.2">
      <c r="A167" s="256" t="s">
        <v>193</v>
      </c>
      <c r="B167" s="286" t="str">
        <f>TechData_R0!B199</f>
        <v>MINCWMSMS5</v>
      </c>
      <c r="C167" s="286"/>
      <c r="D167" s="286"/>
      <c r="E167" s="278" t="s">
        <v>32</v>
      </c>
      <c r="F167" s="278"/>
      <c r="G167" s="278" t="s">
        <v>33</v>
      </c>
      <c r="H167" s="287">
        <f>TechData_R0!G199</f>
        <v>1.05</v>
      </c>
      <c r="I167" s="287">
        <f t="shared" ref="I167:Q167" si="160">H167</f>
        <v>1.05</v>
      </c>
      <c r="J167" s="287">
        <f t="shared" si="160"/>
        <v>1.05</v>
      </c>
      <c r="K167" s="287">
        <f t="shared" si="160"/>
        <v>1.05</v>
      </c>
      <c r="L167" s="287">
        <f t="shared" si="160"/>
        <v>1.05</v>
      </c>
      <c r="M167" s="287">
        <f t="shared" si="160"/>
        <v>1.05</v>
      </c>
      <c r="N167" s="287">
        <f t="shared" si="160"/>
        <v>1.05</v>
      </c>
      <c r="O167" s="287">
        <f t="shared" si="160"/>
        <v>1.05</v>
      </c>
      <c r="P167" s="287">
        <f t="shared" si="160"/>
        <v>1.05</v>
      </c>
      <c r="Q167" s="287">
        <f t="shared" si="160"/>
        <v>1.05</v>
      </c>
      <c r="R167" s="278">
        <f>MAX(TechData_R0!F198,1)</f>
        <v>1</v>
      </c>
      <c r="S167" s="278"/>
      <c r="T167" s="288">
        <v>5</v>
      </c>
      <c r="U167" s="289"/>
    </row>
    <row r="168" spans="1:21" x14ac:dyDescent="0.2">
      <c r="A168" s="256" t="s">
        <v>194</v>
      </c>
      <c r="B168" s="286" t="str">
        <f>TechData_R0!B200</f>
        <v>MINCWMSMS6</v>
      </c>
      <c r="C168" s="286"/>
      <c r="D168" s="286"/>
      <c r="E168" s="278" t="s">
        <v>32</v>
      </c>
      <c r="F168" s="278"/>
      <c r="G168" s="278" t="s">
        <v>33</v>
      </c>
      <c r="H168" s="287">
        <f>TechData_R0!G200</f>
        <v>1.05</v>
      </c>
      <c r="I168" s="287">
        <f t="shared" ref="I168:Q168" si="161">H168</f>
        <v>1.05</v>
      </c>
      <c r="J168" s="287">
        <f t="shared" si="161"/>
        <v>1.05</v>
      </c>
      <c r="K168" s="287">
        <f t="shared" si="161"/>
        <v>1.05</v>
      </c>
      <c r="L168" s="287">
        <f t="shared" si="161"/>
        <v>1.05</v>
      </c>
      <c r="M168" s="287">
        <f t="shared" si="161"/>
        <v>1.05</v>
      </c>
      <c r="N168" s="287">
        <f t="shared" si="161"/>
        <v>1.05</v>
      </c>
      <c r="O168" s="287">
        <f t="shared" si="161"/>
        <v>1.05</v>
      </c>
      <c r="P168" s="287">
        <f t="shared" si="161"/>
        <v>1.05</v>
      </c>
      <c r="Q168" s="287">
        <f t="shared" si="161"/>
        <v>1.05</v>
      </c>
      <c r="R168" s="278">
        <f>MAX(TechData_R0!F199,1)</f>
        <v>3.1131915497694003</v>
      </c>
      <c r="S168" s="278"/>
      <c r="T168" s="288">
        <v>5</v>
      </c>
      <c r="U168" s="289"/>
    </row>
    <row r="169" spans="1:21" x14ac:dyDescent="0.2">
      <c r="A169" s="256" t="s">
        <v>195</v>
      </c>
      <c r="B169" s="286" t="str">
        <f>TechData_R0!B202</f>
        <v>MINCNWSLS1</v>
      </c>
      <c r="C169" s="286"/>
      <c r="D169" s="286"/>
      <c r="E169" s="278" t="s">
        <v>32</v>
      </c>
      <c r="F169" s="278"/>
      <c r="G169" s="278" t="s">
        <v>33</v>
      </c>
      <c r="H169" s="287">
        <f>TechData_R0!G202</f>
        <v>1.05</v>
      </c>
      <c r="I169" s="287">
        <f t="shared" ref="I169:Q169" si="162">H169</f>
        <v>1.05</v>
      </c>
      <c r="J169" s="287">
        <f t="shared" si="162"/>
        <v>1.05</v>
      </c>
      <c r="K169" s="287">
        <f t="shared" si="162"/>
        <v>1.05</v>
      </c>
      <c r="L169" s="287">
        <f t="shared" si="162"/>
        <v>1.05</v>
      </c>
      <c r="M169" s="287">
        <f t="shared" si="162"/>
        <v>1.05</v>
      </c>
      <c r="N169" s="287">
        <f t="shared" si="162"/>
        <v>1.05</v>
      </c>
      <c r="O169" s="287">
        <f t="shared" si="162"/>
        <v>1.05</v>
      </c>
      <c r="P169" s="287">
        <f t="shared" si="162"/>
        <v>1.05</v>
      </c>
      <c r="Q169" s="287">
        <f t="shared" si="162"/>
        <v>1.05</v>
      </c>
      <c r="R169" s="278">
        <f>MAX(TechData_R0!F201,1)</f>
        <v>1</v>
      </c>
      <c r="S169" s="278"/>
      <c r="T169" s="288">
        <v>5</v>
      </c>
      <c r="U169" s="289"/>
    </row>
    <row r="170" spans="1:21" x14ac:dyDescent="0.2">
      <c r="A170" s="256" t="s">
        <v>196</v>
      </c>
      <c r="B170" s="286" t="str">
        <f>TechData_R0!B203</f>
        <v>MINCNWSLS2</v>
      </c>
      <c r="C170" s="286"/>
      <c r="D170" s="286"/>
      <c r="E170" s="278" t="s">
        <v>32</v>
      </c>
      <c r="F170" s="278"/>
      <c r="G170" s="278" t="s">
        <v>33</v>
      </c>
      <c r="H170" s="287">
        <f>TechData_R0!G203</f>
        <v>1.05</v>
      </c>
      <c r="I170" s="287">
        <f t="shared" ref="I170:Q170" si="163">H170</f>
        <v>1.05</v>
      </c>
      <c r="J170" s="287">
        <f t="shared" si="163"/>
        <v>1.05</v>
      </c>
      <c r="K170" s="287">
        <f t="shared" si="163"/>
        <v>1.05</v>
      </c>
      <c r="L170" s="287">
        <f t="shared" si="163"/>
        <v>1.05</v>
      </c>
      <c r="M170" s="287">
        <f t="shared" si="163"/>
        <v>1.05</v>
      </c>
      <c r="N170" s="287">
        <f t="shared" si="163"/>
        <v>1.05</v>
      </c>
      <c r="O170" s="287">
        <f t="shared" si="163"/>
        <v>1.05</v>
      </c>
      <c r="P170" s="287">
        <f t="shared" si="163"/>
        <v>1.05</v>
      </c>
      <c r="Q170" s="287">
        <f t="shared" si="163"/>
        <v>1.05</v>
      </c>
      <c r="R170" s="278">
        <f>MAX(TechData_R0!F202,1)</f>
        <v>1</v>
      </c>
      <c r="S170" s="278"/>
      <c r="T170" s="288">
        <v>5</v>
      </c>
      <c r="U170" s="289"/>
    </row>
    <row r="171" spans="1:21" x14ac:dyDescent="0.2">
      <c r="A171" s="256" t="s">
        <v>197</v>
      </c>
      <c r="B171" s="286" t="str">
        <f>TechData_R0!B204</f>
        <v>MINCNWSLS3</v>
      </c>
      <c r="C171" s="286"/>
      <c r="D171" s="286"/>
      <c r="E171" s="278" t="s">
        <v>32</v>
      </c>
      <c r="F171" s="278"/>
      <c r="G171" s="278" t="s">
        <v>33</v>
      </c>
      <c r="H171" s="287">
        <f>TechData_R0!G204</f>
        <v>1.05</v>
      </c>
      <c r="I171" s="287">
        <f t="shared" ref="I171:Q171" si="164">H171</f>
        <v>1.05</v>
      </c>
      <c r="J171" s="287">
        <f t="shared" si="164"/>
        <v>1.05</v>
      </c>
      <c r="K171" s="287">
        <f t="shared" si="164"/>
        <v>1.05</v>
      </c>
      <c r="L171" s="287">
        <f t="shared" si="164"/>
        <v>1.05</v>
      </c>
      <c r="M171" s="287">
        <f t="shared" si="164"/>
        <v>1.05</v>
      </c>
      <c r="N171" s="287">
        <f t="shared" si="164"/>
        <v>1.05</v>
      </c>
      <c r="O171" s="287">
        <f t="shared" si="164"/>
        <v>1.05</v>
      </c>
      <c r="P171" s="287">
        <f t="shared" si="164"/>
        <v>1.05</v>
      </c>
      <c r="Q171" s="287">
        <f t="shared" si="164"/>
        <v>1.05</v>
      </c>
      <c r="R171" s="278">
        <f>MAX(TechData_R0!F203,1)</f>
        <v>1</v>
      </c>
      <c r="S171" s="278"/>
      <c r="T171" s="288">
        <v>5</v>
      </c>
      <c r="U171" s="289"/>
    </row>
    <row r="172" spans="1:21" x14ac:dyDescent="0.2">
      <c r="A172" s="256" t="s">
        <v>198</v>
      </c>
      <c r="B172" s="286" t="str">
        <f>TechData_R0!B205</f>
        <v>MINCNWSLS4</v>
      </c>
      <c r="C172" s="286"/>
      <c r="D172" s="286"/>
      <c r="E172" s="278" t="s">
        <v>32</v>
      </c>
      <c r="F172" s="278"/>
      <c r="G172" s="278" t="s">
        <v>33</v>
      </c>
      <c r="H172" s="287">
        <f>TechData_R0!G205</f>
        <v>1.05</v>
      </c>
      <c r="I172" s="287">
        <f t="shared" ref="I172:Q172" si="165">H172</f>
        <v>1.05</v>
      </c>
      <c r="J172" s="287">
        <f t="shared" si="165"/>
        <v>1.05</v>
      </c>
      <c r="K172" s="287">
        <f t="shared" si="165"/>
        <v>1.05</v>
      </c>
      <c r="L172" s="287">
        <f t="shared" si="165"/>
        <v>1.05</v>
      </c>
      <c r="M172" s="287">
        <f t="shared" si="165"/>
        <v>1.05</v>
      </c>
      <c r="N172" s="287">
        <f t="shared" si="165"/>
        <v>1.05</v>
      </c>
      <c r="O172" s="287">
        <f t="shared" si="165"/>
        <v>1.05</v>
      </c>
      <c r="P172" s="287">
        <f t="shared" si="165"/>
        <v>1.05</v>
      </c>
      <c r="Q172" s="287">
        <f t="shared" si="165"/>
        <v>1.05</v>
      </c>
      <c r="R172" s="278">
        <f>MAX(TechData_R0!F204,1)</f>
        <v>1</v>
      </c>
      <c r="S172" s="278"/>
      <c r="T172" s="288">
        <v>5</v>
      </c>
      <c r="U172" s="289"/>
    </row>
    <row r="173" spans="1:21" x14ac:dyDescent="0.2">
      <c r="A173" s="256" t="s">
        <v>199</v>
      </c>
      <c r="B173" s="286" t="str">
        <f>TechData_R0!B206</f>
        <v>MINCNWSLS5</v>
      </c>
      <c r="C173" s="286"/>
      <c r="D173" s="286"/>
      <c r="E173" s="278" t="s">
        <v>32</v>
      </c>
      <c r="F173" s="278"/>
      <c r="G173" s="278" t="s">
        <v>33</v>
      </c>
      <c r="H173" s="287">
        <f>TechData_R0!G206</f>
        <v>1.05</v>
      </c>
      <c r="I173" s="287">
        <f t="shared" ref="I173:Q173" si="166">H173</f>
        <v>1.05</v>
      </c>
      <c r="J173" s="287">
        <f t="shared" si="166"/>
        <v>1.05</v>
      </c>
      <c r="K173" s="287">
        <f t="shared" si="166"/>
        <v>1.05</v>
      </c>
      <c r="L173" s="287">
        <f t="shared" si="166"/>
        <v>1.05</v>
      </c>
      <c r="M173" s="287">
        <f t="shared" si="166"/>
        <v>1.05</v>
      </c>
      <c r="N173" s="287">
        <f t="shared" si="166"/>
        <v>1.05</v>
      </c>
      <c r="O173" s="287">
        <f t="shared" si="166"/>
        <v>1.05</v>
      </c>
      <c r="P173" s="287">
        <f t="shared" si="166"/>
        <v>1.05</v>
      </c>
      <c r="Q173" s="287">
        <f t="shared" si="166"/>
        <v>1.05</v>
      </c>
      <c r="R173" s="278">
        <f>MAX(TechData_R0!F205,1)</f>
        <v>1</v>
      </c>
      <c r="S173" s="278"/>
      <c r="T173" s="288">
        <v>5</v>
      </c>
      <c r="U173" s="289"/>
    </row>
    <row r="174" spans="1:21" x14ac:dyDescent="0.2">
      <c r="A174" s="256" t="s">
        <v>200</v>
      </c>
      <c r="B174" s="286" t="str">
        <f>TechData_R0!B207</f>
        <v>MINCNWSLS6</v>
      </c>
      <c r="C174" s="286"/>
      <c r="D174" s="286"/>
      <c r="E174" s="278" t="s">
        <v>32</v>
      </c>
      <c r="F174" s="278"/>
      <c r="G174" s="278" t="s">
        <v>33</v>
      </c>
      <c r="H174" s="287">
        <f>TechData_R0!G207</f>
        <v>1.05</v>
      </c>
      <c r="I174" s="287">
        <f t="shared" ref="I174:Q174" si="167">H174</f>
        <v>1.05</v>
      </c>
      <c r="J174" s="287">
        <f t="shared" si="167"/>
        <v>1.05</v>
      </c>
      <c r="K174" s="287">
        <f t="shared" si="167"/>
        <v>1.05</v>
      </c>
      <c r="L174" s="287">
        <f t="shared" si="167"/>
        <v>1.05</v>
      </c>
      <c r="M174" s="287">
        <f t="shared" si="167"/>
        <v>1.05</v>
      </c>
      <c r="N174" s="287">
        <f t="shared" si="167"/>
        <v>1.05</v>
      </c>
      <c r="O174" s="287">
        <f t="shared" si="167"/>
        <v>1.05</v>
      </c>
      <c r="P174" s="287">
        <f t="shared" si="167"/>
        <v>1.05</v>
      </c>
      <c r="Q174" s="287">
        <f t="shared" si="167"/>
        <v>1.05</v>
      </c>
      <c r="R174" s="278">
        <f>MAX(TechData_R0!F206,1)</f>
        <v>74.52173546034274</v>
      </c>
      <c r="S174" s="278"/>
      <c r="T174" s="288">
        <v>5</v>
      </c>
      <c r="U174" s="289"/>
    </row>
    <row r="175" spans="1:21" x14ac:dyDescent="0.2">
      <c r="A175" s="256" t="s">
        <v>201</v>
      </c>
      <c r="B175" s="286" t="str">
        <f>TechData_R0!B209</f>
        <v>MINCNWSMS1</v>
      </c>
      <c r="C175" s="286"/>
      <c r="D175" s="286"/>
      <c r="E175" s="278" t="s">
        <v>32</v>
      </c>
      <c r="F175" s="278"/>
      <c r="G175" s="278" t="s">
        <v>33</v>
      </c>
      <c r="H175" s="287">
        <f>TechData_R0!G209</f>
        <v>1.05</v>
      </c>
      <c r="I175" s="287">
        <f t="shared" ref="I175:Q175" si="168">H175</f>
        <v>1.05</v>
      </c>
      <c r="J175" s="287">
        <f t="shared" si="168"/>
        <v>1.05</v>
      </c>
      <c r="K175" s="287">
        <f t="shared" si="168"/>
        <v>1.05</v>
      </c>
      <c r="L175" s="287">
        <f t="shared" si="168"/>
        <v>1.05</v>
      </c>
      <c r="M175" s="287">
        <f t="shared" si="168"/>
        <v>1.05</v>
      </c>
      <c r="N175" s="287">
        <f t="shared" si="168"/>
        <v>1.05</v>
      </c>
      <c r="O175" s="287">
        <f t="shared" si="168"/>
        <v>1.05</v>
      </c>
      <c r="P175" s="287">
        <f t="shared" si="168"/>
        <v>1.05</v>
      </c>
      <c r="Q175" s="287">
        <f t="shared" si="168"/>
        <v>1.05</v>
      </c>
      <c r="R175" s="278">
        <f>MAX(TechData_R0!F208,1)</f>
        <v>1</v>
      </c>
      <c r="S175" s="278"/>
      <c r="T175" s="288">
        <v>5</v>
      </c>
      <c r="U175" s="289"/>
    </row>
    <row r="176" spans="1:21" x14ac:dyDescent="0.2">
      <c r="A176" s="256" t="s">
        <v>202</v>
      </c>
      <c r="B176" s="286" t="str">
        <f>TechData_R0!B210</f>
        <v>MINCNWSMS2</v>
      </c>
      <c r="C176" s="286"/>
      <c r="D176" s="286"/>
      <c r="E176" s="278" t="s">
        <v>32</v>
      </c>
      <c r="F176" s="278"/>
      <c r="G176" s="278" t="s">
        <v>33</v>
      </c>
      <c r="H176" s="287">
        <f>TechData_R0!G210</f>
        <v>1.05</v>
      </c>
      <c r="I176" s="287">
        <f t="shared" ref="I176:Q176" si="169">H176</f>
        <v>1.05</v>
      </c>
      <c r="J176" s="287">
        <f t="shared" si="169"/>
        <v>1.05</v>
      </c>
      <c r="K176" s="287">
        <f t="shared" si="169"/>
        <v>1.05</v>
      </c>
      <c r="L176" s="287">
        <f t="shared" si="169"/>
        <v>1.05</v>
      </c>
      <c r="M176" s="287">
        <f t="shared" si="169"/>
        <v>1.05</v>
      </c>
      <c r="N176" s="287">
        <f t="shared" si="169"/>
        <v>1.05</v>
      </c>
      <c r="O176" s="287">
        <f t="shared" si="169"/>
        <v>1.05</v>
      </c>
      <c r="P176" s="287">
        <f t="shared" si="169"/>
        <v>1.05</v>
      </c>
      <c r="Q176" s="287">
        <f t="shared" si="169"/>
        <v>1.05</v>
      </c>
      <c r="R176" s="278">
        <f>MAX(TechData_R0!F209,1)</f>
        <v>1</v>
      </c>
      <c r="S176" s="278"/>
      <c r="T176" s="288">
        <v>5</v>
      </c>
      <c r="U176" s="289"/>
    </row>
    <row r="177" spans="1:21" x14ac:dyDescent="0.2">
      <c r="A177" s="256" t="s">
        <v>203</v>
      </c>
      <c r="B177" s="286" t="str">
        <f>TechData_R0!B211</f>
        <v>MINCNWSMS3</v>
      </c>
      <c r="C177" s="286"/>
      <c r="D177" s="286"/>
      <c r="E177" s="278" t="s">
        <v>32</v>
      </c>
      <c r="F177" s="278"/>
      <c r="G177" s="278" t="s">
        <v>33</v>
      </c>
      <c r="H177" s="287">
        <f>TechData_R0!G211</f>
        <v>1.05</v>
      </c>
      <c r="I177" s="287">
        <f t="shared" ref="I177:Q177" si="170">H177</f>
        <v>1.05</v>
      </c>
      <c r="J177" s="287">
        <f t="shared" si="170"/>
        <v>1.05</v>
      </c>
      <c r="K177" s="287">
        <f t="shared" si="170"/>
        <v>1.05</v>
      </c>
      <c r="L177" s="287">
        <f t="shared" si="170"/>
        <v>1.05</v>
      </c>
      <c r="M177" s="287">
        <f t="shared" si="170"/>
        <v>1.05</v>
      </c>
      <c r="N177" s="287">
        <f t="shared" si="170"/>
        <v>1.05</v>
      </c>
      <c r="O177" s="287">
        <f t="shared" si="170"/>
        <v>1.05</v>
      </c>
      <c r="P177" s="287">
        <f t="shared" si="170"/>
        <v>1.05</v>
      </c>
      <c r="Q177" s="287">
        <f t="shared" si="170"/>
        <v>1.05</v>
      </c>
      <c r="R177" s="278">
        <f>MAX(TechData_R0!F210,1)</f>
        <v>1</v>
      </c>
      <c r="S177" s="278"/>
      <c r="T177" s="288">
        <v>5</v>
      </c>
      <c r="U177" s="289"/>
    </row>
    <row r="178" spans="1:21" x14ac:dyDescent="0.2">
      <c r="A178" s="256" t="s">
        <v>204</v>
      </c>
      <c r="B178" s="286" t="str">
        <f>TechData_R0!B212</f>
        <v>MINCNWSMS4</v>
      </c>
      <c r="C178" s="286"/>
      <c r="D178" s="286"/>
      <c r="E178" s="278" t="s">
        <v>32</v>
      </c>
      <c r="F178" s="278"/>
      <c r="G178" s="278" t="s">
        <v>33</v>
      </c>
      <c r="H178" s="287">
        <f>TechData_R0!G212</f>
        <v>1.05</v>
      </c>
      <c r="I178" s="287">
        <f t="shared" ref="I178:Q178" si="171">H178</f>
        <v>1.05</v>
      </c>
      <c r="J178" s="287">
        <f t="shared" si="171"/>
        <v>1.05</v>
      </c>
      <c r="K178" s="287">
        <f t="shared" si="171"/>
        <v>1.05</v>
      </c>
      <c r="L178" s="287">
        <f t="shared" si="171"/>
        <v>1.05</v>
      </c>
      <c r="M178" s="287">
        <f t="shared" si="171"/>
        <v>1.05</v>
      </c>
      <c r="N178" s="287">
        <f t="shared" si="171"/>
        <v>1.05</v>
      </c>
      <c r="O178" s="287">
        <f t="shared" si="171"/>
        <v>1.05</v>
      </c>
      <c r="P178" s="287">
        <f t="shared" si="171"/>
        <v>1.05</v>
      </c>
      <c r="Q178" s="287">
        <f t="shared" si="171"/>
        <v>1.05</v>
      </c>
      <c r="R178" s="278">
        <f>MAX(TechData_R0!F211,1)</f>
        <v>1</v>
      </c>
      <c r="S178" s="278"/>
      <c r="T178" s="288">
        <v>5</v>
      </c>
      <c r="U178" s="289"/>
    </row>
    <row r="179" spans="1:21" x14ac:dyDescent="0.2">
      <c r="A179" s="256" t="s">
        <v>205</v>
      </c>
      <c r="B179" s="286" t="str">
        <f>TechData_R0!B213</f>
        <v>MINCNWSMS5</v>
      </c>
      <c r="C179" s="286"/>
      <c r="D179" s="286"/>
      <c r="E179" s="278" t="s">
        <v>32</v>
      </c>
      <c r="F179" s="278"/>
      <c r="G179" s="278" t="s">
        <v>33</v>
      </c>
      <c r="H179" s="287">
        <f>TechData_R0!G213</f>
        <v>1.05</v>
      </c>
      <c r="I179" s="287">
        <f t="shared" ref="I179:Q179" si="172">H179</f>
        <v>1.05</v>
      </c>
      <c r="J179" s="287">
        <f t="shared" si="172"/>
        <v>1.05</v>
      </c>
      <c r="K179" s="287">
        <f t="shared" si="172"/>
        <v>1.05</v>
      </c>
      <c r="L179" s="287">
        <f t="shared" si="172"/>
        <v>1.05</v>
      </c>
      <c r="M179" s="287">
        <f t="shared" si="172"/>
        <v>1.05</v>
      </c>
      <c r="N179" s="287">
        <f t="shared" si="172"/>
        <v>1.05</v>
      </c>
      <c r="O179" s="287">
        <f t="shared" si="172"/>
        <v>1.05</v>
      </c>
      <c r="P179" s="287">
        <f t="shared" si="172"/>
        <v>1.05</v>
      </c>
      <c r="Q179" s="287">
        <f t="shared" si="172"/>
        <v>1.05</v>
      </c>
      <c r="R179" s="278">
        <f>MAX(TechData_R0!F212,1)</f>
        <v>1</v>
      </c>
      <c r="S179" s="278"/>
      <c r="T179" s="288">
        <v>5</v>
      </c>
      <c r="U179" s="289"/>
    </row>
    <row r="180" spans="1:21" x14ac:dyDescent="0.2">
      <c r="A180" s="256" t="s">
        <v>206</v>
      </c>
      <c r="B180" s="286" t="str">
        <f>TechData_R0!B214</f>
        <v>MINCNWSMS6</v>
      </c>
      <c r="C180" s="286"/>
      <c r="D180" s="286"/>
      <c r="E180" s="278" t="s">
        <v>32</v>
      </c>
      <c r="F180" s="278"/>
      <c r="G180" s="278" t="s">
        <v>33</v>
      </c>
      <c r="H180" s="287">
        <f>TechData_R0!G214</f>
        <v>1.05</v>
      </c>
      <c r="I180" s="287">
        <f t="shared" ref="I180:Q180" si="173">H180</f>
        <v>1.05</v>
      </c>
      <c r="J180" s="287">
        <f t="shared" si="173"/>
        <v>1.05</v>
      </c>
      <c r="K180" s="287">
        <f t="shared" si="173"/>
        <v>1.05</v>
      </c>
      <c r="L180" s="287">
        <f t="shared" si="173"/>
        <v>1.05</v>
      </c>
      <c r="M180" s="287">
        <f t="shared" si="173"/>
        <v>1.05</v>
      </c>
      <c r="N180" s="287">
        <f t="shared" si="173"/>
        <v>1.05</v>
      </c>
      <c r="O180" s="287">
        <f t="shared" si="173"/>
        <v>1.05</v>
      </c>
      <c r="P180" s="287">
        <f t="shared" si="173"/>
        <v>1.05</v>
      </c>
      <c r="Q180" s="287">
        <f t="shared" si="173"/>
        <v>1.05</v>
      </c>
      <c r="R180" s="278">
        <f>MAX(TechData_R0!F213,1)</f>
        <v>1</v>
      </c>
      <c r="S180" s="278"/>
      <c r="T180" s="288">
        <v>5</v>
      </c>
      <c r="U180" s="289"/>
    </row>
    <row r="181" spans="1:21" x14ac:dyDescent="0.2">
      <c r="A181" s="256" t="s">
        <v>207</v>
      </c>
      <c r="B181" s="286" t="str">
        <f>TechData_R0!B216</f>
        <v>MINCWWSLU1</v>
      </c>
      <c r="C181" s="286"/>
      <c r="D181" s="286"/>
      <c r="E181" s="278" t="s">
        <v>32</v>
      </c>
      <c r="F181" s="278"/>
      <c r="G181" s="278" t="s">
        <v>33</v>
      </c>
      <c r="H181" s="287">
        <f>TechData_R0!G216</f>
        <v>1.05</v>
      </c>
      <c r="I181" s="287">
        <f t="shared" ref="I181:Q181" si="174">H181</f>
        <v>1.05</v>
      </c>
      <c r="J181" s="287">
        <f t="shared" si="174"/>
        <v>1.05</v>
      </c>
      <c r="K181" s="287">
        <f t="shared" si="174"/>
        <v>1.05</v>
      </c>
      <c r="L181" s="287">
        <f t="shared" si="174"/>
        <v>1.05</v>
      </c>
      <c r="M181" s="287">
        <f t="shared" si="174"/>
        <v>1.05</v>
      </c>
      <c r="N181" s="287">
        <f t="shared" si="174"/>
        <v>1.05</v>
      </c>
      <c r="O181" s="287">
        <f t="shared" si="174"/>
        <v>1.05</v>
      </c>
      <c r="P181" s="287">
        <f t="shared" si="174"/>
        <v>1.05</v>
      </c>
      <c r="Q181" s="287">
        <f t="shared" si="174"/>
        <v>1.05</v>
      </c>
      <c r="R181" s="278">
        <f>MAX(TechData_R0!F215,1)</f>
        <v>1</v>
      </c>
      <c r="S181" s="278"/>
      <c r="T181" s="288">
        <v>5</v>
      </c>
      <c r="U181" s="289"/>
    </row>
    <row r="182" spans="1:21" x14ac:dyDescent="0.2">
      <c r="A182" s="256" t="s">
        <v>208</v>
      </c>
      <c r="B182" s="286" t="str">
        <f>TechData_R0!B217</f>
        <v>MINCWWSLU2</v>
      </c>
      <c r="C182" s="286"/>
      <c r="D182" s="286"/>
      <c r="E182" s="278" t="s">
        <v>32</v>
      </c>
      <c r="F182" s="278"/>
      <c r="G182" s="278" t="s">
        <v>33</v>
      </c>
      <c r="H182" s="287">
        <f>TechData_R0!G217</f>
        <v>1.05</v>
      </c>
      <c r="I182" s="287">
        <f t="shared" ref="I182:Q182" si="175">H182</f>
        <v>1.05</v>
      </c>
      <c r="J182" s="287">
        <f t="shared" si="175"/>
        <v>1.05</v>
      </c>
      <c r="K182" s="287">
        <f t="shared" si="175"/>
        <v>1.05</v>
      </c>
      <c r="L182" s="287">
        <f t="shared" si="175"/>
        <v>1.05</v>
      </c>
      <c r="M182" s="287">
        <f t="shared" si="175"/>
        <v>1.05</v>
      </c>
      <c r="N182" s="287">
        <f t="shared" si="175"/>
        <v>1.05</v>
      </c>
      <c r="O182" s="287">
        <f t="shared" si="175"/>
        <v>1.05</v>
      </c>
      <c r="P182" s="287">
        <f t="shared" si="175"/>
        <v>1.05</v>
      </c>
      <c r="Q182" s="287">
        <f t="shared" si="175"/>
        <v>1.05</v>
      </c>
      <c r="R182" s="278">
        <f>MAX(TechData_R0!F216,1)</f>
        <v>1</v>
      </c>
      <c r="S182" s="278"/>
      <c r="T182" s="288">
        <v>5</v>
      </c>
      <c r="U182" s="289"/>
    </row>
    <row r="183" spans="1:21" x14ac:dyDescent="0.2">
      <c r="A183" s="256" t="s">
        <v>209</v>
      </c>
      <c r="B183" s="286" t="str">
        <f>TechData_R0!B218</f>
        <v>MINCWWSLU3</v>
      </c>
      <c r="C183" s="286"/>
      <c r="D183" s="286"/>
      <c r="E183" s="278" t="s">
        <v>32</v>
      </c>
      <c r="F183" s="278"/>
      <c r="G183" s="278" t="s">
        <v>33</v>
      </c>
      <c r="H183" s="287">
        <f>TechData_R0!G218</f>
        <v>1.05</v>
      </c>
      <c r="I183" s="287">
        <f t="shared" ref="I183:Q183" si="176">H183</f>
        <v>1.05</v>
      </c>
      <c r="J183" s="287">
        <f t="shared" si="176"/>
        <v>1.05</v>
      </c>
      <c r="K183" s="287">
        <f t="shared" si="176"/>
        <v>1.05</v>
      </c>
      <c r="L183" s="287">
        <f t="shared" si="176"/>
        <v>1.05</v>
      </c>
      <c r="M183" s="287">
        <f t="shared" si="176"/>
        <v>1.05</v>
      </c>
      <c r="N183" s="287">
        <f t="shared" si="176"/>
        <v>1.05</v>
      </c>
      <c r="O183" s="287">
        <f t="shared" si="176"/>
        <v>1.05</v>
      </c>
      <c r="P183" s="287">
        <f t="shared" si="176"/>
        <v>1.05</v>
      </c>
      <c r="Q183" s="287">
        <f t="shared" si="176"/>
        <v>1.05</v>
      </c>
      <c r="R183" s="278">
        <f>MAX(TechData_R0!F217,1)</f>
        <v>1</v>
      </c>
      <c r="S183" s="278"/>
      <c r="T183" s="288">
        <v>5</v>
      </c>
      <c r="U183" s="289"/>
    </row>
    <row r="184" spans="1:21" x14ac:dyDescent="0.2">
      <c r="A184" s="256" t="s">
        <v>210</v>
      </c>
      <c r="B184" s="286" t="str">
        <f>TechData_R0!B219</f>
        <v>MINCWWSLU4</v>
      </c>
      <c r="C184" s="286"/>
      <c r="D184" s="286"/>
      <c r="E184" s="278" t="s">
        <v>32</v>
      </c>
      <c r="F184" s="278"/>
      <c r="G184" s="278" t="s">
        <v>33</v>
      </c>
      <c r="H184" s="287">
        <f>TechData_R0!G219</f>
        <v>1.05</v>
      </c>
      <c r="I184" s="287">
        <f t="shared" ref="I184:Q184" si="177">H184</f>
        <v>1.05</v>
      </c>
      <c r="J184" s="287">
        <f t="shared" si="177"/>
        <v>1.05</v>
      </c>
      <c r="K184" s="287">
        <f t="shared" si="177"/>
        <v>1.05</v>
      </c>
      <c r="L184" s="287">
        <f t="shared" si="177"/>
        <v>1.05</v>
      </c>
      <c r="M184" s="287">
        <f t="shared" si="177"/>
        <v>1.05</v>
      </c>
      <c r="N184" s="287">
        <f t="shared" si="177"/>
        <v>1.05</v>
      </c>
      <c r="O184" s="287">
        <f t="shared" si="177"/>
        <v>1.05</v>
      </c>
      <c r="P184" s="287">
        <f t="shared" si="177"/>
        <v>1.05</v>
      </c>
      <c r="Q184" s="287">
        <f t="shared" si="177"/>
        <v>1.05</v>
      </c>
      <c r="R184" s="278">
        <f>MAX(TechData_R0!F218,1)</f>
        <v>1</v>
      </c>
      <c r="S184" s="278"/>
      <c r="T184" s="288">
        <v>5</v>
      </c>
      <c r="U184" s="289"/>
    </row>
    <row r="185" spans="1:21" x14ac:dyDescent="0.2">
      <c r="A185" s="256" t="s">
        <v>211</v>
      </c>
      <c r="B185" s="286" t="str">
        <f>TechData_R0!B220</f>
        <v>MINCWWSLU5</v>
      </c>
      <c r="C185" s="286"/>
      <c r="D185" s="286"/>
      <c r="E185" s="278" t="s">
        <v>32</v>
      </c>
      <c r="F185" s="278"/>
      <c r="G185" s="278" t="s">
        <v>33</v>
      </c>
      <c r="H185" s="287">
        <f>TechData_R0!G220</f>
        <v>1.05</v>
      </c>
      <c r="I185" s="287">
        <f t="shared" ref="I185:Q185" si="178">H185</f>
        <v>1.05</v>
      </c>
      <c r="J185" s="287">
        <f t="shared" si="178"/>
        <v>1.05</v>
      </c>
      <c r="K185" s="287">
        <f t="shared" si="178"/>
        <v>1.05</v>
      </c>
      <c r="L185" s="287">
        <f t="shared" si="178"/>
        <v>1.05</v>
      </c>
      <c r="M185" s="287">
        <f t="shared" si="178"/>
        <v>1.05</v>
      </c>
      <c r="N185" s="287">
        <f t="shared" si="178"/>
        <v>1.05</v>
      </c>
      <c r="O185" s="287">
        <f t="shared" si="178"/>
        <v>1.05</v>
      </c>
      <c r="P185" s="287">
        <f t="shared" si="178"/>
        <v>1.05</v>
      </c>
      <c r="Q185" s="287">
        <f t="shared" si="178"/>
        <v>1.05</v>
      </c>
      <c r="R185" s="278">
        <f>MAX(TechData_R0!F219,1)</f>
        <v>1</v>
      </c>
      <c r="S185" s="278"/>
      <c r="T185" s="288">
        <v>5</v>
      </c>
      <c r="U185" s="289"/>
    </row>
    <row r="186" spans="1:21" x14ac:dyDescent="0.2">
      <c r="A186" s="256" t="s">
        <v>212</v>
      </c>
      <c r="B186" s="286" t="str">
        <f>TechData_R0!B221</f>
        <v>MINCWWSLU6</v>
      </c>
      <c r="C186" s="286"/>
      <c r="D186" s="286"/>
      <c r="E186" s="278" t="s">
        <v>32</v>
      </c>
      <c r="F186" s="278"/>
      <c r="G186" s="278" t="s">
        <v>33</v>
      </c>
      <c r="H186" s="287">
        <f>TechData_R0!G221</f>
        <v>1.05</v>
      </c>
      <c r="I186" s="287">
        <f t="shared" ref="I186:Q186" si="179">H186</f>
        <v>1.05</v>
      </c>
      <c r="J186" s="287">
        <f t="shared" si="179"/>
        <v>1.05</v>
      </c>
      <c r="K186" s="287">
        <f t="shared" si="179"/>
        <v>1.05</v>
      </c>
      <c r="L186" s="287">
        <f t="shared" si="179"/>
        <v>1.05</v>
      </c>
      <c r="M186" s="287">
        <f t="shared" si="179"/>
        <v>1.05</v>
      </c>
      <c r="N186" s="287">
        <f t="shared" si="179"/>
        <v>1.05</v>
      </c>
      <c r="O186" s="287">
        <f t="shared" si="179"/>
        <v>1.05</v>
      </c>
      <c r="P186" s="287">
        <f t="shared" si="179"/>
        <v>1.05</v>
      </c>
      <c r="Q186" s="287">
        <f t="shared" si="179"/>
        <v>1.05</v>
      </c>
      <c r="R186" s="278">
        <f>MAX(TechData_R0!F220,1)</f>
        <v>1</v>
      </c>
      <c r="S186" s="278"/>
      <c r="T186" s="288">
        <v>5</v>
      </c>
      <c r="U186" s="289"/>
    </row>
    <row r="187" spans="1:21" x14ac:dyDescent="0.2">
      <c r="A187" s="256" t="s">
        <v>213</v>
      </c>
      <c r="B187" s="286" t="str">
        <f>TechData_R0!B223</f>
        <v>MINCWWSLS1</v>
      </c>
      <c r="C187" s="286"/>
      <c r="D187" s="286"/>
      <c r="E187" s="278" t="s">
        <v>32</v>
      </c>
      <c r="F187" s="278"/>
      <c r="G187" s="278" t="s">
        <v>33</v>
      </c>
      <c r="H187" s="287">
        <f>TechData_R0!G223</f>
        <v>1.05</v>
      </c>
      <c r="I187" s="287">
        <f t="shared" ref="I187:Q187" si="180">H187</f>
        <v>1.05</v>
      </c>
      <c r="J187" s="287">
        <f t="shared" si="180"/>
        <v>1.05</v>
      </c>
      <c r="K187" s="287">
        <f t="shared" si="180"/>
        <v>1.05</v>
      </c>
      <c r="L187" s="287">
        <f t="shared" si="180"/>
        <v>1.05</v>
      </c>
      <c r="M187" s="287">
        <f t="shared" si="180"/>
        <v>1.05</v>
      </c>
      <c r="N187" s="287">
        <f t="shared" si="180"/>
        <v>1.05</v>
      </c>
      <c r="O187" s="287">
        <f t="shared" si="180"/>
        <v>1.05</v>
      </c>
      <c r="P187" s="287">
        <f t="shared" si="180"/>
        <v>1.05</v>
      </c>
      <c r="Q187" s="287">
        <f t="shared" si="180"/>
        <v>1.05</v>
      </c>
      <c r="R187" s="278">
        <f>MAX(TechData_R0!F222,1)</f>
        <v>1</v>
      </c>
      <c r="S187" s="278"/>
      <c r="T187" s="288">
        <v>5</v>
      </c>
      <c r="U187" s="289"/>
    </row>
    <row r="188" spans="1:21" x14ac:dyDescent="0.2">
      <c r="A188" s="256" t="s">
        <v>214</v>
      </c>
      <c r="B188" s="286" t="str">
        <f>TechData_R0!B224</f>
        <v>MINCWWSLS2</v>
      </c>
      <c r="C188" s="286"/>
      <c r="D188" s="286"/>
      <c r="E188" s="278" t="s">
        <v>32</v>
      </c>
      <c r="F188" s="278"/>
      <c r="G188" s="278" t="s">
        <v>33</v>
      </c>
      <c r="H188" s="287">
        <f>TechData_R0!G224</f>
        <v>1.05</v>
      </c>
      <c r="I188" s="287">
        <f t="shared" ref="I188:Q188" si="181">H188</f>
        <v>1.05</v>
      </c>
      <c r="J188" s="287">
        <f t="shared" si="181"/>
        <v>1.05</v>
      </c>
      <c r="K188" s="287">
        <f t="shared" si="181"/>
        <v>1.05</v>
      </c>
      <c r="L188" s="287">
        <f t="shared" si="181"/>
        <v>1.05</v>
      </c>
      <c r="M188" s="287">
        <f t="shared" si="181"/>
        <v>1.05</v>
      </c>
      <c r="N188" s="287">
        <f t="shared" si="181"/>
        <v>1.05</v>
      </c>
      <c r="O188" s="287">
        <f t="shared" si="181"/>
        <v>1.05</v>
      </c>
      <c r="P188" s="287">
        <f t="shared" si="181"/>
        <v>1.05</v>
      </c>
      <c r="Q188" s="287">
        <f t="shared" si="181"/>
        <v>1.05</v>
      </c>
      <c r="R188" s="278">
        <f>MAX(TechData_R0!F223,1)</f>
        <v>1</v>
      </c>
      <c r="S188" s="278"/>
      <c r="T188" s="288">
        <v>5</v>
      </c>
      <c r="U188" s="289"/>
    </row>
    <row r="189" spans="1:21" x14ac:dyDescent="0.2">
      <c r="A189" s="256" t="s">
        <v>215</v>
      </c>
      <c r="B189" s="286" t="str">
        <f>TechData_R0!B225</f>
        <v>MINCWWSLS3</v>
      </c>
      <c r="C189" s="286"/>
      <c r="D189" s="286"/>
      <c r="E189" s="278" t="s">
        <v>32</v>
      </c>
      <c r="F189" s="278"/>
      <c r="G189" s="278" t="s">
        <v>33</v>
      </c>
      <c r="H189" s="287">
        <f>TechData_R0!G225</f>
        <v>1.05</v>
      </c>
      <c r="I189" s="287">
        <f t="shared" ref="I189:Q189" si="182">H189</f>
        <v>1.05</v>
      </c>
      <c r="J189" s="287">
        <f t="shared" si="182"/>
        <v>1.05</v>
      </c>
      <c r="K189" s="287">
        <f t="shared" si="182"/>
        <v>1.05</v>
      </c>
      <c r="L189" s="287">
        <f t="shared" si="182"/>
        <v>1.05</v>
      </c>
      <c r="M189" s="287">
        <f t="shared" si="182"/>
        <v>1.05</v>
      </c>
      <c r="N189" s="287">
        <f t="shared" si="182"/>
        <v>1.05</v>
      </c>
      <c r="O189" s="287">
        <f t="shared" si="182"/>
        <v>1.05</v>
      </c>
      <c r="P189" s="287">
        <f t="shared" si="182"/>
        <v>1.05</v>
      </c>
      <c r="Q189" s="287">
        <f t="shared" si="182"/>
        <v>1.05</v>
      </c>
      <c r="R189" s="278">
        <f>MAX(TechData_R0!F224,1)</f>
        <v>1</v>
      </c>
      <c r="S189" s="278"/>
      <c r="T189" s="288">
        <v>5</v>
      </c>
      <c r="U189" s="289"/>
    </row>
    <row r="190" spans="1:21" x14ac:dyDescent="0.2">
      <c r="A190" s="256" t="s">
        <v>216</v>
      </c>
      <c r="B190" s="286" t="str">
        <f>TechData_R0!B226</f>
        <v>MINCWWSLS4</v>
      </c>
      <c r="C190" s="286"/>
      <c r="D190" s="286"/>
      <c r="E190" s="278" t="s">
        <v>32</v>
      </c>
      <c r="F190" s="278"/>
      <c r="G190" s="278" t="s">
        <v>33</v>
      </c>
      <c r="H190" s="287">
        <f>TechData_R0!G226</f>
        <v>1.05</v>
      </c>
      <c r="I190" s="287">
        <f t="shared" ref="I190:Q190" si="183">H190</f>
        <v>1.05</v>
      </c>
      <c r="J190" s="287">
        <f t="shared" si="183"/>
        <v>1.05</v>
      </c>
      <c r="K190" s="287">
        <f t="shared" si="183"/>
        <v>1.05</v>
      </c>
      <c r="L190" s="287">
        <f t="shared" si="183"/>
        <v>1.05</v>
      </c>
      <c r="M190" s="287">
        <f t="shared" si="183"/>
        <v>1.05</v>
      </c>
      <c r="N190" s="287">
        <f t="shared" si="183"/>
        <v>1.05</v>
      </c>
      <c r="O190" s="287">
        <f t="shared" si="183"/>
        <v>1.05</v>
      </c>
      <c r="P190" s="287">
        <f t="shared" si="183"/>
        <v>1.05</v>
      </c>
      <c r="Q190" s="287">
        <f t="shared" si="183"/>
        <v>1.05</v>
      </c>
      <c r="R190" s="278">
        <f>MAX(TechData_R0!F225,1)</f>
        <v>1</v>
      </c>
      <c r="S190" s="278"/>
      <c r="T190" s="288">
        <v>5</v>
      </c>
      <c r="U190" s="289"/>
    </row>
    <row r="191" spans="1:21" x14ac:dyDescent="0.2">
      <c r="A191" s="256" t="s">
        <v>217</v>
      </c>
      <c r="B191" s="286" t="str">
        <f>TechData_R0!B227</f>
        <v>MINCWWSLS5</v>
      </c>
      <c r="C191" s="286"/>
      <c r="D191" s="286"/>
      <c r="E191" s="278" t="s">
        <v>32</v>
      </c>
      <c r="F191" s="278"/>
      <c r="G191" s="278" t="s">
        <v>33</v>
      </c>
      <c r="H191" s="287">
        <f>TechData_R0!G227</f>
        <v>1.05</v>
      </c>
      <c r="I191" s="287">
        <f t="shared" ref="I191:Q191" si="184">H191</f>
        <v>1.05</v>
      </c>
      <c r="J191" s="287">
        <f t="shared" si="184"/>
        <v>1.05</v>
      </c>
      <c r="K191" s="287">
        <f t="shared" si="184"/>
        <v>1.05</v>
      </c>
      <c r="L191" s="287">
        <f t="shared" si="184"/>
        <v>1.05</v>
      </c>
      <c r="M191" s="287">
        <f t="shared" si="184"/>
        <v>1.05</v>
      </c>
      <c r="N191" s="287">
        <f t="shared" si="184"/>
        <v>1.05</v>
      </c>
      <c r="O191" s="287">
        <f t="shared" si="184"/>
        <v>1.05</v>
      </c>
      <c r="P191" s="287">
        <f t="shared" si="184"/>
        <v>1.05</v>
      </c>
      <c r="Q191" s="287">
        <f t="shared" si="184"/>
        <v>1.05</v>
      </c>
      <c r="R191" s="278">
        <f>MAX(TechData_R0!F226,1)</f>
        <v>1</v>
      </c>
      <c r="S191" s="278"/>
      <c r="T191" s="288">
        <v>5</v>
      </c>
      <c r="U191" s="289"/>
    </row>
    <row r="192" spans="1:21" x14ac:dyDescent="0.2">
      <c r="A192" s="256" t="s">
        <v>218</v>
      </c>
      <c r="B192" s="286" t="str">
        <f>TechData_R0!B228</f>
        <v>MINCWWSLS6</v>
      </c>
      <c r="C192" s="286"/>
      <c r="D192" s="286"/>
      <c r="E192" s="278" t="s">
        <v>32</v>
      </c>
      <c r="F192" s="278"/>
      <c r="G192" s="278" t="s">
        <v>33</v>
      </c>
      <c r="H192" s="287">
        <f>TechData_R0!G228</f>
        <v>1.05</v>
      </c>
      <c r="I192" s="287">
        <f t="shared" ref="I192:Q192" si="185">H192</f>
        <v>1.05</v>
      </c>
      <c r="J192" s="287">
        <f t="shared" si="185"/>
        <v>1.05</v>
      </c>
      <c r="K192" s="287">
        <f t="shared" si="185"/>
        <v>1.05</v>
      </c>
      <c r="L192" s="287">
        <f t="shared" si="185"/>
        <v>1.05</v>
      </c>
      <c r="M192" s="287">
        <f t="shared" si="185"/>
        <v>1.05</v>
      </c>
      <c r="N192" s="287">
        <f t="shared" si="185"/>
        <v>1.05</v>
      </c>
      <c r="O192" s="287">
        <f t="shared" si="185"/>
        <v>1.05</v>
      </c>
      <c r="P192" s="287">
        <f t="shared" si="185"/>
        <v>1.05</v>
      </c>
      <c r="Q192" s="287">
        <f t="shared" si="185"/>
        <v>1.05</v>
      </c>
      <c r="R192" s="278">
        <f>MAX(TechData_R0!F227,1)</f>
        <v>1</v>
      </c>
      <c r="S192" s="278"/>
      <c r="T192" s="288">
        <v>5</v>
      </c>
      <c r="U192" s="289"/>
    </row>
    <row r="193" spans="1:21" x14ac:dyDescent="0.2">
      <c r="A193" s="256" t="s">
        <v>219</v>
      </c>
      <c r="B193" s="286" t="str">
        <f>TechData_R0!B230</f>
        <v>MINCWWSMS1</v>
      </c>
      <c r="C193" s="286"/>
      <c r="D193" s="286"/>
      <c r="E193" s="278" t="s">
        <v>32</v>
      </c>
      <c r="F193" s="278"/>
      <c r="G193" s="278" t="s">
        <v>33</v>
      </c>
      <c r="H193" s="287">
        <f>TechData_R0!G230</f>
        <v>1.05</v>
      </c>
      <c r="I193" s="287">
        <f t="shared" ref="I193:Q193" si="186">H193</f>
        <v>1.05</v>
      </c>
      <c r="J193" s="287">
        <f t="shared" si="186"/>
        <v>1.05</v>
      </c>
      <c r="K193" s="287">
        <f t="shared" si="186"/>
        <v>1.05</v>
      </c>
      <c r="L193" s="287">
        <f t="shared" si="186"/>
        <v>1.05</v>
      </c>
      <c r="M193" s="287">
        <f t="shared" si="186"/>
        <v>1.05</v>
      </c>
      <c r="N193" s="287">
        <f t="shared" si="186"/>
        <v>1.05</v>
      </c>
      <c r="O193" s="287">
        <f t="shared" si="186"/>
        <v>1.05</v>
      </c>
      <c r="P193" s="287">
        <f t="shared" si="186"/>
        <v>1.05</v>
      </c>
      <c r="Q193" s="287">
        <f t="shared" si="186"/>
        <v>1.05</v>
      </c>
      <c r="R193" s="278">
        <f>MAX(TechData_R0!F229,1)</f>
        <v>1</v>
      </c>
      <c r="S193" s="278"/>
      <c r="T193" s="288">
        <v>5</v>
      </c>
      <c r="U193" s="289"/>
    </row>
    <row r="194" spans="1:21" x14ac:dyDescent="0.2">
      <c r="A194" s="256" t="s">
        <v>220</v>
      </c>
      <c r="B194" s="286" t="str">
        <f>TechData_R0!B231</f>
        <v>MINCWWSMS2</v>
      </c>
      <c r="C194" s="286"/>
      <c r="D194" s="286"/>
      <c r="E194" s="278" t="s">
        <v>32</v>
      </c>
      <c r="F194" s="278"/>
      <c r="G194" s="278" t="s">
        <v>33</v>
      </c>
      <c r="H194" s="287">
        <f>TechData_R0!G231</f>
        <v>1.05</v>
      </c>
      <c r="I194" s="287">
        <f t="shared" ref="I194:Q194" si="187">H194</f>
        <v>1.05</v>
      </c>
      <c r="J194" s="287">
        <f t="shared" si="187"/>
        <v>1.05</v>
      </c>
      <c r="K194" s="287">
        <f t="shared" si="187"/>
        <v>1.05</v>
      </c>
      <c r="L194" s="287">
        <f t="shared" si="187"/>
        <v>1.05</v>
      </c>
      <c r="M194" s="287">
        <f t="shared" si="187"/>
        <v>1.05</v>
      </c>
      <c r="N194" s="287">
        <f t="shared" si="187"/>
        <v>1.05</v>
      </c>
      <c r="O194" s="287">
        <f t="shared" si="187"/>
        <v>1.05</v>
      </c>
      <c r="P194" s="287">
        <f t="shared" si="187"/>
        <v>1.05</v>
      </c>
      <c r="Q194" s="287">
        <f t="shared" si="187"/>
        <v>1.05</v>
      </c>
      <c r="R194" s="278">
        <f>MAX(TechData_R0!F230,1)</f>
        <v>1</v>
      </c>
      <c r="S194" s="278"/>
      <c r="T194" s="288">
        <v>5</v>
      </c>
      <c r="U194" s="289"/>
    </row>
    <row r="195" spans="1:21" x14ac:dyDescent="0.2">
      <c r="A195" s="256" t="s">
        <v>221</v>
      </c>
      <c r="B195" s="286" t="str">
        <f>TechData_R0!B232</f>
        <v>MINCWWSMS3</v>
      </c>
      <c r="C195" s="286"/>
      <c r="D195" s="286"/>
      <c r="E195" s="278" t="s">
        <v>32</v>
      </c>
      <c r="F195" s="278"/>
      <c r="G195" s="278" t="s">
        <v>33</v>
      </c>
      <c r="H195" s="287">
        <f>TechData_R0!G232</f>
        <v>1.05</v>
      </c>
      <c r="I195" s="287">
        <f t="shared" ref="I195:Q195" si="188">H195</f>
        <v>1.05</v>
      </c>
      <c r="J195" s="287">
        <f t="shared" si="188"/>
        <v>1.05</v>
      </c>
      <c r="K195" s="287">
        <f t="shared" si="188"/>
        <v>1.05</v>
      </c>
      <c r="L195" s="287">
        <f t="shared" si="188"/>
        <v>1.05</v>
      </c>
      <c r="M195" s="287">
        <f t="shared" si="188"/>
        <v>1.05</v>
      </c>
      <c r="N195" s="287">
        <f t="shared" si="188"/>
        <v>1.05</v>
      </c>
      <c r="O195" s="287">
        <f t="shared" si="188"/>
        <v>1.05</v>
      </c>
      <c r="P195" s="287">
        <f t="shared" si="188"/>
        <v>1.05</v>
      </c>
      <c r="Q195" s="287">
        <f t="shared" si="188"/>
        <v>1.05</v>
      </c>
      <c r="R195" s="278">
        <f>MAX(TechData_R0!F231,1)</f>
        <v>1</v>
      </c>
      <c r="S195" s="278"/>
      <c r="T195" s="288">
        <v>5</v>
      </c>
      <c r="U195" s="289"/>
    </row>
    <row r="196" spans="1:21" x14ac:dyDescent="0.2">
      <c r="A196" s="256" t="s">
        <v>222</v>
      </c>
      <c r="B196" s="286" t="str">
        <f>TechData_R0!B233</f>
        <v>MINCWWSMS4</v>
      </c>
      <c r="C196" s="286"/>
      <c r="D196" s="286"/>
      <c r="E196" s="278" t="s">
        <v>32</v>
      </c>
      <c r="F196" s="278"/>
      <c r="G196" s="278" t="s">
        <v>33</v>
      </c>
      <c r="H196" s="287">
        <f>TechData_R0!G233</f>
        <v>1.05</v>
      </c>
      <c r="I196" s="287">
        <f t="shared" ref="I196:Q196" si="189">H196</f>
        <v>1.05</v>
      </c>
      <c r="J196" s="287">
        <f t="shared" si="189"/>
        <v>1.05</v>
      </c>
      <c r="K196" s="287">
        <f t="shared" si="189"/>
        <v>1.05</v>
      </c>
      <c r="L196" s="287">
        <f t="shared" si="189"/>
        <v>1.05</v>
      </c>
      <c r="M196" s="287">
        <f t="shared" si="189"/>
        <v>1.05</v>
      </c>
      <c r="N196" s="287">
        <f t="shared" si="189"/>
        <v>1.05</v>
      </c>
      <c r="O196" s="287">
        <f t="shared" si="189"/>
        <v>1.05</v>
      </c>
      <c r="P196" s="287">
        <f t="shared" si="189"/>
        <v>1.05</v>
      </c>
      <c r="Q196" s="287">
        <f t="shared" si="189"/>
        <v>1.05</v>
      </c>
      <c r="R196" s="278">
        <f>MAX(TechData_R0!F232,1)</f>
        <v>1</v>
      </c>
      <c r="S196" s="278"/>
      <c r="T196" s="288">
        <v>5</v>
      </c>
      <c r="U196" s="289"/>
    </row>
    <row r="197" spans="1:21" x14ac:dyDescent="0.2">
      <c r="A197" s="256" t="s">
        <v>223</v>
      </c>
      <c r="B197" s="286" t="str">
        <f>TechData_R0!B234</f>
        <v>MINCWWSMS5</v>
      </c>
      <c r="C197" s="286"/>
      <c r="D197" s="286"/>
      <c r="E197" s="278" t="s">
        <v>32</v>
      </c>
      <c r="F197" s="278"/>
      <c r="G197" s="278" t="s">
        <v>33</v>
      </c>
      <c r="H197" s="287">
        <f>TechData_R0!G234</f>
        <v>1.05</v>
      </c>
      <c r="I197" s="287">
        <f t="shared" ref="I197:Q197" si="190">H197</f>
        <v>1.05</v>
      </c>
      <c r="J197" s="287">
        <f t="shared" si="190"/>
        <v>1.05</v>
      </c>
      <c r="K197" s="287">
        <f t="shared" si="190"/>
        <v>1.05</v>
      </c>
      <c r="L197" s="287">
        <f t="shared" si="190"/>
        <v>1.05</v>
      </c>
      <c r="M197" s="287">
        <f t="shared" si="190"/>
        <v>1.05</v>
      </c>
      <c r="N197" s="287">
        <f t="shared" si="190"/>
        <v>1.05</v>
      </c>
      <c r="O197" s="287">
        <f t="shared" si="190"/>
        <v>1.05</v>
      </c>
      <c r="P197" s="287">
        <f t="shared" si="190"/>
        <v>1.05</v>
      </c>
      <c r="Q197" s="287">
        <f t="shared" si="190"/>
        <v>1.05</v>
      </c>
      <c r="R197" s="278">
        <f>MAX(TechData_R0!F233,1)</f>
        <v>1</v>
      </c>
      <c r="S197" s="278"/>
      <c r="T197" s="288">
        <v>5</v>
      </c>
      <c r="U197" s="289"/>
    </row>
    <row r="198" spans="1:21" x14ac:dyDescent="0.2">
      <c r="A198" s="256" t="s">
        <v>224</v>
      </c>
      <c r="B198" s="286" t="str">
        <f>TechData_R0!B235</f>
        <v>MINCWWSMS6</v>
      </c>
      <c r="C198" s="286"/>
      <c r="D198" s="286"/>
      <c r="E198" s="278" t="s">
        <v>32</v>
      </c>
      <c r="F198" s="278"/>
      <c r="G198" s="278" t="s">
        <v>33</v>
      </c>
      <c r="H198" s="287">
        <f>TechData_R0!G235</f>
        <v>1.05</v>
      </c>
      <c r="I198" s="287">
        <f t="shared" ref="I198:Q198" si="191">H198</f>
        <v>1.05</v>
      </c>
      <c r="J198" s="287">
        <f t="shared" si="191"/>
        <v>1.05</v>
      </c>
      <c r="K198" s="287">
        <f t="shared" si="191"/>
        <v>1.05</v>
      </c>
      <c r="L198" s="287">
        <f t="shared" si="191"/>
        <v>1.05</v>
      </c>
      <c r="M198" s="287">
        <f t="shared" si="191"/>
        <v>1.05</v>
      </c>
      <c r="N198" s="287">
        <f t="shared" si="191"/>
        <v>1.05</v>
      </c>
      <c r="O198" s="287">
        <f t="shared" si="191"/>
        <v>1.05</v>
      </c>
      <c r="P198" s="287">
        <f t="shared" si="191"/>
        <v>1.05</v>
      </c>
      <c r="Q198" s="287">
        <f t="shared" si="191"/>
        <v>1.05</v>
      </c>
      <c r="R198" s="278">
        <f>MAX(TechData_R0!F234,1)</f>
        <v>1.2034542042879866</v>
      </c>
      <c r="S198" s="278"/>
      <c r="T198" s="288">
        <v>5</v>
      </c>
      <c r="U198" s="289"/>
    </row>
    <row r="199" spans="1:21" x14ac:dyDescent="0.2">
      <c r="A199" s="256" t="s">
        <v>225</v>
      </c>
      <c r="B199" s="286" t="str">
        <f>TechData_R0!B237</f>
        <v>MINCRMPLU1</v>
      </c>
      <c r="C199" s="286"/>
      <c r="D199" s="286"/>
      <c r="E199" s="278" t="s">
        <v>32</v>
      </c>
      <c r="F199" s="278"/>
      <c r="G199" s="278" t="s">
        <v>33</v>
      </c>
      <c r="H199" s="287">
        <f>TechData_R0!G237</f>
        <v>1.05</v>
      </c>
      <c r="I199" s="287">
        <f t="shared" ref="I199:Q199" si="192">H199</f>
        <v>1.05</v>
      </c>
      <c r="J199" s="287">
        <f t="shared" si="192"/>
        <v>1.05</v>
      </c>
      <c r="K199" s="287">
        <f t="shared" si="192"/>
        <v>1.05</v>
      </c>
      <c r="L199" s="287">
        <f t="shared" si="192"/>
        <v>1.05</v>
      </c>
      <c r="M199" s="287">
        <f t="shared" si="192"/>
        <v>1.05</v>
      </c>
      <c r="N199" s="287">
        <f t="shared" si="192"/>
        <v>1.05</v>
      </c>
      <c r="O199" s="287">
        <f t="shared" si="192"/>
        <v>1.05</v>
      </c>
      <c r="P199" s="287">
        <f t="shared" si="192"/>
        <v>1.05</v>
      </c>
      <c r="Q199" s="287">
        <f t="shared" si="192"/>
        <v>1.05</v>
      </c>
      <c r="R199" s="278">
        <f>MAX(TechData_R0!F236,1)</f>
        <v>1</v>
      </c>
      <c r="S199" s="278"/>
      <c r="T199" s="288">
        <v>5</v>
      </c>
      <c r="U199" s="289"/>
    </row>
    <row r="200" spans="1:21" x14ac:dyDescent="0.2">
      <c r="A200" s="256" t="s">
        <v>226</v>
      </c>
      <c r="B200" s="286" t="str">
        <f>TechData_R0!B238</f>
        <v>MINCRMPLU2</v>
      </c>
      <c r="C200" s="286"/>
      <c r="D200" s="286"/>
      <c r="E200" s="278" t="s">
        <v>32</v>
      </c>
      <c r="F200" s="278"/>
      <c r="G200" s="278" t="s">
        <v>33</v>
      </c>
      <c r="H200" s="287">
        <f>TechData_R0!G238</f>
        <v>1.05</v>
      </c>
      <c r="I200" s="287">
        <f t="shared" ref="I200:Q200" si="193">H200</f>
        <v>1.05</v>
      </c>
      <c r="J200" s="287">
        <f t="shared" si="193"/>
        <v>1.05</v>
      </c>
      <c r="K200" s="287">
        <f t="shared" si="193"/>
        <v>1.05</v>
      </c>
      <c r="L200" s="287">
        <f t="shared" si="193"/>
        <v>1.05</v>
      </c>
      <c r="M200" s="287">
        <f t="shared" si="193"/>
        <v>1.05</v>
      </c>
      <c r="N200" s="287">
        <f t="shared" si="193"/>
        <v>1.05</v>
      </c>
      <c r="O200" s="287">
        <f t="shared" si="193"/>
        <v>1.05</v>
      </c>
      <c r="P200" s="287">
        <f t="shared" si="193"/>
        <v>1.05</v>
      </c>
      <c r="Q200" s="287">
        <f t="shared" si="193"/>
        <v>1.05</v>
      </c>
      <c r="R200" s="278">
        <f>MAX(TechData_R0!F237,1)</f>
        <v>1</v>
      </c>
      <c r="S200" s="278"/>
      <c r="T200" s="288">
        <v>5</v>
      </c>
      <c r="U200" s="289"/>
    </row>
    <row r="201" spans="1:21" x14ac:dyDescent="0.2">
      <c r="A201" s="256" t="s">
        <v>227</v>
      </c>
      <c r="B201" s="286" t="str">
        <f>TechData_R0!B239</f>
        <v>MINCRMPLU3</v>
      </c>
      <c r="C201" s="286"/>
      <c r="D201" s="286"/>
      <c r="E201" s="278" t="s">
        <v>32</v>
      </c>
      <c r="F201" s="278"/>
      <c r="G201" s="278" t="s">
        <v>33</v>
      </c>
      <c r="H201" s="287">
        <f>TechData_R0!G239</f>
        <v>1.05</v>
      </c>
      <c r="I201" s="287">
        <f t="shared" ref="I201:Q201" si="194">H201</f>
        <v>1.05</v>
      </c>
      <c r="J201" s="287">
        <f t="shared" si="194"/>
        <v>1.05</v>
      </c>
      <c r="K201" s="287">
        <f t="shared" si="194"/>
        <v>1.05</v>
      </c>
      <c r="L201" s="287">
        <f t="shared" si="194"/>
        <v>1.05</v>
      </c>
      <c r="M201" s="287">
        <f t="shared" si="194"/>
        <v>1.05</v>
      </c>
      <c r="N201" s="287">
        <f t="shared" si="194"/>
        <v>1.05</v>
      </c>
      <c r="O201" s="287">
        <f t="shared" si="194"/>
        <v>1.05</v>
      </c>
      <c r="P201" s="287">
        <f t="shared" si="194"/>
        <v>1.05</v>
      </c>
      <c r="Q201" s="287">
        <f t="shared" si="194"/>
        <v>1.05</v>
      </c>
      <c r="R201" s="278">
        <f>MAX(TechData_R0!F238,1)</f>
        <v>1</v>
      </c>
      <c r="S201" s="278"/>
      <c r="T201" s="288">
        <v>5</v>
      </c>
      <c r="U201" s="289"/>
    </row>
    <row r="202" spans="1:21" x14ac:dyDescent="0.2">
      <c r="A202" s="256" t="s">
        <v>228</v>
      </c>
      <c r="B202" s="286" t="str">
        <f>TechData_R0!B240</f>
        <v>MINCRMPLU4</v>
      </c>
      <c r="C202" s="286"/>
      <c r="D202" s="286"/>
      <c r="E202" s="278" t="s">
        <v>32</v>
      </c>
      <c r="F202" s="278"/>
      <c r="G202" s="278" t="s">
        <v>33</v>
      </c>
      <c r="H202" s="287">
        <f>TechData_R0!G240</f>
        <v>1.05</v>
      </c>
      <c r="I202" s="287">
        <f t="shared" ref="I202:Q202" si="195">H202</f>
        <v>1.05</v>
      </c>
      <c r="J202" s="287">
        <f t="shared" si="195"/>
        <v>1.05</v>
      </c>
      <c r="K202" s="287">
        <f t="shared" si="195"/>
        <v>1.05</v>
      </c>
      <c r="L202" s="287">
        <f t="shared" si="195"/>
        <v>1.05</v>
      </c>
      <c r="M202" s="287">
        <f t="shared" si="195"/>
        <v>1.05</v>
      </c>
      <c r="N202" s="287">
        <f t="shared" si="195"/>
        <v>1.05</v>
      </c>
      <c r="O202" s="287">
        <f t="shared" si="195"/>
        <v>1.05</v>
      </c>
      <c r="P202" s="287">
        <f t="shared" si="195"/>
        <v>1.05</v>
      </c>
      <c r="Q202" s="287">
        <f t="shared" si="195"/>
        <v>1.05</v>
      </c>
      <c r="R202" s="278">
        <f>MAX(TechData_R0!F239,1)</f>
        <v>1</v>
      </c>
      <c r="S202" s="278"/>
      <c r="T202" s="288">
        <v>5</v>
      </c>
      <c r="U202" s="289"/>
    </row>
    <row r="203" spans="1:21" x14ac:dyDescent="0.2">
      <c r="A203" s="256" t="s">
        <v>229</v>
      </c>
      <c r="B203" s="286" t="str">
        <f>TechData_R0!B241</f>
        <v>MINCRMPLU5</v>
      </c>
      <c r="C203" s="286"/>
      <c r="D203" s="286"/>
      <c r="E203" s="278" t="s">
        <v>32</v>
      </c>
      <c r="F203" s="278"/>
      <c r="G203" s="278" t="s">
        <v>33</v>
      </c>
      <c r="H203" s="287">
        <f>TechData_R0!G241</f>
        <v>1.05</v>
      </c>
      <c r="I203" s="287">
        <f t="shared" ref="I203:Q203" si="196">H203</f>
        <v>1.05</v>
      </c>
      <c r="J203" s="287">
        <f t="shared" si="196"/>
        <v>1.05</v>
      </c>
      <c r="K203" s="287">
        <f t="shared" si="196"/>
        <v>1.05</v>
      </c>
      <c r="L203" s="287">
        <f t="shared" si="196"/>
        <v>1.05</v>
      </c>
      <c r="M203" s="287">
        <f t="shared" si="196"/>
        <v>1.05</v>
      </c>
      <c r="N203" s="287">
        <f t="shared" si="196"/>
        <v>1.05</v>
      </c>
      <c r="O203" s="287">
        <f t="shared" si="196"/>
        <v>1.05</v>
      </c>
      <c r="P203" s="287">
        <f t="shared" si="196"/>
        <v>1.05</v>
      </c>
      <c r="Q203" s="287">
        <f t="shared" si="196"/>
        <v>1.05</v>
      </c>
      <c r="R203" s="278">
        <f>MAX(TechData_R0!F240,1)</f>
        <v>1</v>
      </c>
      <c r="S203" s="278"/>
      <c r="T203" s="288">
        <v>5</v>
      </c>
      <c r="U203" s="289"/>
    </row>
    <row r="204" spans="1:21" x14ac:dyDescent="0.2">
      <c r="A204" s="256" t="s">
        <v>230</v>
      </c>
      <c r="B204" s="286" t="str">
        <f>TechData_R0!B242</f>
        <v>MINCRMPLU6</v>
      </c>
      <c r="C204" s="286"/>
      <c r="D204" s="286"/>
      <c r="E204" s="278" t="s">
        <v>32</v>
      </c>
      <c r="F204" s="278"/>
      <c r="G204" s="278" t="s">
        <v>33</v>
      </c>
      <c r="H204" s="287">
        <f>TechData_R0!G242</f>
        <v>1.05</v>
      </c>
      <c r="I204" s="287">
        <f t="shared" ref="I204:Q204" si="197">H204</f>
        <v>1.05</v>
      </c>
      <c r="J204" s="287">
        <f t="shared" si="197"/>
        <v>1.05</v>
      </c>
      <c r="K204" s="287">
        <f t="shared" si="197"/>
        <v>1.05</v>
      </c>
      <c r="L204" s="287">
        <f t="shared" si="197"/>
        <v>1.05</v>
      </c>
      <c r="M204" s="287">
        <f t="shared" si="197"/>
        <v>1.05</v>
      </c>
      <c r="N204" s="287">
        <f t="shared" si="197"/>
        <v>1.05</v>
      </c>
      <c r="O204" s="287">
        <f t="shared" si="197"/>
        <v>1.05</v>
      </c>
      <c r="P204" s="287">
        <f t="shared" si="197"/>
        <v>1.05</v>
      </c>
      <c r="Q204" s="287">
        <f t="shared" si="197"/>
        <v>1.05</v>
      </c>
      <c r="R204" s="278">
        <f>MAX(TechData_R0!F241,1)</f>
        <v>1</v>
      </c>
      <c r="S204" s="278"/>
      <c r="T204" s="288">
        <v>5</v>
      </c>
      <c r="U204" s="289"/>
    </row>
    <row r="205" spans="1:21" x14ac:dyDescent="0.2">
      <c r="A205" s="256" t="s">
        <v>231</v>
      </c>
      <c r="B205" s="286" t="str">
        <f>TechData_R0!B244</f>
        <v>MINCRMBLU1</v>
      </c>
      <c r="C205" s="286"/>
      <c r="D205" s="286"/>
      <c r="E205" s="278" t="s">
        <v>32</v>
      </c>
      <c r="F205" s="278"/>
      <c r="G205" s="278" t="s">
        <v>33</v>
      </c>
      <c r="H205" s="287">
        <f>TechData_R0!G244</f>
        <v>1.05</v>
      </c>
      <c r="I205" s="287">
        <f t="shared" ref="I205:Q205" si="198">H205</f>
        <v>1.05</v>
      </c>
      <c r="J205" s="287">
        <f t="shared" si="198"/>
        <v>1.05</v>
      </c>
      <c r="K205" s="287">
        <f t="shared" si="198"/>
        <v>1.05</v>
      </c>
      <c r="L205" s="287">
        <f t="shared" si="198"/>
        <v>1.05</v>
      </c>
      <c r="M205" s="287">
        <f t="shared" si="198"/>
        <v>1.05</v>
      </c>
      <c r="N205" s="287">
        <f t="shared" si="198"/>
        <v>1.05</v>
      </c>
      <c r="O205" s="287">
        <f t="shared" si="198"/>
        <v>1.05</v>
      </c>
      <c r="P205" s="287">
        <f t="shared" si="198"/>
        <v>1.05</v>
      </c>
      <c r="Q205" s="287">
        <f t="shared" si="198"/>
        <v>1.05</v>
      </c>
      <c r="R205" s="278">
        <f>MAX(TechData_R0!F243,1)</f>
        <v>1</v>
      </c>
      <c r="S205" s="278"/>
      <c r="T205" s="288">
        <v>5</v>
      </c>
      <c r="U205" s="289"/>
    </row>
    <row r="206" spans="1:21" x14ac:dyDescent="0.2">
      <c r="A206" s="256" t="s">
        <v>232</v>
      </c>
      <c r="B206" s="286" t="str">
        <f>TechData_R0!B245</f>
        <v>MINCRMBLU2</v>
      </c>
      <c r="C206" s="286"/>
      <c r="D206" s="286"/>
      <c r="E206" s="278" t="s">
        <v>32</v>
      </c>
      <c r="F206" s="278"/>
      <c r="G206" s="278" t="s">
        <v>33</v>
      </c>
      <c r="H206" s="287">
        <f>TechData_R0!G245</f>
        <v>1.05</v>
      </c>
      <c r="I206" s="287">
        <f t="shared" ref="I206:Q206" si="199">H206</f>
        <v>1.05</v>
      </c>
      <c r="J206" s="287">
        <f t="shared" si="199"/>
        <v>1.05</v>
      </c>
      <c r="K206" s="287">
        <f t="shared" si="199"/>
        <v>1.05</v>
      </c>
      <c r="L206" s="287">
        <f t="shared" si="199"/>
        <v>1.05</v>
      </c>
      <c r="M206" s="287">
        <f t="shared" si="199"/>
        <v>1.05</v>
      </c>
      <c r="N206" s="287">
        <f t="shared" si="199"/>
        <v>1.05</v>
      </c>
      <c r="O206" s="287">
        <f t="shared" si="199"/>
        <v>1.05</v>
      </c>
      <c r="P206" s="287">
        <f t="shared" si="199"/>
        <v>1.05</v>
      </c>
      <c r="Q206" s="287">
        <f t="shared" si="199"/>
        <v>1.05</v>
      </c>
      <c r="R206" s="278">
        <f>MAX(TechData_R0!F244,1)</f>
        <v>1</v>
      </c>
      <c r="S206" s="278"/>
      <c r="T206" s="288">
        <v>5</v>
      </c>
      <c r="U206" s="289"/>
    </row>
    <row r="207" spans="1:21" x14ac:dyDescent="0.2">
      <c r="A207" s="256" t="s">
        <v>233</v>
      </c>
      <c r="B207" s="286" t="str">
        <f>TechData_R0!B246</f>
        <v>MINCRMBLU3</v>
      </c>
      <c r="C207" s="286"/>
      <c r="D207" s="286"/>
      <c r="E207" s="278" t="s">
        <v>32</v>
      </c>
      <c r="F207" s="278"/>
      <c r="G207" s="278" t="s">
        <v>33</v>
      </c>
      <c r="H207" s="287">
        <f>TechData_R0!G246</f>
        <v>1.05</v>
      </c>
      <c r="I207" s="287">
        <f t="shared" ref="I207:Q207" si="200">H207</f>
        <v>1.05</v>
      </c>
      <c r="J207" s="287">
        <f t="shared" si="200"/>
        <v>1.05</v>
      </c>
      <c r="K207" s="287">
        <f t="shared" si="200"/>
        <v>1.05</v>
      </c>
      <c r="L207" s="287">
        <f t="shared" si="200"/>
        <v>1.05</v>
      </c>
      <c r="M207" s="287">
        <f t="shared" si="200"/>
        <v>1.05</v>
      </c>
      <c r="N207" s="287">
        <f t="shared" si="200"/>
        <v>1.05</v>
      </c>
      <c r="O207" s="287">
        <f t="shared" si="200"/>
        <v>1.05</v>
      </c>
      <c r="P207" s="287">
        <f t="shared" si="200"/>
        <v>1.05</v>
      </c>
      <c r="Q207" s="287">
        <f t="shared" si="200"/>
        <v>1.05</v>
      </c>
      <c r="R207" s="278">
        <f>MAX(TechData_R0!F245,1)</f>
        <v>1</v>
      </c>
      <c r="S207" s="278"/>
      <c r="T207" s="288">
        <v>5</v>
      </c>
      <c r="U207" s="289"/>
    </row>
    <row r="208" spans="1:21" x14ac:dyDescent="0.2">
      <c r="A208" s="256" t="s">
        <v>234</v>
      </c>
      <c r="B208" s="286" t="str">
        <f>TechData_R0!B247</f>
        <v>MINCRMBLU4</v>
      </c>
      <c r="C208" s="286"/>
      <c r="D208" s="286"/>
      <c r="E208" s="278" t="s">
        <v>32</v>
      </c>
      <c r="F208" s="278"/>
      <c r="G208" s="278" t="s">
        <v>33</v>
      </c>
      <c r="H208" s="287">
        <f>TechData_R0!G247</f>
        <v>1.05</v>
      </c>
      <c r="I208" s="287">
        <f t="shared" ref="I208:Q208" si="201">H208</f>
        <v>1.05</v>
      </c>
      <c r="J208" s="287">
        <f t="shared" si="201"/>
        <v>1.05</v>
      </c>
      <c r="K208" s="287">
        <f t="shared" si="201"/>
        <v>1.05</v>
      </c>
      <c r="L208" s="287">
        <f t="shared" si="201"/>
        <v>1.05</v>
      </c>
      <c r="M208" s="287">
        <f t="shared" si="201"/>
        <v>1.05</v>
      </c>
      <c r="N208" s="287">
        <f t="shared" si="201"/>
        <v>1.05</v>
      </c>
      <c r="O208" s="287">
        <f t="shared" si="201"/>
        <v>1.05</v>
      </c>
      <c r="P208" s="287">
        <f t="shared" si="201"/>
        <v>1.05</v>
      </c>
      <c r="Q208" s="287">
        <f t="shared" si="201"/>
        <v>1.05</v>
      </c>
      <c r="R208" s="278">
        <f>MAX(TechData_R0!F246,1)</f>
        <v>1</v>
      </c>
      <c r="S208" s="278"/>
      <c r="T208" s="288">
        <v>5</v>
      </c>
      <c r="U208" s="289"/>
    </row>
    <row r="209" spans="1:21" x14ac:dyDescent="0.2">
      <c r="A209" s="256" t="s">
        <v>235</v>
      </c>
      <c r="B209" s="286" t="str">
        <f>TechData_R0!B248</f>
        <v>MINCRMBLU5</v>
      </c>
      <c r="C209" s="286"/>
      <c r="D209" s="286"/>
      <c r="E209" s="278" t="s">
        <v>32</v>
      </c>
      <c r="F209" s="278"/>
      <c r="G209" s="278" t="s">
        <v>33</v>
      </c>
      <c r="H209" s="287">
        <f>TechData_R0!G248</f>
        <v>1.05</v>
      </c>
      <c r="I209" s="287">
        <f t="shared" ref="I209:Q209" si="202">H209</f>
        <v>1.05</v>
      </c>
      <c r="J209" s="287">
        <f t="shared" si="202"/>
        <v>1.05</v>
      </c>
      <c r="K209" s="287">
        <f t="shared" si="202"/>
        <v>1.05</v>
      </c>
      <c r="L209" s="287">
        <f t="shared" si="202"/>
        <v>1.05</v>
      </c>
      <c r="M209" s="287">
        <f t="shared" si="202"/>
        <v>1.05</v>
      </c>
      <c r="N209" s="287">
        <f t="shared" si="202"/>
        <v>1.05</v>
      </c>
      <c r="O209" s="287">
        <f t="shared" si="202"/>
        <v>1.05</v>
      </c>
      <c r="P209" s="287">
        <f t="shared" si="202"/>
        <v>1.05</v>
      </c>
      <c r="Q209" s="287">
        <f t="shared" si="202"/>
        <v>1.05</v>
      </c>
      <c r="R209" s="278">
        <f>MAX(TechData_R0!F247,1)</f>
        <v>1</v>
      </c>
      <c r="S209" s="278"/>
      <c r="T209" s="288">
        <v>5</v>
      </c>
      <c r="U209" s="289"/>
    </row>
    <row r="210" spans="1:21" x14ac:dyDescent="0.2">
      <c r="A210" s="256" t="s">
        <v>236</v>
      </c>
      <c r="B210" s="286" t="str">
        <f>TechData_R0!B249</f>
        <v>MINCRMBLU6</v>
      </c>
      <c r="C210" s="286"/>
      <c r="D210" s="286"/>
      <c r="E210" s="278" t="s">
        <v>32</v>
      </c>
      <c r="F210" s="278"/>
      <c r="G210" s="278" t="s">
        <v>33</v>
      </c>
      <c r="H210" s="287">
        <f>TechData_R0!G249</f>
        <v>1.05</v>
      </c>
      <c r="I210" s="287">
        <f t="shared" ref="I210:Q210" si="203">H210</f>
        <v>1.05</v>
      </c>
      <c r="J210" s="287">
        <f t="shared" si="203"/>
        <v>1.05</v>
      </c>
      <c r="K210" s="287">
        <f t="shared" si="203"/>
        <v>1.05</v>
      </c>
      <c r="L210" s="287">
        <f t="shared" si="203"/>
        <v>1.05</v>
      </c>
      <c r="M210" s="287">
        <f t="shared" si="203"/>
        <v>1.05</v>
      </c>
      <c r="N210" s="287">
        <f t="shared" si="203"/>
        <v>1.05</v>
      </c>
      <c r="O210" s="287">
        <f t="shared" si="203"/>
        <v>1.05</v>
      </c>
      <c r="P210" s="287">
        <f t="shared" si="203"/>
        <v>1.05</v>
      </c>
      <c r="Q210" s="287">
        <f t="shared" si="203"/>
        <v>1.05</v>
      </c>
      <c r="R210" s="278">
        <f>MAX(TechData_R0!F248,1)</f>
        <v>9.771096338876573</v>
      </c>
      <c r="S210" s="278"/>
      <c r="T210" s="288">
        <v>5</v>
      </c>
      <c r="U210" s="289"/>
    </row>
    <row r="211" spans="1:21" x14ac:dyDescent="0.2">
      <c r="A211" s="256" t="s">
        <v>237</v>
      </c>
      <c r="B211" s="286" t="str">
        <f>TechData_R0!B251</f>
        <v>MINCRMSLS1</v>
      </c>
      <c r="C211" s="286"/>
      <c r="D211" s="286"/>
      <c r="E211" s="278" t="s">
        <v>32</v>
      </c>
      <c r="F211" s="278"/>
      <c r="G211" s="278" t="s">
        <v>33</v>
      </c>
      <c r="H211" s="287">
        <f>TechData_R0!G251</f>
        <v>1.05</v>
      </c>
      <c r="I211" s="287">
        <f t="shared" ref="I211:Q211" si="204">H211</f>
        <v>1.05</v>
      </c>
      <c r="J211" s="287">
        <f t="shared" si="204"/>
        <v>1.05</v>
      </c>
      <c r="K211" s="287">
        <f t="shared" si="204"/>
        <v>1.05</v>
      </c>
      <c r="L211" s="287">
        <f t="shared" si="204"/>
        <v>1.05</v>
      </c>
      <c r="M211" s="287">
        <f t="shared" si="204"/>
        <v>1.05</v>
      </c>
      <c r="N211" s="287">
        <f t="shared" si="204"/>
        <v>1.05</v>
      </c>
      <c r="O211" s="287">
        <f t="shared" si="204"/>
        <v>1.05</v>
      </c>
      <c r="P211" s="287">
        <f t="shared" si="204"/>
        <v>1.05</v>
      </c>
      <c r="Q211" s="287">
        <f t="shared" si="204"/>
        <v>1.05</v>
      </c>
      <c r="R211" s="278">
        <f>MAX(TechData_R0!F250,1)</f>
        <v>1</v>
      </c>
      <c r="S211" s="278"/>
      <c r="T211" s="288">
        <v>5</v>
      </c>
      <c r="U211" s="289"/>
    </row>
    <row r="212" spans="1:21" x14ac:dyDescent="0.2">
      <c r="A212" s="256" t="s">
        <v>238</v>
      </c>
      <c r="B212" s="286" t="str">
        <f>TechData_R0!B252</f>
        <v>MINCRMSLS2</v>
      </c>
      <c r="C212" s="286"/>
      <c r="D212" s="286"/>
      <c r="E212" s="278" t="s">
        <v>32</v>
      </c>
      <c r="F212" s="278"/>
      <c r="G212" s="278" t="s">
        <v>33</v>
      </c>
      <c r="H212" s="287">
        <f>TechData_R0!G252</f>
        <v>1.05</v>
      </c>
      <c r="I212" s="287">
        <f t="shared" ref="I212:Q212" si="205">H212</f>
        <v>1.05</v>
      </c>
      <c r="J212" s="287">
        <f t="shared" si="205"/>
        <v>1.05</v>
      </c>
      <c r="K212" s="287">
        <f t="shared" si="205"/>
        <v>1.05</v>
      </c>
      <c r="L212" s="287">
        <f t="shared" si="205"/>
        <v>1.05</v>
      </c>
      <c r="M212" s="287">
        <f t="shared" si="205"/>
        <v>1.05</v>
      </c>
      <c r="N212" s="287">
        <f t="shared" si="205"/>
        <v>1.05</v>
      </c>
      <c r="O212" s="287">
        <f t="shared" si="205"/>
        <v>1.05</v>
      </c>
      <c r="P212" s="287">
        <f t="shared" si="205"/>
        <v>1.05</v>
      </c>
      <c r="Q212" s="287">
        <f t="shared" si="205"/>
        <v>1.05</v>
      </c>
      <c r="R212" s="278">
        <f>MAX(TechData_R0!F251,1)</f>
        <v>1</v>
      </c>
      <c r="S212" s="278"/>
      <c r="T212" s="288">
        <v>5</v>
      </c>
      <c r="U212" s="289"/>
    </row>
    <row r="213" spans="1:21" x14ac:dyDescent="0.2">
      <c r="A213" s="256" t="s">
        <v>239</v>
      </c>
      <c r="B213" s="286" t="str">
        <f>TechData_R0!B253</f>
        <v>MINCRMSLS3</v>
      </c>
      <c r="C213" s="286"/>
      <c r="D213" s="286"/>
      <c r="E213" s="278" t="s">
        <v>32</v>
      </c>
      <c r="F213" s="278"/>
      <c r="G213" s="278" t="s">
        <v>33</v>
      </c>
      <c r="H213" s="287">
        <f>TechData_R0!G253</f>
        <v>1.05</v>
      </c>
      <c r="I213" s="287">
        <f t="shared" ref="I213:Q213" si="206">H213</f>
        <v>1.05</v>
      </c>
      <c r="J213" s="287">
        <f t="shared" si="206"/>
        <v>1.05</v>
      </c>
      <c r="K213" s="287">
        <f t="shared" si="206"/>
        <v>1.05</v>
      </c>
      <c r="L213" s="287">
        <f t="shared" si="206"/>
        <v>1.05</v>
      </c>
      <c r="M213" s="287">
        <f t="shared" si="206"/>
        <v>1.05</v>
      </c>
      <c r="N213" s="287">
        <f t="shared" si="206"/>
        <v>1.05</v>
      </c>
      <c r="O213" s="287">
        <f t="shared" si="206"/>
        <v>1.05</v>
      </c>
      <c r="P213" s="287">
        <f t="shared" si="206"/>
        <v>1.05</v>
      </c>
      <c r="Q213" s="287">
        <f t="shared" si="206"/>
        <v>1.05</v>
      </c>
      <c r="R213" s="278">
        <f>MAX(TechData_R0!F252,1)</f>
        <v>1</v>
      </c>
      <c r="S213" s="278"/>
      <c r="T213" s="288">
        <v>5</v>
      </c>
      <c r="U213" s="289"/>
    </row>
    <row r="214" spans="1:21" x14ac:dyDescent="0.2">
      <c r="A214" s="256" t="s">
        <v>240</v>
      </c>
      <c r="B214" s="286" t="str">
        <f>TechData_R0!B254</f>
        <v>MINCRMSLS4</v>
      </c>
      <c r="C214" s="286"/>
      <c r="D214" s="286"/>
      <c r="E214" s="278" t="s">
        <v>32</v>
      </c>
      <c r="F214" s="278"/>
      <c r="G214" s="278" t="s">
        <v>33</v>
      </c>
      <c r="H214" s="287">
        <f>TechData_R0!G254</f>
        <v>1.05</v>
      </c>
      <c r="I214" s="287">
        <f t="shared" ref="I214:Q214" si="207">H214</f>
        <v>1.05</v>
      </c>
      <c r="J214" s="287">
        <f t="shared" si="207"/>
        <v>1.05</v>
      </c>
      <c r="K214" s="287">
        <f t="shared" si="207"/>
        <v>1.05</v>
      </c>
      <c r="L214" s="287">
        <f t="shared" si="207"/>
        <v>1.05</v>
      </c>
      <c r="M214" s="287">
        <f t="shared" si="207"/>
        <v>1.05</v>
      </c>
      <c r="N214" s="287">
        <f t="shared" si="207"/>
        <v>1.05</v>
      </c>
      <c r="O214" s="287">
        <f t="shared" si="207"/>
        <v>1.05</v>
      </c>
      <c r="P214" s="287">
        <f t="shared" si="207"/>
        <v>1.05</v>
      </c>
      <c r="Q214" s="287">
        <f t="shared" si="207"/>
        <v>1.05</v>
      </c>
      <c r="R214" s="278">
        <f>MAX(TechData_R0!F253,1)</f>
        <v>1</v>
      </c>
      <c r="S214" s="278"/>
      <c r="T214" s="288">
        <v>5</v>
      </c>
      <c r="U214" s="289"/>
    </row>
    <row r="215" spans="1:21" x14ac:dyDescent="0.2">
      <c r="A215" s="256" t="s">
        <v>241</v>
      </c>
      <c r="B215" s="286" t="str">
        <f>TechData_R0!B255</f>
        <v>MINCRMSLS5</v>
      </c>
      <c r="C215" s="286"/>
      <c r="D215" s="286"/>
      <c r="E215" s="278" t="s">
        <v>32</v>
      </c>
      <c r="F215" s="278"/>
      <c r="G215" s="278" t="s">
        <v>33</v>
      </c>
      <c r="H215" s="287">
        <f>TechData_R0!G255</f>
        <v>1.05</v>
      </c>
      <c r="I215" s="287">
        <f t="shared" ref="I215:Q215" si="208">H215</f>
        <v>1.05</v>
      </c>
      <c r="J215" s="287">
        <f t="shared" si="208"/>
        <v>1.05</v>
      </c>
      <c r="K215" s="287">
        <f t="shared" si="208"/>
        <v>1.05</v>
      </c>
      <c r="L215" s="287">
        <f t="shared" si="208"/>
        <v>1.05</v>
      </c>
      <c r="M215" s="287">
        <f t="shared" si="208"/>
        <v>1.05</v>
      </c>
      <c r="N215" s="287">
        <f t="shared" si="208"/>
        <v>1.05</v>
      </c>
      <c r="O215" s="287">
        <f t="shared" si="208"/>
        <v>1.05</v>
      </c>
      <c r="P215" s="287">
        <f t="shared" si="208"/>
        <v>1.05</v>
      </c>
      <c r="Q215" s="287">
        <f t="shared" si="208"/>
        <v>1.05</v>
      </c>
      <c r="R215" s="278">
        <f>MAX(TechData_R0!F254,1)</f>
        <v>1</v>
      </c>
      <c r="S215" s="278"/>
      <c r="T215" s="288">
        <v>5</v>
      </c>
      <c r="U215" s="289"/>
    </row>
    <row r="216" spans="1:21" x14ac:dyDescent="0.2">
      <c r="A216" s="256" t="s">
        <v>242</v>
      </c>
      <c r="B216" s="286" t="str">
        <f>TechData_R0!B256</f>
        <v>MINCRMSLS6</v>
      </c>
      <c r="C216" s="286"/>
      <c r="D216" s="286"/>
      <c r="E216" s="278" t="s">
        <v>32</v>
      </c>
      <c r="F216" s="278"/>
      <c r="G216" s="278" t="s">
        <v>33</v>
      </c>
      <c r="H216" s="287">
        <f>TechData_R0!G256</f>
        <v>1.05</v>
      </c>
      <c r="I216" s="287">
        <f t="shared" ref="I216:Q216" si="209">H216</f>
        <v>1.05</v>
      </c>
      <c r="J216" s="287">
        <f t="shared" si="209"/>
        <v>1.05</v>
      </c>
      <c r="K216" s="287">
        <f t="shared" si="209"/>
        <v>1.05</v>
      </c>
      <c r="L216" s="287">
        <f t="shared" si="209"/>
        <v>1.05</v>
      </c>
      <c r="M216" s="287">
        <f t="shared" si="209"/>
        <v>1.05</v>
      </c>
      <c r="N216" s="287">
        <f t="shared" si="209"/>
        <v>1.05</v>
      </c>
      <c r="O216" s="287">
        <f t="shared" si="209"/>
        <v>1.05</v>
      </c>
      <c r="P216" s="287">
        <f t="shared" si="209"/>
        <v>1.05</v>
      </c>
      <c r="Q216" s="287">
        <f t="shared" si="209"/>
        <v>1.05</v>
      </c>
      <c r="R216" s="278">
        <f>MAX(TechData_R0!F255,1)</f>
        <v>1.1203705858213462</v>
      </c>
      <c r="S216" s="278"/>
      <c r="T216" s="288">
        <v>5</v>
      </c>
      <c r="U216" s="289"/>
    </row>
    <row r="217" spans="1:21" x14ac:dyDescent="0.2">
      <c r="A217" s="256" t="s">
        <v>243</v>
      </c>
      <c r="B217" s="286" t="str">
        <f>TechData_R0!B258</f>
        <v>MINCZNBLS1</v>
      </c>
      <c r="C217" s="286"/>
      <c r="D217" s="286"/>
      <c r="E217" s="278" t="s">
        <v>32</v>
      </c>
      <c r="F217" s="278"/>
      <c r="G217" s="278" t="s">
        <v>33</v>
      </c>
      <c r="H217" s="287">
        <f>TechData_R0!G258</f>
        <v>1.05</v>
      </c>
      <c r="I217" s="287">
        <f t="shared" ref="I217:Q217" si="210">H217</f>
        <v>1.05</v>
      </c>
      <c r="J217" s="287">
        <f t="shared" si="210"/>
        <v>1.05</v>
      </c>
      <c r="K217" s="287">
        <f t="shared" si="210"/>
        <v>1.05</v>
      </c>
      <c r="L217" s="287">
        <f t="shared" si="210"/>
        <v>1.05</v>
      </c>
      <c r="M217" s="287">
        <f t="shared" si="210"/>
        <v>1.05</v>
      </c>
      <c r="N217" s="287">
        <f t="shared" si="210"/>
        <v>1.05</v>
      </c>
      <c r="O217" s="287">
        <f t="shared" si="210"/>
        <v>1.05</v>
      </c>
      <c r="P217" s="287">
        <f t="shared" si="210"/>
        <v>1.05</v>
      </c>
      <c r="Q217" s="287">
        <f t="shared" si="210"/>
        <v>1.05</v>
      </c>
      <c r="R217" s="278">
        <f>MAX(TechData_R0!F257,1)</f>
        <v>1</v>
      </c>
      <c r="S217" s="278"/>
      <c r="T217" s="288">
        <v>5</v>
      </c>
      <c r="U217" s="289"/>
    </row>
    <row r="218" spans="1:21" x14ac:dyDescent="0.2">
      <c r="A218" s="256" t="s">
        <v>244</v>
      </c>
      <c r="B218" s="286" t="str">
        <f>TechData_R0!B259</f>
        <v>MINCZNBLS2</v>
      </c>
      <c r="C218" s="286"/>
      <c r="D218" s="286"/>
      <c r="E218" s="278" t="s">
        <v>32</v>
      </c>
      <c r="F218" s="278"/>
      <c r="G218" s="278" t="s">
        <v>33</v>
      </c>
      <c r="H218" s="287">
        <f>TechData_R0!G259</f>
        <v>1.05</v>
      </c>
      <c r="I218" s="287">
        <f t="shared" ref="I218:Q218" si="211">H218</f>
        <v>1.05</v>
      </c>
      <c r="J218" s="287">
        <f t="shared" si="211"/>
        <v>1.05</v>
      </c>
      <c r="K218" s="287">
        <f t="shared" si="211"/>
        <v>1.05</v>
      </c>
      <c r="L218" s="287">
        <f t="shared" si="211"/>
        <v>1.05</v>
      </c>
      <c r="M218" s="287">
        <f t="shared" si="211"/>
        <v>1.05</v>
      </c>
      <c r="N218" s="287">
        <f t="shared" si="211"/>
        <v>1.05</v>
      </c>
      <c r="O218" s="287">
        <f t="shared" si="211"/>
        <v>1.05</v>
      </c>
      <c r="P218" s="287">
        <f t="shared" si="211"/>
        <v>1.05</v>
      </c>
      <c r="Q218" s="287">
        <f t="shared" si="211"/>
        <v>1.05</v>
      </c>
      <c r="R218" s="278">
        <f>MAX(TechData_R0!F258,1)</f>
        <v>1</v>
      </c>
      <c r="S218" s="278"/>
      <c r="T218" s="288">
        <v>5</v>
      </c>
      <c r="U218" s="289"/>
    </row>
    <row r="219" spans="1:21" x14ac:dyDescent="0.2">
      <c r="A219" s="256" t="s">
        <v>245</v>
      </c>
      <c r="B219" s="286" t="str">
        <f>TechData_R0!B260</f>
        <v>MINCZNBLS3</v>
      </c>
      <c r="C219" s="286"/>
      <c r="D219" s="286"/>
      <c r="E219" s="278" t="s">
        <v>32</v>
      </c>
      <c r="F219" s="278"/>
      <c r="G219" s="278" t="s">
        <v>33</v>
      </c>
      <c r="H219" s="287">
        <f>TechData_R0!G260</f>
        <v>1.05</v>
      </c>
      <c r="I219" s="287">
        <f t="shared" ref="I219:Q219" si="212">H219</f>
        <v>1.05</v>
      </c>
      <c r="J219" s="287">
        <f t="shared" si="212"/>
        <v>1.05</v>
      </c>
      <c r="K219" s="287">
        <f t="shared" si="212"/>
        <v>1.05</v>
      </c>
      <c r="L219" s="287">
        <f t="shared" si="212"/>
        <v>1.05</v>
      </c>
      <c r="M219" s="287">
        <f t="shared" si="212"/>
        <v>1.05</v>
      </c>
      <c r="N219" s="287">
        <f t="shared" si="212"/>
        <v>1.05</v>
      </c>
      <c r="O219" s="287">
        <f t="shared" si="212"/>
        <v>1.05</v>
      </c>
      <c r="P219" s="287">
        <f t="shared" si="212"/>
        <v>1.05</v>
      </c>
      <c r="Q219" s="287">
        <f t="shared" si="212"/>
        <v>1.05</v>
      </c>
      <c r="R219" s="278">
        <f>MAX(TechData_R0!F259,1)</f>
        <v>1</v>
      </c>
      <c r="S219" s="278"/>
      <c r="T219" s="288">
        <v>5</v>
      </c>
      <c r="U219" s="289"/>
    </row>
    <row r="220" spans="1:21" x14ac:dyDescent="0.2">
      <c r="A220" s="256" t="s">
        <v>246</v>
      </c>
      <c r="B220" s="286" t="str">
        <f>TechData_R0!B261</f>
        <v>MINCZNBLS4</v>
      </c>
      <c r="C220" s="286"/>
      <c r="D220" s="286"/>
      <c r="E220" s="278" t="s">
        <v>32</v>
      </c>
      <c r="F220" s="278"/>
      <c r="G220" s="278" t="s">
        <v>33</v>
      </c>
      <c r="H220" s="287">
        <f>TechData_R0!G261</f>
        <v>1.05</v>
      </c>
      <c r="I220" s="287">
        <f t="shared" ref="I220:Q220" si="213">H220</f>
        <v>1.05</v>
      </c>
      <c r="J220" s="287">
        <f t="shared" si="213"/>
        <v>1.05</v>
      </c>
      <c r="K220" s="287">
        <f t="shared" si="213"/>
        <v>1.05</v>
      </c>
      <c r="L220" s="287">
        <f t="shared" si="213"/>
        <v>1.05</v>
      </c>
      <c r="M220" s="287">
        <f t="shared" si="213"/>
        <v>1.05</v>
      </c>
      <c r="N220" s="287">
        <f t="shared" si="213"/>
        <v>1.05</v>
      </c>
      <c r="O220" s="287">
        <f t="shared" si="213"/>
        <v>1.05</v>
      </c>
      <c r="P220" s="287">
        <f t="shared" si="213"/>
        <v>1.05</v>
      </c>
      <c r="Q220" s="287">
        <f t="shared" si="213"/>
        <v>1.05</v>
      </c>
      <c r="R220" s="278">
        <f>MAX(TechData_R0!F260,1)</f>
        <v>1</v>
      </c>
      <c r="S220" s="278"/>
      <c r="T220" s="288">
        <v>5</v>
      </c>
      <c r="U220" s="289"/>
    </row>
    <row r="221" spans="1:21" x14ac:dyDescent="0.2">
      <c r="A221" s="256" t="s">
        <v>247</v>
      </c>
      <c r="B221" s="286" t="str">
        <f>TechData_R0!B262</f>
        <v>MINCZNBLS5</v>
      </c>
      <c r="C221" s="286"/>
      <c r="D221" s="286"/>
      <c r="E221" s="278" t="s">
        <v>32</v>
      </c>
      <c r="F221" s="278"/>
      <c r="G221" s="278" t="s">
        <v>33</v>
      </c>
      <c r="H221" s="287">
        <f>TechData_R0!G262</f>
        <v>1.05</v>
      </c>
      <c r="I221" s="287">
        <f t="shared" ref="I221:Q221" si="214">H221</f>
        <v>1.05</v>
      </c>
      <c r="J221" s="287">
        <f t="shared" si="214"/>
        <v>1.05</v>
      </c>
      <c r="K221" s="287">
        <f t="shared" si="214"/>
        <v>1.05</v>
      </c>
      <c r="L221" s="287">
        <f t="shared" si="214"/>
        <v>1.05</v>
      </c>
      <c r="M221" s="287">
        <f t="shared" si="214"/>
        <v>1.05</v>
      </c>
      <c r="N221" s="287">
        <f t="shared" si="214"/>
        <v>1.05</v>
      </c>
      <c r="O221" s="287">
        <f t="shared" si="214"/>
        <v>1.05</v>
      </c>
      <c r="P221" s="287">
        <f t="shared" si="214"/>
        <v>1.05</v>
      </c>
      <c r="Q221" s="287">
        <f t="shared" si="214"/>
        <v>1.05</v>
      </c>
      <c r="R221" s="278">
        <f>MAX(TechData_R0!F261,1)</f>
        <v>1</v>
      </c>
      <c r="S221" s="278"/>
      <c r="T221" s="288">
        <v>5</v>
      </c>
      <c r="U221" s="289"/>
    </row>
    <row r="222" spans="1:21" x14ac:dyDescent="0.2">
      <c r="A222" s="256" t="s">
        <v>248</v>
      </c>
      <c r="B222" s="286" t="str">
        <f>TechData_R0!B263</f>
        <v>MINCZNBLS6</v>
      </c>
      <c r="C222" s="286"/>
      <c r="D222" s="286"/>
      <c r="E222" s="278" t="s">
        <v>32</v>
      </c>
      <c r="F222" s="278"/>
      <c r="G222" s="278" t="s">
        <v>33</v>
      </c>
      <c r="H222" s="287">
        <f>TechData_R0!G263</f>
        <v>1.05</v>
      </c>
      <c r="I222" s="287">
        <f t="shared" ref="I222:Q222" si="215">H222</f>
        <v>1.05</v>
      </c>
      <c r="J222" s="287">
        <f t="shared" si="215"/>
        <v>1.05</v>
      </c>
      <c r="K222" s="287">
        <f t="shared" si="215"/>
        <v>1.05</v>
      </c>
      <c r="L222" s="287">
        <f t="shared" si="215"/>
        <v>1.05</v>
      </c>
      <c r="M222" s="287">
        <f t="shared" si="215"/>
        <v>1.05</v>
      </c>
      <c r="N222" s="287">
        <f t="shared" si="215"/>
        <v>1.05</v>
      </c>
      <c r="O222" s="287">
        <f t="shared" si="215"/>
        <v>1.05</v>
      </c>
      <c r="P222" s="287">
        <f t="shared" si="215"/>
        <v>1.05</v>
      </c>
      <c r="Q222" s="287">
        <f t="shared" si="215"/>
        <v>1.05</v>
      </c>
      <c r="R222" s="278">
        <f>MAX(TechData_R0!F262,1)</f>
        <v>1.7999367715023575</v>
      </c>
      <c r="S222" s="278"/>
      <c r="T222" s="288">
        <v>5</v>
      </c>
      <c r="U222" s="289"/>
    </row>
    <row r="223" spans="1:21" x14ac:dyDescent="0.2">
      <c r="A223" s="256" t="s">
        <v>249</v>
      </c>
      <c r="B223" s="286" t="str">
        <f>TechData_R0!B265</f>
        <v>MINCZNBMU1</v>
      </c>
      <c r="C223" s="286"/>
      <c r="D223" s="286"/>
      <c r="E223" s="278" t="s">
        <v>32</v>
      </c>
      <c r="F223" s="278"/>
      <c r="G223" s="278" t="s">
        <v>33</v>
      </c>
      <c r="H223" s="287">
        <f>TechData_R0!G265</f>
        <v>1.05</v>
      </c>
      <c r="I223" s="287">
        <f t="shared" ref="I223:Q223" si="216">H223</f>
        <v>1.05</v>
      </c>
      <c r="J223" s="287">
        <f t="shared" si="216"/>
        <v>1.05</v>
      </c>
      <c r="K223" s="287">
        <f t="shared" si="216"/>
        <v>1.05</v>
      </c>
      <c r="L223" s="287">
        <f t="shared" si="216"/>
        <v>1.05</v>
      </c>
      <c r="M223" s="287">
        <f t="shared" si="216"/>
        <v>1.05</v>
      </c>
      <c r="N223" s="287">
        <f t="shared" si="216"/>
        <v>1.05</v>
      </c>
      <c r="O223" s="287">
        <f t="shared" si="216"/>
        <v>1.05</v>
      </c>
      <c r="P223" s="287">
        <f t="shared" si="216"/>
        <v>1.05</v>
      </c>
      <c r="Q223" s="287">
        <f t="shared" si="216"/>
        <v>1.05</v>
      </c>
      <c r="R223" s="278">
        <f>MAX(TechData_R0!F264,1)</f>
        <v>1</v>
      </c>
      <c r="S223" s="278"/>
      <c r="T223" s="288">
        <v>5</v>
      </c>
      <c r="U223" s="289"/>
    </row>
    <row r="224" spans="1:21" x14ac:dyDescent="0.2">
      <c r="A224" s="256" t="s">
        <v>250</v>
      </c>
      <c r="B224" s="286" t="str">
        <f>TechData_R0!B266</f>
        <v>MINCZNBMU2</v>
      </c>
      <c r="C224" s="286"/>
      <c r="D224" s="286"/>
      <c r="E224" s="278" t="s">
        <v>32</v>
      </c>
      <c r="F224" s="278"/>
      <c r="G224" s="278" t="s">
        <v>33</v>
      </c>
      <c r="H224" s="287">
        <f>TechData_R0!G266</f>
        <v>1.05</v>
      </c>
      <c r="I224" s="287">
        <f t="shared" ref="I224:Q224" si="217">H224</f>
        <v>1.05</v>
      </c>
      <c r="J224" s="287">
        <f t="shared" si="217"/>
        <v>1.05</v>
      </c>
      <c r="K224" s="287">
        <f t="shared" si="217"/>
        <v>1.05</v>
      </c>
      <c r="L224" s="287">
        <f t="shared" si="217"/>
        <v>1.05</v>
      </c>
      <c r="M224" s="287">
        <f t="shared" si="217"/>
        <v>1.05</v>
      </c>
      <c r="N224" s="287">
        <f t="shared" si="217"/>
        <v>1.05</v>
      </c>
      <c r="O224" s="287">
        <f t="shared" si="217"/>
        <v>1.05</v>
      </c>
      <c r="P224" s="287">
        <f t="shared" si="217"/>
        <v>1.05</v>
      </c>
      <c r="Q224" s="287">
        <f t="shared" si="217"/>
        <v>1.05</v>
      </c>
      <c r="R224" s="278">
        <f>MAX(TechData_R0!F265,1)</f>
        <v>1</v>
      </c>
      <c r="S224" s="278"/>
      <c r="T224" s="288">
        <v>5</v>
      </c>
      <c r="U224" s="289"/>
    </row>
    <row r="225" spans="1:21" x14ac:dyDescent="0.2">
      <c r="A225" s="256" t="s">
        <v>251</v>
      </c>
      <c r="B225" s="286" t="str">
        <f>TechData_R0!B267</f>
        <v>MINCZNBMU3</v>
      </c>
      <c r="C225" s="286"/>
      <c r="D225" s="286"/>
      <c r="E225" s="278" t="s">
        <v>32</v>
      </c>
      <c r="F225" s="278"/>
      <c r="G225" s="278" t="s">
        <v>33</v>
      </c>
      <c r="H225" s="287">
        <f>TechData_R0!G267</f>
        <v>1.05</v>
      </c>
      <c r="I225" s="287">
        <f t="shared" ref="I225:Q225" si="218">H225</f>
        <v>1.05</v>
      </c>
      <c r="J225" s="287">
        <f t="shared" si="218"/>
        <v>1.05</v>
      </c>
      <c r="K225" s="287">
        <f t="shared" si="218"/>
        <v>1.05</v>
      </c>
      <c r="L225" s="287">
        <f t="shared" si="218"/>
        <v>1.05</v>
      </c>
      <c r="M225" s="287">
        <f t="shared" si="218"/>
        <v>1.05</v>
      </c>
      <c r="N225" s="287">
        <f t="shared" si="218"/>
        <v>1.05</v>
      </c>
      <c r="O225" s="287">
        <f t="shared" si="218"/>
        <v>1.05</v>
      </c>
      <c r="P225" s="287">
        <f t="shared" si="218"/>
        <v>1.05</v>
      </c>
      <c r="Q225" s="287">
        <f t="shared" si="218"/>
        <v>1.05</v>
      </c>
      <c r="R225" s="278">
        <f>MAX(TechData_R0!F266,1)</f>
        <v>1</v>
      </c>
      <c r="S225" s="278"/>
      <c r="T225" s="288">
        <v>5</v>
      </c>
      <c r="U225" s="289"/>
    </row>
    <row r="226" spans="1:21" x14ac:dyDescent="0.2">
      <c r="A226" s="256" t="s">
        <v>252</v>
      </c>
      <c r="B226" s="286" t="str">
        <f>TechData_R0!B268</f>
        <v>MINCZNBMU4</v>
      </c>
      <c r="C226" s="286"/>
      <c r="D226" s="286"/>
      <c r="E226" s="278" t="s">
        <v>32</v>
      </c>
      <c r="F226" s="278"/>
      <c r="G226" s="278" t="s">
        <v>33</v>
      </c>
      <c r="H226" s="287">
        <f>TechData_R0!G268</f>
        <v>1.05</v>
      </c>
      <c r="I226" s="287">
        <f t="shared" ref="I226:Q226" si="219">H226</f>
        <v>1.05</v>
      </c>
      <c r="J226" s="287">
        <f t="shared" si="219"/>
        <v>1.05</v>
      </c>
      <c r="K226" s="287">
        <f t="shared" si="219"/>
        <v>1.05</v>
      </c>
      <c r="L226" s="287">
        <f t="shared" si="219"/>
        <v>1.05</v>
      </c>
      <c r="M226" s="287">
        <f t="shared" si="219"/>
        <v>1.05</v>
      </c>
      <c r="N226" s="287">
        <f t="shared" si="219"/>
        <v>1.05</v>
      </c>
      <c r="O226" s="287">
        <f t="shared" si="219"/>
        <v>1.05</v>
      </c>
      <c r="P226" s="287">
        <f t="shared" si="219"/>
        <v>1.05</v>
      </c>
      <c r="Q226" s="287">
        <f t="shared" si="219"/>
        <v>1.05</v>
      </c>
      <c r="R226" s="278">
        <f>MAX(TechData_R0!F267,1)</f>
        <v>1</v>
      </c>
      <c r="S226" s="278"/>
      <c r="T226" s="288">
        <v>5</v>
      </c>
      <c r="U226" s="289"/>
    </row>
    <row r="227" spans="1:21" x14ac:dyDescent="0.2">
      <c r="A227" s="256" t="s">
        <v>253</v>
      </c>
      <c r="B227" s="286" t="str">
        <f>TechData_R0!B269</f>
        <v>MINCZNBMU5</v>
      </c>
      <c r="C227" s="286"/>
      <c r="D227" s="286"/>
      <c r="E227" s="278" t="s">
        <v>32</v>
      </c>
      <c r="F227" s="278"/>
      <c r="G227" s="278" t="s">
        <v>33</v>
      </c>
      <c r="H227" s="287">
        <f>TechData_R0!G269</f>
        <v>1.05</v>
      </c>
      <c r="I227" s="287">
        <f t="shared" ref="I227:Q227" si="220">H227</f>
        <v>1.05</v>
      </c>
      <c r="J227" s="287">
        <f t="shared" si="220"/>
        <v>1.05</v>
      </c>
      <c r="K227" s="287">
        <f t="shared" si="220"/>
        <v>1.05</v>
      </c>
      <c r="L227" s="287">
        <f t="shared" si="220"/>
        <v>1.05</v>
      </c>
      <c r="M227" s="287">
        <f t="shared" si="220"/>
        <v>1.05</v>
      </c>
      <c r="N227" s="287">
        <f t="shared" si="220"/>
        <v>1.05</v>
      </c>
      <c r="O227" s="287">
        <f t="shared" si="220"/>
        <v>1.05</v>
      </c>
      <c r="P227" s="287">
        <f t="shared" si="220"/>
        <v>1.05</v>
      </c>
      <c r="Q227" s="287">
        <f t="shared" si="220"/>
        <v>1.05</v>
      </c>
      <c r="R227" s="278">
        <f>MAX(TechData_R0!F268,1)</f>
        <v>1</v>
      </c>
      <c r="S227" s="278"/>
      <c r="T227" s="288">
        <v>5</v>
      </c>
      <c r="U227" s="289"/>
    </row>
    <row r="228" spans="1:21" x14ac:dyDescent="0.2">
      <c r="A228" s="256" t="s">
        <v>254</v>
      </c>
      <c r="B228" s="286" t="str">
        <f>TechData_R0!B270</f>
        <v>MINCZNBMU6</v>
      </c>
      <c r="C228" s="286"/>
      <c r="D228" s="286"/>
      <c r="E228" s="278" t="s">
        <v>32</v>
      </c>
      <c r="F228" s="278"/>
      <c r="G228" s="278" t="s">
        <v>33</v>
      </c>
      <c r="H228" s="287">
        <f>TechData_R0!G270</f>
        <v>1.05</v>
      </c>
      <c r="I228" s="287">
        <f t="shared" ref="I228:Q228" si="221">H228</f>
        <v>1.05</v>
      </c>
      <c r="J228" s="287">
        <f t="shared" si="221"/>
        <v>1.05</v>
      </c>
      <c r="K228" s="287">
        <f t="shared" si="221"/>
        <v>1.05</v>
      </c>
      <c r="L228" s="287">
        <f t="shared" si="221"/>
        <v>1.05</v>
      </c>
      <c r="M228" s="287">
        <f t="shared" si="221"/>
        <v>1.05</v>
      </c>
      <c r="N228" s="287">
        <f t="shared" si="221"/>
        <v>1.05</v>
      </c>
      <c r="O228" s="287">
        <f t="shared" si="221"/>
        <v>1.05</v>
      </c>
      <c r="P228" s="287">
        <f t="shared" si="221"/>
        <v>1.05</v>
      </c>
      <c r="Q228" s="287">
        <f t="shared" si="221"/>
        <v>1.05</v>
      </c>
      <c r="R228" s="278">
        <f>MAX(TechData_R0!F269,1)</f>
        <v>1</v>
      </c>
      <c r="S228" s="278"/>
      <c r="T228" s="288">
        <v>5</v>
      </c>
      <c r="U228" s="289"/>
    </row>
    <row r="229" spans="1:21" x14ac:dyDescent="0.2">
      <c r="A229" s="256" t="s">
        <v>255</v>
      </c>
      <c r="B229" s="286" t="str">
        <f>TechData_R0!B272</f>
        <v>MINCZNSMS1</v>
      </c>
      <c r="C229" s="286"/>
      <c r="D229" s="286"/>
      <c r="E229" s="278" t="s">
        <v>32</v>
      </c>
      <c r="F229" s="278"/>
      <c r="G229" s="278" t="s">
        <v>33</v>
      </c>
      <c r="H229" s="287">
        <f>TechData_R0!G272</f>
        <v>1.05</v>
      </c>
      <c r="I229" s="287">
        <f t="shared" ref="I229:Q229" si="222">H229</f>
        <v>1.05</v>
      </c>
      <c r="J229" s="287">
        <f t="shared" si="222"/>
        <v>1.05</v>
      </c>
      <c r="K229" s="287">
        <f t="shared" si="222"/>
        <v>1.05</v>
      </c>
      <c r="L229" s="287">
        <f t="shared" si="222"/>
        <v>1.05</v>
      </c>
      <c r="M229" s="287">
        <f t="shared" si="222"/>
        <v>1.05</v>
      </c>
      <c r="N229" s="287">
        <f t="shared" si="222"/>
        <v>1.05</v>
      </c>
      <c r="O229" s="287">
        <f t="shared" si="222"/>
        <v>1.05</v>
      </c>
      <c r="P229" s="287">
        <f t="shared" si="222"/>
        <v>1.05</v>
      </c>
      <c r="Q229" s="287">
        <f t="shared" si="222"/>
        <v>1.05</v>
      </c>
      <c r="R229" s="278">
        <f>MAX(TechData_R0!F271,1)</f>
        <v>1</v>
      </c>
      <c r="S229" s="278"/>
      <c r="T229" s="288">
        <v>5</v>
      </c>
      <c r="U229" s="289"/>
    </row>
    <row r="230" spans="1:21" x14ac:dyDescent="0.2">
      <c r="A230" s="256" t="s">
        <v>256</v>
      </c>
      <c r="B230" s="286" t="str">
        <f>TechData_R0!B273</f>
        <v>MINCZNSMS2</v>
      </c>
      <c r="C230" s="286"/>
      <c r="D230" s="286"/>
      <c r="E230" s="278" t="s">
        <v>32</v>
      </c>
      <c r="F230" s="278"/>
      <c r="G230" s="278" t="s">
        <v>33</v>
      </c>
      <c r="H230" s="287">
        <f>TechData_R0!G273</f>
        <v>1.05</v>
      </c>
      <c r="I230" s="287">
        <f t="shared" ref="I230:Q230" si="223">H230</f>
        <v>1.05</v>
      </c>
      <c r="J230" s="287">
        <f t="shared" si="223"/>
        <v>1.05</v>
      </c>
      <c r="K230" s="287">
        <f t="shared" si="223"/>
        <v>1.05</v>
      </c>
      <c r="L230" s="287">
        <f t="shared" si="223"/>
        <v>1.05</v>
      </c>
      <c r="M230" s="287">
        <f t="shared" si="223"/>
        <v>1.05</v>
      </c>
      <c r="N230" s="287">
        <f t="shared" si="223"/>
        <v>1.05</v>
      </c>
      <c r="O230" s="287">
        <f t="shared" si="223"/>
        <v>1.05</v>
      </c>
      <c r="P230" s="287">
        <f t="shared" si="223"/>
        <v>1.05</v>
      </c>
      <c r="Q230" s="287">
        <f t="shared" si="223"/>
        <v>1.05</v>
      </c>
      <c r="R230" s="278">
        <f>MAX(TechData_R0!F272,1)</f>
        <v>1</v>
      </c>
      <c r="S230" s="278"/>
      <c r="T230" s="288">
        <v>5</v>
      </c>
      <c r="U230" s="289"/>
    </row>
    <row r="231" spans="1:21" x14ac:dyDescent="0.2">
      <c r="A231" s="256" t="s">
        <v>257</v>
      </c>
      <c r="B231" s="286" t="str">
        <f>TechData_R0!B274</f>
        <v>MINCZNSMS3</v>
      </c>
      <c r="C231" s="286"/>
      <c r="D231" s="286"/>
      <c r="E231" s="278" t="s">
        <v>32</v>
      </c>
      <c r="F231" s="278"/>
      <c r="G231" s="278" t="s">
        <v>33</v>
      </c>
      <c r="H231" s="287">
        <f>TechData_R0!G274</f>
        <v>1.05</v>
      </c>
      <c r="I231" s="287">
        <f t="shared" ref="I231:Q231" si="224">H231</f>
        <v>1.05</v>
      </c>
      <c r="J231" s="287">
        <f t="shared" si="224"/>
        <v>1.05</v>
      </c>
      <c r="K231" s="287">
        <f t="shared" si="224"/>
        <v>1.05</v>
      </c>
      <c r="L231" s="287">
        <f t="shared" si="224"/>
        <v>1.05</v>
      </c>
      <c r="M231" s="287">
        <f t="shared" si="224"/>
        <v>1.05</v>
      </c>
      <c r="N231" s="287">
        <f t="shared" si="224"/>
        <v>1.05</v>
      </c>
      <c r="O231" s="287">
        <f t="shared" si="224"/>
        <v>1.05</v>
      </c>
      <c r="P231" s="287">
        <f t="shared" si="224"/>
        <v>1.05</v>
      </c>
      <c r="Q231" s="287">
        <f t="shared" si="224"/>
        <v>1.05</v>
      </c>
      <c r="R231" s="278">
        <f>MAX(TechData_R0!F273,1)</f>
        <v>1</v>
      </c>
      <c r="S231" s="278"/>
      <c r="T231" s="288">
        <v>5</v>
      </c>
      <c r="U231" s="289"/>
    </row>
    <row r="232" spans="1:21" x14ac:dyDescent="0.2">
      <c r="A232" s="256" t="s">
        <v>258</v>
      </c>
      <c r="B232" s="286" t="str">
        <f>TechData_R0!B275</f>
        <v>MINCZNSMS4</v>
      </c>
      <c r="C232" s="286"/>
      <c r="D232" s="286"/>
      <c r="E232" s="278" t="s">
        <v>32</v>
      </c>
      <c r="F232" s="278"/>
      <c r="G232" s="278" t="s">
        <v>33</v>
      </c>
      <c r="H232" s="287">
        <f>TechData_R0!G275</f>
        <v>1.05</v>
      </c>
      <c r="I232" s="287">
        <f t="shared" ref="I232:Q232" si="225">H232</f>
        <v>1.05</v>
      </c>
      <c r="J232" s="287">
        <f t="shared" si="225"/>
        <v>1.05</v>
      </c>
      <c r="K232" s="287">
        <f t="shared" si="225"/>
        <v>1.05</v>
      </c>
      <c r="L232" s="287">
        <f t="shared" si="225"/>
        <v>1.05</v>
      </c>
      <c r="M232" s="287">
        <f t="shared" si="225"/>
        <v>1.05</v>
      </c>
      <c r="N232" s="287">
        <f t="shared" si="225"/>
        <v>1.05</v>
      </c>
      <c r="O232" s="287">
        <f t="shared" si="225"/>
        <v>1.05</v>
      </c>
      <c r="P232" s="287">
        <f t="shared" si="225"/>
        <v>1.05</v>
      </c>
      <c r="Q232" s="287">
        <f t="shared" si="225"/>
        <v>1.05</v>
      </c>
      <c r="R232" s="278">
        <f>MAX(TechData_R0!F274,1)</f>
        <v>1</v>
      </c>
      <c r="S232" s="278"/>
      <c r="T232" s="288">
        <v>5</v>
      </c>
      <c r="U232" s="289"/>
    </row>
    <row r="233" spans="1:21" x14ac:dyDescent="0.2">
      <c r="A233" s="256" t="s">
        <v>259</v>
      </c>
      <c r="B233" s="286" t="str">
        <f>TechData_R0!B276</f>
        <v>MINCZNSMS5</v>
      </c>
      <c r="C233" s="286"/>
      <c r="D233" s="286"/>
      <c r="E233" s="278" t="s">
        <v>32</v>
      </c>
      <c r="F233" s="278"/>
      <c r="G233" s="278" t="s">
        <v>33</v>
      </c>
      <c r="H233" s="287">
        <f>TechData_R0!G276</f>
        <v>1.05</v>
      </c>
      <c r="I233" s="287">
        <f t="shared" ref="I233:Q233" si="226">H233</f>
        <v>1.05</v>
      </c>
      <c r="J233" s="287">
        <f t="shared" si="226"/>
        <v>1.05</v>
      </c>
      <c r="K233" s="287">
        <f t="shared" si="226"/>
        <v>1.05</v>
      </c>
      <c r="L233" s="287">
        <f t="shared" si="226"/>
        <v>1.05</v>
      </c>
      <c r="M233" s="287">
        <f t="shared" si="226"/>
        <v>1.05</v>
      </c>
      <c r="N233" s="287">
        <f t="shared" si="226"/>
        <v>1.05</v>
      </c>
      <c r="O233" s="287">
        <f t="shared" si="226"/>
        <v>1.05</v>
      </c>
      <c r="P233" s="287">
        <f t="shared" si="226"/>
        <v>1.05</v>
      </c>
      <c r="Q233" s="287">
        <f t="shared" si="226"/>
        <v>1.05</v>
      </c>
      <c r="R233" s="278">
        <f>MAX(TechData_R0!F275,1)</f>
        <v>1</v>
      </c>
      <c r="S233" s="278"/>
      <c r="T233" s="288">
        <v>5</v>
      </c>
      <c r="U233" s="289"/>
    </row>
    <row r="234" spans="1:21" x14ac:dyDescent="0.2">
      <c r="A234" s="256" t="s">
        <v>260</v>
      </c>
      <c r="B234" s="286" t="str">
        <f>TechData_R0!B277</f>
        <v>MINCZNSMS6</v>
      </c>
      <c r="C234" s="286"/>
      <c r="D234" s="286"/>
      <c r="E234" s="278" t="s">
        <v>32</v>
      </c>
      <c r="F234" s="278"/>
      <c r="G234" s="278" t="s">
        <v>33</v>
      </c>
      <c r="H234" s="287">
        <f>TechData_R0!G277</f>
        <v>1.05</v>
      </c>
      <c r="I234" s="287">
        <f t="shared" ref="I234:Q234" si="227">H234</f>
        <v>1.05</v>
      </c>
      <c r="J234" s="287">
        <f t="shared" si="227"/>
        <v>1.05</v>
      </c>
      <c r="K234" s="287">
        <f t="shared" si="227"/>
        <v>1.05</v>
      </c>
      <c r="L234" s="287">
        <f t="shared" si="227"/>
        <v>1.05</v>
      </c>
      <c r="M234" s="287">
        <f t="shared" si="227"/>
        <v>1.05</v>
      </c>
      <c r="N234" s="287">
        <f t="shared" si="227"/>
        <v>1.05</v>
      </c>
      <c r="O234" s="287">
        <f t="shared" si="227"/>
        <v>1.05</v>
      </c>
      <c r="P234" s="287">
        <f t="shared" si="227"/>
        <v>1.05</v>
      </c>
      <c r="Q234" s="287">
        <f t="shared" si="227"/>
        <v>1.05</v>
      </c>
      <c r="R234" s="278">
        <f>MAX(TechData_R0!F276,1)</f>
        <v>3.3898462901294111</v>
      </c>
      <c r="S234" s="278"/>
      <c r="T234" s="288">
        <v>5</v>
      </c>
      <c r="U234" s="289"/>
    </row>
    <row r="235" spans="1:21" x14ac:dyDescent="0.2">
      <c r="A235" s="256" t="s">
        <v>261</v>
      </c>
      <c r="B235" s="286" t="str">
        <f>TechData_R0!B279</f>
        <v>MINCPCSLS1</v>
      </c>
      <c r="C235" s="286"/>
      <c r="D235" s="286"/>
      <c r="E235" s="278" t="s">
        <v>32</v>
      </c>
      <c r="F235" s="278"/>
      <c r="G235" s="278" t="s">
        <v>33</v>
      </c>
      <c r="H235" s="287">
        <f>TechData_R0!G279</f>
        <v>1.05</v>
      </c>
      <c r="I235" s="287">
        <f t="shared" ref="I235:Q235" si="228">H235</f>
        <v>1.05</v>
      </c>
      <c r="J235" s="287">
        <f t="shared" si="228"/>
        <v>1.05</v>
      </c>
      <c r="K235" s="287">
        <f t="shared" si="228"/>
        <v>1.05</v>
      </c>
      <c r="L235" s="287">
        <f t="shared" si="228"/>
        <v>1.05</v>
      </c>
      <c r="M235" s="287">
        <f t="shared" si="228"/>
        <v>1.05</v>
      </c>
      <c r="N235" s="287">
        <f t="shared" si="228"/>
        <v>1.05</v>
      </c>
      <c r="O235" s="287">
        <f t="shared" si="228"/>
        <v>1.05</v>
      </c>
      <c r="P235" s="287">
        <f t="shared" si="228"/>
        <v>1.05</v>
      </c>
      <c r="Q235" s="287">
        <f t="shared" si="228"/>
        <v>1.05</v>
      </c>
      <c r="R235" s="278">
        <f>MAX(TechData_R0!F278,1)</f>
        <v>1</v>
      </c>
      <c r="S235" s="278"/>
      <c r="T235" s="288">
        <v>5</v>
      </c>
      <c r="U235" s="289"/>
    </row>
    <row r="236" spans="1:21" x14ac:dyDescent="0.2">
      <c r="A236" s="256" t="s">
        <v>262</v>
      </c>
      <c r="B236" s="286" t="str">
        <f>TechData_R0!B280</f>
        <v>MINCPCSLS2</v>
      </c>
      <c r="C236" s="286"/>
      <c r="D236" s="286"/>
      <c r="E236" s="278" t="s">
        <v>32</v>
      </c>
      <c r="F236" s="278"/>
      <c r="G236" s="278" t="s">
        <v>33</v>
      </c>
      <c r="H236" s="287">
        <f>TechData_R0!G280</f>
        <v>1.05</v>
      </c>
      <c r="I236" s="287">
        <f t="shared" ref="I236:Q236" si="229">H236</f>
        <v>1.05</v>
      </c>
      <c r="J236" s="287">
        <f t="shared" si="229"/>
        <v>1.05</v>
      </c>
      <c r="K236" s="287">
        <f t="shared" si="229"/>
        <v>1.05</v>
      </c>
      <c r="L236" s="287">
        <f t="shared" si="229"/>
        <v>1.05</v>
      </c>
      <c r="M236" s="287">
        <f t="shared" si="229"/>
        <v>1.05</v>
      </c>
      <c r="N236" s="287">
        <f t="shared" si="229"/>
        <v>1.05</v>
      </c>
      <c r="O236" s="287">
        <f t="shared" si="229"/>
        <v>1.05</v>
      </c>
      <c r="P236" s="287">
        <f t="shared" si="229"/>
        <v>1.05</v>
      </c>
      <c r="Q236" s="287">
        <f t="shared" si="229"/>
        <v>1.05</v>
      </c>
      <c r="R236" s="278">
        <f>MAX(TechData_R0!F279,1)</f>
        <v>1</v>
      </c>
      <c r="S236" s="278"/>
      <c r="T236" s="288">
        <v>5</v>
      </c>
      <c r="U236" s="289"/>
    </row>
    <row r="237" spans="1:21" x14ac:dyDescent="0.2">
      <c r="A237" s="256" t="s">
        <v>263</v>
      </c>
      <c r="B237" s="286" t="str">
        <f>TechData_R0!B281</f>
        <v>MINCPCSLS3</v>
      </c>
      <c r="C237" s="286"/>
      <c r="D237" s="286"/>
      <c r="E237" s="278" t="s">
        <v>32</v>
      </c>
      <c r="F237" s="278"/>
      <c r="G237" s="278" t="s">
        <v>33</v>
      </c>
      <c r="H237" s="287">
        <f>TechData_R0!G281</f>
        <v>1.05</v>
      </c>
      <c r="I237" s="287">
        <f t="shared" ref="I237:Q237" si="230">H237</f>
        <v>1.05</v>
      </c>
      <c r="J237" s="287">
        <f t="shared" si="230"/>
        <v>1.05</v>
      </c>
      <c r="K237" s="287">
        <f t="shared" si="230"/>
        <v>1.05</v>
      </c>
      <c r="L237" s="287">
        <f t="shared" si="230"/>
        <v>1.05</v>
      </c>
      <c r="M237" s="287">
        <f t="shared" si="230"/>
        <v>1.05</v>
      </c>
      <c r="N237" s="287">
        <f t="shared" si="230"/>
        <v>1.05</v>
      </c>
      <c r="O237" s="287">
        <f t="shared" si="230"/>
        <v>1.05</v>
      </c>
      <c r="P237" s="287">
        <f t="shared" si="230"/>
        <v>1.05</v>
      </c>
      <c r="Q237" s="287">
        <f t="shared" si="230"/>
        <v>1.05</v>
      </c>
      <c r="R237" s="278">
        <f>MAX(TechData_R0!F280,1)</f>
        <v>1</v>
      </c>
      <c r="S237" s="278"/>
      <c r="T237" s="288">
        <v>5</v>
      </c>
      <c r="U237" s="289"/>
    </row>
    <row r="238" spans="1:21" x14ac:dyDescent="0.2">
      <c r="A238" s="256" t="s">
        <v>264</v>
      </c>
      <c r="B238" s="286" t="str">
        <f>TechData_R0!B282</f>
        <v>MINCPCSLS4</v>
      </c>
      <c r="C238" s="286"/>
      <c r="D238" s="286"/>
      <c r="E238" s="278" t="s">
        <v>32</v>
      </c>
      <c r="F238" s="278"/>
      <c r="G238" s="278" t="s">
        <v>33</v>
      </c>
      <c r="H238" s="287">
        <f>TechData_R0!G282</f>
        <v>1.05</v>
      </c>
      <c r="I238" s="287">
        <f t="shared" ref="I238:Q238" si="231">H238</f>
        <v>1.05</v>
      </c>
      <c r="J238" s="287">
        <f t="shared" si="231"/>
        <v>1.05</v>
      </c>
      <c r="K238" s="287">
        <f t="shared" si="231"/>
        <v>1.05</v>
      </c>
      <c r="L238" s="287">
        <f t="shared" si="231"/>
        <v>1.05</v>
      </c>
      <c r="M238" s="287">
        <f t="shared" si="231"/>
        <v>1.05</v>
      </c>
      <c r="N238" s="287">
        <f t="shared" si="231"/>
        <v>1.05</v>
      </c>
      <c r="O238" s="287">
        <f t="shared" si="231"/>
        <v>1.05</v>
      </c>
      <c r="P238" s="287">
        <f t="shared" si="231"/>
        <v>1.05</v>
      </c>
      <c r="Q238" s="287">
        <f t="shared" si="231"/>
        <v>1.05</v>
      </c>
      <c r="R238" s="278">
        <f>MAX(TechData_R0!F281,1)</f>
        <v>1</v>
      </c>
      <c r="S238" s="278"/>
      <c r="T238" s="288">
        <v>5</v>
      </c>
      <c r="U238" s="289"/>
    </row>
    <row r="239" spans="1:21" x14ac:dyDescent="0.2">
      <c r="A239" s="256" t="s">
        <v>265</v>
      </c>
      <c r="B239" s="286" t="str">
        <f>TechData_R0!B283</f>
        <v>MINCPCSLS5</v>
      </c>
      <c r="C239" s="286"/>
      <c r="D239" s="286"/>
      <c r="E239" s="278" t="s">
        <v>32</v>
      </c>
      <c r="F239" s="278"/>
      <c r="G239" s="278" t="s">
        <v>33</v>
      </c>
      <c r="H239" s="287">
        <f>TechData_R0!G283</f>
        <v>1.05</v>
      </c>
      <c r="I239" s="287">
        <f t="shared" ref="I239:Q239" si="232">H239</f>
        <v>1.05</v>
      </c>
      <c r="J239" s="287">
        <f t="shared" si="232"/>
        <v>1.05</v>
      </c>
      <c r="K239" s="287">
        <f t="shared" si="232"/>
        <v>1.05</v>
      </c>
      <c r="L239" s="287">
        <f t="shared" si="232"/>
        <v>1.05</v>
      </c>
      <c r="M239" s="287">
        <f t="shared" si="232"/>
        <v>1.05</v>
      </c>
      <c r="N239" s="287">
        <f t="shared" si="232"/>
        <v>1.05</v>
      </c>
      <c r="O239" s="287">
        <f t="shared" si="232"/>
        <v>1.05</v>
      </c>
      <c r="P239" s="287">
        <f t="shared" si="232"/>
        <v>1.05</v>
      </c>
      <c r="Q239" s="287">
        <f t="shared" si="232"/>
        <v>1.05</v>
      </c>
      <c r="R239" s="278">
        <f>MAX(TechData_R0!F282,1)</f>
        <v>1</v>
      </c>
      <c r="S239" s="278"/>
      <c r="T239" s="288">
        <v>5</v>
      </c>
      <c r="U239" s="289"/>
    </row>
    <row r="240" spans="1:21" x14ac:dyDescent="0.2">
      <c r="A240" s="256" t="s">
        <v>266</v>
      </c>
      <c r="B240" s="286" t="str">
        <f>TechData_R0!B284</f>
        <v>MINCPCSLS6</v>
      </c>
      <c r="C240" s="286"/>
      <c r="D240" s="286"/>
      <c r="E240" s="278" t="s">
        <v>32</v>
      </c>
      <c r="F240" s="278"/>
      <c r="G240" s="278" t="s">
        <v>33</v>
      </c>
      <c r="H240" s="287">
        <f>TechData_R0!G284</f>
        <v>1.05</v>
      </c>
      <c r="I240" s="287">
        <f t="shared" ref="I240:Q240" si="233">H240</f>
        <v>1.05</v>
      </c>
      <c r="J240" s="287">
        <f t="shared" si="233"/>
        <v>1.05</v>
      </c>
      <c r="K240" s="287">
        <f t="shared" si="233"/>
        <v>1.05</v>
      </c>
      <c r="L240" s="287">
        <f t="shared" si="233"/>
        <v>1.05</v>
      </c>
      <c r="M240" s="287">
        <f t="shared" si="233"/>
        <v>1.05</v>
      </c>
      <c r="N240" s="287">
        <f t="shared" si="233"/>
        <v>1.05</v>
      </c>
      <c r="O240" s="287">
        <f t="shared" si="233"/>
        <v>1.05</v>
      </c>
      <c r="P240" s="287">
        <f t="shared" si="233"/>
        <v>1.05</v>
      </c>
      <c r="Q240" s="287">
        <f t="shared" si="233"/>
        <v>1.05</v>
      </c>
      <c r="R240" s="278">
        <f>MAX(TechData_R0!F283,1)</f>
        <v>1</v>
      </c>
      <c r="S240" s="278"/>
      <c r="T240" s="288">
        <v>5</v>
      </c>
      <c r="U240" s="289"/>
    </row>
    <row r="241" spans="1:21" x14ac:dyDescent="0.2">
      <c r="A241" s="252"/>
      <c r="U241" s="290"/>
    </row>
    <row r="242" spans="1:21" x14ac:dyDescent="0.2">
      <c r="A242" s="252"/>
      <c r="U242" s="290"/>
    </row>
    <row r="243" spans="1:21" s="281" customFormat="1" x14ac:dyDescent="0.2">
      <c r="A243" s="280" t="s">
        <v>267</v>
      </c>
    </row>
    <row r="244" spans="1:21" x14ac:dyDescent="0.2">
      <c r="A244" s="282" t="s">
        <v>7</v>
      </c>
    </row>
    <row r="245" spans="1:21" x14ac:dyDescent="0.2">
      <c r="A245" s="282" t="s">
        <v>8</v>
      </c>
    </row>
    <row r="246" spans="1:21" x14ac:dyDescent="0.2">
      <c r="G246" s="282" t="s">
        <v>9</v>
      </c>
    </row>
    <row r="247" spans="1:21" ht="13.5" thickBot="1" x14ac:dyDescent="0.25">
      <c r="A247" s="283" t="s">
        <v>10</v>
      </c>
      <c r="B247" s="284" t="s">
        <v>11</v>
      </c>
      <c r="C247" s="284" t="s">
        <v>12</v>
      </c>
      <c r="D247" s="284" t="s">
        <v>13</v>
      </c>
      <c r="E247" s="283" t="s">
        <v>14</v>
      </c>
      <c r="F247" s="283" t="s">
        <v>15</v>
      </c>
      <c r="G247" s="283" t="s">
        <v>16</v>
      </c>
      <c r="H247" s="283" t="s">
        <v>17</v>
      </c>
      <c r="I247" s="283" t="s">
        <v>18</v>
      </c>
      <c r="J247" s="283" t="s">
        <v>19</v>
      </c>
      <c r="K247" s="283" t="s">
        <v>20</v>
      </c>
      <c r="L247" s="283" t="s">
        <v>21</v>
      </c>
      <c r="M247" s="283" t="s">
        <v>22</v>
      </c>
      <c r="N247" s="283" t="s">
        <v>23</v>
      </c>
      <c r="O247" s="283" t="s">
        <v>24</v>
      </c>
      <c r="P247" s="283" t="s">
        <v>25</v>
      </c>
      <c r="Q247" s="283" t="s">
        <v>26</v>
      </c>
      <c r="R247" s="283" t="s">
        <v>27</v>
      </c>
      <c r="S247" s="283" t="s">
        <v>28</v>
      </c>
      <c r="T247" s="285" t="s">
        <v>29</v>
      </c>
      <c r="U247" s="283" t="s">
        <v>30</v>
      </c>
    </row>
    <row r="248" spans="1:21" x14ac:dyDescent="0.2">
      <c r="A248" s="256" t="s">
        <v>268</v>
      </c>
      <c r="B248" s="286" t="str">
        <f>TechData_R0!B13</f>
        <v>MINCNAPMU1</v>
      </c>
      <c r="C248" s="286"/>
      <c r="D248" s="286"/>
      <c r="E248" s="278" t="s">
        <v>32</v>
      </c>
      <c r="F248" s="278"/>
      <c r="G248" s="278" t="s">
        <v>269</v>
      </c>
      <c r="H248" s="287">
        <f>1-TechData_R0!J13+1</f>
        <v>0.95</v>
      </c>
      <c r="I248" s="287">
        <f>H248</f>
        <v>0.95</v>
      </c>
      <c r="J248" s="287">
        <f t="shared" ref="J248:Q248" si="234">I248</f>
        <v>0.95</v>
      </c>
      <c r="K248" s="287">
        <f t="shared" si="234"/>
        <v>0.95</v>
      </c>
      <c r="L248" s="287">
        <f t="shared" si="234"/>
        <v>0.95</v>
      </c>
      <c r="M248" s="287">
        <f t="shared" si="234"/>
        <v>0.95</v>
      </c>
      <c r="N248" s="287">
        <f t="shared" si="234"/>
        <v>0.95</v>
      </c>
      <c r="O248" s="287">
        <f t="shared" si="234"/>
        <v>0.95</v>
      </c>
      <c r="P248" s="287">
        <f t="shared" si="234"/>
        <v>0.95</v>
      </c>
      <c r="Q248" s="287">
        <f t="shared" si="234"/>
        <v>0.95</v>
      </c>
      <c r="R248" s="278">
        <v>1</v>
      </c>
      <c r="S248" s="278"/>
      <c r="T248" s="288">
        <v>5</v>
      </c>
      <c r="U248" s="289"/>
    </row>
    <row r="249" spans="1:21" x14ac:dyDescent="0.2">
      <c r="A249" s="256" t="s">
        <v>270</v>
      </c>
      <c r="B249" s="286" t="str">
        <f>TechData_R0!B14</f>
        <v>MINCNAPMU2</v>
      </c>
      <c r="C249" s="286"/>
      <c r="D249" s="286"/>
      <c r="E249" s="278" t="s">
        <v>32</v>
      </c>
      <c r="F249" s="278"/>
      <c r="G249" s="278" t="s">
        <v>269</v>
      </c>
      <c r="H249" s="287">
        <f>1-TechData_R0!J14+1</f>
        <v>0.95</v>
      </c>
      <c r="I249" s="287">
        <f t="shared" ref="I249:Q249" si="235">H249</f>
        <v>0.95</v>
      </c>
      <c r="J249" s="287">
        <f t="shared" si="235"/>
        <v>0.95</v>
      </c>
      <c r="K249" s="287">
        <f t="shared" si="235"/>
        <v>0.95</v>
      </c>
      <c r="L249" s="287">
        <f t="shared" si="235"/>
        <v>0.95</v>
      </c>
      <c r="M249" s="287">
        <f t="shared" si="235"/>
        <v>0.95</v>
      </c>
      <c r="N249" s="287">
        <f t="shared" si="235"/>
        <v>0.95</v>
      </c>
      <c r="O249" s="287">
        <f t="shared" si="235"/>
        <v>0.95</v>
      </c>
      <c r="P249" s="287">
        <f t="shared" si="235"/>
        <v>0.95</v>
      </c>
      <c r="Q249" s="287">
        <f t="shared" si="235"/>
        <v>0.95</v>
      </c>
      <c r="R249" s="278">
        <v>1</v>
      </c>
      <c r="S249" s="278"/>
      <c r="T249" s="288">
        <v>5</v>
      </c>
      <c r="U249" s="289"/>
    </row>
    <row r="250" spans="1:21" x14ac:dyDescent="0.2">
      <c r="A250" s="256" t="s">
        <v>271</v>
      </c>
      <c r="B250" s="286" t="str">
        <f>TechData_R0!B15</f>
        <v>MINCNAPMU3</v>
      </c>
      <c r="C250" s="286"/>
      <c r="D250" s="286"/>
      <c r="E250" s="278" t="s">
        <v>32</v>
      </c>
      <c r="F250" s="278"/>
      <c r="G250" s="278" t="s">
        <v>269</v>
      </c>
      <c r="H250" s="287">
        <f>1-TechData_R0!J15+1</f>
        <v>0.95</v>
      </c>
      <c r="I250" s="287">
        <f t="shared" ref="I250:Q250" si="236">H250</f>
        <v>0.95</v>
      </c>
      <c r="J250" s="287">
        <f t="shared" si="236"/>
        <v>0.95</v>
      </c>
      <c r="K250" s="287">
        <f t="shared" si="236"/>
        <v>0.95</v>
      </c>
      <c r="L250" s="287">
        <f t="shared" si="236"/>
        <v>0.95</v>
      </c>
      <c r="M250" s="287">
        <f t="shared" si="236"/>
        <v>0.95</v>
      </c>
      <c r="N250" s="287">
        <f t="shared" si="236"/>
        <v>0.95</v>
      </c>
      <c r="O250" s="287">
        <f t="shared" si="236"/>
        <v>0.95</v>
      </c>
      <c r="P250" s="287">
        <f t="shared" si="236"/>
        <v>0.95</v>
      </c>
      <c r="Q250" s="287">
        <f t="shared" si="236"/>
        <v>0.95</v>
      </c>
      <c r="R250" s="278">
        <v>1</v>
      </c>
      <c r="S250" s="278"/>
      <c r="T250" s="288">
        <v>5</v>
      </c>
      <c r="U250" s="289"/>
    </row>
    <row r="251" spans="1:21" x14ac:dyDescent="0.2">
      <c r="A251" s="256" t="s">
        <v>272</v>
      </c>
      <c r="B251" s="286" t="str">
        <f>TechData_R0!B16</f>
        <v>MINCNAPMU4</v>
      </c>
      <c r="C251" s="286"/>
      <c r="D251" s="286"/>
      <c r="E251" s="278" t="s">
        <v>32</v>
      </c>
      <c r="F251" s="278"/>
      <c r="G251" s="278" t="s">
        <v>269</v>
      </c>
      <c r="H251" s="287">
        <f>1-TechData_R0!J16+1</f>
        <v>0.95</v>
      </c>
      <c r="I251" s="287">
        <f t="shared" ref="I251:Q251" si="237">H251</f>
        <v>0.95</v>
      </c>
      <c r="J251" s="287">
        <f t="shared" si="237"/>
        <v>0.95</v>
      </c>
      <c r="K251" s="287">
        <f t="shared" si="237"/>
        <v>0.95</v>
      </c>
      <c r="L251" s="287">
        <f t="shared" si="237"/>
        <v>0.95</v>
      </c>
      <c r="M251" s="287">
        <f t="shared" si="237"/>
        <v>0.95</v>
      </c>
      <c r="N251" s="287">
        <f t="shared" si="237"/>
        <v>0.95</v>
      </c>
      <c r="O251" s="287">
        <f t="shared" si="237"/>
        <v>0.95</v>
      </c>
      <c r="P251" s="287">
        <f t="shared" si="237"/>
        <v>0.95</v>
      </c>
      <c r="Q251" s="287">
        <f t="shared" si="237"/>
        <v>0.95</v>
      </c>
      <c r="R251" s="278">
        <v>1</v>
      </c>
      <c r="S251" s="278"/>
      <c r="T251" s="288">
        <v>5</v>
      </c>
      <c r="U251" s="289"/>
    </row>
    <row r="252" spans="1:21" x14ac:dyDescent="0.2">
      <c r="A252" s="256" t="s">
        <v>273</v>
      </c>
      <c r="B252" s="286" t="str">
        <f>TechData_R0!B17</f>
        <v>MINCNAPMU5</v>
      </c>
      <c r="C252" s="286"/>
      <c r="D252" s="286"/>
      <c r="E252" s="278" t="s">
        <v>32</v>
      </c>
      <c r="F252" s="278"/>
      <c r="G252" s="278" t="s">
        <v>269</v>
      </c>
      <c r="H252" s="287">
        <f>1-TechData_R0!J17+1</f>
        <v>0.95</v>
      </c>
      <c r="I252" s="287">
        <f t="shared" ref="I252:Q252" si="238">H252</f>
        <v>0.95</v>
      </c>
      <c r="J252" s="287">
        <f t="shared" si="238"/>
        <v>0.95</v>
      </c>
      <c r="K252" s="287">
        <f t="shared" si="238"/>
        <v>0.95</v>
      </c>
      <c r="L252" s="287">
        <f t="shared" si="238"/>
        <v>0.95</v>
      </c>
      <c r="M252" s="287">
        <f t="shared" si="238"/>
        <v>0.95</v>
      </c>
      <c r="N252" s="287">
        <f t="shared" si="238"/>
        <v>0.95</v>
      </c>
      <c r="O252" s="287">
        <f t="shared" si="238"/>
        <v>0.95</v>
      </c>
      <c r="P252" s="287">
        <f t="shared" si="238"/>
        <v>0.95</v>
      </c>
      <c r="Q252" s="287">
        <f t="shared" si="238"/>
        <v>0.95</v>
      </c>
      <c r="R252" s="278">
        <v>1</v>
      </c>
      <c r="S252" s="278"/>
      <c r="T252" s="288">
        <v>5</v>
      </c>
      <c r="U252" s="289"/>
    </row>
    <row r="253" spans="1:21" x14ac:dyDescent="0.2">
      <c r="A253" s="256" t="s">
        <v>274</v>
      </c>
      <c r="B253" s="286" t="str">
        <f>TechData_R0!B18</f>
        <v>MINCNAPMU6</v>
      </c>
      <c r="C253" s="286"/>
      <c r="D253" s="286"/>
      <c r="E253" s="278" t="s">
        <v>32</v>
      </c>
      <c r="F253" s="278"/>
      <c r="G253" s="278" t="s">
        <v>269</v>
      </c>
      <c r="H253" s="287">
        <f>1-TechData_R0!J18+1</f>
        <v>0.95</v>
      </c>
      <c r="I253" s="287">
        <f t="shared" ref="I253:Q253" si="239">H253</f>
        <v>0.95</v>
      </c>
      <c r="J253" s="287">
        <f t="shared" si="239"/>
        <v>0.95</v>
      </c>
      <c r="K253" s="287">
        <f t="shared" si="239"/>
        <v>0.95</v>
      </c>
      <c r="L253" s="287">
        <f t="shared" si="239"/>
        <v>0.95</v>
      </c>
      <c r="M253" s="287">
        <f t="shared" si="239"/>
        <v>0.95</v>
      </c>
      <c r="N253" s="287">
        <f t="shared" si="239"/>
        <v>0.95</v>
      </c>
      <c r="O253" s="287">
        <f t="shared" si="239"/>
        <v>0.95</v>
      </c>
      <c r="P253" s="287">
        <f t="shared" si="239"/>
        <v>0.95</v>
      </c>
      <c r="Q253" s="287">
        <f t="shared" si="239"/>
        <v>0.95</v>
      </c>
      <c r="R253" s="278">
        <v>1</v>
      </c>
      <c r="S253" s="278"/>
      <c r="T253" s="288">
        <v>5</v>
      </c>
      <c r="U253" s="289"/>
    </row>
    <row r="254" spans="1:21" x14ac:dyDescent="0.2">
      <c r="A254" s="256" t="s">
        <v>275</v>
      </c>
      <c r="B254" s="286" t="str">
        <f>TechData_R0!B20</f>
        <v>MINCNABMU1</v>
      </c>
      <c r="C254" s="286"/>
      <c r="D254" s="286"/>
      <c r="E254" s="278" t="s">
        <v>32</v>
      </c>
      <c r="F254" s="278"/>
      <c r="G254" s="278" t="s">
        <v>269</v>
      </c>
      <c r="H254" s="287">
        <f>1-TechData_R0!J20+1</f>
        <v>0.95</v>
      </c>
      <c r="I254" s="287">
        <f t="shared" ref="I254:Q254" si="240">H254</f>
        <v>0.95</v>
      </c>
      <c r="J254" s="287">
        <f t="shared" si="240"/>
        <v>0.95</v>
      </c>
      <c r="K254" s="287">
        <f t="shared" si="240"/>
        <v>0.95</v>
      </c>
      <c r="L254" s="287">
        <f t="shared" si="240"/>
        <v>0.95</v>
      </c>
      <c r="M254" s="287">
        <f t="shared" si="240"/>
        <v>0.95</v>
      </c>
      <c r="N254" s="287">
        <f t="shared" si="240"/>
        <v>0.95</v>
      </c>
      <c r="O254" s="287">
        <f t="shared" si="240"/>
        <v>0.95</v>
      </c>
      <c r="P254" s="287">
        <f t="shared" si="240"/>
        <v>0.95</v>
      </c>
      <c r="Q254" s="287">
        <f t="shared" si="240"/>
        <v>0.95</v>
      </c>
      <c r="R254" s="278">
        <v>1</v>
      </c>
      <c r="S254" s="278"/>
      <c r="T254" s="288">
        <v>5</v>
      </c>
      <c r="U254" s="289"/>
    </row>
    <row r="255" spans="1:21" x14ac:dyDescent="0.2">
      <c r="A255" s="256" t="s">
        <v>276</v>
      </c>
      <c r="B255" s="286" t="str">
        <f>TechData_R0!B21</f>
        <v>MINCNABMU2</v>
      </c>
      <c r="C255" s="286"/>
      <c r="D255" s="286"/>
      <c r="E255" s="278" t="s">
        <v>32</v>
      </c>
      <c r="F255" s="278"/>
      <c r="G255" s="278" t="s">
        <v>269</v>
      </c>
      <c r="H255" s="287">
        <f>1-TechData_R0!J21+1</f>
        <v>0.95</v>
      </c>
      <c r="I255" s="287">
        <f t="shared" ref="I255:Q255" si="241">H255</f>
        <v>0.95</v>
      </c>
      <c r="J255" s="287">
        <f t="shared" si="241"/>
        <v>0.95</v>
      </c>
      <c r="K255" s="287">
        <f t="shared" si="241"/>
        <v>0.95</v>
      </c>
      <c r="L255" s="287">
        <f t="shared" si="241"/>
        <v>0.95</v>
      </c>
      <c r="M255" s="287">
        <f t="shared" si="241"/>
        <v>0.95</v>
      </c>
      <c r="N255" s="287">
        <f t="shared" si="241"/>
        <v>0.95</v>
      </c>
      <c r="O255" s="287">
        <f t="shared" si="241"/>
        <v>0.95</v>
      </c>
      <c r="P255" s="287">
        <f t="shared" si="241"/>
        <v>0.95</v>
      </c>
      <c r="Q255" s="287">
        <f t="shared" si="241"/>
        <v>0.95</v>
      </c>
      <c r="R255" s="278">
        <v>1</v>
      </c>
      <c r="S255" s="278"/>
      <c r="T255" s="288">
        <v>5</v>
      </c>
      <c r="U255" s="289"/>
    </row>
    <row r="256" spans="1:21" x14ac:dyDescent="0.2">
      <c r="A256" s="256" t="s">
        <v>277</v>
      </c>
      <c r="B256" s="286" t="str">
        <f>TechData_R0!B22</f>
        <v>MINCNABMU3</v>
      </c>
      <c r="C256" s="286"/>
      <c r="D256" s="286"/>
      <c r="E256" s="278" t="s">
        <v>32</v>
      </c>
      <c r="F256" s="278"/>
      <c r="G256" s="278" t="s">
        <v>269</v>
      </c>
      <c r="H256" s="287">
        <f>1-TechData_R0!J22+1</f>
        <v>0.95</v>
      </c>
      <c r="I256" s="287">
        <f t="shared" ref="I256:Q256" si="242">H256</f>
        <v>0.95</v>
      </c>
      <c r="J256" s="287">
        <f t="shared" si="242"/>
        <v>0.95</v>
      </c>
      <c r="K256" s="287">
        <f t="shared" si="242"/>
        <v>0.95</v>
      </c>
      <c r="L256" s="287">
        <f t="shared" si="242"/>
        <v>0.95</v>
      </c>
      <c r="M256" s="287">
        <f t="shared" si="242"/>
        <v>0.95</v>
      </c>
      <c r="N256" s="287">
        <f t="shared" si="242"/>
        <v>0.95</v>
      </c>
      <c r="O256" s="287">
        <f t="shared" si="242"/>
        <v>0.95</v>
      </c>
      <c r="P256" s="287">
        <f t="shared" si="242"/>
        <v>0.95</v>
      </c>
      <c r="Q256" s="287">
        <f t="shared" si="242"/>
        <v>0.95</v>
      </c>
      <c r="R256" s="278">
        <v>1</v>
      </c>
      <c r="S256" s="278"/>
      <c r="T256" s="288">
        <v>5</v>
      </c>
      <c r="U256" s="289"/>
    </row>
    <row r="257" spans="1:21" x14ac:dyDescent="0.2">
      <c r="A257" s="256" t="s">
        <v>278</v>
      </c>
      <c r="B257" s="286" t="str">
        <f>TechData_R0!B23</f>
        <v>MINCNABMU4</v>
      </c>
      <c r="C257" s="286"/>
      <c r="D257" s="286"/>
      <c r="E257" s="278" t="s">
        <v>32</v>
      </c>
      <c r="F257" s="278"/>
      <c r="G257" s="278" t="s">
        <v>269</v>
      </c>
      <c r="H257" s="287">
        <f>1-TechData_R0!J23+1</f>
        <v>0.95</v>
      </c>
      <c r="I257" s="287">
        <f t="shared" ref="I257:Q257" si="243">H257</f>
        <v>0.95</v>
      </c>
      <c r="J257" s="287">
        <f t="shared" si="243"/>
        <v>0.95</v>
      </c>
      <c r="K257" s="287">
        <f t="shared" si="243"/>
        <v>0.95</v>
      </c>
      <c r="L257" s="287">
        <f t="shared" si="243"/>
        <v>0.95</v>
      </c>
      <c r="M257" s="287">
        <f t="shared" si="243"/>
        <v>0.95</v>
      </c>
      <c r="N257" s="287">
        <f t="shared" si="243"/>
        <v>0.95</v>
      </c>
      <c r="O257" s="287">
        <f t="shared" si="243"/>
        <v>0.95</v>
      </c>
      <c r="P257" s="287">
        <f t="shared" si="243"/>
        <v>0.95</v>
      </c>
      <c r="Q257" s="287">
        <f t="shared" si="243"/>
        <v>0.95</v>
      </c>
      <c r="R257" s="278">
        <v>1</v>
      </c>
      <c r="S257" s="278"/>
      <c r="T257" s="288">
        <v>5</v>
      </c>
      <c r="U257" s="289"/>
    </row>
    <row r="258" spans="1:21" x14ac:dyDescent="0.2">
      <c r="A258" s="256" t="s">
        <v>279</v>
      </c>
      <c r="B258" s="286" t="str">
        <f>TechData_R0!B24</f>
        <v>MINCNABMU5</v>
      </c>
      <c r="C258" s="286"/>
      <c r="D258" s="286"/>
      <c r="E258" s="278" t="s">
        <v>32</v>
      </c>
      <c r="F258" s="278"/>
      <c r="G258" s="278" t="s">
        <v>269</v>
      </c>
      <c r="H258" s="287">
        <f>1-TechData_R0!J24+1</f>
        <v>0.95</v>
      </c>
      <c r="I258" s="287">
        <f t="shared" ref="I258:Q258" si="244">H258</f>
        <v>0.95</v>
      </c>
      <c r="J258" s="287">
        <f t="shared" si="244"/>
        <v>0.95</v>
      </c>
      <c r="K258" s="287">
        <f t="shared" si="244"/>
        <v>0.95</v>
      </c>
      <c r="L258" s="287">
        <f t="shared" si="244"/>
        <v>0.95</v>
      </c>
      <c r="M258" s="287">
        <f t="shared" si="244"/>
        <v>0.95</v>
      </c>
      <c r="N258" s="287">
        <f t="shared" si="244"/>
        <v>0.95</v>
      </c>
      <c r="O258" s="287">
        <f t="shared" si="244"/>
        <v>0.95</v>
      </c>
      <c r="P258" s="287">
        <f t="shared" si="244"/>
        <v>0.95</v>
      </c>
      <c r="Q258" s="287">
        <f t="shared" si="244"/>
        <v>0.95</v>
      </c>
      <c r="R258" s="278">
        <v>1</v>
      </c>
      <c r="S258" s="278"/>
      <c r="T258" s="288">
        <v>5</v>
      </c>
      <c r="U258" s="289"/>
    </row>
    <row r="259" spans="1:21" x14ac:dyDescent="0.2">
      <c r="A259" s="256" t="s">
        <v>280</v>
      </c>
      <c r="B259" s="286" t="str">
        <f>TechData_R0!B25</f>
        <v>MINCNABMU6</v>
      </c>
      <c r="C259" s="286"/>
      <c r="D259" s="286"/>
      <c r="E259" s="278" t="s">
        <v>32</v>
      </c>
      <c r="F259" s="278"/>
      <c r="G259" s="278" t="s">
        <v>269</v>
      </c>
      <c r="H259" s="287">
        <f>1-TechData_R0!J25+1</f>
        <v>0.95</v>
      </c>
      <c r="I259" s="287">
        <f t="shared" ref="I259:Q259" si="245">H259</f>
        <v>0.95</v>
      </c>
      <c r="J259" s="287">
        <f t="shared" si="245"/>
        <v>0.95</v>
      </c>
      <c r="K259" s="287">
        <f t="shared" si="245"/>
        <v>0.95</v>
      </c>
      <c r="L259" s="287">
        <f t="shared" si="245"/>
        <v>0.95</v>
      </c>
      <c r="M259" s="287">
        <f t="shared" si="245"/>
        <v>0.95</v>
      </c>
      <c r="N259" s="287">
        <f t="shared" si="245"/>
        <v>0.95</v>
      </c>
      <c r="O259" s="287">
        <f t="shared" si="245"/>
        <v>0.95</v>
      </c>
      <c r="P259" s="287">
        <f t="shared" si="245"/>
        <v>0.95</v>
      </c>
      <c r="Q259" s="287">
        <f t="shared" si="245"/>
        <v>0.95</v>
      </c>
      <c r="R259" s="278">
        <v>1</v>
      </c>
      <c r="S259" s="278"/>
      <c r="T259" s="288">
        <v>5</v>
      </c>
      <c r="U259" s="289"/>
    </row>
    <row r="260" spans="1:21" x14ac:dyDescent="0.2">
      <c r="A260" s="256" t="s">
        <v>281</v>
      </c>
      <c r="B260" s="286" t="str">
        <f>TechData_R0!B27</f>
        <v>MINCNABMS1</v>
      </c>
      <c r="C260" s="286"/>
      <c r="D260" s="286"/>
      <c r="E260" s="278" t="s">
        <v>32</v>
      </c>
      <c r="F260" s="278"/>
      <c r="G260" s="278" t="s">
        <v>269</v>
      </c>
      <c r="H260" s="287">
        <f>1-TechData_R0!J27+1</f>
        <v>0.95</v>
      </c>
      <c r="I260" s="287">
        <f t="shared" ref="I260:Q260" si="246">H260</f>
        <v>0.95</v>
      </c>
      <c r="J260" s="287">
        <f t="shared" si="246"/>
        <v>0.95</v>
      </c>
      <c r="K260" s="287">
        <f t="shared" si="246"/>
        <v>0.95</v>
      </c>
      <c r="L260" s="287">
        <f t="shared" si="246"/>
        <v>0.95</v>
      </c>
      <c r="M260" s="287">
        <f t="shared" si="246"/>
        <v>0.95</v>
      </c>
      <c r="N260" s="287">
        <f t="shared" si="246"/>
        <v>0.95</v>
      </c>
      <c r="O260" s="287">
        <f t="shared" si="246"/>
        <v>0.95</v>
      </c>
      <c r="P260" s="287">
        <f t="shared" si="246"/>
        <v>0.95</v>
      </c>
      <c r="Q260" s="287">
        <f t="shared" si="246"/>
        <v>0.95</v>
      </c>
      <c r="R260" s="278">
        <v>1</v>
      </c>
      <c r="S260" s="278"/>
      <c r="T260" s="288">
        <v>5</v>
      </c>
      <c r="U260" s="289"/>
    </row>
    <row r="261" spans="1:21" x14ac:dyDescent="0.2">
      <c r="A261" s="256" t="s">
        <v>282</v>
      </c>
      <c r="B261" s="286" t="str">
        <f>TechData_R0!B28</f>
        <v>MINCNABMS2</v>
      </c>
      <c r="C261" s="286"/>
      <c r="D261" s="286"/>
      <c r="E261" s="278" t="s">
        <v>32</v>
      </c>
      <c r="F261" s="278"/>
      <c r="G261" s="278" t="s">
        <v>269</v>
      </c>
      <c r="H261" s="287">
        <f>1-TechData_R0!J28+1</f>
        <v>0.95</v>
      </c>
      <c r="I261" s="287">
        <f t="shared" ref="I261:Q261" si="247">H261</f>
        <v>0.95</v>
      </c>
      <c r="J261" s="287">
        <f t="shared" si="247"/>
        <v>0.95</v>
      </c>
      <c r="K261" s="287">
        <f t="shared" si="247"/>
        <v>0.95</v>
      </c>
      <c r="L261" s="287">
        <f t="shared" si="247"/>
        <v>0.95</v>
      </c>
      <c r="M261" s="287">
        <f t="shared" si="247"/>
        <v>0.95</v>
      </c>
      <c r="N261" s="287">
        <f t="shared" si="247"/>
        <v>0.95</v>
      </c>
      <c r="O261" s="287">
        <f t="shared" si="247"/>
        <v>0.95</v>
      </c>
      <c r="P261" s="287">
        <f t="shared" si="247"/>
        <v>0.95</v>
      </c>
      <c r="Q261" s="287">
        <f t="shared" si="247"/>
        <v>0.95</v>
      </c>
      <c r="R261" s="278">
        <v>1</v>
      </c>
      <c r="S261" s="278"/>
      <c r="T261" s="288">
        <v>5</v>
      </c>
      <c r="U261" s="289"/>
    </row>
    <row r="262" spans="1:21" x14ac:dyDescent="0.2">
      <c r="A262" s="256" t="s">
        <v>283</v>
      </c>
      <c r="B262" s="286" t="str">
        <f>TechData_R0!B29</f>
        <v>MINCNABMS3</v>
      </c>
      <c r="C262" s="286"/>
      <c r="D262" s="286"/>
      <c r="E262" s="278" t="s">
        <v>32</v>
      </c>
      <c r="F262" s="278"/>
      <c r="G262" s="278" t="s">
        <v>269</v>
      </c>
      <c r="H262" s="287">
        <f>1-TechData_R0!J29+1</f>
        <v>0.95</v>
      </c>
      <c r="I262" s="287">
        <f t="shared" ref="I262:Q262" si="248">H262</f>
        <v>0.95</v>
      </c>
      <c r="J262" s="287">
        <f t="shared" si="248"/>
        <v>0.95</v>
      </c>
      <c r="K262" s="287">
        <f t="shared" si="248"/>
        <v>0.95</v>
      </c>
      <c r="L262" s="287">
        <f t="shared" si="248"/>
        <v>0.95</v>
      </c>
      <c r="M262" s="287">
        <f t="shared" si="248"/>
        <v>0.95</v>
      </c>
      <c r="N262" s="287">
        <f t="shared" si="248"/>
        <v>0.95</v>
      </c>
      <c r="O262" s="287">
        <f t="shared" si="248"/>
        <v>0.95</v>
      </c>
      <c r="P262" s="287">
        <f t="shared" si="248"/>
        <v>0.95</v>
      </c>
      <c r="Q262" s="287">
        <f t="shared" si="248"/>
        <v>0.95</v>
      </c>
      <c r="R262" s="278">
        <v>1</v>
      </c>
      <c r="S262" s="278"/>
      <c r="T262" s="288">
        <v>5</v>
      </c>
      <c r="U262" s="289"/>
    </row>
    <row r="263" spans="1:21" x14ac:dyDescent="0.2">
      <c r="A263" s="256" t="s">
        <v>284</v>
      </c>
      <c r="B263" s="286" t="str">
        <f>TechData_R0!B30</f>
        <v>MINCNABMS4</v>
      </c>
      <c r="C263" s="286"/>
      <c r="D263" s="286"/>
      <c r="E263" s="278" t="s">
        <v>32</v>
      </c>
      <c r="F263" s="278"/>
      <c r="G263" s="278" t="s">
        <v>269</v>
      </c>
      <c r="H263" s="287">
        <f>1-TechData_R0!J30+1</f>
        <v>0.95</v>
      </c>
      <c r="I263" s="287">
        <f t="shared" ref="I263:Q263" si="249">H263</f>
        <v>0.95</v>
      </c>
      <c r="J263" s="287">
        <f t="shared" si="249"/>
        <v>0.95</v>
      </c>
      <c r="K263" s="287">
        <f t="shared" si="249"/>
        <v>0.95</v>
      </c>
      <c r="L263" s="287">
        <f t="shared" si="249"/>
        <v>0.95</v>
      </c>
      <c r="M263" s="287">
        <f t="shared" si="249"/>
        <v>0.95</v>
      </c>
      <c r="N263" s="287">
        <f t="shared" si="249"/>
        <v>0.95</v>
      </c>
      <c r="O263" s="287">
        <f t="shared" si="249"/>
        <v>0.95</v>
      </c>
      <c r="P263" s="287">
        <f t="shared" si="249"/>
        <v>0.95</v>
      </c>
      <c r="Q263" s="287">
        <f t="shared" si="249"/>
        <v>0.95</v>
      </c>
      <c r="R263" s="278">
        <v>1</v>
      </c>
      <c r="S263" s="278"/>
      <c r="T263" s="288">
        <v>5</v>
      </c>
      <c r="U263" s="289"/>
    </row>
    <row r="264" spans="1:21" x14ac:dyDescent="0.2">
      <c r="A264" s="256" t="s">
        <v>285</v>
      </c>
      <c r="B264" s="286" t="str">
        <f>TechData_R0!B31</f>
        <v>MINCNABMS5</v>
      </c>
      <c r="C264" s="286"/>
      <c r="D264" s="286"/>
      <c r="E264" s="278" t="s">
        <v>32</v>
      </c>
      <c r="F264" s="278"/>
      <c r="G264" s="278" t="s">
        <v>269</v>
      </c>
      <c r="H264" s="287">
        <f>1-TechData_R0!J31+1</f>
        <v>0.95</v>
      </c>
      <c r="I264" s="287">
        <f t="shared" ref="I264:Q264" si="250">H264</f>
        <v>0.95</v>
      </c>
      <c r="J264" s="287">
        <f t="shared" si="250"/>
        <v>0.95</v>
      </c>
      <c r="K264" s="287">
        <f t="shared" si="250"/>
        <v>0.95</v>
      </c>
      <c r="L264" s="287">
        <f t="shared" si="250"/>
        <v>0.95</v>
      </c>
      <c r="M264" s="287">
        <f t="shared" si="250"/>
        <v>0.95</v>
      </c>
      <c r="N264" s="287">
        <f t="shared" si="250"/>
        <v>0.95</v>
      </c>
      <c r="O264" s="287">
        <f t="shared" si="250"/>
        <v>0.95</v>
      </c>
      <c r="P264" s="287">
        <f t="shared" si="250"/>
        <v>0.95</v>
      </c>
      <c r="Q264" s="287">
        <f t="shared" si="250"/>
        <v>0.95</v>
      </c>
      <c r="R264" s="278">
        <v>1</v>
      </c>
      <c r="S264" s="278"/>
      <c r="T264" s="288">
        <v>5</v>
      </c>
      <c r="U264" s="289"/>
    </row>
    <row r="265" spans="1:21" x14ac:dyDescent="0.2">
      <c r="A265" s="256" t="s">
        <v>286</v>
      </c>
      <c r="B265" s="286" t="str">
        <f>TechData_R0!B32</f>
        <v>MINCNABMS6</v>
      </c>
      <c r="C265" s="286"/>
      <c r="D265" s="286"/>
      <c r="E265" s="278" t="s">
        <v>32</v>
      </c>
      <c r="F265" s="278"/>
      <c r="G265" s="278" t="s">
        <v>269</v>
      </c>
      <c r="H265" s="287">
        <f>1-TechData_R0!J32+1</f>
        <v>0.95</v>
      </c>
      <c r="I265" s="287">
        <f t="shared" ref="I265:Q265" si="251">H265</f>
        <v>0.95</v>
      </c>
      <c r="J265" s="287">
        <f t="shared" si="251"/>
        <v>0.95</v>
      </c>
      <c r="K265" s="287">
        <f t="shared" si="251"/>
        <v>0.95</v>
      </c>
      <c r="L265" s="287">
        <f t="shared" si="251"/>
        <v>0.95</v>
      </c>
      <c r="M265" s="287">
        <f t="shared" si="251"/>
        <v>0.95</v>
      </c>
      <c r="N265" s="287">
        <f t="shared" si="251"/>
        <v>0.95</v>
      </c>
      <c r="O265" s="287">
        <f t="shared" si="251"/>
        <v>0.95</v>
      </c>
      <c r="P265" s="287">
        <f t="shared" si="251"/>
        <v>0.95</v>
      </c>
      <c r="Q265" s="287">
        <f t="shared" si="251"/>
        <v>0.95</v>
      </c>
      <c r="R265" s="278">
        <v>1</v>
      </c>
      <c r="S265" s="278"/>
      <c r="T265" s="288">
        <v>5</v>
      </c>
      <c r="U265" s="289"/>
    </row>
    <row r="266" spans="1:21" x14ac:dyDescent="0.2">
      <c r="A266" s="256" t="s">
        <v>287</v>
      </c>
      <c r="B266" s="286" t="str">
        <f>TechData_R0!B34</f>
        <v>MINCNABHU1</v>
      </c>
      <c r="C266" s="286"/>
      <c r="D266" s="286"/>
      <c r="E266" s="278" t="s">
        <v>32</v>
      </c>
      <c r="F266" s="278"/>
      <c r="G266" s="278" t="s">
        <v>269</v>
      </c>
      <c r="H266" s="287">
        <f>1-TechData_R0!J34+1</f>
        <v>0.95</v>
      </c>
      <c r="I266" s="287">
        <f t="shared" ref="I266:Q266" si="252">H266</f>
        <v>0.95</v>
      </c>
      <c r="J266" s="287">
        <f t="shared" si="252"/>
        <v>0.95</v>
      </c>
      <c r="K266" s="287">
        <f t="shared" si="252"/>
        <v>0.95</v>
      </c>
      <c r="L266" s="287">
        <f t="shared" si="252"/>
        <v>0.95</v>
      </c>
      <c r="M266" s="287">
        <f t="shared" si="252"/>
        <v>0.95</v>
      </c>
      <c r="N266" s="287">
        <f t="shared" si="252"/>
        <v>0.95</v>
      </c>
      <c r="O266" s="287">
        <f t="shared" si="252"/>
        <v>0.95</v>
      </c>
      <c r="P266" s="287">
        <f t="shared" si="252"/>
        <v>0.95</v>
      </c>
      <c r="Q266" s="287">
        <f t="shared" si="252"/>
        <v>0.95</v>
      </c>
      <c r="R266" s="278">
        <v>1</v>
      </c>
      <c r="S266" s="278"/>
      <c r="T266" s="288">
        <v>5</v>
      </c>
      <c r="U266" s="289"/>
    </row>
    <row r="267" spans="1:21" x14ac:dyDescent="0.2">
      <c r="A267" s="256" t="s">
        <v>288</v>
      </c>
      <c r="B267" s="286" t="str">
        <f>TechData_R0!B35</f>
        <v>MINCNABHU2</v>
      </c>
      <c r="C267" s="286"/>
      <c r="D267" s="286"/>
      <c r="E267" s="278" t="s">
        <v>32</v>
      </c>
      <c r="F267" s="278"/>
      <c r="G267" s="278" t="s">
        <v>269</v>
      </c>
      <c r="H267" s="287">
        <f>1-TechData_R0!J35+1</f>
        <v>0.95</v>
      </c>
      <c r="I267" s="287">
        <f t="shared" ref="I267:Q267" si="253">H267</f>
        <v>0.95</v>
      </c>
      <c r="J267" s="287">
        <f t="shared" si="253"/>
        <v>0.95</v>
      </c>
      <c r="K267" s="287">
        <f t="shared" si="253"/>
        <v>0.95</v>
      </c>
      <c r="L267" s="287">
        <f t="shared" si="253"/>
        <v>0.95</v>
      </c>
      <c r="M267" s="287">
        <f t="shared" si="253"/>
        <v>0.95</v>
      </c>
      <c r="N267" s="287">
        <f t="shared" si="253"/>
        <v>0.95</v>
      </c>
      <c r="O267" s="287">
        <f t="shared" si="253"/>
        <v>0.95</v>
      </c>
      <c r="P267" s="287">
        <f t="shared" si="253"/>
        <v>0.95</v>
      </c>
      <c r="Q267" s="287">
        <f t="shared" si="253"/>
        <v>0.95</v>
      </c>
      <c r="R267" s="278">
        <v>1</v>
      </c>
      <c r="S267" s="278"/>
      <c r="T267" s="288">
        <v>5</v>
      </c>
      <c r="U267" s="289"/>
    </row>
    <row r="268" spans="1:21" x14ac:dyDescent="0.2">
      <c r="A268" s="256" t="s">
        <v>289</v>
      </c>
      <c r="B268" s="286" t="str">
        <f>TechData_R0!B36</f>
        <v>MINCNABHU3</v>
      </c>
      <c r="C268" s="286"/>
      <c r="D268" s="286"/>
      <c r="E268" s="278" t="s">
        <v>32</v>
      </c>
      <c r="F268" s="278"/>
      <c r="G268" s="278" t="s">
        <v>269</v>
      </c>
      <c r="H268" s="287">
        <f>1-TechData_R0!J36+1</f>
        <v>0.95</v>
      </c>
      <c r="I268" s="287">
        <f t="shared" ref="I268:Q268" si="254">H268</f>
        <v>0.95</v>
      </c>
      <c r="J268" s="287">
        <f t="shared" si="254"/>
        <v>0.95</v>
      </c>
      <c r="K268" s="287">
        <f t="shared" si="254"/>
        <v>0.95</v>
      </c>
      <c r="L268" s="287">
        <f t="shared" si="254"/>
        <v>0.95</v>
      </c>
      <c r="M268" s="287">
        <f t="shared" si="254"/>
        <v>0.95</v>
      </c>
      <c r="N268" s="287">
        <f t="shared" si="254"/>
        <v>0.95</v>
      </c>
      <c r="O268" s="287">
        <f t="shared" si="254"/>
        <v>0.95</v>
      </c>
      <c r="P268" s="287">
        <f t="shared" si="254"/>
        <v>0.95</v>
      </c>
      <c r="Q268" s="287">
        <f t="shared" si="254"/>
        <v>0.95</v>
      </c>
      <c r="R268" s="278">
        <v>1</v>
      </c>
      <c r="S268" s="278"/>
      <c r="T268" s="288">
        <v>5</v>
      </c>
      <c r="U268" s="289"/>
    </row>
    <row r="269" spans="1:21" x14ac:dyDescent="0.2">
      <c r="A269" s="256" t="s">
        <v>290</v>
      </c>
      <c r="B269" s="286" t="str">
        <f>TechData_R0!B37</f>
        <v>MINCNABHU4</v>
      </c>
      <c r="C269" s="286"/>
      <c r="D269" s="286"/>
      <c r="E269" s="278" t="s">
        <v>32</v>
      </c>
      <c r="F269" s="278"/>
      <c r="G269" s="278" t="s">
        <v>269</v>
      </c>
      <c r="H269" s="287">
        <f>1-TechData_R0!J37+1</f>
        <v>0.95</v>
      </c>
      <c r="I269" s="287">
        <f t="shared" ref="I269:Q269" si="255">H269</f>
        <v>0.95</v>
      </c>
      <c r="J269" s="287">
        <f t="shared" si="255"/>
        <v>0.95</v>
      </c>
      <c r="K269" s="287">
        <f t="shared" si="255"/>
        <v>0.95</v>
      </c>
      <c r="L269" s="287">
        <f t="shared" si="255"/>
        <v>0.95</v>
      </c>
      <c r="M269" s="287">
        <f t="shared" si="255"/>
        <v>0.95</v>
      </c>
      <c r="N269" s="287">
        <f t="shared" si="255"/>
        <v>0.95</v>
      </c>
      <c r="O269" s="287">
        <f t="shared" si="255"/>
        <v>0.95</v>
      </c>
      <c r="P269" s="287">
        <f t="shared" si="255"/>
        <v>0.95</v>
      </c>
      <c r="Q269" s="287">
        <f t="shared" si="255"/>
        <v>0.95</v>
      </c>
      <c r="R269" s="278">
        <v>1</v>
      </c>
      <c r="S269" s="278"/>
      <c r="T269" s="288">
        <v>5</v>
      </c>
      <c r="U269" s="289"/>
    </row>
    <row r="270" spans="1:21" x14ac:dyDescent="0.2">
      <c r="A270" s="256" t="s">
        <v>291</v>
      </c>
      <c r="B270" s="286" t="str">
        <f>TechData_R0!B38</f>
        <v>MINCNABHU5</v>
      </c>
      <c r="C270" s="286"/>
      <c r="D270" s="286"/>
      <c r="E270" s="278" t="s">
        <v>32</v>
      </c>
      <c r="F270" s="278"/>
      <c r="G270" s="278" t="s">
        <v>269</v>
      </c>
      <c r="H270" s="287">
        <f>1-TechData_R0!J38+1</f>
        <v>0.95</v>
      </c>
      <c r="I270" s="287">
        <f t="shared" ref="I270:Q270" si="256">H270</f>
        <v>0.95</v>
      </c>
      <c r="J270" s="287">
        <f t="shared" si="256"/>
        <v>0.95</v>
      </c>
      <c r="K270" s="287">
        <f t="shared" si="256"/>
        <v>0.95</v>
      </c>
      <c r="L270" s="287">
        <f t="shared" si="256"/>
        <v>0.95</v>
      </c>
      <c r="M270" s="287">
        <f t="shared" si="256"/>
        <v>0.95</v>
      </c>
      <c r="N270" s="287">
        <f t="shared" si="256"/>
        <v>0.95</v>
      </c>
      <c r="O270" s="287">
        <f t="shared" si="256"/>
        <v>0.95</v>
      </c>
      <c r="P270" s="287">
        <f t="shared" si="256"/>
        <v>0.95</v>
      </c>
      <c r="Q270" s="287">
        <f t="shared" si="256"/>
        <v>0.95</v>
      </c>
      <c r="R270" s="278">
        <v>1</v>
      </c>
      <c r="S270" s="278"/>
      <c r="T270" s="288">
        <v>5</v>
      </c>
      <c r="U270" s="289"/>
    </row>
    <row r="271" spans="1:21" x14ac:dyDescent="0.2">
      <c r="A271" s="256" t="s">
        <v>292</v>
      </c>
      <c r="B271" s="286" t="str">
        <f>TechData_R0!B39</f>
        <v>MINCNABHU6</v>
      </c>
      <c r="C271" s="286"/>
      <c r="D271" s="286"/>
      <c r="E271" s="278" t="s">
        <v>32</v>
      </c>
      <c r="F271" s="278"/>
      <c r="G271" s="278" t="s">
        <v>269</v>
      </c>
      <c r="H271" s="287">
        <f>1-TechData_R0!J39+1</f>
        <v>0.95</v>
      </c>
      <c r="I271" s="287">
        <f t="shared" ref="I271:Q271" si="257">H271</f>
        <v>0.95</v>
      </c>
      <c r="J271" s="287">
        <f t="shared" si="257"/>
        <v>0.95</v>
      </c>
      <c r="K271" s="287">
        <f t="shared" si="257"/>
        <v>0.95</v>
      </c>
      <c r="L271" s="287">
        <f t="shared" si="257"/>
        <v>0.95</v>
      </c>
      <c r="M271" s="287">
        <f t="shared" si="257"/>
        <v>0.95</v>
      </c>
      <c r="N271" s="287">
        <f t="shared" si="257"/>
        <v>0.95</v>
      </c>
      <c r="O271" s="287">
        <f t="shared" si="257"/>
        <v>0.95</v>
      </c>
      <c r="P271" s="287">
        <f t="shared" si="257"/>
        <v>0.95</v>
      </c>
      <c r="Q271" s="287">
        <f t="shared" si="257"/>
        <v>0.95</v>
      </c>
      <c r="R271" s="278">
        <v>1</v>
      </c>
      <c r="S271" s="278"/>
      <c r="T271" s="288">
        <v>5</v>
      </c>
      <c r="U271" s="289"/>
    </row>
    <row r="272" spans="1:21" x14ac:dyDescent="0.2">
      <c r="A272" s="256" t="s">
        <v>293</v>
      </c>
      <c r="B272" s="286" t="str">
        <f>TechData_R0!B41</f>
        <v>MINCNABHS1</v>
      </c>
      <c r="C272" s="286"/>
      <c r="D272" s="286"/>
      <c r="E272" s="278" t="s">
        <v>32</v>
      </c>
      <c r="F272" s="278"/>
      <c r="G272" s="278" t="s">
        <v>269</v>
      </c>
      <c r="H272" s="287">
        <f>1-TechData_R0!J41+1</f>
        <v>0.95</v>
      </c>
      <c r="I272" s="287">
        <f t="shared" ref="I272:Q272" si="258">H272</f>
        <v>0.95</v>
      </c>
      <c r="J272" s="287">
        <f t="shared" si="258"/>
        <v>0.95</v>
      </c>
      <c r="K272" s="287">
        <f t="shared" si="258"/>
        <v>0.95</v>
      </c>
      <c r="L272" s="287">
        <f t="shared" si="258"/>
        <v>0.95</v>
      </c>
      <c r="M272" s="287">
        <f t="shared" si="258"/>
        <v>0.95</v>
      </c>
      <c r="N272" s="287">
        <f t="shared" si="258"/>
        <v>0.95</v>
      </c>
      <c r="O272" s="287">
        <f t="shared" si="258"/>
        <v>0.95</v>
      </c>
      <c r="P272" s="287">
        <f t="shared" si="258"/>
        <v>0.95</v>
      </c>
      <c r="Q272" s="287">
        <f t="shared" si="258"/>
        <v>0.95</v>
      </c>
      <c r="R272" s="278">
        <v>1</v>
      </c>
      <c r="S272" s="278"/>
      <c r="T272" s="288">
        <v>5</v>
      </c>
      <c r="U272" s="289"/>
    </row>
    <row r="273" spans="1:21" x14ac:dyDescent="0.2">
      <c r="A273" s="256" t="s">
        <v>294</v>
      </c>
      <c r="B273" s="286" t="str">
        <f>TechData_R0!B42</f>
        <v>MINCNABHS2</v>
      </c>
      <c r="C273" s="286"/>
      <c r="D273" s="286"/>
      <c r="E273" s="278" t="s">
        <v>32</v>
      </c>
      <c r="F273" s="278"/>
      <c r="G273" s="278" t="s">
        <v>269</v>
      </c>
      <c r="H273" s="287">
        <f>1-TechData_R0!J42+1</f>
        <v>0.95</v>
      </c>
      <c r="I273" s="287">
        <f t="shared" ref="I273:Q273" si="259">H273</f>
        <v>0.95</v>
      </c>
      <c r="J273" s="287">
        <f t="shared" si="259"/>
        <v>0.95</v>
      </c>
      <c r="K273" s="287">
        <f t="shared" si="259"/>
        <v>0.95</v>
      </c>
      <c r="L273" s="287">
        <f t="shared" si="259"/>
        <v>0.95</v>
      </c>
      <c r="M273" s="287">
        <f t="shared" si="259"/>
        <v>0.95</v>
      </c>
      <c r="N273" s="287">
        <f t="shared" si="259"/>
        <v>0.95</v>
      </c>
      <c r="O273" s="287">
        <f t="shared" si="259"/>
        <v>0.95</v>
      </c>
      <c r="P273" s="287">
        <f t="shared" si="259"/>
        <v>0.95</v>
      </c>
      <c r="Q273" s="287">
        <f t="shared" si="259"/>
        <v>0.95</v>
      </c>
      <c r="R273" s="278">
        <v>1</v>
      </c>
      <c r="S273" s="278"/>
      <c r="T273" s="288">
        <v>5</v>
      </c>
      <c r="U273" s="289"/>
    </row>
    <row r="274" spans="1:21" x14ac:dyDescent="0.2">
      <c r="A274" s="256" t="s">
        <v>295</v>
      </c>
      <c r="B274" s="286" t="str">
        <f>TechData_R0!B43</f>
        <v>MINCNABHS3</v>
      </c>
      <c r="C274" s="286"/>
      <c r="D274" s="286"/>
      <c r="E274" s="278" t="s">
        <v>32</v>
      </c>
      <c r="F274" s="278"/>
      <c r="G274" s="278" t="s">
        <v>269</v>
      </c>
      <c r="H274" s="287">
        <f>1-TechData_R0!J43+1</f>
        <v>0.95</v>
      </c>
      <c r="I274" s="287">
        <f t="shared" ref="I274:Q274" si="260">H274</f>
        <v>0.95</v>
      </c>
      <c r="J274" s="287">
        <f t="shared" si="260"/>
        <v>0.95</v>
      </c>
      <c r="K274" s="287">
        <f t="shared" si="260"/>
        <v>0.95</v>
      </c>
      <c r="L274" s="287">
        <f t="shared" si="260"/>
        <v>0.95</v>
      </c>
      <c r="M274" s="287">
        <f t="shared" si="260"/>
        <v>0.95</v>
      </c>
      <c r="N274" s="287">
        <f t="shared" si="260"/>
        <v>0.95</v>
      </c>
      <c r="O274" s="287">
        <f t="shared" si="260"/>
        <v>0.95</v>
      </c>
      <c r="P274" s="287">
        <f t="shared" si="260"/>
        <v>0.95</v>
      </c>
      <c r="Q274" s="287">
        <f t="shared" si="260"/>
        <v>0.95</v>
      </c>
      <c r="R274" s="278">
        <v>1</v>
      </c>
      <c r="S274" s="278"/>
      <c r="T274" s="288">
        <v>5</v>
      </c>
      <c r="U274" s="289"/>
    </row>
    <row r="275" spans="1:21" x14ac:dyDescent="0.2">
      <c r="A275" s="256" t="s">
        <v>296</v>
      </c>
      <c r="B275" s="286" t="str">
        <f>TechData_R0!B44</f>
        <v>MINCNABHS4</v>
      </c>
      <c r="C275" s="286"/>
      <c r="D275" s="286"/>
      <c r="E275" s="278" t="s">
        <v>32</v>
      </c>
      <c r="F275" s="278"/>
      <c r="G275" s="278" t="s">
        <v>269</v>
      </c>
      <c r="H275" s="287">
        <f>1-TechData_R0!J44+1</f>
        <v>0.95</v>
      </c>
      <c r="I275" s="287">
        <f t="shared" ref="I275:Q275" si="261">H275</f>
        <v>0.95</v>
      </c>
      <c r="J275" s="287">
        <f t="shared" si="261"/>
        <v>0.95</v>
      </c>
      <c r="K275" s="287">
        <f t="shared" si="261"/>
        <v>0.95</v>
      </c>
      <c r="L275" s="287">
        <f t="shared" si="261"/>
        <v>0.95</v>
      </c>
      <c r="M275" s="287">
        <f t="shared" si="261"/>
        <v>0.95</v>
      </c>
      <c r="N275" s="287">
        <f t="shared" si="261"/>
        <v>0.95</v>
      </c>
      <c r="O275" s="287">
        <f t="shared" si="261"/>
        <v>0.95</v>
      </c>
      <c r="P275" s="287">
        <f t="shared" si="261"/>
        <v>0.95</v>
      </c>
      <c r="Q275" s="287">
        <f t="shared" si="261"/>
        <v>0.95</v>
      </c>
      <c r="R275" s="278">
        <v>1</v>
      </c>
      <c r="S275" s="278"/>
      <c r="T275" s="288">
        <v>5</v>
      </c>
      <c r="U275" s="289"/>
    </row>
    <row r="276" spans="1:21" x14ac:dyDescent="0.2">
      <c r="A276" s="256" t="s">
        <v>297</v>
      </c>
      <c r="B276" s="286" t="str">
        <f>TechData_R0!B45</f>
        <v>MINCNABHS5</v>
      </c>
      <c r="C276" s="286"/>
      <c r="D276" s="286"/>
      <c r="E276" s="278" t="s">
        <v>32</v>
      </c>
      <c r="F276" s="278"/>
      <c r="G276" s="278" t="s">
        <v>269</v>
      </c>
      <c r="H276" s="287">
        <f>1-TechData_R0!J45+1</f>
        <v>0.95</v>
      </c>
      <c r="I276" s="287">
        <f t="shared" ref="I276:Q276" si="262">H276</f>
        <v>0.95</v>
      </c>
      <c r="J276" s="287">
        <f t="shared" si="262"/>
        <v>0.95</v>
      </c>
      <c r="K276" s="287">
        <f t="shared" si="262"/>
        <v>0.95</v>
      </c>
      <c r="L276" s="287">
        <f t="shared" si="262"/>
        <v>0.95</v>
      </c>
      <c r="M276" s="287">
        <f t="shared" si="262"/>
        <v>0.95</v>
      </c>
      <c r="N276" s="287">
        <f t="shared" si="262"/>
        <v>0.95</v>
      </c>
      <c r="O276" s="287">
        <f t="shared" si="262"/>
        <v>0.95</v>
      </c>
      <c r="P276" s="287">
        <f t="shared" si="262"/>
        <v>0.95</v>
      </c>
      <c r="Q276" s="287">
        <f t="shared" si="262"/>
        <v>0.95</v>
      </c>
      <c r="R276" s="278">
        <v>1</v>
      </c>
      <c r="S276" s="278"/>
      <c r="T276" s="288">
        <v>5</v>
      </c>
      <c r="U276" s="289"/>
    </row>
    <row r="277" spans="1:21" x14ac:dyDescent="0.2">
      <c r="A277" s="256" t="s">
        <v>298</v>
      </c>
      <c r="B277" s="286" t="str">
        <f>TechData_R0!B46</f>
        <v>MINCNABHS6</v>
      </c>
      <c r="C277" s="286"/>
      <c r="D277" s="286"/>
      <c r="E277" s="278" t="s">
        <v>32</v>
      </c>
      <c r="F277" s="278"/>
      <c r="G277" s="278" t="s">
        <v>269</v>
      </c>
      <c r="H277" s="287">
        <f>1-TechData_R0!J46+1</f>
        <v>0.95</v>
      </c>
      <c r="I277" s="287">
        <f t="shared" ref="I277:Q277" si="263">H277</f>
        <v>0.95</v>
      </c>
      <c r="J277" s="287">
        <f t="shared" si="263"/>
        <v>0.95</v>
      </c>
      <c r="K277" s="287">
        <f t="shared" si="263"/>
        <v>0.95</v>
      </c>
      <c r="L277" s="287">
        <f t="shared" si="263"/>
        <v>0.95</v>
      </c>
      <c r="M277" s="287">
        <f t="shared" si="263"/>
        <v>0.95</v>
      </c>
      <c r="N277" s="287">
        <f t="shared" si="263"/>
        <v>0.95</v>
      </c>
      <c r="O277" s="287">
        <f t="shared" si="263"/>
        <v>0.95</v>
      </c>
      <c r="P277" s="287">
        <f t="shared" si="263"/>
        <v>0.95</v>
      </c>
      <c r="Q277" s="287">
        <f t="shared" si="263"/>
        <v>0.95</v>
      </c>
      <c r="R277" s="278">
        <v>1</v>
      </c>
      <c r="S277" s="278"/>
      <c r="T277" s="288">
        <v>5</v>
      </c>
      <c r="U277" s="289"/>
    </row>
    <row r="278" spans="1:21" x14ac:dyDescent="0.2">
      <c r="A278" s="256" t="s">
        <v>299</v>
      </c>
      <c r="B278" s="286" t="str">
        <f>TechData_R0!B48</f>
        <v>MINCCAPMU1</v>
      </c>
      <c r="C278" s="286"/>
      <c r="D278" s="286"/>
      <c r="E278" s="278" t="s">
        <v>32</v>
      </c>
      <c r="F278" s="278"/>
      <c r="G278" s="278" t="s">
        <v>269</v>
      </c>
      <c r="H278" s="287">
        <f>1-TechData_R0!J48+1</f>
        <v>0.95</v>
      </c>
      <c r="I278" s="287">
        <f t="shared" ref="I278:Q278" si="264">H278</f>
        <v>0.95</v>
      </c>
      <c r="J278" s="287">
        <f t="shared" si="264"/>
        <v>0.95</v>
      </c>
      <c r="K278" s="287">
        <f t="shared" si="264"/>
        <v>0.95</v>
      </c>
      <c r="L278" s="287">
        <f t="shared" si="264"/>
        <v>0.95</v>
      </c>
      <c r="M278" s="287">
        <f t="shared" si="264"/>
        <v>0.95</v>
      </c>
      <c r="N278" s="287">
        <f t="shared" si="264"/>
        <v>0.95</v>
      </c>
      <c r="O278" s="287">
        <f t="shared" si="264"/>
        <v>0.95</v>
      </c>
      <c r="P278" s="287">
        <f t="shared" si="264"/>
        <v>0.95</v>
      </c>
      <c r="Q278" s="287">
        <f t="shared" si="264"/>
        <v>0.95</v>
      </c>
      <c r="R278" s="278">
        <v>1</v>
      </c>
      <c r="S278" s="278"/>
      <c r="T278" s="288">
        <v>5</v>
      </c>
      <c r="U278" s="289"/>
    </row>
    <row r="279" spans="1:21" x14ac:dyDescent="0.2">
      <c r="A279" s="256" t="s">
        <v>300</v>
      </c>
      <c r="B279" s="286" t="str">
        <f>TechData_R0!B49</f>
        <v>MINCCAPMU2</v>
      </c>
      <c r="C279" s="286"/>
      <c r="D279" s="286"/>
      <c r="E279" s="278" t="s">
        <v>32</v>
      </c>
      <c r="F279" s="278"/>
      <c r="G279" s="278" t="s">
        <v>269</v>
      </c>
      <c r="H279" s="287">
        <f>1-TechData_R0!J49+1</f>
        <v>0.95</v>
      </c>
      <c r="I279" s="287">
        <f t="shared" ref="I279:Q279" si="265">H279</f>
        <v>0.95</v>
      </c>
      <c r="J279" s="287">
        <f t="shared" si="265"/>
        <v>0.95</v>
      </c>
      <c r="K279" s="287">
        <f t="shared" si="265"/>
        <v>0.95</v>
      </c>
      <c r="L279" s="287">
        <f t="shared" si="265"/>
        <v>0.95</v>
      </c>
      <c r="M279" s="287">
        <f t="shared" si="265"/>
        <v>0.95</v>
      </c>
      <c r="N279" s="287">
        <f t="shared" si="265"/>
        <v>0.95</v>
      </c>
      <c r="O279" s="287">
        <f t="shared" si="265"/>
        <v>0.95</v>
      </c>
      <c r="P279" s="287">
        <f t="shared" si="265"/>
        <v>0.95</v>
      </c>
      <c r="Q279" s="287">
        <f t="shared" si="265"/>
        <v>0.95</v>
      </c>
      <c r="R279" s="278">
        <v>1</v>
      </c>
      <c r="S279" s="278"/>
      <c r="T279" s="288">
        <v>5</v>
      </c>
      <c r="U279" s="289"/>
    </row>
    <row r="280" spans="1:21" x14ac:dyDescent="0.2">
      <c r="A280" s="256" t="s">
        <v>301</v>
      </c>
      <c r="B280" s="286" t="str">
        <f>TechData_R0!B50</f>
        <v>MINCCAPMU3</v>
      </c>
      <c r="C280" s="286"/>
      <c r="D280" s="286"/>
      <c r="E280" s="278" t="s">
        <v>32</v>
      </c>
      <c r="F280" s="278"/>
      <c r="G280" s="278" t="s">
        <v>269</v>
      </c>
      <c r="H280" s="287">
        <f>1-TechData_R0!J50+1</f>
        <v>0.95</v>
      </c>
      <c r="I280" s="287">
        <f t="shared" ref="I280:Q280" si="266">H280</f>
        <v>0.95</v>
      </c>
      <c r="J280" s="287">
        <f t="shared" si="266"/>
        <v>0.95</v>
      </c>
      <c r="K280" s="287">
        <f t="shared" si="266"/>
        <v>0.95</v>
      </c>
      <c r="L280" s="287">
        <f t="shared" si="266"/>
        <v>0.95</v>
      </c>
      <c r="M280" s="287">
        <f t="shared" si="266"/>
        <v>0.95</v>
      </c>
      <c r="N280" s="287">
        <f t="shared" si="266"/>
        <v>0.95</v>
      </c>
      <c r="O280" s="287">
        <f t="shared" si="266"/>
        <v>0.95</v>
      </c>
      <c r="P280" s="287">
        <f t="shared" si="266"/>
        <v>0.95</v>
      </c>
      <c r="Q280" s="287">
        <f t="shared" si="266"/>
        <v>0.95</v>
      </c>
      <c r="R280" s="278">
        <v>1</v>
      </c>
      <c r="S280" s="278"/>
      <c r="T280" s="288">
        <v>5</v>
      </c>
      <c r="U280" s="289"/>
    </row>
    <row r="281" spans="1:21" x14ac:dyDescent="0.2">
      <c r="A281" s="256" t="s">
        <v>302</v>
      </c>
      <c r="B281" s="286" t="str">
        <f>TechData_R0!B51</f>
        <v>MINCCAPMU4</v>
      </c>
      <c r="C281" s="286"/>
      <c r="D281" s="286"/>
      <c r="E281" s="278" t="s">
        <v>32</v>
      </c>
      <c r="F281" s="278"/>
      <c r="G281" s="278" t="s">
        <v>269</v>
      </c>
      <c r="H281" s="287">
        <f>1-TechData_R0!J51+1</f>
        <v>0.95</v>
      </c>
      <c r="I281" s="287">
        <f t="shared" ref="I281:Q281" si="267">H281</f>
        <v>0.95</v>
      </c>
      <c r="J281" s="287">
        <f t="shared" si="267"/>
        <v>0.95</v>
      </c>
      <c r="K281" s="287">
        <f t="shared" si="267"/>
        <v>0.95</v>
      </c>
      <c r="L281" s="287">
        <f t="shared" si="267"/>
        <v>0.95</v>
      </c>
      <c r="M281" s="287">
        <f t="shared" si="267"/>
        <v>0.95</v>
      </c>
      <c r="N281" s="287">
        <f t="shared" si="267"/>
        <v>0.95</v>
      </c>
      <c r="O281" s="287">
        <f t="shared" si="267"/>
        <v>0.95</v>
      </c>
      <c r="P281" s="287">
        <f t="shared" si="267"/>
        <v>0.95</v>
      </c>
      <c r="Q281" s="287">
        <f t="shared" si="267"/>
        <v>0.95</v>
      </c>
      <c r="R281" s="278">
        <v>1</v>
      </c>
      <c r="S281" s="278"/>
      <c r="T281" s="288">
        <v>5</v>
      </c>
      <c r="U281" s="289"/>
    </row>
    <row r="282" spans="1:21" x14ac:dyDescent="0.2">
      <c r="A282" s="256" t="s">
        <v>303</v>
      </c>
      <c r="B282" s="286" t="str">
        <f>TechData_R0!B52</f>
        <v>MINCCAPMU5</v>
      </c>
      <c r="C282" s="286"/>
      <c r="D282" s="286"/>
      <c r="E282" s="278" t="s">
        <v>32</v>
      </c>
      <c r="F282" s="278"/>
      <c r="G282" s="278" t="s">
        <v>269</v>
      </c>
      <c r="H282" s="287">
        <f>1-TechData_R0!J52+1</f>
        <v>0.95</v>
      </c>
      <c r="I282" s="287">
        <f t="shared" ref="I282:Q282" si="268">H282</f>
        <v>0.95</v>
      </c>
      <c r="J282" s="287">
        <f t="shared" si="268"/>
        <v>0.95</v>
      </c>
      <c r="K282" s="287">
        <f t="shared" si="268"/>
        <v>0.95</v>
      </c>
      <c r="L282" s="287">
        <f t="shared" si="268"/>
        <v>0.95</v>
      </c>
      <c r="M282" s="287">
        <f t="shared" si="268"/>
        <v>0.95</v>
      </c>
      <c r="N282" s="287">
        <f t="shared" si="268"/>
        <v>0.95</v>
      </c>
      <c r="O282" s="287">
        <f t="shared" si="268"/>
        <v>0.95</v>
      </c>
      <c r="P282" s="287">
        <f t="shared" si="268"/>
        <v>0.95</v>
      </c>
      <c r="Q282" s="287">
        <f t="shared" si="268"/>
        <v>0.95</v>
      </c>
      <c r="R282" s="278">
        <v>1</v>
      </c>
      <c r="S282" s="278"/>
      <c r="T282" s="288">
        <v>5</v>
      </c>
      <c r="U282" s="289"/>
    </row>
    <row r="283" spans="1:21" x14ac:dyDescent="0.2">
      <c r="A283" s="256" t="s">
        <v>304</v>
      </c>
      <c r="B283" s="286" t="str">
        <f>TechData_R0!B53</f>
        <v>MINCCAPMU6</v>
      </c>
      <c r="C283" s="286"/>
      <c r="D283" s="286"/>
      <c r="E283" s="278" t="s">
        <v>32</v>
      </c>
      <c r="F283" s="278"/>
      <c r="G283" s="278" t="s">
        <v>269</v>
      </c>
      <c r="H283" s="287">
        <f>1-TechData_R0!J53+1</f>
        <v>0.95</v>
      </c>
      <c r="I283" s="287">
        <f t="shared" ref="I283:Q283" si="269">H283</f>
        <v>0.95</v>
      </c>
      <c r="J283" s="287">
        <f t="shared" si="269"/>
        <v>0.95</v>
      </c>
      <c r="K283" s="287">
        <f t="shared" si="269"/>
        <v>0.95</v>
      </c>
      <c r="L283" s="287">
        <f t="shared" si="269"/>
        <v>0.95</v>
      </c>
      <c r="M283" s="287">
        <f t="shared" si="269"/>
        <v>0.95</v>
      </c>
      <c r="N283" s="287">
        <f t="shared" si="269"/>
        <v>0.95</v>
      </c>
      <c r="O283" s="287">
        <f t="shared" si="269"/>
        <v>0.95</v>
      </c>
      <c r="P283" s="287">
        <f t="shared" si="269"/>
        <v>0.95</v>
      </c>
      <c r="Q283" s="287">
        <f t="shared" si="269"/>
        <v>0.95</v>
      </c>
      <c r="R283" s="278">
        <v>1</v>
      </c>
      <c r="S283" s="278"/>
      <c r="T283" s="288">
        <v>5</v>
      </c>
      <c r="U283" s="289"/>
    </row>
    <row r="284" spans="1:21" x14ac:dyDescent="0.2">
      <c r="A284" s="256" t="s">
        <v>305</v>
      </c>
      <c r="B284" s="286" t="str">
        <f>TechData_R0!B55</f>
        <v>MINCCABLU1</v>
      </c>
      <c r="C284" s="286"/>
      <c r="D284" s="286"/>
      <c r="E284" s="278" t="s">
        <v>32</v>
      </c>
      <c r="F284" s="278"/>
      <c r="G284" s="278" t="s">
        <v>269</v>
      </c>
      <c r="H284" s="287">
        <f>1-TechData_R0!J55+1</f>
        <v>0.95</v>
      </c>
      <c r="I284" s="287">
        <f t="shared" ref="I284:Q284" si="270">H284</f>
        <v>0.95</v>
      </c>
      <c r="J284" s="287">
        <f t="shared" si="270"/>
        <v>0.95</v>
      </c>
      <c r="K284" s="287">
        <f t="shared" si="270"/>
        <v>0.95</v>
      </c>
      <c r="L284" s="287">
        <f t="shared" si="270"/>
        <v>0.95</v>
      </c>
      <c r="M284" s="287">
        <f t="shared" si="270"/>
        <v>0.95</v>
      </c>
      <c r="N284" s="287">
        <f t="shared" si="270"/>
        <v>0.95</v>
      </c>
      <c r="O284" s="287">
        <f t="shared" si="270"/>
        <v>0.95</v>
      </c>
      <c r="P284" s="287">
        <f t="shared" si="270"/>
        <v>0.95</v>
      </c>
      <c r="Q284" s="287">
        <f t="shared" si="270"/>
        <v>0.95</v>
      </c>
      <c r="R284" s="278">
        <v>1</v>
      </c>
      <c r="S284" s="278"/>
      <c r="T284" s="288">
        <v>5</v>
      </c>
      <c r="U284" s="289"/>
    </row>
    <row r="285" spans="1:21" x14ac:dyDescent="0.2">
      <c r="A285" s="256" t="s">
        <v>306</v>
      </c>
      <c r="B285" s="286" t="str">
        <f>TechData_R0!B56</f>
        <v>MINCCABLU2</v>
      </c>
      <c r="C285" s="286"/>
      <c r="D285" s="286"/>
      <c r="E285" s="278" t="s">
        <v>32</v>
      </c>
      <c r="F285" s="278"/>
      <c r="G285" s="278" t="s">
        <v>269</v>
      </c>
      <c r="H285" s="287">
        <f>1-TechData_R0!J56+1</f>
        <v>0.95</v>
      </c>
      <c r="I285" s="287">
        <f t="shared" ref="I285:Q285" si="271">H285</f>
        <v>0.95</v>
      </c>
      <c r="J285" s="287">
        <f t="shared" si="271"/>
        <v>0.95</v>
      </c>
      <c r="K285" s="287">
        <f t="shared" si="271"/>
        <v>0.95</v>
      </c>
      <c r="L285" s="287">
        <f t="shared" si="271"/>
        <v>0.95</v>
      </c>
      <c r="M285" s="287">
        <f t="shared" si="271"/>
        <v>0.95</v>
      </c>
      <c r="N285" s="287">
        <f t="shared" si="271"/>
        <v>0.95</v>
      </c>
      <c r="O285" s="287">
        <f t="shared" si="271"/>
        <v>0.95</v>
      </c>
      <c r="P285" s="287">
        <f t="shared" si="271"/>
        <v>0.95</v>
      </c>
      <c r="Q285" s="287">
        <f t="shared" si="271"/>
        <v>0.95</v>
      </c>
      <c r="R285" s="278">
        <v>1</v>
      </c>
      <c r="S285" s="278"/>
      <c r="T285" s="288">
        <v>5</v>
      </c>
      <c r="U285" s="289"/>
    </row>
    <row r="286" spans="1:21" x14ac:dyDescent="0.2">
      <c r="A286" s="256" t="s">
        <v>307</v>
      </c>
      <c r="B286" s="286" t="str">
        <f>TechData_R0!B57</f>
        <v>MINCCABLU3</v>
      </c>
      <c r="C286" s="286"/>
      <c r="D286" s="286"/>
      <c r="E286" s="278" t="s">
        <v>32</v>
      </c>
      <c r="F286" s="278"/>
      <c r="G286" s="278" t="s">
        <v>269</v>
      </c>
      <c r="H286" s="287">
        <f>1-TechData_R0!J57+1</f>
        <v>0.95</v>
      </c>
      <c r="I286" s="287">
        <f t="shared" ref="I286:Q286" si="272">H286</f>
        <v>0.95</v>
      </c>
      <c r="J286" s="287">
        <f t="shared" si="272"/>
        <v>0.95</v>
      </c>
      <c r="K286" s="287">
        <f t="shared" si="272"/>
        <v>0.95</v>
      </c>
      <c r="L286" s="287">
        <f t="shared" si="272"/>
        <v>0.95</v>
      </c>
      <c r="M286" s="287">
        <f t="shared" si="272"/>
        <v>0.95</v>
      </c>
      <c r="N286" s="287">
        <f t="shared" si="272"/>
        <v>0.95</v>
      </c>
      <c r="O286" s="287">
        <f t="shared" si="272"/>
        <v>0.95</v>
      </c>
      <c r="P286" s="287">
        <f t="shared" si="272"/>
        <v>0.95</v>
      </c>
      <c r="Q286" s="287">
        <f t="shared" si="272"/>
        <v>0.95</v>
      </c>
      <c r="R286" s="278">
        <v>1</v>
      </c>
      <c r="S286" s="278"/>
      <c r="T286" s="288">
        <v>5</v>
      </c>
      <c r="U286" s="289"/>
    </row>
    <row r="287" spans="1:21" x14ac:dyDescent="0.2">
      <c r="A287" s="256" t="s">
        <v>308</v>
      </c>
      <c r="B287" s="286" t="str">
        <f>TechData_R0!B58</f>
        <v>MINCCABLU4</v>
      </c>
      <c r="C287" s="286"/>
      <c r="D287" s="286"/>
      <c r="E287" s="278" t="s">
        <v>32</v>
      </c>
      <c r="F287" s="278"/>
      <c r="G287" s="278" t="s">
        <v>269</v>
      </c>
      <c r="H287" s="287">
        <f>1-TechData_R0!J58+1</f>
        <v>0.95</v>
      </c>
      <c r="I287" s="287">
        <f t="shared" ref="I287:Q287" si="273">H287</f>
        <v>0.95</v>
      </c>
      <c r="J287" s="287">
        <f t="shared" si="273"/>
        <v>0.95</v>
      </c>
      <c r="K287" s="287">
        <f t="shared" si="273"/>
        <v>0.95</v>
      </c>
      <c r="L287" s="287">
        <f t="shared" si="273"/>
        <v>0.95</v>
      </c>
      <c r="M287" s="287">
        <f t="shared" si="273"/>
        <v>0.95</v>
      </c>
      <c r="N287" s="287">
        <f t="shared" si="273"/>
        <v>0.95</v>
      </c>
      <c r="O287" s="287">
        <f t="shared" si="273"/>
        <v>0.95</v>
      </c>
      <c r="P287" s="287">
        <f t="shared" si="273"/>
        <v>0.95</v>
      </c>
      <c r="Q287" s="287">
        <f t="shared" si="273"/>
        <v>0.95</v>
      </c>
      <c r="R287" s="278">
        <v>1</v>
      </c>
      <c r="S287" s="278"/>
      <c r="T287" s="288">
        <v>5</v>
      </c>
      <c r="U287" s="289"/>
    </row>
    <row r="288" spans="1:21" x14ac:dyDescent="0.2">
      <c r="A288" s="256" t="s">
        <v>309</v>
      </c>
      <c r="B288" s="286" t="str">
        <f>TechData_R0!B59</f>
        <v>MINCCABLU5</v>
      </c>
      <c r="C288" s="286"/>
      <c r="D288" s="286"/>
      <c r="E288" s="278" t="s">
        <v>32</v>
      </c>
      <c r="F288" s="278"/>
      <c r="G288" s="278" t="s">
        <v>269</v>
      </c>
      <c r="H288" s="287">
        <f>1-TechData_R0!J59+1</f>
        <v>0.95</v>
      </c>
      <c r="I288" s="287">
        <f t="shared" ref="I288:Q288" si="274">H288</f>
        <v>0.95</v>
      </c>
      <c r="J288" s="287">
        <f t="shared" si="274"/>
        <v>0.95</v>
      </c>
      <c r="K288" s="287">
        <f t="shared" si="274"/>
        <v>0.95</v>
      </c>
      <c r="L288" s="287">
        <f t="shared" si="274"/>
        <v>0.95</v>
      </c>
      <c r="M288" s="287">
        <f t="shared" si="274"/>
        <v>0.95</v>
      </c>
      <c r="N288" s="287">
        <f t="shared" si="274"/>
        <v>0.95</v>
      </c>
      <c r="O288" s="287">
        <f t="shared" si="274"/>
        <v>0.95</v>
      </c>
      <c r="P288" s="287">
        <f t="shared" si="274"/>
        <v>0.95</v>
      </c>
      <c r="Q288" s="287">
        <f t="shared" si="274"/>
        <v>0.95</v>
      </c>
      <c r="R288" s="278">
        <v>1</v>
      </c>
      <c r="S288" s="278"/>
      <c r="T288" s="288">
        <v>5</v>
      </c>
      <c r="U288" s="289"/>
    </row>
    <row r="289" spans="1:21" x14ac:dyDescent="0.2">
      <c r="A289" s="256" t="s">
        <v>310</v>
      </c>
      <c r="B289" s="286" t="str">
        <f>TechData_R0!B60</f>
        <v>MINCCABLU6</v>
      </c>
      <c r="C289" s="286"/>
      <c r="D289" s="286"/>
      <c r="E289" s="278" t="s">
        <v>32</v>
      </c>
      <c r="F289" s="278"/>
      <c r="G289" s="278" t="s">
        <v>269</v>
      </c>
      <c r="H289" s="287">
        <f>1-TechData_R0!J60+1</f>
        <v>0.95</v>
      </c>
      <c r="I289" s="287">
        <f t="shared" ref="I289:Q289" si="275">H289</f>
        <v>0.95</v>
      </c>
      <c r="J289" s="287">
        <f t="shared" si="275"/>
        <v>0.95</v>
      </c>
      <c r="K289" s="287">
        <f t="shared" si="275"/>
        <v>0.95</v>
      </c>
      <c r="L289" s="287">
        <f t="shared" si="275"/>
        <v>0.95</v>
      </c>
      <c r="M289" s="287">
        <f t="shared" si="275"/>
        <v>0.95</v>
      </c>
      <c r="N289" s="287">
        <f t="shared" si="275"/>
        <v>0.95</v>
      </c>
      <c r="O289" s="287">
        <f t="shared" si="275"/>
        <v>0.95</v>
      </c>
      <c r="P289" s="287">
        <f t="shared" si="275"/>
        <v>0.95</v>
      </c>
      <c r="Q289" s="287">
        <f t="shared" si="275"/>
        <v>0.95</v>
      </c>
      <c r="R289" s="278">
        <v>1</v>
      </c>
      <c r="S289" s="278"/>
      <c r="T289" s="288">
        <v>5</v>
      </c>
      <c r="U289" s="289"/>
    </row>
    <row r="290" spans="1:21" x14ac:dyDescent="0.2">
      <c r="A290" s="256" t="s">
        <v>311</v>
      </c>
      <c r="B290" s="286" t="str">
        <f>TechData_R0!B62</f>
        <v>MINCCABLS1</v>
      </c>
      <c r="C290" s="286"/>
      <c r="D290" s="286"/>
      <c r="E290" s="278" t="s">
        <v>32</v>
      </c>
      <c r="F290" s="278"/>
      <c r="G290" s="278" t="s">
        <v>269</v>
      </c>
      <c r="H290" s="287">
        <f>1-TechData_R0!J62+1</f>
        <v>0.95</v>
      </c>
      <c r="I290" s="287">
        <f t="shared" ref="I290:Q290" si="276">H290</f>
        <v>0.95</v>
      </c>
      <c r="J290" s="287">
        <f t="shared" si="276"/>
        <v>0.95</v>
      </c>
      <c r="K290" s="287">
        <f t="shared" si="276"/>
        <v>0.95</v>
      </c>
      <c r="L290" s="287">
        <f t="shared" si="276"/>
        <v>0.95</v>
      </c>
      <c r="M290" s="287">
        <f t="shared" si="276"/>
        <v>0.95</v>
      </c>
      <c r="N290" s="287">
        <f t="shared" si="276"/>
        <v>0.95</v>
      </c>
      <c r="O290" s="287">
        <f t="shared" si="276"/>
        <v>0.95</v>
      </c>
      <c r="P290" s="287">
        <f t="shared" si="276"/>
        <v>0.95</v>
      </c>
      <c r="Q290" s="287">
        <f t="shared" si="276"/>
        <v>0.95</v>
      </c>
      <c r="R290" s="278">
        <v>1</v>
      </c>
      <c r="S290" s="278"/>
      <c r="T290" s="288">
        <v>5</v>
      </c>
      <c r="U290" s="289"/>
    </row>
    <row r="291" spans="1:21" x14ac:dyDescent="0.2">
      <c r="A291" s="256" t="s">
        <v>312</v>
      </c>
      <c r="B291" s="286" t="str">
        <f>TechData_R0!B63</f>
        <v>MINCCABLS2</v>
      </c>
      <c r="C291" s="286"/>
      <c r="D291" s="286"/>
      <c r="E291" s="278" t="s">
        <v>32</v>
      </c>
      <c r="F291" s="278"/>
      <c r="G291" s="278" t="s">
        <v>269</v>
      </c>
      <c r="H291" s="287">
        <f>1-TechData_R0!J63+1</f>
        <v>0.95</v>
      </c>
      <c r="I291" s="287">
        <f t="shared" ref="I291:Q291" si="277">H291</f>
        <v>0.95</v>
      </c>
      <c r="J291" s="287">
        <f t="shared" si="277"/>
        <v>0.95</v>
      </c>
      <c r="K291" s="287">
        <f t="shared" si="277"/>
        <v>0.95</v>
      </c>
      <c r="L291" s="287">
        <f t="shared" si="277"/>
        <v>0.95</v>
      </c>
      <c r="M291" s="287">
        <f t="shared" si="277"/>
        <v>0.95</v>
      </c>
      <c r="N291" s="287">
        <f t="shared" si="277"/>
        <v>0.95</v>
      </c>
      <c r="O291" s="287">
        <f t="shared" si="277"/>
        <v>0.95</v>
      </c>
      <c r="P291" s="287">
        <f t="shared" si="277"/>
        <v>0.95</v>
      </c>
      <c r="Q291" s="287">
        <f t="shared" si="277"/>
        <v>0.95</v>
      </c>
      <c r="R291" s="278">
        <v>1</v>
      </c>
      <c r="S291" s="278"/>
      <c r="T291" s="288">
        <v>5</v>
      </c>
      <c r="U291" s="289"/>
    </row>
    <row r="292" spans="1:21" x14ac:dyDescent="0.2">
      <c r="A292" s="256" t="s">
        <v>313</v>
      </c>
      <c r="B292" s="286" t="str">
        <f>TechData_R0!B64</f>
        <v>MINCCABLS3</v>
      </c>
      <c r="C292" s="286"/>
      <c r="D292" s="286"/>
      <c r="E292" s="278" t="s">
        <v>32</v>
      </c>
      <c r="F292" s="278"/>
      <c r="G292" s="278" t="s">
        <v>269</v>
      </c>
      <c r="H292" s="287">
        <f>1-TechData_R0!J64+1</f>
        <v>0.95</v>
      </c>
      <c r="I292" s="287">
        <f t="shared" ref="I292:Q292" si="278">H292</f>
        <v>0.95</v>
      </c>
      <c r="J292" s="287">
        <f t="shared" si="278"/>
        <v>0.95</v>
      </c>
      <c r="K292" s="287">
        <f t="shared" si="278"/>
        <v>0.95</v>
      </c>
      <c r="L292" s="287">
        <f t="shared" si="278"/>
        <v>0.95</v>
      </c>
      <c r="M292" s="287">
        <f t="shared" si="278"/>
        <v>0.95</v>
      </c>
      <c r="N292" s="287">
        <f t="shared" si="278"/>
        <v>0.95</v>
      </c>
      <c r="O292" s="287">
        <f t="shared" si="278"/>
        <v>0.95</v>
      </c>
      <c r="P292" s="287">
        <f t="shared" si="278"/>
        <v>0.95</v>
      </c>
      <c r="Q292" s="287">
        <f t="shared" si="278"/>
        <v>0.95</v>
      </c>
      <c r="R292" s="278">
        <v>1</v>
      </c>
      <c r="S292" s="278"/>
      <c r="T292" s="288">
        <v>5</v>
      </c>
      <c r="U292" s="289"/>
    </row>
    <row r="293" spans="1:21" x14ac:dyDescent="0.2">
      <c r="A293" s="256" t="s">
        <v>314</v>
      </c>
      <c r="B293" s="286" t="str">
        <f>TechData_R0!B65</f>
        <v>MINCCABLS4</v>
      </c>
      <c r="C293" s="286"/>
      <c r="D293" s="286"/>
      <c r="E293" s="278" t="s">
        <v>32</v>
      </c>
      <c r="F293" s="278"/>
      <c r="G293" s="278" t="s">
        <v>269</v>
      </c>
      <c r="H293" s="287">
        <f>1-TechData_R0!J65+1</f>
        <v>0.95</v>
      </c>
      <c r="I293" s="287">
        <f t="shared" ref="I293:Q293" si="279">H293</f>
        <v>0.95</v>
      </c>
      <c r="J293" s="287">
        <f t="shared" si="279"/>
        <v>0.95</v>
      </c>
      <c r="K293" s="287">
        <f t="shared" si="279"/>
        <v>0.95</v>
      </c>
      <c r="L293" s="287">
        <f t="shared" si="279"/>
        <v>0.95</v>
      </c>
      <c r="M293" s="287">
        <f t="shared" si="279"/>
        <v>0.95</v>
      </c>
      <c r="N293" s="287">
        <f t="shared" si="279"/>
        <v>0.95</v>
      </c>
      <c r="O293" s="287">
        <f t="shared" si="279"/>
        <v>0.95</v>
      </c>
      <c r="P293" s="287">
        <f t="shared" si="279"/>
        <v>0.95</v>
      </c>
      <c r="Q293" s="287">
        <f t="shared" si="279"/>
        <v>0.95</v>
      </c>
      <c r="R293" s="278">
        <v>1</v>
      </c>
      <c r="S293" s="278"/>
      <c r="T293" s="288">
        <v>5</v>
      </c>
      <c r="U293" s="289"/>
    </row>
    <row r="294" spans="1:21" x14ac:dyDescent="0.2">
      <c r="A294" s="256" t="s">
        <v>315</v>
      </c>
      <c r="B294" s="286" t="str">
        <f>TechData_R0!B66</f>
        <v>MINCCABLS5</v>
      </c>
      <c r="C294" s="286"/>
      <c r="D294" s="286"/>
      <c r="E294" s="278" t="s">
        <v>32</v>
      </c>
      <c r="F294" s="278"/>
      <c r="G294" s="278" t="s">
        <v>269</v>
      </c>
      <c r="H294" s="287">
        <f>1-TechData_R0!J66+1</f>
        <v>0.95</v>
      </c>
      <c r="I294" s="287">
        <f t="shared" ref="I294:Q294" si="280">H294</f>
        <v>0.95</v>
      </c>
      <c r="J294" s="287">
        <f t="shared" si="280"/>
        <v>0.95</v>
      </c>
      <c r="K294" s="287">
        <f t="shared" si="280"/>
        <v>0.95</v>
      </c>
      <c r="L294" s="287">
        <f t="shared" si="280"/>
        <v>0.95</v>
      </c>
      <c r="M294" s="287">
        <f t="shared" si="280"/>
        <v>0.95</v>
      </c>
      <c r="N294" s="287">
        <f t="shared" si="280"/>
        <v>0.95</v>
      </c>
      <c r="O294" s="287">
        <f t="shared" si="280"/>
        <v>0.95</v>
      </c>
      <c r="P294" s="287">
        <f t="shared" si="280"/>
        <v>0.95</v>
      </c>
      <c r="Q294" s="287">
        <f t="shared" si="280"/>
        <v>0.95</v>
      </c>
      <c r="R294" s="278">
        <v>1</v>
      </c>
      <c r="S294" s="278"/>
      <c r="T294" s="288">
        <v>5</v>
      </c>
      <c r="U294" s="289"/>
    </row>
    <row r="295" spans="1:21" x14ac:dyDescent="0.2">
      <c r="A295" s="256" t="s">
        <v>316</v>
      </c>
      <c r="B295" s="286" t="str">
        <f>TechData_R0!B67</f>
        <v>MINCCABLS6</v>
      </c>
      <c r="C295" s="286"/>
      <c r="D295" s="286"/>
      <c r="E295" s="278" t="s">
        <v>32</v>
      </c>
      <c r="F295" s="278"/>
      <c r="G295" s="278" t="s">
        <v>269</v>
      </c>
      <c r="H295" s="287">
        <f>1-TechData_R0!J67+1</f>
        <v>0.95</v>
      </c>
      <c r="I295" s="287">
        <f t="shared" ref="I295:Q295" si="281">H295</f>
        <v>0.95</v>
      </c>
      <c r="J295" s="287">
        <f t="shared" si="281"/>
        <v>0.95</v>
      </c>
      <c r="K295" s="287">
        <f t="shared" si="281"/>
        <v>0.95</v>
      </c>
      <c r="L295" s="287">
        <f t="shared" si="281"/>
        <v>0.95</v>
      </c>
      <c r="M295" s="287">
        <f t="shared" si="281"/>
        <v>0.95</v>
      </c>
      <c r="N295" s="287">
        <f t="shared" si="281"/>
        <v>0.95</v>
      </c>
      <c r="O295" s="287">
        <f t="shared" si="281"/>
        <v>0.95</v>
      </c>
      <c r="P295" s="287">
        <f t="shared" si="281"/>
        <v>0.95</v>
      </c>
      <c r="Q295" s="287">
        <f t="shared" si="281"/>
        <v>0.95</v>
      </c>
      <c r="R295" s="278">
        <v>1</v>
      </c>
      <c r="S295" s="278"/>
      <c r="T295" s="288">
        <v>5</v>
      </c>
      <c r="U295" s="289"/>
    </row>
    <row r="296" spans="1:21" x14ac:dyDescent="0.2">
      <c r="A296" s="256" t="s">
        <v>317</v>
      </c>
      <c r="B296" s="286" t="str">
        <f>TechData_R0!B69</f>
        <v>MINCCABMU1</v>
      </c>
      <c r="C296" s="286"/>
      <c r="D296" s="286"/>
      <c r="E296" s="278" t="s">
        <v>32</v>
      </c>
      <c r="F296" s="278"/>
      <c r="G296" s="278" t="s">
        <v>269</v>
      </c>
      <c r="H296" s="287">
        <f>1-TechData_R0!J69+1</f>
        <v>0.95</v>
      </c>
      <c r="I296" s="287">
        <f t="shared" ref="I296:Q296" si="282">H296</f>
        <v>0.95</v>
      </c>
      <c r="J296" s="287">
        <f t="shared" si="282"/>
        <v>0.95</v>
      </c>
      <c r="K296" s="287">
        <f t="shared" si="282"/>
        <v>0.95</v>
      </c>
      <c r="L296" s="287">
        <f t="shared" si="282"/>
        <v>0.95</v>
      </c>
      <c r="M296" s="287">
        <f t="shared" si="282"/>
        <v>0.95</v>
      </c>
      <c r="N296" s="287">
        <f t="shared" si="282"/>
        <v>0.95</v>
      </c>
      <c r="O296" s="287">
        <f t="shared" si="282"/>
        <v>0.95</v>
      </c>
      <c r="P296" s="287">
        <f t="shared" si="282"/>
        <v>0.95</v>
      </c>
      <c r="Q296" s="287">
        <f t="shared" si="282"/>
        <v>0.95</v>
      </c>
      <c r="R296" s="278">
        <v>1</v>
      </c>
      <c r="S296" s="278"/>
      <c r="T296" s="288">
        <v>5</v>
      </c>
      <c r="U296" s="289"/>
    </row>
    <row r="297" spans="1:21" x14ac:dyDescent="0.2">
      <c r="A297" s="256" t="s">
        <v>318</v>
      </c>
      <c r="B297" s="286" t="str">
        <f>TechData_R0!B70</f>
        <v>MINCCABMU2</v>
      </c>
      <c r="C297" s="286"/>
      <c r="D297" s="286"/>
      <c r="E297" s="278" t="s">
        <v>32</v>
      </c>
      <c r="F297" s="278"/>
      <c r="G297" s="278" t="s">
        <v>269</v>
      </c>
      <c r="H297" s="287">
        <f>1-TechData_R0!J70+1</f>
        <v>0.95</v>
      </c>
      <c r="I297" s="287">
        <f t="shared" ref="I297:Q297" si="283">H297</f>
        <v>0.95</v>
      </c>
      <c r="J297" s="287">
        <f t="shared" si="283"/>
        <v>0.95</v>
      </c>
      <c r="K297" s="287">
        <f t="shared" si="283"/>
        <v>0.95</v>
      </c>
      <c r="L297" s="287">
        <f t="shared" si="283"/>
        <v>0.95</v>
      </c>
      <c r="M297" s="287">
        <f t="shared" si="283"/>
        <v>0.95</v>
      </c>
      <c r="N297" s="287">
        <f t="shared" si="283"/>
        <v>0.95</v>
      </c>
      <c r="O297" s="287">
        <f t="shared" si="283"/>
        <v>0.95</v>
      </c>
      <c r="P297" s="287">
        <f t="shared" si="283"/>
        <v>0.95</v>
      </c>
      <c r="Q297" s="287">
        <f t="shared" si="283"/>
        <v>0.95</v>
      </c>
      <c r="R297" s="278">
        <v>1</v>
      </c>
      <c r="S297" s="278"/>
      <c r="T297" s="288">
        <v>5</v>
      </c>
      <c r="U297" s="289"/>
    </row>
    <row r="298" spans="1:21" x14ac:dyDescent="0.2">
      <c r="A298" s="256" t="s">
        <v>319</v>
      </c>
      <c r="B298" s="286" t="str">
        <f>TechData_R0!B71</f>
        <v>MINCCABMU3</v>
      </c>
      <c r="C298" s="286"/>
      <c r="D298" s="286"/>
      <c r="E298" s="278" t="s">
        <v>32</v>
      </c>
      <c r="F298" s="278"/>
      <c r="G298" s="278" t="s">
        <v>269</v>
      </c>
      <c r="H298" s="287">
        <f>1-TechData_R0!J71+1</f>
        <v>0.95</v>
      </c>
      <c r="I298" s="287">
        <f t="shared" ref="I298:Q298" si="284">H298</f>
        <v>0.95</v>
      </c>
      <c r="J298" s="287">
        <f t="shared" si="284"/>
        <v>0.95</v>
      </c>
      <c r="K298" s="287">
        <f t="shared" si="284"/>
        <v>0.95</v>
      </c>
      <c r="L298" s="287">
        <f t="shared" si="284"/>
        <v>0.95</v>
      </c>
      <c r="M298" s="287">
        <f t="shared" si="284"/>
        <v>0.95</v>
      </c>
      <c r="N298" s="287">
        <f t="shared" si="284"/>
        <v>0.95</v>
      </c>
      <c r="O298" s="287">
        <f t="shared" si="284"/>
        <v>0.95</v>
      </c>
      <c r="P298" s="287">
        <f t="shared" si="284"/>
        <v>0.95</v>
      </c>
      <c r="Q298" s="287">
        <f t="shared" si="284"/>
        <v>0.95</v>
      </c>
      <c r="R298" s="278">
        <v>1</v>
      </c>
      <c r="S298" s="278"/>
      <c r="T298" s="288">
        <v>5</v>
      </c>
      <c r="U298" s="289"/>
    </row>
    <row r="299" spans="1:21" x14ac:dyDescent="0.2">
      <c r="A299" s="256" t="s">
        <v>320</v>
      </c>
      <c r="B299" s="286" t="str">
        <f>TechData_R0!B72</f>
        <v>MINCCABMU4</v>
      </c>
      <c r="C299" s="286"/>
      <c r="D299" s="286"/>
      <c r="E299" s="278" t="s">
        <v>32</v>
      </c>
      <c r="F299" s="278"/>
      <c r="G299" s="278" t="s">
        <v>269</v>
      </c>
      <c r="H299" s="287">
        <f>1-TechData_R0!J72+1</f>
        <v>0.95</v>
      </c>
      <c r="I299" s="287">
        <f t="shared" ref="I299:Q299" si="285">H299</f>
        <v>0.95</v>
      </c>
      <c r="J299" s="287">
        <f t="shared" si="285"/>
        <v>0.95</v>
      </c>
      <c r="K299" s="287">
        <f t="shared" si="285"/>
        <v>0.95</v>
      </c>
      <c r="L299" s="287">
        <f t="shared" si="285"/>
        <v>0.95</v>
      </c>
      <c r="M299" s="287">
        <f t="shared" si="285"/>
        <v>0.95</v>
      </c>
      <c r="N299" s="287">
        <f t="shared" si="285"/>
        <v>0.95</v>
      </c>
      <c r="O299" s="287">
        <f t="shared" si="285"/>
        <v>0.95</v>
      </c>
      <c r="P299" s="287">
        <f t="shared" si="285"/>
        <v>0.95</v>
      </c>
      <c r="Q299" s="287">
        <f t="shared" si="285"/>
        <v>0.95</v>
      </c>
      <c r="R299" s="278">
        <v>1</v>
      </c>
      <c r="S299" s="278"/>
      <c r="T299" s="288">
        <v>5</v>
      </c>
      <c r="U299" s="289"/>
    </row>
    <row r="300" spans="1:21" x14ac:dyDescent="0.2">
      <c r="A300" s="256" t="s">
        <v>321</v>
      </c>
      <c r="B300" s="286" t="str">
        <f>TechData_R0!B73</f>
        <v>MINCCABMU5</v>
      </c>
      <c r="C300" s="286"/>
      <c r="D300" s="286"/>
      <c r="E300" s="278" t="s">
        <v>32</v>
      </c>
      <c r="F300" s="278"/>
      <c r="G300" s="278" t="s">
        <v>269</v>
      </c>
      <c r="H300" s="287">
        <f>1-TechData_R0!J73+1</f>
        <v>0.95</v>
      </c>
      <c r="I300" s="287">
        <f t="shared" ref="I300:Q300" si="286">H300</f>
        <v>0.95</v>
      </c>
      <c r="J300" s="287">
        <f t="shared" si="286"/>
        <v>0.95</v>
      </c>
      <c r="K300" s="287">
        <f t="shared" si="286"/>
        <v>0.95</v>
      </c>
      <c r="L300" s="287">
        <f t="shared" si="286"/>
        <v>0.95</v>
      </c>
      <c r="M300" s="287">
        <f t="shared" si="286"/>
        <v>0.95</v>
      </c>
      <c r="N300" s="287">
        <f t="shared" si="286"/>
        <v>0.95</v>
      </c>
      <c r="O300" s="287">
        <f t="shared" si="286"/>
        <v>0.95</v>
      </c>
      <c r="P300" s="287">
        <f t="shared" si="286"/>
        <v>0.95</v>
      </c>
      <c r="Q300" s="287">
        <f t="shared" si="286"/>
        <v>0.95</v>
      </c>
      <c r="R300" s="278">
        <v>1</v>
      </c>
      <c r="S300" s="278"/>
      <c r="T300" s="288">
        <v>5</v>
      </c>
      <c r="U300" s="289"/>
    </row>
    <row r="301" spans="1:21" x14ac:dyDescent="0.2">
      <c r="A301" s="256" t="s">
        <v>322</v>
      </c>
      <c r="B301" s="286" t="str">
        <f>TechData_R0!B74</f>
        <v>MINCCABMU6</v>
      </c>
      <c r="C301" s="286"/>
      <c r="D301" s="286"/>
      <c r="E301" s="278" t="s">
        <v>32</v>
      </c>
      <c r="F301" s="278"/>
      <c r="G301" s="278" t="s">
        <v>269</v>
      </c>
      <c r="H301" s="287">
        <f>1-TechData_R0!J74+1</f>
        <v>0.95</v>
      </c>
      <c r="I301" s="287">
        <f t="shared" ref="I301:Q301" si="287">H301</f>
        <v>0.95</v>
      </c>
      <c r="J301" s="287">
        <f t="shared" si="287"/>
        <v>0.95</v>
      </c>
      <c r="K301" s="287">
        <f t="shared" si="287"/>
        <v>0.95</v>
      </c>
      <c r="L301" s="287">
        <f t="shared" si="287"/>
        <v>0.95</v>
      </c>
      <c r="M301" s="287">
        <f t="shared" si="287"/>
        <v>0.95</v>
      </c>
      <c r="N301" s="287">
        <f t="shared" si="287"/>
        <v>0.95</v>
      </c>
      <c r="O301" s="287">
        <f t="shared" si="287"/>
        <v>0.95</v>
      </c>
      <c r="P301" s="287">
        <f t="shared" si="287"/>
        <v>0.95</v>
      </c>
      <c r="Q301" s="287">
        <f t="shared" si="287"/>
        <v>0.95</v>
      </c>
      <c r="R301" s="278">
        <v>1</v>
      </c>
      <c r="S301" s="278"/>
      <c r="T301" s="288">
        <v>5</v>
      </c>
      <c r="U301" s="289"/>
    </row>
    <row r="302" spans="1:21" x14ac:dyDescent="0.2">
      <c r="A302" s="256" t="s">
        <v>323</v>
      </c>
      <c r="B302" s="286" t="str">
        <f>TechData_R0!B76</f>
        <v>MINCCABMS1</v>
      </c>
      <c r="C302" s="286"/>
      <c r="D302" s="286"/>
      <c r="E302" s="278" t="s">
        <v>32</v>
      </c>
      <c r="F302" s="278"/>
      <c r="G302" s="278" t="s">
        <v>269</v>
      </c>
      <c r="H302" s="287">
        <f>1-TechData_R0!J76+1</f>
        <v>0.95</v>
      </c>
      <c r="I302" s="287">
        <f t="shared" ref="I302:Q302" si="288">H302</f>
        <v>0.95</v>
      </c>
      <c r="J302" s="287">
        <f t="shared" si="288"/>
        <v>0.95</v>
      </c>
      <c r="K302" s="287">
        <f t="shared" si="288"/>
        <v>0.95</v>
      </c>
      <c r="L302" s="287">
        <f t="shared" si="288"/>
        <v>0.95</v>
      </c>
      <c r="M302" s="287">
        <f t="shared" si="288"/>
        <v>0.95</v>
      </c>
      <c r="N302" s="287">
        <f t="shared" si="288"/>
        <v>0.95</v>
      </c>
      <c r="O302" s="287">
        <f t="shared" si="288"/>
        <v>0.95</v>
      </c>
      <c r="P302" s="287">
        <f t="shared" si="288"/>
        <v>0.95</v>
      </c>
      <c r="Q302" s="287">
        <f t="shared" si="288"/>
        <v>0.95</v>
      </c>
      <c r="R302" s="278">
        <v>1</v>
      </c>
      <c r="S302" s="278"/>
      <c r="T302" s="288">
        <v>5</v>
      </c>
      <c r="U302" s="289"/>
    </row>
    <row r="303" spans="1:21" x14ac:dyDescent="0.2">
      <c r="A303" s="256" t="s">
        <v>324</v>
      </c>
      <c r="B303" s="286" t="str">
        <f>TechData_R0!B77</f>
        <v>MINCCABMS2</v>
      </c>
      <c r="C303" s="286"/>
      <c r="D303" s="286"/>
      <c r="E303" s="278" t="s">
        <v>32</v>
      </c>
      <c r="F303" s="278"/>
      <c r="G303" s="278" t="s">
        <v>269</v>
      </c>
      <c r="H303" s="287">
        <f>1-TechData_R0!J77+1</f>
        <v>0.95</v>
      </c>
      <c r="I303" s="287">
        <f t="shared" ref="I303:Q303" si="289">H303</f>
        <v>0.95</v>
      </c>
      <c r="J303" s="287">
        <f t="shared" si="289"/>
        <v>0.95</v>
      </c>
      <c r="K303" s="287">
        <f t="shared" si="289"/>
        <v>0.95</v>
      </c>
      <c r="L303" s="287">
        <f t="shared" si="289"/>
        <v>0.95</v>
      </c>
      <c r="M303" s="287">
        <f t="shared" si="289"/>
        <v>0.95</v>
      </c>
      <c r="N303" s="287">
        <f t="shared" si="289"/>
        <v>0.95</v>
      </c>
      <c r="O303" s="287">
        <f t="shared" si="289"/>
        <v>0.95</v>
      </c>
      <c r="P303" s="287">
        <f t="shared" si="289"/>
        <v>0.95</v>
      </c>
      <c r="Q303" s="287">
        <f t="shared" si="289"/>
        <v>0.95</v>
      </c>
      <c r="R303" s="278">
        <v>1</v>
      </c>
      <c r="S303" s="278"/>
      <c r="T303" s="288">
        <v>5</v>
      </c>
      <c r="U303" s="289"/>
    </row>
    <row r="304" spans="1:21" x14ac:dyDescent="0.2">
      <c r="A304" s="256" t="s">
        <v>325</v>
      </c>
      <c r="B304" s="286" t="str">
        <f>TechData_R0!B78</f>
        <v>MINCCABMS3</v>
      </c>
      <c r="C304" s="286"/>
      <c r="D304" s="286"/>
      <c r="E304" s="278" t="s">
        <v>32</v>
      </c>
      <c r="F304" s="278"/>
      <c r="G304" s="278" t="s">
        <v>269</v>
      </c>
      <c r="H304" s="287">
        <f>1-TechData_R0!J78+1</f>
        <v>0.95</v>
      </c>
      <c r="I304" s="287">
        <f t="shared" ref="I304:Q304" si="290">H304</f>
        <v>0.95</v>
      </c>
      <c r="J304" s="287">
        <f t="shared" si="290"/>
        <v>0.95</v>
      </c>
      <c r="K304" s="287">
        <f t="shared" si="290"/>
        <v>0.95</v>
      </c>
      <c r="L304" s="287">
        <f t="shared" si="290"/>
        <v>0.95</v>
      </c>
      <c r="M304" s="287">
        <f t="shared" si="290"/>
        <v>0.95</v>
      </c>
      <c r="N304" s="287">
        <f t="shared" si="290"/>
        <v>0.95</v>
      </c>
      <c r="O304" s="287">
        <f t="shared" si="290"/>
        <v>0.95</v>
      </c>
      <c r="P304" s="287">
        <f t="shared" si="290"/>
        <v>0.95</v>
      </c>
      <c r="Q304" s="287">
        <f t="shared" si="290"/>
        <v>0.95</v>
      </c>
      <c r="R304" s="278">
        <v>1</v>
      </c>
      <c r="S304" s="278"/>
      <c r="T304" s="288">
        <v>5</v>
      </c>
      <c r="U304" s="289"/>
    </row>
    <row r="305" spans="1:21" x14ac:dyDescent="0.2">
      <c r="A305" s="256" t="s">
        <v>326</v>
      </c>
      <c r="B305" s="286" t="str">
        <f>TechData_R0!B79</f>
        <v>MINCCABMS4</v>
      </c>
      <c r="C305" s="286"/>
      <c r="D305" s="286"/>
      <c r="E305" s="278" t="s">
        <v>32</v>
      </c>
      <c r="F305" s="278"/>
      <c r="G305" s="278" t="s">
        <v>269</v>
      </c>
      <c r="H305" s="287">
        <f>1-TechData_R0!J79+1</f>
        <v>0.95</v>
      </c>
      <c r="I305" s="287">
        <f t="shared" ref="I305:Q305" si="291">H305</f>
        <v>0.95</v>
      </c>
      <c r="J305" s="287">
        <f t="shared" si="291"/>
        <v>0.95</v>
      </c>
      <c r="K305" s="287">
        <f t="shared" si="291"/>
        <v>0.95</v>
      </c>
      <c r="L305" s="287">
        <f t="shared" si="291"/>
        <v>0.95</v>
      </c>
      <c r="M305" s="287">
        <f t="shared" si="291"/>
        <v>0.95</v>
      </c>
      <c r="N305" s="287">
        <f t="shared" si="291"/>
        <v>0.95</v>
      </c>
      <c r="O305" s="287">
        <f t="shared" si="291"/>
        <v>0.95</v>
      </c>
      <c r="P305" s="287">
        <f t="shared" si="291"/>
        <v>0.95</v>
      </c>
      <c r="Q305" s="287">
        <f t="shared" si="291"/>
        <v>0.95</v>
      </c>
      <c r="R305" s="278">
        <v>1</v>
      </c>
      <c r="S305" s="278"/>
      <c r="T305" s="288">
        <v>5</v>
      </c>
      <c r="U305" s="289"/>
    </row>
    <row r="306" spans="1:21" x14ac:dyDescent="0.2">
      <c r="A306" s="256" t="s">
        <v>327</v>
      </c>
      <c r="B306" s="286" t="str">
        <f>TechData_R0!B80</f>
        <v>MINCCABMS5</v>
      </c>
      <c r="C306" s="286"/>
      <c r="D306" s="286"/>
      <c r="E306" s="278" t="s">
        <v>32</v>
      </c>
      <c r="F306" s="278"/>
      <c r="G306" s="278" t="s">
        <v>269</v>
      </c>
      <c r="H306" s="287">
        <f>1-TechData_R0!J80+1</f>
        <v>0.95</v>
      </c>
      <c r="I306" s="287">
        <f t="shared" ref="I306:Q306" si="292">H306</f>
        <v>0.95</v>
      </c>
      <c r="J306" s="287">
        <f t="shared" si="292"/>
        <v>0.95</v>
      </c>
      <c r="K306" s="287">
        <f t="shared" si="292"/>
        <v>0.95</v>
      </c>
      <c r="L306" s="287">
        <f t="shared" si="292"/>
        <v>0.95</v>
      </c>
      <c r="M306" s="287">
        <f t="shared" si="292"/>
        <v>0.95</v>
      </c>
      <c r="N306" s="287">
        <f t="shared" si="292"/>
        <v>0.95</v>
      </c>
      <c r="O306" s="287">
        <f t="shared" si="292"/>
        <v>0.95</v>
      </c>
      <c r="P306" s="287">
        <f t="shared" si="292"/>
        <v>0.95</v>
      </c>
      <c r="Q306" s="287">
        <f t="shared" si="292"/>
        <v>0.95</v>
      </c>
      <c r="R306" s="278">
        <v>1</v>
      </c>
      <c r="S306" s="278"/>
      <c r="T306" s="288">
        <v>5</v>
      </c>
      <c r="U306" s="289"/>
    </row>
    <row r="307" spans="1:21" x14ac:dyDescent="0.2">
      <c r="A307" s="256" t="s">
        <v>328</v>
      </c>
      <c r="B307" s="286" t="str">
        <f>TechData_R0!B81</f>
        <v>MINCCABMS6</v>
      </c>
      <c r="C307" s="286"/>
      <c r="D307" s="286"/>
      <c r="E307" s="278" t="s">
        <v>32</v>
      </c>
      <c r="F307" s="278"/>
      <c r="G307" s="278" t="s">
        <v>269</v>
      </c>
      <c r="H307" s="287">
        <f>1-TechData_R0!J81+1</f>
        <v>0.95</v>
      </c>
      <c r="I307" s="287">
        <f t="shared" ref="I307:Q307" si="293">H307</f>
        <v>0.95</v>
      </c>
      <c r="J307" s="287">
        <f t="shared" si="293"/>
        <v>0.95</v>
      </c>
      <c r="K307" s="287">
        <f t="shared" si="293"/>
        <v>0.95</v>
      </c>
      <c r="L307" s="287">
        <f t="shared" si="293"/>
        <v>0.95</v>
      </c>
      <c r="M307" s="287">
        <f t="shared" si="293"/>
        <v>0.95</v>
      </c>
      <c r="N307" s="287">
        <f t="shared" si="293"/>
        <v>0.95</v>
      </c>
      <c r="O307" s="287">
        <f t="shared" si="293"/>
        <v>0.95</v>
      </c>
      <c r="P307" s="287">
        <f t="shared" si="293"/>
        <v>0.95</v>
      </c>
      <c r="Q307" s="287">
        <f t="shared" si="293"/>
        <v>0.95</v>
      </c>
      <c r="R307" s="278">
        <v>1</v>
      </c>
      <c r="S307" s="278"/>
      <c r="T307" s="288">
        <v>5</v>
      </c>
      <c r="U307" s="289"/>
    </row>
    <row r="308" spans="1:21" x14ac:dyDescent="0.2">
      <c r="A308" s="256" t="s">
        <v>329</v>
      </c>
      <c r="B308" s="286" t="str">
        <f>TechData_R0!B83</f>
        <v>MINCSAPLU1</v>
      </c>
      <c r="C308" s="286"/>
      <c r="D308" s="286"/>
      <c r="E308" s="278" t="s">
        <v>32</v>
      </c>
      <c r="F308" s="278"/>
      <c r="G308" s="278" t="s">
        <v>269</v>
      </c>
      <c r="H308" s="287">
        <f>1-TechData_R0!J83+1</f>
        <v>0.95</v>
      </c>
      <c r="I308" s="287">
        <f t="shared" ref="I308:Q308" si="294">H308</f>
        <v>0.95</v>
      </c>
      <c r="J308" s="287">
        <f t="shared" si="294"/>
        <v>0.95</v>
      </c>
      <c r="K308" s="287">
        <f t="shared" si="294"/>
        <v>0.95</v>
      </c>
      <c r="L308" s="287">
        <f t="shared" si="294"/>
        <v>0.95</v>
      </c>
      <c r="M308" s="287">
        <f t="shared" si="294"/>
        <v>0.95</v>
      </c>
      <c r="N308" s="287">
        <f t="shared" si="294"/>
        <v>0.95</v>
      </c>
      <c r="O308" s="287">
        <f t="shared" si="294"/>
        <v>0.95</v>
      </c>
      <c r="P308" s="287">
        <f t="shared" si="294"/>
        <v>0.95</v>
      </c>
      <c r="Q308" s="287">
        <f t="shared" si="294"/>
        <v>0.95</v>
      </c>
      <c r="R308" s="278">
        <v>1</v>
      </c>
      <c r="S308" s="278"/>
      <c r="T308" s="288">
        <v>5</v>
      </c>
      <c r="U308" s="289"/>
    </row>
    <row r="309" spans="1:21" x14ac:dyDescent="0.2">
      <c r="A309" s="256" t="s">
        <v>330</v>
      </c>
      <c r="B309" s="286" t="str">
        <f>TechData_R0!B84</f>
        <v>MINCSAPLU2</v>
      </c>
      <c r="C309" s="286"/>
      <c r="D309" s="286"/>
      <c r="E309" s="278" t="s">
        <v>32</v>
      </c>
      <c r="F309" s="278"/>
      <c r="G309" s="278" t="s">
        <v>269</v>
      </c>
      <c r="H309" s="287">
        <f>1-TechData_R0!J84+1</f>
        <v>0.95</v>
      </c>
      <c r="I309" s="287">
        <f t="shared" ref="I309:Q309" si="295">H309</f>
        <v>0.95</v>
      </c>
      <c r="J309" s="287">
        <f t="shared" si="295"/>
        <v>0.95</v>
      </c>
      <c r="K309" s="287">
        <f t="shared" si="295"/>
        <v>0.95</v>
      </c>
      <c r="L309" s="287">
        <f t="shared" si="295"/>
        <v>0.95</v>
      </c>
      <c r="M309" s="287">
        <f t="shared" si="295"/>
        <v>0.95</v>
      </c>
      <c r="N309" s="287">
        <f t="shared" si="295"/>
        <v>0.95</v>
      </c>
      <c r="O309" s="287">
        <f t="shared" si="295"/>
        <v>0.95</v>
      </c>
      <c r="P309" s="287">
        <f t="shared" si="295"/>
        <v>0.95</v>
      </c>
      <c r="Q309" s="287">
        <f t="shared" si="295"/>
        <v>0.95</v>
      </c>
      <c r="R309" s="278">
        <v>1</v>
      </c>
      <c r="S309" s="278"/>
      <c r="T309" s="288">
        <v>5</v>
      </c>
      <c r="U309" s="289"/>
    </row>
    <row r="310" spans="1:21" x14ac:dyDescent="0.2">
      <c r="A310" s="256" t="s">
        <v>331</v>
      </c>
      <c r="B310" s="286" t="str">
        <f>TechData_R0!B85</f>
        <v>MINCSAPLU3</v>
      </c>
      <c r="C310" s="286"/>
      <c r="D310" s="286"/>
      <c r="E310" s="278" t="s">
        <v>32</v>
      </c>
      <c r="F310" s="278"/>
      <c r="G310" s="278" t="s">
        <v>269</v>
      </c>
      <c r="H310" s="287">
        <f>1-TechData_R0!J85+1</f>
        <v>0.95</v>
      </c>
      <c r="I310" s="287">
        <f t="shared" ref="I310:Q310" si="296">H310</f>
        <v>0.95</v>
      </c>
      <c r="J310" s="287">
        <f t="shared" si="296"/>
        <v>0.95</v>
      </c>
      <c r="K310" s="287">
        <f t="shared" si="296"/>
        <v>0.95</v>
      </c>
      <c r="L310" s="287">
        <f t="shared" si="296"/>
        <v>0.95</v>
      </c>
      <c r="M310" s="287">
        <f t="shared" si="296"/>
        <v>0.95</v>
      </c>
      <c r="N310" s="287">
        <f t="shared" si="296"/>
        <v>0.95</v>
      </c>
      <c r="O310" s="287">
        <f t="shared" si="296"/>
        <v>0.95</v>
      </c>
      <c r="P310" s="287">
        <f t="shared" si="296"/>
        <v>0.95</v>
      </c>
      <c r="Q310" s="287">
        <f t="shared" si="296"/>
        <v>0.95</v>
      </c>
      <c r="R310" s="278">
        <v>1</v>
      </c>
      <c r="S310" s="278"/>
      <c r="T310" s="288">
        <v>5</v>
      </c>
      <c r="U310" s="289"/>
    </row>
    <row r="311" spans="1:21" x14ac:dyDescent="0.2">
      <c r="A311" s="256" t="s">
        <v>332</v>
      </c>
      <c r="B311" s="286" t="str">
        <f>TechData_R0!B86</f>
        <v>MINCSAPLU4</v>
      </c>
      <c r="C311" s="286"/>
      <c r="D311" s="286"/>
      <c r="E311" s="278" t="s">
        <v>32</v>
      </c>
      <c r="F311" s="278"/>
      <c r="G311" s="278" t="s">
        <v>269</v>
      </c>
      <c r="H311" s="287">
        <f>1-TechData_R0!J86+1</f>
        <v>0.95</v>
      </c>
      <c r="I311" s="287">
        <f t="shared" ref="I311:Q311" si="297">H311</f>
        <v>0.95</v>
      </c>
      <c r="J311" s="287">
        <f t="shared" si="297"/>
        <v>0.95</v>
      </c>
      <c r="K311" s="287">
        <f t="shared" si="297"/>
        <v>0.95</v>
      </c>
      <c r="L311" s="287">
        <f t="shared" si="297"/>
        <v>0.95</v>
      </c>
      <c r="M311" s="287">
        <f t="shared" si="297"/>
        <v>0.95</v>
      </c>
      <c r="N311" s="287">
        <f t="shared" si="297"/>
        <v>0.95</v>
      </c>
      <c r="O311" s="287">
        <f t="shared" si="297"/>
        <v>0.95</v>
      </c>
      <c r="P311" s="287">
        <f t="shared" si="297"/>
        <v>0.95</v>
      </c>
      <c r="Q311" s="287">
        <f t="shared" si="297"/>
        <v>0.95</v>
      </c>
      <c r="R311" s="278">
        <v>1</v>
      </c>
      <c r="S311" s="278"/>
      <c r="T311" s="288">
        <v>5</v>
      </c>
      <c r="U311" s="289"/>
    </row>
    <row r="312" spans="1:21" x14ac:dyDescent="0.2">
      <c r="A312" s="256" t="s">
        <v>333</v>
      </c>
      <c r="B312" s="286" t="str">
        <f>TechData_R0!B87</f>
        <v>MINCSAPLU5</v>
      </c>
      <c r="C312" s="286"/>
      <c r="D312" s="286"/>
      <c r="E312" s="278" t="s">
        <v>32</v>
      </c>
      <c r="F312" s="278"/>
      <c r="G312" s="278" t="s">
        <v>269</v>
      </c>
      <c r="H312" s="287">
        <f>1-TechData_R0!J87+1</f>
        <v>0.95</v>
      </c>
      <c r="I312" s="287">
        <f t="shared" ref="I312:Q312" si="298">H312</f>
        <v>0.95</v>
      </c>
      <c r="J312" s="287">
        <f t="shared" si="298"/>
        <v>0.95</v>
      </c>
      <c r="K312" s="287">
        <f t="shared" si="298"/>
        <v>0.95</v>
      </c>
      <c r="L312" s="287">
        <f t="shared" si="298"/>
        <v>0.95</v>
      </c>
      <c r="M312" s="287">
        <f t="shared" si="298"/>
        <v>0.95</v>
      </c>
      <c r="N312" s="287">
        <f t="shared" si="298"/>
        <v>0.95</v>
      </c>
      <c r="O312" s="287">
        <f t="shared" si="298"/>
        <v>0.95</v>
      </c>
      <c r="P312" s="287">
        <f t="shared" si="298"/>
        <v>0.95</v>
      </c>
      <c r="Q312" s="287">
        <f t="shared" si="298"/>
        <v>0.95</v>
      </c>
      <c r="R312" s="278">
        <v>1</v>
      </c>
      <c r="S312" s="278"/>
      <c r="T312" s="288">
        <v>5</v>
      </c>
      <c r="U312" s="289"/>
    </row>
    <row r="313" spans="1:21" x14ac:dyDescent="0.2">
      <c r="A313" s="256" t="s">
        <v>334</v>
      </c>
      <c r="B313" s="286" t="str">
        <f>TechData_R0!B88</f>
        <v>MINCSAPLU6</v>
      </c>
      <c r="C313" s="286"/>
      <c r="D313" s="286"/>
      <c r="E313" s="278" t="s">
        <v>32</v>
      </c>
      <c r="F313" s="278"/>
      <c r="G313" s="278" t="s">
        <v>269</v>
      </c>
      <c r="H313" s="287">
        <f>1-TechData_R0!J88+1</f>
        <v>0.95</v>
      </c>
      <c r="I313" s="287">
        <f t="shared" ref="I313:Q313" si="299">H313</f>
        <v>0.95</v>
      </c>
      <c r="J313" s="287">
        <f t="shared" si="299"/>
        <v>0.95</v>
      </c>
      <c r="K313" s="287">
        <f t="shared" si="299"/>
        <v>0.95</v>
      </c>
      <c r="L313" s="287">
        <f t="shared" si="299"/>
        <v>0.95</v>
      </c>
      <c r="M313" s="287">
        <f t="shared" si="299"/>
        <v>0.95</v>
      </c>
      <c r="N313" s="287">
        <f t="shared" si="299"/>
        <v>0.95</v>
      </c>
      <c r="O313" s="287">
        <f t="shared" si="299"/>
        <v>0.95</v>
      </c>
      <c r="P313" s="287">
        <f t="shared" si="299"/>
        <v>0.95</v>
      </c>
      <c r="Q313" s="287">
        <f t="shared" si="299"/>
        <v>0.95</v>
      </c>
      <c r="R313" s="278">
        <v>1</v>
      </c>
      <c r="S313" s="278"/>
      <c r="T313" s="288">
        <v>5</v>
      </c>
      <c r="U313" s="289"/>
    </row>
    <row r="314" spans="1:21" x14ac:dyDescent="0.2">
      <c r="A314" s="256" t="s">
        <v>335</v>
      </c>
      <c r="B314" s="286" t="str">
        <f>TechData_R0!B90</f>
        <v>MINCSABLU1</v>
      </c>
      <c r="C314" s="286"/>
      <c r="D314" s="286"/>
      <c r="E314" s="278" t="s">
        <v>32</v>
      </c>
      <c r="F314" s="278"/>
      <c r="G314" s="278" t="s">
        <v>269</v>
      </c>
      <c r="H314" s="287">
        <f>1-TechData_R0!J90+1</f>
        <v>0.95</v>
      </c>
      <c r="I314" s="287">
        <f t="shared" ref="I314:Q314" si="300">H314</f>
        <v>0.95</v>
      </c>
      <c r="J314" s="287">
        <f t="shared" si="300"/>
        <v>0.95</v>
      </c>
      <c r="K314" s="287">
        <f t="shared" si="300"/>
        <v>0.95</v>
      </c>
      <c r="L314" s="287">
        <f t="shared" si="300"/>
        <v>0.95</v>
      </c>
      <c r="M314" s="287">
        <f t="shared" si="300"/>
        <v>0.95</v>
      </c>
      <c r="N314" s="287">
        <f t="shared" si="300"/>
        <v>0.95</v>
      </c>
      <c r="O314" s="287">
        <f t="shared" si="300"/>
        <v>0.95</v>
      </c>
      <c r="P314" s="287">
        <f t="shared" si="300"/>
        <v>0.95</v>
      </c>
      <c r="Q314" s="287">
        <f t="shared" si="300"/>
        <v>0.95</v>
      </c>
      <c r="R314" s="278">
        <v>1</v>
      </c>
      <c r="S314" s="278"/>
      <c r="T314" s="288">
        <v>5</v>
      </c>
      <c r="U314" s="289"/>
    </row>
    <row r="315" spans="1:21" x14ac:dyDescent="0.2">
      <c r="A315" s="256" t="s">
        <v>336</v>
      </c>
      <c r="B315" s="286" t="str">
        <f>TechData_R0!B91</f>
        <v>MINCSABLU2</v>
      </c>
      <c r="C315" s="286"/>
      <c r="D315" s="286"/>
      <c r="E315" s="278" t="s">
        <v>32</v>
      </c>
      <c r="F315" s="278"/>
      <c r="G315" s="278" t="s">
        <v>269</v>
      </c>
      <c r="H315" s="287">
        <f>1-TechData_R0!J91+1</f>
        <v>0.95</v>
      </c>
      <c r="I315" s="287">
        <f t="shared" ref="I315:Q315" si="301">H315</f>
        <v>0.95</v>
      </c>
      <c r="J315" s="287">
        <f t="shared" si="301"/>
        <v>0.95</v>
      </c>
      <c r="K315" s="287">
        <f t="shared" si="301"/>
        <v>0.95</v>
      </c>
      <c r="L315" s="287">
        <f t="shared" si="301"/>
        <v>0.95</v>
      </c>
      <c r="M315" s="287">
        <f t="shared" si="301"/>
        <v>0.95</v>
      </c>
      <c r="N315" s="287">
        <f t="shared" si="301"/>
        <v>0.95</v>
      </c>
      <c r="O315" s="287">
        <f t="shared" si="301"/>
        <v>0.95</v>
      </c>
      <c r="P315" s="287">
        <f t="shared" si="301"/>
        <v>0.95</v>
      </c>
      <c r="Q315" s="287">
        <f t="shared" si="301"/>
        <v>0.95</v>
      </c>
      <c r="R315" s="278">
        <v>1</v>
      </c>
      <c r="S315" s="278"/>
      <c r="T315" s="288">
        <v>5</v>
      </c>
      <c r="U315" s="289"/>
    </row>
    <row r="316" spans="1:21" x14ac:dyDescent="0.2">
      <c r="A316" s="256" t="s">
        <v>337</v>
      </c>
      <c r="B316" s="286" t="str">
        <f>TechData_R0!B92</f>
        <v>MINCSABLU3</v>
      </c>
      <c r="C316" s="286"/>
      <c r="D316" s="286"/>
      <c r="E316" s="278" t="s">
        <v>32</v>
      </c>
      <c r="F316" s="278"/>
      <c r="G316" s="278" t="s">
        <v>269</v>
      </c>
      <c r="H316" s="287">
        <f>1-TechData_R0!J92+1</f>
        <v>0.95</v>
      </c>
      <c r="I316" s="287">
        <f t="shared" ref="I316:Q316" si="302">H316</f>
        <v>0.95</v>
      </c>
      <c r="J316" s="287">
        <f t="shared" si="302"/>
        <v>0.95</v>
      </c>
      <c r="K316" s="287">
        <f t="shared" si="302"/>
        <v>0.95</v>
      </c>
      <c r="L316" s="287">
        <f t="shared" si="302"/>
        <v>0.95</v>
      </c>
      <c r="M316" s="287">
        <f t="shared" si="302"/>
        <v>0.95</v>
      </c>
      <c r="N316" s="287">
        <f t="shared" si="302"/>
        <v>0.95</v>
      </c>
      <c r="O316" s="287">
        <f t="shared" si="302"/>
        <v>0.95</v>
      </c>
      <c r="P316" s="287">
        <f t="shared" si="302"/>
        <v>0.95</v>
      </c>
      <c r="Q316" s="287">
        <f t="shared" si="302"/>
        <v>0.95</v>
      </c>
      <c r="R316" s="278">
        <v>1</v>
      </c>
      <c r="S316" s="278"/>
      <c r="T316" s="288">
        <v>5</v>
      </c>
      <c r="U316" s="289"/>
    </row>
    <row r="317" spans="1:21" x14ac:dyDescent="0.2">
      <c r="A317" s="256" t="s">
        <v>338</v>
      </c>
      <c r="B317" s="286" t="str">
        <f>TechData_R0!B93</f>
        <v>MINCSABLU4</v>
      </c>
      <c r="C317" s="286"/>
      <c r="D317" s="286"/>
      <c r="E317" s="278" t="s">
        <v>32</v>
      </c>
      <c r="F317" s="278"/>
      <c r="G317" s="278" t="s">
        <v>269</v>
      </c>
      <c r="H317" s="287">
        <f>1-TechData_R0!J93+1</f>
        <v>0.95</v>
      </c>
      <c r="I317" s="287">
        <f t="shared" ref="I317:Q317" si="303">H317</f>
        <v>0.95</v>
      </c>
      <c r="J317" s="287">
        <f t="shared" si="303"/>
        <v>0.95</v>
      </c>
      <c r="K317" s="287">
        <f t="shared" si="303"/>
        <v>0.95</v>
      </c>
      <c r="L317" s="287">
        <f t="shared" si="303"/>
        <v>0.95</v>
      </c>
      <c r="M317" s="287">
        <f t="shared" si="303"/>
        <v>0.95</v>
      </c>
      <c r="N317" s="287">
        <f t="shared" si="303"/>
        <v>0.95</v>
      </c>
      <c r="O317" s="287">
        <f t="shared" si="303"/>
        <v>0.95</v>
      </c>
      <c r="P317" s="287">
        <f t="shared" si="303"/>
        <v>0.95</v>
      </c>
      <c r="Q317" s="287">
        <f t="shared" si="303"/>
        <v>0.95</v>
      </c>
      <c r="R317" s="278">
        <v>1</v>
      </c>
      <c r="S317" s="278"/>
      <c r="T317" s="288">
        <v>5</v>
      </c>
      <c r="U317" s="289"/>
    </row>
    <row r="318" spans="1:21" x14ac:dyDescent="0.2">
      <c r="A318" s="256" t="s">
        <v>339</v>
      </c>
      <c r="B318" s="286" t="str">
        <f>TechData_R0!B94</f>
        <v>MINCSABLU5</v>
      </c>
      <c r="C318" s="286"/>
      <c r="D318" s="286"/>
      <c r="E318" s="278" t="s">
        <v>32</v>
      </c>
      <c r="F318" s="278"/>
      <c r="G318" s="278" t="s">
        <v>269</v>
      </c>
      <c r="H318" s="287">
        <f>1-TechData_R0!J94+1</f>
        <v>0.95</v>
      </c>
      <c r="I318" s="287">
        <f t="shared" ref="I318:Q318" si="304">H318</f>
        <v>0.95</v>
      </c>
      <c r="J318" s="287">
        <f t="shared" si="304"/>
        <v>0.95</v>
      </c>
      <c r="K318" s="287">
        <f t="shared" si="304"/>
        <v>0.95</v>
      </c>
      <c r="L318" s="287">
        <f t="shared" si="304"/>
        <v>0.95</v>
      </c>
      <c r="M318" s="287">
        <f t="shared" si="304"/>
        <v>0.95</v>
      </c>
      <c r="N318" s="287">
        <f t="shared" si="304"/>
        <v>0.95</v>
      </c>
      <c r="O318" s="287">
        <f t="shared" si="304"/>
        <v>0.95</v>
      </c>
      <c r="P318" s="287">
        <f t="shared" si="304"/>
        <v>0.95</v>
      </c>
      <c r="Q318" s="287">
        <f t="shared" si="304"/>
        <v>0.95</v>
      </c>
      <c r="R318" s="278">
        <v>1</v>
      </c>
      <c r="S318" s="278"/>
      <c r="T318" s="288">
        <v>5</v>
      </c>
      <c r="U318" s="289"/>
    </row>
    <row r="319" spans="1:21" x14ac:dyDescent="0.2">
      <c r="A319" s="256" t="s">
        <v>340</v>
      </c>
      <c r="B319" s="286" t="str">
        <f>TechData_R0!B95</f>
        <v>MINCSABLU6</v>
      </c>
      <c r="C319" s="286"/>
      <c r="D319" s="286"/>
      <c r="E319" s="278" t="s">
        <v>32</v>
      </c>
      <c r="F319" s="278"/>
      <c r="G319" s="278" t="s">
        <v>269</v>
      </c>
      <c r="H319" s="287">
        <f>1-TechData_R0!J95+1</f>
        <v>0.95</v>
      </c>
      <c r="I319" s="287">
        <f t="shared" ref="I319:Q319" si="305">H319</f>
        <v>0.95</v>
      </c>
      <c r="J319" s="287">
        <f t="shared" si="305"/>
        <v>0.95</v>
      </c>
      <c r="K319" s="287">
        <f t="shared" si="305"/>
        <v>0.95</v>
      </c>
      <c r="L319" s="287">
        <f t="shared" si="305"/>
        <v>0.95</v>
      </c>
      <c r="M319" s="287">
        <f t="shared" si="305"/>
        <v>0.95</v>
      </c>
      <c r="N319" s="287">
        <f t="shared" si="305"/>
        <v>0.95</v>
      </c>
      <c r="O319" s="287">
        <f t="shared" si="305"/>
        <v>0.95</v>
      </c>
      <c r="P319" s="287">
        <f t="shared" si="305"/>
        <v>0.95</v>
      </c>
      <c r="Q319" s="287">
        <f t="shared" si="305"/>
        <v>0.95</v>
      </c>
      <c r="R319" s="278">
        <v>1</v>
      </c>
      <c r="S319" s="278"/>
      <c r="T319" s="288">
        <v>5</v>
      </c>
      <c r="U319" s="289"/>
    </row>
    <row r="320" spans="1:21" x14ac:dyDescent="0.2">
      <c r="A320" s="256" t="s">
        <v>341</v>
      </c>
      <c r="B320" s="286" t="str">
        <f>TechData_R0!B97</f>
        <v>MINCSABLS1</v>
      </c>
      <c r="C320" s="286"/>
      <c r="D320" s="286"/>
      <c r="E320" s="278" t="s">
        <v>32</v>
      </c>
      <c r="F320" s="278"/>
      <c r="G320" s="278" t="s">
        <v>269</v>
      </c>
      <c r="H320" s="287">
        <f>1-TechData_R0!J97+1</f>
        <v>0.95</v>
      </c>
      <c r="I320" s="287">
        <f t="shared" ref="I320:Q320" si="306">H320</f>
        <v>0.95</v>
      </c>
      <c r="J320" s="287">
        <f t="shared" si="306"/>
        <v>0.95</v>
      </c>
      <c r="K320" s="287">
        <f t="shared" si="306"/>
        <v>0.95</v>
      </c>
      <c r="L320" s="287">
        <f t="shared" si="306"/>
        <v>0.95</v>
      </c>
      <c r="M320" s="287">
        <f t="shared" si="306"/>
        <v>0.95</v>
      </c>
      <c r="N320" s="287">
        <f t="shared" si="306"/>
        <v>0.95</v>
      </c>
      <c r="O320" s="287">
        <f t="shared" si="306"/>
        <v>0.95</v>
      </c>
      <c r="P320" s="287">
        <f t="shared" si="306"/>
        <v>0.95</v>
      </c>
      <c r="Q320" s="287">
        <f t="shared" si="306"/>
        <v>0.95</v>
      </c>
      <c r="R320" s="278">
        <v>1</v>
      </c>
      <c r="S320" s="278"/>
      <c r="T320" s="288">
        <v>5</v>
      </c>
      <c r="U320" s="289"/>
    </row>
    <row r="321" spans="1:21" x14ac:dyDescent="0.2">
      <c r="A321" s="256" t="s">
        <v>342</v>
      </c>
      <c r="B321" s="286" t="str">
        <f>TechData_R0!B98</f>
        <v>MINCSABLS2</v>
      </c>
      <c r="C321" s="286"/>
      <c r="D321" s="286"/>
      <c r="E321" s="278" t="s">
        <v>32</v>
      </c>
      <c r="F321" s="278"/>
      <c r="G321" s="278" t="s">
        <v>269</v>
      </c>
      <c r="H321" s="287">
        <f>1-TechData_R0!J98+1</f>
        <v>0.95</v>
      </c>
      <c r="I321" s="287">
        <f t="shared" ref="I321:Q321" si="307">H321</f>
        <v>0.95</v>
      </c>
      <c r="J321" s="287">
        <f t="shared" si="307"/>
        <v>0.95</v>
      </c>
      <c r="K321" s="287">
        <f t="shared" si="307"/>
        <v>0.95</v>
      </c>
      <c r="L321" s="287">
        <f t="shared" si="307"/>
        <v>0.95</v>
      </c>
      <c r="M321" s="287">
        <f t="shared" si="307"/>
        <v>0.95</v>
      </c>
      <c r="N321" s="287">
        <f t="shared" si="307"/>
        <v>0.95</v>
      </c>
      <c r="O321" s="287">
        <f t="shared" si="307"/>
        <v>0.95</v>
      </c>
      <c r="P321" s="287">
        <f t="shared" si="307"/>
        <v>0.95</v>
      </c>
      <c r="Q321" s="287">
        <f t="shared" si="307"/>
        <v>0.95</v>
      </c>
      <c r="R321" s="278">
        <v>1</v>
      </c>
      <c r="S321" s="278"/>
      <c r="T321" s="288">
        <v>5</v>
      </c>
      <c r="U321" s="289"/>
    </row>
    <row r="322" spans="1:21" x14ac:dyDescent="0.2">
      <c r="A322" s="256" t="s">
        <v>343</v>
      </c>
      <c r="B322" s="286" t="str">
        <f>TechData_R0!B99</f>
        <v>MINCSABLS3</v>
      </c>
      <c r="C322" s="286"/>
      <c r="D322" s="286"/>
      <c r="E322" s="278" t="s">
        <v>32</v>
      </c>
      <c r="F322" s="278"/>
      <c r="G322" s="278" t="s">
        <v>269</v>
      </c>
      <c r="H322" s="287">
        <f>1-TechData_R0!J99+1</f>
        <v>0.95</v>
      </c>
      <c r="I322" s="287">
        <f t="shared" ref="I322:Q322" si="308">H322</f>
        <v>0.95</v>
      </c>
      <c r="J322" s="287">
        <f t="shared" si="308"/>
        <v>0.95</v>
      </c>
      <c r="K322" s="287">
        <f t="shared" si="308"/>
        <v>0.95</v>
      </c>
      <c r="L322" s="287">
        <f t="shared" si="308"/>
        <v>0.95</v>
      </c>
      <c r="M322" s="287">
        <f t="shared" si="308"/>
        <v>0.95</v>
      </c>
      <c r="N322" s="287">
        <f t="shared" si="308"/>
        <v>0.95</v>
      </c>
      <c r="O322" s="287">
        <f t="shared" si="308"/>
        <v>0.95</v>
      </c>
      <c r="P322" s="287">
        <f t="shared" si="308"/>
        <v>0.95</v>
      </c>
      <c r="Q322" s="287">
        <f t="shared" si="308"/>
        <v>0.95</v>
      </c>
      <c r="R322" s="278">
        <v>1</v>
      </c>
      <c r="S322" s="278"/>
      <c r="T322" s="288">
        <v>5</v>
      </c>
      <c r="U322" s="289"/>
    </row>
    <row r="323" spans="1:21" x14ac:dyDescent="0.2">
      <c r="A323" s="256" t="s">
        <v>344</v>
      </c>
      <c r="B323" s="286" t="str">
        <f>TechData_R0!B100</f>
        <v>MINCSABLS4</v>
      </c>
      <c r="C323" s="286"/>
      <c r="D323" s="286"/>
      <c r="E323" s="278" t="s">
        <v>32</v>
      </c>
      <c r="F323" s="278"/>
      <c r="G323" s="278" t="s">
        <v>269</v>
      </c>
      <c r="H323" s="287">
        <f>1-TechData_R0!J100+1</f>
        <v>0.95</v>
      </c>
      <c r="I323" s="287">
        <f t="shared" ref="I323:Q323" si="309">H323</f>
        <v>0.95</v>
      </c>
      <c r="J323" s="287">
        <f t="shared" si="309"/>
        <v>0.95</v>
      </c>
      <c r="K323" s="287">
        <f t="shared" si="309"/>
        <v>0.95</v>
      </c>
      <c r="L323" s="287">
        <f t="shared" si="309"/>
        <v>0.95</v>
      </c>
      <c r="M323" s="287">
        <f t="shared" si="309"/>
        <v>0.95</v>
      </c>
      <c r="N323" s="287">
        <f t="shared" si="309"/>
        <v>0.95</v>
      </c>
      <c r="O323" s="287">
        <f t="shared" si="309"/>
        <v>0.95</v>
      </c>
      <c r="P323" s="287">
        <f t="shared" si="309"/>
        <v>0.95</v>
      </c>
      <c r="Q323" s="287">
        <f t="shared" si="309"/>
        <v>0.95</v>
      </c>
      <c r="R323" s="278">
        <v>1</v>
      </c>
      <c r="S323" s="278"/>
      <c r="T323" s="288">
        <v>5</v>
      </c>
      <c r="U323" s="289"/>
    </row>
    <row r="324" spans="1:21" x14ac:dyDescent="0.2">
      <c r="A324" s="256" t="s">
        <v>345</v>
      </c>
      <c r="B324" s="286" t="str">
        <f>TechData_R0!B101</f>
        <v>MINCSABLS5</v>
      </c>
      <c r="C324" s="286"/>
      <c r="D324" s="286"/>
      <c r="E324" s="278" t="s">
        <v>32</v>
      </c>
      <c r="F324" s="278"/>
      <c r="G324" s="278" t="s">
        <v>269</v>
      </c>
      <c r="H324" s="287">
        <f>1-TechData_R0!J101+1</f>
        <v>0.95</v>
      </c>
      <c r="I324" s="287">
        <f t="shared" ref="I324:Q324" si="310">H324</f>
        <v>0.95</v>
      </c>
      <c r="J324" s="287">
        <f t="shared" si="310"/>
        <v>0.95</v>
      </c>
      <c r="K324" s="287">
        <f t="shared" si="310"/>
        <v>0.95</v>
      </c>
      <c r="L324" s="287">
        <f t="shared" si="310"/>
        <v>0.95</v>
      </c>
      <c r="M324" s="287">
        <f t="shared" si="310"/>
        <v>0.95</v>
      </c>
      <c r="N324" s="287">
        <f t="shared" si="310"/>
        <v>0.95</v>
      </c>
      <c r="O324" s="287">
        <f t="shared" si="310"/>
        <v>0.95</v>
      </c>
      <c r="P324" s="287">
        <f t="shared" si="310"/>
        <v>0.95</v>
      </c>
      <c r="Q324" s="287">
        <f t="shared" si="310"/>
        <v>0.95</v>
      </c>
      <c r="R324" s="278">
        <v>1</v>
      </c>
      <c r="S324" s="278"/>
      <c r="T324" s="288">
        <v>5</v>
      </c>
      <c r="U324" s="289"/>
    </row>
    <row r="325" spans="1:21" x14ac:dyDescent="0.2">
      <c r="A325" s="256" t="s">
        <v>346</v>
      </c>
      <c r="B325" s="286" t="str">
        <f>TechData_R0!B102</f>
        <v>MINCSABLS6</v>
      </c>
      <c r="C325" s="286"/>
      <c r="D325" s="286"/>
      <c r="E325" s="278" t="s">
        <v>32</v>
      </c>
      <c r="F325" s="278"/>
      <c r="G325" s="278" t="s">
        <v>269</v>
      </c>
      <c r="H325" s="287">
        <f>1-TechData_R0!J102+1</f>
        <v>0.95</v>
      </c>
      <c r="I325" s="287">
        <f t="shared" ref="I325:Q325" si="311">H325</f>
        <v>0.95</v>
      </c>
      <c r="J325" s="287">
        <f t="shared" si="311"/>
        <v>0.95</v>
      </c>
      <c r="K325" s="287">
        <f t="shared" si="311"/>
        <v>0.95</v>
      </c>
      <c r="L325" s="287">
        <f t="shared" si="311"/>
        <v>0.95</v>
      </c>
      <c r="M325" s="287">
        <f t="shared" si="311"/>
        <v>0.95</v>
      </c>
      <c r="N325" s="287">
        <f t="shared" si="311"/>
        <v>0.95</v>
      </c>
      <c r="O325" s="287">
        <f t="shared" si="311"/>
        <v>0.95</v>
      </c>
      <c r="P325" s="287">
        <f t="shared" si="311"/>
        <v>0.95</v>
      </c>
      <c r="Q325" s="287">
        <f t="shared" si="311"/>
        <v>0.95</v>
      </c>
      <c r="R325" s="278">
        <v>1</v>
      </c>
      <c r="S325" s="278"/>
      <c r="T325" s="288">
        <v>5</v>
      </c>
      <c r="U325" s="289"/>
    </row>
    <row r="326" spans="1:21" x14ac:dyDescent="0.2">
      <c r="A326" s="256" t="s">
        <v>347</v>
      </c>
      <c r="B326" s="286" t="str">
        <f>TechData_R0!B104</f>
        <v>MINCSABMU1</v>
      </c>
      <c r="C326" s="286"/>
      <c r="D326" s="286"/>
      <c r="E326" s="278" t="s">
        <v>32</v>
      </c>
      <c r="F326" s="278"/>
      <c r="G326" s="278" t="s">
        <v>269</v>
      </c>
      <c r="H326" s="287">
        <f>1-TechData_R0!J104+1</f>
        <v>0.99500000000000011</v>
      </c>
      <c r="I326" s="287">
        <f t="shared" ref="I326:Q326" si="312">H326</f>
        <v>0.99500000000000011</v>
      </c>
      <c r="J326" s="287">
        <f t="shared" si="312"/>
        <v>0.99500000000000011</v>
      </c>
      <c r="K326" s="287">
        <f t="shared" si="312"/>
        <v>0.99500000000000011</v>
      </c>
      <c r="L326" s="287">
        <f t="shared" si="312"/>
        <v>0.99500000000000011</v>
      </c>
      <c r="M326" s="287">
        <f t="shared" si="312"/>
        <v>0.99500000000000011</v>
      </c>
      <c r="N326" s="287">
        <f t="shared" si="312"/>
        <v>0.99500000000000011</v>
      </c>
      <c r="O326" s="287">
        <f t="shared" si="312"/>
        <v>0.99500000000000011</v>
      </c>
      <c r="P326" s="287">
        <f t="shared" si="312"/>
        <v>0.99500000000000011</v>
      </c>
      <c r="Q326" s="287">
        <f t="shared" si="312"/>
        <v>0.99500000000000011</v>
      </c>
      <c r="R326" s="278">
        <v>1</v>
      </c>
      <c r="S326" s="278"/>
      <c r="T326" s="288">
        <v>5</v>
      </c>
      <c r="U326" s="289"/>
    </row>
    <row r="327" spans="1:21" x14ac:dyDescent="0.2">
      <c r="A327" s="256" t="s">
        <v>348</v>
      </c>
      <c r="B327" s="286" t="str">
        <f>TechData_R0!B105</f>
        <v>MINCSABMU2</v>
      </c>
      <c r="C327" s="286"/>
      <c r="D327" s="286"/>
      <c r="E327" s="278" t="s">
        <v>32</v>
      </c>
      <c r="F327" s="278"/>
      <c r="G327" s="278" t="s">
        <v>269</v>
      </c>
      <c r="H327" s="287">
        <f>1-TechData_R0!J105+1</f>
        <v>0.99500000000000011</v>
      </c>
      <c r="I327" s="287">
        <f t="shared" ref="I327:Q327" si="313">H327</f>
        <v>0.99500000000000011</v>
      </c>
      <c r="J327" s="287">
        <f t="shared" si="313"/>
        <v>0.99500000000000011</v>
      </c>
      <c r="K327" s="287">
        <f t="shared" si="313"/>
        <v>0.99500000000000011</v>
      </c>
      <c r="L327" s="287">
        <f t="shared" si="313"/>
        <v>0.99500000000000011</v>
      </c>
      <c r="M327" s="287">
        <f t="shared" si="313"/>
        <v>0.99500000000000011</v>
      </c>
      <c r="N327" s="287">
        <f t="shared" si="313"/>
        <v>0.99500000000000011</v>
      </c>
      <c r="O327" s="287">
        <f t="shared" si="313"/>
        <v>0.99500000000000011</v>
      </c>
      <c r="P327" s="287">
        <f t="shared" si="313"/>
        <v>0.99500000000000011</v>
      </c>
      <c r="Q327" s="287">
        <f t="shared" si="313"/>
        <v>0.99500000000000011</v>
      </c>
      <c r="R327" s="278">
        <v>1</v>
      </c>
      <c r="S327" s="278"/>
      <c r="T327" s="288">
        <v>5</v>
      </c>
      <c r="U327" s="289"/>
    </row>
    <row r="328" spans="1:21" x14ac:dyDescent="0.2">
      <c r="A328" s="256" t="s">
        <v>349</v>
      </c>
      <c r="B328" s="286" t="str">
        <f>TechData_R0!B106</f>
        <v>MINCSABMU3</v>
      </c>
      <c r="C328" s="286"/>
      <c r="D328" s="286"/>
      <c r="E328" s="278" t="s">
        <v>32</v>
      </c>
      <c r="F328" s="278"/>
      <c r="G328" s="278" t="s">
        <v>269</v>
      </c>
      <c r="H328" s="287">
        <f>1-TechData_R0!J106+1</f>
        <v>0.99500000000000011</v>
      </c>
      <c r="I328" s="287">
        <f t="shared" ref="I328:Q328" si="314">H328</f>
        <v>0.99500000000000011</v>
      </c>
      <c r="J328" s="287">
        <f t="shared" si="314"/>
        <v>0.99500000000000011</v>
      </c>
      <c r="K328" s="287">
        <f t="shared" si="314"/>
        <v>0.99500000000000011</v>
      </c>
      <c r="L328" s="287">
        <f t="shared" si="314"/>
        <v>0.99500000000000011</v>
      </c>
      <c r="M328" s="287">
        <f t="shared" si="314"/>
        <v>0.99500000000000011</v>
      </c>
      <c r="N328" s="287">
        <f t="shared" si="314"/>
        <v>0.99500000000000011</v>
      </c>
      <c r="O328" s="287">
        <f t="shared" si="314"/>
        <v>0.99500000000000011</v>
      </c>
      <c r="P328" s="287">
        <f t="shared" si="314"/>
        <v>0.99500000000000011</v>
      </c>
      <c r="Q328" s="287">
        <f t="shared" si="314"/>
        <v>0.99500000000000011</v>
      </c>
      <c r="R328" s="278">
        <v>1</v>
      </c>
      <c r="S328" s="278"/>
      <c r="T328" s="288">
        <v>5</v>
      </c>
      <c r="U328" s="289"/>
    </row>
    <row r="329" spans="1:21" x14ac:dyDescent="0.2">
      <c r="A329" s="256" t="s">
        <v>350</v>
      </c>
      <c r="B329" s="286" t="str">
        <f>TechData_R0!B107</f>
        <v>MINCSABMU4</v>
      </c>
      <c r="C329" s="286"/>
      <c r="D329" s="286"/>
      <c r="E329" s="278" t="s">
        <v>32</v>
      </c>
      <c r="F329" s="278"/>
      <c r="G329" s="278" t="s">
        <v>269</v>
      </c>
      <c r="H329" s="287">
        <f>1-TechData_R0!J107+1</f>
        <v>0.99500000000000011</v>
      </c>
      <c r="I329" s="287">
        <f t="shared" ref="I329:Q329" si="315">H329</f>
        <v>0.99500000000000011</v>
      </c>
      <c r="J329" s="287">
        <f t="shared" si="315"/>
        <v>0.99500000000000011</v>
      </c>
      <c r="K329" s="287">
        <f t="shared" si="315"/>
        <v>0.99500000000000011</v>
      </c>
      <c r="L329" s="287">
        <f t="shared" si="315"/>
        <v>0.99500000000000011</v>
      </c>
      <c r="M329" s="287">
        <f t="shared" si="315"/>
        <v>0.99500000000000011</v>
      </c>
      <c r="N329" s="287">
        <f t="shared" si="315"/>
        <v>0.99500000000000011</v>
      </c>
      <c r="O329" s="287">
        <f t="shared" si="315"/>
        <v>0.99500000000000011</v>
      </c>
      <c r="P329" s="287">
        <f t="shared" si="315"/>
        <v>0.99500000000000011</v>
      </c>
      <c r="Q329" s="287">
        <f t="shared" si="315"/>
        <v>0.99500000000000011</v>
      </c>
      <c r="R329" s="278">
        <v>1</v>
      </c>
      <c r="S329" s="278"/>
      <c r="T329" s="288">
        <v>5</v>
      </c>
      <c r="U329" s="289"/>
    </row>
    <row r="330" spans="1:21" x14ac:dyDescent="0.2">
      <c r="A330" s="256" t="s">
        <v>351</v>
      </c>
      <c r="B330" s="286" t="str">
        <f>TechData_R0!B108</f>
        <v>MINCSABMU5</v>
      </c>
      <c r="C330" s="286"/>
      <c r="D330" s="286"/>
      <c r="E330" s="278" t="s">
        <v>32</v>
      </c>
      <c r="F330" s="278"/>
      <c r="G330" s="278" t="s">
        <v>269</v>
      </c>
      <c r="H330" s="287">
        <f>1-TechData_R0!J108+1</f>
        <v>0.99500000000000011</v>
      </c>
      <c r="I330" s="287">
        <f t="shared" ref="I330:Q330" si="316">H330</f>
        <v>0.99500000000000011</v>
      </c>
      <c r="J330" s="287">
        <f t="shared" si="316"/>
        <v>0.99500000000000011</v>
      </c>
      <c r="K330" s="287">
        <f t="shared" si="316"/>
        <v>0.99500000000000011</v>
      </c>
      <c r="L330" s="287">
        <f t="shared" si="316"/>
        <v>0.99500000000000011</v>
      </c>
      <c r="M330" s="287">
        <f t="shared" si="316"/>
        <v>0.99500000000000011</v>
      </c>
      <c r="N330" s="287">
        <f t="shared" si="316"/>
        <v>0.99500000000000011</v>
      </c>
      <c r="O330" s="287">
        <f t="shared" si="316"/>
        <v>0.99500000000000011</v>
      </c>
      <c r="P330" s="287">
        <f t="shared" si="316"/>
        <v>0.99500000000000011</v>
      </c>
      <c r="Q330" s="287">
        <f t="shared" si="316"/>
        <v>0.99500000000000011</v>
      </c>
      <c r="R330" s="278">
        <v>1</v>
      </c>
      <c r="S330" s="278"/>
      <c r="T330" s="288">
        <v>5</v>
      </c>
      <c r="U330" s="289"/>
    </row>
    <row r="331" spans="1:21" x14ac:dyDescent="0.2">
      <c r="A331" s="256" t="s">
        <v>352</v>
      </c>
      <c r="B331" s="286" t="str">
        <f>TechData_R0!B109</f>
        <v>MINCSABMU6</v>
      </c>
      <c r="C331" s="286"/>
      <c r="D331" s="286"/>
      <c r="E331" s="278" t="s">
        <v>32</v>
      </c>
      <c r="F331" s="278"/>
      <c r="G331" s="278" t="s">
        <v>269</v>
      </c>
      <c r="H331" s="287">
        <f>1-TechData_R0!J109+1</f>
        <v>0.99500000000000011</v>
      </c>
      <c r="I331" s="287">
        <f t="shared" ref="I331:Q331" si="317">H331</f>
        <v>0.99500000000000011</v>
      </c>
      <c r="J331" s="287">
        <f t="shared" si="317"/>
        <v>0.99500000000000011</v>
      </c>
      <c r="K331" s="287">
        <f t="shared" si="317"/>
        <v>0.99500000000000011</v>
      </c>
      <c r="L331" s="287">
        <f t="shared" si="317"/>
        <v>0.99500000000000011</v>
      </c>
      <c r="M331" s="287">
        <f t="shared" si="317"/>
        <v>0.99500000000000011</v>
      </c>
      <c r="N331" s="287">
        <f t="shared" si="317"/>
        <v>0.99500000000000011</v>
      </c>
      <c r="O331" s="287">
        <f t="shared" si="317"/>
        <v>0.99500000000000011</v>
      </c>
      <c r="P331" s="287">
        <f t="shared" si="317"/>
        <v>0.99500000000000011</v>
      </c>
      <c r="Q331" s="287">
        <f t="shared" si="317"/>
        <v>0.99500000000000011</v>
      </c>
      <c r="R331" s="278">
        <v>1</v>
      </c>
      <c r="S331" s="278"/>
      <c r="T331" s="288">
        <v>5</v>
      </c>
      <c r="U331" s="289"/>
    </row>
    <row r="332" spans="1:21" x14ac:dyDescent="0.2">
      <c r="A332" s="256" t="s">
        <v>353</v>
      </c>
      <c r="B332" s="286" t="str">
        <f>TechData_R0!B111</f>
        <v>MINCSABMS1</v>
      </c>
      <c r="C332" s="286"/>
      <c r="D332" s="286"/>
      <c r="E332" s="278" t="s">
        <v>32</v>
      </c>
      <c r="F332" s="278"/>
      <c r="G332" s="278" t="s">
        <v>269</v>
      </c>
      <c r="H332" s="287">
        <f>1-TechData_R0!J111+1</f>
        <v>0.99500000000000011</v>
      </c>
      <c r="I332" s="287">
        <f t="shared" ref="I332:Q332" si="318">H332</f>
        <v>0.99500000000000011</v>
      </c>
      <c r="J332" s="287">
        <f t="shared" si="318"/>
        <v>0.99500000000000011</v>
      </c>
      <c r="K332" s="287">
        <f t="shared" si="318"/>
        <v>0.99500000000000011</v>
      </c>
      <c r="L332" s="287">
        <f t="shared" si="318"/>
        <v>0.99500000000000011</v>
      </c>
      <c r="M332" s="287">
        <f t="shared" si="318"/>
        <v>0.99500000000000011</v>
      </c>
      <c r="N332" s="287">
        <f t="shared" si="318"/>
        <v>0.99500000000000011</v>
      </c>
      <c r="O332" s="287">
        <f t="shared" si="318"/>
        <v>0.99500000000000011</v>
      </c>
      <c r="P332" s="287">
        <f t="shared" si="318"/>
        <v>0.99500000000000011</v>
      </c>
      <c r="Q332" s="287">
        <f t="shared" si="318"/>
        <v>0.99500000000000011</v>
      </c>
      <c r="R332" s="278">
        <v>1</v>
      </c>
      <c r="S332" s="278"/>
      <c r="T332" s="288">
        <v>5</v>
      </c>
      <c r="U332" s="289"/>
    </row>
    <row r="333" spans="1:21" x14ac:dyDescent="0.2">
      <c r="A333" s="256" t="s">
        <v>354</v>
      </c>
      <c r="B333" s="286" t="str">
        <f>TechData_R0!B112</f>
        <v>MINCSABMS2</v>
      </c>
      <c r="C333" s="286"/>
      <c r="D333" s="286"/>
      <c r="E333" s="278" t="s">
        <v>32</v>
      </c>
      <c r="F333" s="278"/>
      <c r="G333" s="278" t="s">
        <v>269</v>
      </c>
      <c r="H333" s="287">
        <f>1-TechData_R0!J112+1</f>
        <v>0.99500000000000011</v>
      </c>
      <c r="I333" s="287">
        <f t="shared" ref="I333:Q333" si="319">H333</f>
        <v>0.99500000000000011</v>
      </c>
      <c r="J333" s="287">
        <f t="shared" si="319"/>
        <v>0.99500000000000011</v>
      </c>
      <c r="K333" s="287">
        <f t="shared" si="319"/>
        <v>0.99500000000000011</v>
      </c>
      <c r="L333" s="287">
        <f t="shared" si="319"/>
        <v>0.99500000000000011</v>
      </c>
      <c r="M333" s="287">
        <f t="shared" si="319"/>
        <v>0.99500000000000011</v>
      </c>
      <c r="N333" s="287">
        <f t="shared" si="319"/>
        <v>0.99500000000000011</v>
      </c>
      <c r="O333" s="287">
        <f t="shared" si="319"/>
        <v>0.99500000000000011</v>
      </c>
      <c r="P333" s="287">
        <f t="shared" si="319"/>
        <v>0.99500000000000011</v>
      </c>
      <c r="Q333" s="287">
        <f t="shared" si="319"/>
        <v>0.99500000000000011</v>
      </c>
      <c r="R333" s="278">
        <v>1</v>
      </c>
      <c r="S333" s="278"/>
      <c r="T333" s="288">
        <v>5</v>
      </c>
      <c r="U333" s="289"/>
    </row>
    <row r="334" spans="1:21" x14ac:dyDescent="0.2">
      <c r="A334" s="256" t="s">
        <v>355</v>
      </c>
      <c r="B334" s="286" t="str">
        <f>TechData_R0!B113</f>
        <v>MINCSABMS3</v>
      </c>
      <c r="C334" s="286"/>
      <c r="D334" s="286"/>
      <c r="E334" s="278" t="s">
        <v>32</v>
      </c>
      <c r="F334" s="278"/>
      <c r="G334" s="278" t="s">
        <v>269</v>
      </c>
      <c r="H334" s="287">
        <f>1-TechData_R0!J113+1</f>
        <v>0.99500000000000011</v>
      </c>
      <c r="I334" s="287">
        <f t="shared" ref="I334:Q334" si="320">H334</f>
        <v>0.99500000000000011</v>
      </c>
      <c r="J334" s="287">
        <f t="shared" si="320"/>
        <v>0.99500000000000011</v>
      </c>
      <c r="K334" s="287">
        <f t="shared" si="320"/>
        <v>0.99500000000000011</v>
      </c>
      <c r="L334" s="287">
        <f t="shared" si="320"/>
        <v>0.99500000000000011</v>
      </c>
      <c r="M334" s="287">
        <f t="shared" si="320"/>
        <v>0.99500000000000011</v>
      </c>
      <c r="N334" s="287">
        <f t="shared" si="320"/>
        <v>0.99500000000000011</v>
      </c>
      <c r="O334" s="287">
        <f t="shared" si="320"/>
        <v>0.99500000000000011</v>
      </c>
      <c r="P334" s="287">
        <f t="shared" si="320"/>
        <v>0.99500000000000011</v>
      </c>
      <c r="Q334" s="287">
        <f t="shared" si="320"/>
        <v>0.99500000000000011</v>
      </c>
      <c r="R334" s="278">
        <v>1</v>
      </c>
      <c r="S334" s="278"/>
      <c r="T334" s="288">
        <v>5</v>
      </c>
      <c r="U334" s="289"/>
    </row>
    <row r="335" spans="1:21" x14ac:dyDescent="0.2">
      <c r="A335" s="256" t="s">
        <v>356</v>
      </c>
      <c r="B335" s="286" t="str">
        <f>TechData_R0!B114</f>
        <v>MINCSABMS4</v>
      </c>
      <c r="C335" s="286"/>
      <c r="D335" s="286"/>
      <c r="E335" s="278" t="s">
        <v>32</v>
      </c>
      <c r="F335" s="278"/>
      <c r="G335" s="278" t="s">
        <v>269</v>
      </c>
      <c r="H335" s="287">
        <f>1-TechData_R0!J114+1</f>
        <v>0.99500000000000011</v>
      </c>
      <c r="I335" s="287">
        <f t="shared" ref="I335:Q335" si="321">H335</f>
        <v>0.99500000000000011</v>
      </c>
      <c r="J335" s="287">
        <f t="shared" si="321"/>
        <v>0.99500000000000011</v>
      </c>
      <c r="K335" s="287">
        <f t="shared" si="321"/>
        <v>0.99500000000000011</v>
      </c>
      <c r="L335" s="287">
        <f t="shared" si="321"/>
        <v>0.99500000000000011</v>
      </c>
      <c r="M335" s="287">
        <f t="shared" si="321"/>
        <v>0.99500000000000011</v>
      </c>
      <c r="N335" s="287">
        <f t="shared" si="321"/>
        <v>0.99500000000000011</v>
      </c>
      <c r="O335" s="287">
        <f t="shared" si="321"/>
        <v>0.99500000000000011</v>
      </c>
      <c r="P335" s="287">
        <f t="shared" si="321"/>
        <v>0.99500000000000011</v>
      </c>
      <c r="Q335" s="287">
        <f t="shared" si="321"/>
        <v>0.99500000000000011</v>
      </c>
      <c r="R335" s="278">
        <v>1</v>
      </c>
      <c r="S335" s="278"/>
      <c r="T335" s="288">
        <v>5</v>
      </c>
      <c r="U335" s="289"/>
    </row>
    <row r="336" spans="1:21" x14ac:dyDescent="0.2">
      <c r="A336" s="256" t="s">
        <v>357</v>
      </c>
      <c r="B336" s="286" t="str">
        <f>TechData_R0!B115</f>
        <v>MINCSABMS5</v>
      </c>
      <c r="C336" s="286"/>
      <c r="D336" s="286"/>
      <c r="E336" s="278" t="s">
        <v>32</v>
      </c>
      <c r="F336" s="278"/>
      <c r="G336" s="278" t="s">
        <v>269</v>
      </c>
      <c r="H336" s="287">
        <f>1-TechData_R0!J115+1</f>
        <v>0.99500000000000011</v>
      </c>
      <c r="I336" s="287">
        <f t="shared" ref="I336:Q336" si="322">H336</f>
        <v>0.99500000000000011</v>
      </c>
      <c r="J336" s="287">
        <f t="shared" si="322"/>
        <v>0.99500000000000011</v>
      </c>
      <c r="K336" s="287">
        <f t="shared" si="322"/>
        <v>0.99500000000000011</v>
      </c>
      <c r="L336" s="287">
        <f t="shared" si="322"/>
        <v>0.99500000000000011</v>
      </c>
      <c r="M336" s="287">
        <f t="shared" si="322"/>
        <v>0.99500000000000011</v>
      </c>
      <c r="N336" s="287">
        <f t="shared" si="322"/>
        <v>0.99500000000000011</v>
      </c>
      <c r="O336" s="287">
        <f t="shared" si="322"/>
        <v>0.99500000000000011</v>
      </c>
      <c r="P336" s="287">
        <f t="shared" si="322"/>
        <v>0.99500000000000011</v>
      </c>
      <c r="Q336" s="287">
        <f t="shared" si="322"/>
        <v>0.99500000000000011</v>
      </c>
      <c r="R336" s="278">
        <v>1</v>
      </c>
      <c r="S336" s="278"/>
      <c r="T336" s="288">
        <v>5</v>
      </c>
      <c r="U336" s="289"/>
    </row>
    <row r="337" spans="1:21" x14ac:dyDescent="0.2">
      <c r="A337" s="256" t="s">
        <v>358</v>
      </c>
      <c r="B337" s="286" t="str">
        <f>TechData_R0!B116</f>
        <v>MINCSABMS6</v>
      </c>
      <c r="C337" s="286"/>
      <c r="D337" s="286"/>
      <c r="E337" s="278" t="s">
        <v>32</v>
      </c>
      <c r="F337" s="278"/>
      <c r="G337" s="278" t="s">
        <v>269</v>
      </c>
      <c r="H337" s="287">
        <f>1-TechData_R0!J116+1</f>
        <v>0.99500000000000011</v>
      </c>
      <c r="I337" s="287">
        <f t="shared" ref="I337:Q337" si="323">H337</f>
        <v>0.99500000000000011</v>
      </c>
      <c r="J337" s="287">
        <f t="shared" si="323"/>
        <v>0.99500000000000011</v>
      </c>
      <c r="K337" s="287">
        <f t="shared" si="323"/>
        <v>0.99500000000000011</v>
      </c>
      <c r="L337" s="287">
        <f t="shared" si="323"/>
        <v>0.99500000000000011</v>
      </c>
      <c r="M337" s="287">
        <f t="shared" si="323"/>
        <v>0.99500000000000011</v>
      </c>
      <c r="N337" s="287">
        <f t="shared" si="323"/>
        <v>0.99500000000000011</v>
      </c>
      <c r="O337" s="287">
        <f t="shared" si="323"/>
        <v>0.99500000000000011</v>
      </c>
      <c r="P337" s="287">
        <f t="shared" si="323"/>
        <v>0.99500000000000011</v>
      </c>
      <c r="Q337" s="287">
        <f t="shared" si="323"/>
        <v>0.99500000000000011</v>
      </c>
      <c r="R337" s="278">
        <v>1</v>
      </c>
      <c r="S337" s="278"/>
      <c r="T337" s="288">
        <v>5</v>
      </c>
      <c r="U337" s="289"/>
    </row>
    <row r="338" spans="1:21" x14ac:dyDescent="0.2">
      <c r="A338" s="256" t="s">
        <v>359</v>
      </c>
      <c r="B338" s="286" t="str">
        <f>TechData_R0!B118</f>
        <v>MINCEIBMU1</v>
      </c>
      <c r="C338" s="286"/>
      <c r="D338" s="286"/>
      <c r="E338" s="278" t="s">
        <v>32</v>
      </c>
      <c r="F338" s="278"/>
      <c r="G338" s="278" t="s">
        <v>269</v>
      </c>
      <c r="H338" s="287">
        <f>1-TechData_R0!J118+1</f>
        <v>0.95</v>
      </c>
      <c r="I338" s="287">
        <f t="shared" ref="I338:Q338" si="324">H338</f>
        <v>0.95</v>
      </c>
      <c r="J338" s="287">
        <f t="shared" si="324"/>
        <v>0.95</v>
      </c>
      <c r="K338" s="287">
        <f t="shared" si="324"/>
        <v>0.95</v>
      </c>
      <c r="L338" s="287">
        <f t="shared" si="324"/>
        <v>0.95</v>
      </c>
      <c r="M338" s="287">
        <f t="shared" si="324"/>
        <v>0.95</v>
      </c>
      <c r="N338" s="287">
        <f t="shared" si="324"/>
        <v>0.95</v>
      </c>
      <c r="O338" s="287">
        <f t="shared" si="324"/>
        <v>0.95</v>
      </c>
      <c r="P338" s="287">
        <f t="shared" si="324"/>
        <v>0.95</v>
      </c>
      <c r="Q338" s="287">
        <f t="shared" si="324"/>
        <v>0.95</v>
      </c>
      <c r="R338" s="278">
        <v>1</v>
      </c>
      <c r="S338" s="278"/>
      <c r="T338" s="288">
        <v>5</v>
      </c>
      <c r="U338" s="289"/>
    </row>
    <row r="339" spans="1:21" x14ac:dyDescent="0.2">
      <c r="A339" s="256" t="s">
        <v>360</v>
      </c>
      <c r="B339" s="286" t="str">
        <f>TechData_R0!B119</f>
        <v>MINCEIBMU2</v>
      </c>
      <c r="C339" s="286"/>
      <c r="D339" s="286"/>
      <c r="E339" s="278" t="s">
        <v>32</v>
      </c>
      <c r="F339" s="278"/>
      <c r="G339" s="278" t="s">
        <v>269</v>
      </c>
      <c r="H339" s="287">
        <f>1-TechData_R0!J119+1</f>
        <v>0.95</v>
      </c>
      <c r="I339" s="287">
        <f t="shared" ref="I339:Q339" si="325">H339</f>
        <v>0.95</v>
      </c>
      <c r="J339" s="287">
        <f t="shared" si="325"/>
        <v>0.95</v>
      </c>
      <c r="K339" s="287">
        <f t="shared" si="325"/>
        <v>0.95</v>
      </c>
      <c r="L339" s="287">
        <f t="shared" si="325"/>
        <v>0.95</v>
      </c>
      <c r="M339" s="287">
        <f t="shared" si="325"/>
        <v>0.95</v>
      </c>
      <c r="N339" s="287">
        <f t="shared" si="325"/>
        <v>0.95</v>
      </c>
      <c r="O339" s="287">
        <f t="shared" si="325"/>
        <v>0.95</v>
      </c>
      <c r="P339" s="287">
        <f t="shared" si="325"/>
        <v>0.95</v>
      </c>
      <c r="Q339" s="287">
        <f t="shared" si="325"/>
        <v>0.95</v>
      </c>
      <c r="R339" s="278">
        <v>1</v>
      </c>
      <c r="S339" s="278"/>
      <c r="T339" s="288">
        <v>5</v>
      </c>
      <c r="U339" s="289"/>
    </row>
    <row r="340" spans="1:21" x14ac:dyDescent="0.2">
      <c r="A340" s="256" t="s">
        <v>361</v>
      </c>
      <c r="B340" s="286" t="str">
        <f>TechData_R0!B120</f>
        <v>MINCEIBMU3</v>
      </c>
      <c r="C340" s="286"/>
      <c r="D340" s="286"/>
      <c r="E340" s="278" t="s">
        <v>32</v>
      </c>
      <c r="F340" s="278"/>
      <c r="G340" s="278" t="s">
        <v>269</v>
      </c>
      <c r="H340" s="287">
        <f>1-TechData_R0!J120+1</f>
        <v>0.95</v>
      </c>
      <c r="I340" s="287">
        <f t="shared" ref="I340:Q340" si="326">H340</f>
        <v>0.95</v>
      </c>
      <c r="J340" s="287">
        <f t="shared" si="326"/>
        <v>0.95</v>
      </c>
      <c r="K340" s="287">
        <f t="shared" si="326"/>
        <v>0.95</v>
      </c>
      <c r="L340" s="287">
        <f t="shared" si="326"/>
        <v>0.95</v>
      </c>
      <c r="M340" s="287">
        <f t="shared" si="326"/>
        <v>0.95</v>
      </c>
      <c r="N340" s="287">
        <f t="shared" si="326"/>
        <v>0.95</v>
      </c>
      <c r="O340" s="287">
        <f t="shared" si="326"/>
        <v>0.95</v>
      </c>
      <c r="P340" s="287">
        <f t="shared" si="326"/>
        <v>0.95</v>
      </c>
      <c r="Q340" s="287">
        <f t="shared" si="326"/>
        <v>0.95</v>
      </c>
      <c r="R340" s="278">
        <v>1</v>
      </c>
      <c r="S340" s="278"/>
      <c r="T340" s="288">
        <v>5</v>
      </c>
      <c r="U340" s="289"/>
    </row>
    <row r="341" spans="1:21" x14ac:dyDescent="0.2">
      <c r="A341" s="256" t="s">
        <v>362</v>
      </c>
      <c r="B341" s="286" t="str">
        <f>TechData_R0!B121</f>
        <v>MINCEIBMU4</v>
      </c>
      <c r="C341" s="286"/>
      <c r="D341" s="286"/>
      <c r="E341" s="278" t="s">
        <v>32</v>
      </c>
      <c r="F341" s="278"/>
      <c r="G341" s="278" t="s">
        <v>269</v>
      </c>
      <c r="H341" s="287">
        <f>1-TechData_R0!J121+1</f>
        <v>0.95</v>
      </c>
      <c r="I341" s="287">
        <f t="shared" ref="I341:Q341" si="327">H341</f>
        <v>0.95</v>
      </c>
      <c r="J341" s="287">
        <f t="shared" si="327"/>
        <v>0.95</v>
      </c>
      <c r="K341" s="287">
        <f t="shared" si="327"/>
        <v>0.95</v>
      </c>
      <c r="L341" s="287">
        <f t="shared" si="327"/>
        <v>0.95</v>
      </c>
      <c r="M341" s="287">
        <f t="shared" si="327"/>
        <v>0.95</v>
      </c>
      <c r="N341" s="287">
        <f t="shared" si="327"/>
        <v>0.95</v>
      </c>
      <c r="O341" s="287">
        <f t="shared" si="327"/>
        <v>0.95</v>
      </c>
      <c r="P341" s="287">
        <f t="shared" si="327"/>
        <v>0.95</v>
      </c>
      <c r="Q341" s="287">
        <f t="shared" si="327"/>
        <v>0.95</v>
      </c>
      <c r="R341" s="278">
        <v>1</v>
      </c>
      <c r="S341" s="278"/>
      <c r="T341" s="288">
        <v>5</v>
      </c>
      <c r="U341" s="289"/>
    </row>
    <row r="342" spans="1:21" x14ac:dyDescent="0.2">
      <c r="A342" s="256" t="s">
        <v>363</v>
      </c>
      <c r="B342" s="286" t="str">
        <f>TechData_R0!B122</f>
        <v>MINCEIBMU5</v>
      </c>
      <c r="C342" s="286"/>
      <c r="D342" s="286"/>
      <c r="E342" s="278" t="s">
        <v>32</v>
      </c>
      <c r="F342" s="278"/>
      <c r="G342" s="278" t="s">
        <v>269</v>
      </c>
      <c r="H342" s="287">
        <f>1-TechData_R0!J122+1</f>
        <v>0.95</v>
      </c>
      <c r="I342" s="287">
        <f t="shared" ref="I342:Q342" si="328">H342</f>
        <v>0.95</v>
      </c>
      <c r="J342" s="287">
        <f t="shared" si="328"/>
        <v>0.95</v>
      </c>
      <c r="K342" s="287">
        <f t="shared" si="328"/>
        <v>0.95</v>
      </c>
      <c r="L342" s="287">
        <f t="shared" si="328"/>
        <v>0.95</v>
      </c>
      <c r="M342" s="287">
        <f t="shared" si="328"/>
        <v>0.95</v>
      </c>
      <c r="N342" s="287">
        <f t="shared" si="328"/>
        <v>0.95</v>
      </c>
      <c r="O342" s="287">
        <f t="shared" si="328"/>
        <v>0.95</v>
      </c>
      <c r="P342" s="287">
        <f t="shared" si="328"/>
        <v>0.95</v>
      </c>
      <c r="Q342" s="287">
        <f t="shared" si="328"/>
        <v>0.95</v>
      </c>
      <c r="R342" s="278">
        <v>1</v>
      </c>
      <c r="S342" s="278"/>
      <c r="T342" s="288">
        <v>5</v>
      </c>
      <c r="U342" s="289"/>
    </row>
    <row r="343" spans="1:21" x14ac:dyDescent="0.2">
      <c r="A343" s="256" t="s">
        <v>364</v>
      </c>
      <c r="B343" s="286" t="str">
        <f>TechData_R0!B123</f>
        <v>MINCEIBMU6</v>
      </c>
      <c r="C343" s="286"/>
      <c r="D343" s="286"/>
      <c r="E343" s="278" t="s">
        <v>32</v>
      </c>
      <c r="F343" s="278"/>
      <c r="G343" s="278" t="s">
        <v>269</v>
      </c>
      <c r="H343" s="287">
        <f>1-TechData_R0!J123+1</f>
        <v>0.95</v>
      </c>
      <c r="I343" s="287">
        <f t="shared" ref="I343:Q343" si="329">H343</f>
        <v>0.95</v>
      </c>
      <c r="J343" s="287">
        <f t="shared" si="329"/>
        <v>0.95</v>
      </c>
      <c r="K343" s="287">
        <f t="shared" si="329"/>
        <v>0.95</v>
      </c>
      <c r="L343" s="287">
        <f t="shared" si="329"/>
        <v>0.95</v>
      </c>
      <c r="M343" s="287">
        <f t="shared" si="329"/>
        <v>0.95</v>
      </c>
      <c r="N343" s="287">
        <f t="shared" si="329"/>
        <v>0.95</v>
      </c>
      <c r="O343" s="287">
        <f t="shared" si="329"/>
        <v>0.95</v>
      </c>
      <c r="P343" s="287">
        <f t="shared" si="329"/>
        <v>0.95</v>
      </c>
      <c r="Q343" s="287">
        <f t="shared" si="329"/>
        <v>0.95</v>
      </c>
      <c r="R343" s="278">
        <v>1</v>
      </c>
      <c r="S343" s="278"/>
      <c r="T343" s="288">
        <v>5</v>
      </c>
      <c r="U343" s="289"/>
    </row>
    <row r="344" spans="1:21" x14ac:dyDescent="0.2">
      <c r="A344" s="256" t="s">
        <v>365</v>
      </c>
      <c r="B344" s="286" t="str">
        <f>TechData_R0!B125</f>
        <v>MINCEIBMS1</v>
      </c>
      <c r="C344" s="286"/>
      <c r="D344" s="286"/>
      <c r="E344" s="278" t="s">
        <v>32</v>
      </c>
      <c r="F344" s="278"/>
      <c r="G344" s="278" t="s">
        <v>269</v>
      </c>
      <c r="H344" s="287">
        <f>1-TechData_R0!J125+1</f>
        <v>0.95</v>
      </c>
      <c r="I344" s="287">
        <f t="shared" ref="I344:Q344" si="330">H344</f>
        <v>0.95</v>
      </c>
      <c r="J344" s="287">
        <f t="shared" si="330"/>
        <v>0.95</v>
      </c>
      <c r="K344" s="287">
        <f t="shared" si="330"/>
        <v>0.95</v>
      </c>
      <c r="L344" s="287">
        <f t="shared" si="330"/>
        <v>0.95</v>
      </c>
      <c r="M344" s="287">
        <f t="shared" si="330"/>
        <v>0.95</v>
      </c>
      <c r="N344" s="287">
        <f t="shared" si="330"/>
        <v>0.95</v>
      </c>
      <c r="O344" s="287">
        <f t="shared" si="330"/>
        <v>0.95</v>
      </c>
      <c r="P344" s="287">
        <f t="shared" si="330"/>
        <v>0.95</v>
      </c>
      <c r="Q344" s="287">
        <f t="shared" si="330"/>
        <v>0.95</v>
      </c>
      <c r="R344" s="278">
        <v>1</v>
      </c>
      <c r="S344" s="278"/>
      <c r="T344" s="288">
        <v>5</v>
      </c>
      <c r="U344" s="289"/>
    </row>
    <row r="345" spans="1:21" x14ac:dyDescent="0.2">
      <c r="A345" s="256" t="s">
        <v>366</v>
      </c>
      <c r="B345" s="286" t="str">
        <f>TechData_R0!B126</f>
        <v>MINCEIBMS2</v>
      </c>
      <c r="C345" s="286"/>
      <c r="D345" s="286"/>
      <c r="E345" s="278" t="s">
        <v>32</v>
      </c>
      <c r="F345" s="278"/>
      <c r="G345" s="278" t="s">
        <v>269</v>
      </c>
      <c r="H345" s="287">
        <f>1-TechData_R0!J126+1</f>
        <v>0.95</v>
      </c>
      <c r="I345" s="287">
        <f t="shared" ref="I345:Q345" si="331">H345</f>
        <v>0.95</v>
      </c>
      <c r="J345" s="287">
        <f t="shared" si="331"/>
        <v>0.95</v>
      </c>
      <c r="K345" s="287">
        <f t="shared" si="331"/>
        <v>0.95</v>
      </c>
      <c r="L345" s="287">
        <f t="shared" si="331"/>
        <v>0.95</v>
      </c>
      <c r="M345" s="287">
        <f t="shared" si="331"/>
        <v>0.95</v>
      </c>
      <c r="N345" s="287">
        <f t="shared" si="331"/>
        <v>0.95</v>
      </c>
      <c r="O345" s="287">
        <f t="shared" si="331"/>
        <v>0.95</v>
      </c>
      <c r="P345" s="287">
        <f t="shared" si="331"/>
        <v>0.95</v>
      </c>
      <c r="Q345" s="287">
        <f t="shared" si="331"/>
        <v>0.95</v>
      </c>
      <c r="R345" s="278">
        <v>1</v>
      </c>
      <c r="S345" s="278"/>
      <c r="T345" s="288">
        <v>5</v>
      </c>
      <c r="U345" s="289"/>
    </row>
    <row r="346" spans="1:21" x14ac:dyDescent="0.2">
      <c r="A346" s="256" t="s">
        <v>367</v>
      </c>
      <c r="B346" s="286" t="str">
        <f>TechData_R0!B127</f>
        <v>MINCEIBMS3</v>
      </c>
      <c r="C346" s="286"/>
      <c r="D346" s="286"/>
      <c r="E346" s="278" t="s">
        <v>32</v>
      </c>
      <c r="F346" s="278"/>
      <c r="G346" s="278" t="s">
        <v>269</v>
      </c>
      <c r="H346" s="287">
        <f>1-TechData_R0!J127+1</f>
        <v>0.95</v>
      </c>
      <c r="I346" s="287">
        <f t="shared" ref="I346:Q346" si="332">H346</f>
        <v>0.95</v>
      </c>
      <c r="J346" s="287">
        <f t="shared" si="332"/>
        <v>0.95</v>
      </c>
      <c r="K346" s="287">
        <f t="shared" si="332"/>
        <v>0.95</v>
      </c>
      <c r="L346" s="287">
        <f t="shared" si="332"/>
        <v>0.95</v>
      </c>
      <c r="M346" s="287">
        <f t="shared" si="332"/>
        <v>0.95</v>
      </c>
      <c r="N346" s="287">
        <f t="shared" si="332"/>
        <v>0.95</v>
      </c>
      <c r="O346" s="287">
        <f t="shared" si="332"/>
        <v>0.95</v>
      </c>
      <c r="P346" s="287">
        <f t="shared" si="332"/>
        <v>0.95</v>
      </c>
      <c r="Q346" s="287">
        <f t="shared" si="332"/>
        <v>0.95</v>
      </c>
      <c r="R346" s="278">
        <v>1</v>
      </c>
      <c r="S346" s="278"/>
      <c r="T346" s="288">
        <v>5</v>
      </c>
      <c r="U346" s="289"/>
    </row>
    <row r="347" spans="1:21" x14ac:dyDescent="0.2">
      <c r="A347" s="256" t="s">
        <v>368</v>
      </c>
      <c r="B347" s="286" t="str">
        <f>TechData_R0!B128</f>
        <v>MINCEIBMS4</v>
      </c>
      <c r="C347" s="286"/>
      <c r="D347" s="286"/>
      <c r="E347" s="278" t="s">
        <v>32</v>
      </c>
      <c r="F347" s="278"/>
      <c r="G347" s="278" t="s">
        <v>269</v>
      </c>
      <c r="H347" s="287">
        <f>1-TechData_R0!J128+1</f>
        <v>0.95</v>
      </c>
      <c r="I347" s="287">
        <f t="shared" ref="I347:Q347" si="333">H347</f>
        <v>0.95</v>
      </c>
      <c r="J347" s="287">
        <f t="shared" si="333"/>
        <v>0.95</v>
      </c>
      <c r="K347" s="287">
        <f t="shared" si="333"/>
        <v>0.95</v>
      </c>
      <c r="L347" s="287">
        <f t="shared" si="333"/>
        <v>0.95</v>
      </c>
      <c r="M347" s="287">
        <f t="shared" si="333"/>
        <v>0.95</v>
      </c>
      <c r="N347" s="287">
        <f t="shared" si="333"/>
        <v>0.95</v>
      </c>
      <c r="O347" s="287">
        <f t="shared" si="333"/>
        <v>0.95</v>
      </c>
      <c r="P347" s="287">
        <f t="shared" si="333"/>
        <v>0.95</v>
      </c>
      <c r="Q347" s="287">
        <f t="shared" si="333"/>
        <v>0.95</v>
      </c>
      <c r="R347" s="278">
        <v>1</v>
      </c>
      <c r="S347" s="278"/>
      <c r="T347" s="288">
        <v>5</v>
      </c>
      <c r="U347" s="289"/>
    </row>
    <row r="348" spans="1:21" x14ac:dyDescent="0.2">
      <c r="A348" s="256" t="s">
        <v>369</v>
      </c>
      <c r="B348" s="286" t="str">
        <f>TechData_R0!B129</f>
        <v>MINCEIBMS5</v>
      </c>
      <c r="C348" s="286"/>
      <c r="D348" s="286"/>
      <c r="E348" s="278" t="s">
        <v>32</v>
      </c>
      <c r="F348" s="278"/>
      <c r="G348" s="278" t="s">
        <v>269</v>
      </c>
      <c r="H348" s="287">
        <f>1-TechData_R0!J129+1</f>
        <v>0.95</v>
      </c>
      <c r="I348" s="287">
        <f t="shared" ref="I348:Q348" si="334">H348</f>
        <v>0.95</v>
      </c>
      <c r="J348" s="287">
        <f t="shared" si="334"/>
        <v>0.95</v>
      </c>
      <c r="K348" s="287">
        <f t="shared" si="334"/>
        <v>0.95</v>
      </c>
      <c r="L348" s="287">
        <f t="shared" si="334"/>
        <v>0.95</v>
      </c>
      <c r="M348" s="287">
        <f t="shared" si="334"/>
        <v>0.95</v>
      </c>
      <c r="N348" s="287">
        <f t="shared" si="334"/>
        <v>0.95</v>
      </c>
      <c r="O348" s="287">
        <f t="shared" si="334"/>
        <v>0.95</v>
      </c>
      <c r="P348" s="287">
        <f t="shared" si="334"/>
        <v>0.95</v>
      </c>
      <c r="Q348" s="287">
        <f t="shared" si="334"/>
        <v>0.95</v>
      </c>
      <c r="R348" s="278">
        <v>1</v>
      </c>
      <c r="S348" s="278"/>
      <c r="T348" s="288">
        <v>5</v>
      </c>
      <c r="U348" s="289"/>
    </row>
    <row r="349" spans="1:21" x14ac:dyDescent="0.2">
      <c r="A349" s="256" t="s">
        <v>370</v>
      </c>
      <c r="B349" s="286" t="str">
        <f>TechData_R0!B130</f>
        <v>MINCEIBMS6</v>
      </c>
      <c r="C349" s="286"/>
      <c r="D349" s="286"/>
      <c r="E349" s="278" t="s">
        <v>32</v>
      </c>
      <c r="F349" s="278"/>
      <c r="G349" s="278" t="s">
        <v>269</v>
      </c>
      <c r="H349" s="287">
        <f>1-TechData_R0!J130+1</f>
        <v>0.95</v>
      </c>
      <c r="I349" s="287">
        <f t="shared" ref="I349:Q349" si="335">H349</f>
        <v>0.95</v>
      </c>
      <c r="J349" s="287">
        <f t="shared" si="335"/>
        <v>0.95</v>
      </c>
      <c r="K349" s="287">
        <f t="shared" si="335"/>
        <v>0.95</v>
      </c>
      <c r="L349" s="287">
        <f t="shared" si="335"/>
        <v>0.95</v>
      </c>
      <c r="M349" s="287">
        <f t="shared" si="335"/>
        <v>0.95</v>
      </c>
      <c r="N349" s="287">
        <f t="shared" si="335"/>
        <v>0.95</v>
      </c>
      <c r="O349" s="287">
        <f t="shared" si="335"/>
        <v>0.95</v>
      </c>
      <c r="P349" s="287">
        <f t="shared" si="335"/>
        <v>0.95</v>
      </c>
      <c r="Q349" s="287">
        <f t="shared" si="335"/>
        <v>0.95</v>
      </c>
      <c r="R349" s="278">
        <v>1</v>
      </c>
      <c r="S349" s="278"/>
      <c r="T349" s="288">
        <v>5</v>
      </c>
      <c r="U349" s="289"/>
    </row>
    <row r="350" spans="1:21" x14ac:dyDescent="0.2">
      <c r="A350" s="256" t="s">
        <v>371</v>
      </c>
      <c r="B350" s="286" t="str">
        <f>TechData_R0!B132</f>
        <v>MINCEIBHU1</v>
      </c>
      <c r="C350" s="286"/>
      <c r="D350" s="286"/>
      <c r="E350" s="278" t="s">
        <v>32</v>
      </c>
      <c r="F350" s="278"/>
      <c r="G350" s="278" t="s">
        <v>269</v>
      </c>
      <c r="H350" s="287">
        <f>1-TechData_R0!J132+1</f>
        <v>0.95</v>
      </c>
      <c r="I350" s="287">
        <f t="shared" ref="I350:Q350" si="336">H350</f>
        <v>0.95</v>
      </c>
      <c r="J350" s="287">
        <f t="shared" si="336"/>
        <v>0.95</v>
      </c>
      <c r="K350" s="287">
        <f t="shared" si="336"/>
        <v>0.95</v>
      </c>
      <c r="L350" s="287">
        <f t="shared" si="336"/>
        <v>0.95</v>
      </c>
      <c r="M350" s="287">
        <f t="shared" si="336"/>
        <v>0.95</v>
      </c>
      <c r="N350" s="287">
        <f t="shared" si="336"/>
        <v>0.95</v>
      </c>
      <c r="O350" s="287">
        <f t="shared" si="336"/>
        <v>0.95</v>
      </c>
      <c r="P350" s="287">
        <f t="shared" si="336"/>
        <v>0.95</v>
      </c>
      <c r="Q350" s="287">
        <f t="shared" si="336"/>
        <v>0.95</v>
      </c>
      <c r="R350" s="278">
        <v>1</v>
      </c>
      <c r="S350" s="278"/>
      <c r="T350" s="288">
        <v>5</v>
      </c>
      <c r="U350" s="289"/>
    </row>
    <row r="351" spans="1:21" x14ac:dyDescent="0.2">
      <c r="A351" s="256" t="s">
        <v>372</v>
      </c>
      <c r="B351" s="286" t="str">
        <f>TechData_R0!B133</f>
        <v>MINCEIBHU2</v>
      </c>
      <c r="C351" s="286"/>
      <c r="D351" s="286"/>
      <c r="E351" s="278" t="s">
        <v>32</v>
      </c>
      <c r="F351" s="278"/>
      <c r="G351" s="278" t="s">
        <v>269</v>
      </c>
      <c r="H351" s="287">
        <f>1-TechData_R0!J133+1</f>
        <v>0.95</v>
      </c>
      <c r="I351" s="287">
        <f t="shared" ref="I351:Q351" si="337">H351</f>
        <v>0.95</v>
      </c>
      <c r="J351" s="287">
        <f t="shared" si="337"/>
        <v>0.95</v>
      </c>
      <c r="K351" s="287">
        <f t="shared" si="337"/>
        <v>0.95</v>
      </c>
      <c r="L351" s="287">
        <f t="shared" si="337"/>
        <v>0.95</v>
      </c>
      <c r="M351" s="287">
        <f t="shared" si="337"/>
        <v>0.95</v>
      </c>
      <c r="N351" s="287">
        <f t="shared" si="337"/>
        <v>0.95</v>
      </c>
      <c r="O351" s="287">
        <f t="shared" si="337"/>
        <v>0.95</v>
      </c>
      <c r="P351" s="287">
        <f t="shared" si="337"/>
        <v>0.95</v>
      </c>
      <c r="Q351" s="287">
        <f t="shared" si="337"/>
        <v>0.95</v>
      </c>
      <c r="R351" s="278">
        <v>1</v>
      </c>
      <c r="S351" s="278"/>
      <c r="T351" s="288">
        <v>5</v>
      </c>
      <c r="U351" s="289"/>
    </row>
    <row r="352" spans="1:21" x14ac:dyDescent="0.2">
      <c r="A352" s="256" t="s">
        <v>373</v>
      </c>
      <c r="B352" s="286" t="str">
        <f>TechData_R0!B134</f>
        <v>MINCEIBHU3</v>
      </c>
      <c r="C352" s="286"/>
      <c r="D352" s="286"/>
      <c r="E352" s="278" t="s">
        <v>32</v>
      </c>
      <c r="F352" s="278"/>
      <c r="G352" s="278" t="s">
        <v>269</v>
      </c>
      <c r="H352" s="287">
        <f>1-TechData_R0!J134+1</f>
        <v>0.95</v>
      </c>
      <c r="I352" s="287">
        <f t="shared" ref="I352:Q352" si="338">H352</f>
        <v>0.95</v>
      </c>
      <c r="J352" s="287">
        <f t="shared" si="338"/>
        <v>0.95</v>
      </c>
      <c r="K352" s="287">
        <f t="shared" si="338"/>
        <v>0.95</v>
      </c>
      <c r="L352" s="287">
        <f t="shared" si="338"/>
        <v>0.95</v>
      </c>
      <c r="M352" s="287">
        <f t="shared" si="338"/>
        <v>0.95</v>
      </c>
      <c r="N352" s="287">
        <f t="shared" si="338"/>
        <v>0.95</v>
      </c>
      <c r="O352" s="287">
        <f t="shared" si="338"/>
        <v>0.95</v>
      </c>
      <c r="P352" s="287">
        <f t="shared" si="338"/>
        <v>0.95</v>
      </c>
      <c r="Q352" s="287">
        <f t="shared" si="338"/>
        <v>0.95</v>
      </c>
      <c r="R352" s="278">
        <v>1</v>
      </c>
      <c r="S352" s="278"/>
      <c r="T352" s="288">
        <v>5</v>
      </c>
      <c r="U352" s="289"/>
    </row>
    <row r="353" spans="1:21" x14ac:dyDescent="0.2">
      <c r="A353" s="256" t="s">
        <v>374</v>
      </c>
      <c r="B353" s="286" t="str">
        <f>TechData_R0!B135</f>
        <v>MINCEIBHU4</v>
      </c>
      <c r="C353" s="286"/>
      <c r="D353" s="286"/>
      <c r="E353" s="278" t="s">
        <v>32</v>
      </c>
      <c r="F353" s="278"/>
      <c r="G353" s="278" t="s">
        <v>269</v>
      </c>
      <c r="H353" s="287">
        <f>1-TechData_R0!J135+1</f>
        <v>0.95</v>
      </c>
      <c r="I353" s="287">
        <f t="shared" ref="I353:Q353" si="339">H353</f>
        <v>0.95</v>
      </c>
      <c r="J353" s="287">
        <f t="shared" si="339"/>
        <v>0.95</v>
      </c>
      <c r="K353" s="287">
        <f t="shared" si="339"/>
        <v>0.95</v>
      </c>
      <c r="L353" s="287">
        <f t="shared" si="339"/>
        <v>0.95</v>
      </c>
      <c r="M353" s="287">
        <f t="shared" si="339"/>
        <v>0.95</v>
      </c>
      <c r="N353" s="287">
        <f t="shared" si="339"/>
        <v>0.95</v>
      </c>
      <c r="O353" s="287">
        <f t="shared" si="339"/>
        <v>0.95</v>
      </c>
      <c r="P353" s="287">
        <f t="shared" si="339"/>
        <v>0.95</v>
      </c>
      <c r="Q353" s="287">
        <f t="shared" si="339"/>
        <v>0.95</v>
      </c>
      <c r="R353" s="278">
        <v>1</v>
      </c>
      <c r="S353" s="278"/>
      <c r="T353" s="288">
        <v>5</v>
      </c>
      <c r="U353" s="289"/>
    </row>
    <row r="354" spans="1:21" x14ac:dyDescent="0.2">
      <c r="A354" s="256" t="s">
        <v>375</v>
      </c>
      <c r="B354" s="286" t="str">
        <f>TechData_R0!B136</f>
        <v>MINCEIBHU5</v>
      </c>
      <c r="C354" s="286"/>
      <c r="D354" s="286"/>
      <c r="E354" s="278" t="s">
        <v>32</v>
      </c>
      <c r="F354" s="278"/>
      <c r="G354" s="278" t="s">
        <v>269</v>
      </c>
      <c r="H354" s="287">
        <f>1-TechData_R0!J136+1</f>
        <v>0.95</v>
      </c>
      <c r="I354" s="287">
        <f t="shared" ref="I354:Q354" si="340">H354</f>
        <v>0.95</v>
      </c>
      <c r="J354" s="287">
        <f t="shared" si="340"/>
        <v>0.95</v>
      </c>
      <c r="K354" s="287">
        <f t="shared" si="340"/>
        <v>0.95</v>
      </c>
      <c r="L354" s="287">
        <f t="shared" si="340"/>
        <v>0.95</v>
      </c>
      <c r="M354" s="287">
        <f t="shared" si="340"/>
        <v>0.95</v>
      </c>
      <c r="N354" s="287">
        <f t="shared" si="340"/>
        <v>0.95</v>
      </c>
      <c r="O354" s="287">
        <f t="shared" si="340"/>
        <v>0.95</v>
      </c>
      <c r="P354" s="287">
        <f t="shared" si="340"/>
        <v>0.95</v>
      </c>
      <c r="Q354" s="287">
        <f t="shared" si="340"/>
        <v>0.95</v>
      </c>
      <c r="R354" s="278">
        <v>1</v>
      </c>
      <c r="S354" s="278"/>
      <c r="T354" s="288">
        <v>5</v>
      </c>
      <c r="U354" s="289"/>
    </row>
    <row r="355" spans="1:21" x14ac:dyDescent="0.2">
      <c r="A355" s="256" t="s">
        <v>376</v>
      </c>
      <c r="B355" s="286" t="str">
        <f>TechData_R0!B137</f>
        <v>MINCEIBHU6</v>
      </c>
      <c r="C355" s="286"/>
      <c r="D355" s="286"/>
      <c r="E355" s="278" t="s">
        <v>32</v>
      </c>
      <c r="F355" s="278"/>
      <c r="G355" s="278" t="s">
        <v>269</v>
      </c>
      <c r="H355" s="287">
        <f>1-TechData_R0!J137+1</f>
        <v>0.95</v>
      </c>
      <c r="I355" s="287">
        <f t="shared" ref="I355:Q355" si="341">H355</f>
        <v>0.95</v>
      </c>
      <c r="J355" s="287">
        <f t="shared" si="341"/>
        <v>0.95</v>
      </c>
      <c r="K355" s="287">
        <f t="shared" si="341"/>
        <v>0.95</v>
      </c>
      <c r="L355" s="287">
        <f t="shared" si="341"/>
        <v>0.95</v>
      </c>
      <c r="M355" s="287">
        <f t="shared" si="341"/>
        <v>0.95</v>
      </c>
      <c r="N355" s="287">
        <f t="shared" si="341"/>
        <v>0.95</v>
      </c>
      <c r="O355" s="287">
        <f t="shared" si="341"/>
        <v>0.95</v>
      </c>
      <c r="P355" s="287">
        <f t="shared" si="341"/>
        <v>0.95</v>
      </c>
      <c r="Q355" s="287">
        <f t="shared" si="341"/>
        <v>0.95</v>
      </c>
      <c r="R355" s="278">
        <v>1</v>
      </c>
      <c r="S355" s="278"/>
      <c r="T355" s="288">
        <v>5</v>
      </c>
      <c r="U355" s="289"/>
    </row>
    <row r="356" spans="1:21" x14ac:dyDescent="0.2">
      <c r="A356" s="256" t="s">
        <v>377</v>
      </c>
      <c r="B356" s="286" t="str">
        <f>TechData_R0!B139</f>
        <v>MINCEIBHS1</v>
      </c>
      <c r="C356" s="286"/>
      <c r="D356" s="286"/>
      <c r="E356" s="278" t="s">
        <v>32</v>
      </c>
      <c r="F356" s="278"/>
      <c r="G356" s="278" t="s">
        <v>269</v>
      </c>
      <c r="H356" s="287">
        <f>1-TechData_R0!J139+1</f>
        <v>0.95</v>
      </c>
      <c r="I356" s="287">
        <f t="shared" ref="I356:Q356" si="342">H356</f>
        <v>0.95</v>
      </c>
      <c r="J356" s="287">
        <f t="shared" si="342"/>
        <v>0.95</v>
      </c>
      <c r="K356" s="287">
        <f t="shared" si="342"/>
        <v>0.95</v>
      </c>
      <c r="L356" s="287">
        <f t="shared" si="342"/>
        <v>0.95</v>
      </c>
      <c r="M356" s="287">
        <f t="shared" si="342"/>
        <v>0.95</v>
      </c>
      <c r="N356" s="287">
        <f t="shared" si="342"/>
        <v>0.95</v>
      </c>
      <c r="O356" s="287">
        <f t="shared" si="342"/>
        <v>0.95</v>
      </c>
      <c r="P356" s="287">
        <f t="shared" si="342"/>
        <v>0.95</v>
      </c>
      <c r="Q356" s="287">
        <f t="shared" si="342"/>
        <v>0.95</v>
      </c>
      <c r="R356" s="278">
        <v>1</v>
      </c>
      <c r="S356" s="278"/>
      <c r="T356" s="288">
        <v>5</v>
      </c>
      <c r="U356" s="289"/>
    </row>
    <row r="357" spans="1:21" x14ac:dyDescent="0.2">
      <c r="A357" s="256" t="s">
        <v>378</v>
      </c>
      <c r="B357" s="286" t="str">
        <f>TechData_R0!B140</f>
        <v>MINCEIBHS2</v>
      </c>
      <c r="C357" s="286"/>
      <c r="D357" s="286"/>
      <c r="E357" s="278" t="s">
        <v>32</v>
      </c>
      <c r="F357" s="278"/>
      <c r="G357" s="278" t="s">
        <v>269</v>
      </c>
      <c r="H357" s="287">
        <f>1-TechData_R0!J140+1</f>
        <v>0.95</v>
      </c>
      <c r="I357" s="287">
        <f t="shared" ref="I357:Q357" si="343">H357</f>
        <v>0.95</v>
      </c>
      <c r="J357" s="287">
        <f t="shared" si="343"/>
        <v>0.95</v>
      </c>
      <c r="K357" s="287">
        <f t="shared" si="343"/>
        <v>0.95</v>
      </c>
      <c r="L357" s="287">
        <f t="shared" si="343"/>
        <v>0.95</v>
      </c>
      <c r="M357" s="287">
        <f t="shared" si="343"/>
        <v>0.95</v>
      </c>
      <c r="N357" s="287">
        <f t="shared" si="343"/>
        <v>0.95</v>
      </c>
      <c r="O357" s="287">
        <f t="shared" si="343"/>
        <v>0.95</v>
      </c>
      <c r="P357" s="287">
        <f t="shared" si="343"/>
        <v>0.95</v>
      </c>
      <c r="Q357" s="287">
        <f t="shared" si="343"/>
        <v>0.95</v>
      </c>
      <c r="R357" s="278">
        <v>1</v>
      </c>
      <c r="S357" s="278"/>
      <c r="T357" s="288">
        <v>5</v>
      </c>
      <c r="U357" s="289"/>
    </row>
    <row r="358" spans="1:21" x14ac:dyDescent="0.2">
      <c r="A358" s="256" t="s">
        <v>379</v>
      </c>
      <c r="B358" s="286" t="str">
        <f>TechData_R0!B141</f>
        <v>MINCEIBHS3</v>
      </c>
      <c r="C358" s="286"/>
      <c r="D358" s="286"/>
      <c r="E358" s="278" t="s">
        <v>32</v>
      </c>
      <c r="F358" s="278"/>
      <c r="G358" s="278" t="s">
        <v>269</v>
      </c>
      <c r="H358" s="287">
        <f>1-TechData_R0!J141+1</f>
        <v>0.95</v>
      </c>
      <c r="I358" s="287">
        <f t="shared" ref="I358:Q358" si="344">H358</f>
        <v>0.95</v>
      </c>
      <c r="J358" s="287">
        <f t="shared" si="344"/>
        <v>0.95</v>
      </c>
      <c r="K358" s="287">
        <f t="shared" si="344"/>
        <v>0.95</v>
      </c>
      <c r="L358" s="287">
        <f t="shared" si="344"/>
        <v>0.95</v>
      </c>
      <c r="M358" s="287">
        <f t="shared" si="344"/>
        <v>0.95</v>
      </c>
      <c r="N358" s="287">
        <f t="shared" si="344"/>
        <v>0.95</v>
      </c>
      <c r="O358" s="287">
        <f t="shared" si="344"/>
        <v>0.95</v>
      </c>
      <c r="P358" s="287">
        <f t="shared" si="344"/>
        <v>0.95</v>
      </c>
      <c r="Q358" s="287">
        <f t="shared" si="344"/>
        <v>0.95</v>
      </c>
      <c r="R358" s="278">
        <v>1</v>
      </c>
      <c r="S358" s="278"/>
      <c r="T358" s="288">
        <v>5</v>
      </c>
      <c r="U358" s="289"/>
    </row>
    <row r="359" spans="1:21" x14ac:dyDescent="0.2">
      <c r="A359" s="256" t="s">
        <v>380</v>
      </c>
      <c r="B359" s="286" t="str">
        <f>TechData_R0!B142</f>
        <v>MINCEIBHS4</v>
      </c>
      <c r="C359" s="286"/>
      <c r="D359" s="286"/>
      <c r="E359" s="278" t="s">
        <v>32</v>
      </c>
      <c r="F359" s="278"/>
      <c r="G359" s="278" t="s">
        <v>269</v>
      </c>
      <c r="H359" s="287">
        <f>1-TechData_R0!J142+1</f>
        <v>0.95</v>
      </c>
      <c r="I359" s="287">
        <f t="shared" ref="I359:Q359" si="345">H359</f>
        <v>0.95</v>
      </c>
      <c r="J359" s="287">
        <f t="shared" si="345"/>
        <v>0.95</v>
      </c>
      <c r="K359" s="287">
        <f t="shared" si="345"/>
        <v>0.95</v>
      </c>
      <c r="L359" s="287">
        <f t="shared" si="345"/>
        <v>0.95</v>
      </c>
      <c r="M359" s="287">
        <f t="shared" si="345"/>
        <v>0.95</v>
      </c>
      <c r="N359" s="287">
        <f t="shared" si="345"/>
        <v>0.95</v>
      </c>
      <c r="O359" s="287">
        <f t="shared" si="345"/>
        <v>0.95</v>
      </c>
      <c r="P359" s="287">
        <f t="shared" si="345"/>
        <v>0.95</v>
      </c>
      <c r="Q359" s="287">
        <f t="shared" si="345"/>
        <v>0.95</v>
      </c>
      <c r="R359" s="278">
        <v>1</v>
      </c>
      <c r="S359" s="278"/>
      <c r="T359" s="288">
        <v>5</v>
      </c>
      <c r="U359" s="289"/>
    </row>
    <row r="360" spans="1:21" x14ac:dyDescent="0.2">
      <c r="A360" s="256" t="s">
        <v>381</v>
      </c>
      <c r="B360" s="286" t="str">
        <f>TechData_R0!B143</f>
        <v>MINCEIBHS5</v>
      </c>
      <c r="C360" s="286"/>
      <c r="D360" s="286"/>
      <c r="E360" s="278" t="s">
        <v>32</v>
      </c>
      <c r="F360" s="278"/>
      <c r="G360" s="278" t="s">
        <v>269</v>
      </c>
      <c r="H360" s="287">
        <f>1-TechData_R0!J143+1</f>
        <v>0.95</v>
      </c>
      <c r="I360" s="287">
        <f t="shared" ref="I360:Q360" si="346">H360</f>
        <v>0.95</v>
      </c>
      <c r="J360" s="287">
        <f t="shared" si="346"/>
        <v>0.95</v>
      </c>
      <c r="K360" s="287">
        <f t="shared" si="346"/>
        <v>0.95</v>
      </c>
      <c r="L360" s="287">
        <f t="shared" si="346"/>
        <v>0.95</v>
      </c>
      <c r="M360" s="287">
        <f t="shared" si="346"/>
        <v>0.95</v>
      </c>
      <c r="N360" s="287">
        <f t="shared" si="346"/>
        <v>0.95</v>
      </c>
      <c r="O360" s="287">
        <f t="shared" si="346"/>
        <v>0.95</v>
      </c>
      <c r="P360" s="287">
        <f t="shared" si="346"/>
        <v>0.95</v>
      </c>
      <c r="Q360" s="287">
        <f t="shared" si="346"/>
        <v>0.95</v>
      </c>
      <c r="R360" s="278">
        <v>1</v>
      </c>
      <c r="S360" s="278"/>
      <c r="T360" s="288">
        <v>5</v>
      </c>
      <c r="U360" s="289"/>
    </row>
    <row r="361" spans="1:21" x14ac:dyDescent="0.2">
      <c r="A361" s="256" t="s">
        <v>382</v>
      </c>
      <c r="B361" s="286" t="str">
        <f>TechData_R0!B144</f>
        <v>MINCEIBHS6</v>
      </c>
      <c r="C361" s="286"/>
      <c r="D361" s="286"/>
      <c r="E361" s="278" t="s">
        <v>32</v>
      </c>
      <c r="F361" s="278"/>
      <c r="G361" s="278" t="s">
        <v>269</v>
      </c>
      <c r="H361" s="287">
        <f>1-TechData_R0!J144+1</f>
        <v>0.95</v>
      </c>
      <c r="I361" s="287">
        <f t="shared" ref="I361:Q361" si="347">H361</f>
        <v>0.95</v>
      </c>
      <c r="J361" s="287">
        <f t="shared" si="347"/>
        <v>0.95</v>
      </c>
      <c r="K361" s="287">
        <f t="shared" si="347"/>
        <v>0.95</v>
      </c>
      <c r="L361" s="287">
        <f t="shared" si="347"/>
        <v>0.95</v>
      </c>
      <c r="M361" s="287">
        <f t="shared" si="347"/>
        <v>0.95</v>
      </c>
      <c r="N361" s="287">
        <f t="shared" si="347"/>
        <v>0.95</v>
      </c>
      <c r="O361" s="287">
        <f t="shared" si="347"/>
        <v>0.95</v>
      </c>
      <c r="P361" s="287">
        <f t="shared" si="347"/>
        <v>0.95</v>
      </c>
      <c r="Q361" s="287">
        <f t="shared" si="347"/>
        <v>0.95</v>
      </c>
      <c r="R361" s="278">
        <v>1</v>
      </c>
      <c r="S361" s="278"/>
      <c r="T361" s="288">
        <v>5</v>
      </c>
      <c r="U361" s="289"/>
    </row>
    <row r="362" spans="1:21" x14ac:dyDescent="0.2">
      <c r="A362" s="256" t="s">
        <v>383</v>
      </c>
      <c r="B362" s="286" t="str">
        <f>TechData_R0!B146</f>
        <v>MINCEILMS1</v>
      </c>
      <c r="C362" s="286"/>
      <c r="D362" s="286"/>
      <c r="E362" s="278" t="s">
        <v>32</v>
      </c>
      <c r="F362" s="278"/>
      <c r="G362" s="278" t="s">
        <v>269</v>
      </c>
      <c r="H362" s="287">
        <f>1-TechData_R0!J146+1</f>
        <v>0.95</v>
      </c>
      <c r="I362" s="287">
        <f t="shared" ref="I362:Q362" si="348">H362</f>
        <v>0.95</v>
      </c>
      <c r="J362" s="287">
        <f t="shared" si="348"/>
        <v>0.95</v>
      </c>
      <c r="K362" s="287">
        <f t="shared" si="348"/>
        <v>0.95</v>
      </c>
      <c r="L362" s="287">
        <f t="shared" si="348"/>
        <v>0.95</v>
      </c>
      <c r="M362" s="287">
        <f t="shared" si="348"/>
        <v>0.95</v>
      </c>
      <c r="N362" s="287">
        <f t="shared" si="348"/>
        <v>0.95</v>
      </c>
      <c r="O362" s="287">
        <f t="shared" si="348"/>
        <v>0.95</v>
      </c>
      <c r="P362" s="287">
        <f t="shared" si="348"/>
        <v>0.95</v>
      </c>
      <c r="Q362" s="287">
        <f t="shared" si="348"/>
        <v>0.95</v>
      </c>
      <c r="R362" s="278">
        <v>1</v>
      </c>
      <c r="S362" s="278"/>
      <c r="T362" s="288">
        <v>5</v>
      </c>
      <c r="U362" s="289"/>
    </row>
    <row r="363" spans="1:21" x14ac:dyDescent="0.2">
      <c r="A363" s="256" t="s">
        <v>384</v>
      </c>
      <c r="B363" s="286" t="str">
        <f>TechData_R0!B147</f>
        <v>MINCEILMS2</v>
      </c>
      <c r="C363" s="286"/>
      <c r="D363" s="286"/>
      <c r="E363" s="278" t="s">
        <v>32</v>
      </c>
      <c r="F363" s="278"/>
      <c r="G363" s="278" t="s">
        <v>269</v>
      </c>
      <c r="H363" s="287">
        <f>1-TechData_R0!J147+1</f>
        <v>0.95</v>
      </c>
      <c r="I363" s="287">
        <f t="shared" ref="I363:Q363" si="349">H363</f>
        <v>0.95</v>
      </c>
      <c r="J363" s="287">
        <f t="shared" si="349"/>
        <v>0.95</v>
      </c>
      <c r="K363" s="287">
        <f t="shared" si="349"/>
        <v>0.95</v>
      </c>
      <c r="L363" s="287">
        <f t="shared" si="349"/>
        <v>0.95</v>
      </c>
      <c r="M363" s="287">
        <f t="shared" si="349"/>
        <v>0.95</v>
      </c>
      <c r="N363" s="287">
        <f t="shared" si="349"/>
        <v>0.95</v>
      </c>
      <c r="O363" s="287">
        <f t="shared" si="349"/>
        <v>0.95</v>
      </c>
      <c r="P363" s="287">
        <f t="shared" si="349"/>
        <v>0.95</v>
      </c>
      <c r="Q363" s="287">
        <f t="shared" si="349"/>
        <v>0.95</v>
      </c>
      <c r="R363" s="278">
        <v>1</v>
      </c>
      <c r="S363" s="278"/>
      <c r="T363" s="288">
        <v>5</v>
      </c>
      <c r="U363" s="289"/>
    </row>
    <row r="364" spans="1:21" x14ac:dyDescent="0.2">
      <c r="A364" s="256" t="s">
        <v>385</v>
      </c>
      <c r="B364" s="286" t="str">
        <f>TechData_R0!B148</f>
        <v>MINCEILMS3</v>
      </c>
      <c r="C364" s="286"/>
      <c r="D364" s="286"/>
      <c r="E364" s="278" t="s">
        <v>32</v>
      </c>
      <c r="F364" s="278"/>
      <c r="G364" s="278" t="s">
        <v>269</v>
      </c>
      <c r="H364" s="287">
        <f>1-TechData_R0!J148+1</f>
        <v>0.95</v>
      </c>
      <c r="I364" s="287">
        <f t="shared" ref="I364:Q364" si="350">H364</f>
        <v>0.95</v>
      </c>
      <c r="J364" s="287">
        <f t="shared" si="350"/>
        <v>0.95</v>
      </c>
      <c r="K364" s="287">
        <f t="shared" si="350"/>
        <v>0.95</v>
      </c>
      <c r="L364" s="287">
        <f t="shared" si="350"/>
        <v>0.95</v>
      </c>
      <c r="M364" s="287">
        <f t="shared" si="350"/>
        <v>0.95</v>
      </c>
      <c r="N364" s="287">
        <f t="shared" si="350"/>
        <v>0.95</v>
      </c>
      <c r="O364" s="287">
        <f t="shared" si="350"/>
        <v>0.95</v>
      </c>
      <c r="P364" s="287">
        <f t="shared" si="350"/>
        <v>0.95</v>
      </c>
      <c r="Q364" s="287">
        <f t="shared" si="350"/>
        <v>0.95</v>
      </c>
      <c r="R364" s="278">
        <v>1</v>
      </c>
      <c r="S364" s="278"/>
      <c r="T364" s="288">
        <v>5</v>
      </c>
      <c r="U364" s="289"/>
    </row>
    <row r="365" spans="1:21" x14ac:dyDescent="0.2">
      <c r="A365" s="256" t="s">
        <v>386</v>
      </c>
      <c r="B365" s="286" t="str">
        <f>TechData_R0!B149</f>
        <v>MINCEILMS4</v>
      </c>
      <c r="C365" s="286"/>
      <c r="D365" s="286"/>
      <c r="E365" s="278" t="s">
        <v>32</v>
      </c>
      <c r="F365" s="278"/>
      <c r="G365" s="278" t="s">
        <v>269</v>
      </c>
      <c r="H365" s="287">
        <f>1-TechData_R0!J149+1</f>
        <v>0.95</v>
      </c>
      <c r="I365" s="287">
        <f t="shared" ref="I365:Q365" si="351">H365</f>
        <v>0.95</v>
      </c>
      <c r="J365" s="287">
        <f t="shared" si="351"/>
        <v>0.95</v>
      </c>
      <c r="K365" s="287">
        <f t="shared" si="351"/>
        <v>0.95</v>
      </c>
      <c r="L365" s="287">
        <f t="shared" si="351"/>
        <v>0.95</v>
      </c>
      <c r="M365" s="287">
        <f t="shared" si="351"/>
        <v>0.95</v>
      </c>
      <c r="N365" s="287">
        <f t="shared" si="351"/>
        <v>0.95</v>
      </c>
      <c r="O365" s="287">
        <f t="shared" si="351"/>
        <v>0.95</v>
      </c>
      <c r="P365" s="287">
        <f t="shared" si="351"/>
        <v>0.95</v>
      </c>
      <c r="Q365" s="287">
        <f t="shared" si="351"/>
        <v>0.95</v>
      </c>
      <c r="R365" s="278">
        <v>1</v>
      </c>
      <c r="S365" s="278"/>
      <c r="T365" s="288">
        <v>5</v>
      </c>
      <c r="U365" s="289"/>
    </row>
    <row r="366" spans="1:21" x14ac:dyDescent="0.2">
      <c r="A366" s="256" t="s">
        <v>387</v>
      </c>
      <c r="B366" s="286" t="str">
        <f>TechData_R0!B150</f>
        <v>MINCEILMS5</v>
      </c>
      <c r="C366" s="286"/>
      <c r="D366" s="286"/>
      <c r="E366" s="278" t="s">
        <v>32</v>
      </c>
      <c r="F366" s="278"/>
      <c r="G366" s="278" t="s">
        <v>269</v>
      </c>
      <c r="H366" s="287">
        <f>1-TechData_R0!J150+1</f>
        <v>0.95</v>
      </c>
      <c r="I366" s="287">
        <f t="shared" ref="I366:Q366" si="352">H366</f>
        <v>0.95</v>
      </c>
      <c r="J366" s="287">
        <f t="shared" si="352"/>
        <v>0.95</v>
      </c>
      <c r="K366" s="287">
        <f t="shared" si="352"/>
        <v>0.95</v>
      </c>
      <c r="L366" s="287">
        <f t="shared" si="352"/>
        <v>0.95</v>
      </c>
      <c r="M366" s="287">
        <f t="shared" si="352"/>
        <v>0.95</v>
      </c>
      <c r="N366" s="287">
        <f t="shared" si="352"/>
        <v>0.95</v>
      </c>
      <c r="O366" s="287">
        <f t="shared" si="352"/>
        <v>0.95</v>
      </c>
      <c r="P366" s="287">
        <f t="shared" si="352"/>
        <v>0.95</v>
      </c>
      <c r="Q366" s="287">
        <f t="shared" si="352"/>
        <v>0.95</v>
      </c>
      <c r="R366" s="278">
        <v>1</v>
      </c>
      <c r="S366" s="278"/>
      <c r="T366" s="288">
        <v>5</v>
      </c>
      <c r="U366" s="289"/>
    </row>
    <row r="367" spans="1:21" x14ac:dyDescent="0.2">
      <c r="A367" s="256" t="s">
        <v>388</v>
      </c>
      <c r="B367" s="286" t="str">
        <f>TechData_R0!B151</f>
        <v>MINCEILMS6</v>
      </c>
      <c r="C367" s="286"/>
      <c r="D367" s="286"/>
      <c r="E367" s="278" t="s">
        <v>32</v>
      </c>
      <c r="F367" s="278"/>
      <c r="G367" s="278" t="s">
        <v>269</v>
      </c>
      <c r="H367" s="287">
        <f>1-TechData_R0!J151+1</f>
        <v>0.95</v>
      </c>
      <c r="I367" s="287">
        <f t="shared" ref="I367:Q367" si="353">H367</f>
        <v>0.95</v>
      </c>
      <c r="J367" s="287">
        <f t="shared" si="353"/>
        <v>0.95</v>
      </c>
      <c r="K367" s="287">
        <f t="shared" si="353"/>
        <v>0.95</v>
      </c>
      <c r="L367" s="287">
        <f t="shared" si="353"/>
        <v>0.95</v>
      </c>
      <c r="M367" s="287">
        <f t="shared" si="353"/>
        <v>0.95</v>
      </c>
      <c r="N367" s="287">
        <f t="shared" si="353"/>
        <v>0.95</v>
      </c>
      <c r="O367" s="287">
        <f t="shared" si="353"/>
        <v>0.95</v>
      </c>
      <c r="P367" s="287">
        <f t="shared" si="353"/>
        <v>0.95</v>
      </c>
      <c r="Q367" s="287">
        <f t="shared" si="353"/>
        <v>0.95</v>
      </c>
      <c r="R367" s="278">
        <v>1</v>
      </c>
      <c r="S367" s="278"/>
      <c r="T367" s="288">
        <v>5</v>
      </c>
      <c r="U367" s="289"/>
    </row>
    <row r="368" spans="1:21" x14ac:dyDescent="0.2">
      <c r="A368" s="256" t="s">
        <v>389</v>
      </c>
      <c r="B368" s="286" t="str">
        <f>TechData_R0!B153</f>
        <v>MINCWIBHS1</v>
      </c>
      <c r="C368" s="286"/>
      <c r="D368" s="286"/>
      <c r="E368" s="278" t="s">
        <v>32</v>
      </c>
      <c r="F368" s="278"/>
      <c r="G368" s="278" t="s">
        <v>269</v>
      </c>
      <c r="H368" s="287">
        <f>1-TechData_R0!J153+1</f>
        <v>0.95</v>
      </c>
      <c r="I368" s="287">
        <f t="shared" ref="I368:Q368" si="354">H368</f>
        <v>0.95</v>
      </c>
      <c r="J368" s="287">
        <f t="shared" si="354"/>
        <v>0.95</v>
      </c>
      <c r="K368" s="287">
        <f t="shared" si="354"/>
        <v>0.95</v>
      </c>
      <c r="L368" s="287">
        <f t="shared" si="354"/>
        <v>0.95</v>
      </c>
      <c r="M368" s="287">
        <f t="shared" si="354"/>
        <v>0.95</v>
      </c>
      <c r="N368" s="287">
        <f t="shared" si="354"/>
        <v>0.95</v>
      </c>
      <c r="O368" s="287">
        <f t="shared" si="354"/>
        <v>0.95</v>
      </c>
      <c r="P368" s="287">
        <f t="shared" si="354"/>
        <v>0.95</v>
      </c>
      <c r="Q368" s="287">
        <f t="shared" si="354"/>
        <v>0.95</v>
      </c>
      <c r="R368" s="278">
        <v>1</v>
      </c>
      <c r="S368" s="278"/>
      <c r="T368" s="288">
        <v>5</v>
      </c>
      <c r="U368" s="289"/>
    </row>
    <row r="369" spans="1:21" x14ac:dyDescent="0.2">
      <c r="A369" s="256" t="s">
        <v>390</v>
      </c>
      <c r="B369" s="286" t="str">
        <f>TechData_R0!B154</f>
        <v>MINCWIBHS2</v>
      </c>
      <c r="C369" s="286"/>
      <c r="D369" s="286"/>
      <c r="E369" s="278" t="s">
        <v>32</v>
      </c>
      <c r="F369" s="278"/>
      <c r="G369" s="278" t="s">
        <v>269</v>
      </c>
      <c r="H369" s="287">
        <f>1-TechData_R0!J154+1</f>
        <v>0.95</v>
      </c>
      <c r="I369" s="287">
        <f t="shared" ref="I369:Q369" si="355">H369</f>
        <v>0.95</v>
      </c>
      <c r="J369" s="287">
        <f t="shared" si="355"/>
        <v>0.95</v>
      </c>
      <c r="K369" s="287">
        <f t="shared" si="355"/>
        <v>0.95</v>
      </c>
      <c r="L369" s="287">
        <f t="shared" si="355"/>
        <v>0.95</v>
      </c>
      <c r="M369" s="287">
        <f t="shared" si="355"/>
        <v>0.95</v>
      </c>
      <c r="N369" s="287">
        <f t="shared" si="355"/>
        <v>0.95</v>
      </c>
      <c r="O369" s="287">
        <f t="shared" si="355"/>
        <v>0.95</v>
      </c>
      <c r="P369" s="287">
        <f t="shared" si="355"/>
        <v>0.95</v>
      </c>
      <c r="Q369" s="287">
        <f t="shared" si="355"/>
        <v>0.95</v>
      </c>
      <c r="R369" s="278">
        <v>1</v>
      </c>
      <c r="S369" s="278"/>
      <c r="T369" s="288">
        <v>5</v>
      </c>
      <c r="U369" s="289"/>
    </row>
    <row r="370" spans="1:21" x14ac:dyDescent="0.2">
      <c r="A370" s="256" t="s">
        <v>391</v>
      </c>
      <c r="B370" s="286" t="str">
        <f>TechData_R0!B155</f>
        <v>MINCWIBHS3</v>
      </c>
      <c r="C370" s="286"/>
      <c r="D370" s="286"/>
      <c r="E370" s="278" t="s">
        <v>32</v>
      </c>
      <c r="F370" s="278"/>
      <c r="G370" s="278" t="s">
        <v>269</v>
      </c>
      <c r="H370" s="287">
        <f>1-TechData_R0!J155+1</f>
        <v>0.95</v>
      </c>
      <c r="I370" s="287">
        <f t="shared" ref="I370:Q370" si="356">H370</f>
        <v>0.95</v>
      </c>
      <c r="J370" s="287">
        <f t="shared" si="356"/>
        <v>0.95</v>
      </c>
      <c r="K370" s="287">
        <f t="shared" si="356"/>
        <v>0.95</v>
      </c>
      <c r="L370" s="287">
        <f t="shared" si="356"/>
        <v>0.95</v>
      </c>
      <c r="M370" s="287">
        <f t="shared" si="356"/>
        <v>0.95</v>
      </c>
      <c r="N370" s="287">
        <f t="shared" si="356"/>
        <v>0.95</v>
      </c>
      <c r="O370" s="287">
        <f t="shared" si="356"/>
        <v>0.95</v>
      </c>
      <c r="P370" s="287">
        <f t="shared" si="356"/>
        <v>0.95</v>
      </c>
      <c r="Q370" s="287">
        <f t="shared" si="356"/>
        <v>0.95</v>
      </c>
      <c r="R370" s="278">
        <v>1</v>
      </c>
      <c r="S370" s="278"/>
      <c r="T370" s="288">
        <v>5</v>
      </c>
      <c r="U370" s="289"/>
    </row>
    <row r="371" spans="1:21" x14ac:dyDescent="0.2">
      <c r="A371" s="256" t="s">
        <v>392</v>
      </c>
      <c r="B371" s="286" t="str">
        <f>TechData_R0!B156</f>
        <v>MINCWIBHS4</v>
      </c>
      <c r="C371" s="286"/>
      <c r="D371" s="286"/>
      <c r="E371" s="278" t="s">
        <v>32</v>
      </c>
      <c r="F371" s="278"/>
      <c r="G371" s="278" t="s">
        <v>269</v>
      </c>
      <c r="H371" s="287">
        <f>1-TechData_R0!J156+1</f>
        <v>0.95</v>
      </c>
      <c r="I371" s="287">
        <f t="shared" ref="I371:Q371" si="357">H371</f>
        <v>0.95</v>
      </c>
      <c r="J371" s="287">
        <f t="shared" si="357"/>
        <v>0.95</v>
      </c>
      <c r="K371" s="287">
        <f t="shared" si="357"/>
        <v>0.95</v>
      </c>
      <c r="L371" s="287">
        <f t="shared" si="357"/>
        <v>0.95</v>
      </c>
      <c r="M371" s="287">
        <f t="shared" si="357"/>
        <v>0.95</v>
      </c>
      <c r="N371" s="287">
        <f t="shared" si="357"/>
        <v>0.95</v>
      </c>
      <c r="O371" s="287">
        <f t="shared" si="357"/>
        <v>0.95</v>
      </c>
      <c r="P371" s="287">
        <f t="shared" si="357"/>
        <v>0.95</v>
      </c>
      <c r="Q371" s="287">
        <f t="shared" si="357"/>
        <v>0.95</v>
      </c>
      <c r="R371" s="278">
        <v>1</v>
      </c>
      <c r="S371" s="278"/>
      <c r="T371" s="288">
        <v>5</v>
      </c>
      <c r="U371" s="289"/>
    </row>
    <row r="372" spans="1:21" x14ac:dyDescent="0.2">
      <c r="A372" s="256" t="s">
        <v>393</v>
      </c>
      <c r="B372" s="286" t="str">
        <f>TechData_R0!B157</f>
        <v>MINCWIBHS5</v>
      </c>
      <c r="C372" s="286"/>
      <c r="D372" s="286"/>
      <c r="E372" s="278" t="s">
        <v>32</v>
      </c>
      <c r="F372" s="278"/>
      <c r="G372" s="278" t="s">
        <v>269</v>
      </c>
      <c r="H372" s="287">
        <f>1-TechData_R0!J157+1</f>
        <v>0.95</v>
      </c>
      <c r="I372" s="287">
        <f t="shared" ref="I372:Q372" si="358">H372</f>
        <v>0.95</v>
      </c>
      <c r="J372" s="287">
        <f t="shared" si="358"/>
        <v>0.95</v>
      </c>
      <c r="K372" s="287">
        <f t="shared" si="358"/>
        <v>0.95</v>
      </c>
      <c r="L372" s="287">
        <f t="shared" si="358"/>
        <v>0.95</v>
      </c>
      <c r="M372" s="287">
        <f t="shared" si="358"/>
        <v>0.95</v>
      </c>
      <c r="N372" s="287">
        <f t="shared" si="358"/>
        <v>0.95</v>
      </c>
      <c r="O372" s="287">
        <f t="shared" si="358"/>
        <v>0.95</v>
      </c>
      <c r="P372" s="287">
        <f t="shared" si="358"/>
        <v>0.95</v>
      </c>
      <c r="Q372" s="287">
        <f t="shared" si="358"/>
        <v>0.95</v>
      </c>
      <c r="R372" s="278">
        <v>1</v>
      </c>
      <c r="S372" s="278"/>
      <c r="T372" s="288">
        <v>5</v>
      </c>
      <c r="U372" s="289"/>
    </row>
    <row r="373" spans="1:21" x14ac:dyDescent="0.2">
      <c r="A373" s="256" t="s">
        <v>394</v>
      </c>
      <c r="B373" s="286" t="str">
        <f>TechData_R0!B158</f>
        <v>MINCWIBHS6</v>
      </c>
      <c r="C373" s="286"/>
      <c r="D373" s="286"/>
      <c r="E373" s="278" t="s">
        <v>32</v>
      </c>
      <c r="F373" s="278"/>
      <c r="G373" s="278" t="s">
        <v>269</v>
      </c>
      <c r="H373" s="287">
        <f>1-TechData_R0!J158+1</f>
        <v>0.95</v>
      </c>
      <c r="I373" s="287">
        <f t="shared" ref="I373:Q373" si="359">H373</f>
        <v>0.95</v>
      </c>
      <c r="J373" s="287">
        <f t="shared" si="359"/>
        <v>0.95</v>
      </c>
      <c r="K373" s="287">
        <f t="shared" si="359"/>
        <v>0.95</v>
      </c>
      <c r="L373" s="287">
        <f t="shared" si="359"/>
        <v>0.95</v>
      </c>
      <c r="M373" s="287">
        <f t="shared" si="359"/>
        <v>0.95</v>
      </c>
      <c r="N373" s="287">
        <f t="shared" si="359"/>
        <v>0.95</v>
      </c>
      <c r="O373" s="287">
        <f t="shared" si="359"/>
        <v>0.95</v>
      </c>
      <c r="P373" s="287">
        <f t="shared" si="359"/>
        <v>0.95</v>
      </c>
      <c r="Q373" s="287">
        <f t="shared" si="359"/>
        <v>0.95</v>
      </c>
      <c r="R373" s="278">
        <v>1</v>
      </c>
      <c r="S373" s="278"/>
      <c r="T373" s="288">
        <v>5</v>
      </c>
      <c r="U373" s="289"/>
    </row>
    <row r="374" spans="1:21" x14ac:dyDescent="0.2">
      <c r="A374" s="256" t="s">
        <v>395</v>
      </c>
      <c r="B374" s="286" t="str">
        <f>TechData_R0!B160</f>
        <v>MINCGLLMS1</v>
      </c>
      <c r="C374" s="286"/>
      <c r="D374" s="286"/>
      <c r="E374" s="278" t="s">
        <v>32</v>
      </c>
      <c r="F374" s="278"/>
      <c r="G374" s="278" t="s">
        <v>269</v>
      </c>
      <c r="H374" s="287">
        <f>1-TechData_R0!J160+1</f>
        <v>0.95</v>
      </c>
      <c r="I374" s="287">
        <f t="shared" ref="I374:Q374" si="360">H374</f>
        <v>0.95</v>
      </c>
      <c r="J374" s="287">
        <f t="shared" si="360"/>
        <v>0.95</v>
      </c>
      <c r="K374" s="287">
        <f t="shared" si="360"/>
        <v>0.95</v>
      </c>
      <c r="L374" s="287">
        <f t="shared" si="360"/>
        <v>0.95</v>
      </c>
      <c r="M374" s="287">
        <f t="shared" si="360"/>
        <v>0.95</v>
      </c>
      <c r="N374" s="287">
        <f t="shared" si="360"/>
        <v>0.95</v>
      </c>
      <c r="O374" s="287">
        <f t="shared" si="360"/>
        <v>0.95</v>
      </c>
      <c r="P374" s="287">
        <f t="shared" si="360"/>
        <v>0.95</v>
      </c>
      <c r="Q374" s="287">
        <f t="shared" si="360"/>
        <v>0.95</v>
      </c>
      <c r="R374" s="278">
        <v>1</v>
      </c>
      <c r="S374" s="278"/>
      <c r="T374" s="288">
        <v>5</v>
      </c>
      <c r="U374" s="289"/>
    </row>
    <row r="375" spans="1:21" x14ac:dyDescent="0.2">
      <c r="A375" s="256" t="s">
        <v>396</v>
      </c>
      <c r="B375" s="286" t="str">
        <f>TechData_R0!B161</f>
        <v>MINCGLLMS2</v>
      </c>
      <c r="C375" s="286"/>
      <c r="D375" s="286"/>
      <c r="E375" s="278" t="s">
        <v>32</v>
      </c>
      <c r="F375" s="278"/>
      <c r="G375" s="278" t="s">
        <v>269</v>
      </c>
      <c r="H375" s="287">
        <f>1-TechData_R0!J161+1</f>
        <v>0.95</v>
      </c>
      <c r="I375" s="287">
        <f t="shared" ref="I375:Q375" si="361">H375</f>
        <v>0.95</v>
      </c>
      <c r="J375" s="287">
        <f t="shared" si="361"/>
        <v>0.95</v>
      </c>
      <c r="K375" s="287">
        <f t="shared" si="361"/>
        <v>0.95</v>
      </c>
      <c r="L375" s="287">
        <f t="shared" si="361"/>
        <v>0.95</v>
      </c>
      <c r="M375" s="287">
        <f t="shared" si="361"/>
        <v>0.95</v>
      </c>
      <c r="N375" s="287">
        <f t="shared" si="361"/>
        <v>0.95</v>
      </c>
      <c r="O375" s="287">
        <f t="shared" si="361"/>
        <v>0.95</v>
      </c>
      <c r="P375" s="287">
        <f t="shared" si="361"/>
        <v>0.95</v>
      </c>
      <c r="Q375" s="287">
        <f t="shared" si="361"/>
        <v>0.95</v>
      </c>
      <c r="R375" s="278">
        <v>1</v>
      </c>
      <c r="S375" s="278"/>
      <c r="T375" s="288">
        <v>5</v>
      </c>
      <c r="U375" s="289"/>
    </row>
    <row r="376" spans="1:21" x14ac:dyDescent="0.2">
      <c r="A376" s="256" t="s">
        <v>397</v>
      </c>
      <c r="B376" s="286" t="str">
        <f>TechData_R0!B162</f>
        <v>MINCGLLMS3</v>
      </c>
      <c r="C376" s="286"/>
      <c r="D376" s="286"/>
      <c r="E376" s="278" t="s">
        <v>32</v>
      </c>
      <c r="F376" s="278"/>
      <c r="G376" s="278" t="s">
        <v>269</v>
      </c>
      <c r="H376" s="287">
        <f>1-TechData_R0!J162+1</f>
        <v>0.95</v>
      </c>
      <c r="I376" s="287">
        <f t="shared" ref="I376:Q376" si="362">H376</f>
        <v>0.95</v>
      </c>
      <c r="J376" s="287">
        <f t="shared" si="362"/>
        <v>0.95</v>
      </c>
      <c r="K376" s="287">
        <f t="shared" si="362"/>
        <v>0.95</v>
      </c>
      <c r="L376" s="287">
        <f t="shared" si="362"/>
        <v>0.95</v>
      </c>
      <c r="M376" s="287">
        <f t="shared" si="362"/>
        <v>0.95</v>
      </c>
      <c r="N376" s="287">
        <f t="shared" si="362"/>
        <v>0.95</v>
      </c>
      <c r="O376" s="287">
        <f t="shared" si="362"/>
        <v>0.95</v>
      </c>
      <c r="P376" s="287">
        <f t="shared" si="362"/>
        <v>0.95</v>
      </c>
      <c r="Q376" s="287">
        <f t="shared" si="362"/>
        <v>0.95</v>
      </c>
      <c r="R376" s="278">
        <v>1</v>
      </c>
      <c r="S376" s="278"/>
      <c r="T376" s="288">
        <v>5</v>
      </c>
      <c r="U376" s="289"/>
    </row>
    <row r="377" spans="1:21" x14ac:dyDescent="0.2">
      <c r="A377" s="256" t="s">
        <v>398</v>
      </c>
      <c r="B377" s="286" t="str">
        <f>TechData_R0!B163</f>
        <v>MINCGLLMS4</v>
      </c>
      <c r="C377" s="286"/>
      <c r="D377" s="286"/>
      <c r="E377" s="278" t="s">
        <v>32</v>
      </c>
      <c r="F377" s="278"/>
      <c r="G377" s="278" t="s">
        <v>269</v>
      </c>
      <c r="H377" s="287">
        <f>1-TechData_R0!J163+1</f>
        <v>0.95</v>
      </c>
      <c r="I377" s="287">
        <f t="shared" ref="I377:Q377" si="363">H377</f>
        <v>0.95</v>
      </c>
      <c r="J377" s="287">
        <f t="shared" si="363"/>
        <v>0.95</v>
      </c>
      <c r="K377" s="287">
        <f t="shared" si="363"/>
        <v>0.95</v>
      </c>
      <c r="L377" s="287">
        <f t="shared" si="363"/>
        <v>0.95</v>
      </c>
      <c r="M377" s="287">
        <f t="shared" si="363"/>
        <v>0.95</v>
      </c>
      <c r="N377" s="287">
        <f t="shared" si="363"/>
        <v>0.95</v>
      </c>
      <c r="O377" s="287">
        <f t="shared" si="363"/>
        <v>0.95</v>
      </c>
      <c r="P377" s="287">
        <f t="shared" si="363"/>
        <v>0.95</v>
      </c>
      <c r="Q377" s="287">
        <f t="shared" si="363"/>
        <v>0.95</v>
      </c>
      <c r="R377" s="278">
        <v>1</v>
      </c>
      <c r="S377" s="278"/>
      <c r="T377" s="288">
        <v>5</v>
      </c>
      <c r="U377" s="289"/>
    </row>
    <row r="378" spans="1:21" x14ac:dyDescent="0.2">
      <c r="A378" s="256" t="s">
        <v>399</v>
      </c>
      <c r="B378" s="286" t="str">
        <f>TechData_R0!B164</f>
        <v>MINCGLLMS5</v>
      </c>
      <c r="C378" s="286"/>
      <c r="D378" s="286"/>
      <c r="E378" s="278" t="s">
        <v>32</v>
      </c>
      <c r="F378" s="278"/>
      <c r="G378" s="278" t="s">
        <v>269</v>
      </c>
      <c r="H378" s="287">
        <f>1-TechData_R0!J164+1</f>
        <v>0.95</v>
      </c>
      <c r="I378" s="287">
        <f t="shared" ref="I378:Q378" si="364">H378</f>
        <v>0.95</v>
      </c>
      <c r="J378" s="287">
        <f t="shared" si="364"/>
        <v>0.95</v>
      </c>
      <c r="K378" s="287">
        <f t="shared" si="364"/>
        <v>0.95</v>
      </c>
      <c r="L378" s="287">
        <f t="shared" si="364"/>
        <v>0.95</v>
      </c>
      <c r="M378" s="287">
        <f t="shared" si="364"/>
        <v>0.95</v>
      </c>
      <c r="N378" s="287">
        <f t="shared" si="364"/>
        <v>0.95</v>
      </c>
      <c r="O378" s="287">
        <f t="shared" si="364"/>
        <v>0.95</v>
      </c>
      <c r="P378" s="287">
        <f t="shared" si="364"/>
        <v>0.95</v>
      </c>
      <c r="Q378" s="287">
        <f t="shared" si="364"/>
        <v>0.95</v>
      </c>
      <c r="R378" s="278">
        <v>1</v>
      </c>
      <c r="S378" s="278"/>
      <c r="T378" s="288">
        <v>5</v>
      </c>
      <c r="U378" s="289"/>
    </row>
    <row r="379" spans="1:21" x14ac:dyDescent="0.2">
      <c r="A379" s="256" t="s">
        <v>400</v>
      </c>
      <c r="B379" s="286" t="str">
        <f>TechData_R0!B165</f>
        <v>MINCGLLMS6</v>
      </c>
      <c r="C379" s="286"/>
      <c r="D379" s="286"/>
      <c r="E379" s="278" t="s">
        <v>32</v>
      </c>
      <c r="F379" s="278"/>
      <c r="G379" s="278" t="s">
        <v>269</v>
      </c>
      <c r="H379" s="287">
        <f>1-TechData_R0!J165+1</f>
        <v>0.95</v>
      </c>
      <c r="I379" s="287">
        <f t="shared" ref="I379:Q379" si="365">H379</f>
        <v>0.95</v>
      </c>
      <c r="J379" s="287">
        <f t="shared" si="365"/>
        <v>0.95</v>
      </c>
      <c r="K379" s="287">
        <f t="shared" si="365"/>
        <v>0.95</v>
      </c>
      <c r="L379" s="287">
        <f t="shared" si="365"/>
        <v>0.95</v>
      </c>
      <c r="M379" s="287">
        <f t="shared" si="365"/>
        <v>0.95</v>
      </c>
      <c r="N379" s="287">
        <f t="shared" si="365"/>
        <v>0.95</v>
      </c>
      <c r="O379" s="287">
        <f t="shared" si="365"/>
        <v>0.95</v>
      </c>
      <c r="P379" s="287">
        <f t="shared" si="365"/>
        <v>0.95</v>
      </c>
      <c r="Q379" s="287">
        <f t="shared" si="365"/>
        <v>0.95</v>
      </c>
      <c r="R379" s="278">
        <v>1</v>
      </c>
      <c r="S379" s="278"/>
      <c r="T379" s="288">
        <v>5</v>
      </c>
      <c r="U379" s="289"/>
    </row>
    <row r="380" spans="1:21" x14ac:dyDescent="0.2">
      <c r="A380" s="256" t="s">
        <v>401</v>
      </c>
      <c r="B380" s="286" t="str">
        <f>TechData_R0!B167</f>
        <v>MINCGLLHS1</v>
      </c>
      <c r="C380" s="286"/>
      <c r="D380" s="286"/>
      <c r="E380" s="278" t="s">
        <v>32</v>
      </c>
      <c r="F380" s="278"/>
      <c r="G380" s="278" t="s">
        <v>269</v>
      </c>
      <c r="H380" s="287">
        <f>1-TechData_R0!J167+1</f>
        <v>0.95</v>
      </c>
      <c r="I380" s="287">
        <f t="shared" ref="I380:Q380" si="366">H380</f>
        <v>0.95</v>
      </c>
      <c r="J380" s="287">
        <f t="shared" si="366"/>
        <v>0.95</v>
      </c>
      <c r="K380" s="287">
        <f t="shared" si="366"/>
        <v>0.95</v>
      </c>
      <c r="L380" s="287">
        <f t="shared" si="366"/>
        <v>0.95</v>
      </c>
      <c r="M380" s="287">
        <f t="shared" si="366"/>
        <v>0.95</v>
      </c>
      <c r="N380" s="287">
        <f t="shared" si="366"/>
        <v>0.95</v>
      </c>
      <c r="O380" s="287">
        <f t="shared" si="366"/>
        <v>0.95</v>
      </c>
      <c r="P380" s="287">
        <f t="shared" si="366"/>
        <v>0.95</v>
      </c>
      <c r="Q380" s="287">
        <f t="shared" si="366"/>
        <v>0.95</v>
      </c>
      <c r="R380" s="278">
        <v>1</v>
      </c>
      <c r="S380" s="278"/>
      <c r="T380" s="288">
        <v>5</v>
      </c>
      <c r="U380" s="289"/>
    </row>
    <row r="381" spans="1:21" x14ac:dyDescent="0.2">
      <c r="A381" s="256" t="s">
        <v>402</v>
      </c>
      <c r="B381" s="286" t="str">
        <f>TechData_R0!B168</f>
        <v>MINCGLLHS2</v>
      </c>
      <c r="C381" s="286"/>
      <c r="D381" s="286"/>
      <c r="E381" s="278" t="s">
        <v>32</v>
      </c>
      <c r="F381" s="278"/>
      <c r="G381" s="278" t="s">
        <v>269</v>
      </c>
      <c r="H381" s="287">
        <f>1-TechData_R0!J168+1</f>
        <v>0.95</v>
      </c>
      <c r="I381" s="287">
        <f t="shared" ref="I381:Q381" si="367">H381</f>
        <v>0.95</v>
      </c>
      <c r="J381" s="287">
        <f t="shared" si="367"/>
        <v>0.95</v>
      </c>
      <c r="K381" s="287">
        <f t="shared" si="367"/>
        <v>0.95</v>
      </c>
      <c r="L381" s="287">
        <f t="shared" si="367"/>
        <v>0.95</v>
      </c>
      <c r="M381" s="287">
        <f t="shared" si="367"/>
        <v>0.95</v>
      </c>
      <c r="N381" s="287">
        <f t="shared" si="367"/>
        <v>0.95</v>
      </c>
      <c r="O381" s="287">
        <f t="shared" si="367"/>
        <v>0.95</v>
      </c>
      <c r="P381" s="287">
        <f t="shared" si="367"/>
        <v>0.95</v>
      </c>
      <c r="Q381" s="287">
        <f t="shared" si="367"/>
        <v>0.95</v>
      </c>
      <c r="R381" s="278">
        <v>1</v>
      </c>
      <c r="S381" s="278"/>
      <c r="T381" s="288">
        <v>5</v>
      </c>
      <c r="U381" s="289"/>
    </row>
    <row r="382" spans="1:21" x14ac:dyDescent="0.2">
      <c r="A382" s="256" t="s">
        <v>403</v>
      </c>
      <c r="B382" s="286" t="str">
        <f>TechData_R0!B169</f>
        <v>MINCGLLHS3</v>
      </c>
      <c r="C382" s="286"/>
      <c r="D382" s="286"/>
      <c r="E382" s="278" t="s">
        <v>32</v>
      </c>
      <c r="F382" s="278"/>
      <c r="G382" s="278" t="s">
        <v>269</v>
      </c>
      <c r="H382" s="287">
        <f>1-TechData_R0!J169+1</f>
        <v>0.95</v>
      </c>
      <c r="I382" s="287">
        <f t="shared" ref="I382:Q382" si="368">H382</f>
        <v>0.95</v>
      </c>
      <c r="J382" s="287">
        <f t="shared" si="368"/>
        <v>0.95</v>
      </c>
      <c r="K382" s="287">
        <f t="shared" si="368"/>
        <v>0.95</v>
      </c>
      <c r="L382" s="287">
        <f t="shared" si="368"/>
        <v>0.95</v>
      </c>
      <c r="M382" s="287">
        <f t="shared" si="368"/>
        <v>0.95</v>
      </c>
      <c r="N382" s="287">
        <f t="shared" si="368"/>
        <v>0.95</v>
      </c>
      <c r="O382" s="287">
        <f t="shared" si="368"/>
        <v>0.95</v>
      </c>
      <c r="P382" s="287">
        <f t="shared" si="368"/>
        <v>0.95</v>
      </c>
      <c r="Q382" s="287">
        <f t="shared" si="368"/>
        <v>0.95</v>
      </c>
      <c r="R382" s="278">
        <v>1</v>
      </c>
      <c r="S382" s="278"/>
      <c r="T382" s="288">
        <v>5</v>
      </c>
      <c r="U382" s="289"/>
    </row>
    <row r="383" spans="1:21" x14ac:dyDescent="0.2">
      <c r="A383" s="256" t="s">
        <v>404</v>
      </c>
      <c r="B383" s="286" t="str">
        <f>TechData_R0!B170</f>
        <v>MINCGLLHS4</v>
      </c>
      <c r="C383" s="286"/>
      <c r="D383" s="286"/>
      <c r="E383" s="278" t="s">
        <v>32</v>
      </c>
      <c r="F383" s="278"/>
      <c r="G383" s="278" t="s">
        <v>269</v>
      </c>
      <c r="H383" s="287">
        <f>1-TechData_R0!J170+1</f>
        <v>0.95</v>
      </c>
      <c r="I383" s="287">
        <f t="shared" ref="I383:Q383" si="369">H383</f>
        <v>0.95</v>
      </c>
      <c r="J383" s="287">
        <f t="shared" si="369"/>
        <v>0.95</v>
      </c>
      <c r="K383" s="287">
        <f t="shared" si="369"/>
        <v>0.95</v>
      </c>
      <c r="L383" s="287">
        <f t="shared" si="369"/>
        <v>0.95</v>
      </c>
      <c r="M383" s="287">
        <f t="shared" si="369"/>
        <v>0.95</v>
      </c>
      <c r="N383" s="287">
        <f t="shared" si="369"/>
        <v>0.95</v>
      </c>
      <c r="O383" s="287">
        <f t="shared" si="369"/>
        <v>0.95</v>
      </c>
      <c r="P383" s="287">
        <f t="shared" si="369"/>
        <v>0.95</v>
      </c>
      <c r="Q383" s="287">
        <f t="shared" si="369"/>
        <v>0.95</v>
      </c>
      <c r="R383" s="278">
        <v>1</v>
      </c>
      <c r="S383" s="278"/>
      <c r="T383" s="288">
        <v>5</v>
      </c>
      <c r="U383" s="289"/>
    </row>
    <row r="384" spans="1:21" x14ac:dyDescent="0.2">
      <c r="A384" s="256" t="s">
        <v>405</v>
      </c>
      <c r="B384" s="286" t="str">
        <f>TechData_R0!B171</f>
        <v>MINCGLLHS5</v>
      </c>
      <c r="C384" s="286"/>
      <c r="D384" s="286"/>
      <c r="E384" s="278" t="s">
        <v>32</v>
      </c>
      <c r="F384" s="278"/>
      <c r="G384" s="278" t="s">
        <v>269</v>
      </c>
      <c r="H384" s="287">
        <f>1-TechData_R0!J171+1</f>
        <v>0.95</v>
      </c>
      <c r="I384" s="287">
        <f t="shared" ref="I384:Q384" si="370">H384</f>
        <v>0.95</v>
      </c>
      <c r="J384" s="287">
        <f t="shared" si="370"/>
        <v>0.95</v>
      </c>
      <c r="K384" s="287">
        <f t="shared" si="370"/>
        <v>0.95</v>
      </c>
      <c r="L384" s="287">
        <f t="shared" si="370"/>
        <v>0.95</v>
      </c>
      <c r="M384" s="287">
        <f t="shared" si="370"/>
        <v>0.95</v>
      </c>
      <c r="N384" s="287">
        <f t="shared" si="370"/>
        <v>0.95</v>
      </c>
      <c r="O384" s="287">
        <f t="shared" si="370"/>
        <v>0.95</v>
      </c>
      <c r="P384" s="287">
        <f t="shared" si="370"/>
        <v>0.95</v>
      </c>
      <c r="Q384" s="287">
        <f t="shared" si="370"/>
        <v>0.95</v>
      </c>
      <c r="R384" s="278">
        <v>1</v>
      </c>
      <c r="S384" s="278"/>
      <c r="T384" s="288">
        <v>5</v>
      </c>
      <c r="U384" s="289"/>
    </row>
    <row r="385" spans="1:21" x14ac:dyDescent="0.2">
      <c r="A385" s="256" t="s">
        <v>406</v>
      </c>
      <c r="B385" s="286" t="str">
        <f>TechData_R0!B172</f>
        <v>MINCGLLHS6</v>
      </c>
      <c r="C385" s="286"/>
      <c r="D385" s="286"/>
      <c r="E385" s="278" t="s">
        <v>32</v>
      </c>
      <c r="F385" s="278"/>
      <c r="G385" s="278" t="s">
        <v>269</v>
      </c>
      <c r="H385" s="287">
        <f>1-TechData_R0!J172+1</f>
        <v>0.95</v>
      </c>
      <c r="I385" s="287">
        <f t="shared" ref="I385:Q385" si="371">H385</f>
        <v>0.95</v>
      </c>
      <c r="J385" s="287">
        <f t="shared" si="371"/>
        <v>0.95</v>
      </c>
      <c r="K385" s="287">
        <f t="shared" si="371"/>
        <v>0.95</v>
      </c>
      <c r="L385" s="287">
        <f t="shared" si="371"/>
        <v>0.95</v>
      </c>
      <c r="M385" s="287">
        <f t="shared" si="371"/>
        <v>0.95</v>
      </c>
      <c r="N385" s="287">
        <f t="shared" si="371"/>
        <v>0.95</v>
      </c>
      <c r="O385" s="287">
        <f t="shared" si="371"/>
        <v>0.95</v>
      </c>
      <c r="P385" s="287">
        <f t="shared" si="371"/>
        <v>0.95</v>
      </c>
      <c r="Q385" s="287">
        <f t="shared" si="371"/>
        <v>0.95</v>
      </c>
      <c r="R385" s="278">
        <v>1</v>
      </c>
      <c r="S385" s="278"/>
      <c r="T385" s="288">
        <v>5</v>
      </c>
      <c r="U385" s="289"/>
    </row>
    <row r="386" spans="1:21" x14ac:dyDescent="0.2">
      <c r="A386" s="256" t="s">
        <v>407</v>
      </c>
      <c r="B386" s="286" t="str">
        <f>TechData_R0!B174</f>
        <v>MINCDLLMS1</v>
      </c>
      <c r="C386" s="286"/>
      <c r="D386" s="286"/>
      <c r="E386" s="278" t="s">
        <v>32</v>
      </c>
      <c r="F386" s="278"/>
      <c r="G386" s="278" t="s">
        <v>269</v>
      </c>
      <c r="H386" s="287">
        <f>1-TechData_R0!J174+1</f>
        <v>0.99500000000000011</v>
      </c>
      <c r="I386" s="287">
        <f t="shared" ref="I386:Q386" si="372">H386</f>
        <v>0.99500000000000011</v>
      </c>
      <c r="J386" s="287">
        <f t="shared" si="372"/>
        <v>0.99500000000000011</v>
      </c>
      <c r="K386" s="287">
        <f t="shared" si="372"/>
        <v>0.99500000000000011</v>
      </c>
      <c r="L386" s="287">
        <f t="shared" si="372"/>
        <v>0.99500000000000011</v>
      </c>
      <c r="M386" s="287">
        <f t="shared" si="372"/>
        <v>0.99500000000000011</v>
      </c>
      <c r="N386" s="287">
        <f t="shared" si="372"/>
        <v>0.99500000000000011</v>
      </c>
      <c r="O386" s="287">
        <f t="shared" si="372"/>
        <v>0.99500000000000011</v>
      </c>
      <c r="P386" s="287">
        <f t="shared" si="372"/>
        <v>0.99500000000000011</v>
      </c>
      <c r="Q386" s="287">
        <f t="shared" si="372"/>
        <v>0.99500000000000011</v>
      </c>
      <c r="R386" s="278">
        <v>1</v>
      </c>
      <c r="S386" s="278"/>
      <c r="T386" s="288">
        <v>5</v>
      </c>
      <c r="U386" s="289"/>
    </row>
    <row r="387" spans="1:21" x14ac:dyDescent="0.2">
      <c r="A387" s="256" t="s">
        <v>408</v>
      </c>
      <c r="B387" s="286" t="str">
        <f>TechData_R0!B175</f>
        <v>MINCDLLMS2</v>
      </c>
      <c r="C387" s="286"/>
      <c r="D387" s="286"/>
      <c r="E387" s="278" t="s">
        <v>32</v>
      </c>
      <c r="F387" s="278"/>
      <c r="G387" s="278" t="s">
        <v>269</v>
      </c>
      <c r="H387" s="287">
        <f>1-TechData_R0!J175+1</f>
        <v>0.99500000000000011</v>
      </c>
      <c r="I387" s="287">
        <f t="shared" ref="I387:Q387" si="373">H387</f>
        <v>0.99500000000000011</v>
      </c>
      <c r="J387" s="287">
        <f t="shared" si="373"/>
        <v>0.99500000000000011</v>
      </c>
      <c r="K387" s="287">
        <f t="shared" si="373"/>
        <v>0.99500000000000011</v>
      </c>
      <c r="L387" s="287">
        <f t="shared" si="373"/>
        <v>0.99500000000000011</v>
      </c>
      <c r="M387" s="287">
        <f t="shared" si="373"/>
        <v>0.99500000000000011</v>
      </c>
      <c r="N387" s="287">
        <f t="shared" si="373"/>
        <v>0.99500000000000011</v>
      </c>
      <c r="O387" s="287">
        <f t="shared" si="373"/>
        <v>0.99500000000000011</v>
      </c>
      <c r="P387" s="287">
        <f t="shared" si="373"/>
        <v>0.99500000000000011</v>
      </c>
      <c r="Q387" s="287">
        <f t="shared" si="373"/>
        <v>0.99500000000000011</v>
      </c>
      <c r="R387" s="278">
        <v>1</v>
      </c>
      <c r="S387" s="278"/>
      <c r="T387" s="288">
        <v>5</v>
      </c>
      <c r="U387" s="289"/>
    </row>
    <row r="388" spans="1:21" x14ac:dyDescent="0.2">
      <c r="A388" s="256" t="s">
        <v>409</v>
      </c>
      <c r="B388" s="286" t="str">
        <f>TechData_R0!B176</f>
        <v>MINCDLLMS3</v>
      </c>
      <c r="C388" s="286"/>
      <c r="D388" s="286"/>
      <c r="E388" s="278" t="s">
        <v>32</v>
      </c>
      <c r="F388" s="278"/>
      <c r="G388" s="278" t="s">
        <v>269</v>
      </c>
      <c r="H388" s="287">
        <f>1-TechData_R0!J176+1</f>
        <v>0.99500000000000011</v>
      </c>
      <c r="I388" s="287">
        <f t="shared" ref="I388:Q388" si="374">H388</f>
        <v>0.99500000000000011</v>
      </c>
      <c r="J388" s="287">
        <f t="shared" si="374"/>
        <v>0.99500000000000011</v>
      </c>
      <c r="K388" s="287">
        <f t="shared" si="374"/>
        <v>0.99500000000000011</v>
      </c>
      <c r="L388" s="287">
        <f t="shared" si="374"/>
        <v>0.99500000000000011</v>
      </c>
      <c r="M388" s="287">
        <f t="shared" si="374"/>
        <v>0.99500000000000011</v>
      </c>
      <c r="N388" s="287">
        <f t="shared" si="374"/>
        <v>0.99500000000000011</v>
      </c>
      <c r="O388" s="287">
        <f t="shared" si="374"/>
        <v>0.99500000000000011</v>
      </c>
      <c r="P388" s="287">
        <f t="shared" si="374"/>
        <v>0.99500000000000011</v>
      </c>
      <c r="Q388" s="287">
        <f t="shared" si="374"/>
        <v>0.99500000000000011</v>
      </c>
      <c r="R388" s="278">
        <v>1</v>
      </c>
      <c r="S388" s="278"/>
      <c r="T388" s="288">
        <v>5</v>
      </c>
      <c r="U388" s="289"/>
    </row>
    <row r="389" spans="1:21" x14ac:dyDescent="0.2">
      <c r="A389" s="256" t="s">
        <v>410</v>
      </c>
      <c r="B389" s="286" t="str">
        <f>TechData_R0!B177</f>
        <v>MINCDLLMS4</v>
      </c>
      <c r="C389" s="286"/>
      <c r="D389" s="286"/>
      <c r="E389" s="278" t="s">
        <v>32</v>
      </c>
      <c r="F389" s="278"/>
      <c r="G389" s="278" t="s">
        <v>269</v>
      </c>
      <c r="H389" s="287">
        <f>1-TechData_R0!J177+1</f>
        <v>0.99500000000000011</v>
      </c>
      <c r="I389" s="287">
        <f t="shared" ref="I389:Q389" si="375">H389</f>
        <v>0.99500000000000011</v>
      </c>
      <c r="J389" s="287">
        <f t="shared" si="375"/>
        <v>0.99500000000000011</v>
      </c>
      <c r="K389" s="287">
        <f t="shared" si="375"/>
        <v>0.99500000000000011</v>
      </c>
      <c r="L389" s="287">
        <f t="shared" si="375"/>
        <v>0.99500000000000011</v>
      </c>
      <c r="M389" s="287">
        <f t="shared" si="375"/>
        <v>0.99500000000000011</v>
      </c>
      <c r="N389" s="287">
        <f t="shared" si="375"/>
        <v>0.99500000000000011</v>
      </c>
      <c r="O389" s="287">
        <f t="shared" si="375"/>
        <v>0.99500000000000011</v>
      </c>
      <c r="P389" s="287">
        <f t="shared" si="375"/>
        <v>0.99500000000000011</v>
      </c>
      <c r="Q389" s="287">
        <f t="shared" si="375"/>
        <v>0.99500000000000011</v>
      </c>
      <c r="R389" s="278">
        <v>1</v>
      </c>
      <c r="S389" s="278"/>
      <c r="T389" s="288">
        <v>5</v>
      </c>
      <c r="U389" s="289"/>
    </row>
    <row r="390" spans="1:21" x14ac:dyDescent="0.2">
      <c r="A390" s="256" t="s">
        <v>411</v>
      </c>
      <c r="B390" s="286" t="str">
        <f>TechData_R0!B178</f>
        <v>MINCDLLMS5</v>
      </c>
      <c r="C390" s="286"/>
      <c r="D390" s="286"/>
      <c r="E390" s="278" t="s">
        <v>32</v>
      </c>
      <c r="F390" s="278"/>
      <c r="G390" s="278" t="s">
        <v>269</v>
      </c>
      <c r="H390" s="287">
        <f>1-TechData_R0!J178+1</f>
        <v>0.99500000000000011</v>
      </c>
      <c r="I390" s="287">
        <f t="shared" ref="I390:Q390" si="376">H390</f>
        <v>0.99500000000000011</v>
      </c>
      <c r="J390" s="287">
        <f t="shared" si="376"/>
        <v>0.99500000000000011</v>
      </c>
      <c r="K390" s="287">
        <f t="shared" si="376"/>
        <v>0.99500000000000011</v>
      </c>
      <c r="L390" s="287">
        <f t="shared" si="376"/>
        <v>0.99500000000000011</v>
      </c>
      <c r="M390" s="287">
        <f t="shared" si="376"/>
        <v>0.99500000000000011</v>
      </c>
      <c r="N390" s="287">
        <f t="shared" si="376"/>
        <v>0.99500000000000011</v>
      </c>
      <c r="O390" s="287">
        <f t="shared" si="376"/>
        <v>0.99500000000000011</v>
      </c>
      <c r="P390" s="287">
        <f t="shared" si="376"/>
        <v>0.99500000000000011</v>
      </c>
      <c r="Q390" s="287">
        <f t="shared" si="376"/>
        <v>0.99500000000000011</v>
      </c>
      <c r="R390" s="278">
        <v>1</v>
      </c>
      <c r="S390" s="278"/>
      <c r="T390" s="288">
        <v>5</v>
      </c>
      <c r="U390" s="289"/>
    </row>
    <row r="391" spans="1:21" x14ac:dyDescent="0.2">
      <c r="A391" s="256" t="s">
        <v>412</v>
      </c>
      <c r="B391" s="286" t="str">
        <f>TechData_R0!B179</f>
        <v>MINCDLLMS6</v>
      </c>
      <c r="C391" s="286"/>
      <c r="D391" s="286"/>
      <c r="E391" s="278" t="s">
        <v>32</v>
      </c>
      <c r="F391" s="278"/>
      <c r="G391" s="278" t="s">
        <v>269</v>
      </c>
      <c r="H391" s="287">
        <f>1-TechData_R0!J179+1</f>
        <v>0.99500000000000011</v>
      </c>
      <c r="I391" s="287">
        <f t="shared" ref="I391:Q391" si="377">H391</f>
        <v>0.99500000000000011</v>
      </c>
      <c r="J391" s="287">
        <f t="shared" si="377"/>
        <v>0.99500000000000011</v>
      </c>
      <c r="K391" s="287">
        <f t="shared" si="377"/>
        <v>0.99500000000000011</v>
      </c>
      <c r="L391" s="287">
        <f t="shared" si="377"/>
        <v>0.99500000000000011</v>
      </c>
      <c r="M391" s="287">
        <f t="shared" si="377"/>
        <v>0.99500000000000011</v>
      </c>
      <c r="N391" s="287">
        <f t="shared" si="377"/>
        <v>0.99500000000000011</v>
      </c>
      <c r="O391" s="287">
        <f t="shared" si="377"/>
        <v>0.99500000000000011</v>
      </c>
      <c r="P391" s="287">
        <f t="shared" si="377"/>
        <v>0.99500000000000011</v>
      </c>
      <c r="Q391" s="287">
        <f t="shared" si="377"/>
        <v>0.99500000000000011</v>
      </c>
      <c r="R391" s="278">
        <v>1</v>
      </c>
      <c r="S391" s="278"/>
      <c r="T391" s="288">
        <v>5</v>
      </c>
      <c r="U391" s="289"/>
    </row>
    <row r="392" spans="1:21" x14ac:dyDescent="0.2">
      <c r="A392" s="256" t="s">
        <v>413</v>
      </c>
      <c r="B392" s="286" t="str">
        <f>TechData_R0!B181</f>
        <v>MINCWMBLU1</v>
      </c>
      <c r="C392" s="286"/>
      <c r="D392" s="286"/>
      <c r="E392" s="278" t="s">
        <v>32</v>
      </c>
      <c r="F392" s="278"/>
      <c r="G392" s="278" t="s">
        <v>269</v>
      </c>
      <c r="H392" s="287">
        <f>1-TechData_R0!J181+1</f>
        <v>0.99500000000000011</v>
      </c>
      <c r="I392" s="287">
        <f t="shared" ref="I392:Q392" si="378">H392</f>
        <v>0.99500000000000011</v>
      </c>
      <c r="J392" s="287">
        <f t="shared" si="378"/>
        <v>0.99500000000000011</v>
      </c>
      <c r="K392" s="287">
        <f t="shared" si="378"/>
        <v>0.99500000000000011</v>
      </c>
      <c r="L392" s="287">
        <f t="shared" si="378"/>
        <v>0.99500000000000011</v>
      </c>
      <c r="M392" s="287">
        <f t="shared" si="378"/>
        <v>0.99500000000000011</v>
      </c>
      <c r="N392" s="287">
        <f t="shared" si="378"/>
        <v>0.99500000000000011</v>
      </c>
      <c r="O392" s="287">
        <f t="shared" si="378"/>
        <v>0.99500000000000011</v>
      </c>
      <c r="P392" s="287">
        <f t="shared" si="378"/>
        <v>0.99500000000000011</v>
      </c>
      <c r="Q392" s="287">
        <f t="shared" si="378"/>
        <v>0.99500000000000011</v>
      </c>
      <c r="R392" s="278">
        <v>1</v>
      </c>
      <c r="S392" s="278"/>
      <c r="T392" s="288">
        <v>5</v>
      </c>
      <c r="U392" s="289"/>
    </row>
    <row r="393" spans="1:21" x14ac:dyDescent="0.2">
      <c r="A393" s="256" t="s">
        <v>414</v>
      </c>
      <c r="B393" s="286" t="str">
        <f>TechData_R0!B182</f>
        <v>MINCWMBLU2</v>
      </c>
      <c r="C393" s="286"/>
      <c r="D393" s="286"/>
      <c r="E393" s="278" t="s">
        <v>32</v>
      </c>
      <c r="F393" s="278"/>
      <c r="G393" s="278" t="s">
        <v>269</v>
      </c>
      <c r="H393" s="287">
        <f>1-TechData_R0!J182+1</f>
        <v>0.99500000000000011</v>
      </c>
      <c r="I393" s="287">
        <f t="shared" ref="I393:Q393" si="379">H393</f>
        <v>0.99500000000000011</v>
      </c>
      <c r="J393" s="287">
        <f t="shared" si="379"/>
        <v>0.99500000000000011</v>
      </c>
      <c r="K393" s="287">
        <f t="shared" si="379"/>
        <v>0.99500000000000011</v>
      </c>
      <c r="L393" s="287">
        <f t="shared" si="379"/>
        <v>0.99500000000000011</v>
      </c>
      <c r="M393" s="287">
        <f t="shared" si="379"/>
        <v>0.99500000000000011</v>
      </c>
      <c r="N393" s="287">
        <f t="shared" si="379"/>
        <v>0.99500000000000011</v>
      </c>
      <c r="O393" s="287">
        <f t="shared" si="379"/>
        <v>0.99500000000000011</v>
      </c>
      <c r="P393" s="287">
        <f t="shared" si="379"/>
        <v>0.99500000000000011</v>
      </c>
      <c r="Q393" s="287">
        <f t="shared" si="379"/>
        <v>0.99500000000000011</v>
      </c>
      <c r="R393" s="278">
        <v>1</v>
      </c>
      <c r="S393" s="278"/>
      <c r="T393" s="288">
        <v>5</v>
      </c>
      <c r="U393" s="289"/>
    </row>
    <row r="394" spans="1:21" x14ac:dyDescent="0.2">
      <c r="A394" s="256" t="s">
        <v>415</v>
      </c>
      <c r="B394" s="286" t="str">
        <f>TechData_R0!B183</f>
        <v>MINCWMBLU3</v>
      </c>
      <c r="C394" s="286"/>
      <c r="D394" s="286"/>
      <c r="E394" s="278" t="s">
        <v>32</v>
      </c>
      <c r="F394" s="278"/>
      <c r="G394" s="278" t="s">
        <v>269</v>
      </c>
      <c r="H394" s="287">
        <f>1-TechData_R0!J183+1</f>
        <v>0.99500000000000011</v>
      </c>
      <c r="I394" s="287">
        <f t="shared" ref="I394:Q394" si="380">H394</f>
        <v>0.99500000000000011</v>
      </c>
      <c r="J394" s="287">
        <f t="shared" si="380"/>
        <v>0.99500000000000011</v>
      </c>
      <c r="K394" s="287">
        <f t="shared" si="380"/>
        <v>0.99500000000000011</v>
      </c>
      <c r="L394" s="287">
        <f t="shared" si="380"/>
        <v>0.99500000000000011</v>
      </c>
      <c r="M394" s="287">
        <f t="shared" si="380"/>
        <v>0.99500000000000011</v>
      </c>
      <c r="N394" s="287">
        <f t="shared" si="380"/>
        <v>0.99500000000000011</v>
      </c>
      <c r="O394" s="287">
        <f t="shared" si="380"/>
        <v>0.99500000000000011</v>
      </c>
      <c r="P394" s="287">
        <f t="shared" si="380"/>
        <v>0.99500000000000011</v>
      </c>
      <c r="Q394" s="287">
        <f t="shared" si="380"/>
        <v>0.99500000000000011</v>
      </c>
      <c r="R394" s="278">
        <v>1</v>
      </c>
      <c r="S394" s="278"/>
      <c r="T394" s="288">
        <v>5</v>
      </c>
      <c r="U394" s="289"/>
    </row>
    <row r="395" spans="1:21" x14ac:dyDescent="0.2">
      <c r="A395" s="256" t="s">
        <v>416</v>
      </c>
      <c r="B395" s="286" t="str">
        <f>TechData_R0!B184</f>
        <v>MINCWMBLU4</v>
      </c>
      <c r="C395" s="286"/>
      <c r="D395" s="286"/>
      <c r="E395" s="278" t="s">
        <v>32</v>
      </c>
      <c r="F395" s="278"/>
      <c r="G395" s="278" t="s">
        <v>269</v>
      </c>
      <c r="H395" s="287">
        <f>1-TechData_R0!J184+1</f>
        <v>0.99500000000000011</v>
      </c>
      <c r="I395" s="287">
        <f t="shared" ref="I395:Q395" si="381">H395</f>
        <v>0.99500000000000011</v>
      </c>
      <c r="J395" s="287">
        <f t="shared" si="381"/>
        <v>0.99500000000000011</v>
      </c>
      <c r="K395" s="287">
        <f t="shared" si="381"/>
        <v>0.99500000000000011</v>
      </c>
      <c r="L395" s="287">
        <f t="shared" si="381"/>
        <v>0.99500000000000011</v>
      </c>
      <c r="M395" s="287">
        <f t="shared" si="381"/>
        <v>0.99500000000000011</v>
      </c>
      <c r="N395" s="287">
        <f t="shared" si="381"/>
        <v>0.99500000000000011</v>
      </c>
      <c r="O395" s="287">
        <f t="shared" si="381"/>
        <v>0.99500000000000011</v>
      </c>
      <c r="P395" s="287">
        <f t="shared" si="381"/>
        <v>0.99500000000000011</v>
      </c>
      <c r="Q395" s="287">
        <f t="shared" si="381"/>
        <v>0.99500000000000011</v>
      </c>
      <c r="R395" s="278">
        <v>1</v>
      </c>
      <c r="S395" s="278"/>
      <c r="T395" s="288">
        <v>5</v>
      </c>
      <c r="U395" s="289"/>
    </row>
    <row r="396" spans="1:21" x14ac:dyDescent="0.2">
      <c r="A396" s="256" t="s">
        <v>417</v>
      </c>
      <c r="B396" s="286" t="str">
        <f>TechData_R0!B185</f>
        <v>MINCWMBLU5</v>
      </c>
      <c r="C396" s="286"/>
      <c r="D396" s="286"/>
      <c r="E396" s="278" t="s">
        <v>32</v>
      </c>
      <c r="F396" s="278"/>
      <c r="G396" s="278" t="s">
        <v>269</v>
      </c>
      <c r="H396" s="287">
        <f>1-TechData_R0!J185+1</f>
        <v>0.99500000000000011</v>
      </c>
      <c r="I396" s="287">
        <f t="shared" ref="I396:Q396" si="382">H396</f>
        <v>0.99500000000000011</v>
      </c>
      <c r="J396" s="287">
        <f t="shared" si="382"/>
        <v>0.99500000000000011</v>
      </c>
      <c r="K396" s="287">
        <f t="shared" si="382"/>
        <v>0.99500000000000011</v>
      </c>
      <c r="L396" s="287">
        <f t="shared" si="382"/>
        <v>0.99500000000000011</v>
      </c>
      <c r="M396" s="287">
        <f t="shared" si="382"/>
        <v>0.99500000000000011</v>
      </c>
      <c r="N396" s="287">
        <f t="shared" si="382"/>
        <v>0.99500000000000011</v>
      </c>
      <c r="O396" s="287">
        <f t="shared" si="382"/>
        <v>0.99500000000000011</v>
      </c>
      <c r="P396" s="287">
        <f t="shared" si="382"/>
        <v>0.99500000000000011</v>
      </c>
      <c r="Q396" s="287">
        <f t="shared" si="382"/>
        <v>0.99500000000000011</v>
      </c>
      <c r="R396" s="278">
        <v>1</v>
      </c>
      <c r="S396" s="278"/>
      <c r="T396" s="288">
        <v>5</v>
      </c>
      <c r="U396" s="289"/>
    </row>
    <row r="397" spans="1:21" x14ac:dyDescent="0.2">
      <c r="A397" s="256" t="s">
        <v>418</v>
      </c>
      <c r="B397" s="286" t="str">
        <f>TechData_R0!B186</f>
        <v>MINCWMBLU6</v>
      </c>
      <c r="C397" s="286"/>
      <c r="D397" s="286"/>
      <c r="E397" s="278" t="s">
        <v>32</v>
      </c>
      <c r="F397" s="278"/>
      <c r="G397" s="278" t="s">
        <v>269</v>
      </c>
      <c r="H397" s="287">
        <f>1-TechData_R0!J186+1</f>
        <v>0.99500000000000011</v>
      </c>
      <c r="I397" s="287">
        <f t="shared" ref="I397:Q397" si="383">H397</f>
        <v>0.99500000000000011</v>
      </c>
      <c r="J397" s="287">
        <f t="shared" si="383"/>
        <v>0.99500000000000011</v>
      </c>
      <c r="K397" s="287">
        <f t="shared" si="383"/>
        <v>0.99500000000000011</v>
      </c>
      <c r="L397" s="287">
        <f t="shared" si="383"/>
        <v>0.99500000000000011</v>
      </c>
      <c r="M397" s="287">
        <f t="shared" si="383"/>
        <v>0.99500000000000011</v>
      </c>
      <c r="N397" s="287">
        <f t="shared" si="383"/>
        <v>0.99500000000000011</v>
      </c>
      <c r="O397" s="287">
        <f t="shared" si="383"/>
        <v>0.99500000000000011</v>
      </c>
      <c r="P397" s="287">
        <f t="shared" si="383"/>
        <v>0.99500000000000011</v>
      </c>
      <c r="Q397" s="287">
        <f t="shared" si="383"/>
        <v>0.99500000000000011</v>
      </c>
      <c r="R397" s="278">
        <v>1</v>
      </c>
      <c r="S397" s="278"/>
      <c r="T397" s="288">
        <v>5</v>
      </c>
      <c r="U397" s="289"/>
    </row>
    <row r="398" spans="1:21" x14ac:dyDescent="0.2">
      <c r="A398" s="256" t="s">
        <v>419</v>
      </c>
      <c r="B398" s="286" t="str">
        <f>TechData_R0!B188</f>
        <v>MINCWMSLS1</v>
      </c>
      <c r="C398" s="286"/>
      <c r="D398" s="286"/>
      <c r="E398" s="278" t="s">
        <v>32</v>
      </c>
      <c r="F398" s="278"/>
      <c r="G398" s="278" t="s">
        <v>269</v>
      </c>
      <c r="H398" s="287">
        <f>1-TechData_R0!J188+1</f>
        <v>0.99500000000000011</v>
      </c>
      <c r="I398" s="287">
        <f t="shared" ref="I398:Q398" si="384">H398</f>
        <v>0.99500000000000011</v>
      </c>
      <c r="J398" s="287">
        <f t="shared" si="384"/>
        <v>0.99500000000000011</v>
      </c>
      <c r="K398" s="287">
        <f t="shared" si="384"/>
        <v>0.99500000000000011</v>
      </c>
      <c r="L398" s="287">
        <f t="shared" si="384"/>
        <v>0.99500000000000011</v>
      </c>
      <c r="M398" s="287">
        <f t="shared" si="384"/>
        <v>0.99500000000000011</v>
      </c>
      <c r="N398" s="287">
        <f t="shared" si="384"/>
        <v>0.99500000000000011</v>
      </c>
      <c r="O398" s="287">
        <f t="shared" si="384"/>
        <v>0.99500000000000011</v>
      </c>
      <c r="P398" s="287">
        <f t="shared" si="384"/>
        <v>0.99500000000000011</v>
      </c>
      <c r="Q398" s="287">
        <f t="shared" si="384"/>
        <v>0.99500000000000011</v>
      </c>
      <c r="R398" s="278">
        <v>1</v>
      </c>
      <c r="S398" s="278"/>
      <c r="T398" s="288">
        <v>5</v>
      </c>
      <c r="U398" s="289"/>
    </row>
    <row r="399" spans="1:21" x14ac:dyDescent="0.2">
      <c r="A399" s="256" t="s">
        <v>420</v>
      </c>
      <c r="B399" s="286" t="str">
        <f>TechData_R0!B189</f>
        <v>MINCWMSLS2</v>
      </c>
      <c r="C399" s="286"/>
      <c r="D399" s="286"/>
      <c r="E399" s="278" t="s">
        <v>32</v>
      </c>
      <c r="F399" s="278"/>
      <c r="G399" s="278" t="s">
        <v>269</v>
      </c>
      <c r="H399" s="287">
        <f>1-TechData_R0!J189+1</f>
        <v>0.99500000000000011</v>
      </c>
      <c r="I399" s="287">
        <f t="shared" ref="I399:Q399" si="385">H399</f>
        <v>0.99500000000000011</v>
      </c>
      <c r="J399" s="287">
        <f t="shared" si="385"/>
        <v>0.99500000000000011</v>
      </c>
      <c r="K399" s="287">
        <f t="shared" si="385"/>
        <v>0.99500000000000011</v>
      </c>
      <c r="L399" s="287">
        <f t="shared" si="385"/>
        <v>0.99500000000000011</v>
      </c>
      <c r="M399" s="287">
        <f t="shared" si="385"/>
        <v>0.99500000000000011</v>
      </c>
      <c r="N399" s="287">
        <f t="shared" si="385"/>
        <v>0.99500000000000011</v>
      </c>
      <c r="O399" s="287">
        <f t="shared" si="385"/>
        <v>0.99500000000000011</v>
      </c>
      <c r="P399" s="287">
        <f t="shared" si="385"/>
        <v>0.99500000000000011</v>
      </c>
      <c r="Q399" s="287">
        <f t="shared" si="385"/>
        <v>0.99500000000000011</v>
      </c>
      <c r="R399" s="278">
        <v>1</v>
      </c>
      <c r="S399" s="278"/>
      <c r="T399" s="288">
        <v>5</v>
      </c>
      <c r="U399" s="289"/>
    </row>
    <row r="400" spans="1:21" x14ac:dyDescent="0.2">
      <c r="A400" s="256" t="s">
        <v>421</v>
      </c>
      <c r="B400" s="286" t="str">
        <f>TechData_R0!B190</f>
        <v>MINCWMSLS3</v>
      </c>
      <c r="C400" s="286"/>
      <c r="D400" s="286"/>
      <c r="E400" s="278" t="s">
        <v>32</v>
      </c>
      <c r="F400" s="278"/>
      <c r="G400" s="278" t="s">
        <v>269</v>
      </c>
      <c r="H400" s="287">
        <f>1-TechData_R0!J190+1</f>
        <v>0.99500000000000011</v>
      </c>
      <c r="I400" s="287">
        <f t="shared" ref="I400:Q400" si="386">H400</f>
        <v>0.99500000000000011</v>
      </c>
      <c r="J400" s="287">
        <f t="shared" si="386"/>
        <v>0.99500000000000011</v>
      </c>
      <c r="K400" s="287">
        <f t="shared" si="386"/>
        <v>0.99500000000000011</v>
      </c>
      <c r="L400" s="287">
        <f t="shared" si="386"/>
        <v>0.99500000000000011</v>
      </c>
      <c r="M400" s="287">
        <f t="shared" si="386"/>
        <v>0.99500000000000011</v>
      </c>
      <c r="N400" s="287">
        <f t="shared" si="386"/>
        <v>0.99500000000000011</v>
      </c>
      <c r="O400" s="287">
        <f t="shared" si="386"/>
        <v>0.99500000000000011</v>
      </c>
      <c r="P400" s="287">
        <f t="shared" si="386"/>
        <v>0.99500000000000011</v>
      </c>
      <c r="Q400" s="287">
        <f t="shared" si="386"/>
        <v>0.99500000000000011</v>
      </c>
      <c r="R400" s="278">
        <v>1</v>
      </c>
      <c r="S400" s="278"/>
      <c r="T400" s="288">
        <v>5</v>
      </c>
      <c r="U400" s="289"/>
    </row>
    <row r="401" spans="1:21" x14ac:dyDescent="0.2">
      <c r="A401" s="256" t="s">
        <v>422</v>
      </c>
      <c r="B401" s="286" t="str">
        <f>TechData_R0!B191</f>
        <v>MINCWMSLS4</v>
      </c>
      <c r="C401" s="286"/>
      <c r="D401" s="286"/>
      <c r="E401" s="278" t="s">
        <v>32</v>
      </c>
      <c r="F401" s="278"/>
      <c r="G401" s="278" t="s">
        <v>269</v>
      </c>
      <c r="H401" s="287">
        <f>1-TechData_R0!J191+1</f>
        <v>0.99500000000000011</v>
      </c>
      <c r="I401" s="287">
        <f t="shared" ref="I401:Q401" si="387">H401</f>
        <v>0.99500000000000011</v>
      </c>
      <c r="J401" s="287">
        <f t="shared" si="387"/>
        <v>0.99500000000000011</v>
      </c>
      <c r="K401" s="287">
        <f t="shared" si="387"/>
        <v>0.99500000000000011</v>
      </c>
      <c r="L401" s="287">
        <f t="shared" si="387"/>
        <v>0.99500000000000011</v>
      </c>
      <c r="M401" s="287">
        <f t="shared" si="387"/>
        <v>0.99500000000000011</v>
      </c>
      <c r="N401" s="287">
        <f t="shared" si="387"/>
        <v>0.99500000000000011</v>
      </c>
      <c r="O401" s="287">
        <f t="shared" si="387"/>
        <v>0.99500000000000011</v>
      </c>
      <c r="P401" s="287">
        <f t="shared" si="387"/>
        <v>0.99500000000000011</v>
      </c>
      <c r="Q401" s="287">
        <f t="shared" si="387"/>
        <v>0.99500000000000011</v>
      </c>
      <c r="R401" s="278">
        <v>1</v>
      </c>
      <c r="S401" s="278"/>
      <c r="T401" s="288">
        <v>5</v>
      </c>
      <c r="U401" s="289"/>
    </row>
    <row r="402" spans="1:21" x14ac:dyDescent="0.2">
      <c r="A402" s="256" t="s">
        <v>423</v>
      </c>
      <c r="B402" s="286" t="str">
        <f>TechData_R0!B192</f>
        <v>MINCWMSLS5</v>
      </c>
      <c r="C402" s="286"/>
      <c r="D402" s="286"/>
      <c r="E402" s="278" t="s">
        <v>32</v>
      </c>
      <c r="F402" s="278"/>
      <c r="G402" s="278" t="s">
        <v>269</v>
      </c>
      <c r="H402" s="287">
        <f>1-TechData_R0!J192+1</f>
        <v>0.99500000000000011</v>
      </c>
      <c r="I402" s="287">
        <f t="shared" ref="I402:Q402" si="388">H402</f>
        <v>0.99500000000000011</v>
      </c>
      <c r="J402" s="287">
        <f t="shared" si="388"/>
        <v>0.99500000000000011</v>
      </c>
      <c r="K402" s="287">
        <f t="shared" si="388"/>
        <v>0.99500000000000011</v>
      </c>
      <c r="L402" s="287">
        <f t="shared" si="388"/>
        <v>0.99500000000000011</v>
      </c>
      <c r="M402" s="287">
        <f t="shared" si="388"/>
        <v>0.99500000000000011</v>
      </c>
      <c r="N402" s="287">
        <f t="shared" si="388"/>
        <v>0.99500000000000011</v>
      </c>
      <c r="O402" s="287">
        <f t="shared" si="388"/>
        <v>0.99500000000000011</v>
      </c>
      <c r="P402" s="287">
        <f t="shared" si="388"/>
        <v>0.99500000000000011</v>
      </c>
      <c r="Q402" s="287">
        <f t="shared" si="388"/>
        <v>0.99500000000000011</v>
      </c>
      <c r="R402" s="278">
        <v>1</v>
      </c>
      <c r="S402" s="278"/>
      <c r="T402" s="288">
        <v>5</v>
      </c>
      <c r="U402" s="289"/>
    </row>
    <row r="403" spans="1:21" x14ac:dyDescent="0.2">
      <c r="A403" s="256" t="s">
        <v>424</v>
      </c>
      <c r="B403" s="286" t="str">
        <f>TechData_R0!B193</f>
        <v>MINCWMSLS6</v>
      </c>
      <c r="C403" s="286"/>
      <c r="D403" s="286"/>
      <c r="E403" s="278" t="s">
        <v>32</v>
      </c>
      <c r="F403" s="278"/>
      <c r="G403" s="278" t="s">
        <v>269</v>
      </c>
      <c r="H403" s="287">
        <f>1-TechData_R0!J193+1</f>
        <v>0.99500000000000011</v>
      </c>
      <c r="I403" s="287">
        <f t="shared" ref="I403:Q403" si="389">H403</f>
        <v>0.99500000000000011</v>
      </c>
      <c r="J403" s="287">
        <f t="shared" si="389"/>
        <v>0.99500000000000011</v>
      </c>
      <c r="K403" s="287">
        <f t="shared" si="389"/>
        <v>0.99500000000000011</v>
      </c>
      <c r="L403" s="287">
        <f t="shared" si="389"/>
        <v>0.99500000000000011</v>
      </c>
      <c r="M403" s="287">
        <f t="shared" si="389"/>
        <v>0.99500000000000011</v>
      </c>
      <c r="N403" s="287">
        <f t="shared" si="389"/>
        <v>0.99500000000000011</v>
      </c>
      <c r="O403" s="287">
        <f t="shared" si="389"/>
        <v>0.99500000000000011</v>
      </c>
      <c r="P403" s="287">
        <f t="shared" si="389"/>
        <v>0.99500000000000011</v>
      </c>
      <c r="Q403" s="287">
        <f t="shared" si="389"/>
        <v>0.99500000000000011</v>
      </c>
      <c r="R403" s="278">
        <v>1</v>
      </c>
      <c r="S403" s="278"/>
      <c r="T403" s="288">
        <v>5</v>
      </c>
      <c r="U403" s="289"/>
    </row>
    <row r="404" spans="1:21" x14ac:dyDescent="0.2">
      <c r="A404" s="256" t="s">
        <v>425</v>
      </c>
      <c r="B404" s="286" t="str">
        <f>TechData_R0!B195</f>
        <v>MINCWMSMS1</v>
      </c>
      <c r="C404" s="286"/>
      <c r="D404" s="286"/>
      <c r="E404" s="278" t="s">
        <v>32</v>
      </c>
      <c r="F404" s="278"/>
      <c r="G404" s="278" t="s">
        <v>269</v>
      </c>
      <c r="H404" s="287">
        <f>1-TechData_R0!J195+1</f>
        <v>0.95</v>
      </c>
      <c r="I404" s="287">
        <f t="shared" ref="I404:Q404" si="390">H404</f>
        <v>0.95</v>
      </c>
      <c r="J404" s="287">
        <f t="shared" si="390"/>
        <v>0.95</v>
      </c>
      <c r="K404" s="287">
        <f t="shared" si="390"/>
        <v>0.95</v>
      </c>
      <c r="L404" s="287">
        <f t="shared" si="390"/>
        <v>0.95</v>
      </c>
      <c r="M404" s="287">
        <f t="shared" si="390"/>
        <v>0.95</v>
      </c>
      <c r="N404" s="287">
        <f t="shared" si="390"/>
        <v>0.95</v>
      </c>
      <c r="O404" s="287">
        <f t="shared" si="390"/>
        <v>0.95</v>
      </c>
      <c r="P404" s="287">
        <f t="shared" si="390"/>
        <v>0.95</v>
      </c>
      <c r="Q404" s="287">
        <f t="shared" si="390"/>
        <v>0.95</v>
      </c>
      <c r="R404" s="278">
        <v>1</v>
      </c>
      <c r="S404" s="278"/>
      <c r="T404" s="288">
        <v>5</v>
      </c>
      <c r="U404" s="289"/>
    </row>
    <row r="405" spans="1:21" x14ac:dyDescent="0.2">
      <c r="A405" s="256" t="s">
        <v>426</v>
      </c>
      <c r="B405" s="286" t="str">
        <f>TechData_R0!B196</f>
        <v>MINCWMSMS2</v>
      </c>
      <c r="C405" s="286"/>
      <c r="D405" s="286"/>
      <c r="E405" s="278" t="s">
        <v>32</v>
      </c>
      <c r="F405" s="278"/>
      <c r="G405" s="278" t="s">
        <v>269</v>
      </c>
      <c r="H405" s="287">
        <f>1-TechData_R0!J196+1</f>
        <v>0.95</v>
      </c>
      <c r="I405" s="287">
        <f t="shared" ref="I405:Q405" si="391">H405</f>
        <v>0.95</v>
      </c>
      <c r="J405" s="287">
        <f t="shared" si="391"/>
        <v>0.95</v>
      </c>
      <c r="K405" s="287">
        <f t="shared" si="391"/>
        <v>0.95</v>
      </c>
      <c r="L405" s="287">
        <f t="shared" si="391"/>
        <v>0.95</v>
      </c>
      <c r="M405" s="287">
        <f t="shared" si="391"/>
        <v>0.95</v>
      </c>
      <c r="N405" s="287">
        <f t="shared" si="391"/>
        <v>0.95</v>
      </c>
      <c r="O405" s="287">
        <f t="shared" si="391"/>
        <v>0.95</v>
      </c>
      <c r="P405" s="287">
        <f t="shared" si="391"/>
        <v>0.95</v>
      </c>
      <c r="Q405" s="287">
        <f t="shared" si="391"/>
        <v>0.95</v>
      </c>
      <c r="R405" s="278">
        <v>1</v>
      </c>
      <c r="S405" s="278"/>
      <c r="T405" s="288">
        <v>5</v>
      </c>
      <c r="U405" s="289"/>
    </row>
    <row r="406" spans="1:21" x14ac:dyDescent="0.2">
      <c r="A406" s="256" t="s">
        <v>427</v>
      </c>
      <c r="B406" s="286" t="str">
        <f>TechData_R0!B197</f>
        <v>MINCWMSMS3</v>
      </c>
      <c r="C406" s="286"/>
      <c r="D406" s="286"/>
      <c r="E406" s="278" t="s">
        <v>32</v>
      </c>
      <c r="F406" s="278"/>
      <c r="G406" s="278" t="s">
        <v>269</v>
      </c>
      <c r="H406" s="287">
        <f>1-TechData_R0!J197+1</f>
        <v>0.95</v>
      </c>
      <c r="I406" s="287">
        <f t="shared" ref="I406:Q406" si="392">H406</f>
        <v>0.95</v>
      </c>
      <c r="J406" s="287">
        <f t="shared" si="392"/>
        <v>0.95</v>
      </c>
      <c r="K406" s="287">
        <f t="shared" si="392"/>
        <v>0.95</v>
      </c>
      <c r="L406" s="287">
        <f t="shared" si="392"/>
        <v>0.95</v>
      </c>
      <c r="M406" s="287">
        <f t="shared" si="392"/>
        <v>0.95</v>
      </c>
      <c r="N406" s="287">
        <f t="shared" si="392"/>
        <v>0.95</v>
      </c>
      <c r="O406" s="287">
        <f t="shared" si="392"/>
        <v>0.95</v>
      </c>
      <c r="P406" s="287">
        <f t="shared" si="392"/>
        <v>0.95</v>
      </c>
      <c r="Q406" s="287">
        <f t="shared" si="392"/>
        <v>0.95</v>
      </c>
      <c r="R406" s="278">
        <v>1</v>
      </c>
      <c r="S406" s="278"/>
      <c r="T406" s="288">
        <v>5</v>
      </c>
      <c r="U406" s="289"/>
    </row>
    <row r="407" spans="1:21" x14ac:dyDescent="0.2">
      <c r="A407" s="256" t="s">
        <v>428</v>
      </c>
      <c r="B407" s="286" t="str">
        <f>TechData_R0!B198</f>
        <v>MINCWMSMS4</v>
      </c>
      <c r="C407" s="286"/>
      <c r="D407" s="286"/>
      <c r="E407" s="278" t="s">
        <v>32</v>
      </c>
      <c r="F407" s="278"/>
      <c r="G407" s="278" t="s">
        <v>269</v>
      </c>
      <c r="H407" s="287">
        <f>1-TechData_R0!J198+1</f>
        <v>0.95</v>
      </c>
      <c r="I407" s="287">
        <f t="shared" ref="I407:Q407" si="393">H407</f>
        <v>0.95</v>
      </c>
      <c r="J407" s="287">
        <f t="shared" si="393"/>
        <v>0.95</v>
      </c>
      <c r="K407" s="287">
        <f t="shared" si="393"/>
        <v>0.95</v>
      </c>
      <c r="L407" s="287">
        <f t="shared" si="393"/>
        <v>0.95</v>
      </c>
      <c r="M407" s="287">
        <f t="shared" si="393"/>
        <v>0.95</v>
      </c>
      <c r="N407" s="287">
        <f t="shared" si="393"/>
        <v>0.95</v>
      </c>
      <c r="O407" s="287">
        <f t="shared" si="393"/>
        <v>0.95</v>
      </c>
      <c r="P407" s="287">
        <f t="shared" si="393"/>
        <v>0.95</v>
      </c>
      <c r="Q407" s="287">
        <f t="shared" si="393"/>
        <v>0.95</v>
      </c>
      <c r="R407" s="278">
        <v>1</v>
      </c>
      <c r="S407" s="278"/>
      <c r="T407" s="288">
        <v>5</v>
      </c>
      <c r="U407" s="289"/>
    </row>
    <row r="408" spans="1:21" x14ac:dyDescent="0.2">
      <c r="A408" s="256" t="s">
        <v>429</v>
      </c>
      <c r="B408" s="286" t="str">
        <f>TechData_R0!B199</f>
        <v>MINCWMSMS5</v>
      </c>
      <c r="C408" s="286"/>
      <c r="D408" s="286"/>
      <c r="E408" s="278" t="s">
        <v>32</v>
      </c>
      <c r="F408" s="278"/>
      <c r="G408" s="278" t="s">
        <v>269</v>
      </c>
      <c r="H408" s="287">
        <f>1-TechData_R0!J199+1</f>
        <v>0.95</v>
      </c>
      <c r="I408" s="287">
        <f t="shared" ref="I408:Q408" si="394">H408</f>
        <v>0.95</v>
      </c>
      <c r="J408" s="287">
        <f t="shared" si="394"/>
        <v>0.95</v>
      </c>
      <c r="K408" s="287">
        <f t="shared" si="394"/>
        <v>0.95</v>
      </c>
      <c r="L408" s="287">
        <f t="shared" si="394"/>
        <v>0.95</v>
      </c>
      <c r="M408" s="287">
        <f t="shared" si="394"/>
        <v>0.95</v>
      </c>
      <c r="N408" s="287">
        <f t="shared" si="394"/>
        <v>0.95</v>
      </c>
      <c r="O408" s="287">
        <f t="shared" si="394"/>
        <v>0.95</v>
      </c>
      <c r="P408" s="287">
        <f t="shared" si="394"/>
        <v>0.95</v>
      </c>
      <c r="Q408" s="287">
        <f t="shared" si="394"/>
        <v>0.95</v>
      </c>
      <c r="R408" s="278">
        <v>1</v>
      </c>
      <c r="S408" s="278"/>
      <c r="T408" s="288">
        <v>5</v>
      </c>
      <c r="U408" s="289"/>
    </row>
    <row r="409" spans="1:21" x14ac:dyDescent="0.2">
      <c r="A409" s="256" t="s">
        <v>430</v>
      </c>
      <c r="B409" s="286" t="str">
        <f>TechData_R0!B200</f>
        <v>MINCWMSMS6</v>
      </c>
      <c r="C409" s="286"/>
      <c r="D409" s="286"/>
      <c r="E409" s="278" t="s">
        <v>32</v>
      </c>
      <c r="F409" s="278"/>
      <c r="G409" s="278" t="s">
        <v>269</v>
      </c>
      <c r="H409" s="287">
        <f>1-TechData_R0!J200+1</f>
        <v>0.95</v>
      </c>
      <c r="I409" s="287">
        <f t="shared" ref="I409:Q409" si="395">H409</f>
        <v>0.95</v>
      </c>
      <c r="J409" s="287">
        <f t="shared" si="395"/>
        <v>0.95</v>
      </c>
      <c r="K409" s="287">
        <f t="shared" si="395"/>
        <v>0.95</v>
      </c>
      <c r="L409" s="287">
        <f t="shared" si="395"/>
        <v>0.95</v>
      </c>
      <c r="M409" s="287">
        <f t="shared" si="395"/>
        <v>0.95</v>
      </c>
      <c r="N409" s="287">
        <f t="shared" si="395"/>
        <v>0.95</v>
      </c>
      <c r="O409" s="287">
        <f t="shared" si="395"/>
        <v>0.95</v>
      </c>
      <c r="P409" s="287">
        <f t="shared" si="395"/>
        <v>0.95</v>
      </c>
      <c r="Q409" s="287">
        <f t="shared" si="395"/>
        <v>0.95</v>
      </c>
      <c r="R409" s="278">
        <v>1</v>
      </c>
      <c r="S409" s="278"/>
      <c r="T409" s="288">
        <v>5</v>
      </c>
      <c r="U409" s="289"/>
    </row>
    <row r="410" spans="1:21" x14ac:dyDescent="0.2">
      <c r="A410" s="256" t="s">
        <v>431</v>
      </c>
      <c r="B410" s="286" t="str">
        <f>TechData_R0!B202</f>
        <v>MINCNWSLS1</v>
      </c>
      <c r="C410" s="286"/>
      <c r="D410" s="286"/>
      <c r="E410" s="278" t="s">
        <v>32</v>
      </c>
      <c r="F410" s="278"/>
      <c r="G410" s="278" t="s">
        <v>269</v>
      </c>
      <c r="H410" s="287">
        <f>1-TechData_R0!J202+1</f>
        <v>0.99500000000000011</v>
      </c>
      <c r="I410" s="287">
        <f t="shared" ref="I410:Q410" si="396">H410</f>
        <v>0.99500000000000011</v>
      </c>
      <c r="J410" s="287">
        <f t="shared" si="396"/>
        <v>0.99500000000000011</v>
      </c>
      <c r="K410" s="287">
        <f t="shared" si="396"/>
        <v>0.99500000000000011</v>
      </c>
      <c r="L410" s="287">
        <f t="shared" si="396"/>
        <v>0.99500000000000011</v>
      </c>
      <c r="M410" s="287">
        <f t="shared" si="396"/>
        <v>0.99500000000000011</v>
      </c>
      <c r="N410" s="287">
        <f t="shared" si="396"/>
        <v>0.99500000000000011</v>
      </c>
      <c r="O410" s="287">
        <f t="shared" si="396"/>
        <v>0.99500000000000011</v>
      </c>
      <c r="P410" s="287">
        <f t="shared" si="396"/>
        <v>0.99500000000000011</v>
      </c>
      <c r="Q410" s="287">
        <f t="shared" si="396"/>
        <v>0.99500000000000011</v>
      </c>
      <c r="R410" s="278">
        <v>1</v>
      </c>
      <c r="S410" s="278"/>
      <c r="T410" s="288">
        <v>5</v>
      </c>
      <c r="U410" s="289"/>
    </row>
    <row r="411" spans="1:21" x14ac:dyDescent="0.2">
      <c r="A411" s="256" t="s">
        <v>432</v>
      </c>
      <c r="B411" s="286" t="str">
        <f>TechData_R0!B203</f>
        <v>MINCNWSLS2</v>
      </c>
      <c r="C411" s="286"/>
      <c r="D411" s="286"/>
      <c r="E411" s="278" t="s">
        <v>32</v>
      </c>
      <c r="F411" s="278"/>
      <c r="G411" s="278" t="s">
        <v>269</v>
      </c>
      <c r="H411" s="287">
        <f>1-TechData_R0!J203+1</f>
        <v>0.99500000000000011</v>
      </c>
      <c r="I411" s="287">
        <f t="shared" ref="I411:Q411" si="397">H411</f>
        <v>0.99500000000000011</v>
      </c>
      <c r="J411" s="287">
        <f t="shared" si="397"/>
        <v>0.99500000000000011</v>
      </c>
      <c r="K411" s="287">
        <f t="shared" si="397"/>
        <v>0.99500000000000011</v>
      </c>
      <c r="L411" s="287">
        <f t="shared" si="397"/>
        <v>0.99500000000000011</v>
      </c>
      <c r="M411" s="287">
        <f t="shared" si="397"/>
        <v>0.99500000000000011</v>
      </c>
      <c r="N411" s="287">
        <f t="shared" si="397"/>
        <v>0.99500000000000011</v>
      </c>
      <c r="O411" s="287">
        <f t="shared" si="397"/>
        <v>0.99500000000000011</v>
      </c>
      <c r="P411" s="287">
        <f t="shared" si="397"/>
        <v>0.99500000000000011</v>
      </c>
      <c r="Q411" s="287">
        <f t="shared" si="397"/>
        <v>0.99500000000000011</v>
      </c>
      <c r="R411" s="278">
        <v>1</v>
      </c>
      <c r="S411" s="278"/>
      <c r="T411" s="288">
        <v>5</v>
      </c>
      <c r="U411" s="289"/>
    </row>
    <row r="412" spans="1:21" x14ac:dyDescent="0.2">
      <c r="A412" s="256" t="s">
        <v>433</v>
      </c>
      <c r="B412" s="286" t="str">
        <f>TechData_R0!B204</f>
        <v>MINCNWSLS3</v>
      </c>
      <c r="C412" s="286"/>
      <c r="D412" s="286"/>
      <c r="E412" s="278" t="s">
        <v>32</v>
      </c>
      <c r="F412" s="278"/>
      <c r="G412" s="278" t="s">
        <v>269</v>
      </c>
      <c r="H412" s="287">
        <f>1-TechData_R0!J204+1</f>
        <v>0.99500000000000011</v>
      </c>
      <c r="I412" s="287">
        <f t="shared" ref="I412:Q412" si="398">H412</f>
        <v>0.99500000000000011</v>
      </c>
      <c r="J412" s="287">
        <f t="shared" si="398"/>
        <v>0.99500000000000011</v>
      </c>
      <c r="K412" s="287">
        <f t="shared" si="398"/>
        <v>0.99500000000000011</v>
      </c>
      <c r="L412" s="287">
        <f t="shared" si="398"/>
        <v>0.99500000000000011</v>
      </c>
      <c r="M412" s="287">
        <f t="shared" si="398"/>
        <v>0.99500000000000011</v>
      </c>
      <c r="N412" s="287">
        <f t="shared" si="398"/>
        <v>0.99500000000000011</v>
      </c>
      <c r="O412" s="287">
        <f t="shared" si="398"/>
        <v>0.99500000000000011</v>
      </c>
      <c r="P412" s="287">
        <f t="shared" si="398"/>
        <v>0.99500000000000011</v>
      </c>
      <c r="Q412" s="287">
        <f t="shared" si="398"/>
        <v>0.99500000000000011</v>
      </c>
      <c r="R412" s="278">
        <v>1</v>
      </c>
      <c r="S412" s="278"/>
      <c r="T412" s="288">
        <v>5</v>
      </c>
      <c r="U412" s="289"/>
    </row>
    <row r="413" spans="1:21" x14ac:dyDescent="0.2">
      <c r="A413" s="256" t="s">
        <v>434</v>
      </c>
      <c r="B413" s="286" t="str">
        <f>TechData_R0!B205</f>
        <v>MINCNWSLS4</v>
      </c>
      <c r="C413" s="286"/>
      <c r="D413" s="286"/>
      <c r="E413" s="278" t="s">
        <v>32</v>
      </c>
      <c r="F413" s="278"/>
      <c r="G413" s="278" t="s">
        <v>269</v>
      </c>
      <c r="H413" s="287">
        <f>1-TechData_R0!J205+1</f>
        <v>0.99500000000000011</v>
      </c>
      <c r="I413" s="287">
        <f t="shared" ref="I413:Q413" si="399">H413</f>
        <v>0.99500000000000011</v>
      </c>
      <c r="J413" s="287">
        <f t="shared" si="399"/>
        <v>0.99500000000000011</v>
      </c>
      <c r="K413" s="287">
        <f t="shared" si="399"/>
        <v>0.99500000000000011</v>
      </c>
      <c r="L413" s="287">
        <f t="shared" si="399"/>
        <v>0.99500000000000011</v>
      </c>
      <c r="M413" s="287">
        <f t="shared" si="399"/>
        <v>0.99500000000000011</v>
      </c>
      <c r="N413" s="287">
        <f t="shared" si="399"/>
        <v>0.99500000000000011</v>
      </c>
      <c r="O413" s="287">
        <f t="shared" si="399"/>
        <v>0.99500000000000011</v>
      </c>
      <c r="P413" s="287">
        <f t="shared" si="399"/>
        <v>0.99500000000000011</v>
      </c>
      <c r="Q413" s="287">
        <f t="shared" si="399"/>
        <v>0.99500000000000011</v>
      </c>
      <c r="R413" s="278">
        <v>1</v>
      </c>
      <c r="S413" s="278"/>
      <c r="T413" s="288">
        <v>5</v>
      </c>
      <c r="U413" s="289"/>
    </row>
    <row r="414" spans="1:21" x14ac:dyDescent="0.2">
      <c r="A414" s="256" t="s">
        <v>435</v>
      </c>
      <c r="B414" s="286" t="str">
        <f>TechData_R0!B206</f>
        <v>MINCNWSLS5</v>
      </c>
      <c r="C414" s="286"/>
      <c r="D414" s="286"/>
      <c r="E414" s="278" t="s">
        <v>32</v>
      </c>
      <c r="F414" s="278"/>
      <c r="G414" s="278" t="s">
        <v>269</v>
      </c>
      <c r="H414" s="287">
        <f>1-TechData_R0!J206+1</f>
        <v>0.99500000000000011</v>
      </c>
      <c r="I414" s="287">
        <f t="shared" ref="I414:Q414" si="400">H414</f>
        <v>0.99500000000000011</v>
      </c>
      <c r="J414" s="287">
        <f t="shared" si="400"/>
        <v>0.99500000000000011</v>
      </c>
      <c r="K414" s="287">
        <f t="shared" si="400"/>
        <v>0.99500000000000011</v>
      </c>
      <c r="L414" s="287">
        <f t="shared" si="400"/>
        <v>0.99500000000000011</v>
      </c>
      <c r="M414" s="287">
        <f t="shared" si="400"/>
        <v>0.99500000000000011</v>
      </c>
      <c r="N414" s="287">
        <f t="shared" si="400"/>
        <v>0.99500000000000011</v>
      </c>
      <c r="O414" s="287">
        <f t="shared" si="400"/>
        <v>0.99500000000000011</v>
      </c>
      <c r="P414" s="287">
        <f t="shared" si="400"/>
        <v>0.99500000000000011</v>
      </c>
      <c r="Q414" s="287">
        <f t="shared" si="400"/>
        <v>0.99500000000000011</v>
      </c>
      <c r="R414" s="278">
        <v>1</v>
      </c>
      <c r="S414" s="278"/>
      <c r="T414" s="288">
        <v>5</v>
      </c>
      <c r="U414" s="289"/>
    </row>
    <row r="415" spans="1:21" x14ac:dyDescent="0.2">
      <c r="A415" s="256" t="s">
        <v>436</v>
      </c>
      <c r="B415" s="286" t="str">
        <f>TechData_R0!B207</f>
        <v>MINCNWSLS6</v>
      </c>
      <c r="C415" s="286"/>
      <c r="D415" s="286"/>
      <c r="E415" s="278" t="s">
        <v>32</v>
      </c>
      <c r="F415" s="278"/>
      <c r="G415" s="278" t="s">
        <v>269</v>
      </c>
      <c r="H415" s="287">
        <f>1-TechData_R0!J207+1</f>
        <v>0.99500000000000011</v>
      </c>
      <c r="I415" s="287">
        <f t="shared" ref="I415:Q415" si="401">H415</f>
        <v>0.99500000000000011</v>
      </c>
      <c r="J415" s="287">
        <f t="shared" si="401"/>
        <v>0.99500000000000011</v>
      </c>
      <c r="K415" s="287">
        <f t="shared" si="401"/>
        <v>0.99500000000000011</v>
      </c>
      <c r="L415" s="287">
        <f t="shared" si="401"/>
        <v>0.99500000000000011</v>
      </c>
      <c r="M415" s="287">
        <f t="shared" si="401"/>
        <v>0.99500000000000011</v>
      </c>
      <c r="N415" s="287">
        <f t="shared" si="401"/>
        <v>0.99500000000000011</v>
      </c>
      <c r="O415" s="287">
        <f t="shared" si="401"/>
        <v>0.99500000000000011</v>
      </c>
      <c r="P415" s="287">
        <f t="shared" si="401"/>
        <v>0.99500000000000011</v>
      </c>
      <c r="Q415" s="287">
        <f t="shared" si="401"/>
        <v>0.99500000000000011</v>
      </c>
      <c r="R415" s="278">
        <v>1</v>
      </c>
      <c r="S415" s="278"/>
      <c r="T415" s="288">
        <v>5</v>
      </c>
      <c r="U415" s="289"/>
    </row>
    <row r="416" spans="1:21" x14ac:dyDescent="0.2">
      <c r="A416" s="256" t="s">
        <v>437</v>
      </c>
      <c r="B416" s="286" t="str">
        <f>TechData_R0!B209</f>
        <v>MINCNWSMS1</v>
      </c>
      <c r="C416" s="286"/>
      <c r="D416" s="286"/>
      <c r="E416" s="278" t="s">
        <v>32</v>
      </c>
      <c r="F416" s="278"/>
      <c r="G416" s="278" t="s">
        <v>269</v>
      </c>
      <c r="H416" s="287">
        <f>1-TechData_R0!J209+1</f>
        <v>0.95</v>
      </c>
      <c r="I416" s="287">
        <f t="shared" ref="I416:Q416" si="402">H416</f>
        <v>0.95</v>
      </c>
      <c r="J416" s="287">
        <f t="shared" si="402"/>
        <v>0.95</v>
      </c>
      <c r="K416" s="287">
        <f t="shared" si="402"/>
        <v>0.95</v>
      </c>
      <c r="L416" s="287">
        <f t="shared" si="402"/>
        <v>0.95</v>
      </c>
      <c r="M416" s="287">
        <f t="shared" si="402"/>
        <v>0.95</v>
      </c>
      <c r="N416" s="287">
        <f t="shared" si="402"/>
        <v>0.95</v>
      </c>
      <c r="O416" s="287">
        <f t="shared" si="402"/>
        <v>0.95</v>
      </c>
      <c r="P416" s="287">
        <f t="shared" si="402"/>
        <v>0.95</v>
      </c>
      <c r="Q416" s="287">
        <f t="shared" si="402"/>
        <v>0.95</v>
      </c>
      <c r="R416" s="278">
        <v>1</v>
      </c>
      <c r="S416" s="278"/>
      <c r="T416" s="288">
        <v>5</v>
      </c>
      <c r="U416" s="289"/>
    </row>
    <row r="417" spans="1:21" x14ac:dyDescent="0.2">
      <c r="A417" s="256" t="s">
        <v>438</v>
      </c>
      <c r="B417" s="286" t="str">
        <f>TechData_R0!B210</f>
        <v>MINCNWSMS2</v>
      </c>
      <c r="C417" s="286"/>
      <c r="D417" s="286"/>
      <c r="E417" s="278" t="s">
        <v>32</v>
      </c>
      <c r="F417" s="278"/>
      <c r="G417" s="278" t="s">
        <v>269</v>
      </c>
      <c r="H417" s="287">
        <f>1-TechData_R0!J210+1</f>
        <v>0.95</v>
      </c>
      <c r="I417" s="287">
        <f t="shared" ref="I417:Q417" si="403">H417</f>
        <v>0.95</v>
      </c>
      <c r="J417" s="287">
        <f t="shared" si="403"/>
        <v>0.95</v>
      </c>
      <c r="K417" s="287">
        <f t="shared" si="403"/>
        <v>0.95</v>
      </c>
      <c r="L417" s="287">
        <f t="shared" si="403"/>
        <v>0.95</v>
      </c>
      <c r="M417" s="287">
        <f t="shared" si="403"/>
        <v>0.95</v>
      </c>
      <c r="N417" s="287">
        <f t="shared" si="403"/>
        <v>0.95</v>
      </c>
      <c r="O417" s="287">
        <f t="shared" si="403"/>
        <v>0.95</v>
      </c>
      <c r="P417" s="287">
        <f t="shared" si="403"/>
        <v>0.95</v>
      </c>
      <c r="Q417" s="287">
        <f t="shared" si="403"/>
        <v>0.95</v>
      </c>
      <c r="R417" s="278">
        <v>1</v>
      </c>
      <c r="S417" s="278"/>
      <c r="T417" s="288">
        <v>5</v>
      </c>
      <c r="U417" s="289"/>
    </row>
    <row r="418" spans="1:21" x14ac:dyDescent="0.2">
      <c r="A418" s="256" t="s">
        <v>439</v>
      </c>
      <c r="B418" s="286" t="str">
        <f>TechData_R0!B211</f>
        <v>MINCNWSMS3</v>
      </c>
      <c r="C418" s="286"/>
      <c r="D418" s="286"/>
      <c r="E418" s="278" t="s">
        <v>32</v>
      </c>
      <c r="F418" s="278"/>
      <c r="G418" s="278" t="s">
        <v>269</v>
      </c>
      <c r="H418" s="287">
        <f>1-TechData_R0!J211+1</f>
        <v>0.95</v>
      </c>
      <c r="I418" s="287">
        <f t="shared" ref="I418:Q418" si="404">H418</f>
        <v>0.95</v>
      </c>
      <c r="J418" s="287">
        <f t="shared" si="404"/>
        <v>0.95</v>
      </c>
      <c r="K418" s="287">
        <f t="shared" si="404"/>
        <v>0.95</v>
      </c>
      <c r="L418" s="287">
        <f t="shared" si="404"/>
        <v>0.95</v>
      </c>
      <c r="M418" s="287">
        <f t="shared" si="404"/>
        <v>0.95</v>
      </c>
      <c r="N418" s="287">
        <f t="shared" si="404"/>
        <v>0.95</v>
      </c>
      <c r="O418" s="287">
        <f t="shared" si="404"/>
        <v>0.95</v>
      </c>
      <c r="P418" s="287">
        <f t="shared" si="404"/>
        <v>0.95</v>
      </c>
      <c r="Q418" s="287">
        <f t="shared" si="404"/>
        <v>0.95</v>
      </c>
      <c r="R418" s="278">
        <v>1</v>
      </c>
      <c r="S418" s="278"/>
      <c r="T418" s="288">
        <v>5</v>
      </c>
      <c r="U418" s="289"/>
    </row>
    <row r="419" spans="1:21" x14ac:dyDescent="0.2">
      <c r="A419" s="256" t="s">
        <v>440</v>
      </c>
      <c r="B419" s="286" t="str">
        <f>TechData_R0!B212</f>
        <v>MINCNWSMS4</v>
      </c>
      <c r="C419" s="286"/>
      <c r="D419" s="286"/>
      <c r="E419" s="278" t="s">
        <v>32</v>
      </c>
      <c r="F419" s="278"/>
      <c r="G419" s="278" t="s">
        <v>269</v>
      </c>
      <c r="H419" s="287">
        <f>1-TechData_R0!J212+1</f>
        <v>0.95</v>
      </c>
      <c r="I419" s="287">
        <f t="shared" ref="I419:Q419" si="405">H419</f>
        <v>0.95</v>
      </c>
      <c r="J419" s="287">
        <f t="shared" si="405"/>
        <v>0.95</v>
      </c>
      <c r="K419" s="287">
        <f t="shared" si="405"/>
        <v>0.95</v>
      </c>
      <c r="L419" s="287">
        <f t="shared" si="405"/>
        <v>0.95</v>
      </c>
      <c r="M419" s="287">
        <f t="shared" si="405"/>
        <v>0.95</v>
      </c>
      <c r="N419" s="287">
        <f t="shared" si="405"/>
        <v>0.95</v>
      </c>
      <c r="O419" s="287">
        <f t="shared" si="405"/>
        <v>0.95</v>
      </c>
      <c r="P419" s="287">
        <f t="shared" si="405"/>
        <v>0.95</v>
      </c>
      <c r="Q419" s="287">
        <f t="shared" si="405"/>
        <v>0.95</v>
      </c>
      <c r="R419" s="278">
        <v>1</v>
      </c>
      <c r="S419" s="278"/>
      <c r="T419" s="288">
        <v>5</v>
      </c>
      <c r="U419" s="289"/>
    </row>
    <row r="420" spans="1:21" x14ac:dyDescent="0.2">
      <c r="A420" s="256" t="s">
        <v>441</v>
      </c>
      <c r="B420" s="286" t="str">
        <f>TechData_R0!B213</f>
        <v>MINCNWSMS5</v>
      </c>
      <c r="C420" s="286"/>
      <c r="D420" s="286"/>
      <c r="E420" s="278" t="s">
        <v>32</v>
      </c>
      <c r="F420" s="278"/>
      <c r="G420" s="278" t="s">
        <v>269</v>
      </c>
      <c r="H420" s="287">
        <f>1-TechData_R0!J213+1</f>
        <v>0.95</v>
      </c>
      <c r="I420" s="287">
        <f t="shared" ref="I420:Q420" si="406">H420</f>
        <v>0.95</v>
      </c>
      <c r="J420" s="287">
        <f t="shared" si="406"/>
        <v>0.95</v>
      </c>
      <c r="K420" s="287">
        <f t="shared" si="406"/>
        <v>0.95</v>
      </c>
      <c r="L420" s="287">
        <f t="shared" si="406"/>
        <v>0.95</v>
      </c>
      <c r="M420" s="287">
        <f t="shared" si="406"/>
        <v>0.95</v>
      </c>
      <c r="N420" s="287">
        <f t="shared" si="406"/>
        <v>0.95</v>
      </c>
      <c r="O420" s="287">
        <f t="shared" si="406"/>
        <v>0.95</v>
      </c>
      <c r="P420" s="287">
        <f t="shared" si="406"/>
        <v>0.95</v>
      </c>
      <c r="Q420" s="287">
        <f t="shared" si="406"/>
        <v>0.95</v>
      </c>
      <c r="R420" s="278">
        <v>1</v>
      </c>
      <c r="S420" s="278"/>
      <c r="T420" s="288">
        <v>5</v>
      </c>
      <c r="U420" s="289"/>
    </row>
    <row r="421" spans="1:21" x14ac:dyDescent="0.2">
      <c r="A421" s="256" t="s">
        <v>442</v>
      </c>
      <c r="B421" s="286" t="str">
        <f>TechData_R0!B214</f>
        <v>MINCNWSMS6</v>
      </c>
      <c r="C421" s="286"/>
      <c r="D421" s="286"/>
      <c r="E421" s="278" t="s">
        <v>32</v>
      </c>
      <c r="F421" s="278"/>
      <c r="G421" s="278" t="s">
        <v>269</v>
      </c>
      <c r="H421" s="287">
        <f>1-TechData_R0!J214+1</f>
        <v>0.95</v>
      </c>
      <c r="I421" s="287">
        <f t="shared" ref="I421:Q421" si="407">H421</f>
        <v>0.95</v>
      </c>
      <c r="J421" s="287">
        <f t="shared" si="407"/>
        <v>0.95</v>
      </c>
      <c r="K421" s="287">
        <f t="shared" si="407"/>
        <v>0.95</v>
      </c>
      <c r="L421" s="287">
        <f t="shared" si="407"/>
        <v>0.95</v>
      </c>
      <c r="M421" s="287">
        <f t="shared" si="407"/>
        <v>0.95</v>
      </c>
      <c r="N421" s="287">
        <f t="shared" si="407"/>
        <v>0.95</v>
      </c>
      <c r="O421" s="287">
        <f t="shared" si="407"/>
        <v>0.95</v>
      </c>
      <c r="P421" s="287">
        <f t="shared" si="407"/>
        <v>0.95</v>
      </c>
      <c r="Q421" s="287">
        <f t="shared" si="407"/>
        <v>0.95</v>
      </c>
      <c r="R421" s="278">
        <v>1</v>
      </c>
      <c r="S421" s="278"/>
      <c r="T421" s="288">
        <v>5</v>
      </c>
      <c r="U421" s="289"/>
    </row>
    <row r="422" spans="1:21" x14ac:dyDescent="0.2">
      <c r="A422" s="256" t="s">
        <v>443</v>
      </c>
      <c r="B422" s="286" t="str">
        <f>TechData_R0!B216</f>
        <v>MINCWWSLU1</v>
      </c>
      <c r="C422" s="286"/>
      <c r="D422" s="286"/>
      <c r="E422" s="278" t="s">
        <v>32</v>
      </c>
      <c r="F422" s="278"/>
      <c r="G422" s="278" t="s">
        <v>269</v>
      </c>
      <c r="H422" s="287">
        <f>1-TechData_R0!J216+1</f>
        <v>0.95</v>
      </c>
      <c r="I422" s="287">
        <f t="shared" ref="I422:Q422" si="408">H422</f>
        <v>0.95</v>
      </c>
      <c r="J422" s="287">
        <f t="shared" si="408"/>
        <v>0.95</v>
      </c>
      <c r="K422" s="287">
        <f t="shared" si="408"/>
        <v>0.95</v>
      </c>
      <c r="L422" s="287">
        <f t="shared" si="408"/>
        <v>0.95</v>
      </c>
      <c r="M422" s="287">
        <f t="shared" si="408"/>
        <v>0.95</v>
      </c>
      <c r="N422" s="287">
        <f t="shared" si="408"/>
        <v>0.95</v>
      </c>
      <c r="O422" s="287">
        <f t="shared" si="408"/>
        <v>0.95</v>
      </c>
      <c r="P422" s="287">
        <f t="shared" si="408"/>
        <v>0.95</v>
      </c>
      <c r="Q422" s="287">
        <f t="shared" si="408"/>
        <v>0.95</v>
      </c>
      <c r="R422" s="278">
        <v>1</v>
      </c>
      <c r="S422" s="278"/>
      <c r="T422" s="288">
        <v>5</v>
      </c>
      <c r="U422" s="289"/>
    </row>
    <row r="423" spans="1:21" x14ac:dyDescent="0.2">
      <c r="A423" s="256" t="s">
        <v>444</v>
      </c>
      <c r="B423" s="286" t="str">
        <f>TechData_R0!B217</f>
        <v>MINCWWSLU2</v>
      </c>
      <c r="C423" s="286"/>
      <c r="D423" s="286"/>
      <c r="E423" s="278" t="s">
        <v>32</v>
      </c>
      <c r="F423" s="278"/>
      <c r="G423" s="278" t="s">
        <v>269</v>
      </c>
      <c r="H423" s="287">
        <f>1-TechData_R0!J217+1</f>
        <v>0.95</v>
      </c>
      <c r="I423" s="287">
        <f t="shared" ref="I423:Q423" si="409">H423</f>
        <v>0.95</v>
      </c>
      <c r="J423" s="287">
        <f t="shared" si="409"/>
        <v>0.95</v>
      </c>
      <c r="K423" s="287">
        <f t="shared" si="409"/>
        <v>0.95</v>
      </c>
      <c r="L423" s="287">
        <f t="shared" si="409"/>
        <v>0.95</v>
      </c>
      <c r="M423" s="287">
        <f t="shared" si="409"/>
        <v>0.95</v>
      </c>
      <c r="N423" s="287">
        <f t="shared" si="409"/>
        <v>0.95</v>
      </c>
      <c r="O423" s="287">
        <f t="shared" si="409"/>
        <v>0.95</v>
      </c>
      <c r="P423" s="287">
        <f t="shared" si="409"/>
        <v>0.95</v>
      </c>
      <c r="Q423" s="287">
        <f t="shared" si="409"/>
        <v>0.95</v>
      </c>
      <c r="R423" s="278">
        <v>1</v>
      </c>
      <c r="S423" s="278"/>
      <c r="T423" s="288">
        <v>5</v>
      </c>
      <c r="U423" s="289"/>
    </row>
    <row r="424" spans="1:21" x14ac:dyDescent="0.2">
      <c r="A424" s="256" t="s">
        <v>445</v>
      </c>
      <c r="B424" s="286" t="str">
        <f>TechData_R0!B218</f>
        <v>MINCWWSLU3</v>
      </c>
      <c r="C424" s="286"/>
      <c r="D424" s="286"/>
      <c r="E424" s="278" t="s">
        <v>32</v>
      </c>
      <c r="F424" s="278"/>
      <c r="G424" s="278" t="s">
        <v>269</v>
      </c>
      <c r="H424" s="287">
        <f>1-TechData_R0!J218+1</f>
        <v>0.95</v>
      </c>
      <c r="I424" s="287">
        <f t="shared" ref="I424:Q424" si="410">H424</f>
        <v>0.95</v>
      </c>
      <c r="J424" s="287">
        <f t="shared" si="410"/>
        <v>0.95</v>
      </c>
      <c r="K424" s="287">
        <f t="shared" si="410"/>
        <v>0.95</v>
      </c>
      <c r="L424" s="287">
        <f t="shared" si="410"/>
        <v>0.95</v>
      </c>
      <c r="M424" s="287">
        <f t="shared" si="410"/>
        <v>0.95</v>
      </c>
      <c r="N424" s="287">
        <f t="shared" si="410"/>
        <v>0.95</v>
      </c>
      <c r="O424" s="287">
        <f t="shared" si="410"/>
        <v>0.95</v>
      </c>
      <c r="P424" s="287">
        <f t="shared" si="410"/>
        <v>0.95</v>
      </c>
      <c r="Q424" s="287">
        <f t="shared" si="410"/>
        <v>0.95</v>
      </c>
      <c r="R424" s="278">
        <v>1</v>
      </c>
      <c r="S424" s="278"/>
      <c r="T424" s="288">
        <v>5</v>
      </c>
      <c r="U424" s="289"/>
    </row>
    <row r="425" spans="1:21" x14ac:dyDescent="0.2">
      <c r="A425" s="256" t="s">
        <v>446</v>
      </c>
      <c r="B425" s="286" t="str">
        <f>TechData_R0!B219</f>
        <v>MINCWWSLU4</v>
      </c>
      <c r="C425" s="286"/>
      <c r="D425" s="286"/>
      <c r="E425" s="278" t="s">
        <v>32</v>
      </c>
      <c r="F425" s="278"/>
      <c r="G425" s="278" t="s">
        <v>269</v>
      </c>
      <c r="H425" s="287">
        <f>1-TechData_R0!J219+1</f>
        <v>0.95</v>
      </c>
      <c r="I425" s="287">
        <f t="shared" ref="I425:Q425" si="411">H425</f>
        <v>0.95</v>
      </c>
      <c r="J425" s="287">
        <f t="shared" si="411"/>
        <v>0.95</v>
      </c>
      <c r="K425" s="287">
        <f t="shared" si="411"/>
        <v>0.95</v>
      </c>
      <c r="L425" s="287">
        <f t="shared" si="411"/>
        <v>0.95</v>
      </c>
      <c r="M425" s="287">
        <f t="shared" si="411"/>
        <v>0.95</v>
      </c>
      <c r="N425" s="287">
        <f t="shared" si="411"/>
        <v>0.95</v>
      </c>
      <c r="O425" s="287">
        <f t="shared" si="411"/>
        <v>0.95</v>
      </c>
      <c r="P425" s="287">
        <f t="shared" si="411"/>
        <v>0.95</v>
      </c>
      <c r="Q425" s="287">
        <f t="shared" si="411"/>
        <v>0.95</v>
      </c>
      <c r="R425" s="278">
        <v>1</v>
      </c>
      <c r="S425" s="278"/>
      <c r="T425" s="288">
        <v>5</v>
      </c>
      <c r="U425" s="289"/>
    </row>
    <row r="426" spans="1:21" x14ac:dyDescent="0.2">
      <c r="A426" s="256" t="s">
        <v>447</v>
      </c>
      <c r="B426" s="286" t="str">
        <f>TechData_R0!B220</f>
        <v>MINCWWSLU5</v>
      </c>
      <c r="C426" s="286"/>
      <c r="D426" s="286"/>
      <c r="E426" s="278" t="s">
        <v>32</v>
      </c>
      <c r="F426" s="278"/>
      <c r="G426" s="278" t="s">
        <v>269</v>
      </c>
      <c r="H426" s="287">
        <f>1-TechData_R0!J220+1</f>
        <v>0.95</v>
      </c>
      <c r="I426" s="287">
        <f t="shared" ref="I426:Q426" si="412">H426</f>
        <v>0.95</v>
      </c>
      <c r="J426" s="287">
        <f t="shared" si="412"/>
        <v>0.95</v>
      </c>
      <c r="K426" s="287">
        <f t="shared" si="412"/>
        <v>0.95</v>
      </c>
      <c r="L426" s="287">
        <f t="shared" si="412"/>
        <v>0.95</v>
      </c>
      <c r="M426" s="287">
        <f t="shared" si="412"/>
        <v>0.95</v>
      </c>
      <c r="N426" s="287">
        <f t="shared" si="412"/>
        <v>0.95</v>
      </c>
      <c r="O426" s="287">
        <f t="shared" si="412"/>
        <v>0.95</v>
      </c>
      <c r="P426" s="287">
        <f t="shared" si="412"/>
        <v>0.95</v>
      </c>
      <c r="Q426" s="287">
        <f t="shared" si="412"/>
        <v>0.95</v>
      </c>
      <c r="R426" s="278">
        <v>1</v>
      </c>
      <c r="S426" s="278"/>
      <c r="T426" s="288">
        <v>5</v>
      </c>
      <c r="U426" s="289"/>
    </row>
    <row r="427" spans="1:21" x14ac:dyDescent="0.2">
      <c r="A427" s="256" t="s">
        <v>448</v>
      </c>
      <c r="B427" s="286" t="str">
        <f>TechData_R0!B221</f>
        <v>MINCWWSLU6</v>
      </c>
      <c r="C427" s="286"/>
      <c r="D427" s="286"/>
      <c r="E427" s="278" t="s">
        <v>32</v>
      </c>
      <c r="F427" s="278"/>
      <c r="G427" s="278" t="s">
        <v>269</v>
      </c>
      <c r="H427" s="287">
        <f>1-TechData_R0!J221+1</f>
        <v>0.95</v>
      </c>
      <c r="I427" s="287">
        <f t="shared" ref="I427:Q427" si="413">H427</f>
        <v>0.95</v>
      </c>
      <c r="J427" s="287">
        <f t="shared" si="413"/>
        <v>0.95</v>
      </c>
      <c r="K427" s="287">
        <f t="shared" si="413"/>
        <v>0.95</v>
      </c>
      <c r="L427" s="287">
        <f t="shared" si="413"/>
        <v>0.95</v>
      </c>
      <c r="M427" s="287">
        <f t="shared" si="413"/>
        <v>0.95</v>
      </c>
      <c r="N427" s="287">
        <f t="shared" si="413"/>
        <v>0.95</v>
      </c>
      <c r="O427" s="287">
        <f t="shared" si="413"/>
        <v>0.95</v>
      </c>
      <c r="P427" s="287">
        <f t="shared" si="413"/>
        <v>0.95</v>
      </c>
      <c r="Q427" s="287">
        <f t="shared" si="413"/>
        <v>0.95</v>
      </c>
      <c r="R427" s="278">
        <v>1</v>
      </c>
      <c r="S427" s="278"/>
      <c r="T427" s="288">
        <v>5</v>
      </c>
      <c r="U427" s="289"/>
    </row>
    <row r="428" spans="1:21" x14ac:dyDescent="0.2">
      <c r="A428" s="256" t="s">
        <v>449</v>
      </c>
      <c r="B428" s="286" t="str">
        <f>TechData_R0!B223</f>
        <v>MINCWWSLS1</v>
      </c>
      <c r="C428" s="286"/>
      <c r="D428" s="286"/>
      <c r="E428" s="278" t="s">
        <v>32</v>
      </c>
      <c r="F428" s="278"/>
      <c r="G428" s="278" t="s">
        <v>269</v>
      </c>
      <c r="H428" s="287">
        <f>1-TechData_R0!J223+1</f>
        <v>0.95</v>
      </c>
      <c r="I428" s="287">
        <f t="shared" ref="I428:Q428" si="414">H428</f>
        <v>0.95</v>
      </c>
      <c r="J428" s="287">
        <f t="shared" si="414"/>
        <v>0.95</v>
      </c>
      <c r="K428" s="287">
        <f t="shared" si="414"/>
        <v>0.95</v>
      </c>
      <c r="L428" s="287">
        <f t="shared" si="414"/>
        <v>0.95</v>
      </c>
      <c r="M428" s="287">
        <f t="shared" si="414"/>
        <v>0.95</v>
      </c>
      <c r="N428" s="287">
        <f t="shared" si="414"/>
        <v>0.95</v>
      </c>
      <c r="O428" s="287">
        <f t="shared" si="414"/>
        <v>0.95</v>
      </c>
      <c r="P428" s="287">
        <f t="shared" si="414"/>
        <v>0.95</v>
      </c>
      <c r="Q428" s="287">
        <f t="shared" si="414"/>
        <v>0.95</v>
      </c>
      <c r="R428" s="278">
        <v>1</v>
      </c>
      <c r="S428" s="278"/>
      <c r="T428" s="288">
        <v>5</v>
      </c>
      <c r="U428" s="289"/>
    </row>
    <row r="429" spans="1:21" x14ac:dyDescent="0.2">
      <c r="A429" s="256" t="s">
        <v>450</v>
      </c>
      <c r="B429" s="286" t="str">
        <f>TechData_R0!B224</f>
        <v>MINCWWSLS2</v>
      </c>
      <c r="C429" s="286"/>
      <c r="D429" s="286"/>
      <c r="E429" s="278" t="s">
        <v>32</v>
      </c>
      <c r="F429" s="278"/>
      <c r="G429" s="278" t="s">
        <v>269</v>
      </c>
      <c r="H429" s="287">
        <f>1-TechData_R0!J224+1</f>
        <v>0.95</v>
      </c>
      <c r="I429" s="287">
        <f t="shared" ref="I429:Q429" si="415">H429</f>
        <v>0.95</v>
      </c>
      <c r="J429" s="287">
        <f t="shared" si="415"/>
        <v>0.95</v>
      </c>
      <c r="K429" s="287">
        <f t="shared" si="415"/>
        <v>0.95</v>
      </c>
      <c r="L429" s="287">
        <f t="shared" si="415"/>
        <v>0.95</v>
      </c>
      <c r="M429" s="287">
        <f t="shared" si="415"/>
        <v>0.95</v>
      </c>
      <c r="N429" s="287">
        <f t="shared" si="415"/>
        <v>0.95</v>
      </c>
      <c r="O429" s="287">
        <f t="shared" si="415"/>
        <v>0.95</v>
      </c>
      <c r="P429" s="287">
        <f t="shared" si="415"/>
        <v>0.95</v>
      </c>
      <c r="Q429" s="287">
        <f t="shared" si="415"/>
        <v>0.95</v>
      </c>
      <c r="R429" s="278">
        <v>1</v>
      </c>
      <c r="S429" s="278"/>
      <c r="T429" s="288">
        <v>5</v>
      </c>
      <c r="U429" s="289"/>
    </row>
    <row r="430" spans="1:21" x14ac:dyDescent="0.2">
      <c r="A430" s="256" t="s">
        <v>451</v>
      </c>
      <c r="B430" s="286" t="str">
        <f>TechData_R0!B225</f>
        <v>MINCWWSLS3</v>
      </c>
      <c r="C430" s="286"/>
      <c r="D430" s="286"/>
      <c r="E430" s="278" t="s">
        <v>32</v>
      </c>
      <c r="F430" s="278"/>
      <c r="G430" s="278" t="s">
        <v>269</v>
      </c>
      <c r="H430" s="287">
        <f>1-TechData_R0!J225+1</f>
        <v>0.95</v>
      </c>
      <c r="I430" s="287">
        <f t="shared" ref="I430:Q430" si="416">H430</f>
        <v>0.95</v>
      </c>
      <c r="J430" s="287">
        <f t="shared" si="416"/>
        <v>0.95</v>
      </c>
      <c r="K430" s="287">
        <f t="shared" si="416"/>
        <v>0.95</v>
      </c>
      <c r="L430" s="287">
        <f t="shared" si="416"/>
        <v>0.95</v>
      </c>
      <c r="M430" s="287">
        <f t="shared" si="416"/>
        <v>0.95</v>
      </c>
      <c r="N430" s="287">
        <f t="shared" si="416"/>
        <v>0.95</v>
      </c>
      <c r="O430" s="287">
        <f t="shared" si="416"/>
        <v>0.95</v>
      </c>
      <c r="P430" s="287">
        <f t="shared" si="416"/>
        <v>0.95</v>
      </c>
      <c r="Q430" s="287">
        <f t="shared" si="416"/>
        <v>0.95</v>
      </c>
      <c r="R430" s="278">
        <v>1</v>
      </c>
      <c r="S430" s="278"/>
      <c r="T430" s="288">
        <v>5</v>
      </c>
      <c r="U430" s="289"/>
    </row>
    <row r="431" spans="1:21" x14ac:dyDescent="0.2">
      <c r="A431" s="256" t="s">
        <v>452</v>
      </c>
      <c r="B431" s="286" t="str">
        <f>TechData_R0!B226</f>
        <v>MINCWWSLS4</v>
      </c>
      <c r="C431" s="286"/>
      <c r="D431" s="286"/>
      <c r="E431" s="278" t="s">
        <v>32</v>
      </c>
      <c r="F431" s="278"/>
      <c r="G431" s="278" t="s">
        <v>269</v>
      </c>
      <c r="H431" s="287">
        <f>1-TechData_R0!J226+1</f>
        <v>0.95</v>
      </c>
      <c r="I431" s="287">
        <f t="shared" ref="I431:Q431" si="417">H431</f>
        <v>0.95</v>
      </c>
      <c r="J431" s="287">
        <f t="shared" si="417"/>
        <v>0.95</v>
      </c>
      <c r="K431" s="287">
        <f t="shared" si="417"/>
        <v>0.95</v>
      </c>
      <c r="L431" s="287">
        <f t="shared" si="417"/>
        <v>0.95</v>
      </c>
      <c r="M431" s="287">
        <f t="shared" si="417"/>
        <v>0.95</v>
      </c>
      <c r="N431" s="287">
        <f t="shared" si="417"/>
        <v>0.95</v>
      </c>
      <c r="O431" s="287">
        <f t="shared" si="417"/>
        <v>0.95</v>
      </c>
      <c r="P431" s="287">
        <f t="shared" si="417"/>
        <v>0.95</v>
      </c>
      <c r="Q431" s="287">
        <f t="shared" si="417"/>
        <v>0.95</v>
      </c>
      <c r="R431" s="278">
        <v>1</v>
      </c>
      <c r="S431" s="278"/>
      <c r="T431" s="288">
        <v>5</v>
      </c>
      <c r="U431" s="289"/>
    </row>
    <row r="432" spans="1:21" x14ac:dyDescent="0.2">
      <c r="A432" s="256" t="s">
        <v>453</v>
      </c>
      <c r="B432" s="286" t="str">
        <f>TechData_R0!B227</f>
        <v>MINCWWSLS5</v>
      </c>
      <c r="C432" s="286"/>
      <c r="D432" s="286"/>
      <c r="E432" s="278" t="s">
        <v>32</v>
      </c>
      <c r="F432" s="278"/>
      <c r="G432" s="278" t="s">
        <v>269</v>
      </c>
      <c r="H432" s="287">
        <f>1-TechData_R0!J227+1</f>
        <v>0.95</v>
      </c>
      <c r="I432" s="287">
        <f t="shared" ref="I432:Q432" si="418">H432</f>
        <v>0.95</v>
      </c>
      <c r="J432" s="287">
        <f t="shared" si="418"/>
        <v>0.95</v>
      </c>
      <c r="K432" s="287">
        <f t="shared" si="418"/>
        <v>0.95</v>
      </c>
      <c r="L432" s="287">
        <f t="shared" si="418"/>
        <v>0.95</v>
      </c>
      <c r="M432" s="287">
        <f t="shared" si="418"/>
        <v>0.95</v>
      </c>
      <c r="N432" s="287">
        <f t="shared" si="418"/>
        <v>0.95</v>
      </c>
      <c r="O432" s="287">
        <f t="shared" si="418"/>
        <v>0.95</v>
      </c>
      <c r="P432" s="287">
        <f t="shared" si="418"/>
        <v>0.95</v>
      </c>
      <c r="Q432" s="287">
        <f t="shared" si="418"/>
        <v>0.95</v>
      </c>
      <c r="R432" s="278">
        <v>1</v>
      </c>
      <c r="S432" s="278"/>
      <c r="T432" s="288">
        <v>5</v>
      </c>
      <c r="U432" s="289"/>
    </row>
    <row r="433" spans="1:21" x14ac:dyDescent="0.2">
      <c r="A433" s="256" t="s">
        <v>454</v>
      </c>
      <c r="B433" s="286" t="str">
        <f>TechData_R0!B228</f>
        <v>MINCWWSLS6</v>
      </c>
      <c r="C433" s="286"/>
      <c r="D433" s="286"/>
      <c r="E433" s="278" t="s">
        <v>32</v>
      </c>
      <c r="F433" s="278"/>
      <c r="G433" s="278" t="s">
        <v>269</v>
      </c>
      <c r="H433" s="287">
        <f>1-TechData_R0!J228+1</f>
        <v>0.95</v>
      </c>
      <c r="I433" s="287">
        <f t="shared" ref="I433:Q433" si="419">H433</f>
        <v>0.95</v>
      </c>
      <c r="J433" s="287">
        <f t="shared" si="419"/>
        <v>0.95</v>
      </c>
      <c r="K433" s="287">
        <f t="shared" si="419"/>
        <v>0.95</v>
      </c>
      <c r="L433" s="287">
        <f t="shared" si="419"/>
        <v>0.95</v>
      </c>
      <c r="M433" s="287">
        <f t="shared" si="419"/>
        <v>0.95</v>
      </c>
      <c r="N433" s="287">
        <f t="shared" si="419"/>
        <v>0.95</v>
      </c>
      <c r="O433" s="287">
        <f t="shared" si="419"/>
        <v>0.95</v>
      </c>
      <c r="P433" s="287">
        <f t="shared" si="419"/>
        <v>0.95</v>
      </c>
      <c r="Q433" s="287">
        <f t="shared" si="419"/>
        <v>0.95</v>
      </c>
      <c r="R433" s="278">
        <v>1</v>
      </c>
      <c r="S433" s="278"/>
      <c r="T433" s="288">
        <v>5</v>
      </c>
      <c r="U433" s="289"/>
    </row>
    <row r="434" spans="1:21" x14ac:dyDescent="0.2">
      <c r="A434" s="256" t="s">
        <v>455</v>
      </c>
      <c r="B434" s="286" t="str">
        <f>TechData_R0!B230</f>
        <v>MINCWWSMS1</v>
      </c>
      <c r="C434" s="286"/>
      <c r="D434" s="286"/>
      <c r="E434" s="278" t="s">
        <v>32</v>
      </c>
      <c r="F434" s="278"/>
      <c r="G434" s="278" t="s">
        <v>269</v>
      </c>
      <c r="H434" s="287">
        <f>1-TechData_R0!J230+1</f>
        <v>0.95</v>
      </c>
      <c r="I434" s="287">
        <f t="shared" ref="I434:Q434" si="420">H434</f>
        <v>0.95</v>
      </c>
      <c r="J434" s="287">
        <f t="shared" si="420"/>
        <v>0.95</v>
      </c>
      <c r="K434" s="287">
        <f t="shared" si="420"/>
        <v>0.95</v>
      </c>
      <c r="L434" s="287">
        <f t="shared" si="420"/>
        <v>0.95</v>
      </c>
      <c r="M434" s="287">
        <f t="shared" si="420"/>
        <v>0.95</v>
      </c>
      <c r="N434" s="287">
        <f t="shared" si="420"/>
        <v>0.95</v>
      </c>
      <c r="O434" s="287">
        <f t="shared" si="420"/>
        <v>0.95</v>
      </c>
      <c r="P434" s="287">
        <f t="shared" si="420"/>
        <v>0.95</v>
      </c>
      <c r="Q434" s="287">
        <f t="shared" si="420"/>
        <v>0.95</v>
      </c>
      <c r="R434" s="278">
        <v>1</v>
      </c>
      <c r="S434" s="278"/>
      <c r="T434" s="288">
        <v>5</v>
      </c>
      <c r="U434" s="289"/>
    </row>
    <row r="435" spans="1:21" x14ac:dyDescent="0.2">
      <c r="A435" s="256" t="s">
        <v>456</v>
      </c>
      <c r="B435" s="286" t="str">
        <f>TechData_R0!B231</f>
        <v>MINCWWSMS2</v>
      </c>
      <c r="C435" s="286"/>
      <c r="D435" s="286"/>
      <c r="E435" s="278" t="s">
        <v>32</v>
      </c>
      <c r="F435" s="278"/>
      <c r="G435" s="278" t="s">
        <v>269</v>
      </c>
      <c r="H435" s="287">
        <f>1-TechData_R0!J231+1</f>
        <v>0.95</v>
      </c>
      <c r="I435" s="287">
        <f t="shared" ref="I435:Q435" si="421">H435</f>
        <v>0.95</v>
      </c>
      <c r="J435" s="287">
        <f t="shared" si="421"/>
        <v>0.95</v>
      </c>
      <c r="K435" s="287">
        <f t="shared" si="421"/>
        <v>0.95</v>
      </c>
      <c r="L435" s="287">
        <f t="shared" si="421"/>
        <v>0.95</v>
      </c>
      <c r="M435" s="287">
        <f t="shared" si="421"/>
        <v>0.95</v>
      </c>
      <c r="N435" s="287">
        <f t="shared" si="421"/>
        <v>0.95</v>
      </c>
      <c r="O435" s="287">
        <f t="shared" si="421"/>
        <v>0.95</v>
      </c>
      <c r="P435" s="287">
        <f t="shared" si="421"/>
        <v>0.95</v>
      </c>
      <c r="Q435" s="287">
        <f t="shared" si="421"/>
        <v>0.95</v>
      </c>
      <c r="R435" s="278">
        <v>1</v>
      </c>
      <c r="S435" s="278"/>
      <c r="T435" s="288">
        <v>5</v>
      </c>
      <c r="U435" s="289"/>
    </row>
    <row r="436" spans="1:21" x14ac:dyDescent="0.2">
      <c r="A436" s="256" t="s">
        <v>457</v>
      </c>
      <c r="B436" s="286" t="str">
        <f>TechData_R0!B232</f>
        <v>MINCWWSMS3</v>
      </c>
      <c r="C436" s="286"/>
      <c r="D436" s="286"/>
      <c r="E436" s="278" t="s">
        <v>32</v>
      </c>
      <c r="F436" s="278"/>
      <c r="G436" s="278" t="s">
        <v>269</v>
      </c>
      <c r="H436" s="287">
        <f>1-TechData_R0!J232+1</f>
        <v>0.95</v>
      </c>
      <c r="I436" s="287">
        <f t="shared" ref="I436:Q436" si="422">H436</f>
        <v>0.95</v>
      </c>
      <c r="J436" s="287">
        <f t="shared" si="422"/>
        <v>0.95</v>
      </c>
      <c r="K436" s="287">
        <f t="shared" si="422"/>
        <v>0.95</v>
      </c>
      <c r="L436" s="287">
        <f t="shared" si="422"/>
        <v>0.95</v>
      </c>
      <c r="M436" s="287">
        <f t="shared" si="422"/>
        <v>0.95</v>
      </c>
      <c r="N436" s="287">
        <f t="shared" si="422"/>
        <v>0.95</v>
      </c>
      <c r="O436" s="287">
        <f t="shared" si="422"/>
        <v>0.95</v>
      </c>
      <c r="P436" s="287">
        <f t="shared" si="422"/>
        <v>0.95</v>
      </c>
      <c r="Q436" s="287">
        <f t="shared" si="422"/>
        <v>0.95</v>
      </c>
      <c r="R436" s="278">
        <v>1</v>
      </c>
      <c r="S436" s="278"/>
      <c r="T436" s="288">
        <v>5</v>
      </c>
      <c r="U436" s="289"/>
    </row>
    <row r="437" spans="1:21" x14ac:dyDescent="0.2">
      <c r="A437" s="256" t="s">
        <v>458</v>
      </c>
      <c r="B437" s="286" t="str">
        <f>TechData_R0!B233</f>
        <v>MINCWWSMS4</v>
      </c>
      <c r="C437" s="286"/>
      <c r="D437" s="286"/>
      <c r="E437" s="278" t="s">
        <v>32</v>
      </c>
      <c r="F437" s="278"/>
      <c r="G437" s="278" t="s">
        <v>269</v>
      </c>
      <c r="H437" s="287">
        <f>1-TechData_R0!J233+1</f>
        <v>0.95</v>
      </c>
      <c r="I437" s="287">
        <f t="shared" ref="I437:Q437" si="423">H437</f>
        <v>0.95</v>
      </c>
      <c r="J437" s="287">
        <f t="shared" si="423"/>
        <v>0.95</v>
      </c>
      <c r="K437" s="287">
        <f t="shared" si="423"/>
        <v>0.95</v>
      </c>
      <c r="L437" s="287">
        <f t="shared" si="423"/>
        <v>0.95</v>
      </c>
      <c r="M437" s="287">
        <f t="shared" si="423"/>
        <v>0.95</v>
      </c>
      <c r="N437" s="287">
        <f t="shared" si="423"/>
        <v>0.95</v>
      </c>
      <c r="O437" s="287">
        <f t="shared" si="423"/>
        <v>0.95</v>
      </c>
      <c r="P437" s="287">
        <f t="shared" si="423"/>
        <v>0.95</v>
      </c>
      <c r="Q437" s="287">
        <f t="shared" si="423"/>
        <v>0.95</v>
      </c>
      <c r="R437" s="278">
        <v>1</v>
      </c>
      <c r="S437" s="278"/>
      <c r="T437" s="288">
        <v>5</v>
      </c>
      <c r="U437" s="289"/>
    </row>
    <row r="438" spans="1:21" x14ac:dyDescent="0.2">
      <c r="A438" s="256" t="s">
        <v>459</v>
      </c>
      <c r="B438" s="286" t="str">
        <f>TechData_R0!B234</f>
        <v>MINCWWSMS5</v>
      </c>
      <c r="C438" s="286"/>
      <c r="D438" s="286"/>
      <c r="E438" s="278" t="s">
        <v>32</v>
      </c>
      <c r="F438" s="278"/>
      <c r="G438" s="278" t="s">
        <v>269</v>
      </c>
      <c r="H438" s="287">
        <f>1-TechData_R0!J234+1</f>
        <v>0.95</v>
      </c>
      <c r="I438" s="287">
        <f t="shared" ref="I438:Q438" si="424">H438</f>
        <v>0.95</v>
      </c>
      <c r="J438" s="287">
        <f t="shared" si="424"/>
        <v>0.95</v>
      </c>
      <c r="K438" s="287">
        <f t="shared" si="424"/>
        <v>0.95</v>
      </c>
      <c r="L438" s="287">
        <f t="shared" si="424"/>
        <v>0.95</v>
      </c>
      <c r="M438" s="287">
        <f t="shared" si="424"/>
        <v>0.95</v>
      </c>
      <c r="N438" s="287">
        <f t="shared" si="424"/>
        <v>0.95</v>
      </c>
      <c r="O438" s="287">
        <f t="shared" si="424"/>
        <v>0.95</v>
      </c>
      <c r="P438" s="287">
        <f t="shared" si="424"/>
        <v>0.95</v>
      </c>
      <c r="Q438" s="287">
        <f t="shared" si="424"/>
        <v>0.95</v>
      </c>
      <c r="R438" s="278">
        <v>1</v>
      </c>
      <c r="S438" s="278"/>
      <c r="T438" s="288">
        <v>5</v>
      </c>
      <c r="U438" s="289"/>
    </row>
    <row r="439" spans="1:21" x14ac:dyDescent="0.2">
      <c r="A439" s="256" t="s">
        <v>460</v>
      </c>
      <c r="B439" s="286" t="str">
        <f>TechData_R0!B235</f>
        <v>MINCWWSMS6</v>
      </c>
      <c r="C439" s="286"/>
      <c r="D439" s="286"/>
      <c r="E439" s="278" t="s">
        <v>32</v>
      </c>
      <c r="F439" s="278"/>
      <c r="G439" s="278" t="s">
        <v>269</v>
      </c>
      <c r="H439" s="287">
        <f>1-TechData_R0!J235+1</f>
        <v>0.95</v>
      </c>
      <c r="I439" s="287">
        <f t="shared" ref="I439:Q439" si="425">H439</f>
        <v>0.95</v>
      </c>
      <c r="J439" s="287">
        <f t="shared" si="425"/>
        <v>0.95</v>
      </c>
      <c r="K439" s="287">
        <f t="shared" si="425"/>
        <v>0.95</v>
      </c>
      <c r="L439" s="287">
        <f t="shared" si="425"/>
        <v>0.95</v>
      </c>
      <c r="M439" s="287">
        <f t="shared" si="425"/>
        <v>0.95</v>
      </c>
      <c r="N439" s="287">
        <f t="shared" si="425"/>
        <v>0.95</v>
      </c>
      <c r="O439" s="287">
        <f t="shared" si="425"/>
        <v>0.95</v>
      </c>
      <c r="P439" s="287">
        <f t="shared" si="425"/>
        <v>0.95</v>
      </c>
      <c r="Q439" s="287">
        <f t="shared" si="425"/>
        <v>0.95</v>
      </c>
      <c r="R439" s="278">
        <v>1</v>
      </c>
      <c r="S439" s="278"/>
      <c r="T439" s="288">
        <v>5</v>
      </c>
      <c r="U439" s="289"/>
    </row>
    <row r="440" spans="1:21" x14ac:dyDescent="0.2">
      <c r="A440" s="256" t="s">
        <v>461</v>
      </c>
      <c r="B440" s="286" t="str">
        <f>TechData_R0!B237</f>
        <v>MINCRMPLU1</v>
      </c>
      <c r="C440" s="286"/>
      <c r="D440" s="286"/>
      <c r="E440" s="278" t="s">
        <v>32</v>
      </c>
      <c r="F440" s="278"/>
      <c r="G440" s="278" t="s">
        <v>269</v>
      </c>
      <c r="H440" s="287">
        <f>1-TechData_R0!J237+1</f>
        <v>0.95</v>
      </c>
      <c r="I440" s="287">
        <f t="shared" ref="I440:Q440" si="426">H440</f>
        <v>0.95</v>
      </c>
      <c r="J440" s="287">
        <f t="shared" si="426"/>
        <v>0.95</v>
      </c>
      <c r="K440" s="287">
        <f t="shared" si="426"/>
        <v>0.95</v>
      </c>
      <c r="L440" s="287">
        <f t="shared" si="426"/>
        <v>0.95</v>
      </c>
      <c r="M440" s="287">
        <f t="shared" si="426"/>
        <v>0.95</v>
      </c>
      <c r="N440" s="287">
        <f t="shared" si="426"/>
        <v>0.95</v>
      </c>
      <c r="O440" s="287">
        <f t="shared" si="426"/>
        <v>0.95</v>
      </c>
      <c r="P440" s="287">
        <f t="shared" si="426"/>
        <v>0.95</v>
      </c>
      <c r="Q440" s="287">
        <f t="shared" si="426"/>
        <v>0.95</v>
      </c>
      <c r="R440" s="278">
        <v>1</v>
      </c>
      <c r="S440" s="278"/>
      <c r="T440" s="288">
        <v>5</v>
      </c>
      <c r="U440" s="289"/>
    </row>
    <row r="441" spans="1:21" x14ac:dyDescent="0.2">
      <c r="A441" s="256" t="s">
        <v>462</v>
      </c>
      <c r="B441" s="286" t="str">
        <f>TechData_R0!B238</f>
        <v>MINCRMPLU2</v>
      </c>
      <c r="C441" s="286"/>
      <c r="D441" s="286"/>
      <c r="E441" s="278" t="s">
        <v>32</v>
      </c>
      <c r="F441" s="278"/>
      <c r="G441" s="278" t="s">
        <v>269</v>
      </c>
      <c r="H441" s="287">
        <f>1-TechData_R0!J238+1</f>
        <v>0.95</v>
      </c>
      <c r="I441" s="287">
        <f t="shared" ref="I441:Q441" si="427">H441</f>
        <v>0.95</v>
      </c>
      <c r="J441" s="287">
        <f t="shared" si="427"/>
        <v>0.95</v>
      </c>
      <c r="K441" s="287">
        <f t="shared" si="427"/>
        <v>0.95</v>
      </c>
      <c r="L441" s="287">
        <f t="shared" si="427"/>
        <v>0.95</v>
      </c>
      <c r="M441" s="287">
        <f t="shared" si="427"/>
        <v>0.95</v>
      </c>
      <c r="N441" s="287">
        <f t="shared" si="427"/>
        <v>0.95</v>
      </c>
      <c r="O441" s="287">
        <f t="shared" si="427"/>
        <v>0.95</v>
      </c>
      <c r="P441" s="287">
        <f t="shared" si="427"/>
        <v>0.95</v>
      </c>
      <c r="Q441" s="287">
        <f t="shared" si="427"/>
        <v>0.95</v>
      </c>
      <c r="R441" s="278">
        <v>1</v>
      </c>
      <c r="S441" s="278"/>
      <c r="T441" s="288">
        <v>5</v>
      </c>
      <c r="U441" s="289"/>
    </row>
    <row r="442" spans="1:21" x14ac:dyDescent="0.2">
      <c r="A442" s="256" t="s">
        <v>463</v>
      </c>
      <c r="B442" s="286" t="str">
        <f>TechData_R0!B239</f>
        <v>MINCRMPLU3</v>
      </c>
      <c r="C442" s="286"/>
      <c r="D442" s="286"/>
      <c r="E442" s="278" t="s">
        <v>32</v>
      </c>
      <c r="F442" s="278"/>
      <c r="G442" s="278" t="s">
        <v>269</v>
      </c>
      <c r="H442" s="287">
        <f>1-TechData_R0!J239+1</f>
        <v>0.95</v>
      </c>
      <c r="I442" s="287">
        <f t="shared" ref="I442:Q442" si="428">H442</f>
        <v>0.95</v>
      </c>
      <c r="J442" s="287">
        <f t="shared" si="428"/>
        <v>0.95</v>
      </c>
      <c r="K442" s="287">
        <f t="shared" si="428"/>
        <v>0.95</v>
      </c>
      <c r="L442" s="287">
        <f t="shared" si="428"/>
        <v>0.95</v>
      </c>
      <c r="M442" s="287">
        <f t="shared" si="428"/>
        <v>0.95</v>
      </c>
      <c r="N442" s="287">
        <f t="shared" si="428"/>
        <v>0.95</v>
      </c>
      <c r="O442" s="287">
        <f t="shared" si="428"/>
        <v>0.95</v>
      </c>
      <c r="P442" s="287">
        <f t="shared" si="428"/>
        <v>0.95</v>
      </c>
      <c r="Q442" s="287">
        <f t="shared" si="428"/>
        <v>0.95</v>
      </c>
      <c r="R442" s="278">
        <v>1</v>
      </c>
      <c r="S442" s="278"/>
      <c r="T442" s="288">
        <v>5</v>
      </c>
      <c r="U442" s="289"/>
    </row>
    <row r="443" spans="1:21" x14ac:dyDescent="0.2">
      <c r="A443" s="256" t="s">
        <v>464</v>
      </c>
      <c r="B443" s="286" t="str">
        <f>TechData_R0!B240</f>
        <v>MINCRMPLU4</v>
      </c>
      <c r="C443" s="286"/>
      <c r="D443" s="286"/>
      <c r="E443" s="278" t="s">
        <v>32</v>
      </c>
      <c r="F443" s="278"/>
      <c r="G443" s="278" t="s">
        <v>269</v>
      </c>
      <c r="H443" s="287">
        <f>1-TechData_R0!J240+1</f>
        <v>0.95</v>
      </c>
      <c r="I443" s="287">
        <f t="shared" ref="I443:Q443" si="429">H443</f>
        <v>0.95</v>
      </c>
      <c r="J443" s="287">
        <f t="shared" si="429"/>
        <v>0.95</v>
      </c>
      <c r="K443" s="287">
        <f t="shared" si="429"/>
        <v>0.95</v>
      </c>
      <c r="L443" s="287">
        <f t="shared" si="429"/>
        <v>0.95</v>
      </c>
      <c r="M443" s="287">
        <f t="shared" si="429"/>
        <v>0.95</v>
      </c>
      <c r="N443" s="287">
        <f t="shared" si="429"/>
        <v>0.95</v>
      </c>
      <c r="O443" s="287">
        <f t="shared" si="429"/>
        <v>0.95</v>
      </c>
      <c r="P443" s="287">
        <f t="shared" si="429"/>
        <v>0.95</v>
      </c>
      <c r="Q443" s="287">
        <f t="shared" si="429"/>
        <v>0.95</v>
      </c>
      <c r="R443" s="278">
        <v>1</v>
      </c>
      <c r="S443" s="278"/>
      <c r="T443" s="288">
        <v>5</v>
      </c>
      <c r="U443" s="289"/>
    </row>
    <row r="444" spans="1:21" x14ac:dyDescent="0.2">
      <c r="A444" s="256" t="s">
        <v>465</v>
      </c>
      <c r="B444" s="286" t="str">
        <f>TechData_R0!B241</f>
        <v>MINCRMPLU5</v>
      </c>
      <c r="C444" s="286"/>
      <c r="D444" s="286"/>
      <c r="E444" s="278" t="s">
        <v>32</v>
      </c>
      <c r="F444" s="278"/>
      <c r="G444" s="278" t="s">
        <v>269</v>
      </c>
      <c r="H444" s="287">
        <f>1-TechData_R0!J241+1</f>
        <v>0.95</v>
      </c>
      <c r="I444" s="287">
        <f t="shared" ref="I444:Q444" si="430">H444</f>
        <v>0.95</v>
      </c>
      <c r="J444" s="287">
        <f t="shared" si="430"/>
        <v>0.95</v>
      </c>
      <c r="K444" s="287">
        <f t="shared" si="430"/>
        <v>0.95</v>
      </c>
      <c r="L444" s="287">
        <f t="shared" si="430"/>
        <v>0.95</v>
      </c>
      <c r="M444" s="287">
        <f t="shared" si="430"/>
        <v>0.95</v>
      </c>
      <c r="N444" s="287">
        <f t="shared" si="430"/>
        <v>0.95</v>
      </c>
      <c r="O444" s="287">
        <f t="shared" si="430"/>
        <v>0.95</v>
      </c>
      <c r="P444" s="287">
        <f t="shared" si="430"/>
        <v>0.95</v>
      </c>
      <c r="Q444" s="287">
        <f t="shared" si="430"/>
        <v>0.95</v>
      </c>
      <c r="R444" s="278">
        <v>1</v>
      </c>
      <c r="S444" s="278"/>
      <c r="T444" s="288">
        <v>5</v>
      </c>
      <c r="U444" s="289"/>
    </row>
    <row r="445" spans="1:21" x14ac:dyDescent="0.2">
      <c r="A445" s="256" t="s">
        <v>466</v>
      </c>
      <c r="B445" s="286" t="str">
        <f>TechData_R0!B242</f>
        <v>MINCRMPLU6</v>
      </c>
      <c r="C445" s="286"/>
      <c r="D445" s="286"/>
      <c r="E445" s="278" t="s">
        <v>32</v>
      </c>
      <c r="F445" s="278"/>
      <c r="G445" s="278" t="s">
        <v>269</v>
      </c>
      <c r="H445" s="287">
        <f>1-TechData_R0!J242+1</f>
        <v>0.95</v>
      </c>
      <c r="I445" s="287">
        <f t="shared" ref="I445:Q445" si="431">H445</f>
        <v>0.95</v>
      </c>
      <c r="J445" s="287">
        <f t="shared" si="431"/>
        <v>0.95</v>
      </c>
      <c r="K445" s="287">
        <f t="shared" si="431"/>
        <v>0.95</v>
      </c>
      <c r="L445" s="287">
        <f t="shared" si="431"/>
        <v>0.95</v>
      </c>
      <c r="M445" s="287">
        <f t="shared" si="431"/>
        <v>0.95</v>
      </c>
      <c r="N445" s="287">
        <f t="shared" si="431"/>
        <v>0.95</v>
      </c>
      <c r="O445" s="287">
        <f t="shared" si="431"/>
        <v>0.95</v>
      </c>
      <c r="P445" s="287">
        <f t="shared" si="431"/>
        <v>0.95</v>
      </c>
      <c r="Q445" s="287">
        <f t="shared" si="431"/>
        <v>0.95</v>
      </c>
      <c r="R445" s="278">
        <v>1</v>
      </c>
      <c r="S445" s="278"/>
      <c r="T445" s="288">
        <v>5</v>
      </c>
      <c r="U445" s="289"/>
    </row>
    <row r="446" spans="1:21" x14ac:dyDescent="0.2">
      <c r="A446" s="256" t="s">
        <v>467</v>
      </c>
      <c r="B446" s="286" t="str">
        <f>TechData_R0!B244</f>
        <v>MINCRMBLU1</v>
      </c>
      <c r="C446" s="286"/>
      <c r="D446" s="286"/>
      <c r="E446" s="278" t="s">
        <v>32</v>
      </c>
      <c r="F446" s="278"/>
      <c r="G446" s="278" t="s">
        <v>269</v>
      </c>
      <c r="H446" s="287">
        <f>1-TechData_R0!J244+1</f>
        <v>0.95</v>
      </c>
      <c r="I446" s="287">
        <f t="shared" ref="I446:Q446" si="432">H446</f>
        <v>0.95</v>
      </c>
      <c r="J446" s="287">
        <f t="shared" si="432"/>
        <v>0.95</v>
      </c>
      <c r="K446" s="287">
        <f t="shared" si="432"/>
        <v>0.95</v>
      </c>
      <c r="L446" s="287">
        <f t="shared" si="432"/>
        <v>0.95</v>
      </c>
      <c r="M446" s="287">
        <f t="shared" si="432"/>
        <v>0.95</v>
      </c>
      <c r="N446" s="287">
        <f t="shared" si="432"/>
        <v>0.95</v>
      </c>
      <c r="O446" s="287">
        <f t="shared" si="432"/>
        <v>0.95</v>
      </c>
      <c r="P446" s="287">
        <f t="shared" si="432"/>
        <v>0.95</v>
      </c>
      <c r="Q446" s="287">
        <f t="shared" si="432"/>
        <v>0.95</v>
      </c>
      <c r="R446" s="278">
        <v>1</v>
      </c>
      <c r="S446" s="278"/>
      <c r="T446" s="288">
        <v>5</v>
      </c>
      <c r="U446" s="289"/>
    </row>
    <row r="447" spans="1:21" x14ac:dyDescent="0.2">
      <c r="A447" s="256" t="s">
        <v>468</v>
      </c>
      <c r="B447" s="286" t="str">
        <f>TechData_R0!B245</f>
        <v>MINCRMBLU2</v>
      </c>
      <c r="C447" s="286"/>
      <c r="D447" s="286"/>
      <c r="E447" s="278" t="s">
        <v>32</v>
      </c>
      <c r="F447" s="278"/>
      <c r="G447" s="278" t="s">
        <v>269</v>
      </c>
      <c r="H447" s="287">
        <f>1-TechData_R0!J245+1</f>
        <v>0.95</v>
      </c>
      <c r="I447" s="287">
        <f t="shared" ref="I447:Q447" si="433">H447</f>
        <v>0.95</v>
      </c>
      <c r="J447" s="287">
        <f t="shared" si="433"/>
        <v>0.95</v>
      </c>
      <c r="K447" s="287">
        <f t="shared" si="433"/>
        <v>0.95</v>
      </c>
      <c r="L447" s="287">
        <f t="shared" si="433"/>
        <v>0.95</v>
      </c>
      <c r="M447" s="287">
        <f t="shared" si="433"/>
        <v>0.95</v>
      </c>
      <c r="N447" s="287">
        <f t="shared" si="433"/>
        <v>0.95</v>
      </c>
      <c r="O447" s="287">
        <f t="shared" si="433"/>
        <v>0.95</v>
      </c>
      <c r="P447" s="287">
        <f t="shared" si="433"/>
        <v>0.95</v>
      </c>
      <c r="Q447" s="287">
        <f t="shared" si="433"/>
        <v>0.95</v>
      </c>
      <c r="R447" s="278">
        <v>1</v>
      </c>
      <c r="S447" s="278"/>
      <c r="T447" s="288">
        <v>5</v>
      </c>
      <c r="U447" s="289"/>
    </row>
    <row r="448" spans="1:21" x14ac:dyDescent="0.2">
      <c r="A448" s="256" t="s">
        <v>469</v>
      </c>
      <c r="B448" s="286" t="str">
        <f>TechData_R0!B246</f>
        <v>MINCRMBLU3</v>
      </c>
      <c r="C448" s="286"/>
      <c r="D448" s="286"/>
      <c r="E448" s="278" t="s">
        <v>32</v>
      </c>
      <c r="F448" s="278"/>
      <c r="G448" s="278" t="s">
        <v>269</v>
      </c>
      <c r="H448" s="287">
        <f>1-TechData_R0!J246+1</f>
        <v>0.95</v>
      </c>
      <c r="I448" s="287">
        <f t="shared" ref="I448:Q448" si="434">H448</f>
        <v>0.95</v>
      </c>
      <c r="J448" s="287">
        <f t="shared" si="434"/>
        <v>0.95</v>
      </c>
      <c r="K448" s="287">
        <f t="shared" si="434"/>
        <v>0.95</v>
      </c>
      <c r="L448" s="287">
        <f t="shared" si="434"/>
        <v>0.95</v>
      </c>
      <c r="M448" s="287">
        <f t="shared" si="434"/>
        <v>0.95</v>
      </c>
      <c r="N448" s="287">
        <f t="shared" si="434"/>
        <v>0.95</v>
      </c>
      <c r="O448" s="287">
        <f t="shared" si="434"/>
        <v>0.95</v>
      </c>
      <c r="P448" s="287">
        <f t="shared" si="434"/>
        <v>0.95</v>
      </c>
      <c r="Q448" s="287">
        <f t="shared" si="434"/>
        <v>0.95</v>
      </c>
      <c r="R448" s="278">
        <v>1</v>
      </c>
      <c r="S448" s="278"/>
      <c r="T448" s="288">
        <v>5</v>
      </c>
      <c r="U448" s="289"/>
    </row>
    <row r="449" spans="1:21" x14ac:dyDescent="0.2">
      <c r="A449" s="256" t="s">
        <v>470</v>
      </c>
      <c r="B449" s="286" t="str">
        <f>TechData_R0!B247</f>
        <v>MINCRMBLU4</v>
      </c>
      <c r="C449" s="286"/>
      <c r="D449" s="286"/>
      <c r="E449" s="278" t="s">
        <v>32</v>
      </c>
      <c r="F449" s="278"/>
      <c r="G449" s="278" t="s">
        <v>269</v>
      </c>
      <c r="H449" s="287">
        <f>1-TechData_R0!J247+1</f>
        <v>0.95</v>
      </c>
      <c r="I449" s="287">
        <f t="shared" ref="I449:Q449" si="435">H449</f>
        <v>0.95</v>
      </c>
      <c r="J449" s="287">
        <f t="shared" si="435"/>
        <v>0.95</v>
      </c>
      <c r="K449" s="287">
        <f t="shared" si="435"/>
        <v>0.95</v>
      </c>
      <c r="L449" s="287">
        <f t="shared" si="435"/>
        <v>0.95</v>
      </c>
      <c r="M449" s="287">
        <f t="shared" si="435"/>
        <v>0.95</v>
      </c>
      <c r="N449" s="287">
        <f t="shared" si="435"/>
        <v>0.95</v>
      </c>
      <c r="O449" s="287">
        <f t="shared" si="435"/>
        <v>0.95</v>
      </c>
      <c r="P449" s="287">
        <f t="shared" si="435"/>
        <v>0.95</v>
      </c>
      <c r="Q449" s="287">
        <f t="shared" si="435"/>
        <v>0.95</v>
      </c>
      <c r="R449" s="278">
        <v>1</v>
      </c>
      <c r="S449" s="278"/>
      <c r="T449" s="288">
        <v>5</v>
      </c>
      <c r="U449" s="289"/>
    </row>
    <row r="450" spans="1:21" x14ac:dyDescent="0.2">
      <c r="A450" s="256" t="s">
        <v>471</v>
      </c>
      <c r="B450" s="286" t="str">
        <f>TechData_R0!B248</f>
        <v>MINCRMBLU5</v>
      </c>
      <c r="C450" s="286"/>
      <c r="D450" s="286"/>
      <c r="E450" s="278" t="s">
        <v>32</v>
      </c>
      <c r="F450" s="278"/>
      <c r="G450" s="278" t="s">
        <v>269</v>
      </c>
      <c r="H450" s="287">
        <f>1-TechData_R0!J248+1</f>
        <v>0.95</v>
      </c>
      <c r="I450" s="287">
        <f t="shared" ref="I450:Q450" si="436">H450</f>
        <v>0.95</v>
      </c>
      <c r="J450" s="287">
        <f t="shared" si="436"/>
        <v>0.95</v>
      </c>
      <c r="K450" s="287">
        <f t="shared" si="436"/>
        <v>0.95</v>
      </c>
      <c r="L450" s="287">
        <f t="shared" si="436"/>
        <v>0.95</v>
      </c>
      <c r="M450" s="287">
        <f t="shared" si="436"/>
        <v>0.95</v>
      </c>
      <c r="N450" s="287">
        <f t="shared" si="436"/>
        <v>0.95</v>
      </c>
      <c r="O450" s="287">
        <f t="shared" si="436"/>
        <v>0.95</v>
      </c>
      <c r="P450" s="287">
        <f t="shared" si="436"/>
        <v>0.95</v>
      </c>
      <c r="Q450" s="287">
        <f t="shared" si="436"/>
        <v>0.95</v>
      </c>
      <c r="R450" s="278">
        <v>1</v>
      </c>
      <c r="S450" s="278"/>
      <c r="T450" s="288">
        <v>5</v>
      </c>
      <c r="U450" s="289"/>
    </row>
    <row r="451" spans="1:21" x14ac:dyDescent="0.2">
      <c r="A451" s="256" t="s">
        <v>472</v>
      </c>
      <c r="B451" s="286" t="str">
        <f>TechData_R0!B249</f>
        <v>MINCRMBLU6</v>
      </c>
      <c r="C451" s="286"/>
      <c r="D451" s="286"/>
      <c r="E451" s="278" t="s">
        <v>32</v>
      </c>
      <c r="F451" s="278"/>
      <c r="G451" s="278" t="s">
        <v>269</v>
      </c>
      <c r="H451" s="287">
        <f>1-TechData_R0!J249+1</f>
        <v>0.95</v>
      </c>
      <c r="I451" s="287">
        <f t="shared" ref="I451:Q451" si="437">H451</f>
        <v>0.95</v>
      </c>
      <c r="J451" s="287">
        <f t="shared" si="437"/>
        <v>0.95</v>
      </c>
      <c r="K451" s="287">
        <f t="shared" si="437"/>
        <v>0.95</v>
      </c>
      <c r="L451" s="287">
        <f t="shared" si="437"/>
        <v>0.95</v>
      </c>
      <c r="M451" s="287">
        <f t="shared" si="437"/>
        <v>0.95</v>
      </c>
      <c r="N451" s="287">
        <f t="shared" si="437"/>
        <v>0.95</v>
      </c>
      <c r="O451" s="287">
        <f t="shared" si="437"/>
        <v>0.95</v>
      </c>
      <c r="P451" s="287">
        <f t="shared" si="437"/>
        <v>0.95</v>
      </c>
      <c r="Q451" s="287">
        <f t="shared" si="437"/>
        <v>0.95</v>
      </c>
      <c r="R451" s="278">
        <v>1</v>
      </c>
      <c r="S451" s="278"/>
      <c r="T451" s="288">
        <v>5</v>
      </c>
      <c r="U451" s="289"/>
    </row>
    <row r="452" spans="1:21" x14ac:dyDescent="0.2">
      <c r="A452" s="256" t="s">
        <v>473</v>
      </c>
      <c r="B452" s="286" t="str">
        <f>TechData_R0!B251</f>
        <v>MINCRMSLS1</v>
      </c>
      <c r="C452" s="286"/>
      <c r="D452" s="286"/>
      <c r="E452" s="278" t="s">
        <v>32</v>
      </c>
      <c r="F452" s="278"/>
      <c r="G452" s="278" t="s">
        <v>269</v>
      </c>
      <c r="H452" s="287">
        <f>1-TechData_R0!J251+1</f>
        <v>0.95</v>
      </c>
      <c r="I452" s="287">
        <f t="shared" ref="I452:Q452" si="438">H452</f>
        <v>0.95</v>
      </c>
      <c r="J452" s="287">
        <f t="shared" si="438"/>
        <v>0.95</v>
      </c>
      <c r="K452" s="287">
        <f t="shared" si="438"/>
        <v>0.95</v>
      </c>
      <c r="L452" s="287">
        <f t="shared" si="438"/>
        <v>0.95</v>
      </c>
      <c r="M452" s="287">
        <f t="shared" si="438"/>
        <v>0.95</v>
      </c>
      <c r="N452" s="287">
        <f t="shared" si="438"/>
        <v>0.95</v>
      </c>
      <c r="O452" s="287">
        <f t="shared" si="438"/>
        <v>0.95</v>
      </c>
      <c r="P452" s="287">
        <f t="shared" si="438"/>
        <v>0.95</v>
      </c>
      <c r="Q452" s="287">
        <f t="shared" si="438"/>
        <v>0.95</v>
      </c>
      <c r="R452" s="278">
        <v>1</v>
      </c>
      <c r="S452" s="278"/>
      <c r="T452" s="288">
        <v>5</v>
      </c>
      <c r="U452" s="289"/>
    </row>
    <row r="453" spans="1:21" x14ac:dyDescent="0.2">
      <c r="A453" s="256" t="s">
        <v>474</v>
      </c>
      <c r="B453" s="286" t="str">
        <f>TechData_R0!B252</f>
        <v>MINCRMSLS2</v>
      </c>
      <c r="C453" s="286"/>
      <c r="D453" s="286"/>
      <c r="E453" s="278" t="s">
        <v>32</v>
      </c>
      <c r="F453" s="278"/>
      <c r="G453" s="278" t="s">
        <v>269</v>
      </c>
      <c r="H453" s="287">
        <f>1-TechData_R0!J252+1</f>
        <v>0.95</v>
      </c>
      <c r="I453" s="287">
        <f t="shared" ref="I453:Q453" si="439">H453</f>
        <v>0.95</v>
      </c>
      <c r="J453" s="287">
        <f t="shared" si="439"/>
        <v>0.95</v>
      </c>
      <c r="K453" s="287">
        <f t="shared" si="439"/>
        <v>0.95</v>
      </c>
      <c r="L453" s="287">
        <f t="shared" si="439"/>
        <v>0.95</v>
      </c>
      <c r="M453" s="287">
        <f t="shared" si="439"/>
        <v>0.95</v>
      </c>
      <c r="N453" s="287">
        <f t="shared" si="439"/>
        <v>0.95</v>
      </c>
      <c r="O453" s="287">
        <f t="shared" si="439"/>
        <v>0.95</v>
      </c>
      <c r="P453" s="287">
        <f t="shared" si="439"/>
        <v>0.95</v>
      </c>
      <c r="Q453" s="287">
        <f t="shared" si="439"/>
        <v>0.95</v>
      </c>
      <c r="R453" s="278">
        <v>1</v>
      </c>
      <c r="S453" s="278"/>
      <c r="T453" s="288">
        <v>5</v>
      </c>
      <c r="U453" s="289"/>
    </row>
    <row r="454" spans="1:21" x14ac:dyDescent="0.2">
      <c r="A454" s="256" t="s">
        <v>475</v>
      </c>
      <c r="B454" s="286" t="str">
        <f>TechData_R0!B253</f>
        <v>MINCRMSLS3</v>
      </c>
      <c r="C454" s="286"/>
      <c r="D454" s="286"/>
      <c r="E454" s="278" t="s">
        <v>32</v>
      </c>
      <c r="F454" s="278"/>
      <c r="G454" s="278" t="s">
        <v>269</v>
      </c>
      <c r="H454" s="287">
        <f>1-TechData_R0!J253+1</f>
        <v>0.95</v>
      </c>
      <c r="I454" s="287">
        <f t="shared" ref="I454:Q454" si="440">H454</f>
        <v>0.95</v>
      </c>
      <c r="J454" s="287">
        <f t="shared" si="440"/>
        <v>0.95</v>
      </c>
      <c r="K454" s="287">
        <f t="shared" si="440"/>
        <v>0.95</v>
      </c>
      <c r="L454" s="287">
        <f t="shared" si="440"/>
        <v>0.95</v>
      </c>
      <c r="M454" s="287">
        <f t="shared" si="440"/>
        <v>0.95</v>
      </c>
      <c r="N454" s="287">
        <f t="shared" si="440"/>
        <v>0.95</v>
      </c>
      <c r="O454" s="287">
        <f t="shared" si="440"/>
        <v>0.95</v>
      </c>
      <c r="P454" s="287">
        <f t="shared" si="440"/>
        <v>0.95</v>
      </c>
      <c r="Q454" s="287">
        <f t="shared" si="440"/>
        <v>0.95</v>
      </c>
      <c r="R454" s="278">
        <v>1</v>
      </c>
      <c r="S454" s="278"/>
      <c r="T454" s="288">
        <v>5</v>
      </c>
      <c r="U454" s="289"/>
    </row>
    <row r="455" spans="1:21" x14ac:dyDescent="0.2">
      <c r="A455" s="256" t="s">
        <v>476</v>
      </c>
      <c r="B455" s="286" t="str">
        <f>TechData_R0!B254</f>
        <v>MINCRMSLS4</v>
      </c>
      <c r="C455" s="286"/>
      <c r="D455" s="286"/>
      <c r="E455" s="278" t="s">
        <v>32</v>
      </c>
      <c r="F455" s="278"/>
      <c r="G455" s="278" t="s">
        <v>269</v>
      </c>
      <c r="H455" s="287">
        <f>1-TechData_R0!J254+1</f>
        <v>0.95</v>
      </c>
      <c r="I455" s="287">
        <f t="shared" ref="I455:Q455" si="441">H455</f>
        <v>0.95</v>
      </c>
      <c r="J455" s="287">
        <f t="shared" si="441"/>
        <v>0.95</v>
      </c>
      <c r="K455" s="287">
        <f t="shared" si="441"/>
        <v>0.95</v>
      </c>
      <c r="L455" s="287">
        <f t="shared" si="441"/>
        <v>0.95</v>
      </c>
      <c r="M455" s="287">
        <f t="shared" si="441"/>
        <v>0.95</v>
      </c>
      <c r="N455" s="287">
        <f t="shared" si="441"/>
        <v>0.95</v>
      </c>
      <c r="O455" s="287">
        <f t="shared" si="441"/>
        <v>0.95</v>
      </c>
      <c r="P455" s="287">
        <f t="shared" si="441"/>
        <v>0.95</v>
      </c>
      <c r="Q455" s="287">
        <f t="shared" si="441"/>
        <v>0.95</v>
      </c>
      <c r="R455" s="278">
        <v>1</v>
      </c>
      <c r="S455" s="278"/>
      <c r="T455" s="288">
        <v>5</v>
      </c>
      <c r="U455" s="289"/>
    </row>
    <row r="456" spans="1:21" x14ac:dyDescent="0.2">
      <c r="A456" s="256" t="s">
        <v>477</v>
      </c>
      <c r="B456" s="286" t="str">
        <f>TechData_R0!B255</f>
        <v>MINCRMSLS5</v>
      </c>
      <c r="C456" s="286"/>
      <c r="D456" s="286"/>
      <c r="E456" s="278" t="s">
        <v>32</v>
      </c>
      <c r="F456" s="278"/>
      <c r="G456" s="278" t="s">
        <v>269</v>
      </c>
      <c r="H456" s="287">
        <f>1-TechData_R0!J255+1</f>
        <v>0.95</v>
      </c>
      <c r="I456" s="287">
        <f t="shared" ref="I456:Q456" si="442">H456</f>
        <v>0.95</v>
      </c>
      <c r="J456" s="287">
        <f t="shared" si="442"/>
        <v>0.95</v>
      </c>
      <c r="K456" s="287">
        <f t="shared" si="442"/>
        <v>0.95</v>
      </c>
      <c r="L456" s="287">
        <f t="shared" si="442"/>
        <v>0.95</v>
      </c>
      <c r="M456" s="287">
        <f t="shared" si="442"/>
        <v>0.95</v>
      </c>
      <c r="N456" s="287">
        <f t="shared" si="442"/>
        <v>0.95</v>
      </c>
      <c r="O456" s="287">
        <f t="shared" si="442"/>
        <v>0.95</v>
      </c>
      <c r="P456" s="287">
        <f t="shared" si="442"/>
        <v>0.95</v>
      </c>
      <c r="Q456" s="287">
        <f t="shared" si="442"/>
        <v>0.95</v>
      </c>
      <c r="R456" s="278">
        <v>1</v>
      </c>
      <c r="S456" s="278"/>
      <c r="T456" s="288">
        <v>5</v>
      </c>
      <c r="U456" s="289"/>
    </row>
    <row r="457" spans="1:21" x14ac:dyDescent="0.2">
      <c r="A457" s="256" t="s">
        <v>478</v>
      </c>
      <c r="B457" s="286" t="str">
        <f>TechData_R0!B256</f>
        <v>MINCRMSLS6</v>
      </c>
      <c r="C457" s="286"/>
      <c r="D457" s="286"/>
      <c r="E457" s="278" t="s">
        <v>32</v>
      </c>
      <c r="F457" s="278"/>
      <c r="G457" s="278" t="s">
        <v>269</v>
      </c>
      <c r="H457" s="287">
        <f>1-TechData_R0!J256+1</f>
        <v>0.95</v>
      </c>
      <c r="I457" s="287">
        <f t="shared" ref="I457:Q457" si="443">H457</f>
        <v>0.95</v>
      </c>
      <c r="J457" s="287">
        <f t="shared" si="443"/>
        <v>0.95</v>
      </c>
      <c r="K457" s="287">
        <f t="shared" si="443"/>
        <v>0.95</v>
      </c>
      <c r="L457" s="287">
        <f t="shared" si="443"/>
        <v>0.95</v>
      </c>
      <c r="M457" s="287">
        <f t="shared" si="443"/>
        <v>0.95</v>
      </c>
      <c r="N457" s="287">
        <f t="shared" si="443"/>
        <v>0.95</v>
      </c>
      <c r="O457" s="287">
        <f t="shared" si="443"/>
        <v>0.95</v>
      </c>
      <c r="P457" s="287">
        <f t="shared" si="443"/>
        <v>0.95</v>
      </c>
      <c r="Q457" s="287">
        <f t="shared" si="443"/>
        <v>0.95</v>
      </c>
      <c r="R457" s="278">
        <v>1</v>
      </c>
      <c r="S457" s="278"/>
      <c r="T457" s="288">
        <v>5</v>
      </c>
      <c r="U457" s="289"/>
    </row>
    <row r="458" spans="1:21" x14ac:dyDescent="0.2">
      <c r="A458" s="256" t="s">
        <v>479</v>
      </c>
      <c r="B458" s="286" t="str">
        <f>TechData_R0!B258</f>
        <v>MINCZNBLS1</v>
      </c>
      <c r="C458" s="286"/>
      <c r="D458" s="286"/>
      <c r="E458" s="278" t="s">
        <v>32</v>
      </c>
      <c r="F458" s="278"/>
      <c r="G458" s="278" t="s">
        <v>269</v>
      </c>
      <c r="H458" s="287">
        <f>1-TechData_R0!J258+1</f>
        <v>0.95</v>
      </c>
      <c r="I458" s="287">
        <f t="shared" ref="I458:Q458" si="444">H458</f>
        <v>0.95</v>
      </c>
      <c r="J458" s="287">
        <f t="shared" si="444"/>
        <v>0.95</v>
      </c>
      <c r="K458" s="287">
        <f t="shared" si="444"/>
        <v>0.95</v>
      </c>
      <c r="L458" s="287">
        <f t="shared" si="444"/>
        <v>0.95</v>
      </c>
      <c r="M458" s="287">
        <f t="shared" si="444"/>
        <v>0.95</v>
      </c>
      <c r="N458" s="287">
        <f t="shared" si="444"/>
        <v>0.95</v>
      </c>
      <c r="O458" s="287">
        <f t="shared" si="444"/>
        <v>0.95</v>
      </c>
      <c r="P458" s="287">
        <f t="shared" si="444"/>
        <v>0.95</v>
      </c>
      <c r="Q458" s="287">
        <f t="shared" si="444"/>
        <v>0.95</v>
      </c>
      <c r="R458" s="278">
        <v>1</v>
      </c>
      <c r="S458" s="278"/>
      <c r="T458" s="288">
        <v>5</v>
      </c>
      <c r="U458" s="289"/>
    </row>
    <row r="459" spans="1:21" x14ac:dyDescent="0.2">
      <c r="A459" s="256" t="s">
        <v>480</v>
      </c>
      <c r="B459" s="286" t="str">
        <f>TechData_R0!B259</f>
        <v>MINCZNBLS2</v>
      </c>
      <c r="C459" s="286"/>
      <c r="D459" s="286"/>
      <c r="E459" s="278" t="s">
        <v>32</v>
      </c>
      <c r="F459" s="278"/>
      <c r="G459" s="278" t="s">
        <v>269</v>
      </c>
      <c r="H459" s="287">
        <f>1-TechData_R0!J259+1</f>
        <v>0.95</v>
      </c>
      <c r="I459" s="287">
        <f t="shared" ref="I459:Q459" si="445">H459</f>
        <v>0.95</v>
      </c>
      <c r="J459" s="287">
        <f t="shared" si="445"/>
        <v>0.95</v>
      </c>
      <c r="K459" s="287">
        <f t="shared" si="445"/>
        <v>0.95</v>
      </c>
      <c r="L459" s="287">
        <f t="shared" si="445"/>
        <v>0.95</v>
      </c>
      <c r="M459" s="287">
        <f t="shared" si="445"/>
        <v>0.95</v>
      </c>
      <c r="N459" s="287">
        <f t="shared" si="445"/>
        <v>0.95</v>
      </c>
      <c r="O459" s="287">
        <f t="shared" si="445"/>
        <v>0.95</v>
      </c>
      <c r="P459" s="287">
        <f t="shared" si="445"/>
        <v>0.95</v>
      </c>
      <c r="Q459" s="287">
        <f t="shared" si="445"/>
        <v>0.95</v>
      </c>
      <c r="R459" s="278">
        <v>1</v>
      </c>
      <c r="S459" s="278"/>
      <c r="T459" s="288">
        <v>5</v>
      </c>
      <c r="U459" s="289"/>
    </row>
    <row r="460" spans="1:21" x14ac:dyDescent="0.2">
      <c r="A460" s="256" t="s">
        <v>481</v>
      </c>
      <c r="B460" s="286" t="str">
        <f>TechData_R0!B260</f>
        <v>MINCZNBLS3</v>
      </c>
      <c r="C460" s="286"/>
      <c r="D460" s="286"/>
      <c r="E460" s="278" t="s">
        <v>32</v>
      </c>
      <c r="F460" s="278"/>
      <c r="G460" s="278" t="s">
        <v>269</v>
      </c>
      <c r="H460" s="287">
        <f>1-TechData_R0!J260+1</f>
        <v>0.95</v>
      </c>
      <c r="I460" s="287">
        <f t="shared" ref="I460:Q460" si="446">H460</f>
        <v>0.95</v>
      </c>
      <c r="J460" s="287">
        <f t="shared" si="446"/>
        <v>0.95</v>
      </c>
      <c r="K460" s="287">
        <f t="shared" si="446"/>
        <v>0.95</v>
      </c>
      <c r="L460" s="287">
        <f t="shared" si="446"/>
        <v>0.95</v>
      </c>
      <c r="M460" s="287">
        <f t="shared" si="446"/>
        <v>0.95</v>
      </c>
      <c r="N460" s="287">
        <f t="shared" si="446"/>
        <v>0.95</v>
      </c>
      <c r="O460" s="287">
        <f t="shared" si="446"/>
        <v>0.95</v>
      </c>
      <c r="P460" s="287">
        <f t="shared" si="446"/>
        <v>0.95</v>
      </c>
      <c r="Q460" s="287">
        <f t="shared" si="446"/>
        <v>0.95</v>
      </c>
      <c r="R460" s="278">
        <v>1</v>
      </c>
      <c r="S460" s="278"/>
      <c r="T460" s="288">
        <v>5</v>
      </c>
      <c r="U460" s="289"/>
    </row>
    <row r="461" spans="1:21" x14ac:dyDescent="0.2">
      <c r="A461" s="256" t="s">
        <v>482</v>
      </c>
      <c r="B461" s="286" t="str">
        <f>TechData_R0!B261</f>
        <v>MINCZNBLS4</v>
      </c>
      <c r="C461" s="286"/>
      <c r="D461" s="286"/>
      <c r="E461" s="278" t="s">
        <v>32</v>
      </c>
      <c r="F461" s="278"/>
      <c r="G461" s="278" t="s">
        <v>269</v>
      </c>
      <c r="H461" s="287">
        <f>1-TechData_R0!J261+1</f>
        <v>0.95</v>
      </c>
      <c r="I461" s="287">
        <f t="shared" ref="I461:Q461" si="447">H461</f>
        <v>0.95</v>
      </c>
      <c r="J461" s="287">
        <f t="shared" si="447"/>
        <v>0.95</v>
      </c>
      <c r="K461" s="287">
        <f t="shared" si="447"/>
        <v>0.95</v>
      </c>
      <c r="L461" s="287">
        <f t="shared" si="447"/>
        <v>0.95</v>
      </c>
      <c r="M461" s="287">
        <f t="shared" si="447"/>
        <v>0.95</v>
      </c>
      <c r="N461" s="287">
        <f t="shared" si="447"/>
        <v>0.95</v>
      </c>
      <c r="O461" s="287">
        <f t="shared" si="447"/>
        <v>0.95</v>
      </c>
      <c r="P461" s="287">
        <f t="shared" si="447"/>
        <v>0.95</v>
      </c>
      <c r="Q461" s="287">
        <f t="shared" si="447"/>
        <v>0.95</v>
      </c>
      <c r="R461" s="278">
        <v>1</v>
      </c>
      <c r="S461" s="278"/>
      <c r="T461" s="288">
        <v>5</v>
      </c>
      <c r="U461" s="289"/>
    </row>
    <row r="462" spans="1:21" x14ac:dyDescent="0.2">
      <c r="A462" s="256" t="s">
        <v>483</v>
      </c>
      <c r="B462" s="286" t="str">
        <f>TechData_R0!B262</f>
        <v>MINCZNBLS5</v>
      </c>
      <c r="C462" s="286"/>
      <c r="D462" s="286"/>
      <c r="E462" s="278" t="s">
        <v>32</v>
      </c>
      <c r="F462" s="278"/>
      <c r="G462" s="278" t="s">
        <v>269</v>
      </c>
      <c r="H462" s="287">
        <f>1-TechData_R0!J262+1</f>
        <v>0.95</v>
      </c>
      <c r="I462" s="287">
        <f t="shared" ref="I462:Q462" si="448">H462</f>
        <v>0.95</v>
      </c>
      <c r="J462" s="287">
        <f t="shared" si="448"/>
        <v>0.95</v>
      </c>
      <c r="K462" s="287">
        <f t="shared" si="448"/>
        <v>0.95</v>
      </c>
      <c r="L462" s="287">
        <f t="shared" si="448"/>
        <v>0.95</v>
      </c>
      <c r="M462" s="287">
        <f t="shared" si="448"/>
        <v>0.95</v>
      </c>
      <c r="N462" s="287">
        <f t="shared" si="448"/>
        <v>0.95</v>
      </c>
      <c r="O462" s="287">
        <f t="shared" si="448"/>
        <v>0.95</v>
      </c>
      <c r="P462" s="287">
        <f t="shared" si="448"/>
        <v>0.95</v>
      </c>
      <c r="Q462" s="287">
        <f t="shared" si="448"/>
        <v>0.95</v>
      </c>
      <c r="R462" s="278">
        <v>1</v>
      </c>
      <c r="S462" s="278"/>
      <c r="T462" s="288">
        <v>5</v>
      </c>
      <c r="U462" s="289"/>
    </row>
    <row r="463" spans="1:21" x14ac:dyDescent="0.2">
      <c r="A463" s="256" t="s">
        <v>484</v>
      </c>
      <c r="B463" s="286" t="str">
        <f>TechData_R0!B263</f>
        <v>MINCZNBLS6</v>
      </c>
      <c r="C463" s="286"/>
      <c r="D463" s="286"/>
      <c r="E463" s="278" t="s">
        <v>32</v>
      </c>
      <c r="F463" s="278"/>
      <c r="G463" s="278" t="s">
        <v>269</v>
      </c>
      <c r="H463" s="287">
        <f>1-TechData_R0!J263+1</f>
        <v>0.95</v>
      </c>
      <c r="I463" s="287">
        <f t="shared" ref="I463:Q463" si="449">H463</f>
        <v>0.95</v>
      </c>
      <c r="J463" s="287">
        <f t="shared" si="449"/>
        <v>0.95</v>
      </c>
      <c r="K463" s="287">
        <f t="shared" si="449"/>
        <v>0.95</v>
      </c>
      <c r="L463" s="287">
        <f t="shared" si="449"/>
        <v>0.95</v>
      </c>
      <c r="M463" s="287">
        <f t="shared" si="449"/>
        <v>0.95</v>
      </c>
      <c r="N463" s="287">
        <f t="shared" si="449"/>
        <v>0.95</v>
      </c>
      <c r="O463" s="287">
        <f t="shared" si="449"/>
        <v>0.95</v>
      </c>
      <c r="P463" s="287">
        <f t="shared" si="449"/>
        <v>0.95</v>
      </c>
      <c r="Q463" s="287">
        <f t="shared" si="449"/>
        <v>0.95</v>
      </c>
      <c r="R463" s="278">
        <v>1</v>
      </c>
      <c r="S463" s="278"/>
      <c r="T463" s="288">
        <v>5</v>
      </c>
      <c r="U463" s="289"/>
    </row>
    <row r="464" spans="1:21" x14ac:dyDescent="0.2">
      <c r="A464" s="256" t="s">
        <v>485</v>
      </c>
      <c r="B464" s="286" t="str">
        <f>TechData_R0!B265</f>
        <v>MINCZNBMU1</v>
      </c>
      <c r="C464" s="286"/>
      <c r="D464" s="286"/>
      <c r="E464" s="278" t="s">
        <v>32</v>
      </c>
      <c r="F464" s="278"/>
      <c r="G464" s="278" t="s">
        <v>269</v>
      </c>
      <c r="H464" s="287">
        <f>1-TechData_R0!J265+1</f>
        <v>0.89999999999999991</v>
      </c>
      <c r="I464" s="287">
        <f t="shared" ref="I464:Q464" si="450">H464</f>
        <v>0.89999999999999991</v>
      </c>
      <c r="J464" s="287">
        <f t="shared" si="450"/>
        <v>0.89999999999999991</v>
      </c>
      <c r="K464" s="287">
        <f t="shared" si="450"/>
        <v>0.89999999999999991</v>
      </c>
      <c r="L464" s="287">
        <f t="shared" si="450"/>
        <v>0.89999999999999991</v>
      </c>
      <c r="M464" s="287">
        <f t="shared" si="450"/>
        <v>0.89999999999999991</v>
      </c>
      <c r="N464" s="287">
        <f t="shared" si="450"/>
        <v>0.89999999999999991</v>
      </c>
      <c r="O464" s="287">
        <f t="shared" si="450"/>
        <v>0.89999999999999991</v>
      </c>
      <c r="P464" s="287">
        <f t="shared" si="450"/>
        <v>0.89999999999999991</v>
      </c>
      <c r="Q464" s="287">
        <f t="shared" si="450"/>
        <v>0.89999999999999991</v>
      </c>
      <c r="R464" s="278">
        <v>1</v>
      </c>
      <c r="S464" s="278"/>
      <c r="T464" s="288">
        <v>5</v>
      </c>
      <c r="U464" s="289"/>
    </row>
    <row r="465" spans="1:21" x14ac:dyDescent="0.2">
      <c r="A465" s="256" t="s">
        <v>486</v>
      </c>
      <c r="B465" s="286" t="str">
        <f>TechData_R0!B266</f>
        <v>MINCZNBMU2</v>
      </c>
      <c r="C465" s="286"/>
      <c r="D465" s="286"/>
      <c r="E465" s="278" t="s">
        <v>32</v>
      </c>
      <c r="F465" s="278"/>
      <c r="G465" s="278" t="s">
        <v>269</v>
      </c>
      <c r="H465" s="287">
        <f>1-TechData_R0!J266+1</f>
        <v>0.89999999999999991</v>
      </c>
      <c r="I465" s="287">
        <f t="shared" ref="I465:Q465" si="451">H465</f>
        <v>0.89999999999999991</v>
      </c>
      <c r="J465" s="287">
        <f t="shared" si="451"/>
        <v>0.89999999999999991</v>
      </c>
      <c r="K465" s="287">
        <f t="shared" si="451"/>
        <v>0.89999999999999991</v>
      </c>
      <c r="L465" s="287">
        <f t="shared" si="451"/>
        <v>0.89999999999999991</v>
      </c>
      <c r="M465" s="287">
        <f t="shared" si="451"/>
        <v>0.89999999999999991</v>
      </c>
      <c r="N465" s="287">
        <f t="shared" si="451"/>
        <v>0.89999999999999991</v>
      </c>
      <c r="O465" s="287">
        <f t="shared" si="451"/>
        <v>0.89999999999999991</v>
      </c>
      <c r="P465" s="287">
        <f t="shared" si="451"/>
        <v>0.89999999999999991</v>
      </c>
      <c r="Q465" s="287">
        <f t="shared" si="451"/>
        <v>0.89999999999999991</v>
      </c>
      <c r="R465" s="278">
        <v>1</v>
      </c>
      <c r="S465" s="278"/>
      <c r="T465" s="288">
        <v>5</v>
      </c>
      <c r="U465" s="289"/>
    </row>
    <row r="466" spans="1:21" x14ac:dyDescent="0.2">
      <c r="A466" s="256" t="s">
        <v>487</v>
      </c>
      <c r="B466" s="286" t="str">
        <f>TechData_R0!B267</f>
        <v>MINCZNBMU3</v>
      </c>
      <c r="C466" s="286"/>
      <c r="D466" s="286"/>
      <c r="E466" s="278" t="s">
        <v>32</v>
      </c>
      <c r="F466" s="278"/>
      <c r="G466" s="278" t="s">
        <v>269</v>
      </c>
      <c r="H466" s="287">
        <f>1-TechData_R0!J267+1</f>
        <v>0.89999999999999991</v>
      </c>
      <c r="I466" s="287">
        <f t="shared" ref="I466:Q466" si="452">H466</f>
        <v>0.89999999999999991</v>
      </c>
      <c r="J466" s="287">
        <f t="shared" si="452"/>
        <v>0.89999999999999991</v>
      </c>
      <c r="K466" s="287">
        <f t="shared" si="452"/>
        <v>0.89999999999999991</v>
      </c>
      <c r="L466" s="287">
        <f t="shared" si="452"/>
        <v>0.89999999999999991</v>
      </c>
      <c r="M466" s="287">
        <f t="shared" si="452"/>
        <v>0.89999999999999991</v>
      </c>
      <c r="N466" s="287">
        <f t="shared" si="452"/>
        <v>0.89999999999999991</v>
      </c>
      <c r="O466" s="287">
        <f t="shared" si="452"/>
        <v>0.89999999999999991</v>
      </c>
      <c r="P466" s="287">
        <f t="shared" si="452"/>
        <v>0.89999999999999991</v>
      </c>
      <c r="Q466" s="287">
        <f t="shared" si="452"/>
        <v>0.89999999999999991</v>
      </c>
      <c r="R466" s="278">
        <v>1</v>
      </c>
      <c r="S466" s="278"/>
      <c r="T466" s="288">
        <v>5</v>
      </c>
      <c r="U466" s="289"/>
    </row>
    <row r="467" spans="1:21" x14ac:dyDescent="0.2">
      <c r="A467" s="256" t="s">
        <v>488</v>
      </c>
      <c r="B467" s="286" t="str">
        <f>TechData_R0!B268</f>
        <v>MINCZNBMU4</v>
      </c>
      <c r="C467" s="286"/>
      <c r="D467" s="286"/>
      <c r="E467" s="278" t="s">
        <v>32</v>
      </c>
      <c r="F467" s="278"/>
      <c r="G467" s="278" t="s">
        <v>269</v>
      </c>
      <c r="H467" s="287">
        <f>1-TechData_R0!J268+1</f>
        <v>0.89999999999999991</v>
      </c>
      <c r="I467" s="287">
        <f t="shared" ref="I467:Q467" si="453">H467</f>
        <v>0.89999999999999991</v>
      </c>
      <c r="J467" s="287">
        <f t="shared" si="453"/>
        <v>0.89999999999999991</v>
      </c>
      <c r="K467" s="287">
        <f t="shared" si="453"/>
        <v>0.89999999999999991</v>
      </c>
      <c r="L467" s="287">
        <f t="shared" si="453"/>
        <v>0.89999999999999991</v>
      </c>
      <c r="M467" s="287">
        <f t="shared" si="453"/>
        <v>0.89999999999999991</v>
      </c>
      <c r="N467" s="287">
        <f t="shared" si="453"/>
        <v>0.89999999999999991</v>
      </c>
      <c r="O467" s="287">
        <f t="shared" si="453"/>
        <v>0.89999999999999991</v>
      </c>
      <c r="P467" s="287">
        <f t="shared" si="453"/>
        <v>0.89999999999999991</v>
      </c>
      <c r="Q467" s="287">
        <f t="shared" si="453"/>
        <v>0.89999999999999991</v>
      </c>
      <c r="R467" s="278">
        <v>1</v>
      </c>
      <c r="S467" s="278"/>
      <c r="T467" s="288">
        <v>5</v>
      </c>
      <c r="U467" s="289"/>
    </row>
    <row r="468" spans="1:21" x14ac:dyDescent="0.2">
      <c r="A468" s="256" t="s">
        <v>489</v>
      </c>
      <c r="B468" s="286" t="str">
        <f>TechData_R0!B269</f>
        <v>MINCZNBMU5</v>
      </c>
      <c r="C468" s="286"/>
      <c r="D468" s="286"/>
      <c r="E468" s="278" t="s">
        <v>32</v>
      </c>
      <c r="F468" s="278"/>
      <c r="G468" s="278" t="s">
        <v>269</v>
      </c>
      <c r="H468" s="287">
        <f>1-TechData_R0!J269+1</f>
        <v>0.89999999999999991</v>
      </c>
      <c r="I468" s="287">
        <f t="shared" ref="I468:Q468" si="454">H468</f>
        <v>0.89999999999999991</v>
      </c>
      <c r="J468" s="287">
        <f t="shared" si="454"/>
        <v>0.89999999999999991</v>
      </c>
      <c r="K468" s="287">
        <f t="shared" si="454"/>
        <v>0.89999999999999991</v>
      </c>
      <c r="L468" s="287">
        <f t="shared" si="454"/>
        <v>0.89999999999999991</v>
      </c>
      <c r="M468" s="287">
        <f t="shared" si="454"/>
        <v>0.89999999999999991</v>
      </c>
      <c r="N468" s="287">
        <f t="shared" si="454"/>
        <v>0.89999999999999991</v>
      </c>
      <c r="O468" s="287">
        <f t="shared" si="454"/>
        <v>0.89999999999999991</v>
      </c>
      <c r="P468" s="287">
        <f t="shared" si="454"/>
        <v>0.89999999999999991</v>
      </c>
      <c r="Q468" s="287">
        <f t="shared" si="454"/>
        <v>0.89999999999999991</v>
      </c>
      <c r="R468" s="278">
        <v>1</v>
      </c>
      <c r="S468" s="278"/>
      <c r="T468" s="288">
        <v>5</v>
      </c>
      <c r="U468" s="289"/>
    </row>
    <row r="469" spans="1:21" x14ac:dyDescent="0.2">
      <c r="A469" s="256" t="s">
        <v>490</v>
      </c>
      <c r="B469" s="286" t="str">
        <f>TechData_R0!B270</f>
        <v>MINCZNBMU6</v>
      </c>
      <c r="C469" s="286"/>
      <c r="D469" s="286"/>
      <c r="E469" s="278" t="s">
        <v>32</v>
      </c>
      <c r="F469" s="278"/>
      <c r="G469" s="278" t="s">
        <v>269</v>
      </c>
      <c r="H469" s="287">
        <f>1-TechData_R0!J270+1</f>
        <v>0.89999999999999991</v>
      </c>
      <c r="I469" s="287">
        <f t="shared" ref="I469:Q469" si="455">H469</f>
        <v>0.89999999999999991</v>
      </c>
      <c r="J469" s="287">
        <f t="shared" si="455"/>
        <v>0.89999999999999991</v>
      </c>
      <c r="K469" s="287">
        <f t="shared" si="455"/>
        <v>0.89999999999999991</v>
      </c>
      <c r="L469" s="287">
        <f t="shared" si="455"/>
        <v>0.89999999999999991</v>
      </c>
      <c r="M469" s="287">
        <f t="shared" si="455"/>
        <v>0.89999999999999991</v>
      </c>
      <c r="N469" s="287">
        <f t="shared" si="455"/>
        <v>0.89999999999999991</v>
      </c>
      <c r="O469" s="287">
        <f t="shared" si="455"/>
        <v>0.89999999999999991</v>
      </c>
      <c r="P469" s="287">
        <f t="shared" si="455"/>
        <v>0.89999999999999991</v>
      </c>
      <c r="Q469" s="287">
        <f t="shared" si="455"/>
        <v>0.89999999999999991</v>
      </c>
      <c r="R469" s="278">
        <v>1</v>
      </c>
      <c r="S469" s="278"/>
      <c r="T469" s="288">
        <v>5</v>
      </c>
      <c r="U469" s="289"/>
    </row>
    <row r="470" spans="1:21" x14ac:dyDescent="0.2">
      <c r="A470" s="256" t="s">
        <v>491</v>
      </c>
      <c r="B470" s="286" t="str">
        <f>TechData_R0!B272</f>
        <v>MINCZNSMS1</v>
      </c>
      <c r="C470" s="286"/>
      <c r="D470" s="286"/>
      <c r="E470" s="278" t="s">
        <v>32</v>
      </c>
      <c r="F470" s="278"/>
      <c r="G470" s="278" t="s">
        <v>269</v>
      </c>
      <c r="H470" s="287">
        <f>1-TechData_R0!J272+1</f>
        <v>0.89999999999999991</v>
      </c>
      <c r="I470" s="287">
        <f t="shared" ref="I470:Q470" si="456">H470</f>
        <v>0.89999999999999991</v>
      </c>
      <c r="J470" s="287">
        <f t="shared" si="456"/>
        <v>0.89999999999999991</v>
      </c>
      <c r="K470" s="287">
        <f t="shared" si="456"/>
        <v>0.89999999999999991</v>
      </c>
      <c r="L470" s="287">
        <f t="shared" si="456"/>
        <v>0.89999999999999991</v>
      </c>
      <c r="M470" s="287">
        <f t="shared" si="456"/>
        <v>0.89999999999999991</v>
      </c>
      <c r="N470" s="287">
        <f t="shared" si="456"/>
        <v>0.89999999999999991</v>
      </c>
      <c r="O470" s="287">
        <f t="shared" si="456"/>
        <v>0.89999999999999991</v>
      </c>
      <c r="P470" s="287">
        <f t="shared" si="456"/>
        <v>0.89999999999999991</v>
      </c>
      <c r="Q470" s="287">
        <f t="shared" si="456"/>
        <v>0.89999999999999991</v>
      </c>
      <c r="R470" s="278">
        <v>1</v>
      </c>
      <c r="S470" s="278"/>
      <c r="T470" s="288">
        <v>5</v>
      </c>
      <c r="U470" s="289"/>
    </row>
    <row r="471" spans="1:21" x14ac:dyDescent="0.2">
      <c r="A471" s="256" t="s">
        <v>492</v>
      </c>
      <c r="B471" s="286" t="str">
        <f>TechData_R0!B273</f>
        <v>MINCZNSMS2</v>
      </c>
      <c r="C471" s="286"/>
      <c r="D471" s="286"/>
      <c r="E471" s="278" t="s">
        <v>32</v>
      </c>
      <c r="F471" s="278"/>
      <c r="G471" s="278" t="s">
        <v>269</v>
      </c>
      <c r="H471" s="287">
        <f>1-TechData_R0!J273+1</f>
        <v>0.89999999999999991</v>
      </c>
      <c r="I471" s="287">
        <f t="shared" ref="I471:Q471" si="457">H471</f>
        <v>0.89999999999999991</v>
      </c>
      <c r="J471" s="287">
        <f t="shared" si="457"/>
        <v>0.89999999999999991</v>
      </c>
      <c r="K471" s="287">
        <f t="shared" si="457"/>
        <v>0.89999999999999991</v>
      </c>
      <c r="L471" s="287">
        <f t="shared" si="457"/>
        <v>0.89999999999999991</v>
      </c>
      <c r="M471" s="287">
        <f t="shared" si="457"/>
        <v>0.89999999999999991</v>
      </c>
      <c r="N471" s="287">
        <f t="shared" si="457"/>
        <v>0.89999999999999991</v>
      </c>
      <c r="O471" s="287">
        <f t="shared" si="457"/>
        <v>0.89999999999999991</v>
      </c>
      <c r="P471" s="287">
        <f t="shared" si="457"/>
        <v>0.89999999999999991</v>
      </c>
      <c r="Q471" s="287">
        <f t="shared" si="457"/>
        <v>0.89999999999999991</v>
      </c>
      <c r="R471" s="278">
        <v>1</v>
      </c>
      <c r="S471" s="278"/>
      <c r="T471" s="288">
        <v>5</v>
      </c>
      <c r="U471" s="289"/>
    </row>
    <row r="472" spans="1:21" x14ac:dyDescent="0.2">
      <c r="A472" s="256" t="s">
        <v>493</v>
      </c>
      <c r="B472" s="286" t="str">
        <f>TechData_R0!B274</f>
        <v>MINCZNSMS3</v>
      </c>
      <c r="C472" s="286"/>
      <c r="D472" s="286"/>
      <c r="E472" s="278" t="s">
        <v>32</v>
      </c>
      <c r="F472" s="278"/>
      <c r="G472" s="278" t="s">
        <v>269</v>
      </c>
      <c r="H472" s="287">
        <f>1-TechData_R0!J274+1</f>
        <v>0.89999999999999991</v>
      </c>
      <c r="I472" s="287">
        <f t="shared" ref="I472:Q472" si="458">H472</f>
        <v>0.89999999999999991</v>
      </c>
      <c r="J472" s="287">
        <f t="shared" si="458"/>
        <v>0.89999999999999991</v>
      </c>
      <c r="K472" s="287">
        <f t="shared" si="458"/>
        <v>0.89999999999999991</v>
      </c>
      <c r="L472" s="287">
        <f t="shared" si="458"/>
        <v>0.89999999999999991</v>
      </c>
      <c r="M472" s="287">
        <f t="shared" si="458"/>
        <v>0.89999999999999991</v>
      </c>
      <c r="N472" s="287">
        <f t="shared" si="458"/>
        <v>0.89999999999999991</v>
      </c>
      <c r="O472" s="287">
        <f t="shared" si="458"/>
        <v>0.89999999999999991</v>
      </c>
      <c r="P472" s="287">
        <f t="shared" si="458"/>
        <v>0.89999999999999991</v>
      </c>
      <c r="Q472" s="287">
        <f t="shared" si="458"/>
        <v>0.89999999999999991</v>
      </c>
      <c r="R472" s="278">
        <v>1</v>
      </c>
      <c r="S472" s="278"/>
      <c r="T472" s="288">
        <v>5</v>
      </c>
      <c r="U472" s="289"/>
    </row>
    <row r="473" spans="1:21" x14ac:dyDescent="0.2">
      <c r="A473" s="256" t="s">
        <v>494</v>
      </c>
      <c r="B473" s="286" t="str">
        <f>TechData_R0!B275</f>
        <v>MINCZNSMS4</v>
      </c>
      <c r="C473" s="286"/>
      <c r="D473" s="286"/>
      <c r="E473" s="278" t="s">
        <v>32</v>
      </c>
      <c r="F473" s="278"/>
      <c r="G473" s="278" t="s">
        <v>269</v>
      </c>
      <c r="H473" s="287">
        <f>1-TechData_R0!J275+1</f>
        <v>0.89999999999999991</v>
      </c>
      <c r="I473" s="287">
        <f t="shared" ref="I473:Q473" si="459">H473</f>
        <v>0.89999999999999991</v>
      </c>
      <c r="J473" s="287">
        <f t="shared" si="459"/>
        <v>0.89999999999999991</v>
      </c>
      <c r="K473" s="287">
        <f t="shared" si="459"/>
        <v>0.89999999999999991</v>
      </c>
      <c r="L473" s="287">
        <f t="shared" si="459"/>
        <v>0.89999999999999991</v>
      </c>
      <c r="M473" s="287">
        <f t="shared" si="459"/>
        <v>0.89999999999999991</v>
      </c>
      <c r="N473" s="287">
        <f t="shared" si="459"/>
        <v>0.89999999999999991</v>
      </c>
      <c r="O473" s="287">
        <f t="shared" si="459"/>
        <v>0.89999999999999991</v>
      </c>
      <c r="P473" s="287">
        <f t="shared" si="459"/>
        <v>0.89999999999999991</v>
      </c>
      <c r="Q473" s="287">
        <f t="shared" si="459"/>
        <v>0.89999999999999991</v>
      </c>
      <c r="R473" s="278">
        <v>1</v>
      </c>
      <c r="S473" s="278"/>
      <c r="T473" s="288">
        <v>5</v>
      </c>
      <c r="U473" s="289"/>
    </row>
    <row r="474" spans="1:21" x14ac:dyDescent="0.2">
      <c r="A474" s="256" t="s">
        <v>495</v>
      </c>
      <c r="B474" s="286" t="str">
        <f>TechData_R0!B276</f>
        <v>MINCZNSMS5</v>
      </c>
      <c r="C474" s="286"/>
      <c r="D474" s="286"/>
      <c r="E474" s="278" t="s">
        <v>32</v>
      </c>
      <c r="F474" s="278"/>
      <c r="G474" s="278" t="s">
        <v>269</v>
      </c>
      <c r="H474" s="287">
        <f>1-TechData_R0!J276+1</f>
        <v>0.89999999999999991</v>
      </c>
      <c r="I474" s="287">
        <f t="shared" ref="I474:Q474" si="460">H474</f>
        <v>0.89999999999999991</v>
      </c>
      <c r="J474" s="287">
        <f t="shared" si="460"/>
        <v>0.89999999999999991</v>
      </c>
      <c r="K474" s="287">
        <f t="shared" si="460"/>
        <v>0.89999999999999991</v>
      </c>
      <c r="L474" s="287">
        <f t="shared" si="460"/>
        <v>0.89999999999999991</v>
      </c>
      <c r="M474" s="287">
        <f t="shared" si="460"/>
        <v>0.89999999999999991</v>
      </c>
      <c r="N474" s="287">
        <f t="shared" si="460"/>
        <v>0.89999999999999991</v>
      </c>
      <c r="O474" s="287">
        <f t="shared" si="460"/>
        <v>0.89999999999999991</v>
      </c>
      <c r="P474" s="287">
        <f t="shared" si="460"/>
        <v>0.89999999999999991</v>
      </c>
      <c r="Q474" s="287">
        <f t="shared" si="460"/>
        <v>0.89999999999999991</v>
      </c>
      <c r="R474" s="278">
        <v>1</v>
      </c>
      <c r="S474" s="278"/>
      <c r="T474" s="288">
        <v>5</v>
      </c>
      <c r="U474" s="289"/>
    </row>
    <row r="475" spans="1:21" x14ac:dyDescent="0.2">
      <c r="A475" s="256" t="s">
        <v>496</v>
      </c>
      <c r="B475" s="286" t="str">
        <f>TechData_R0!B277</f>
        <v>MINCZNSMS6</v>
      </c>
      <c r="C475" s="286"/>
      <c r="D475" s="286"/>
      <c r="E475" s="278" t="s">
        <v>32</v>
      </c>
      <c r="F475" s="278"/>
      <c r="G475" s="278" t="s">
        <v>269</v>
      </c>
      <c r="H475" s="287">
        <f>1-TechData_R0!J277+1</f>
        <v>0.89999999999999991</v>
      </c>
      <c r="I475" s="287">
        <f t="shared" ref="I475:Q475" si="461">H475</f>
        <v>0.89999999999999991</v>
      </c>
      <c r="J475" s="287">
        <f t="shared" si="461"/>
        <v>0.89999999999999991</v>
      </c>
      <c r="K475" s="287">
        <f t="shared" si="461"/>
        <v>0.89999999999999991</v>
      </c>
      <c r="L475" s="287">
        <f t="shared" si="461"/>
        <v>0.89999999999999991</v>
      </c>
      <c r="M475" s="287">
        <f t="shared" si="461"/>
        <v>0.89999999999999991</v>
      </c>
      <c r="N475" s="287">
        <f t="shared" si="461"/>
        <v>0.89999999999999991</v>
      </c>
      <c r="O475" s="287">
        <f t="shared" si="461"/>
        <v>0.89999999999999991</v>
      </c>
      <c r="P475" s="287">
        <f t="shared" si="461"/>
        <v>0.89999999999999991</v>
      </c>
      <c r="Q475" s="287">
        <f t="shared" si="461"/>
        <v>0.89999999999999991</v>
      </c>
      <c r="R475" s="278">
        <v>1</v>
      </c>
      <c r="S475" s="278"/>
      <c r="T475" s="288">
        <v>5</v>
      </c>
      <c r="U475" s="289"/>
    </row>
    <row r="476" spans="1:21" x14ac:dyDescent="0.2">
      <c r="A476" s="256" t="s">
        <v>497</v>
      </c>
      <c r="B476" s="286" t="str">
        <f>TechData_R0!B279</f>
        <v>MINCPCSLS1</v>
      </c>
      <c r="C476" s="286"/>
      <c r="D476" s="286"/>
      <c r="E476" s="278" t="s">
        <v>32</v>
      </c>
      <c r="F476" s="278"/>
      <c r="G476" s="278" t="s">
        <v>269</v>
      </c>
      <c r="H476" s="287">
        <f>1-TechData_R0!J279+1</f>
        <v>0.95</v>
      </c>
      <c r="I476" s="287">
        <f t="shared" ref="I476:Q476" si="462">H476</f>
        <v>0.95</v>
      </c>
      <c r="J476" s="287">
        <f t="shared" si="462"/>
        <v>0.95</v>
      </c>
      <c r="K476" s="287">
        <f t="shared" si="462"/>
        <v>0.95</v>
      </c>
      <c r="L476" s="287">
        <f t="shared" si="462"/>
        <v>0.95</v>
      </c>
      <c r="M476" s="287">
        <f t="shared" si="462"/>
        <v>0.95</v>
      </c>
      <c r="N476" s="287">
        <f t="shared" si="462"/>
        <v>0.95</v>
      </c>
      <c r="O476" s="287">
        <f t="shared" si="462"/>
        <v>0.95</v>
      </c>
      <c r="P476" s="287">
        <f t="shared" si="462"/>
        <v>0.95</v>
      </c>
      <c r="Q476" s="287">
        <f t="shared" si="462"/>
        <v>0.95</v>
      </c>
      <c r="R476" s="278">
        <v>1</v>
      </c>
      <c r="S476" s="278"/>
      <c r="T476" s="288">
        <v>5</v>
      </c>
      <c r="U476" s="289"/>
    </row>
    <row r="477" spans="1:21" x14ac:dyDescent="0.2">
      <c r="A477" s="256" t="s">
        <v>498</v>
      </c>
      <c r="B477" s="286" t="str">
        <f>TechData_R0!B280</f>
        <v>MINCPCSLS2</v>
      </c>
      <c r="C477" s="286"/>
      <c r="D477" s="286"/>
      <c r="E477" s="278" t="s">
        <v>32</v>
      </c>
      <c r="F477" s="278"/>
      <c r="G477" s="278" t="s">
        <v>269</v>
      </c>
      <c r="H477" s="287">
        <f>1-TechData_R0!J280+1</f>
        <v>0.95</v>
      </c>
      <c r="I477" s="287">
        <f t="shared" ref="I477:Q477" si="463">H477</f>
        <v>0.95</v>
      </c>
      <c r="J477" s="287">
        <f t="shared" si="463"/>
        <v>0.95</v>
      </c>
      <c r="K477" s="287">
        <f t="shared" si="463"/>
        <v>0.95</v>
      </c>
      <c r="L477" s="287">
        <f t="shared" si="463"/>
        <v>0.95</v>
      </c>
      <c r="M477" s="287">
        <f t="shared" si="463"/>
        <v>0.95</v>
      </c>
      <c r="N477" s="287">
        <f t="shared" si="463"/>
        <v>0.95</v>
      </c>
      <c r="O477" s="287">
        <f t="shared" si="463"/>
        <v>0.95</v>
      </c>
      <c r="P477" s="287">
        <f t="shared" si="463"/>
        <v>0.95</v>
      </c>
      <c r="Q477" s="287">
        <f t="shared" si="463"/>
        <v>0.95</v>
      </c>
      <c r="R477" s="278">
        <v>1</v>
      </c>
      <c r="S477" s="278"/>
      <c r="T477" s="288">
        <v>5</v>
      </c>
      <c r="U477" s="289"/>
    </row>
    <row r="478" spans="1:21" x14ac:dyDescent="0.2">
      <c r="A478" s="256" t="s">
        <v>499</v>
      </c>
      <c r="B478" s="286" t="str">
        <f>TechData_R0!B281</f>
        <v>MINCPCSLS3</v>
      </c>
      <c r="C478" s="286"/>
      <c r="D478" s="286"/>
      <c r="E478" s="278" t="s">
        <v>32</v>
      </c>
      <c r="F478" s="278"/>
      <c r="G478" s="278" t="s">
        <v>269</v>
      </c>
      <c r="H478" s="287">
        <f>1-TechData_R0!J281+1</f>
        <v>0.95</v>
      </c>
      <c r="I478" s="287">
        <f t="shared" ref="I478:Q478" si="464">H478</f>
        <v>0.95</v>
      </c>
      <c r="J478" s="287">
        <f t="shared" si="464"/>
        <v>0.95</v>
      </c>
      <c r="K478" s="287">
        <f t="shared" si="464"/>
        <v>0.95</v>
      </c>
      <c r="L478" s="287">
        <f t="shared" si="464"/>
        <v>0.95</v>
      </c>
      <c r="M478" s="287">
        <f t="shared" si="464"/>
        <v>0.95</v>
      </c>
      <c r="N478" s="287">
        <f t="shared" si="464"/>
        <v>0.95</v>
      </c>
      <c r="O478" s="287">
        <f t="shared" si="464"/>
        <v>0.95</v>
      </c>
      <c r="P478" s="287">
        <f t="shared" si="464"/>
        <v>0.95</v>
      </c>
      <c r="Q478" s="287">
        <f t="shared" si="464"/>
        <v>0.95</v>
      </c>
      <c r="R478" s="278">
        <v>1</v>
      </c>
      <c r="S478" s="278"/>
      <c r="T478" s="288">
        <v>5</v>
      </c>
      <c r="U478" s="289"/>
    </row>
    <row r="479" spans="1:21" x14ac:dyDescent="0.2">
      <c r="A479" s="256" t="s">
        <v>500</v>
      </c>
      <c r="B479" s="286" t="str">
        <f>TechData_R0!B282</f>
        <v>MINCPCSLS4</v>
      </c>
      <c r="C479" s="286"/>
      <c r="D479" s="286"/>
      <c r="E479" s="278" t="s">
        <v>32</v>
      </c>
      <c r="F479" s="278"/>
      <c r="G479" s="278" t="s">
        <v>269</v>
      </c>
      <c r="H479" s="287">
        <f>1-TechData_R0!J282+1</f>
        <v>0.95</v>
      </c>
      <c r="I479" s="287">
        <f t="shared" ref="I479:Q479" si="465">H479</f>
        <v>0.95</v>
      </c>
      <c r="J479" s="287">
        <f t="shared" si="465"/>
        <v>0.95</v>
      </c>
      <c r="K479" s="287">
        <f t="shared" si="465"/>
        <v>0.95</v>
      </c>
      <c r="L479" s="287">
        <f t="shared" si="465"/>
        <v>0.95</v>
      </c>
      <c r="M479" s="287">
        <f t="shared" si="465"/>
        <v>0.95</v>
      </c>
      <c r="N479" s="287">
        <f t="shared" si="465"/>
        <v>0.95</v>
      </c>
      <c r="O479" s="287">
        <f t="shared" si="465"/>
        <v>0.95</v>
      </c>
      <c r="P479" s="287">
        <f t="shared" si="465"/>
        <v>0.95</v>
      </c>
      <c r="Q479" s="287">
        <f t="shared" si="465"/>
        <v>0.95</v>
      </c>
      <c r="R479" s="278">
        <v>1</v>
      </c>
      <c r="S479" s="278"/>
      <c r="T479" s="288">
        <v>5</v>
      </c>
      <c r="U479" s="289"/>
    </row>
    <row r="480" spans="1:21" x14ac:dyDescent="0.2">
      <c r="A480" s="256" t="s">
        <v>501</v>
      </c>
      <c r="B480" s="286" t="str">
        <f>TechData_R0!B283</f>
        <v>MINCPCSLS5</v>
      </c>
      <c r="C480" s="286"/>
      <c r="D480" s="286"/>
      <c r="E480" s="278" t="s">
        <v>32</v>
      </c>
      <c r="F480" s="278"/>
      <c r="G480" s="278" t="s">
        <v>269</v>
      </c>
      <c r="H480" s="287">
        <f>1-TechData_R0!J283+1</f>
        <v>0.95</v>
      </c>
      <c r="I480" s="287">
        <f t="shared" ref="I480:Q480" si="466">H480</f>
        <v>0.95</v>
      </c>
      <c r="J480" s="287">
        <f t="shared" si="466"/>
        <v>0.95</v>
      </c>
      <c r="K480" s="287">
        <f t="shared" si="466"/>
        <v>0.95</v>
      </c>
      <c r="L480" s="287">
        <f t="shared" si="466"/>
        <v>0.95</v>
      </c>
      <c r="M480" s="287">
        <f t="shared" si="466"/>
        <v>0.95</v>
      </c>
      <c r="N480" s="287">
        <f t="shared" si="466"/>
        <v>0.95</v>
      </c>
      <c r="O480" s="287">
        <f t="shared" si="466"/>
        <v>0.95</v>
      </c>
      <c r="P480" s="287">
        <f t="shared" si="466"/>
        <v>0.95</v>
      </c>
      <c r="Q480" s="287">
        <f t="shared" si="466"/>
        <v>0.95</v>
      </c>
      <c r="R480" s="278">
        <v>1</v>
      </c>
      <c r="S480" s="278"/>
      <c r="T480" s="288">
        <v>5</v>
      </c>
      <c r="U480" s="289"/>
    </row>
    <row r="481" spans="1:21" x14ac:dyDescent="0.2">
      <c r="A481" s="256" t="s">
        <v>502</v>
      </c>
      <c r="B481" s="286" t="str">
        <f>TechData_R0!B284</f>
        <v>MINCPCSLS6</v>
      </c>
      <c r="C481" s="286"/>
      <c r="D481" s="286"/>
      <c r="E481" s="278" t="s">
        <v>32</v>
      </c>
      <c r="F481" s="278"/>
      <c r="G481" s="278" t="s">
        <v>269</v>
      </c>
      <c r="H481" s="287">
        <f>1-TechData_R0!J284+1</f>
        <v>0.95</v>
      </c>
      <c r="I481" s="287">
        <f t="shared" ref="I481:Q481" si="467">H481</f>
        <v>0.95</v>
      </c>
      <c r="J481" s="287">
        <f t="shared" si="467"/>
        <v>0.95</v>
      </c>
      <c r="K481" s="287">
        <f t="shared" si="467"/>
        <v>0.95</v>
      </c>
      <c r="L481" s="287">
        <f t="shared" si="467"/>
        <v>0.95</v>
      </c>
      <c r="M481" s="287">
        <f t="shared" si="467"/>
        <v>0.95</v>
      </c>
      <c r="N481" s="287">
        <f t="shared" si="467"/>
        <v>0.95</v>
      </c>
      <c r="O481" s="287">
        <f t="shared" si="467"/>
        <v>0.95</v>
      </c>
      <c r="P481" s="287">
        <f t="shared" si="467"/>
        <v>0.95</v>
      </c>
      <c r="Q481" s="287">
        <f t="shared" si="467"/>
        <v>0.95</v>
      </c>
      <c r="R481" s="278">
        <v>1</v>
      </c>
      <c r="S481" s="278"/>
      <c r="T481" s="288">
        <v>5</v>
      </c>
      <c r="U481" s="289"/>
    </row>
  </sheetData>
  <phoneticPr fontId="1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FFC000"/>
  </sheetPr>
  <dimension ref="A1:BR348"/>
  <sheetViews>
    <sheetView showFormulas="1" zoomScale="80" zoomScaleNormal="80" workbookViewId="0">
      <pane xSplit="3" ySplit="12" topLeftCell="J13" activePane="bottomRight" state="frozen"/>
      <selection pane="topRight" activeCell="D1" sqref="D1"/>
      <selection pane="bottomLeft" activeCell="A9" sqref="A9"/>
      <selection pane="bottomRight" activeCell="L199" sqref="L199"/>
    </sheetView>
  </sheetViews>
  <sheetFormatPr defaultColWidth="9.140625" defaultRowHeight="12.75" x14ac:dyDescent="0.2"/>
  <cols>
    <col min="1" max="1" width="48.42578125" style="26" bestFit="1" customWidth="1"/>
    <col min="2" max="2" width="14.5703125" style="26" customWidth="1"/>
    <col min="3" max="3" width="32.28515625" style="26" bestFit="1" customWidth="1"/>
    <col min="4" max="4" width="11.7109375" style="26" bestFit="1" customWidth="1"/>
    <col min="5" max="5" width="15.85546875" style="26" bestFit="1" customWidth="1"/>
    <col min="6" max="6" width="30.7109375" style="26" bestFit="1" customWidth="1"/>
    <col min="7" max="7" width="12.85546875" style="26" bestFit="1" customWidth="1"/>
    <col min="8" max="8" width="13" style="26" bestFit="1" customWidth="1"/>
    <col min="9" max="9" width="11.28515625" style="26" bestFit="1" customWidth="1"/>
    <col min="10" max="10" width="39.42578125" style="26" bestFit="1" customWidth="1"/>
    <col min="11" max="11" width="11.28515625" style="26" bestFit="1" customWidth="1"/>
    <col min="12" max="21" width="12" style="26" bestFit="1" customWidth="1"/>
    <col min="22" max="23" width="18.42578125" style="26" bestFit="1" customWidth="1"/>
    <col min="24" max="24" width="18.140625" style="26" bestFit="1" customWidth="1"/>
    <col min="25" max="25" width="18.140625" style="252" bestFit="1" customWidth="1"/>
    <col min="26" max="26" width="9.5703125" style="252" bestFit="1" customWidth="1"/>
    <col min="27" max="27" width="11.28515625" style="252" bestFit="1" customWidth="1"/>
    <col min="28" max="37" width="8.42578125" style="252" bestFit="1" customWidth="1"/>
    <col min="38" max="38" width="11.5703125" style="252" bestFit="1" customWidth="1"/>
    <col min="39" max="39" width="9.42578125" style="252" bestFit="1" customWidth="1"/>
    <col min="40" max="40" width="11.28515625" style="252" bestFit="1" customWidth="1"/>
    <col min="41" max="42" width="10.140625" style="252" bestFit="1" customWidth="1"/>
    <col min="43" max="43" width="11.28515625" style="252" bestFit="1" customWidth="1"/>
    <col min="44" max="45" width="10.140625" style="252" bestFit="1" customWidth="1"/>
    <col min="46" max="46" width="11.28515625" style="252" bestFit="1" customWidth="1"/>
    <col min="47" max="48" width="10.140625" style="252" bestFit="1" customWidth="1"/>
    <col min="49" max="49" width="11.28515625" style="252" bestFit="1" customWidth="1"/>
    <col min="50" max="51" width="10.140625" style="252" bestFit="1" customWidth="1"/>
    <col min="52" max="52" width="11.28515625" style="252" bestFit="1" customWidth="1"/>
    <col min="53" max="54" width="10.140625" style="252" bestFit="1" customWidth="1"/>
    <col min="55" max="55" width="11.28515625" style="252" bestFit="1" customWidth="1"/>
    <col min="56" max="57" width="10.140625" style="252" bestFit="1" customWidth="1"/>
    <col min="58" max="59" width="11.28515625" style="252" bestFit="1" customWidth="1"/>
    <col min="60" max="61" width="10.140625" style="252" bestFit="1" customWidth="1"/>
    <col min="62" max="62" width="11.28515625" style="252" bestFit="1" customWidth="1"/>
    <col min="63" max="64" width="10.140625" style="252" bestFit="1" customWidth="1"/>
    <col min="65" max="65" width="11.28515625" style="252" bestFit="1" customWidth="1"/>
    <col min="66" max="67" width="10.140625" style="252" bestFit="1" customWidth="1"/>
    <col min="68" max="68" width="11.28515625" style="252" bestFit="1" customWidth="1"/>
    <col min="69" max="70" width="9.140625" style="252"/>
    <col min="71" max="16384" width="9.140625" style="26"/>
  </cols>
  <sheetData>
    <row r="1" spans="1:69" s="252" customFormat="1" x14ac:dyDescent="0.2">
      <c r="A1" s="1" t="s">
        <v>503</v>
      </c>
      <c r="B1" s="252" t="s">
        <v>504</v>
      </c>
      <c r="J1" s="252" t="s">
        <v>505</v>
      </c>
      <c r="W1" s="252" t="s">
        <v>505</v>
      </c>
      <c r="X1" s="252" t="s">
        <v>505</v>
      </c>
    </row>
    <row r="2" spans="1:69" s="252" customFormat="1" x14ac:dyDescent="0.2"/>
    <row r="3" spans="1:69" s="252" customFormat="1" x14ac:dyDescent="0.2"/>
    <row r="4" spans="1:69" s="252" customFormat="1" ht="17.25" customHeight="1" x14ac:dyDescent="0.2">
      <c r="N4" s="252">
        <v>0.9</v>
      </c>
    </row>
    <row r="5" spans="1:69" s="252" customFormat="1" ht="30.75" customHeight="1" x14ac:dyDescent="0.2">
      <c r="E5" s="273" t="s">
        <v>506</v>
      </c>
      <c r="F5" s="272" t="s">
        <v>507</v>
      </c>
      <c r="G5" s="272" t="s">
        <v>508</v>
      </c>
      <c r="H5" s="272" t="s">
        <v>509</v>
      </c>
      <c r="I5" s="272" t="s">
        <v>509</v>
      </c>
      <c r="J5" s="273" t="s">
        <v>510</v>
      </c>
      <c r="K5" s="273" t="s">
        <v>511</v>
      </c>
      <c r="L5" s="257" t="s">
        <v>512</v>
      </c>
      <c r="M5" s="257" t="s">
        <v>512</v>
      </c>
      <c r="N5" s="257" t="s">
        <v>512</v>
      </c>
      <c r="O5" s="257" t="s">
        <v>512</v>
      </c>
      <c r="P5" s="257" t="s">
        <v>512</v>
      </c>
      <c r="Q5" s="257" t="s">
        <v>512</v>
      </c>
      <c r="R5" s="257" t="s">
        <v>512</v>
      </c>
      <c r="S5" s="257" t="s">
        <v>512</v>
      </c>
      <c r="T5" s="257" t="s">
        <v>512</v>
      </c>
      <c r="U5" s="257" t="s">
        <v>512</v>
      </c>
      <c r="V5" s="257" t="s">
        <v>513</v>
      </c>
      <c r="W5" s="258" t="s">
        <v>514</v>
      </c>
      <c r="X5" s="258" t="s">
        <v>515</v>
      </c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9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258"/>
      <c r="BP5" s="258"/>
      <c r="BQ5" s="258"/>
    </row>
    <row r="6" spans="1:69" s="252" customFormat="1" ht="17.25" customHeight="1" x14ac:dyDescent="0.2">
      <c r="P6" s="8"/>
      <c r="V6" s="260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</row>
    <row r="7" spans="1:69" s="252" customFormat="1" ht="17.25" customHeight="1" x14ac:dyDescent="0.2">
      <c r="P7" s="8"/>
      <c r="V7" s="260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</row>
    <row r="8" spans="1:69" s="252" customFormat="1" ht="17.25" customHeight="1" x14ac:dyDescent="0.2">
      <c r="P8" s="8"/>
      <c r="V8" s="260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</row>
    <row r="9" spans="1:69" s="252" customFormat="1" ht="17.25" customHeight="1" x14ac:dyDescent="0.2">
      <c r="P9" s="8"/>
      <c r="V9" s="260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8"/>
      <c r="BM9" s="258"/>
      <c r="BN9" s="258"/>
      <c r="BO9" s="258"/>
      <c r="BP9" s="258"/>
      <c r="BQ9" s="258"/>
    </row>
    <row r="10" spans="1:69" s="252" customFormat="1" ht="17.25" customHeight="1" x14ac:dyDescent="0.2">
      <c r="D10" s="261"/>
      <c r="P10" s="8"/>
      <c r="V10" s="260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</row>
    <row r="11" spans="1:69" s="252" customFormat="1" ht="15.75" customHeight="1" x14ac:dyDescent="0.2">
      <c r="A11" s="253" t="s">
        <v>516</v>
      </c>
      <c r="B11" s="253" t="s">
        <v>517</v>
      </c>
      <c r="C11" s="253" t="s">
        <v>518</v>
      </c>
      <c r="D11" s="253" t="s">
        <v>519</v>
      </c>
      <c r="E11" s="253" t="s">
        <v>520</v>
      </c>
      <c r="F11" s="253" t="s">
        <v>520</v>
      </c>
      <c r="G11" s="253" t="s">
        <v>521</v>
      </c>
      <c r="H11" s="253" t="s">
        <v>522</v>
      </c>
      <c r="I11" s="253" t="s">
        <v>523</v>
      </c>
      <c r="J11" s="253" t="s">
        <v>521</v>
      </c>
      <c r="K11" s="253" t="s">
        <v>524</v>
      </c>
      <c r="L11" s="253" t="s">
        <v>525</v>
      </c>
      <c r="M11" s="253" t="s">
        <v>526</v>
      </c>
      <c r="N11" s="253" t="s">
        <v>527</v>
      </c>
      <c r="O11" s="253" t="s">
        <v>528</v>
      </c>
      <c r="P11" s="253" t="s">
        <v>529</v>
      </c>
      <c r="Q11" s="253" t="s">
        <v>530</v>
      </c>
      <c r="R11" s="253" t="s">
        <v>531</v>
      </c>
      <c r="S11" s="253" t="s">
        <v>532</v>
      </c>
      <c r="T11" s="253" t="s">
        <v>533</v>
      </c>
      <c r="U11" s="253" t="s">
        <v>534</v>
      </c>
      <c r="V11" s="253" t="s">
        <v>535</v>
      </c>
      <c r="W11" s="253" t="s">
        <v>536</v>
      </c>
      <c r="X11" s="253" t="s">
        <v>537</v>
      </c>
    </row>
    <row r="12" spans="1:69" s="252" customFormat="1" x14ac:dyDescent="0.2">
      <c r="A12" s="266" t="s">
        <v>538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</row>
    <row r="13" spans="1:69" s="252" customFormat="1" x14ac:dyDescent="0.2">
      <c r="A13" s="267" t="s">
        <v>504</v>
      </c>
      <c r="B13" s="268" t="s">
        <v>539</v>
      </c>
      <c r="C13" s="268" t="s">
        <v>540</v>
      </c>
      <c r="D13" s="268" t="str">
        <f>CONCATENATE(MID(B13,4,6),"1")</f>
        <v>CNAPMU1</v>
      </c>
      <c r="E13" s="255">
        <v>2010</v>
      </c>
      <c r="F13" s="255"/>
      <c r="G13" s="255">
        <v>1.05</v>
      </c>
      <c r="H13" s="255">
        <v>1.05</v>
      </c>
      <c r="I13" s="255">
        <v>1.05</v>
      </c>
      <c r="J13" s="255">
        <v>1.05</v>
      </c>
      <c r="K13" s="255">
        <v>1.0049999999999999</v>
      </c>
      <c r="L13" s="269">
        <f>L15*'Production Steps'!$O$10</f>
        <v>2.4213307007018026</v>
      </c>
      <c r="M13" s="269">
        <f>M15*'Production Steps'!$O$10</f>
        <v>2.9001275131154962</v>
      </c>
      <c r="N13" s="269">
        <f>N15*'Production Steps'!$O$10</f>
        <v>3.3234457281159835</v>
      </c>
      <c r="O13" s="269">
        <f>O15*'Production Steps'!$O$10</f>
        <v>3.9037570556515098</v>
      </c>
      <c r="P13" s="269">
        <f>P15*'Production Steps'!$O$10</f>
        <v>4.2530555799314627</v>
      </c>
      <c r="Q13" s="269">
        <f>Q15*'Production Steps'!$O$10</f>
        <v>4.622854680954851</v>
      </c>
      <c r="R13" s="269">
        <f>R15*'Production Steps'!$O$10</f>
        <v>5.0148483152817356</v>
      </c>
      <c r="S13" s="269">
        <f>S15*'Production Steps'!$O$10</f>
        <v>5.4400809371947636</v>
      </c>
      <c r="T13" s="269">
        <f>T15*'Production Steps'!$O$10</f>
        <v>5.9013710370953127</v>
      </c>
      <c r="U13" s="269">
        <f>U15*'Production Steps'!$O$10</f>
        <v>6.4017760984684715</v>
      </c>
      <c r="V13" s="270">
        <f>X13*0.8</f>
        <v>222.70511870090877</v>
      </c>
      <c r="W13" s="270">
        <f>'Production Steps'!H7*1.1</f>
        <v>53.414847639999998</v>
      </c>
      <c r="X13" s="270">
        <f>'Production Steps'!I7*1.1</f>
        <v>278.38139837613596</v>
      </c>
    </row>
    <row r="14" spans="1:69" s="252" customFormat="1" x14ac:dyDescent="0.2">
      <c r="A14" s="255"/>
      <c r="B14" s="268" t="s">
        <v>541</v>
      </c>
      <c r="C14" s="268" t="s">
        <v>542</v>
      </c>
      <c r="D14" s="268" t="str">
        <f t="shared" ref="D14:D18" si="0">CONCATENATE(MID(B14,4,6),"1")</f>
        <v>CNAPMU1</v>
      </c>
      <c r="E14" s="255">
        <v>2010</v>
      </c>
      <c r="F14" s="255"/>
      <c r="G14" s="255">
        <v>1.05</v>
      </c>
      <c r="H14" s="255">
        <v>1.05</v>
      </c>
      <c r="I14" s="255">
        <v>1.05</v>
      </c>
      <c r="J14" s="255">
        <v>1.05</v>
      </c>
      <c r="K14" s="255">
        <v>1.0049999999999999</v>
      </c>
      <c r="L14" s="269">
        <f>L15*'Production Steps'!$O$11</f>
        <v>2.7460091355686349</v>
      </c>
      <c r="M14" s="269">
        <f>M15*'Production Steps'!$O$11</f>
        <v>3.2890082478287104</v>
      </c>
      <c r="N14" s="269">
        <f>N15*'Production Steps'!$O$11</f>
        <v>3.7690895871133536</v>
      </c>
      <c r="O14" s="269">
        <f>O15*'Production Steps'!$O$11</f>
        <v>4.4272153881138712</v>
      </c>
      <c r="P14" s="269">
        <f>P15*'Production Steps'!$O$11</f>
        <v>4.8233516690586358</v>
      </c>
      <c r="Q14" s="269">
        <f>Q15*'Production Steps'!$O$11</f>
        <v>5.2427374677192509</v>
      </c>
      <c r="R14" s="269">
        <f>R15*'Production Steps'!$O$11</f>
        <v>5.6872938848308774</v>
      </c>
      <c r="S14" s="269">
        <f>S15*'Production Steps'!$O$11</f>
        <v>6.1695463355913338</v>
      </c>
      <c r="T14" s="269">
        <f>T15*'Production Steps'!$O$11</f>
        <v>6.6926912443421838</v>
      </c>
      <c r="U14" s="269">
        <f>U15*'Production Steps'!$O$11</f>
        <v>7.2601960753085626</v>
      </c>
      <c r="V14" s="270">
        <f>X14*0.8</f>
        <v>218.25101632689064</v>
      </c>
      <c r="W14" s="270">
        <f>'Production Steps'!H8*1.1</f>
        <v>52.346550687200001</v>
      </c>
      <c r="X14" s="270">
        <f>'Production Steps'!I8*1.1</f>
        <v>272.81377040861327</v>
      </c>
    </row>
    <row r="15" spans="1:69" s="252" customFormat="1" x14ac:dyDescent="0.2">
      <c r="A15" s="255"/>
      <c r="B15" s="268" t="s">
        <v>543</v>
      </c>
      <c r="C15" s="268" t="s">
        <v>544</v>
      </c>
      <c r="D15" s="268" t="str">
        <f t="shared" si="0"/>
        <v>CNAPMU1</v>
      </c>
      <c r="E15" s="255">
        <v>2010</v>
      </c>
      <c r="F15" s="255"/>
      <c r="G15" s="255">
        <v>1.05</v>
      </c>
      <c r="H15" s="255">
        <v>1.05</v>
      </c>
      <c r="I15" s="255">
        <v>1.05</v>
      </c>
      <c r="J15" s="255">
        <v>1.05</v>
      </c>
      <c r="K15" s="255">
        <v>1.0049999999999999</v>
      </c>
      <c r="L15" s="269">
        <f>'AEO Coal Prices'!M7*'Production Steps'!$Q$17*$N$4</f>
        <v>2.7515121598884118</v>
      </c>
      <c r="M15" s="269">
        <f>'AEO Coal Prices'!N7*'Production Steps'!$Q$17*$N$4</f>
        <v>3.2955994467221545</v>
      </c>
      <c r="N15" s="269">
        <f>'AEO Coal Prices'!O7*'Production Steps'!$Q$17*$N$4</f>
        <v>3.776642872859072</v>
      </c>
      <c r="O15" s="269">
        <f>'AEO Coal Prices'!P7*'Production Steps'!$Q$17*$N$4</f>
        <v>4.4360875632403518</v>
      </c>
      <c r="P15" s="269">
        <f>'AEO Coal Prices'!Q7*'Production Steps'!$Q$17*$N$4</f>
        <v>4.8330177044675713</v>
      </c>
      <c r="Q15" s="269">
        <f>'AEO Coal Prices'!R7*'Production Steps'!$Q$17*$N$4</f>
        <v>5.2532439556305119</v>
      </c>
      <c r="R15" s="269">
        <f>'AEO Coal Prices'!S7*'Production Steps'!$Q$17*$N$4</f>
        <v>5.6986912673656089</v>
      </c>
      <c r="S15" s="269">
        <f>R15*(1+(R15-Q15)/Q15)</f>
        <v>6.1819101559031404</v>
      </c>
      <c r="T15" s="269">
        <f>S15*(1+(S15-R15)/R15)</f>
        <v>6.7061034512446733</v>
      </c>
      <c r="U15" s="269">
        <f>T15*(1+(T15-S15)/S15)</f>
        <v>7.2747455664414451</v>
      </c>
      <c r="V15" s="270">
        <f>X15*0.8</f>
        <v>4.4541023740181807</v>
      </c>
      <c r="W15" s="270">
        <f>'Production Steps'!H9*1.1</f>
        <v>1.0682969527999959</v>
      </c>
      <c r="X15" s="270">
        <f>'Production Steps'!I9*1.1</f>
        <v>5.5676279675227258</v>
      </c>
    </row>
    <row r="16" spans="1:69" s="252" customFormat="1" x14ac:dyDescent="0.2">
      <c r="A16" s="255"/>
      <c r="B16" s="268" t="s">
        <v>545</v>
      </c>
      <c r="C16" s="268" t="s">
        <v>546</v>
      </c>
      <c r="D16" s="268" t="str">
        <f t="shared" si="0"/>
        <v>CNAPMU1</v>
      </c>
      <c r="E16" s="255">
        <v>2010</v>
      </c>
      <c r="F16" s="271"/>
      <c r="G16" s="255">
        <v>1.05</v>
      </c>
      <c r="H16" s="255">
        <v>1.05</v>
      </c>
      <c r="I16" s="255">
        <v>1.05</v>
      </c>
      <c r="J16" s="255">
        <v>1.05</v>
      </c>
      <c r="K16" s="255">
        <v>1.0049999999999999</v>
      </c>
      <c r="L16" s="269">
        <f>L15*'Production Steps'!$O$13</f>
        <v>2.7597666963680769</v>
      </c>
      <c r="M16" s="269">
        <f>M15*'Production Steps'!$O$13</f>
        <v>3.3054862450623208</v>
      </c>
      <c r="N16" s="269">
        <f>N15*'Production Steps'!$O$13</f>
        <v>3.7879728014776486</v>
      </c>
      <c r="O16" s="269">
        <f>O15*'Production Steps'!$O$13</f>
        <v>4.4493958259300728</v>
      </c>
      <c r="P16" s="269">
        <f>P15*'Production Steps'!$O$13</f>
        <v>4.8475167575809737</v>
      </c>
      <c r="Q16" s="269">
        <f>Q15*'Production Steps'!$O$13</f>
        <v>5.2690036874974027</v>
      </c>
      <c r="R16" s="269">
        <f>R15*'Production Steps'!$O$13</f>
        <v>5.7157873411677054</v>
      </c>
      <c r="S16" s="269">
        <f>S15*'Production Steps'!$O$13</f>
        <v>6.2004558863708494</v>
      </c>
      <c r="T16" s="269">
        <f>T15*'Production Steps'!$O$13</f>
        <v>6.7262217615984063</v>
      </c>
      <c r="U16" s="269">
        <f>U15*'Production Steps'!$O$13</f>
        <v>7.2965698031407689</v>
      </c>
      <c r="V16" s="270">
        <f>X16*0.8</f>
        <v>4.4541023740181807</v>
      </c>
      <c r="W16" s="270">
        <f>'Production Steps'!H10*1.1</f>
        <v>1.0682969527999959</v>
      </c>
      <c r="X16" s="270">
        <f>'Production Steps'!I10*1.1</f>
        <v>5.5676279675227258</v>
      </c>
    </row>
    <row r="17" spans="1:24" s="252" customFormat="1" x14ac:dyDescent="0.2">
      <c r="A17" s="255"/>
      <c r="B17" s="268" t="s">
        <v>547</v>
      </c>
      <c r="C17" s="268" t="s">
        <v>548</v>
      </c>
      <c r="D17" s="268" t="str">
        <f t="shared" si="0"/>
        <v>CNAPMU1</v>
      </c>
      <c r="E17" s="255">
        <v>2010</v>
      </c>
      <c r="F17" s="271">
        <f>X17*0.1</f>
        <v>5.0108651707704475</v>
      </c>
      <c r="G17" s="255">
        <v>1.05</v>
      </c>
      <c r="H17" s="255">
        <v>1.05</v>
      </c>
      <c r="I17" s="255">
        <v>1.05</v>
      </c>
      <c r="J17" s="255">
        <v>1.05</v>
      </c>
      <c r="K17" s="255">
        <v>1.0049999999999999</v>
      </c>
      <c r="L17" s="269">
        <f>L15*'Production Steps'!$O$14</f>
        <v>3.0816936190750215</v>
      </c>
      <c r="M17" s="269">
        <f>M15*'Production Steps'!$O$14</f>
        <v>3.6910713803288133</v>
      </c>
      <c r="N17" s="269">
        <f>N15*'Production Steps'!$O$14</f>
        <v>4.2298400176021609</v>
      </c>
      <c r="O17" s="269">
        <f>O15*'Production Steps'!$O$14</f>
        <v>4.9684180708291947</v>
      </c>
      <c r="P17" s="269">
        <f>P15*'Production Steps'!$O$14</f>
        <v>5.4129798290036799</v>
      </c>
      <c r="Q17" s="269">
        <f>Q15*'Production Steps'!$O$14</f>
        <v>5.8836332303061738</v>
      </c>
      <c r="R17" s="269">
        <f>R15*'Production Steps'!$O$14</f>
        <v>6.3825342194494823</v>
      </c>
      <c r="S17" s="269">
        <f>S15*'Production Steps'!$O$14</f>
        <v>6.9237393746115181</v>
      </c>
      <c r="T17" s="269">
        <f>T15*'Production Steps'!$O$14</f>
        <v>7.5108358653940348</v>
      </c>
      <c r="U17" s="269">
        <f>U15*'Production Steps'!$O$14</f>
        <v>8.1477150344144196</v>
      </c>
      <c r="V17" s="270"/>
      <c r="W17" s="270">
        <f>'Production Steps'!H11*1.1</f>
        <v>9.6146725752000108</v>
      </c>
      <c r="X17" s="270">
        <f>'Production Steps'!I11*1.1</f>
        <v>50.108651707704468</v>
      </c>
    </row>
    <row r="18" spans="1:24" s="252" customFormat="1" x14ac:dyDescent="0.2">
      <c r="A18" s="255"/>
      <c r="B18" s="268" t="s">
        <v>549</v>
      </c>
      <c r="C18" s="268" t="s">
        <v>550</v>
      </c>
      <c r="D18" s="268" t="str">
        <f t="shared" si="0"/>
        <v>CNAPMU1</v>
      </c>
      <c r="E18" s="255">
        <v>2010</v>
      </c>
      <c r="F18" s="271">
        <f>X18*0.1</f>
        <v>5.5676279675227134</v>
      </c>
      <c r="G18" s="255">
        <v>1.05</v>
      </c>
      <c r="H18" s="255">
        <v>1.05</v>
      </c>
      <c r="I18" s="255">
        <v>1.05</v>
      </c>
      <c r="J18" s="255">
        <v>1.05</v>
      </c>
      <c r="K18" s="255">
        <v>1.0049999999999999</v>
      </c>
      <c r="L18" s="269">
        <f>L15*'Production Steps'!$O$15</f>
        <v>4.2098136046292698</v>
      </c>
      <c r="M18" s="269">
        <f>M15*'Production Steps'!$O$15</f>
        <v>5.0422671534848966</v>
      </c>
      <c r="N18" s="269">
        <f>N15*'Production Steps'!$O$15</f>
        <v>5.77826359547438</v>
      </c>
      <c r="O18" s="269">
        <f>O15*'Production Steps'!$O$15</f>
        <v>6.7872139717577387</v>
      </c>
      <c r="P18" s="269">
        <f>P15*'Production Steps'!$O$15</f>
        <v>7.3945170878353839</v>
      </c>
      <c r="Q18" s="269">
        <f>Q15*'Production Steps'!$O$15</f>
        <v>8.0374632521146836</v>
      </c>
      <c r="R18" s="269">
        <f>R15*'Production Steps'!$O$15</f>
        <v>8.7189976390693822</v>
      </c>
      <c r="S18" s="269">
        <f>S15*'Production Steps'!$O$15</f>
        <v>9.4583225385318048</v>
      </c>
      <c r="T18" s="269">
        <f>T15*'Production Steps'!$O$15</f>
        <v>10.260338280404351</v>
      </c>
      <c r="U18" s="269">
        <f>U15*'Production Steps'!$O$15</f>
        <v>11.130360716655412</v>
      </c>
      <c r="V18" s="270"/>
      <c r="W18" s="270">
        <f>'Production Steps'!H12*1.1</f>
        <v>10.68296952799999</v>
      </c>
      <c r="X18" s="270">
        <f>'Production Steps'!I12*1.1</f>
        <v>55.676279675227129</v>
      </c>
    </row>
    <row r="19" spans="1:24" s="252" customFormat="1" x14ac:dyDescent="0.2">
      <c r="A19" s="266" t="s">
        <v>505</v>
      </c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</row>
    <row r="20" spans="1:24" s="252" customFormat="1" x14ac:dyDescent="0.2">
      <c r="A20" s="267" t="s">
        <v>504</v>
      </c>
      <c r="B20" s="268" t="s">
        <v>551</v>
      </c>
      <c r="C20" s="268" t="s">
        <v>552</v>
      </c>
      <c r="D20" s="268" t="str">
        <f>CONCATENATE(MID(B20,4,6),"1")</f>
        <v>CNABMU1</v>
      </c>
      <c r="E20" s="255">
        <v>2010</v>
      </c>
      <c r="F20" s="255"/>
      <c r="G20" s="255">
        <v>1.05</v>
      </c>
      <c r="H20" s="255">
        <v>1.05</v>
      </c>
      <c r="I20" s="255">
        <v>1.05</v>
      </c>
      <c r="J20" s="255">
        <v>1.05</v>
      </c>
      <c r="K20" s="255">
        <v>1.05</v>
      </c>
      <c r="L20" s="269">
        <f>L22*'Production Steps'!$O$10</f>
        <v>1.6252417254226801</v>
      </c>
      <c r="M20" s="269">
        <f>M22*'Production Steps'!$O$10</f>
        <v>1.7986292415236838</v>
      </c>
      <c r="N20" s="269">
        <f>N22*'Production Steps'!$O$10</f>
        <v>1.9586119527750956</v>
      </c>
      <c r="O20" s="269">
        <f>O22*'Production Steps'!$O$10</f>
        <v>2.0465499077507396</v>
      </c>
      <c r="P20" s="269">
        <f>P22*'Production Steps'!$O$10</f>
        <v>2.1387409022615214</v>
      </c>
      <c r="Q20" s="269">
        <f>Q22*'Production Steps'!$O$10</f>
        <v>2.2263201917223272</v>
      </c>
      <c r="R20" s="269">
        <f>R22*'Production Steps'!$O$10</f>
        <v>2.323925947075494</v>
      </c>
      <c r="S20" s="269">
        <f>S22*'Production Steps'!$O$10</f>
        <v>2.4258109087681108</v>
      </c>
      <c r="T20" s="269">
        <f>T22*'Production Steps'!$O$10</f>
        <v>2.53216268466028</v>
      </c>
      <c r="U20" s="269">
        <f>U22*'Production Steps'!$O$10</f>
        <v>2.6431771076674972</v>
      </c>
      <c r="V20" s="270">
        <f>X20*0.8</f>
        <v>317.62849016910593</v>
      </c>
      <c r="W20" s="270">
        <f>'Production Steps'!H14*1.1*'Production Steps'!K14</f>
        <v>812.58461712357939</v>
      </c>
      <c r="X20" s="270">
        <f>'Production Steps'!I14*1.1*'Production Steps'!K14</f>
        <v>397.03561271138238</v>
      </c>
    </row>
    <row r="21" spans="1:24" s="252" customFormat="1" x14ac:dyDescent="0.2">
      <c r="A21" s="255"/>
      <c r="B21" s="268" t="s">
        <v>553</v>
      </c>
      <c r="C21" s="268" t="s">
        <v>554</v>
      </c>
      <c r="D21" s="268" t="str">
        <f t="shared" ref="D21:D25" si="1">CONCATENATE(MID(B21,4,6),"1")</f>
        <v>CNABMU1</v>
      </c>
      <c r="E21" s="255">
        <v>2010</v>
      </c>
      <c r="F21" s="255"/>
      <c r="G21" s="255">
        <v>1.05</v>
      </c>
      <c r="H21" s="255">
        <v>1.05</v>
      </c>
      <c r="I21" s="255">
        <v>1.05</v>
      </c>
      <c r="J21" s="255">
        <v>1.05</v>
      </c>
      <c r="K21" s="255">
        <v>1.05</v>
      </c>
      <c r="L21" s="269">
        <f>L22*'Production Steps'!$O$11</f>
        <v>1.8431718658770848</v>
      </c>
      <c r="M21" s="269">
        <f>M22*'Production Steps'!$O$11</f>
        <v>2.0398090716370869</v>
      </c>
      <c r="N21" s="269">
        <f>N22*'Production Steps'!$O$11</f>
        <v>2.2212440100790287</v>
      </c>
      <c r="O21" s="269">
        <f>O22*'Production Steps'!$O$11</f>
        <v>2.3209736453809522</v>
      </c>
      <c r="P21" s="269">
        <f>P22*'Production Steps'!$O$11</f>
        <v>2.4255266141556797</v>
      </c>
      <c r="Q21" s="269">
        <f>Q22*'Production Steps'!$O$11</f>
        <v>2.5248494901578211</v>
      </c>
      <c r="R21" s="269">
        <f>R22*'Production Steps'!$O$11</f>
        <v>2.6355432899787989</v>
      </c>
      <c r="S21" s="269">
        <f>S22*'Production Steps'!$O$11</f>
        <v>2.7510900988074711</v>
      </c>
      <c r="T21" s="269">
        <f>T22*'Production Steps'!$O$11</f>
        <v>2.871702681012454</v>
      </c>
      <c r="U21" s="269">
        <f>U22*'Production Steps'!$O$11</f>
        <v>2.9976031289229113</v>
      </c>
      <c r="V21" s="270">
        <f>X21*0.8</f>
        <v>311.27592036572383</v>
      </c>
      <c r="W21" s="270">
        <f>'Production Steps'!H15*1.1*'Production Steps'!K15</f>
        <v>796.33292478110786</v>
      </c>
      <c r="X21" s="270">
        <f>'Production Steps'!I15*1.1*'Production Steps'!K15</f>
        <v>389.09490045715478</v>
      </c>
    </row>
    <row r="22" spans="1:24" s="252" customFormat="1" x14ac:dyDescent="0.2">
      <c r="A22" s="255"/>
      <c r="B22" s="268" t="s">
        <v>555</v>
      </c>
      <c r="C22" s="268" t="s">
        <v>556</v>
      </c>
      <c r="D22" s="268" t="str">
        <f t="shared" si="1"/>
        <v>CNABMU1</v>
      </c>
      <c r="E22" s="255">
        <v>2010</v>
      </c>
      <c r="F22" s="255"/>
      <c r="G22" s="255">
        <v>1.05</v>
      </c>
      <c r="H22" s="255">
        <v>1.05</v>
      </c>
      <c r="I22" s="255">
        <v>1.05</v>
      </c>
      <c r="J22" s="255">
        <v>1.05</v>
      </c>
      <c r="K22" s="255">
        <v>1.05</v>
      </c>
      <c r="L22" s="269">
        <f>'AEO Coal Prices'!M8*'Production Steps'!$Q$17*$N$4</f>
        <v>1.8468655970712273</v>
      </c>
      <c r="M22" s="269">
        <f>'AEO Coal Prices'!N8*'Production Steps'!$Q$17*$N$4</f>
        <v>2.0438968653678224</v>
      </c>
      <c r="N22" s="269">
        <f>'AEO Coal Prices'!O8*'Production Steps'!$Q$17*$N$4</f>
        <v>2.2256954008807903</v>
      </c>
      <c r="O22" s="269">
        <f>'AEO Coal Prices'!P8*'Production Steps'!$Q$17*$N$4</f>
        <v>2.3256248951712948</v>
      </c>
      <c r="P22" s="269">
        <f>'AEO Coal Prices'!Q8*'Production Steps'!$Q$17*$N$4</f>
        <v>2.4303873889335468</v>
      </c>
      <c r="Q22" s="269">
        <f>'AEO Coal Prices'!R8*'Production Steps'!$Q$17*$N$4</f>
        <v>2.5299093087753719</v>
      </c>
      <c r="R22" s="269">
        <f>'AEO Coal Prices'!S8*'Production Steps'!$Q$17*$N$4</f>
        <v>2.6408249398585162</v>
      </c>
      <c r="S22" s="269">
        <f>R22*(1+(R22-Q22)/Q22)</f>
        <v>2.7566033054183077</v>
      </c>
      <c r="T22" s="269">
        <f>S22*(1+(S22-R22)/R22)</f>
        <v>2.8774575962048639</v>
      </c>
      <c r="U22" s="269">
        <f>T22*(1+(T22-S22)/S22)</f>
        <v>3.0036103496221558</v>
      </c>
      <c r="V22" s="270">
        <f>X22*0.8</f>
        <v>6.3525698033821048</v>
      </c>
      <c r="W22" s="270">
        <f>'Production Steps'!H16*1.1*'Production Steps'!K16</f>
        <v>16.251692342471618</v>
      </c>
      <c r="X22" s="270">
        <f>'Production Steps'!I16*1.1*'Production Steps'!K16</f>
        <v>7.9407122542276305</v>
      </c>
    </row>
    <row r="23" spans="1:24" s="252" customFormat="1" x14ac:dyDescent="0.2">
      <c r="A23" s="255"/>
      <c r="B23" s="268" t="s">
        <v>557</v>
      </c>
      <c r="C23" s="268" t="s">
        <v>558</v>
      </c>
      <c r="D23" s="268" t="str">
        <f t="shared" si="1"/>
        <v>CNABMU1</v>
      </c>
      <c r="E23" s="255">
        <v>2010</v>
      </c>
      <c r="F23" s="271"/>
      <c r="G23" s="255">
        <v>1.05</v>
      </c>
      <c r="H23" s="255">
        <v>1.05</v>
      </c>
      <c r="I23" s="255">
        <v>1.05</v>
      </c>
      <c r="J23" s="255">
        <v>1.05</v>
      </c>
      <c r="K23" s="255">
        <v>1.05</v>
      </c>
      <c r="L23" s="269">
        <f>L22*'Production Steps'!$O$13</f>
        <v>1.8524061938624408</v>
      </c>
      <c r="M23" s="269">
        <f>M22*'Production Steps'!$O$13</f>
        <v>2.0500285559639257</v>
      </c>
      <c r="N23" s="269">
        <f>N22*'Production Steps'!$O$13</f>
        <v>2.2323724870834325</v>
      </c>
      <c r="O23" s="269">
        <f>O22*'Production Steps'!$O$13</f>
        <v>2.3326017698568084</v>
      </c>
      <c r="P23" s="269">
        <f>P22*'Production Steps'!$O$13</f>
        <v>2.4376785511003471</v>
      </c>
      <c r="Q23" s="269">
        <f>Q22*'Production Steps'!$O$13</f>
        <v>2.5374990367016976</v>
      </c>
      <c r="R23" s="269">
        <f>R22*'Production Steps'!$O$13</f>
        <v>2.6487474146780916</v>
      </c>
      <c r="S23" s="269">
        <f>S22*'Production Steps'!$O$13</f>
        <v>2.7648731153345625</v>
      </c>
      <c r="T23" s="269">
        <f>T22*'Production Steps'!$O$13</f>
        <v>2.886089968993478</v>
      </c>
      <c r="U23" s="269">
        <f>U22*'Production Steps'!$O$13</f>
        <v>3.0126211806710219</v>
      </c>
      <c r="V23" s="270">
        <f>X23*0.8</f>
        <v>6.3525698033821048</v>
      </c>
      <c r="W23" s="270">
        <f>'Production Steps'!H17*1.1*'Production Steps'!K17</f>
        <v>16.251692342471618</v>
      </c>
      <c r="X23" s="270">
        <f>'Production Steps'!I17*1.1*'Production Steps'!K17</f>
        <v>7.9407122542276305</v>
      </c>
    </row>
    <row r="24" spans="1:24" s="252" customFormat="1" x14ac:dyDescent="0.2">
      <c r="A24" s="255"/>
      <c r="B24" s="268" t="s">
        <v>559</v>
      </c>
      <c r="C24" s="268" t="s">
        <v>560</v>
      </c>
      <c r="D24" s="268" t="str">
        <f t="shared" si="1"/>
        <v>CNABMU1</v>
      </c>
      <c r="E24" s="255">
        <v>2010</v>
      </c>
      <c r="F24" s="271">
        <f>X24*0.1</f>
        <v>7.1466410288048952</v>
      </c>
      <c r="G24" s="255">
        <v>1.05</v>
      </c>
      <c r="H24" s="255">
        <v>1.05</v>
      </c>
      <c r="I24" s="255">
        <v>1.05</v>
      </c>
      <c r="J24" s="255">
        <v>1.05</v>
      </c>
      <c r="K24" s="255">
        <v>1.05</v>
      </c>
      <c r="L24" s="269">
        <f>L22*'Production Steps'!$O$14</f>
        <v>2.068489468719775</v>
      </c>
      <c r="M24" s="269">
        <f>M22*'Production Steps'!$O$14</f>
        <v>2.2891644892119611</v>
      </c>
      <c r="N24" s="269">
        <f>N22*'Production Steps'!$O$14</f>
        <v>2.4927788489864855</v>
      </c>
      <c r="O24" s="269">
        <f>O22*'Production Steps'!$O$14</f>
        <v>2.6046998825918504</v>
      </c>
      <c r="P24" s="269">
        <f>P22*'Production Steps'!$O$14</f>
        <v>2.7220338756055726</v>
      </c>
      <c r="Q24" s="269">
        <f>Q22*'Production Steps'!$O$14</f>
        <v>2.8334984258284166</v>
      </c>
      <c r="R24" s="269">
        <f>R22*'Production Steps'!$O$14</f>
        <v>2.9577239326415383</v>
      </c>
      <c r="S24" s="269">
        <f>S22*'Production Steps'!$O$14</f>
        <v>3.087395702068505</v>
      </c>
      <c r="T24" s="269">
        <f>T22*'Production Steps'!$O$14</f>
        <v>3.2227525077494477</v>
      </c>
      <c r="U24" s="269">
        <f>U22*'Production Steps'!$O$14</f>
        <v>3.3640435915768148</v>
      </c>
      <c r="V24" s="270"/>
      <c r="W24" s="270">
        <f>'Production Steps'!H18*1.1*'Production Steps'!K18</f>
        <v>146.26523108224441</v>
      </c>
      <c r="X24" s="270">
        <f>'Production Steps'!I18*1.1*'Production Steps'!K18</f>
        <v>71.466410288048948</v>
      </c>
    </row>
    <row r="25" spans="1:24" s="252" customFormat="1" x14ac:dyDescent="0.2">
      <c r="A25" s="255"/>
      <c r="B25" s="268" t="s">
        <v>561</v>
      </c>
      <c r="C25" s="268" t="s">
        <v>562</v>
      </c>
      <c r="D25" s="268" t="str">
        <f t="shared" si="1"/>
        <v>CNABMU1</v>
      </c>
      <c r="E25" s="255">
        <v>2010</v>
      </c>
      <c r="F25" s="271">
        <f>X25*0.1</f>
        <v>7.9407122542276314</v>
      </c>
      <c r="G25" s="255">
        <v>1.05</v>
      </c>
      <c r="H25" s="255">
        <v>1.05</v>
      </c>
      <c r="I25" s="255">
        <v>1.05</v>
      </c>
      <c r="J25" s="255">
        <v>1.05</v>
      </c>
      <c r="K25" s="255">
        <v>1.05</v>
      </c>
      <c r="L25" s="269">
        <f>L22*'Production Steps'!$O$15</f>
        <v>2.825704363518978</v>
      </c>
      <c r="M25" s="269">
        <f>M22*'Production Steps'!$O$15</f>
        <v>3.1271622040127682</v>
      </c>
      <c r="N25" s="269">
        <f>N22*'Production Steps'!$O$15</f>
        <v>3.4053139633476093</v>
      </c>
      <c r="O25" s="269">
        <f>O22*'Production Steps'!$O$15</f>
        <v>3.5582060896120811</v>
      </c>
      <c r="P25" s="269">
        <f>P22*'Production Steps'!$O$15</f>
        <v>3.7184927050683267</v>
      </c>
      <c r="Q25" s="269">
        <f>Q22*'Production Steps'!$O$15</f>
        <v>3.8707612424263189</v>
      </c>
      <c r="R25" s="269">
        <f>R22*'Production Steps'!$O$15</f>
        <v>4.04046215798353</v>
      </c>
      <c r="S25" s="269">
        <f>S22*'Production Steps'!$O$15</f>
        <v>4.2176030572900105</v>
      </c>
      <c r="T25" s="269">
        <f>T22*'Production Steps'!$O$15</f>
        <v>4.4025101221934415</v>
      </c>
      <c r="U25" s="269">
        <f>U22*'Production Steps'!$O$15</f>
        <v>4.5955238349218988</v>
      </c>
      <c r="V25" s="270"/>
      <c r="W25" s="270">
        <f>'Production Steps'!H19*1.1*'Production Steps'!K19</f>
        <v>162.51692342471583</v>
      </c>
      <c r="X25" s="270">
        <f>'Production Steps'!I19*1.1*'Production Steps'!K19</f>
        <v>79.407122542276312</v>
      </c>
    </row>
    <row r="26" spans="1:24" s="252" customFormat="1" x14ac:dyDescent="0.2">
      <c r="A26" s="266" t="s">
        <v>505</v>
      </c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</row>
    <row r="27" spans="1:24" s="252" customFormat="1" x14ac:dyDescent="0.2">
      <c r="A27" s="267" t="s">
        <v>504</v>
      </c>
      <c r="B27" s="268" t="s">
        <v>563</v>
      </c>
      <c r="C27" s="268" t="s">
        <v>564</v>
      </c>
      <c r="D27" s="268" t="str">
        <f>CONCATENATE(MID(B27,4,6),"1")</f>
        <v>CNABMS1</v>
      </c>
      <c r="E27" s="255">
        <v>2010</v>
      </c>
      <c r="F27" s="255"/>
      <c r="G27" s="255">
        <v>1.05</v>
      </c>
      <c r="H27" s="255">
        <v>1.05</v>
      </c>
      <c r="I27" s="255">
        <v>1.05</v>
      </c>
      <c r="J27" s="255">
        <v>1.05</v>
      </c>
      <c r="K27" s="255">
        <v>1.05</v>
      </c>
      <c r="L27" s="269">
        <f>L29*'Production Steps'!$O$10</f>
        <v>1.6252417254226801</v>
      </c>
      <c r="M27" s="269">
        <f>M29*'Production Steps'!$O$10</f>
        <v>1.7986292415236838</v>
      </c>
      <c r="N27" s="269">
        <f>N29*'Production Steps'!$O$10</f>
        <v>1.9586119527750956</v>
      </c>
      <c r="O27" s="269">
        <f>O29*'Production Steps'!$O$10</f>
        <v>2.0465499077507396</v>
      </c>
      <c r="P27" s="269">
        <f>P29*'Production Steps'!$O$10</f>
        <v>2.1387409022615214</v>
      </c>
      <c r="Q27" s="269">
        <f>Q29*'Production Steps'!$O$10</f>
        <v>2.2263201917223272</v>
      </c>
      <c r="R27" s="269">
        <f>R29*'Production Steps'!$O$10</f>
        <v>2.323925947075494</v>
      </c>
      <c r="S27" s="269">
        <f>S29*'Production Steps'!$O$10</f>
        <v>2.4258109087681108</v>
      </c>
      <c r="T27" s="269">
        <f>T29*'Production Steps'!$O$10</f>
        <v>2.53216268466028</v>
      </c>
      <c r="U27" s="269">
        <f>U29*'Production Steps'!$O$10</f>
        <v>2.6431771076674972</v>
      </c>
      <c r="V27" s="270">
        <f>X27*0.8</f>
        <v>111.01309943859609</v>
      </c>
      <c r="W27" s="270">
        <f>'Production Steps'!H14*1.1*'Production Steps'!L14</f>
        <v>284.00329219518943</v>
      </c>
      <c r="X27" s="270">
        <f>'Production Steps'!I14*1.1*'Production Steps'!L14</f>
        <v>138.7663742982451</v>
      </c>
    </row>
    <row r="28" spans="1:24" s="252" customFormat="1" x14ac:dyDescent="0.2">
      <c r="A28" s="255"/>
      <c r="B28" s="268" t="s">
        <v>565</v>
      </c>
      <c r="C28" s="268" t="s">
        <v>566</v>
      </c>
      <c r="D28" s="268" t="str">
        <f t="shared" ref="D28:D32" si="2">CONCATENATE(MID(B28,4,6),"1")</f>
        <v>CNABMS1</v>
      </c>
      <c r="E28" s="255">
        <v>2010</v>
      </c>
      <c r="F28" s="255"/>
      <c r="G28" s="255">
        <v>1.05</v>
      </c>
      <c r="H28" s="255">
        <v>1.05</v>
      </c>
      <c r="I28" s="255">
        <v>1.05</v>
      </c>
      <c r="J28" s="255">
        <v>1.05</v>
      </c>
      <c r="K28" s="255">
        <v>1.05</v>
      </c>
      <c r="L28" s="269">
        <f>L29*'Production Steps'!$O$11</f>
        <v>1.8431718658770848</v>
      </c>
      <c r="M28" s="269">
        <f>M29*'Production Steps'!$O$11</f>
        <v>2.0398090716370869</v>
      </c>
      <c r="N28" s="269">
        <f>N29*'Production Steps'!$O$11</f>
        <v>2.2212440100790287</v>
      </c>
      <c r="O28" s="269">
        <f>O29*'Production Steps'!$O$11</f>
        <v>2.3209736453809522</v>
      </c>
      <c r="P28" s="269">
        <f>P29*'Production Steps'!$O$11</f>
        <v>2.4255266141556797</v>
      </c>
      <c r="Q28" s="269">
        <f>Q29*'Production Steps'!$O$11</f>
        <v>2.5248494901578211</v>
      </c>
      <c r="R28" s="269">
        <f>R29*'Production Steps'!$O$11</f>
        <v>2.6355432899787989</v>
      </c>
      <c r="S28" s="269">
        <f>S29*'Production Steps'!$O$11</f>
        <v>2.7510900988074711</v>
      </c>
      <c r="T28" s="269">
        <f>T29*'Production Steps'!$O$11</f>
        <v>2.871702681012454</v>
      </c>
      <c r="U28" s="269">
        <f>U29*'Production Steps'!$O$11</f>
        <v>2.9976031289229113</v>
      </c>
      <c r="V28" s="270">
        <f>X28*0.8</f>
        <v>108.79283744982418</v>
      </c>
      <c r="W28" s="270">
        <f>'Production Steps'!H15*1.1*'Production Steps'!L15</f>
        <v>278.32322635128565</v>
      </c>
      <c r="X28" s="270">
        <f>'Production Steps'!I15*1.1*'Production Steps'!L15</f>
        <v>135.99104681228022</v>
      </c>
    </row>
    <row r="29" spans="1:24" s="252" customFormat="1" x14ac:dyDescent="0.2">
      <c r="A29" s="255"/>
      <c r="B29" s="268" t="s">
        <v>567</v>
      </c>
      <c r="C29" s="268" t="s">
        <v>568</v>
      </c>
      <c r="D29" s="268" t="str">
        <f t="shared" si="2"/>
        <v>CNABMS1</v>
      </c>
      <c r="E29" s="255">
        <v>2010</v>
      </c>
      <c r="F29" s="255"/>
      <c r="G29" s="255">
        <v>1.05</v>
      </c>
      <c r="H29" s="255">
        <v>1.05</v>
      </c>
      <c r="I29" s="255">
        <v>1.05</v>
      </c>
      <c r="J29" s="255">
        <v>1.05</v>
      </c>
      <c r="K29" s="255">
        <v>1.05</v>
      </c>
      <c r="L29" s="269">
        <f t="shared" ref="L29:R29" si="3">L22</f>
        <v>1.8468655970712273</v>
      </c>
      <c r="M29" s="269">
        <f t="shared" si="3"/>
        <v>2.0438968653678224</v>
      </c>
      <c r="N29" s="269">
        <f t="shared" si="3"/>
        <v>2.2256954008807903</v>
      </c>
      <c r="O29" s="269">
        <f t="shared" si="3"/>
        <v>2.3256248951712948</v>
      </c>
      <c r="P29" s="269">
        <f t="shared" si="3"/>
        <v>2.4303873889335468</v>
      </c>
      <c r="Q29" s="269">
        <f t="shared" si="3"/>
        <v>2.5299093087753719</v>
      </c>
      <c r="R29" s="269">
        <f t="shared" si="3"/>
        <v>2.6408249398585162</v>
      </c>
      <c r="S29" s="269">
        <f>R29*(1+(R29-Q29)/Q29)</f>
        <v>2.7566033054183077</v>
      </c>
      <c r="T29" s="269">
        <f>S29*(1+(S29-R29)/R29)</f>
        <v>2.8774575962048639</v>
      </c>
      <c r="U29" s="269">
        <f>T29*(1+(T29-S29)/S29)</f>
        <v>3.0036103496221558</v>
      </c>
      <c r="V29" s="270">
        <f>X29*0.8</f>
        <v>2.2202619887719166</v>
      </c>
      <c r="W29" s="270">
        <f>'Production Steps'!H16*1.1*'Production Steps'!L16</f>
        <v>5.6800658439037992</v>
      </c>
      <c r="X29" s="270">
        <f>'Production Steps'!I16*1.1*'Production Steps'!L16</f>
        <v>2.7753274859648958</v>
      </c>
    </row>
    <row r="30" spans="1:24" s="252" customFormat="1" x14ac:dyDescent="0.2">
      <c r="A30" s="255"/>
      <c r="B30" s="268" t="s">
        <v>569</v>
      </c>
      <c r="C30" s="268" t="s">
        <v>570</v>
      </c>
      <c r="D30" s="268" t="str">
        <f t="shared" si="2"/>
        <v>CNABMS1</v>
      </c>
      <c r="E30" s="255">
        <v>2010</v>
      </c>
      <c r="F30" s="271"/>
      <c r="G30" s="255">
        <v>1.05</v>
      </c>
      <c r="H30" s="255">
        <v>1.05</v>
      </c>
      <c r="I30" s="255">
        <v>1.05</v>
      </c>
      <c r="J30" s="255">
        <v>1.05</v>
      </c>
      <c r="K30" s="255">
        <v>1.05</v>
      </c>
      <c r="L30" s="269">
        <f>L29*'Production Steps'!$O$13</f>
        <v>1.8524061938624408</v>
      </c>
      <c r="M30" s="269">
        <f>M29*'Production Steps'!$O$13</f>
        <v>2.0500285559639257</v>
      </c>
      <c r="N30" s="269">
        <f>N29*'Production Steps'!$O$13</f>
        <v>2.2323724870834325</v>
      </c>
      <c r="O30" s="269">
        <f>O29*'Production Steps'!$O$13</f>
        <v>2.3326017698568084</v>
      </c>
      <c r="P30" s="269">
        <f>P29*'Production Steps'!$O$13</f>
        <v>2.4376785511003471</v>
      </c>
      <c r="Q30" s="269">
        <f>Q29*'Production Steps'!$O$13</f>
        <v>2.5374990367016976</v>
      </c>
      <c r="R30" s="269">
        <f>R29*'Production Steps'!$O$13</f>
        <v>2.6487474146780916</v>
      </c>
      <c r="S30" s="269">
        <f>S29*'Production Steps'!$O$13</f>
        <v>2.7648731153345625</v>
      </c>
      <c r="T30" s="269">
        <f>T29*'Production Steps'!$O$13</f>
        <v>2.886089968993478</v>
      </c>
      <c r="U30" s="269">
        <f>U29*'Production Steps'!$O$13</f>
        <v>3.0126211806710219</v>
      </c>
      <c r="V30" s="270">
        <f>X30*0.8</f>
        <v>2.2202619887719166</v>
      </c>
      <c r="W30" s="270">
        <f>'Production Steps'!H17*1.1*'Production Steps'!L17</f>
        <v>5.6800658439037992</v>
      </c>
      <c r="X30" s="270">
        <f>'Production Steps'!I17*1.1*'Production Steps'!L17</f>
        <v>2.7753274859648958</v>
      </c>
    </row>
    <row r="31" spans="1:24" s="252" customFormat="1" x14ac:dyDescent="0.2">
      <c r="A31" s="255"/>
      <c r="B31" s="268" t="s">
        <v>571</v>
      </c>
      <c r="C31" s="268" t="s">
        <v>572</v>
      </c>
      <c r="D31" s="268" t="str">
        <f t="shared" si="2"/>
        <v>CNABMS1</v>
      </c>
      <c r="E31" s="255">
        <v>2010</v>
      </c>
      <c r="F31" s="271">
        <f>X31*0.1</f>
        <v>2.497794737368416</v>
      </c>
      <c r="G31" s="255">
        <v>1.05</v>
      </c>
      <c r="H31" s="255">
        <v>1.05</v>
      </c>
      <c r="I31" s="255">
        <v>1.05</v>
      </c>
      <c r="J31" s="255">
        <v>1.05</v>
      </c>
      <c r="K31" s="255">
        <v>1.05</v>
      </c>
      <c r="L31" s="269">
        <f>L29*'Production Steps'!$O$14</f>
        <v>2.068489468719775</v>
      </c>
      <c r="M31" s="269">
        <f>M29*'Production Steps'!$O$14</f>
        <v>2.2891644892119611</v>
      </c>
      <c r="N31" s="269">
        <f>N29*'Production Steps'!$O$14</f>
        <v>2.4927788489864855</v>
      </c>
      <c r="O31" s="269">
        <f>O29*'Production Steps'!$O$14</f>
        <v>2.6046998825918504</v>
      </c>
      <c r="P31" s="269">
        <f>P29*'Production Steps'!$O$14</f>
        <v>2.7220338756055726</v>
      </c>
      <c r="Q31" s="269">
        <f>Q29*'Production Steps'!$O$14</f>
        <v>2.8334984258284166</v>
      </c>
      <c r="R31" s="269">
        <f>R29*'Production Steps'!$O$14</f>
        <v>2.9577239326415383</v>
      </c>
      <c r="S31" s="269">
        <f>S29*'Production Steps'!$O$14</f>
        <v>3.087395702068505</v>
      </c>
      <c r="T31" s="269">
        <f>T29*'Production Steps'!$O$14</f>
        <v>3.2227525077494477</v>
      </c>
      <c r="U31" s="269">
        <f>U29*'Production Steps'!$O$14</f>
        <v>3.3640435915768148</v>
      </c>
      <c r="V31" s="270"/>
      <c r="W31" s="270">
        <f>'Production Steps'!H18*1.1*'Production Steps'!L18</f>
        <v>51.120592595134134</v>
      </c>
      <c r="X31" s="270">
        <f>'Production Steps'!I18*1.1*'Production Steps'!L18</f>
        <v>24.97794737368416</v>
      </c>
    </row>
    <row r="32" spans="1:24" s="252" customFormat="1" x14ac:dyDescent="0.2">
      <c r="A32" s="255"/>
      <c r="B32" s="268" t="s">
        <v>573</v>
      </c>
      <c r="C32" s="268" t="s">
        <v>574</v>
      </c>
      <c r="D32" s="268" t="str">
        <f t="shared" si="2"/>
        <v>CNABMS1</v>
      </c>
      <c r="E32" s="255">
        <v>2010</v>
      </c>
      <c r="F32" s="271">
        <f>X32*0.1</f>
        <v>2.7753274859648958</v>
      </c>
      <c r="G32" s="255">
        <v>1.05</v>
      </c>
      <c r="H32" s="255">
        <v>1.05</v>
      </c>
      <c r="I32" s="255">
        <v>1.05</v>
      </c>
      <c r="J32" s="255">
        <v>1.05</v>
      </c>
      <c r="K32" s="255">
        <v>1.05</v>
      </c>
      <c r="L32" s="269">
        <f>L29*'Production Steps'!$O$15</f>
        <v>2.825704363518978</v>
      </c>
      <c r="M32" s="269">
        <f>M29*'Production Steps'!$O$15</f>
        <v>3.1271622040127682</v>
      </c>
      <c r="N32" s="269">
        <f>N29*'Production Steps'!$O$15</f>
        <v>3.4053139633476093</v>
      </c>
      <c r="O32" s="269">
        <f>O29*'Production Steps'!$O$15</f>
        <v>3.5582060896120811</v>
      </c>
      <c r="P32" s="269">
        <f>P29*'Production Steps'!$O$15</f>
        <v>3.7184927050683267</v>
      </c>
      <c r="Q32" s="269">
        <f>Q29*'Production Steps'!$O$15</f>
        <v>3.8707612424263189</v>
      </c>
      <c r="R32" s="269">
        <f>R29*'Production Steps'!$O$15</f>
        <v>4.04046215798353</v>
      </c>
      <c r="S32" s="269">
        <f>S29*'Production Steps'!$O$15</f>
        <v>4.2176030572900105</v>
      </c>
      <c r="T32" s="269">
        <f>T29*'Production Steps'!$O$15</f>
        <v>4.4025101221934415</v>
      </c>
      <c r="U32" s="269">
        <f>U29*'Production Steps'!$O$15</f>
        <v>4.5955238349218988</v>
      </c>
      <c r="V32" s="270"/>
      <c r="W32" s="270">
        <f>'Production Steps'!H19*1.1*'Production Steps'!L19</f>
        <v>56.800658439037868</v>
      </c>
      <c r="X32" s="270">
        <f>'Production Steps'!I19*1.1*'Production Steps'!L19</f>
        <v>27.753274859648958</v>
      </c>
    </row>
    <row r="33" spans="1:24" s="252" customFormat="1" x14ac:dyDescent="0.2">
      <c r="A33" s="266" t="s">
        <v>505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</row>
    <row r="34" spans="1:24" s="252" customFormat="1" x14ac:dyDescent="0.2">
      <c r="A34" s="267" t="s">
        <v>504</v>
      </c>
      <c r="B34" s="268" t="s">
        <v>575</v>
      </c>
      <c r="C34" s="268" t="s">
        <v>576</v>
      </c>
      <c r="D34" s="268" t="str">
        <f>CONCATENATE(MID(B34,4,6),"1")</f>
        <v>CNABHU1</v>
      </c>
      <c r="E34" s="255">
        <v>2010</v>
      </c>
      <c r="F34" s="255"/>
      <c r="G34" s="255">
        <v>1.05</v>
      </c>
      <c r="H34" s="255">
        <v>1.05</v>
      </c>
      <c r="I34" s="255">
        <v>1.05</v>
      </c>
      <c r="J34" s="255">
        <v>1.05</v>
      </c>
      <c r="K34" s="255">
        <v>1.0049999999999999</v>
      </c>
      <c r="L34" s="269">
        <f>L36*'Production Steps'!$O$10</f>
        <v>1.5963671691796664</v>
      </c>
      <c r="M34" s="269">
        <f>M36*'Production Steps'!$O$10</f>
        <v>1.7470788543671858</v>
      </c>
      <c r="N34" s="269">
        <f>N36*'Production Steps'!$O$10</f>
        <v>1.9350999725113722</v>
      </c>
      <c r="O34" s="269">
        <f>O36*'Production Steps'!$O$10</f>
        <v>2.0183162761517592</v>
      </c>
      <c r="P34" s="269">
        <f>P36*'Production Steps'!$O$10</f>
        <v>2.1129529873712913</v>
      </c>
      <c r="Q34" s="269">
        <f>Q36*'Production Steps'!$O$10</f>
        <v>2.1904386191755125</v>
      </c>
      <c r="R34" s="269">
        <f>R36*'Production Steps'!$O$10</f>
        <v>2.2828618196541908</v>
      </c>
      <c r="S34" s="269">
        <f>S36*'Production Steps'!$O$10</f>
        <v>2.379184717623565</v>
      </c>
      <c r="T34" s="269">
        <f>T36*'Production Steps'!$O$10</f>
        <v>2.4795718566229215</v>
      </c>
      <c r="U34" s="269">
        <f>U36*'Production Steps'!$O$10</f>
        <v>2.5841947229291264</v>
      </c>
      <c r="V34" s="270">
        <f>X34*0.8</f>
        <v>717.92908354730844</v>
      </c>
      <c r="W34" s="270">
        <f>'Production Steps'!H21*1.1*'Production Steps'!K21</f>
        <v>708.60172759832915</v>
      </c>
      <c r="X34" s="270">
        <f>'Production Steps'!I21*1.1*'Production Steps'!K21</f>
        <v>897.41135443413543</v>
      </c>
    </row>
    <row r="35" spans="1:24" s="252" customFormat="1" x14ac:dyDescent="0.2">
      <c r="A35" s="255"/>
      <c r="B35" s="268" t="s">
        <v>577</v>
      </c>
      <c r="C35" s="268" t="s">
        <v>578</v>
      </c>
      <c r="D35" s="268" t="str">
        <f t="shared" ref="D35:D39" si="4">CONCATENATE(MID(B35,4,6),"1")</f>
        <v>CNABHU1</v>
      </c>
      <c r="E35" s="255">
        <v>2010</v>
      </c>
      <c r="F35" s="255"/>
      <c r="G35" s="255">
        <v>1.05</v>
      </c>
      <c r="H35" s="255">
        <v>1.05</v>
      </c>
      <c r="I35" s="255">
        <v>1.05</v>
      </c>
      <c r="J35" s="255">
        <v>1.05</v>
      </c>
      <c r="K35" s="255">
        <v>1.0049999999999999</v>
      </c>
      <c r="L35" s="269">
        <f>L36*'Production Steps'!$O$11</f>
        <v>1.8104254941378488</v>
      </c>
      <c r="M35" s="269">
        <f>M36*'Production Steps'!$O$11</f>
        <v>1.9813462462027855</v>
      </c>
      <c r="N35" s="269">
        <f>N36*'Production Steps'!$O$11</f>
        <v>2.1945792870072154</v>
      </c>
      <c r="O35" s="269">
        <f>O36*'Production Steps'!$O$11</f>
        <v>2.2889541404539271</v>
      </c>
      <c r="P35" s="269">
        <f>P36*'Production Steps'!$O$11</f>
        <v>2.3962807743142602</v>
      </c>
      <c r="Q35" s="269">
        <f>Q36*'Production Steps'!$O$11</f>
        <v>2.4841565249285926</v>
      </c>
      <c r="R35" s="269">
        <f>R36*'Production Steps'!$O$11</f>
        <v>2.5889728363805484</v>
      </c>
      <c r="S35" s="269">
        <f>S36*'Production Steps'!$O$11</f>
        <v>2.6982117593049066</v>
      </c>
      <c r="T35" s="269">
        <f>T36*'Production Steps'!$O$11</f>
        <v>2.8120599010337219</v>
      </c>
      <c r="U35" s="269">
        <f>U36*'Production Steps'!$O$11</f>
        <v>2.9307117425946232</v>
      </c>
      <c r="V35" s="270">
        <f>X35*0.8</f>
        <v>703.57050187636219</v>
      </c>
      <c r="W35" s="270">
        <f>'Production Steps'!H22*1.1*'Production Steps'!K22</f>
        <v>694.42969304636256</v>
      </c>
      <c r="X35" s="270">
        <f>'Production Steps'!I22*1.1*'Production Steps'!K22</f>
        <v>879.46312734545268</v>
      </c>
    </row>
    <row r="36" spans="1:24" s="252" customFormat="1" x14ac:dyDescent="0.2">
      <c r="A36" s="255"/>
      <c r="B36" s="268" t="s">
        <v>579</v>
      </c>
      <c r="C36" s="268" t="s">
        <v>580</v>
      </c>
      <c r="D36" s="268" t="str">
        <f t="shared" si="4"/>
        <v>CNABHU1</v>
      </c>
      <c r="E36" s="255">
        <v>2010</v>
      </c>
      <c r="F36" s="255"/>
      <c r="G36" s="255">
        <v>1.05</v>
      </c>
      <c r="H36" s="255">
        <v>1.05</v>
      </c>
      <c r="I36" s="255">
        <v>1.05</v>
      </c>
      <c r="J36" s="255">
        <v>1.05</v>
      </c>
      <c r="K36" s="255">
        <v>1.0049999999999999</v>
      </c>
      <c r="L36" s="269">
        <f>'AEO Coal Prices'!M9*'Production Steps'!$Q$17*$N$4</f>
        <v>1.81405360134053</v>
      </c>
      <c r="M36" s="269">
        <f>'AEO Coal Prices'!N9*'Production Steps'!$Q$17*$N$4</f>
        <v>1.985316879962711</v>
      </c>
      <c r="N36" s="269">
        <f>'AEO Coal Prices'!O9*'Production Steps'!$Q$17*$N$4</f>
        <v>2.1989772414901956</v>
      </c>
      <c r="O36" s="269">
        <f>'AEO Coal Prices'!P9*'Production Steps'!$Q$17*$N$4</f>
        <v>2.2935412228997265</v>
      </c>
      <c r="P36" s="269">
        <f>'AEO Coal Prices'!Q9*'Production Steps'!$Q$17*$N$4</f>
        <v>2.4010829401946494</v>
      </c>
      <c r="Q36" s="269">
        <f>'AEO Coal Prices'!R9*'Production Steps'!$Q$17*$N$4</f>
        <v>2.4891347945176281</v>
      </c>
      <c r="R36" s="269">
        <f>'AEO Coal Prices'!S9*'Production Steps'!$Q$17*$N$4</f>
        <v>2.5941611586979443</v>
      </c>
      <c r="S36" s="269">
        <f>R36*(1+(R36-Q36)/Q36)</f>
        <v>2.7036189972995057</v>
      </c>
      <c r="T36" s="269">
        <f>S36*(1+(S36-R36)/R36)</f>
        <v>2.817695291616956</v>
      </c>
      <c r="U36" s="269">
        <f>T36*(1+(T36-S36)/S36)</f>
        <v>2.9365849124194621</v>
      </c>
      <c r="V36" s="270">
        <f>X36*0.8</f>
        <v>14.358581670946251</v>
      </c>
      <c r="W36" s="270">
        <f>'Production Steps'!H23*1.1*'Production Steps'!K23</f>
        <v>14.172034551966659</v>
      </c>
      <c r="X36" s="270">
        <f>'Production Steps'!I23*1.1*'Production Steps'!K23</f>
        <v>17.948227088682813</v>
      </c>
    </row>
    <row r="37" spans="1:24" s="252" customFormat="1" x14ac:dyDescent="0.2">
      <c r="A37" s="255"/>
      <c r="B37" s="268" t="s">
        <v>581</v>
      </c>
      <c r="C37" s="268" t="s">
        <v>582</v>
      </c>
      <c r="D37" s="268" t="str">
        <f t="shared" si="4"/>
        <v>CNABHU1</v>
      </c>
      <c r="E37" s="255">
        <v>2010</v>
      </c>
      <c r="F37" s="271"/>
      <c r="G37" s="255">
        <v>1.05</v>
      </c>
      <c r="H37" s="255">
        <v>1.05</v>
      </c>
      <c r="I37" s="255">
        <v>1.05</v>
      </c>
      <c r="J37" s="255">
        <v>1.05</v>
      </c>
      <c r="K37" s="255">
        <v>1.0049999999999999</v>
      </c>
      <c r="L37" s="269">
        <f>L36*'Production Steps'!$O$13</f>
        <v>1.8194957621445513</v>
      </c>
      <c r="M37" s="269">
        <f>M36*'Production Steps'!$O$13</f>
        <v>1.9912728306025989</v>
      </c>
      <c r="N37" s="269">
        <f>N36*'Production Steps'!$O$13</f>
        <v>2.2055741732146661</v>
      </c>
      <c r="O37" s="269">
        <f>O36*'Production Steps'!$O$13</f>
        <v>2.3004218465684256</v>
      </c>
      <c r="P37" s="269">
        <f>P36*'Production Steps'!$O$13</f>
        <v>2.4082861890152332</v>
      </c>
      <c r="Q37" s="269">
        <f>Q36*'Production Steps'!$O$13</f>
        <v>2.4966021989011806</v>
      </c>
      <c r="R37" s="269">
        <f>R36*'Production Steps'!$O$13</f>
        <v>2.6019436421740378</v>
      </c>
      <c r="S37" s="269">
        <f>S36*'Production Steps'!$O$13</f>
        <v>2.7117298542914039</v>
      </c>
      <c r="T37" s="269">
        <f>T36*'Production Steps'!$O$13</f>
        <v>2.8261483774918066</v>
      </c>
      <c r="U37" s="269">
        <f>U36*'Production Steps'!$O$13</f>
        <v>2.9453946671567199</v>
      </c>
      <c r="V37" s="270">
        <f>X37*0.8</f>
        <v>14.358581670946093</v>
      </c>
      <c r="W37" s="270">
        <f>'Production Steps'!H24*1.1*'Production Steps'!K24</f>
        <v>14.172034551966659</v>
      </c>
      <c r="X37" s="270">
        <f>'Production Steps'!I24*1.1*'Production Steps'!K24</f>
        <v>17.948227088682614</v>
      </c>
    </row>
    <row r="38" spans="1:24" s="252" customFormat="1" x14ac:dyDescent="0.2">
      <c r="A38" s="255"/>
      <c r="B38" s="268" t="s">
        <v>583</v>
      </c>
      <c r="C38" s="268" t="s">
        <v>584</v>
      </c>
      <c r="D38" s="268" t="str">
        <f t="shared" si="4"/>
        <v>CNABHU1</v>
      </c>
      <c r="E38" s="255">
        <v>2010</v>
      </c>
      <c r="F38" s="271">
        <f>X38*0.1</f>
        <v>16.15340437981445</v>
      </c>
      <c r="G38" s="255">
        <v>1.05</v>
      </c>
      <c r="H38" s="255">
        <v>1.05</v>
      </c>
      <c r="I38" s="255">
        <v>1.05</v>
      </c>
      <c r="J38" s="255">
        <v>1.05</v>
      </c>
      <c r="K38" s="255">
        <v>1.0049999999999999</v>
      </c>
      <c r="L38" s="269">
        <f>L36*'Production Steps'!$O$14</f>
        <v>2.0317400335013938</v>
      </c>
      <c r="M38" s="269">
        <f>M36*'Production Steps'!$O$14</f>
        <v>2.2235549055582364</v>
      </c>
      <c r="N38" s="269">
        <f>N36*'Production Steps'!$O$14</f>
        <v>2.4628545104690192</v>
      </c>
      <c r="O38" s="269">
        <f>O36*'Production Steps'!$O$14</f>
        <v>2.5687661696476938</v>
      </c>
      <c r="P38" s="269">
        <f>P36*'Production Steps'!$O$14</f>
        <v>2.6892128930180075</v>
      </c>
      <c r="Q38" s="269">
        <f>Q36*'Production Steps'!$O$14</f>
        <v>2.7878309698597437</v>
      </c>
      <c r="R38" s="269">
        <f>R36*'Production Steps'!$O$14</f>
        <v>2.9054604977416978</v>
      </c>
      <c r="S38" s="269">
        <f>S36*'Production Steps'!$O$14</f>
        <v>3.0280532769754469</v>
      </c>
      <c r="T38" s="269">
        <f>T36*'Production Steps'!$O$14</f>
        <v>3.1558187266109909</v>
      </c>
      <c r="U38" s="269">
        <f>U36*'Production Steps'!$O$14</f>
        <v>3.2889751019097977</v>
      </c>
      <c r="V38" s="270"/>
      <c r="W38" s="270">
        <f>'Production Steps'!H25*1.1*'Production Steps'!K25</f>
        <v>127.54831096769932</v>
      </c>
      <c r="X38" s="270">
        <f>'Production Steps'!I25*1.1*'Production Steps'!K25</f>
        <v>161.53404379814449</v>
      </c>
    </row>
    <row r="39" spans="1:24" s="252" customFormat="1" x14ac:dyDescent="0.2">
      <c r="A39" s="255"/>
      <c r="B39" s="268" t="s">
        <v>585</v>
      </c>
      <c r="C39" s="268" t="s">
        <v>586</v>
      </c>
      <c r="D39" s="268" t="str">
        <f t="shared" si="4"/>
        <v>CNABHU1</v>
      </c>
      <c r="E39" s="255">
        <v>2010</v>
      </c>
      <c r="F39" s="271">
        <f>X39*0.1</f>
        <v>17.948227088682696</v>
      </c>
      <c r="G39" s="255">
        <v>1.05</v>
      </c>
      <c r="H39" s="255">
        <v>1.05</v>
      </c>
      <c r="I39" s="255">
        <v>1.05</v>
      </c>
      <c r="J39" s="255">
        <v>1.05</v>
      </c>
      <c r="K39" s="255">
        <v>1.0049999999999999</v>
      </c>
      <c r="L39" s="269">
        <f>L36*'Production Steps'!$O$15</f>
        <v>2.775502010051011</v>
      </c>
      <c r="M39" s="269">
        <f>M36*'Production Steps'!$O$15</f>
        <v>3.0375348263429478</v>
      </c>
      <c r="N39" s="269">
        <f>N36*'Production Steps'!$O$15</f>
        <v>3.3644351794799991</v>
      </c>
      <c r="O39" s="269">
        <f>O36*'Production Steps'!$O$15</f>
        <v>3.5091180710365815</v>
      </c>
      <c r="P39" s="269">
        <f>P36*'Production Steps'!$O$15</f>
        <v>3.6736568984978137</v>
      </c>
      <c r="Q39" s="269">
        <f>Q36*'Production Steps'!$O$15</f>
        <v>3.8083762356119712</v>
      </c>
      <c r="R39" s="269">
        <f>R36*'Production Steps'!$O$15</f>
        <v>3.9690665728078547</v>
      </c>
      <c r="S39" s="269">
        <f>S36*'Production Steps'!$O$15</f>
        <v>4.1365370658682439</v>
      </c>
      <c r="T39" s="269">
        <f>T36*'Production Steps'!$O$15</f>
        <v>4.3110737961739432</v>
      </c>
      <c r="U39" s="269">
        <f>U36*'Production Steps'!$O$15</f>
        <v>4.4929749160017769</v>
      </c>
      <c r="V39" s="270"/>
      <c r="W39" s="270">
        <f>'Production Steps'!H26*1.1*'Production Steps'!K26</f>
        <v>141.72034551966559</v>
      </c>
      <c r="X39" s="270">
        <f>'Production Steps'!I26*1.1*'Production Steps'!K26</f>
        <v>179.48227088682694</v>
      </c>
    </row>
    <row r="40" spans="1:24" s="252" customFormat="1" x14ac:dyDescent="0.2">
      <c r="A40" s="266" t="s">
        <v>505</v>
      </c>
      <c r="B40" s="256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</row>
    <row r="41" spans="1:24" s="252" customFormat="1" x14ac:dyDescent="0.2">
      <c r="A41" s="267" t="s">
        <v>504</v>
      </c>
      <c r="B41" s="268" t="s">
        <v>587</v>
      </c>
      <c r="C41" s="268" t="s">
        <v>588</v>
      </c>
      <c r="D41" s="268" t="str">
        <f>CONCATENATE(MID(B41,4,6),"1")</f>
        <v>CNABHS1</v>
      </c>
      <c r="E41" s="255">
        <v>2010</v>
      </c>
      <c r="F41" s="255"/>
      <c r="G41" s="255">
        <v>1.05</v>
      </c>
      <c r="H41" s="255">
        <v>1.05</v>
      </c>
      <c r="I41" s="255">
        <v>1.05</v>
      </c>
      <c r="J41" s="255">
        <v>1.05</v>
      </c>
      <c r="K41" s="255">
        <v>1.0049999999999999</v>
      </c>
      <c r="L41" s="269">
        <f>L43*'Production Steps'!$O$10</f>
        <v>1.5963671691796664</v>
      </c>
      <c r="M41" s="269">
        <f>M43*'Production Steps'!$O$10</f>
        <v>1.7470788543671858</v>
      </c>
      <c r="N41" s="269">
        <f>N43*'Production Steps'!$O$10</f>
        <v>1.9350999725113722</v>
      </c>
      <c r="O41" s="269">
        <f>O43*'Production Steps'!$O$10</f>
        <v>2.0183162761517592</v>
      </c>
      <c r="P41" s="269">
        <f>P43*'Production Steps'!$O$10</f>
        <v>2.1129529873712913</v>
      </c>
      <c r="Q41" s="269">
        <f>Q43*'Production Steps'!$O$10</f>
        <v>2.1904386191755125</v>
      </c>
      <c r="R41" s="269">
        <f>R43*'Production Steps'!$O$10</f>
        <v>2.2828618196541908</v>
      </c>
      <c r="S41" s="269">
        <f>S43*'Production Steps'!$O$10</f>
        <v>2.379184717623565</v>
      </c>
      <c r="T41" s="269">
        <f>T43*'Production Steps'!$O$10</f>
        <v>2.4795718566229215</v>
      </c>
      <c r="U41" s="269">
        <f>U43*'Production Steps'!$O$10</f>
        <v>2.5841947229291264</v>
      </c>
      <c r="V41" s="270">
        <f>X41*0.8</f>
        <v>174.93491446291546</v>
      </c>
      <c r="W41" s="270">
        <f>'Production Steps'!H21*1.1*'Production Steps'!L21</f>
        <v>172.66215486521583</v>
      </c>
      <c r="X41" s="270">
        <f>'Production Steps'!I21*1.1*'Production Steps'!L21</f>
        <v>218.66864307864429</v>
      </c>
    </row>
    <row r="42" spans="1:24" s="252" customFormat="1" x14ac:dyDescent="0.2">
      <c r="A42" s="255"/>
      <c r="B42" s="268" t="s">
        <v>589</v>
      </c>
      <c r="C42" s="268" t="s">
        <v>590</v>
      </c>
      <c r="D42" s="268" t="str">
        <f t="shared" ref="D42:D46" si="5">CONCATENATE(MID(B42,4,6),"1")</f>
        <v>CNABHS1</v>
      </c>
      <c r="E42" s="255">
        <v>2010</v>
      </c>
      <c r="F42" s="255"/>
      <c r="G42" s="255">
        <v>1.05</v>
      </c>
      <c r="H42" s="255">
        <v>1.05</v>
      </c>
      <c r="I42" s="255">
        <v>1.05</v>
      </c>
      <c r="J42" s="255">
        <v>1.05</v>
      </c>
      <c r="K42" s="255">
        <v>1.0049999999999999</v>
      </c>
      <c r="L42" s="269">
        <f>L43*'Production Steps'!$O$11</f>
        <v>1.8104254941378488</v>
      </c>
      <c r="M42" s="269">
        <f>M43*'Production Steps'!$O$11</f>
        <v>1.9813462462027855</v>
      </c>
      <c r="N42" s="269">
        <f>N43*'Production Steps'!$O$11</f>
        <v>2.1945792870072154</v>
      </c>
      <c r="O42" s="269">
        <f>O43*'Production Steps'!$O$11</f>
        <v>2.2889541404539271</v>
      </c>
      <c r="P42" s="269">
        <f>P43*'Production Steps'!$O$11</f>
        <v>2.3962807743142602</v>
      </c>
      <c r="Q42" s="269">
        <f>Q43*'Production Steps'!$O$11</f>
        <v>2.4841565249285926</v>
      </c>
      <c r="R42" s="269">
        <f>R43*'Production Steps'!$O$11</f>
        <v>2.5889728363805484</v>
      </c>
      <c r="S42" s="269">
        <f>S43*'Production Steps'!$O$11</f>
        <v>2.6982117593049066</v>
      </c>
      <c r="T42" s="269">
        <f>T43*'Production Steps'!$O$11</f>
        <v>2.8120599010337219</v>
      </c>
      <c r="U42" s="269">
        <f>U43*'Production Steps'!$O$11</f>
        <v>2.9307117425946232</v>
      </c>
      <c r="V42" s="270">
        <f>X42*0.8</f>
        <v>171.43621617365716</v>
      </c>
      <c r="W42" s="270">
        <f>'Production Steps'!H22*1.1*'Production Steps'!L22</f>
        <v>169.20891176791147</v>
      </c>
      <c r="X42" s="270">
        <f>'Production Steps'!I22*1.1*'Production Steps'!L22</f>
        <v>214.29527021707142</v>
      </c>
    </row>
    <row r="43" spans="1:24" s="252" customFormat="1" x14ac:dyDescent="0.2">
      <c r="A43" s="255"/>
      <c r="B43" s="268" t="s">
        <v>591</v>
      </c>
      <c r="C43" s="268" t="s">
        <v>592</v>
      </c>
      <c r="D43" s="268" t="str">
        <f t="shared" si="5"/>
        <v>CNABHS1</v>
      </c>
      <c r="E43" s="255">
        <v>2010</v>
      </c>
      <c r="F43" s="255"/>
      <c r="G43" s="255">
        <v>1.05</v>
      </c>
      <c r="H43" s="255">
        <v>1.05</v>
      </c>
      <c r="I43" s="255">
        <v>1.05</v>
      </c>
      <c r="J43" s="255">
        <v>1.05</v>
      </c>
      <c r="K43" s="255">
        <v>1.0049999999999999</v>
      </c>
      <c r="L43" s="269">
        <f t="shared" ref="L43:R43" si="6">L36</f>
        <v>1.81405360134053</v>
      </c>
      <c r="M43" s="269">
        <f t="shared" si="6"/>
        <v>1.985316879962711</v>
      </c>
      <c r="N43" s="269">
        <f t="shared" si="6"/>
        <v>2.1989772414901956</v>
      </c>
      <c r="O43" s="269">
        <f t="shared" si="6"/>
        <v>2.2935412228997265</v>
      </c>
      <c r="P43" s="269">
        <f t="shared" si="6"/>
        <v>2.4010829401946494</v>
      </c>
      <c r="Q43" s="269">
        <f t="shared" si="6"/>
        <v>2.4891347945176281</v>
      </c>
      <c r="R43" s="269">
        <f t="shared" si="6"/>
        <v>2.5941611586979443</v>
      </c>
      <c r="S43" s="269">
        <f>R43*(1+(R43-Q43)/Q43)</f>
        <v>2.7036189972995057</v>
      </c>
      <c r="T43" s="269">
        <f>S43*(1+(S43-R43)/R43)</f>
        <v>2.817695291616956</v>
      </c>
      <c r="U43" s="269">
        <f>T43*(1+(T43-S43)/S43)</f>
        <v>2.9365849124194621</v>
      </c>
      <c r="V43" s="270">
        <f>X43*0.8</f>
        <v>3.4986982892583294</v>
      </c>
      <c r="W43" s="270">
        <f>'Production Steps'!H23*1.1*'Production Steps'!L23</f>
        <v>3.4532430973043349</v>
      </c>
      <c r="X43" s="270">
        <f>'Production Steps'!I23*1.1*'Production Steps'!L23</f>
        <v>4.3733728615729115</v>
      </c>
    </row>
    <row r="44" spans="1:24" s="252" customFormat="1" x14ac:dyDescent="0.2">
      <c r="A44" s="255"/>
      <c r="B44" s="268" t="s">
        <v>593</v>
      </c>
      <c r="C44" s="268" t="s">
        <v>594</v>
      </c>
      <c r="D44" s="268" t="str">
        <f t="shared" si="5"/>
        <v>CNABHS1</v>
      </c>
      <c r="E44" s="255">
        <v>2010</v>
      </c>
      <c r="F44" s="271"/>
      <c r="G44" s="255">
        <v>1.05</v>
      </c>
      <c r="H44" s="255">
        <v>1.05</v>
      </c>
      <c r="I44" s="255">
        <v>1.05</v>
      </c>
      <c r="J44" s="255">
        <v>1.05</v>
      </c>
      <c r="K44" s="255">
        <v>1.0049999999999999</v>
      </c>
      <c r="L44" s="269">
        <f>L43*'Production Steps'!$O$13</f>
        <v>1.8194957621445513</v>
      </c>
      <c r="M44" s="269">
        <f>M43*'Production Steps'!$O$13</f>
        <v>1.9912728306025989</v>
      </c>
      <c r="N44" s="269">
        <f>N43*'Production Steps'!$O$13</f>
        <v>2.2055741732146661</v>
      </c>
      <c r="O44" s="269">
        <f>O43*'Production Steps'!$O$13</f>
        <v>2.3004218465684256</v>
      </c>
      <c r="P44" s="269">
        <f>P43*'Production Steps'!$O$13</f>
        <v>2.4082861890152332</v>
      </c>
      <c r="Q44" s="269">
        <f>Q43*'Production Steps'!$O$13</f>
        <v>2.4966021989011806</v>
      </c>
      <c r="R44" s="269">
        <f>R43*'Production Steps'!$O$13</f>
        <v>2.6019436421740378</v>
      </c>
      <c r="S44" s="269">
        <f>S43*'Production Steps'!$O$13</f>
        <v>2.7117298542914039</v>
      </c>
      <c r="T44" s="269">
        <f>T43*'Production Steps'!$O$13</f>
        <v>2.8261483774918066</v>
      </c>
      <c r="U44" s="269">
        <f>U43*'Production Steps'!$O$13</f>
        <v>2.9453946671567199</v>
      </c>
      <c r="V44" s="270">
        <f>X44*0.8</f>
        <v>3.4986982892582903</v>
      </c>
      <c r="W44" s="270">
        <f>'Production Steps'!H24*1.1*'Production Steps'!L24</f>
        <v>3.4532430973043349</v>
      </c>
      <c r="X44" s="270">
        <f>'Production Steps'!I24*1.1*'Production Steps'!L24</f>
        <v>4.3733728615728626</v>
      </c>
    </row>
    <row r="45" spans="1:24" s="252" customFormat="1" x14ac:dyDescent="0.2">
      <c r="A45" s="255"/>
      <c r="B45" s="268" t="s">
        <v>595</v>
      </c>
      <c r="C45" s="268" t="s">
        <v>596</v>
      </c>
      <c r="D45" s="268" t="str">
        <f t="shared" si="5"/>
        <v>CNABHS1</v>
      </c>
      <c r="E45" s="255">
        <v>2010</v>
      </c>
      <c r="F45" s="271">
        <f>X45*0.1</f>
        <v>3.9360355754156005</v>
      </c>
      <c r="G45" s="255">
        <v>1.05</v>
      </c>
      <c r="H45" s="255">
        <v>1.05</v>
      </c>
      <c r="I45" s="255">
        <v>1.05</v>
      </c>
      <c r="J45" s="255">
        <v>1.05</v>
      </c>
      <c r="K45" s="255">
        <v>1.0049999999999999</v>
      </c>
      <c r="L45" s="269">
        <f>L43*'Production Steps'!$O$14</f>
        <v>2.0317400335013938</v>
      </c>
      <c r="M45" s="269">
        <f>M43*'Production Steps'!$O$14</f>
        <v>2.2235549055582364</v>
      </c>
      <c r="N45" s="269">
        <f>N43*'Production Steps'!$O$14</f>
        <v>2.4628545104690192</v>
      </c>
      <c r="O45" s="269">
        <f>O43*'Production Steps'!$O$14</f>
        <v>2.5687661696476938</v>
      </c>
      <c r="P45" s="269">
        <f>P43*'Production Steps'!$O$14</f>
        <v>2.6892128930180075</v>
      </c>
      <c r="Q45" s="269">
        <f>Q43*'Production Steps'!$O$14</f>
        <v>2.7878309698597437</v>
      </c>
      <c r="R45" s="269">
        <f>R43*'Production Steps'!$O$14</f>
        <v>2.9054604977416978</v>
      </c>
      <c r="S45" s="269">
        <f>S43*'Production Steps'!$O$14</f>
        <v>3.0280532769754469</v>
      </c>
      <c r="T45" s="269">
        <f>T43*'Production Steps'!$O$14</f>
        <v>3.1558187266109909</v>
      </c>
      <c r="U45" s="269">
        <f>U43*'Production Steps'!$O$14</f>
        <v>3.2889751019097977</v>
      </c>
      <c r="V45" s="270"/>
      <c r="W45" s="270">
        <f>'Production Steps'!H25*1.1*'Production Steps'!L25</f>
        <v>31.079187875738864</v>
      </c>
      <c r="X45" s="270">
        <f>'Production Steps'!I25*1.1*'Production Steps'!L25</f>
        <v>39.360355754156004</v>
      </c>
    </row>
    <row r="46" spans="1:24" s="252" customFormat="1" x14ac:dyDescent="0.2">
      <c r="A46" s="255"/>
      <c r="B46" s="268" t="s">
        <v>597</v>
      </c>
      <c r="C46" s="268" t="s">
        <v>598</v>
      </c>
      <c r="D46" s="268" t="str">
        <f t="shared" si="5"/>
        <v>CNABHS1</v>
      </c>
      <c r="E46" s="255">
        <v>2010</v>
      </c>
      <c r="F46" s="271">
        <f>X46*0.1</f>
        <v>4.3733728615728822</v>
      </c>
      <c r="G46" s="255">
        <v>1.05</v>
      </c>
      <c r="H46" s="255">
        <v>1.05</v>
      </c>
      <c r="I46" s="255">
        <v>1.05</v>
      </c>
      <c r="J46" s="255">
        <v>1.05</v>
      </c>
      <c r="K46" s="255">
        <v>1.0049999999999999</v>
      </c>
      <c r="L46" s="269">
        <f>L43*'Production Steps'!$O$15</f>
        <v>2.775502010051011</v>
      </c>
      <c r="M46" s="269">
        <f>M43*'Production Steps'!$O$15</f>
        <v>3.0375348263429478</v>
      </c>
      <c r="N46" s="269">
        <f>N43*'Production Steps'!$O$15</f>
        <v>3.3644351794799991</v>
      </c>
      <c r="O46" s="269">
        <f>O43*'Production Steps'!$O$15</f>
        <v>3.5091180710365815</v>
      </c>
      <c r="P46" s="269">
        <f>P43*'Production Steps'!$O$15</f>
        <v>3.6736568984978137</v>
      </c>
      <c r="Q46" s="269">
        <f>Q43*'Production Steps'!$O$15</f>
        <v>3.8083762356119712</v>
      </c>
      <c r="R46" s="269">
        <f>R43*'Production Steps'!$O$15</f>
        <v>3.9690665728078547</v>
      </c>
      <c r="S46" s="269">
        <f>S43*'Production Steps'!$O$15</f>
        <v>4.1365370658682439</v>
      </c>
      <c r="T46" s="269">
        <f>T43*'Production Steps'!$O$15</f>
        <v>4.3110737961739432</v>
      </c>
      <c r="U46" s="269">
        <f>U43*'Production Steps'!$O$15</f>
        <v>4.4929749160017769</v>
      </c>
      <c r="V46" s="270"/>
      <c r="W46" s="270">
        <f>'Production Steps'!H26*1.1*'Production Steps'!L26</f>
        <v>34.532430973043105</v>
      </c>
      <c r="X46" s="270">
        <f>'Production Steps'!I26*1.1*'Production Steps'!L26</f>
        <v>43.733728615728822</v>
      </c>
    </row>
    <row r="47" spans="1:24" s="252" customFormat="1" x14ac:dyDescent="0.2">
      <c r="A47" s="266" t="s">
        <v>505</v>
      </c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</row>
    <row r="48" spans="1:24" s="252" customFormat="1" x14ac:dyDescent="0.2">
      <c r="A48" s="267" t="s">
        <v>504</v>
      </c>
      <c r="B48" s="268" t="s">
        <v>599</v>
      </c>
      <c r="C48" s="268" t="s">
        <v>600</v>
      </c>
      <c r="D48" s="268" t="str">
        <f>CONCATENATE(MID(B48,4,6),"1")</f>
        <v>CCAPMU1</v>
      </c>
      <c r="E48" s="255">
        <v>2010</v>
      </c>
      <c r="F48" s="255"/>
      <c r="G48" s="255">
        <v>1.05</v>
      </c>
      <c r="H48" s="255">
        <v>1.05</v>
      </c>
      <c r="I48" s="255">
        <v>1.05</v>
      </c>
      <c r="J48" s="255">
        <v>1.05</v>
      </c>
      <c r="K48" s="255">
        <v>1.0009999999999999</v>
      </c>
      <c r="L48" s="269">
        <f>L50*'Production Steps'!$O$10</f>
        <v>3.1796894795505239</v>
      </c>
      <c r="M48" s="269">
        <f>M50*'Production Steps'!$O$10</f>
        <v>3.7749620593758468</v>
      </c>
      <c r="N48" s="269">
        <f>N50*'Production Steps'!$O$10</f>
        <v>4.3388193099650687</v>
      </c>
      <c r="O48" s="269">
        <f>O50*'Production Steps'!$O$10</f>
        <v>4.7484837685822781</v>
      </c>
      <c r="P48" s="269">
        <f>P50*'Production Steps'!$O$10</f>
        <v>5.1923940192369962</v>
      </c>
      <c r="Q48" s="269">
        <f>Q50*'Production Steps'!$O$10</f>
        <v>5.5147069936228155</v>
      </c>
      <c r="R48" s="269">
        <f>R50*'Production Steps'!$O$10</f>
        <v>5.7014339894446646</v>
      </c>
      <c r="S48" s="269">
        <f>S50*'Production Steps'!$O$10</f>
        <v>5.8944835280614374</v>
      </c>
      <c r="T48" s="269">
        <f>T50*'Production Steps'!$O$10</f>
        <v>6.0940696896451954</v>
      </c>
      <c r="U48" s="269">
        <f>U50*'Production Steps'!$O$10</f>
        <v>6.3004138030844645</v>
      </c>
      <c r="V48" s="270">
        <f>X48*0.8</f>
        <v>752.91126190826799</v>
      </c>
      <c r="W48" s="270">
        <f>'Production Steps'!H29*1.1</f>
        <v>598.55153989842006</v>
      </c>
      <c r="X48" s="270">
        <f>'Production Steps'!I29*1.1</f>
        <v>941.13907738533499</v>
      </c>
    </row>
    <row r="49" spans="1:24" s="252" customFormat="1" x14ac:dyDescent="0.2">
      <c r="A49" s="255"/>
      <c r="B49" s="268" t="s">
        <v>601</v>
      </c>
      <c r="C49" s="268" t="s">
        <v>602</v>
      </c>
      <c r="D49" s="268" t="str">
        <f t="shared" ref="D49:D53" si="7">CONCATENATE(MID(B49,4,6),"1")</f>
        <v>CCAPMU1</v>
      </c>
      <c r="E49" s="255">
        <v>2010</v>
      </c>
      <c r="F49" s="255"/>
      <c r="G49" s="255">
        <v>1.05</v>
      </c>
      <c r="H49" s="255">
        <v>1.05</v>
      </c>
      <c r="I49" s="255">
        <v>1.05</v>
      </c>
      <c r="J49" s="255">
        <v>1.05</v>
      </c>
      <c r="K49" s="255">
        <v>1.0009999999999999</v>
      </c>
      <c r="L49" s="269">
        <f>L50*'Production Steps'!$O$11</f>
        <v>3.6060569324902532</v>
      </c>
      <c r="M49" s="269">
        <f>M50*'Production Steps'!$O$11</f>
        <v>4.2811501537012449</v>
      </c>
      <c r="N49" s="269">
        <f>N50*'Production Steps'!$O$11</f>
        <v>4.9206155356194765</v>
      </c>
      <c r="O49" s="269">
        <f>O50*'Production Steps'!$O$11</f>
        <v>5.3852122739149015</v>
      </c>
      <c r="P49" s="269">
        <f>P50*'Production Steps'!$O$11</f>
        <v>5.8886468536346843</v>
      </c>
      <c r="Q49" s="269">
        <f>Q50*'Production Steps'!$O$11</f>
        <v>6.2541790677676925</v>
      </c>
      <c r="R49" s="269">
        <f>R50*'Production Steps'!$O$11</f>
        <v>6.4659444562111075</v>
      </c>
      <c r="S49" s="269">
        <f>S50*'Production Steps'!$O$11</f>
        <v>6.6848801829605851</v>
      </c>
      <c r="T49" s="269">
        <f>T50*'Production Steps'!$O$11</f>
        <v>6.9112290343930738</v>
      </c>
      <c r="U49" s="269">
        <f>U50*'Production Steps'!$O$11</f>
        <v>7.1452420175889717</v>
      </c>
      <c r="V49" s="270">
        <f>X49*0.8</f>
        <v>737.8530366701026</v>
      </c>
      <c r="W49" s="270">
        <f>'Production Steps'!H30*1.1</f>
        <v>586.58050910045165</v>
      </c>
      <c r="X49" s="270">
        <f>'Production Steps'!I30*1.1</f>
        <v>922.31629583762822</v>
      </c>
    </row>
    <row r="50" spans="1:24" s="252" customFormat="1" x14ac:dyDescent="0.2">
      <c r="A50" s="255"/>
      <c r="B50" s="268" t="s">
        <v>603</v>
      </c>
      <c r="C50" s="268" t="s">
        <v>604</v>
      </c>
      <c r="D50" s="268" t="str">
        <f t="shared" si="7"/>
        <v>CCAPMU1</v>
      </c>
      <c r="E50" s="255">
        <v>2010</v>
      </c>
      <c r="F50" s="255"/>
      <c r="G50" s="255">
        <v>1.05</v>
      </c>
      <c r="H50" s="255">
        <v>1.05</v>
      </c>
      <c r="I50" s="255">
        <v>1.05</v>
      </c>
      <c r="J50" s="255">
        <v>1.05</v>
      </c>
      <c r="K50" s="255">
        <v>1.0009999999999999</v>
      </c>
      <c r="L50" s="269">
        <f>'AEO Coal Prices'!M12*'Production Steps'!$Q$17*$N$4</f>
        <v>3.6132834994892318</v>
      </c>
      <c r="M50" s="269">
        <f>'AEO Coal Prices'!N12*'Production Steps'!$Q$17*$N$4</f>
        <v>4.2897296129270988</v>
      </c>
      <c r="N50" s="269">
        <f>'AEO Coal Prices'!O12*'Production Steps'!$Q$17*$N$4</f>
        <v>4.9304764885966694</v>
      </c>
      <c r="O50" s="269">
        <f>'AEO Coal Prices'!P12*'Production Steps'!$Q$17*$N$4</f>
        <v>5.3960042824798613</v>
      </c>
      <c r="P50" s="269">
        <f>'AEO Coal Prices'!Q12*'Production Steps'!$Q$17*$N$4</f>
        <v>5.9004477491329501</v>
      </c>
      <c r="Q50" s="269">
        <f>'AEO Coal Prices'!R12*'Production Steps'!$Q$17*$N$4</f>
        <v>6.2667124927531992</v>
      </c>
      <c r="R50" s="269">
        <f>'AEO Coal Prices'!S12*'Production Steps'!$Q$17*$N$4</f>
        <v>6.478902260732573</v>
      </c>
      <c r="S50" s="269">
        <f>R50*(1+(R50-Q50)/Q50)</f>
        <v>6.6982767364334519</v>
      </c>
      <c r="T50" s="269">
        <f>S50*(1+(S50-R50)/R50)</f>
        <v>6.9250791927786315</v>
      </c>
      <c r="U50" s="269">
        <f>T50*(1+(T50-S50)/S50)</f>
        <v>7.1595611398687096</v>
      </c>
      <c r="V50" s="270">
        <f>X50*0.8</f>
        <v>15.058225238165472</v>
      </c>
      <c r="W50" s="270">
        <f>'Production Steps'!H31*1.1</f>
        <v>11.971030797968389</v>
      </c>
      <c r="X50" s="270">
        <f>'Production Steps'!I31*1.1</f>
        <v>18.822781547706839</v>
      </c>
    </row>
    <row r="51" spans="1:24" s="252" customFormat="1" x14ac:dyDescent="0.2">
      <c r="A51" s="255"/>
      <c r="B51" s="268" t="s">
        <v>605</v>
      </c>
      <c r="C51" s="268" t="s">
        <v>606</v>
      </c>
      <c r="D51" s="268" t="str">
        <f t="shared" si="7"/>
        <v>CCAPMU1</v>
      </c>
      <c r="E51" s="255">
        <v>2010</v>
      </c>
      <c r="F51" s="271"/>
      <c r="G51" s="255">
        <v>1.05</v>
      </c>
      <c r="H51" s="255">
        <v>1.05</v>
      </c>
      <c r="I51" s="255">
        <v>1.05</v>
      </c>
      <c r="J51" s="255">
        <v>1.05</v>
      </c>
      <c r="K51" s="255">
        <v>1.0009999999999999</v>
      </c>
      <c r="L51" s="269">
        <f>L50*'Production Steps'!$O$13</f>
        <v>3.6241233499876992</v>
      </c>
      <c r="M51" s="269">
        <f>M50*'Production Steps'!$O$13</f>
        <v>4.3025988017658792</v>
      </c>
      <c r="N51" s="269">
        <f>N50*'Production Steps'!$O$13</f>
        <v>4.9452679180624592</v>
      </c>
      <c r="O51" s="269">
        <f>O50*'Production Steps'!$O$13</f>
        <v>5.4121922953273005</v>
      </c>
      <c r="P51" s="269">
        <f>P50*'Production Steps'!$O$13</f>
        <v>5.9181490923803484</v>
      </c>
      <c r="Q51" s="269">
        <f>Q50*'Production Steps'!$O$13</f>
        <v>6.2855126302314579</v>
      </c>
      <c r="R51" s="269">
        <f>R50*'Production Steps'!$O$13</f>
        <v>6.49833896751477</v>
      </c>
      <c r="S51" s="269">
        <f>S50*'Production Steps'!$O$13</f>
        <v>6.7183715666427517</v>
      </c>
      <c r="T51" s="269">
        <f>T50*'Production Steps'!$O$13</f>
        <v>6.9458544303569667</v>
      </c>
      <c r="U51" s="269">
        <f>U50*'Production Steps'!$O$13</f>
        <v>7.181039823288315</v>
      </c>
      <c r="V51" s="270">
        <f>X51*0.8</f>
        <v>15.058225238165472</v>
      </c>
      <c r="W51" s="270">
        <f>'Production Steps'!H32*1.1</f>
        <v>11.971030797968389</v>
      </c>
      <c r="X51" s="270">
        <f>'Production Steps'!I32*1.1</f>
        <v>18.822781547706839</v>
      </c>
    </row>
    <row r="52" spans="1:24" s="252" customFormat="1" x14ac:dyDescent="0.2">
      <c r="A52" s="255"/>
      <c r="B52" s="268" t="s">
        <v>607</v>
      </c>
      <c r="C52" s="268" t="s">
        <v>608</v>
      </c>
      <c r="D52" s="268" t="str">
        <f t="shared" si="7"/>
        <v>CCAPMU1</v>
      </c>
      <c r="E52" s="255">
        <v>2010</v>
      </c>
      <c r="F52" s="271">
        <f>X52*0.1</f>
        <v>16.94050339293603</v>
      </c>
      <c r="G52" s="255">
        <v>1.05</v>
      </c>
      <c r="H52" s="255">
        <v>1.05</v>
      </c>
      <c r="I52" s="255">
        <v>1.05</v>
      </c>
      <c r="J52" s="255">
        <v>1.05</v>
      </c>
      <c r="K52" s="255">
        <v>1.0009999999999999</v>
      </c>
      <c r="L52" s="269">
        <f>L50*'Production Steps'!$O$14</f>
        <v>4.0468775194279401</v>
      </c>
      <c r="M52" s="269">
        <f>M50*'Production Steps'!$O$14</f>
        <v>4.8044971664783507</v>
      </c>
      <c r="N52" s="269">
        <f>N50*'Production Steps'!$O$14</f>
        <v>5.5221336672282701</v>
      </c>
      <c r="O52" s="269">
        <f>O50*'Production Steps'!$O$14</f>
        <v>6.0435247963774454</v>
      </c>
      <c r="P52" s="269">
        <f>P50*'Production Steps'!$O$14</f>
        <v>6.6085014790289049</v>
      </c>
      <c r="Q52" s="269">
        <f>Q50*'Production Steps'!$O$14</f>
        <v>7.0187179918835838</v>
      </c>
      <c r="R52" s="269">
        <f>R50*'Production Steps'!$O$14</f>
        <v>7.2563705320204823</v>
      </c>
      <c r="S52" s="269">
        <f>S50*'Production Steps'!$O$14</f>
        <v>7.5020699448054664</v>
      </c>
      <c r="T52" s="269">
        <f>T50*'Production Steps'!$O$14</f>
        <v>7.7560886959120676</v>
      </c>
      <c r="U52" s="269">
        <f>U50*'Production Steps'!$O$14</f>
        <v>8.0187084766529555</v>
      </c>
      <c r="V52" s="270"/>
      <c r="W52" s="270">
        <f>'Production Steps'!H33*1.1</f>
        <v>107.73927718171575</v>
      </c>
      <c r="X52" s="270">
        <f>'Production Steps'!I33*1.1</f>
        <v>169.40503392936029</v>
      </c>
    </row>
    <row r="53" spans="1:24" s="252" customFormat="1" x14ac:dyDescent="0.2">
      <c r="A53" s="255"/>
      <c r="B53" s="268" t="s">
        <v>609</v>
      </c>
      <c r="C53" s="268" t="s">
        <v>610</v>
      </c>
      <c r="D53" s="268" t="str">
        <f t="shared" si="7"/>
        <v>CCAPMU1</v>
      </c>
      <c r="E53" s="255">
        <v>2010</v>
      </c>
      <c r="F53" s="271">
        <f>X53*0.1</f>
        <v>18.82278154770669</v>
      </c>
      <c r="G53" s="255">
        <v>1.05</v>
      </c>
      <c r="H53" s="255">
        <v>1.05</v>
      </c>
      <c r="I53" s="255">
        <v>1.05</v>
      </c>
      <c r="J53" s="255">
        <v>1.05</v>
      </c>
      <c r="K53" s="255">
        <v>1.0009999999999999</v>
      </c>
      <c r="L53" s="269">
        <f>L50*'Production Steps'!$O$15</f>
        <v>5.5283237542185244</v>
      </c>
      <c r="M53" s="269">
        <f>M50*'Production Steps'!$O$15</f>
        <v>6.5632863077784611</v>
      </c>
      <c r="N53" s="269">
        <f>N50*'Production Steps'!$O$15</f>
        <v>7.5436290275529041</v>
      </c>
      <c r="O53" s="269">
        <f>O50*'Production Steps'!$O$15</f>
        <v>8.2558865521941875</v>
      </c>
      <c r="P53" s="269">
        <f>P50*'Production Steps'!$O$15</f>
        <v>9.0276850561734143</v>
      </c>
      <c r="Q53" s="269">
        <f>Q50*'Production Steps'!$O$15</f>
        <v>9.5880701139123943</v>
      </c>
      <c r="R53" s="269">
        <f>R50*'Production Steps'!$O$15</f>
        <v>9.9127204589208375</v>
      </c>
      <c r="S53" s="269">
        <f>S50*'Production Steps'!$O$15</f>
        <v>10.248363406743181</v>
      </c>
      <c r="T53" s="269">
        <f>T50*'Production Steps'!$O$15</f>
        <v>10.595371164951306</v>
      </c>
      <c r="U53" s="269">
        <f>U50*'Production Steps'!$O$15</f>
        <v>10.954128543999126</v>
      </c>
      <c r="V53" s="270"/>
      <c r="W53" s="270">
        <f>'Production Steps'!H34*1.1</f>
        <v>119.71030797968389</v>
      </c>
      <c r="X53" s="270">
        <f>'Production Steps'!I34*1.1</f>
        <v>188.22781547706688</v>
      </c>
    </row>
    <row r="54" spans="1:24" s="252" customFormat="1" x14ac:dyDescent="0.2">
      <c r="A54" s="266" t="s">
        <v>505</v>
      </c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</row>
    <row r="55" spans="1:24" s="252" customFormat="1" x14ac:dyDescent="0.2">
      <c r="A55" s="267" t="s">
        <v>504</v>
      </c>
      <c r="B55" s="268" t="s">
        <v>611</v>
      </c>
      <c r="C55" s="268" t="s">
        <v>612</v>
      </c>
      <c r="D55" s="268" t="str">
        <f>CONCATENATE(MID(B55,4,6),"1")</f>
        <v>CCABLU1</v>
      </c>
      <c r="E55" s="255">
        <v>2010</v>
      </c>
      <c r="F55" s="255"/>
      <c r="G55" s="255">
        <v>1.05</v>
      </c>
      <c r="H55" s="255">
        <v>1.05</v>
      </c>
      <c r="I55" s="255">
        <v>1.05</v>
      </c>
      <c r="J55" s="255">
        <v>1.05</v>
      </c>
      <c r="K55" s="255">
        <v>1.01</v>
      </c>
      <c r="L55" s="269">
        <f>L57*'Production Steps'!$O$10</f>
        <v>2.1218195487999507</v>
      </c>
      <c r="M55" s="269">
        <f>M57*'Production Steps'!$O$10</f>
        <v>2.1894375729117663</v>
      </c>
      <c r="N55" s="269">
        <f>N57*'Production Steps'!$O$10</f>
        <v>2.3409722719289419</v>
      </c>
      <c r="O55" s="269">
        <f>O57*'Production Steps'!$O$10</f>
        <v>2.4462917410382361</v>
      </c>
      <c r="P55" s="269">
        <f>P57*'Production Steps'!$O$10</f>
        <v>2.7522873586558561</v>
      </c>
      <c r="Q55" s="269">
        <f>Q57*'Production Steps'!$O$10</f>
        <v>2.9588558631591821</v>
      </c>
      <c r="R55" s="269">
        <f>R57*'Production Steps'!$O$10</f>
        <v>3.2592868875961547</v>
      </c>
      <c r="S55" s="269">
        <f>S57*'Production Steps'!$O$10</f>
        <v>3.5902225410581718</v>
      </c>
      <c r="T55" s="269">
        <f>T57*'Production Steps'!$O$10</f>
        <v>3.9547601481098305</v>
      </c>
      <c r="U55" s="269">
        <f>U57*'Production Steps'!$O$10</f>
        <v>4.3563115239279737</v>
      </c>
      <c r="V55" s="270">
        <f>X55*0.8</f>
        <v>30.429244915017968</v>
      </c>
      <c r="W55" s="270">
        <f>'Production Steps'!H36*1.1*'Production Steps'!K36</f>
        <v>127.90117948654536</v>
      </c>
      <c r="X55" s="270">
        <f>'Production Steps'!I36*1.1*'Production Steps'!K36</f>
        <v>38.036556143772458</v>
      </c>
    </row>
    <row r="56" spans="1:24" s="252" customFormat="1" x14ac:dyDescent="0.2">
      <c r="A56" s="255"/>
      <c r="B56" s="268" t="s">
        <v>613</v>
      </c>
      <c r="C56" s="268" t="s">
        <v>614</v>
      </c>
      <c r="D56" s="268" t="str">
        <f t="shared" ref="D56:D60" si="8">CONCATENATE(MID(B56,4,6),"1")</f>
        <v>CCABLU1</v>
      </c>
      <c r="E56" s="255">
        <v>2010</v>
      </c>
      <c r="F56" s="255"/>
      <c r="G56" s="255">
        <v>1.05</v>
      </c>
      <c r="H56" s="255">
        <v>1.05</v>
      </c>
      <c r="I56" s="255">
        <v>1.05</v>
      </c>
      <c r="J56" s="255">
        <v>1.05</v>
      </c>
      <c r="K56" s="255">
        <v>1.01</v>
      </c>
      <c r="L56" s="269">
        <f>L57*'Production Steps'!$O$11</f>
        <v>2.4063362610253982</v>
      </c>
      <c r="M56" s="269">
        <f>M57*'Production Steps'!$O$11</f>
        <v>2.4830212474612985</v>
      </c>
      <c r="N56" s="269">
        <f>N57*'Production Steps'!$O$11</f>
        <v>2.6548753720285045</v>
      </c>
      <c r="O56" s="269">
        <f>O57*'Production Steps'!$O$11</f>
        <v>2.7743172244956358</v>
      </c>
      <c r="P56" s="269">
        <f>P57*'Production Steps'!$O$11</f>
        <v>3.1213440726574366</v>
      </c>
      <c r="Q56" s="269">
        <f>Q57*'Production Steps'!$O$11</f>
        <v>3.3556115357191634</v>
      </c>
      <c r="R56" s="269">
        <f>R57*'Production Steps'!$O$11</f>
        <v>3.6963276293420027</v>
      </c>
      <c r="S56" s="269">
        <f>S57*'Production Steps'!$O$11</f>
        <v>4.0716387454273359</v>
      </c>
      <c r="T56" s="269">
        <f>T57*'Production Steps'!$O$11</f>
        <v>4.4850575316063761</v>
      </c>
      <c r="U56" s="269">
        <f>U57*'Production Steps'!$O$11</f>
        <v>4.9404532964546792</v>
      </c>
      <c r="V56" s="270">
        <f>X56*0.8</f>
        <v>29.820660016717611</v>
      </c>
      <c r="W56" s="270">
        <f>'Production Steps'!H37*1.1*'Production Steps'!K37</f>
        <v>125.34315589681444</v>
      </c>
      <c r="X56" s="270">
        <f>'Production Steps'!I37*1.1*'Production Steps'!K37</f>
        <v>37.27582502089701</v>
      </c>
    </row>
    <row r="57" spans="1:24" s="252" customFormat="1" x14ac:dyDescent="0.2">
      <c r="A57" s="255"/>
      <c r="B57" s="268" t="s">
        <v>615</v>
      </c>
      <c r="C57" s="268" t="s">
        <v>616</v>
      </c>
      <c r="D57" s="268" t="str">
        <f t="shared" si="8"/>
        <v>CCABLU1</v>
      </c>
      <c r="E57" s="255">
        <v>2010</v>
      </c>
      <c r="F57" s="255"/>
      <c r="G57" s="255">
        <v>1.05</v>
      </c>
      <c r="H57" s="255">
        <v>1.05</v>
      </c>
      <c r="I57" s="255">
        <v>1.05</v>
      </c>
      <c r="J57" s="255">
        <v>1.05</v>
      </c>
      <c r="K57" s="255">
        <v>1.01</v>
      </c>
      <c r="L57" s="269">
        <f>'AEO Coal Prices'!M13*'Production Steps'!$Q$17*$N$4</f>
        <v>2.4111585781817619</v>
      </c>
      <c r="M57" s="269">
        <f>'AEO Coal Prices'!N13*'Production Steps'!$Q$17*$N$4</f>
        <v>2.4879972419451888</v>
      </c>
      <c r="N57" s="269">
        <f>'AEO Coal Prices'!O13*'Production Steps'!$Q$17*$N$4</f>
        <v>2.6601957635556159</v>
      </c>
      <c r="O57" s="269">
        <f>'AEO Coal Prices'!P13*'Production Steps'!$Q$17*$N$4</f>
        <v>2.779876978452541</v>
      </c>
      <c r="P57" s="269">
        <f>'AEO Coal Prices'!Q13*'Production Steps'!$Q$17*$N$4</f>
        <v>3.1275992711998364</v>
      </c>
      <c r="Q57" s="269">
        <f>'AEO Coal Prices'!R13*'Production Steps'!$Q$17*$N$4</f>
        <v>3.3623362081354342</v>
      </c>
      <c r="R57" s="269">
        <f>'AEO Coal Prices'!S13*'Production Steps'!$Q$17*$N$4</f>
        <v>3.7037350995410847</v>
      </c>
      <c r="S57" s="269">
        <f>R57*(1+(R57-Q57)/Q57)</f>
        <v>4.0797983421115589</v>
      </c>
      <c r="T57" s="269">
        <f>S57*(1+(S57-R57)/R57)</f>
        <v>4.49404562285208</v>
      </c>
      <c r="U57" s="269">
        <f>T57*(1+(T57-S57)/S57)</f>
        <v>4.9503540044636063</v>
      </c>
      <c r="V57" s="270">
        <f>X57*0.8</f>
        <v>0.60858489830036178</v>
      </c>
      <c r="W57" s="270">
        <f>'Production Steps'!H38*1.1*'Production Steps'!K38</f>
        <v>2.558023589730916</v>
      </c>
      <c r="X57" s="270">
        <f>'Production Steps'!I38*1.1*'Production Steps'!K38</f>
        <v>0.76073112287545219</v>
      </c>
    </row>
    <row r="58" spans="1:24" s="252" customFormat="1" x14ac:dyDescent="0.2">
      <c r="A58" s="255"/>
      <c r="B58" s="268" t="s">
        <v>617</v>
      </c>
      <c r="C58" s="268" t="s">
        <v>618</v>
      </c>
      <c r="D58" s="268" t="str">
        <f t="shared" si="8"/>
        <v>CCABLU1</v>
      </c>
      <c r="E58" s="255">
        <v>2010</v>
      </c>
      <c r="F58" s="271"/>
      <c r="G58" s="255">
        <v>1.05</v>
      </c>
      <c r="H58" s="255">
        <v>1.05</v>
      </c>
      <c r="I58" s="255">
        <v>1.05</v>
      </c>
      <c r="J58" s="255">
        <v>1.05</v>
      </c>
      <c r="K58" s="255">
        <v>1.01</v>
      </c>
      <c r="L58" s="269">
        <f>L57*'Production Steps'!$O$13</f>
        <v>2.4183920539163068</v>
      </c>
      <c r="M58" s="269">
        <f>M57*'Production Steps'!$O$13</f>
        <v>2.495461233671024</v>
      </c>
      <c r="N58" s="269">
        <f>N57*'Production Steps'!$O$13</f>
        <v>2.6681763508462826</v>
      </c>
      <c r="O58" s="269">
        <f>O57*'Production Steps'!$O$13</f>
        <v>2.7882166093878982</v>
      </c>
      <c r="P58" s="269">
        <f>P57*'Production Steps'!$O$13</f>
        <v>3.1369820690134356</v>
      </c>
      <c r="Q58" s="269">
        <f>Q57*'Production Steps'!$O$13</f>
        <v>3.3724232167598402</v>
      </c>
      <c r="R58" s="269">
        <f>R57*'Production Steps'!$O$13</f>
        <v>3.7148463048397073</v>
      </c>
      <c r="S58" s="269">
        <f>S57*'Production Steps'!$O$13</f>
        <v>4.0920377371378933</v>
      </c>
      <c r="T58" s="269">
        <f>T57*'Production Steps'!$O$13</f>
        <v>4.5075277597206354</v>
      </c>
      <c r="U58" s="269">
        <f>U57*'Production Steps'!$O$13</f>
        <v>4.9652050664769964</v>
      </c>
      <c r="V58" s="270">
        <f>X58*0.8</f>
        <v>0.60858489830036178</v>
      </c>
      <c r="W58" s="270">
        <f>'Production Steps'!H39*1.1*'Production Steps'!K39</f>
        <v>2.558023589730916</v>
      </c>
      <c r="X58" s="270">
        <f>'Production Steps'!I39*1.1*'Production Steps'!K39</f>
        <v>0.76073112287545219</v>
      </c>
    </row>
    <row r="59" spans="1:24" s="252" customFormat="1" x14ac:dyDescent="0.2">
      <c r="A59" s="255"/>
      <c r="B59" s="268" t="s">
        <v>619</v>
      </c>
      <c r="C59" s="268" t="s">
        <v>620</v>
      </c>
      <c r="D59" s="268" t="str">
        <f t="shared" si="8"/>
        <v>CCABLU1</v>
      </c>
      <c r="E59" s="255">
        <v>2010</v>
      </c>
      <c r="F59" s="271">
        <f>X59*0.1</f>
        <v>0.68465801058790465</v>
      </c>
      <c r="G59" s="255">
        <v>1.05</v>
      </c>
      <c r="H59" s="255">
        <v>1.05</v>
      </c>
      <c r="I59" s="255">
        <v>1.05</v>
      </c>
      <c r="J59" s="255">
        <v>1.05</v>
      </c>
      <c r="K59" s="255">
        <v>1.01</v>
      </c>
      <c r="L59" s="269">
        <f>L57*'Production Steps'!$O$14</f>
        <v>2.7004976075635736</v>
      </c>
      <c r="M59" s="269">
        <f>M57*'Production Steps'!$O$14</f>
        <v>2.7865569109786117</v>
      </c>
      <c r="N59" s="269">
        <f>N57*'Production Steps'!$O$14</f>
        <v>2.97941925518229</v>
      </c>
      <c r="O59" s="269">
        <f>O57*'Production Steps'!$O$14</f>
        <v>3.1134622158668463</v>
      </c>
      <c r="P59" s="269">
        <f>P57*'Production Steps'!$O$14</f>
        <v>3.5029111837438172</v>
      </c>
      <c r="Q59" s="269">
        <f>Q57*'Production Steps'!$O$14</f>
        <v>3.7658165531116867</v>
      </c>
      <c r="R59" s="269">
        <f>R57*'Production Steps'!$O$14</f>
        <v>4.1481833114860152</v>
      </c>
      <c r="S59" s="269">
        <f>S57*'Production Steps'!$O$14</f>
        <v>4.5693741431649464</v>
      </c>
      <c r="T59" s="269">
        <f>T57*'Production Steps'!$O$14</f>
        <v>5.0333310975943304</v>
      </c>
      <c r="U59" s="269">
        <f>U57*'Production Steps'!$O$14</f>
        <v>5.5443964849992398</v>
      </c>
      <c r="V59" s="270"/>
      <c r="W59" s="270">
        <f>'Production Steps'!H40*1.1*'Production Steps'!K40</f>
        <v>23.022212307578197</v>
      </c>
      <c r="X59" s="270">
        <f>'Production Steps'!I40*1.1*'Production Steps'!K40</f>
        <v>6.8465801058790463</v>
      </c>
    </row>
    <row r="60" spans="1:24" s="252" customFormat="1" x14ac:dyDescent="0.2">
      <c r="A60" s="255"/>
      <c r="B60" s="268" t="s">
        <v>621</v>
      </c>
      <c r="C60" s="268" t="s">
        <v>622</v>
      </c>
      <c r="D60" s="268" t="str">
        <f t="shared" si="8"/>
        <v>CCABLU1</v>
      </c>
      <c r="E60" s="255">
        <v>2010</v>
      </c>
      <c r="F60" s="271">
        <f>X60*0.1</f>
        <v>0.76073112287544875</v>
      </c>
      <c r="G60" s="255">
        <v>1.05</v>
      </c>
      <c r="H60" s="255">
        <v>1.05</v>
      </c>
      <c r="I60" s="255">
        <v>1.05</v>
      </c>
      <c r="J60" s="255">
        <v>1.05</v>
      </c>
      <c r="K60" s="255">
        <v>1.01</v>
      </c>
      <c r="L60" s="269">
        <f>L57*'Production Steps'!$O$15</f>
        <v>3.6890726246180958</v>
      </c>
      <c r="M60" s="269">
        <f>M57*'Production Steps'!$O$15</f>
        <v>3.8066357801761388</v>
      </c>
      <c r="N60" s="269">
        <f>N57*'Production Steps'!$O$15</f>
        <v>4.0700995182400925</v>
      </c>
      <c r="O60" s="269">
        <f>O57*'Production Steps'!$O$15</f>
        <v>4.2532117770323881</v>
      </c>
      <c r="P60" s="269">
        <f>P57*'Production Steps'!$O$15</f>
        <v>4.7852268849357493</v>
      </c>
      <c r="Q60" s="269">
        <f>Q57*'Production Steps'!$O$15</f>
        <v>5.1443743984472148</v>
      </c>
      <c r="R60" s="269">
        <f>R57*'Production Steps'!$O$15</f>
        <v>5.6667147022978597</v>
      </c>
      <c r="S60" s="269">
        <f>S57*'Production Steps'!$O$15</f>
        <v>6.2420914634306852</v>
      </c>
      <c r="T60" s="269">
        <f>T57*'Production Steps'!$O$15</f>
        <v>6.8758898029636821</v>
      </c>
      <c r="U60" s="269">
        <f>U57*'Production Steps'!$O$15</f>
        <v>7.5740416268293176</v>
      </c>
      <c r="V60" s="270"/>
      <c r="W60" s="270">
        <f>'Production Steps'!H41*1.1*'Production Steps'!K41</f>
        <v>25.580235897309016</v>
      </c>
      <c r="X60" s="270">
        <f>'Production Steps'!I41*1.1*'Production Steps'!K41</f>
        <v>7.6073112287544866</v>
      </c>
    </row>
    <row r="61" spans="1:24" s="252" customFormat="1" x14ac:dyDescent="0.2">
      <c r="A61" s="266" t="s">
        <v>505</v>
      </c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</row>
    <row r="62" spans="1:24" s="252" customFormat="1" x14ac:dyDescent="0.2">
      <c r="A62" s="267" t="s">
        <v>504</v>
      </c>
      <c r="B62" s="268" t="s">
        <v>623</v>
      </c>
      <c r="C62" s="268" t="s">
        <v>624</v>
      </c>
      <c r="D62" s="268" t="str">
        <f>CONCATENATE(MID(B62,4,6),"1")</f>
        <v>CCABLS1</v>
      </c>
      <c r="E62" s="255">
        <v>2010</v>
      </c>
      <c r="F62" s="255"/>
      <c r="G62" s="255">
        <v>1.05</v>
      </c>
      <c r="H62" s="255">
        <v>1.05</v>
      </c>
      <c r="I62" s="255">
        <v>1.05</v>
      </c>
      <c r="J62" s="255">
        <v>1.05</v>
      </c>
      <c r="K62" s="255">
        <v>1.01</v>
      </c>
      <c r="L62" s="269">
        <f>L64*'Production Steps'!$O$10</f>
        <v>2.1218195487999507</v>
      </c>
      <c r="M62" s="269">
        <f>M64*'Production Steps'!$O$10</f>
        <v>2.1894375729117663</v>
      </c>
      <c r="N62" s="269">
        <f>N64*'Production Steps'!$O$10</f>
        <v>2.3409722719289419</v>
      </c>
      <c r="O62" s="269">
        <f>O64*'Production Steps'!$O$10</f>
        <v>2.4462917410382361</v>
      </c>
      <c r="P62" s="269">
        <f>P64*'Production Steps'!$O$10</f>
        <v>2.7522873586558561</v>
      </c>
      <c r="Q62" s="269">
        <f>Q64*'Production Steps'!$O$10</f>
        <v>2.9588558631591821</v>
      </c>
      <c r="R62" s="269">
        <f>R64*'Production Steps'!$O$10</f>
        <v>3.2592868875961547</v>
      </c>
      <c r="S62" s="269">
        <f>S64*'Production Steps'!$O$10</f>
        <v>3.5902225410581718</v>
      </c>
      <c r="T62" s="269">
        <f>T64*'Production Steps'!$O$10</f>
        <v>3.9547601481098305</v>
      </c>
      <c r="U62" s="269">
        <f>U64*'Production Steps'!$O$10</f>
        <v>4.3563115239279737</v>
      </c>
      <c r="V62" s="270">
        <f>X62*0.8</f>
        <v>130.41322862579486</v>
      </c>
      <c r="W62" s="270">
        <f>'Production Steps'!H36*1.1*'Production Steps'!L36</f>
        <v>548.15707088595741</v>
      </c>
      <c r="X62" s="270">
        <f>'Production Steps'!I36*1.1*'Production Steps'!L36</f>
        <v>163.01653578224355</v>
      </c>
    </row>
    <row r="63" spans="1:24" s="252" customFormat="1" x14ac:dyDescent="0.2">
      <c r="A63" s="255"/>
      <c r="B63" s="268" t="s">
        <v>625</v>
      </c>
      <c r="C63" s="268" t="s">
        <v>626</v>
      </c>
      <c r="D63" s="268" t="str">
        <f t="shared" ref="D63:D67" si="9">CONCATENATE(MID(B63,4,6),"1")</f>
        <v>CCABLS1</v>
      </c>
      <c r="E63" s="255">
        <v>2010</v>
      </c>
      <c r="F63" s="255"/>
      <c r="G63" s="255">
        <v>1.05</v>
      </c>
      <c r="H63" s="255">
        <v>1.05</v>
      </c>
      <c r="I63" s="255">
        <v>1.05</v>
      </c>
      <c r="J63" s="255">
        <v>1.05</v>
      </c>
      <c r="K63" s="255">
        <v>1.01</v>
      </c>
      <c r="L63" s="269">
        <f>L64*'Production Steps'!$O$11</f>
        <v>2.4063362610253982</v>
      </c>
      <c r="M63" s="269">
        <f>M64*'Production Steps'!$O$11</f>
        <v>2.4830212474612985</v>
      </c>
      <c r="N63" s="269">
        <f>N64*'Production Steps'!$O$11</f>
        <v>2.6548753720285045</v>
      </c>
      <c r="O63" s="269">
        <f>O64*'Production Steps'!$O$11</f>
        <v>2.7743172244956358</v>
      </c>
      <c r="P63" s="269">
        <f>P64*'Production Steps'!$O$11</f>
        <v>3.1213440726574366</v>
      </c>
      <c r="Q63" s="269">
        <f>Q64*'Production Steps'!$O$11</f>
        <v>3.3556115357191634</v>
      </c>
      <c r="R63" s="269">
        <f>R64*'Production Steps'!$O$11</f>
        <v>3.6963276293420027</v>
      </c>
      <c r="S63" s="269">
        <f>S64*'Production Steps'!$O$11</f>
        <v>4.0716387454273359</v>
      </c>
      <c r="T63" s="269">
        <f>T64*'Production Steps'!$O$11</f>
        <v>4.4850575316063761</v>
      </c>
      <c r="U63" s="269">
        <f>U64*'Production Steps'!$O$11</f>
        <v>4.9404532964546792</v>
      </c>
      <c r="V63" s="270">
        <f>X63*0.8</f>
        <v>127.80496405327895</v>
      </c>
      <c r="W63" s="270">
        <f>'Production Steps'!H37*1.1*'Production Steps'!L37</f>
        <v>537.19392946823814</v>
      </c>
      <c r="X63" s="270">
        <f>'Production Steps'!I37*1.1*'Production Steps'!L37</f>
        <v>159.75620506659868</v>
      </c>
    </row>
    <row r="64" spans="1:24" s="252" customFormat="1" x14ac:dyDescent="0.2">
      <c r="A64" s="255"/>
      <c r="B64" s="268" t="s">
        <v>627</v>
      </c>
      <c r="C64" s="268" t="s">
        <v>628</v>
      </c>
      <c r="D64" s="268" t="str">
        <f t="shared" si="9"/>
        <v>CCABLS1</v>
      </c>
      <c r="E64" s="255">
        <v>2010</v>
      </c>
      <c r="F64" s="255"/>
      <c r="G64" s="255">
        <v>1.05</v>
      </c>
      <c r="H64" s="255">
        <v>1.05</v>
      </c>
      <c r="I64" s="255">
        <v>1.05</v>
      </c>
      <c r="J64" s="255">
        <v>1.05</v>
      </c>
      <c r="K64" s="255">
        <v>1.01</v>
      </c>
      <c r="L64" s="269">
        <f t="shared" ref="L64:R64" si="10">L57</f>
        <v>2.4111585781817619</v>
      </c>
      <c r="M64" s="269">
        <f t="shared" si="10"/>
        <v>2.4879972419451888</v>
      </c>
      <c r="N64" s="269">
        <f t="shared" si="10"/>
        <v>2.6601957635556159</v>
      </c>
      <c r="O64" s="269">
        <f t="shared" si="10"/>
        <v>2.779876978452541</v>
      </c>
      <c r="P64" s="269">
        <f t="shared" si="10"/>
        <v>3.1275992711998364</v>
      </c>
      <c r="Q64" s="269">
        <f t="shared" si="10"/>
        <v>3.3623362081354342</v>
      </c>
      <c r="R64" s="269">
        <f t="shared" si="10"/>
        <v>3.7037350995410847</v>
      </c>
      <c r="S64" s="269">
        <f>R64*(1+(R64-Q64)/Q64)</f>
        <v>4.0797983421115589</v>
      </c>
      <c r="T64" s="269">
        <f>S64*(1+(S64-R64)/R64)</f>
        <v>4.49404562285208</v>
      </c>
      <c r="U64" s="269">
        <f>T64*(1+(T64-S64)/S64)</f>
        <v>4.9503540044636063</v>
      </c>
      <c r="V64" s="270">
        <f>X64*0.8</f>
        <v>2.6082645725159073</v>
      </c>
      <c r="W64" s="270">
        <f>'Production Steps'!H38*1.1*'Production Steps'!L38</f>
        <v>10.963141417719186</v>
      </c>
      <c r="X64" s="270">
        <f>'Production Steps'!I38*1.1*'Production Steps'!L38</f>
        <v>3.260330715644884</v>
      </c>
    </row>
    <row r="65" spans="1:24" s="252" customFormat="1" x14ac:dyDescent="0.2">
      <c r="A65" s="255"/>
      <c r="B65" s="268" t="s">
        <v>629</v>
      </c>
      <c r="C65" s="268" t="s">
        <v>630</v>
      </c>
      <c r="D65" s="268" t="str">
        <f t="shared" si="9"/>
        <v>CCABLS1</v>
      </c>
      <c r="E65" s="255">
        <v>2010</v>
      </c>
      <c r="F65" s="271"/>
      <c r="G65" s="255">
        <v>1.05</v>
      </c>
      <c r="H65" s="255">
        <v>1.05</v>
      </c>
      <c r="I65" s="255">
        <v>1.05</v>
      </c>
      <c r="J65" s="255">
        <v>1.05</v>
      </c>
      <c r="K65" s="255">
        <v>1.01</v>
      </c>
      <c r="L65" s="269">
        <f>L64*'Production Steps'!$O$13</f>
        <v>2.4183920539163068</v>
      </c>
      <c r="M65" s="269">
        <f>M64*'Production Steps'!$O$13</f>
        <v>2.495461233671024</v>
      </c>
      <c r="N65" s="269">
        <f>N64*'Production Steps'!$O$13</f>
        <v>2.6681763508462826</v>
      </c>
      <c r="O65" s="269">
        <f>O64*'Production Steps'!$O$13</f>
        <v>2.7882166093878982</v>
      </c>
      <c r="P65" s="269">
        <f>P64*'Production Steps'!$O$13</f>
        <v>3.1369820690134356</v>
      </c>
      <c r="Q65" s="269">
        <f>Q64*'Production Steps'!$O$13</f>
        <v>3.3724232167598402</v>
      </c>
      <c r="R65" s="269">
        <f>R64*'Production Steps'!$O$13</f>
        <v>3.7148463048397073</v>
      </c>
      <c r="S65" s="269">
        <f>S64*'Production Steps'!$O$13</f>
        <v>4.0920377371378933</v>
      </c>
      <c r="T65" s="269">
        <f>T64*'Production Steps'!$O$13</f>
        <v>4.5075277597206354</v>
      </c>
      <c r="U65" s="269">
        <f>U64*'Production Steps'!$O$13</f>
        <v>4.9652050664769964</v>
      </c>
      <c r="V65" s="270">
        <f>X65*0.8</f>
        <v>2.6082645725159073</v>
      </c>
      <c r="W65" s="270">
        <f>'Production Steps'!H39*1.1*'Production Steps'!L39</f>
        <v>10.963141417719186</v>
      </c>
      <c r="X65" s="270">
        <f>'Production Steps'!I39*1.1*'Production Steps'!L39</f>
        <v>3.260330715644884</v>
      </c>
    </row>
    <row r="66" spans="1:24" s="252" customFormat="1" x14ac:dyDescent="0.2">
      <c r="A66" s="255"/>
      <c r="B66" s="268" t="s">
        <v>631</v>
      </c>
      <c r="C66" s="268" t="s">
        <v>632</v>
      </c>
      <c r="D66" s="268" t="str">
        <f t="shared" si="9"/>
        <v>CCABLS1</v>
      </c>
      <c r="E66" s="255">
        <v>2010</v>
      </c>
      <c r="F66" s="271">
        <f>X66*0.1</f>
        <v>2.9342976440803858</v>
      </c>
      <c r="G66" s="255">
        <v>1.05</v>
      </c>
      <c r="H66" s="255">
        <v>1.05</v>
      </c>
      <c r="I66" s="255">
        <v>1.05</v>
      </c>
      <c r="J66" s="255">
        <v>1.05</v>
      </c>
      <c r="K66" s="255">
        <v>1.01</v>
      </c>
      <c r="L66" s="269">
        <f>L64*'Production Steps'!$O$14</f>
        <v>2.7004976075635736</v>
      </c>
      <c r="M66" s="269">
        <f>M64*'Production Steps'!$O$14</f>
        <v>2.7865569109786117</v>
      </c>
      <c r="N66" s="269">
        <f>N64*'Production Steps'!$O$14</f>
        <v>2.97941925518229</v>
      </c>
      <c r="O66" s="269">
        <f>O64*'Production Steps'!$O$14</f>
        <v>3.1134622158668463</v>
      </c>
      <c r="P66" s="269">
        <f>P64*'Production Steps'!$O$14</f>
        <v>3.5029111837438172</v>
      </c>
      <c r="Q66" s="269">
        <f>Q64*'Production Steps'!$O$14</f>
        <v>3.7658165531116867</v>
      </c>
      <c r="R66" s="269">
        <f>R64*'Production Steps'!$O$14</f>
        <v>4.1481833114860152</v>
      </c>
      <c r="S66" s="269">
        <f>S64*'Production Steps'!$O$14</f>
        <v>4.5693741431649464</v>
      </c>
      <c r="T66" s="269">
        <f>T64*'Production Steps'!$O$14</f>
        <v>5.0333310975943304</v>
      </c>
      <c r="U66" s="269">
        <f>U64*'Production Steps'!$O$14</f>
        <v>5.5443964849992398</v>
      </c>
      <c r="V66" s="270"/>
      <c r="W66" s="270">
        <f>'Production Steps'!H40*1.1*'Production Steps'!L40</f>
        <v>98.668272759472472</v>
      </c>
      <c r="X66" s="270">
        <f>'Production Steps'!I40*1.1*'Production Steps'!L40</f>
        <v>29.342976440803856</v>
      </c>
    </row>
    <row r="67" spans="1:24" s="252" customFormat="1" x14ac:dyDescent="0.2">
      <c r="A67" s="255"/>
      <c r="B67" s="268" t="s">
        <v>633</v>
      </c>
      <c r="C67" s="268" t="s">
        <v>634</v>
      </c>
      <c r="D67" s="268" t="str">
        <f t="shared" si="9"/>
        <v>CCABLS1</v>
      </c>
      <c r="E67" s="255">
        <v>2010</v>
      </c>
      <c r="F67" s="271">
        <f>X67*0.1</f>
        <v>3.2603307156448693</v>
      </c>
      <c r="G67" s="255">
        <v>1.05</v>
      </c>
      <c r="H67" s="255">
        <v>1.05</v>
      </c>
      <c r="I67" s="255">
        <v>1.05</v>
      </c>
      <c r="J67" s="255">
        <v>1.05</v>
      </c>
      <c r="K67" s="255">
        <v>1.01</v>
      </c>
      <c r="L67" s="269">
        <f>L64*'Production Steps'!$O$15</f>
        <v>3.6890726246180958</v>
      </c>
      <c r="M67" s="269">
        <f>M64*'Production Steps'!$O$15</f>
        <v>3.8066357801761388</v>
      </c>
      <c r="N67" s="269">
        <f>N64*'Production Steps'!$O$15</f>
        <v>4.0700995182400925</v>
      </c>
      <c r="O67" s="269">
        <f>O64*'Production Steps'!$O$15</f>
        <v>4.2532117770323881</v>
      </c>
      <c r="P67" s="269">
        <f>P64*'Production Steps'!$O$15</f>
        <v>4.7852268849357493</v>
      </c>
      <c r="Q67" s="269">
        <f>Q64*'Production Steps'!$O$15</f>
        <v>5.1443743984472148</v>
      </c>
      <c r="R67" s="269">
        <f>R64*'Production Steps'!$O$15</f>
        <v>5.6667147022978597</v>
      </c>
      <c r="S67" s="269">
        <f>S64*'Production Steps'!$O$15</f>
        <v>6.2420914634306852</v>
      </c>
      <c r="T67" s="269">
        <f>T64*'Production Steps'!$O$15</f>
        <v>6.8758898029636821</v>
      </c>
      <c r="U67" s="269">
        <f>U64*'Production Steps'!$O$15</f>
        <v>7.5740416268293176</v>
      </c>
      <c r="V67" s="270"/>
      <c r="W67" s="270">
        <f>'Production Steps'!H41*1.1*'Production Steps'!L41</f>
        <v>109.63141417719125</v>
      </c>
      <c r="X67" s="270">
        <f>'Production Steps'!I41*1.1*'Production Steps'!L41</f>
        <v>32.603307156448693</v>
      </c>
    </row>
    <row r="68" spans="1:24" s="252" customFormat="1" x14ac:dyDescent="0.2">
      <c r="A68" s="266" t="s">
        <v>505</v>
      </c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</row>
    <row r="69" spans="1:24" s="252" customFormat="1" x14ac:dyDescent="0.2">
      <c r="A69" s="267" t="s">
        <v>504</v>
      </c>
      <c r="B69" s="268" t="s">
        <v>635</v>
      </c>
      <c r="C69" s="268" t="s">
        <v>636</v>
      </c>
      <c r="D69" s="268" t="str">
        <f>CONCATENATE(MID(B69,4,6),"1")</f>
        <v>CCABMU1</v>
      </c>
      <c r="E69" s="255">
        <v>2010</v>
      </c>
      <c r="F69" s="255"/>
      <c r="G69" s="255">
        <v>1.05</v>
      </c>
      <c r="H69" s="255">
        <v>1.05</v>
      </c>
      <c r="I69" s="255">
        <v>1.05</v>
      </c>
      <c r="J69" s="255">
        <v>1.05</v>
      </c>
      <c r="K69" s="255">
        <v>1.05</v>
      </c>
      <c r="L69" s="269">
        <f>L71*'Production Steps'!$O$10</f>
        <v>2.009591551824677</v>
      </c>
      <c r="M69" s="269">
        <f>M71*'Production Steps'!$O$10</f>
        <v>2.0514861586951727</v>
      </c>
      <c r="N69" s="269">
        <f>N71*'Production Steps'!$O$10</f>
        <v>2.2018917897227306</v>
      </c>
      <c r="O69" s="269">
        <f>O71*'Production Steps'!$O$10</f>
        <v>2.2850115881361215</v>
      </c>
      <c r="P69" s="269">
        <f>P71*'Production Steps'!$O$10</f>
        <v>2.369954133434125</v>
      </c>
      <c r="Q69" s="269">
        <f>Q71*'Production Steps'!$O$10</f>
        <v>2.461105705498722</v>
      </c>
      <c r="R69" s="269">
        <f>R71*'Production Steps'!$O$10</f>
        <v>2.5553157044986863</v>
      </c>
      <c r="S69" s="269">
        <f>S71*'Production Steps'!$O$10</f>
        <v>2.6531320191037637</v>
      </c>
      <c r="T69" s="269">
        <f>T71*'Production Steps'!$O$10</f>
        <v>2.754692697423303</v>
      </c>
      <c r="U69" s="269">
        <f>U71*'Production Steps'!$O$10</f>
        <v>2.8601410719850402</v>
      </c>
      <c r="V69" s="270">
        <f>X69*0.8</f>
        <v>320.64469978834541</v>
      </c>
      <c r="W69" s="270">
        <f>'Production Steps'!H43*1.1*'Production Steps'!K43</f>
        <v>547.96316358398553</v>
      </c>
      <c r="X69" s="270">
        <f>'Production Steps'!I43*1.1*'Production Steps'!K43</f>
        <v>400.80587473543176</v>
      </c>
    </row>
    <row r="70" spans="1:24" s="252" customFormat="1" x14ac:dyDescent="0.2">
      <c r="A70" s="255"/>
      <c r="B70" s="268" t="s">
        <v>637</v>
      </c>
      <c r="C70" s="268" t="s">
        <v>638</v>
      </c>
      <c r="D70" s="268" t="str">
        <f t="shared" ref="D70:D74" si="11">CONCATENATE(MID(B70,4,6),"1")</f>
        <v>CCABMU1</v>
      </c>
      <c r="E70" s="255">
        <v>2010</v>
      </c>
      <c r="F70" s="255"/>
      <c r="G70" s="255">
        <v>1.05</v>
      </c>
      <c r="H70" s="255">
        <v>1.05</v>
      </c>
      <c r="I70" s="255">
        <v>1.05</v>
      </c>
      <c r="J70" s="255">
        <v>1.05</v>
      </c>
      <c r="K70" s="255">
        <v>1.05</v>
      </c>
      <c r="L70" s="269">
        <f>L71*'Production Steps'!$O$11</f>
        <v>2.2790595099102586</v>
      </c>
      <c r="M70" s="269">
        <f>M71*'Production Steps'!$O$11</f>
        <v>2.3265718027020252</v>
      </c>
      <c r="N70" s="269">
        <f>N71*'Production Steps'!$O$11</f>
        <v>2.4971454615264603</v>
      </c>
      <c r="O70" s="269">
        <f>O71*'Production Steps'!$O$11</f>
        <v>2.5914108692725559</v>
      </c>
      <c r="P70" s="269">
        <f>P71*'Production Steps'!$O$11</f>
        <v>2.6877434376900644</v>
      </c>
      <c r="Q70" s="269">
        <f>Q71*'Production Steps'!$O$11</f>
        <v>2.7911176069178691</v>
      </c>
      <c r="R70" s="269">
        <f>R71*'Production Steps'!$O$11</f>
        <v>2.8979603103291915</v>
      </c>
      <c r="S70" s="269">
        <f>S71*'Production Steps'!$O$11</f>
        <v>3.0088929034835865</v>
      </c>
      <c r="T70" s="269">
        <f>T71*'Production Steps'!$O$11</f>
        <v>3.1240719454868819</v>
      </c>
      <c r="U70" s="269">
        <f>U71*'Production Steps'!$O$11</f>
        <v>3.2436599884557613</v>
      </c>
      <c r="V70" s="270">
        <f>X70*0.8</f>
        <v>314.23180579257854</v>
      </c>
      <c r="W70" s="270">
        <f>'Production Steps'!H44*1.1*'Production Steps'!K44</f>
        <v>537.00390031230575</v>
      </c>
      <c r="X70" s="270">
        <f>'Production Steps'!I44*1.1*'Production Steps'!K44</f>
        <v>392.78975724072313</v>
      </c>
    </row>
    <row r="71" spans="1:24" s="252" customFormat="1" x14ac:dyDescent="0.2">
      <c r="A71" s="255"/>
      <c r="B71" s="268" t="s">
        <v>639</v>
      </c>
      <c r="C71" s="268" t="s">
        <v>640</v>
      </c>
      <c r="D71" s="268" t="str">
        <f t="shared" si="11"/>
        <v>CCABMU1</v>
      </c>
      <c r="E71" s="255">
        <v>2010</v>
      </c>
      <c r="F71" s="255"/>
      <c r="G71" s="255">
        <v>1.05</v>
      </c>
      <c r="H71" s="255">
        <v>1.05</v>
      </c>
      <c r="I71" s="255">
        <v>1.05</v>
      </c>
      <c r="J71" s="255">
        <v>1.05</v>
      </c>
      <c r="K71" s="255">
        <v>1.05</v>
      </c>
      <c r="L71" s="269">
        <f>'AEO Coal Prices'!M14*'Production Steps'!$Q$17*$N$4</f>
        <v>2.283626763437133</v>
      </c>
      <c r="M71" s="269">
        <f>'AEO Coal Prices'!N14*'Production Steps'!$Q$17*$N$4</f>
        <v>2.3312342712445142</v>
      </c>
      <c r="N71" s="269">
        <f>'AEO Coal Prices'!O14*'Production Steps'!$Q$17*$N$4</f>
        <v>2.5021497610485572</v>
      </c>
      <c r="O71" s="269">
        <f>'AEO Coal Prices'!P14*'Production Steps'!$Q$17*$N$4</f>
        <v>2.5966040774274108</v>
      </c>
      <c r="P71" s="269">
        <f>'AEO Coal Prices'!Q14*'Production Steps'!$Q$17*$N$4</f>
        <v>2.6931296970842329</v>
      </c>
      <c r="Q71" s="269">
        <f>'AEO Coal Prices'!R14*'Production Steps'!$Q$17*$N$4</f>
        <v>2.7967110289758206</v>
      </c>
      <c r="R71" s="269">
        <f>'AEO Coal Prices'!S14*'Production Steps'!$Q$17*$N$4</f>
        <v>2.9037678460212342</v>
      </c>
      <c r="S71" s="269">
        <f>R71*(1+(R71-Q71)/Q71)</f>
        <v>3.0149227489815495</v>
      </c>
      <c r="T71" s="269">
        <f>S71*(1+(S71-R71)/R71)</f>
        <v>3.1303326107082987</v>
      </c>
      <c r="U71" s="269">
        <f>T71*(1+(T71-S71)/S71)</f>
        <v>3.2501603090739093</v>
      </c>
      <c r="V71" s="270">
        <f>X71*0.8</f>
        <v>6.4128939957668933</v>
      </c>
      <c r="W71" s="270">
        <f>'Production Steps'!H45*1.1*'Production Steps'!K45</f>
        <v>10.959263271679662</v>
      </c>
      <c r="X71" s="270">
        <f>'Production Steps'!I45*1.1*'Production Steps'!K45</f>
        <v>8.0161174947086167</v>
      </c>
    </row>
    <row r="72" spans="1:24" s="252" customFormat="1" x14ac:dyDescent="0.2">
      <c r="A72" s="255"/>
      <c r="B72" s="268" t="s">
        <v>641</v>
      </c>
      <c r="C72" s="268" t="s">
        <v>642</v>
      </c>
      <c r="D72" s="268" t="str">
        <f t="shared" si="11"/>
        <v>CCABMU1</v>
      </c>
      <c r="E72" s="255">
        <v>2010</v>
      </c>
      <c r="F72" s="271"/>
      <c r="G72" s="255">
        <v>1.05</v>
      </c>
      <c r="H72" s="255">
        <v>1.05</v>
      </c>
      <c r="I72" s="255">
        <v>1.05</v>
      </c>
      <c r="J72" s="255">
        <v>1.05</v>
      </c>
      <c r="K72" s="255">
        <v>1.05</v>
      </c>
      <c r="L72" s="269">
        <f>L71*'Production Steps'!$O$13</f>
        <v>2.2904776437274443</v>
      </c>
      <c r="M72" s="269">
        <f>M71*'Production Steps'!$O$13</f>
        <v>2.3382279740582477</v>
      </c>
      <c r="N72" s="269">
        <f>N71*'Production Steps'!$O$13</f>
        <v>2.5096562103317028</v>
      </c>
      <c r="O72" s="269">
        <f>O71*'Production Steps'!$O$13</f>
        <v>2.604393889659693</v>
      </c>
      <c r="P72" s="269">
        <f>P71*'Production Steps'!$O$13</f>
        <v>2.7012090861754854</v>
      </c>
      <c r="Q72" s="269">
        <f>Q71*'Production Steps'!$O$13</f>
        <v>2.8051011620627477</v>
      </c>
      <c r="R72" s="269">
        <f>R71*'Production Steps'!$O$13</f>
        <v>2.9124791495592977</v>
      </c>
      <c r="S72" s="269">
        <f>S71*'Production Steps'!$O$13</f>
        <v>3.0239675172284937</v>
      </c>
      <c r="T72" s="269">
        <f>T71*'Production Steps'!$O$13</f>
        <v>3.1397236085404234</v>
      </c>
      <c r="U72" s="269">
        <f>U71*'Production Steps'!$O$13</f>
        <v>3.2599107900011308</v>
      </c>
      <c r="V72" s="270">
        <f>X72*0.8</f>
        <v>6.4128939957668933</v>
      </c>
      <c r="W72" s="270">
        <f>'Production Steps'!H46*1.1*'Production Steps'!K46</f>
        <v>10.959263271679662</v>
      </c>
      <c r="X72" s="270">
        <f>'Production Steps'!I46*1.1*'Production Steps'!K46</f>
        <v>8.0161174947086167</v>
      </c>
    </row>
    <row r="73" spans="1:24" s="252" customFormat="1" x14ac:dyDescent="0.2">
      <c r="A73" s="255"/>
      <c r="B73" s="268" t="s">
        <v>643</v>
      </c>
      <c r="C73" s="268" t="s">
        <v>644</v>
      </c>
      <c r="D73" s="268" t="str">
        <f t="shared" si="11"/>
        <v>CCABMU1</v>
      </c>
      <c r="E73" s="255">
        <v>2010</v>
      </c>
      <c r="F73" s="271">
        <f>X73*0.1</f>
        <v>7.2145057452377817</v>
      </c>
      <c r="G73" s="255">
        <v>1.05</v>
      </c>
      <c r="H73" s="255">
        <v>1.05</v>
      </c>
      <c r="I73" s="255">
        <v>1.05</v>
      </c>
      <c r="J73" s="255">
        <v>1.05</v>
      </c>
      <c r="K73" s="255">
        <v>1.05</v>
      </c>
      <c r="L73" s="269">
        <f>L71*'Production Steps'!$O$14</f>
        <v>2.557661975049589</v>
      </c>
      <c r="M73" s="269">
        <f>M71*'Production Steps'!$O$14</f>
        <v>2.6109823837938562</v>
      </c>
      <c r="N73" s="269">
        <f>N71*'Production Steps'!$O$14</f>
        <v>2.8024077323743843</v>
      </c>
      <c r="O73" s="269">
        <f>O71*'Production Steps'!$O$14</f>
        <v>2.9081965667187006</v>
      </c>
      <c r="P73" s="269">
        <f>P71*'Production Steps'!$O$14</f>
        <v>3.0163052607343412</v>
      </c>
      <c r="Q73" s="269">
        <f>Q71*'Production Steps'!$O$14</f>
        <v>3.1323163524529192</v>
      </c>
      <c r="R73" s="269">
        <f>R71*'Production Steps'!$O$14</f>
        <v>3.2522199875437825</v>
      </c>
      <c r="S73" s="269">
        <f>S71*'Production Steps'!$O$14</f>
        <v>3.3767134788593358</v>
      </c>
      <c r="T73" s="269">
        <f>T71*'Production Steps'!$O$14</f>
        <v>3.5059725239932948</v>
      </c>
      <c r="U73" s="269">
        <f>U71*'Production Steps'!$O$14</f>
        <v>3.6401795461627788</v>
      </c>
      <c r="V73" s="270"/>
      <c r="W73" s="270">
        <f>'Production Steps'!H47*1.1*'Production Steps'!K47</f>
        <v>98.633369445117594</v>
      </c>
      <c r="X73" s="270">
        <f>'Production Steps'!I47*1.1*'Production Steps'!K47</f>
        <v>72.145057452377813</v>
      </c>
    </row>
    <row r="74" spans="1:24" s="252" customFormat="1" x14ac:dyDescent="0.2">
      <c r="A74" s="255"/>
      <c r="B74" s="268" t="s">
        <v>645</v>
      </c>
      <c r="C74" s="268" t="s">
        <v>646</v>
      </c>
      <c r="D74" s="268" t="str">
        <f t="shared" si="11"/>
        <v>CCABMU1</v>
      </c>
      <c r="E74" s="255">
        <v>2010</v>
      </c>
      <c r="F74" s="271">
        <f>X74*0.1</f>
        <v>8.0161174947086291</v>
      </c>
      <c r="G74" s="255">
        <v>1.05</v>
      </c>
      <c r="H74" s="255">
        <v>1.05</v>
      </c>
      <c r="I74" s="255">
        <v>1.05</v>
      </c>
      <c r="J74" s="255">
        <v>1.05</v>
      </c>
      <c r="K74" s="255">
        <v>1.05</v>
      </c>
      <c r="L74" s="269">
        <f>L71*'Production Steps'!$O$15</f>
        <v>3.4939489480588137</v>
      </c>
      <c r="M74" s="269">
        <f>M71*'Production Steps'!$O$15</f>
        <v>3.5667884350041068</v>
      </c>
      <c r="N74" s="269">
        <f>N71*'Production Steps'!$O$15</f>
        <v>3.8282891344042929</v>
      </c>
      <c r="O74" s="269">
        <f>O71*'Production Steps'!$O$15</f>
        <v>3.9728042384639388</v>
      </c>
      <c r="P74" s="269">
        <f>P71*'Production Steps'!$O$15</f>
        <v>4.1204884365388761</v>
      </c>
      <c r="Q74" s="269">
        <f>Q71*'Production Steps'!$O$15</f>
        <v>4.2789678743330057</v>
      </c>
      <c r="R74" s="269">
        <f>R71*'Production Steps'!$O$15</f>
        <v>4.4427648044124881</v>
      </c>
      <c r="S74" s="269">
        <f>S71*'Production Steps'!$O$15</f>
        <v>4.612831805941771</v>
      </c>
      <c r="T74" s="269">
        <f>T71*'Production Steps'!$O$15</f>
        <v>4.7894088943836968</v>
      </c>
      <c r="U74" s="269">
        <f>U71*'Production Steps'!$O$15</f>
        <v>4.9727452728830812</v>
      </c>
      <c r="V74" s="270"/>
      <c r="W74" s="270">
        <f>'Production Steps'!H48*1.1*'Production Steps'!K48</f>
        <v>109.59263271679687</v>
      </c>
      <c r="X74" s="270">
        <f>'Production Steps'!I48*1.1*'Production Steps'!K48</f>
        <v>80.161174947086295</v>
      </c>
    </row>
    <row r="75" spans="1:24" s="252" customFormat="1" x14ac:dyDescent="0.2">
      <c r="A75" s="266" t="s">
        <v>505</v>
      </c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</row>
    <row r="76" spans="1:24" s="252" customFormat="1" x14ac:dyDescent="0.2">
      <c r="A76" s="267" t="s">
        <v>504</v>
      </c>
      <c r="B76" s="268" t="s">
        <v>647</v>
      </c>
      <c r="C76" s="268" t="s">
        <v>648</v>
      </c>
      <c r="D76" s="268" t="str">
        <f>CONCATENATE(MID(B76,4,6),"1")</f>
        <v>CCABMS1</v>
      </c>
      <c r="E76" s="255">
        <v>2010</v>
      </c>
      <c r="F76" s="255"/>
      <c r="G76" s="255">
        <v>1.05</v>
      </c>
      <c r="H76" s="255">
        <v>1.05</v>
      </c>
      <c r="I76" s="255">
        <v>1.05</v>
      </c>
      <c r="J76" s="255">
        <v>1.05</v>
      </c>
      <c r="K76" s="255">
        <v>1.05</v>
      </c>
      <c r="L76" s="269">
        <f>L78*'Production Steps'!$O$10</f>
        <v>2.009591551824677</v>
      </c>
      <c r="M76" s="269">
        <f>M78*'Production Steps'!$O$10</f>
        <v>2.0514861586951727</v>
      </c>
      <c r="N76" s="269">
        <f>N78*'Production Steps'!$O$10</f>
        <v>2.2018917897227306</v>
      </c>
      <c r="O76" s="269">
        <f>O78*'Production Steps'!$O$10</f>
        <v>2.2850115881361215</v>
      </c>
      <c r="P76" s="269">
        <f>P78*'Production Steps'!$O$10</f>
        <v>2.369954133434125</v>
      </c>
      <c r="Q76" s="269">
        <f>Q78*'Production Steps'!$O$10</f>
        <v>2.461105705498722</v>
      </c>
      <c r="R76" s="269">
        <f>R78*'Production Steps'!$O$10</f>
        <v>2.5553157044986863</v>
      </c>
      <c r="S76" s="269">
        <f>S78*'Production Steps'!$O$10</f>
        <v>2.6531320191037637</v>
      </c>
      <c r="T76" s="269">
        <f>T78*'Production Steps'!$O$10</f>
        <v>2.754692697423303</v>
      </c>
      <c r="U76" s="269">
        <f>U78*'Production Steps'!$O$10</f>
        <v>2.8601410719850402</v>
      </c>
      <c r="V76" s="270">
        <f>X76*0.8</f>
        <v>930.68237230029888</v>
      </c>
      <c r="W76" s="270">
        <f>'Production Steps'!H43*1.1*'Production Steps'!L43</f>
        <v>1590.4821048161818</v>
      </c>
      <c r="X76" s="270">
        <f>'Production Steps'!I43*1.1*'Production Steps'!L43</f>
        <v>1163.3529653753735</v>
      </c>
    </row>
    <row r="77" spans="1:24" s="252" customFormat="1" x14ac:dyDescent="0.2">
      <c r="A77" s="255"/>
      <c r="B77" s="268" t="s">
        <v>649</v>
      </c>
      <c r="C77" s="268" t="s">
        <v>650</v>
      </c>
      <c r="D77" s="268" t="str">
        <f t="shared" ref="D77:D81" si="12">CONCATENATE(MID(B77,4,6),"1")</f>
        <v>CCABMS1</v>
      </c>
      <c r="E77" s="255">
        <v>2010</v>
      </c>
      <c r="F77" s="255"/>
      <c r="G77" s="255">
        <v>1.05</v>
      </c>
      <c r="H77" s="255">
        <v>1.05</v>
      </c>
      <c r="I77" s="255">
        <v>1.05</v>
      </c>
      <c r="J77" s="255">
        <v>1.05</v>
      </c>
      <c r="K77" s="255">
        <v>1.05</v>
      </c>
      <c r="L77" s="269">
        <f>L78*'Production Steps'!$O$11</f>
        <v>2.2790595099102586</v>
      </c>
      <c r="M77" s="269">
        <f>M78*'Production Steps'!$O$11</f>
        <v>2.3265718027020252</v>
      </c>
      <c r="N77" s="269">
        <f>N78*'Production Steps'!$O$11</f>
        <v>2.4971454615264603</v>
      </c>
      <c r="O77" s="269">
        <f>O78*'Production Steps'!$O$11</f>
        <v>2.5914108692725559</v>
      </c>
      <c r="P77" s="269">
        <f>P78*'Production Steps'!$O$11</f>
        <v>2.6877434376900644</v>
      </c>
      <c r="Q77" s="269">
        <f>Q78*'Production Steps'!$O$11</f>
        <v>2.7911176069178691</v>
      </c>
      <c r="R77" s="269">
        <f>R78*'Production Steps'!$O$11</f>
        <v>2.8979603103291915</v>
      </c>
      <c r="S77" s="269">
        <f>S78*'Production Steps'!$O$11</f>
        <v>3.0088929034835865</v>
      </c>
      <c r="T77" s="269">
        <f>T78*'Production Steps'!$O$11</f>
        <v>3.1240719454868819</v>
      </c>
      <c r="U77" s="269">
        <f>U78*'Production Steps'!$O$11</f>
        <v>3.2436599884557613</v>
      </c>
      <c r="V77" s="270">
        <f>X77*0.8</f>
        <v>912.0687248542929</v>
      </c>
      <c r="W77" s="270">
        <f>'Production Steps'!H44*1.1*'Production Steps'!L44</f>
        <v>1558.6724627198582</v>
      </c>
      <c r="X77" s="270">
        <f>'Production Steps'!I44*1.1*'Production Steps'!L44</f>
        <v>1140.0859060678661</v>
      </c>
    </row>
    <row r="78" spans="1:24" s="252" customFormat="1" x14ac:dyDescent="0.2">
      <c r="A78" s="255"/>
      <c r="B78" s="268" t="s">
        <v>651</v>
      </c>
      <c r="C78" s="268" t="s">
        <v>652</v>
      </c>
      <c r="D78" s="268" t="str">
        <f t="shared" si="12"/>
        <v>CCABMS1</v>
      </c>
      <c r="E78" s="255">
        <v>2010</v>
      </c>
      <c r="F78" s="255"/>
      <c r="G78" s="255">
        <v>1.05</v>
      </c>
      <c r="H78" s="255">
        <v>1.05</v>
      </c>
      <c r="I78" s="255">
        <v>1.05</v>
      </c>
      <c r="J78" s="255">
        <v>1.05</v>
      </c>
      <c r="K78" s="255">
        <v>1.05</v>
      </c>
      <c r="L78" s="269">
        <f t="shared" ref="L78:R78" si="13">L71</f>
        <v>2.283626763437133</v>
      </c>
      <c r="M78" s="269">
        <f t="shared" si="13"/>
        <v>2.3312342712445142</v>
      </c>
      <c r="N78" s="269">
        <f t="shared" si="13"/>
        <v>2.5021497610485572</v>
      </c>
      <c r="O78" s="269">
        <f t="shared" si="13"/>
        <v>2.5966040774274108</v>
      </c>
      <c r="P78" s="269">
        <f t="shared" si="13"/>
        <v>2.6931296970842329</v>
      </c>
      <c r="Q78" s="269">
        <f t="shared" si="13"/>
        <v>2.7967110289758206</v>
      </c>
      <c r="R78" s="269">
        <f t="shared" si="13"/>
        <v>2.9037678460212342</v>
      </c>
      <c r="S78" s="269">
        <f>R78*(1+(R78-Q78)/Q78)</f>
        <v>3.0149227489815495</v>
      </c>
      <c r="T78" s="269">
        <f>S78*(1+(S78-R78)/R78)</f>
        <v>3.1303326107082987</v>
      </c>
      <c r="U78" s="269">
        <f>T78*(1+(T78-S78)/S78)</f>
        <v>3.2501603090739093</v>
      </c>
      <c r="V78" s="270">
        <f>X78*0.8</f>
        <v>18.613647446005935</v>
      </c>
      <c r="W78" s="270">
        <f>'Production Steps'!H45*1.1*'Production Steps'!L45</f>
        <v>31.809642096323493</v>
      </c>
      <c r="X78" s="270">
        <f>'Production Steps'!I45*1.1*'Production Steps'!L45</f>
        <v>23.267059307507417</v>
      </c>
    </row>
    <row r="79" spans="1:24" s="252" customFormat="1" x14ac:dyDescent="0.2">
      <c r="A79" s="255"/>
      <c r="B79" s="268" t="s">
        <v>653</v>
      </c>
      <c r="C79" s="268" t="s">
        <v>654</v>
      </c>
      <c r="D79" s="268" t="str">
        <f t="shared" si="12"/>
        <v>CCABMS1</v>
      </c>
      <c r="E79" s="255">
        <v>2010</v>
      </c>
      <c r="F79" s="271"/>
      <c r="G79" s="255">
        <v>1.05</v>
      </c>
      <c r="H79" s="255">
        <v>1.05</v>
      </c>
      <c r="I79" s="255">
        <v>1.05</v>
      </c>
      <c r="J79" s="255">
        <v>1.05</v>
      </c>
      <c r="K79" s="255">
        <v>1.05</v>
      </c>
      <c r="L79" s="269">
        <f>L78*'Production Steps'!$O$13</f>
        <v>2.2904776437274443</v>
      </c>
      <c r="M79" s="269">
        <f>M78*'Production Steps'!$O$13</f>
        <v>2.3382279740582477</v>
      </c>
      <c r="N79" s="269">
        <f>N78*'Production Steps'!$O$13</f>
        <v>2.5096562103317028</v>
      </c>
      <c r="O79" s="269">
        <f>O78*'Production Steps'!$O$13</f>
        <v>2.604393889659693</v>
      </c>
      <c r="P79" s="269">
        <f>P78*'Production Steps'!$O$13</f>
        <v>2.7012090861754854</v>
      </c>
      <c r="Q79" s="269">
        <f>Q78*'Production Steps'!$O$13</f>
        <v>2.8051011620627477</v>
      </c>
      <c r="R79" s="269">
        <f>R78*'Production Steps'!$O$13</f>
        <v>2.9124791495592977</v>
      </c>
      <c r="S79" s="269">
        <f>S78*'Production Steps'!$O$13</f>
        <v>3.0239675172284937</v>
      </c>
      <c r="T79" s="269">
        <f>T78*'Production Steps'!$O$13</f>
        <v>3.1397236085404234</v>
      </c>
      <c r="U79" s="269">
        <f>U78*'Production Steps'!$O$13</f>
        <v>3.2599107900011308</v>
      </c>
      <c r="V79" s="270">
        <f>X79*0.8</f>
        <v>18.613647446005935</v>
      </c>
      <c r="W79" s="270">
        <f>'Production Steps'!H46*1.1*'Production Steps'!L46</f>
        <v>31.809642096323493</v>
      </c>
      <c r="X79" s="270">
        <f>'Production Steps'!I46*1.1*'Production Steps'!L46</f>
        <v>23.267059307507417</v>
      </c>
    </row>
    <row r="80" spans="1:24" s="252" customFormat="1" x14ac:dyDescent="0.2">
      <c r="A80" s="255"/>
      <c r="B80" s="268" t="s">
        <v>655</v>
      </c>
      <c r="C80" s="268" t="s">
        <v>656</v>
      </c>
      <c r="D80" s="268" t="str">
        <f t="shared" si="12"/>
        <v>CCABMS1</v>
      </c>
      <c r="E80" s="255">
        <v>2010</v>
      </c>
      <c r="F80" s="271">
        <f>X80*0.1</f>
        <v>20.940353376756754</v>
      </c>
      <c r="G80" s="255">
        <v>1.05</v>
      </c>
      <c r="H80" s="255">
        <v>1.05</v>
      </c>
      <c r="I80" s="255">
        <v>1.05</v>
      </c>
      <c r="J80" s="255">
        <v>1.05</v>
      </c>
      <c r="K80" s="255">
        <v>1.05</v>
      </c>
      <c r="L80" s="269">
        <f>L78*'Production Steps'!$O$14</f>
        <v>2.557661975049589</v>
      </c>
      <c r="M80" s="269">
        <f>M78*'Production Steps'!$O$14</f>
        <v>2.6109823837938562</v>
      </c>
      <c r="N80" s="269">
        <f>N78*'Production Steps'!$O$14</f>
        <v>2.8024077323743843</v>
      </c>
      <c r="O80" s="269">
        <f>O78*'Production Steps'!$O$14</f>
        <v>2.9081965667187006</v>
      </c>
      <c r="P80" s="269">
        <f>P78*'Production Steps'!$O$14</f>
        <v>3.0163052607343412</v>
      </c>
      <c r="Q80" s="269">
        <f>Q78*'Production Steps'!$O$14</f>
        <v>3.1323163524529192</v>
      </c>
      <c r="R80" s="269">
        <f>R78*'Production Steps'!$O$14</f>
        <v>3.2522199875437825</v>
      </c>
      <c r="S80" s="269">
        <f>S78*'Production Steps'!$O$14</f>
        <v>3.3767134788593358</v>
      </c>
      <c r="T80" s="269">
        <f>T78*'Production Steps'!$O$14</f>
        <v>3.5059725239932948</v>
      </c>
      <c r="U80" s="269">
        <f>U78*'Production Steps'!$O$14</f>
        <v>3.6401795461627788</v>
      </c>
      <c r="V80" s="270"/>
      <c r="W80" s="270">
        <f>'Production Steps'!H47*1.1*'Production Steps'!L47</f>
        <v>286.28677886691332</v>
      </c>
      <c r="X80" s="270">
        <f>'Production Steps'!I47*1.1*'Production Steps'!L47</f>
        <v>209.40353376756752</v>
      </c>
    </row>
    <row r="81" spans="1:24" s="252" customFormat="1" x14ac:dyDescent="0.2">
      <c r="A81" s="255"/>
      <c r="B81" s="268" t="s">
        <v>657</v>
      </c>
      <c r="C81" s="268" t="s">
        <v>658</v>
      </c>
      <c r="D81" s="268" t="str">
        <f t="shared" si="12"/>
        <v>CCABMS1</v>
      </c>
      <c r="E81" s="255">
        <v>2010</v>
      </c>
      <c r="F81" s="271">
        <f>X81*0.1</f>
        <v>23.267059307507456</v>
      </c>
      <c r="G81" s="255">
        <v>1.05</v>
      </c>
      <c r="H81" s="255">
        <v>1.05</v>
      </c>
      <c r="I81" s="255">
        <v>1.05</v>
      </c>
      <c r="J81" s="255">
        <v>1.05</v>
      </c>
      <c r="K81" s="255">
        <v>1.05</v>
      </c>
      <c r="L81" s="269">
        <f>L78*'Production Steps'!$O$15</f>
        <v>3.4939489480588137</v>
      </c>
      <c r="M81" s="269">
        <f>M78*'Production Steps'!$O$15</f>
        <v>3.5667884350041068</v>
      </c>
      <c r="N81" s="269">
        <f>N78*'Production Steps'!$O$15</f>
        <v>3.8282891344042929</v>
      </c>
      <c r="O81" s="269">
        <f>O78*'Production Steps'!$O$15</f>
        <v>3.9728042384639388</v>
      </c>
      <c r="P81" s="269">
        <f>P78*'Production Steps'!$O$15</f>
        <v>4.1204884365388761</v>
      </c>
      <c r="Q81" s="269">
        <f>Q78*'Production Steps'!$O$15</f>
        <v>4.2789678743330057</v>
      </c>
      <c r="R81" s="269">
        <f>R78*'Production Steps'!$O$15</f>
        <v>4.4427648044124881</v>
      </c>
      <c r="S81" s="269">
        <f>S78*'Production Steps'!$O$15</f>
        <v>4.612831805941771</v>
      </c>
      <c r="T81" s="269">
        <f>T78*'Production Steps'!$O$15</f>
        <v>4.7894088943836968</v>
      </c>
      <c r="U81" s="269">
        <f>U78*'Production Steps'!$O$15</f>
        <v>4.9727452728830812</v>
      </c>
      <c r="V81" s="270"/>
      <c r="W81" s="270">
        <f>'Production Steps'!H48*1.1*'Production Steps'!L48</f>
        <v>318.09642096323569</v>
      </c>
      <c r="X81" s="270">
        <f>'Production Steps'!I48*1.1*'Production Steps'!L48</f>
        <v>232.67059307507455</v>
      </c>
    </row>
    <row r="82" spans="1:24" s="252" customFormat="1" x14ac:dyDescent="0.2">
      <c r="A82" s="266" t="s">
        <v>505</v>
      </c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</row>
    <row r="83" spans="1:24" s="252" customFormat="1" x14ac:dyDescent="0.2">
      <c r="A83" s="267" t="s">
        <v>504</v>
      </c>
      <c r="B83" s="268" t="s">
        <v>659</v>
      </c>
      <c r="C83" s="268" t="s">
        <v>660</v>
      </c>
      <c r="D83" s="268" t="str">
        <f>CONCATENATE(MID(B83,4,6),"1")</f>
        <v>CSAPLU1</v>
      </c>
      <c r="E83" s="255">
        <v>2010</v>
      </c>
      <c r="F83" s="255"/>
      <c r="G83" s="255">
        <v>1.05</v>
      </c>
      <c r="H83" s="255">
        <v>1.05</v>
      </c>
      <c r="I83" s="255">
        <v>1.05</v>
      </c>
      <c r="J83" s="255">
        <v>1.05</v>
      </c>
      <c r="K83" s="255">
        <v>1.0049999999999999</v>
      </c>
      <c r="L83" s="269">
        <f>L85*'Production Steps'!$O$10</f>
        <v>2.540884292173065</v>
      </c>
      <c r="M83" s="269">
        <f>M85*'Production Steps'!$O$10</f>
        <v>3.8093891738614571</v>
      </c>
      <c r="N83" s="269">
        <f>N85*'Production Steps'!$O$10</f>
        <v>4.2658228862942655</v>
      </c>
      <c r="O83" s="269">
        <f>O85*'Production Steps'!$O$10</f>
        <v>4.5878601086257431</v>
      </c>
      <c r="P83" s="269">
        <f>P85*'Production Steps'!$O$10</f>
        <v>4.9421721490841195</v>
      </c>
      <c r="Q83" s="269">
        <f>Q85*'Production Steps'!$O$10</f>
        <v>5.2171437907290317</v>
      </c>
      <c r="R83" s="269">
        <f>R85*'Production Steps'!$O$10</f>
        <v>5.3155073404163264</v>
      </c>
      <c r="S83" s="269">
        <f>S85*'Production Steps'!$O$10</f>
        <v>5.4157254274319344</v>
      </c>
      <c r="T83" s="269">
        <f>T85*'Production Steps'!$O$10</f>
        <v>5.5178330170522516</v>
      </c>
      <c r="U83" s="269">
        <f>U85*'Production Steps'!$O$10</f>
        <v>5.6218657337857829</v>
      </c>
      <c r="V83" s="270">
        <f>X83*0.8</f>
        <v>124.73068947651842</v>
      </c>
      <c r="W83" s="270">
        <f>'Production Steps'!H51*1.1</f>
        <v>123.31198995884864</v>
      </c>
      <c r="X83" s="270">
        <f>'Production Steps'!I51*1.1</f>
        <v>155.91336184564801</v>
      </c>
    </row>
    <row r="84" spans="1:24" s="252" customFormat="1" x14ac:dyDescent="0.2">
      <c r="A84" s="255"/>
      <c r="B84" s="268" t="s">
        <v>661</v>
      </c>
      <c r="C84" s="268" t="s">
        <v>662</v>
      </c>
      <c r="D84" s="268" t="str">
        <f t="shared" ref="D84:D88" si="14">CONCATENATE(MID(B84,4,6),"1")</f>
        <v>CSAPLU1</v>
      </c>
      <c r="E84" s="255">
        <v>2010</v>
      </c>
      <c r="F84" s="255"/>
      <c r="G84" s="255">
        <v>1.05</v>
      </c>
      <c r="H84" s="255">
        <v>1.05</v>
      </c>
      <c r="I84" s="255">
        <v>1.05</v>
      </c>
      <c r="J84" s="255">
        <v>1.05</v>
      </c>
      <c r="K84" s="255">
        <v>1.0049999999999999</v>
      </c>
      <c r="L84" s="269">
        <f>L85*'Production Steps'!$O$11</f>
        <v>2.8815937768053623</v>
      </c>
      <c r="M84" s="269">
        <f>M85*'Production Steps'!$O$11</f>
        <v>4.3201936312656066</v>
      </c>
      <c r="N84" s="269">
        <f>N85*'Production Steps'!$O$11</f>
        <v>4.8378309551382692</v>
      </c>
      <c r="O84" s="269">
        <f>O85*'Production Steps'!$O$11</f>
        <v>5.2030504413732857</v>
      </c>
      <c r="P84" s="269">
        <f>P85*'Production Steps'!$O$11</f>
        <v>5.6048725054385811</v>
      </c>
      <c r="Q84" s="269">
        <f>Q85*'Production Steps'!$O$11</f>
        <v>5.9167153444858798</v>
      </c>
      <c r="R84" s="269">
        <f>R85*'Production Steps'!$O$11</f>
        <v>6.0282685519721522</v>
      </c>
      <c r="S84" s="269">
        <f>S85*'Production Steps'!$O$11</f>
        <v>6.141924973383035</v>
      </c>
      <c r="T84" s="269">
        <f>T85*'Production Steps'!$O$11</f>
        <v>6.2577242625206217</v>
      </c>
      <c r="U84" s="269">
        <f>U85*'Production Steps'!$O$11</f>
        <v>6.3757068208161494</v>
      </c>
      <c r="V84" s="270">
        <f>X84*0.8</f>
        <v>122.23607568698804</v>
      </c>
      <c r="W84" s="270">
        <f>'Production Steps'!H52*1.1</f>
        <v>120.84575015967167</v>
      </c>
      <c r="X84" s="270">
        <f>'Production Steps'!I52*1.1</f>
        <v>152.79509460873504</v>
      </c>
    </row>
    <row r="85" spans="1:24" s="252" customFormat="1" x14ac:dyDescent="0.2">
      <c r="A85" s="255"/>
      <c r="B85" s="268" t="s">
        <v>663</v>
      </c>
      <c r="C85" s="268" t="s">
        <v>664</v>
      </c>
      <c r="D85" s="268" t="str">
        <f t="shared" si="14"/>
        <v>CSAPLU1</v>
      </c>
      <c r="E85" s="255">
        <v>2010</v>
      </c>
      <c r="F85" s="255"/>
      <c r="G85" s="255">
        <v>1.05</v>
      </c>
      <c r="H85" s="255">
        <v>1.05</v>
      </c>
      <c r="I85" s="255">
        <v>1.05</v>
      </c>
      <c r="J85" s="255">
        <v>1.05</v>
      </c>
      <c r="K85" s="255">
        <v>1.0049999999999999</v>
      </c>
      <c r="L85" s="269">
        <f>'AEO Coal Prices'!M17*'Production Steps'!$Q$17*$N$4</f>
        <v>2.8873685138330285</v>
      </c>
      <c r="M85" s="269">
        <f>'AEO Coal Prices'!N17*'Production Steps'!$Q$17*$N$4</f>
        <v>4.328851333933474</v>
      </c>
      <c r="N85" s="269">
        <f>'AEO Coal Prices'!O17*'Production Steps'!$Q$17*$N$4</f>
        <v>4.8475260071525748</v>
      </c>
      <c r="O85" s="269">
        <f>'AEO Coal Prices'!P17*'Production Steps'!$Q$17*$N$4</f>
        <v>5.2134773961656169</v>
      </c>
      <c r="P85" s="269">
        <f>'AEO Coal Prices'!Q17*'Production Steps'!$Q$17*$N$4</f>
        <v>5.6161047148683174</v>
      </c>
      <c r="Q85" s="269">
        <f>'AEO Coal Prices'!R17*'Production Steps'!$Q$17*$N$4</f>
        <v>5.9285724894648091</v>
      </c>
      <c r="R85" s="269">
        <f>'AEO Coal Prices'!S17*'Production Steps'!$Q$17*$N$4</f>
        <v>6.0403492504730982</v>
      </c>
      <c r="S85" s="269">
        <f>R85*(1+(R85-Q85)/Q85)</f>
        <v>6.1542334402635621</v>
      </c>
      <c r="T85" s="269">
        <f>S85*(1+(S85-R85)/R85)</f>
        <v>6.2702647921048316</v>
      </c>
      <c r="U85" s="269">
        <f>T85*(1+(T85-S85)/S85)</f>
        <v>6.3884837883929348</v>
      </c>
      <c r="V85" s="270">
        <f>X85*0.8</f>
        <v>2.4946137895303857</v>
      </c>
      <c r="W85" s="270">
        <f>'Production Steps'!H53*1.1</f>
        <v>2.4662397991769751</v>
      </c>
      <c r="X85" s="270">
        <f>'Production Steps'!I53*1.1</f>
        <v>3.118267236912982</v>
      </c>
    </row>
    <row r="86" spans="1:24" s="252" customFormat="1" x14ac:dyDescent="0.2">
      <c r="A86" s="255"/>
      <c r="B86" s="268" t="s">
        <v>665</v>
      </c>
      <c r="C86" s="268" t="s">
        <v>666</v>
      </c>
      <c r="D86" s="268" t="str">
        <f t="shared" si="14"/>
        <v>CSAPLU1</v>
      </c>
      <c r="E86" s="255">
        <v>2010</v>
      </c>
      <c r="F86" s="271"/>
      <c r="G86" s="255">
        <v>1.05</v>
      </c>
      <c r="H86" s="255">
        <v>1.05</v>
      </c>
      <c r="I86" s="255">
        <v>1.05</v>
      </c>
      <c r="J86" s="255">
        <v>1.05</v>
      </c>
      <c r="K86" s="255">
        <v>1.0049999999999999</v>
      </c>
      <c r="L86" s="269">
        <f>L85*'Production Steps'!$O$13</f>
        <v>2.8960306193745273</v>
      </c>
      <c r="M86" s="269">
        <f>M85*'Production Steps'!$O$13</f>
        <v>4.3418378879352737</v>
      </c>
      <c r="N86" s="269">
        <f>N85*'Production Steps'!$O$13</f>
        <v>4.8620685851740317</v>
      </c>
      <c r="O86" s="269">
        <f>O85*'Production Steps'!$O$13</f>
        <v>5.2291178283541129</v>
      </c>
      <c r="P86" s="269">
        <f>P85*'Production Steps'!$O$13</f>
        <v>5.6329530290129215</v>
      </c>
      <c r="Q86" s="269">
        <f>Q85*'Production Steps'!$O$13</f>
        <v>5.946358206933203</v>
      </c>
      <c r="R86" s="269">
        <f>R85*'Production Steps'!$O$13</f>
        <v>6.0584702982245169</v>
      </c>
      <c r="S86" s="269">
        <f>S85*'Production Steps'!$O$13</f>
        <v>6.1726961405843523</v>
      </c>
      <c r="T86" s="269">
        <f>T85*'Production Steps'!$O$13</f>
        <v>6.289075586481145</v>
      </c>
      <c r="U86" s="269">
        <f>U85*'Production Steps'!$O$13</f>
        <v>6.4076492397581131</v>
      </c>
      <c r="V86" s="270">
        <f>X86*0.8</f>
        <v>2.4946137895303857</v>
      </c>
      <c r="W86" s="270">
        <f>'Production Steps'!H54*1.1</f>
        <v>2.4662397991769751</v>
      </c>
      <c r="X86" s="270">
        <f>'Production Steps'!I54*1.1</f>
        <v>3.118267236912982</v>
      </c>
    </row>
    <row r="87" spans="1:24" s="252" customFormat="1" x14ac:dyDescent="0.2">
      <c r="A87" s="255"/>
      <c r="B87" s="268" t="s">
        <v>667</v>
      </c>
      <c r="C87" s="268" t="s">
        <v>668</v>
      </c>
      <c r="D87" s="268" t="str">
        <f t="shared" si="14"/>
        <v>CSAPLU1</v>
      </c>
      <c r="E87" s="255">
        <v>2010</v>
      </c>
      <c r="F87" s="271">
        <f>X87*0.1</f>
        <v>2.8064405132216654</v>
      </c>
      <c r="G87" s="255">
        <v>1.05</v>
      </c>
      <c r="H87" s="255">
        <v>1.05</v>
      </c>
      <c r="I87" s="255">
        <v>1.05</v>
      </c>
      <c r="J87" s="255">
        <v>1.05</v>
      </c>
      <c r="K87" s="255">
        <v>1.0049999999999999</v>
      </c>
      <c r="L87" s="269">
        <f>L85*'Production Steps'!$O$14</f>
        <v>3.233852735492992</v>
      </c>
      <c r="M87" s="269">
        <f>M85*'Production Steps'!$O$14</f>
        <v>4.8483134940054917</v>
      </c>
      <c r="N87" s="269">
        <f>N85*'Production Steps'!$O$14</f>
        <v>5.429229128010884</v>
      </c>
      <c r="O87" s="269">
        <f>O85*'Production Steps'!$O$14</f>
        <v>5.8390946837054916</v>
      </c>
      <c r="P87" s="269">
        <f>P85*'Production Steps'!$O$14</f>
        <v>6.2900372806525162</v>
      </c>
      <c r="Q87" s="269">
        <f>Q85*'Production Steps'!$O$14</f>
        <v>6.6400011882005865</v>
      </c>
      <c r="R87" s="269">
        <f>R85*'Production Steps'!$O$14</f>
        <v>6.7651911605298709</v>
      </c>
      <c r="S87" s="269">
        <f>S85*'Production Steps'!$O$14</f>
        <v>6.8927414530951898</v>
      </c>
      <c r="T87" s="269">
        <f>T85*'Production Steps'!$O$14</f>
        <v>7.0226965671574124</v>
      </c>
      <c r="U87" s="269">
        <f>U85*'Production Steps'!$O$14</f>
        <v>7.1551018430000877</v>
      </c>
      <c r="V87" s="270"/>
      <c r="W87" s="270">
        <f>'Production Steps'!H55*1.1</f>
        <v>22.19615819259278</v>
      </c>
      <c r="X87" s="270">
        <f>'Production Steps'!I55*1.1</f>
        <v>28.064405132216653</v>
      </c>
    </row>
    <row r="88" spans="1:24" s="252" customFormat="1" x14ac:dyDescent="0.2">
      <c r="A88" s="255"/>
      <c r="B88" s="268" t="s">
        <v>669</v>
      </c>
      <c r="C88" s="268" t="s">
        <v>670</v>
      </c>
      <c r="D88" s="268" t="str">
        <f t="shared" si="14"/>
        <v>CSAPLU1</v>
      </c>
      <c r="E88" s="255">
        <v>2010</v>
      </c>
      <c r="F88" s="271">
        <f>X88*0.1</f>
        <v>3.1182672369129572</v>
      </c>
      <c r="G88" s="255">
        <v>1.05</v>
      </c>
      <c r="H88" s="255">
        <v>1.05</v>
      </c>
      <c r="I88" s="255">
        <v>1.05</v>
      </c>
      <c r="J88" s="255">
        <v>1.05</v>
      </c>
      <c r="K88" s="255">
        <v>1.0049999999999999</v>
      </c>
      <c r="L88" s="269">
        <f>L85*'Production Steps'!$O$15</f>
        <v>4.4176738261645339</v>
      </c>
      <c r="M88" s="269">
        <f>M85*'Production Steps'!$O$15</f>
        <v>6.6231425409182156</v>
      </c>
      <c r="N88" s="269">
        <f>N85*'Production Steps'!$O$15</f>
        <v>7.4167147909434394</v>
      </c>
      <c r="O88" s="269">
        <f>O85*'Production Steps'!$O$15</f>
        <v>7.976620416133394</v>
      </c>
      <c r="P88" s="269">
        <f>P85*'Production Steps'!$O$15</f>
        <v>8.5926402137485258</v>
      </c>
      <c r="Q88" s="269">
        <f>Q85*'Production Steps'!$O$15</f>
        <v>9.0707159088811586</v>
      </c>
      <c r="R88" s="269">
        <f>R85*'Production Steps'!$O$15</f>
        <v>9.2417343532238405</v>
      </c>
      <c r="S88" s="269">
        <f>S85*'Production Steps'!$O$15</f>
        <v>9.4159771636032499</v>
      </c>
      <c r="T88" s="269">
        <f>T85*'Production Steps'!$O$15</f>
        <v>9.5935051319203932</v>
      </c>
      <c r="U88" s="269">
        <f>U85*'Production Steps'!$O$15</f>
        <v>9.7743801962411911</v>
      </c>
      <c r="V88" s="270"/>
      <c r="W88" s="270">
        <f>'Production Steps'!H56*1.1</f>
        <v>24.662397991769691</v>
      </c>
      <c r="X88" s="270">
        <f>'Production Steps'!I56*1.1</f>
        <v>31.18267236912957</v>
      </c>
    </row>
    <row r="89" spans="1:24" s="252" customFormat="1" x14ac:dyDescent="0.2">
      <c r="A89" s="266" t="s">
        <v>505</v>
      </c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</row>
    <row r="90" spans="1:24" s="252" customFormat="1" x14ac:dyDescent="0.2">
      <c r="A90" s="267" t="s">
        <v>504</v>
      </c>
      <c r="B90" s="268" t="s">
        <v>671</v>
      </c>
      <c r="C90" s="268" t="s">
        <v>672</v>
      </c>
      <c r="D90" s="268" t="str">
        <f>CONCATENATE(MID(B90,4,6),"1")</f>
        <v>CSABLU1</v>
      </c>
      <c r="E90" s="255">
        <v>2010</v>
      </c>
      <c r="F90" s="255"/>
      <c r="G90" s="255">
        <v>1.05</v>
      </c>
      <c r="H90" s="255">
        <v>1.05</v>
      </c>
      <c r="I90" s="255">
        <v>1.05</v>
      </c>
      <c r="J90" s="255">
        <v>1.05</v>
      </c>
      <c r="K90" s="255">
        <v>1.05</v>
      </c>
      <c r="L90" s="269">
        <f>L92*'Production Steps'!$O$10</f>
        <v>2.2465617844681089</v>
      </c>
      <c r="M90" s="269">
        <f>M92*'Production Steps'!$O$10</f>
        <v>2.3884614144309197</v>
      </c>
      <c r="N90" s="269">
        <f>N92*'Production Steps'!$O$10</f>
        <v>2.540381577351094</v>
      </c>
      <c r="O90" s="269">
        <f>O92*'Production Steps'!$O$10</f>
        <v>2.6084901842318904</v>
      </c>
      <c r="P90" s="269">
        <f>P92*'Production Steps'!$O$10</f>
        <v>2.7967602921403718</v>
      </c>
      <c r="Q90" s="269">
        <f>Q92*'Production Steps'!$O$10</f>
        <v>2.9481807434774048</v>
      </c>
      <c r="R90" s="269">
        <f>R92*'Production Steps'!$O$10</f>
        <v>3.1209514260464735</v>
      </c>
      <c r="S90" s="269">
        <f>S92*'Production Steps'!$O$10</f>
        <v>3.3038468978847964</v>
      </c>
      <c r="T90" s="269">
        <f>T92*'Production Steps'!$O$10</f>
        <v>3.4974604966826717</v>
      </c>
      <c r="U90" s="269">
        <f>U92*'Production Steps'!$O$10</f>
        <v>3.7024203311864037</v>
      </c>
      <c r="V90" s="270">
        <f>X90*0.8</f>
        <v>0</v>
      </c>
      <c r="W90" s="270">
        <f>'Production Steps'!H58*1.1*'Production Steps'!K58</f>
        <v>0</v>
      </c>
      <c r="X90" s="270">
        <f>'Production Steps'!I58*1.1*'Production Steps'!K58</f>
        <v>0</v>
      </c>
    </row>
    <row r="91" spans="1:24" s="252" customFormat="1" x14ac:dyDescent="0.2">
      <c r="A91" s="255"/>
      <c r="B91" s="268" t="s">
        <v>673</v>
      </c>
      <c r="C91" s="268" t="s">
        <v>674</v>
      </c>
      <c r="D91" s="268" t="str">
        <f t="shared" ref="D91:D95" si="15">CONCATENATE(MID(B91,4,6),"1")</f>
        <v>CSABLU1</v>
      </c>
      <c r="E91" s="255">
        <v>2010</v>
      </c>
      <c r="F91" s="255"/>
      <c r="G91" s="255">
        <v>1.05</v>
      </c>
      <c r="H91" s="255">
        <v>1.05</v>
      </c>
      <c r="I91" s="255">
        <v>1.05</v>
      </c>
      <c r="J91" s="255">
        <v>1.05</v>
      </c>
      <c r="K91" s="255">
        <v>1.05</v>
      </c>
      <c r="L91" s="269">
        <f>L92*'Production Steps'!$O$11</f>
        <v>2.5478052964763327</v>
      </c>
      <c r="M91" s="269">
        <f>M92*'Production Steps'!$O$11</f>
        <v>2.70873237682052</v>
      </c>
      <c r="N91" s="269">
        <f>N92*'Production Steps'!$O$11</f>
        <v>2.8810236524958999</v>
      </c>
      <c r="O91" s="269">
        <f>O92*'Production Steps'!$O$11</f>
        <v>2.9582650043902574</v>
      </c>
      <c r="P91" s="269">
        <f>P92*'Production Steps'!$O$11</f>
        <v>3.171780422222831</v>
      </c>
      <c r="Q91" s="269">
        <f>Q92*'Production Steps'!$O$11</f>
        <v>3.3435049795346026</v>
      </c>
      <c r="R91" s="269">
        <f>R92*'Production Steps'!$O$11</f>
        <v>3.5394426399936143</v>
      </c>
      <c r="S91" s="269">
        <f>S92*'Production Steps'!$O$11</f>
        <v>3.7468627319193484</v>
      </c>
      <c r="T91" s="269">
        <f>T92*'Production Steps'!$O$11</f>
        <v>3.9664381541923937</v>
      </c>
      <c r="U91" s="269">
        <f>U92*'Production Steps'!$O$11</f>
        <v>4.1988812392318531</v>
      </c>
      <c r="V91" s="270">
        <f>X91*0.8</f>
        <v>0</v>
      </c>
      <c r="W91" s="270">
        <f>'Production Steps'!H59*1.1*'Production Steps'!K59</f>
        <v>0</v>
      </c>
      <c r="X91" s="270">
        <f>'Production Steps'!I59*1.1*'Production Steps'!K59</f>
        <v>0</v>
      </c>
    </row>
    <row r="92" spans="1:24" s="252" customFormat="1" x14ac:dyDescent="0.2">
      <c r="A92" s="255"/>
      <c r="B92" s="268" t="s">
        <v>675</v>
      </c>
      <c r="C92" s="268" t="s">
        <v>676</v>
      </c>
      <c r="D92" s="268" t="str">
        <f t="shared" si="15"/>
        <v>CSABLU1</v>
      </c>
      <c r="E92" s="255">
        <v>2010</v>
      </c>
      <c r="F92" s="255"/>
      <c r="G92" s="255">
        <v>1.05</v>
      </c>
      <c r="H92" s="255">
        <v>1.05</v>
      </c>
      <c r="I92" s="255">
        <v>1.05</v>
      </c>
      <c r="J92" s="255">
        <v>1.05</v>
      </c>
      <c r="K92" s="255">
        <v>1.05</v>
      </c>
      <c r="L92" s="269">
        <f>'AEO Coal Prices'!M18*'Production Steps'!$Q$17*$N$4</f>
        <v>2.5529111187137601</v>
      </c>
      <c r="M92" s="269">
        <f>'AEO Coal Prices'!N18*'Production Steps'!$Q$17*$N$4</f>
        <v>2.7141606982169542</v>
      </c>
      <c r="N92" s="269">
        <f>'AEO Coal Prices'!O18*'Production Steps'!$Q$17*$N$4</f>
        <v>2.8867972469898797</v>
      </c>
      <c r="O92" s="269">
        <f>'AEO Coal Prices'!P18*'Production Steps'!$Q$17*$N$4</f>
        <v>2.9641933911726026</v>
      </c>
      <c r="P92" s="269">
        <f>'AEO Coal Prices'!Q18*'Production Steps'!$Q$17*$N$4</f>
        <v>3.1781366956140591</v>
      </c>
      <c r="Q92" s="269">
        <f>'AEO Coal Prices'!R18*'Production Steps'!$Q$17*$N$4</f>
        <v>3.3502053903152329</v>
      </c>
      <c r="R92" s="269">
        <f>'AEO Coal Prices'!S18*'Production Steps'!$Q$17*$N$4</f>
        <v>3.5465357114164471</v>
      </c>
      <c r="S92" s="269">
        <f>R92*(1+(R92-Q92)/Q92)</f>
        <v>3.7543714748690866</v>
      </c>
      <c r="T92" s="269">
        <f>S92*(1+(S92-R92)/R92)</f>
        <v>3.9743869280484905</v>
      </c>
      <c r="U92" s="269">
        <f>T92*(1+(T92-S92)/S92)</f>
        <v>4.2072958308936403</v>
      </c>
      <c r="V92" s="270">
        <f>X92*0.8</f>
        <v>0</v>
      </c>
      <c r="W92" s="270">
        <f>'Production Steps'!H60*1.1*'Production Steps'!K60</f>
        <v>0</v>
      </c>
      <c r="X92" s="270">
        <f>'Production Steps'!I60*1.1*'Production Steps'!K60</f>
        <v>0</v>
      </c>
    </row>
    <row r="93" spans="1:24" s="252" customFormat="1" x14ac:dyDescent="0.2">
      <c r="A93" s="255"/>
      <c r="B93" s="268" t="s">
        <v>677</v>
      </c>
      <c r="C93" s="268" t="s">
        <v>678</v>
      </c>
      <c r="D93" s="268" t="str">
        <f t="shared" si="15"/>
        <v>CSABLU1</v>
      </c>
      <c r="E93" s="255">
        <v>2010</v>
      </c>
      <c r="F93" s="271"/>
      <c r="G93" s="255">
        <v>1.05</v>
      </c>
      <c r="H93" s="255">
        <v>1.05</v>
      </c>
      <c r="I93" s="255">
        <v>1.05</v>
      </c>
      <c r="J93" s="255">
        <v>1.05</v>
      </c>
      <c r="K93" s="255">
        <v>1.05</v>
      </c>
      <c r="L93" s="269">
        <f>L92*'Production Steps'!$O$13</f>
        <v>2.560569852069901</v>
      </c>
      <c r="M93" s="269">
        <f>M92*'Production Steps'!$O$13</f>
        <v>2.7223031803116049</v>
      </c>
      <c r="N93" s="269">
        <f>N92*'Production Steps'!$O$13</f>
        <v>2.895457638730849</v>
      </c>
      <c r="O93" s="269">
        <f>O92*'Production Steps'!$O$13</f>
        <v>2.9730859713461202</v>
      </c>
      <c r="P93" s="269">
        <f>P92*'Production Steps'!$O$13</f>
        <v>3.1876711057009008</v>
      </c>
      <c r="Q93" s="269">
        <f>Q92*'Production Steps'!$O$13</f>
        <v>3.3602560064861784</v>
      </c>
      <c r="R93" s="269">
        <f>R92*'Production Steps'!$O$13</f>
        <v>3.557175318550696</v>
      </c>
      <c r="S93" s="269">
        <f>S92*'Production Steps'!$O$13</f>
        <v>3.7656345892936933</v>
      </c>
      <c r="T93" s="269">
        <f>T92*'Production Steps'!$O$13</f>
        <v>3.9863100888326355</v>
      </c>
      <c r="U93" s="269">
        <f>U92*'Production Steps'!$O$13</f>
        <v>4.2199177183863208</v>
      </c>
      <c r="V93" s="270">
        <f>X93*0.8</f>
        <v>0</v>
      </c>
      <c r="W93" s="270">
        <f>'Production Steps'!H61*1.1*'Production Steps'!K61</f>
        <v>0</v>
      </c>
      <c r="X93" s="270">
        <f>'Production Steps'!I61*1.1*'Production Steps'!K61</f>
        <v>0</v>
      </c>
    </row>
    <row r="94" spans="1:24" s="252" customFormat="1" x14ac:dyDescent="0.2">
      <c r="A94" s="255"/>
      <c r="B94" s="268" t="s">
        <v>679</v>
      </c>
      <c r="C94" s="268" t="s">
        <v>680</v>
      </c>
      <c r="D94" s="268" t="str">
        <f t="shared" si="15"/>
        <v>CSABLU1</v>
      </c>
      <c r="E94" s="255">
        <v>2010</v>
      </c>
      <c r="F94" s="271">
        <f>X94*0.1</f>
        <v>0</v>
      </c>
      <c r="G94" s="255">
        <v>1.05</v>
      </c>
      <c r="H94" s="255">
        <v>1.05</v>
      </c>
      <c r="I94" s="255">
        <v>1.05</v>
      </c>
      <c r="J94" s="255">
        <v>1.05</v>
      </c>
      <c r="K94" s="255">
        <v>1.05</v>
      </c>
      <c r="L94" s="269">
        <f>L92*'Production Steps'!$O$14</f>
        <v>2.8592604529594117</v>
      </c>
      <c r="M94" s="269">
        <f>M92*'Production Steps'!$O$14</f>
        <v>3.039859982002989</v>
      </c>
      <c r="N94" s="269">
        <f>N92*'Production Steps'!$O$14</f>
        <v>3.2332129166286654</v>
      </c>
      <c r="O94" s="269">
        <f>O92*'Production Steps'!$O$14</f>
        <v>3.3198965981133153</v>
      </c>
      <c r="P94" s="269">
        <f>P92*'Production Steps'!$O$14</f>
        <v>3.5595130990877464</v>
      </c>
      <c r="Q94" s="269">
        <f>Q92*'Production Steps'!$O$14</f>
        <v>3.752230037153061</v>
      </c>
      <c r="R94" s="269">
        <f>R92*'Production Steps'!$O$14</f>
        <v>3.9721199967864211</v>
      </c>
      <c r="S94" s="269">
        <f>S92*'Production Steps'!$O$14</f>
        <v>4.2048960518533773</v>
      </c>
      <c r="T94" s="269">
        <f>T92*'Production Steps'!$O$14</f>
        <v>4.4513133594143097</v>
      </c>
      <c r="U94" s="269">
        <f>U92*'Production Steps'!$O$14</f>
        <v>4.7121713306008779</v>
      </c>
      <c r="V94" s="270"/>
      <c r="W94" s="270">
        <f>'Production Steps'!H62*1.1*'Production Steps'!K62</f>
        <v>0</v>
      </c>
      <c r="X94" s="270">
        <f>'Production Steps'!I62*1.1*'Production Steps'!K62</f>
        <v>0</v>
      </c>
    </row>
    <row r="95" spans="1:24" s="252" customFormat="1" x14ac:dyDescent="0.2">
      <c r="A95" s="255"/>
      <c r="B95" s="268" t="s">
        <v>681</v>
      </c>
      <c r="C95" s="268" t="s">
        <v>682</v>
      </c>
      <c r="D95" s="268" t="str">
        <f t="shared" si="15"/>
        <v>CSABLU1</v>
      </c>
      <c r="E95" s="255">
        <v>2010</v>
      </c>
      <c r="F95" s="271">
        <f>X95*0.1</f>
        <v>0</v>
      </c>
      <c r="G95" s="255">
        <v>1.05</v>
      </c>
      <c r="H95" s="255">
        <v>1.05</v>
      </c>
      <c r="I95" s="255">
        <v>1.05</v>
      </c>
      <c r="J95" s="255">
        <v>1.05</v>
      </c>
      <c r="K95" s="255">
        <v>1.05</v>
      </c>
      <c r="L95" s="269">
        <f>L92*'Production Steps'!$O$15</f>
        <v>3.905954011632053</v>
      </c>
      <c r="M95" s="269">
        <f>M92*'Production Steps'!$O$15</f>
        <v>4.1526658682719395</v>
      </c>
      <c r="N95" s="269">
        <f>N92*'Production Steps'!$O$15</f>
        <v>4.416799787894516</v>
      </c>
      <c r="O95" s="269">
        <f>O92*'Production Steps'!$O$15</f>
        <v>4.5352158884940819</v>
      </c>
      <c r="P95" s="269">
        <f>P92*'Production Steps'!$O$15</f>
        <v>4.8625491442895106</v>
      </c>
      <c r="Q95" s="269">
        <f>Q92*'Production Steps'!$O$15</f>
        <v>5.1258142471823067</v>
      </c>
      <c r="R95" s="269">
        <f>R92*'Production Steps'!$O$15</f>
        <v>5.426199638467164</v>
      </c>
      <c r="S95" s="269">
        <f>S92*'Production Steps'!$O$15</f>
        <v>5.7441883565497029</v>
      </c>
      <c r="T95" s="269">
        <f>T92*'Production Steps'!$O$15</f>
        <v>6.0808119999141903</v>
      </c>
      <c r="U95" s="269">
        <f>U92*'Production Steps'!$O$15</f>
        <v>6.4371626212672695</v>
      </c>
      <c r="V95" s="270"/>
      <c r="W95" s="270">
        <f>'Production Steps'!H63*1.1*'Production Steps'!K63</f>
        <v>0</v>
      </c>
      <c r="X95" s="270">
        <f>'Production Steps'!I63*1.1*'Production Steps'!K63</f>
        <v>0</v>
      </c>
    </row>
    <row r="96" spans="1:24" s="252" customFormat="1" x14ac:dyDescent="0.2">
      <c r="A96" s="266" t="s">
        <v>505</v>
      </c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</row>
    <row r="97" spans="1:24" s="252" customFormat="1" x14ac:dyDescent="0.2">
      <c r="A97" s="267" t="s">
        <v>504</v>
      </c>
      <c r="B97" s="268" t="s">
        <v>683</v>
      </c>
      <c r="C97" s="268" t="s">
        <v>684</v>
      </c>
      <c r="D97" s="268" t="str">
        <f>CONCATENATE(MID(B97,4,6),"1")</f>
        <v>CSABLS1</v>
      </c>
      <c r="E97" s="255">
        <v>2010</v>
      </c>
      <c r="F97" s="255"/>
      <c r="G97" s="255">
        <v>1.05</v>
      </c>
      <c r="H97" s="255">
        <v>1.05</v>
      </c>
      <c r="I97" s="255">
        <v>1.05</v>
      </c>
      <c r="J97" s="255">
        <v>1.05</v>
      </c>
      <c r="K97" s="255">
        <v>1.05</v>
      </c>
      <c r="L97" s="269">
        <f>L99*'Production Steps'!$O$10</f>
        <v>2.2465617844681089</v>
      </c>
      <c r="M97" s="269">
        <f>M99*'Production Steps'!$O$10</f>
        <v>2.3884614144309197</v>
      </c>
      <c r="N97" s="269">
        <f>N99*'Production Steps'!$O$10</f>
        <v>2.540381577351094</v>
      </c>
      <c r="O97" s="269">
        <f>O99*'Production Steps'!$O$10</f>
        <v>2.6084901842318904</v>
      </c>
      <c r="P97" s="269">
        <f>P99*'Production Steps'!$O$10</f>
        <v>2.7967602921403718</v>
      </c>
      <c r="Q97" s="269">
        <f>Q99*'Production Steps'!$O$10</f>
        <v>2.9481807434774048</v>
      </c>
      <c r="R97" s="269">
        <f>R99*'Production Steps'!$O$10</f>
        <v>3.1209514260464735</v>
      </c>
      <c r="S97" s="269">
        <f>S99*'Production Steps'!$O$10</f>
        <v>3.3038468978847964</v>
      </c>
      <c r="T97" s="269">
        <f>T99*'Production Steps'!$O$10</f>
        <v>3.4974604966826717</v>
      </c>
      <c r="U97" s="269">
        <f>U99*'Production Steps'!$O$10</f>
        <v>3.7024203311864037</v>
      </c>
      <c r="V97" s="270">
        <f>X97*0.8</f>
        <v>5.4707759684864001</v>
      </c>
      <c r="W97" s="270">
        <f>'Production Steps'!H58*1.1*'Production Steps'!L58</f>
        <v>7.905745329218985</v>
      </c>
      <c r="X97" s="270">
        <f>'Production Steps'!I58*1.1*'Production Steps'!L58</f>
        <v>6.8384699606080002</v>
      </c>
    </row>
    <row r="98" spans="1:24" s="252" customFormat="1" x14ac:dyDescent="0.2">
      <c r="A98" s="255"/>
      <c r="B98" s="268" t="s">
        <v>685</v>
      </c>
      <c r="C98" s="268" t="s">
        <v>686</v>
      </c>
      <c r="D98" s="268" t="str">
        <f t="shared" ref="D98:D102" si="16">CONCATENATE(MID(B98,4,6),"1")</f>
        <v>CSABLS1</v>
      </c>
      <c r="E98" s="255">
        <v>2010</v>
      </c>
      <c r="F98" s="255"/>
      <c r="G98" s="255">
        <v>1.05</v>
      </c>
      <c r="H98" s="255">
        <v>1.05</v>
      </c>
      <c r="I98" s="255">
        <v>1.05</v>
      </c>
      <c r="J98" s="255">
        <v>1.05</v>
      </c>
      <c r="K98" s="255">
        <v>1.05</v>
      </c>
      <c r="L98" s="269">
        <f>L99*'Production Steps'!$O$11</f>
        <v>2.5478052964763327</v>
      </c>
      <c r="M98" s="269">
        <f>M99*'Production Steps'!$O$11</f>
        <v>2.70873237682052</v>
      </c>
      <c r="N98" s="269">
        <f>N99*'Production Steps'!$O$11</f>
        <v>2.8810236524958999</v>
      </c>
      <c r="O98" s="269">
        <f>O99*'Production Steps'!$O$11</f>
        <v>2.9582650043902574</v>
      </c>
      <c r="P98" s="269">
        <f>P99*'Production Steps'!$O$11</f>
        <v>3.171780422222831</v>
      </c>
      <c r="Q98" s="269">
        <f>Q99*'Production Steps'!$O$11</f>
        <v>3.3435049795346026</v>
      </c>
      <c r="R98" s="269">
        <f>R99*'Production Steps'!$O$11</f>
        <v>3.5394426399936143</v>
      </c>
      <c r="S98" s="269">
        <f>S99*'Production Steps'!$O$11</f>
        <v>3.7468627319193484</v>
      </c>
      <c r="T98" s="269">
        <f>T99*'Production Steps'!$O$11</f>
        <v>3.9664381541923937</v>
      </c>
      <c r="U98" s="269">
        <f>U99*'Production Steps'!$O$11</f>
        <v>4.1988812392318531</v>
      </c>
      <c r="V98" s="270">
        <f>X98*0.8</f>
        <v>5.3613604491166731</v>
      </c>
      <c r="W98" s="270">
        <f>'Production Steps'!H59*1.1*'Production Steps'!L59</f>
        <v>7.7476304226346038</v>
      </c>
      <c r="X98" s="270">
        <f>'Production Steps'!I59*1.1*'Production Steps'!L59</f>
        <v>6.7017005613958407</v>
      </c>
    </row>
    <row r="99" spans="1:24" s="252" customFormat="1" x14ac:dyDescent="0.2">
      <c r="A99" s="255"/>
      <c r="B99" s="268" t="s">
        <v>687</v>
      </c>
      <c r="C99" s="268" t="s">
        <v>688</v>
      </c>
      <c r="D99" s="268" t="str">
        <f t="shared" si="16"/>
        <v>CSABLS1</v>
      </c>
      <c r="E99" s="255">
        <v>2010</v>
      </c>
      <c r="F99" s="255"/>
      <c r="G99" s="255">
        <v>1.05</v>
      </c>
      <c r="H99" s="255">
        <v>1.05</v>
      </c>
      <c r="I99" s="255">
        <v>1.05</v>
      </c>
      <c r="J99" s="255">
        <v>1.05</v>
      </c>
      <c r="K99" s="255">
        <v>1.05</v>
      </c>
      <c r="L99" s="269">
        <f t="shared" ref="L99:R99" si="17">L92</f>
        <v>2.5529111187137601</v>
      </c>
      <c r="M99" s="269">
        <f t="shared" si="17"/>
        <v>2.7141606982169542</v>
      </c>
      <c r="N99" s="269">
        <f t="shared" si="17"/>
        <v>2.8867972469898797</v>
      </c>
      <c r="O99" s="269">
        <f t="shared" si="17"/>
        <v>2.9641933911726026</v>
      </c>
      <c r="P99" s="269">
        <f t="shared" si="17"/>
        <v>3.1781366956140591</v>
      </c>
      <c r="Q99" s="269">
        <f t="shared" si="17"/>
        <v>3.3502053903152329</v>
      </c>
      <c r="R99" s="269">
        <f t="shared" si="17"/>
        <v>3.5465357114164471</v>
      </c>
      <c r="S99" s="269">
        <f>R99*(1+(R99-Q99)/Q99)</f>
        <v>3.7543714748690866</v>
      </c>
      <c r="T99" s="269">
        <f>S99*(1+(S99-R99)/R99)</f>
        <v>3.9743869280484905</v>
      </c>
      <c r="U99" s="269">
        <f>T99*(1+(T99-S99)/S99)</f>
        <v>4.2072958308936403</v>
      </c>
      <c r="V99" s="270">
        <f>X99*0.8</f>
        <v>0.10941551936972758</v>
      </c>
      <c r="W99" s="270">
        <f>'Production Steps'!H60*1.1*'Production Steps'!L60</f>
        <v>0.15811490658438068</v>
      </c>
      <c r="X99" s="270">
        <f>'Production Steps'!I60*1.1*'Production Steps'!L60</f>
        <v>0.13676939921215947</v>
      </c>
    </row>
    <row r="100" spans="1:24" s="252" customFormat="1" x14ac:dyDescent="0.2">
      <c r="A100" s="255"/>
      <c r="B100" s="268" t="s">
        <v>689</v>
      </c>
      <c r="C100" s="268" t="s">
        <v>690</v>
      </c>
      <c r="D100" s="268" t="str">
        <f t="shared" si="16"/>
        <v>CSABLS1</v>
      </c>
      <c r="E100" s="255">
        <v>2010</v>
      </c>
      <c r="F100" s="271"/>
      <c r="G100" s="255">
        <v>1.05</v>
      </c>
      <c r="H100" s="255">
        <v>1.05</v>
      </c>
      <c r="I100" s="255">
        <v>1.05</v>
      </c>
      <c r="J100" s="255">
        <v>1.05</v>
      </c>
      <c r="K100" s="255">
        <v>1.05</v>
      </c>
      <c r="L100" s="269">
        <f>L99*'Production Steps'!$O$13</f>
        <v>2.560569852069901</v>
      </c>
      <c r="M100" s="269">
        <f>M99*'Production Steps'!$O$13</f>
        <v>2.7223031803116049</v>
      </c>
      <c r="N100" s="269">
        <f>N99*'Production Steps'!$O$13</f>
        <v>2.895457638730849</v>
      </c>
      <c r="O100" s="269">
        <f>O99*'Production Steps'!$O$13</f>
        <v>2.9730859713461202</v>
      </c>
      <c r="P100" s="269">
        <f>P99*'Production Steps'!$O$13</f>
        <v>3.1876711057009008</v>
      </c>
      <c r="Q100" s="269">
        <f>Q99*'Production Steps'!$O$13</f>
        <v>3.3602560064861784</v>
      </c>
      <c r="R100" s="269">
        <f>R99*'Production Steps'!$O$13</f>
        <v>3.557175318550696</v>
      </c>
      <c r="S100" s="269">
        <f>S99*'Production Steps'!$O$13</f>
        <v>3.7656345892936933</v>
      </c>
      <c r="T100" s="269">
        <f>T99*'Production Steps'!$O$13</f>
        <v>3.9863100888326355</v>
      </c>
      <c r="U100" s="269">
        <f>U99*'Production Steps'!$O$13</f>
        <v>4.2199177183863208</v>
      </c>
      <c r="V100" s="270">
        <f>X100*0.8</f>
        <v>0.10941551936972758</v>
      </c>
      <c r="W100" s="270">
        <f>'Production Steps'!H61*1.1*'Production Steps'!L61</f>
        <v>0.15811490658438068</v>
      </c>
      <c r="X100" s="270">
        <f>'Production Steps'!I61*1.1*'Production Steps'!L61</f>
        <v>0.13676939921215947</v>
      </c>
    </row>
    <row r="101" spans="1:24" s="252" customFormat="1" x14ac:dyDescent="0.2">
      <c r="A101" s="255"/>
      <c r="B101" s="268" t="s">
        <v>691</v>
      </c>
      <c r="C101" s="268" t="s">
        <v>692</v>
      </c>
      <c r="D101" s="268" t="str">
        <f t="shared" si="16"/>
        <v>CSABLS1</v>
      </c>
      <c r="E101" s="255">
        <v>2010</v>
      </c>
      <c r="F101" s="271">
        <f>X101*0.1</f>
        <v>0.12309245929094413</v>
      </c>
      <c r="G101" s="255">
        <v>1.05</v>
      </c>
      <c r="H101" s="255">
        <v>1.05</v>
      </c>
      <c r="I101" s="255">
        <v>1.05</v>
      </c>
      <c r="J101" s="255">
        <v>1.05</v>
      </c>
      <c r="K101" s="255">
        <v>1.05</v>
      </c>
      <c r="L101" s="269">
        <f>L99*'Production Steps'!$O$14</f>
        <v>2.8592604529594117</v>
      </c>
      <c r="M101" s="269">
        <f>M99*'Production Steps'!$O$14</f>
        <v>3.039859982002989</v>
      </c>
      <c r="N101" s="269">
        <f>N99*'Production Steps'!$O$14</f>
        <v>3.2332129166286654</v>
      </c>
      <c r="O101" s="269">
        <f>O99*'Production Steps'!$O$14</f>
        <v>3.3198965981133153</v>
      </c>
      <c r="P101" s="269">
        <f>P99*'Production Steps'!$O$14</f>
        <v>3.5595130990877464</v>
      </c>
      <c r="Q101" s="269">
        <f>Q99*'Production Steps'!$O$14</f>
        <v>3.752230037153061</v>
      </c>
      <c r="R101" s="269">
        <f>R99*'Production Steps'!$O$14</f>
        <v>3.9721199967864211</v>
      </c>
      <c r="S101" s="269">
        <f>S99*'Production Steps'!$O$14</f>
        <v>4.2048960518533773</v>
      </c>
      <c r="T101" s="269">
        <f>T99*'Production Steps'!$O$14</f>
        <v>4.4513133594143097</v>
      </c>
      <c r="U101" s="269">
        <f>U99*'Production Steps'!$O$14</f>
        <v>4.7121713306008779</v>
      </c>
      <c r="V101" s="270"/>
      <c r="W101" s="270">
        <f>'Production Steps'!H62*1.1*'Production Steps'!L62</f>
        <v>1.4230341592594185</v>
      </c>
      <c r="X101" s="270">
        <f>'Production Steps'!I62*1.1*'Production Steps'!L62</f>
        <v>1.2309245929094412</v>
      </c>
    </row>
    <row r="102" spans="1:24" s="252" customFormat="1" x14ac:dyDescent="0.2">
      <c r="A102" s="255"/>
      <c r="B102" s="268" t="s">
        <v>693</v>
      </c>
      <c r="C102" s="268" t="s">
        <v>694</v>
      </c>
      <c r="D102" s="268" t="str">
        <f t="shared" si="16"/>
        <v>CSABLS1</v>
      </c>
      <c r="E102" s="255">
        <v>2010</v>
      </c>
      <c r="F102" s="271">
        <f>X102*0.1</f>
        <v>0.13676939921215989</v>
      </c>
      <c r="G102" s="255">
        <v>1.05</v>
      </c>
      <c r="H102" s="255">
        <v>1.05</v>
      </c>
      <c r="I102" s="255">
        <v>1.05</v>
      </c>
      <c r="J102" s="255">
        <v>1.05</v>
      </c>
      <c r="K102" s="255">
        <v>1.05</v>
      </c>
      <c r="L102" s="269">
        <f>L99*'Production Steps'!$O$15</f>
        <v>3.905954011632053</v>
      </c>
      <c r="M102" s="269">
        <f>M99*'Production Steps'!$O$15</f>
        <v>4.1526658682719395</v>
      </c>
      <c r="N102" s="269">
        <f>N99*'Production Steps'!$O$15</f>
        <v>4.416799787894516</v>
      </c>
      <c r="O102" s="269">
        <f>O99*'Production Steps'!$O$15</f>
        <v>4.5352158884940819</v>
      </c>
      <c r="P102" s="269">
        <f>P99*'Production Steps'!$O$15</f>
        <v>4.8625491442895106</v>
      </c>
      <c r="Q102" s="269">
        <f>Q99*'Production Steps'!$O$15</f>
        <v>5.1258142471823067</v>
      </c>
      <c r="R102" s="269">
        <f>R99*'Production Steps'!$O$15</f>
        <v>5.426199638467164</v>
      </c>
      <c r="S102" s="269">
        <f>S99*'Production Steps'!$O$15</f>
        <v>5.7441883565497029</v>
      </c>
      <c r="T102" s="269">
        <f>T99*'Production Steps'!$O$15</f>
        <v>6.0808119999141903</v>
      </c>
      <c r="U102" s="269">
        <f>U99*'Production Steps'!$O$15</f>
        <v>6.4371626212672695</v>
      </c>
      <c r="V102" s="270"/>
      <c r="W102" s="270">
        <f>'Production Steps'!H63*1.1*'Production Steps'!L63</f>
        <v>1.5811490658437932</v>
      </c>
      <c r="X102" s="270">
        <f>'Production Steps'!I63*1.1*'Production Steps'!L63</f>
        <v>1.3676939921215987</v>
      </c>
    </row>
    <row r="103" spans="1:24" s="252" customFormat="1" x14ac:dyDescent="0.2">
      <c r="A103" s="266" t="s">
        <v>505</v>
      </c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</row>
    <row r="104" spans="1:24" s="252" customFormat="1" x14ac:dyDescent="0.2">
      <c r="A104" s="267" t="s">
        <v>504</v>
      </c>
      <c r="B104" s="268" t="s">
        <v>695</v>
      </c>
      <c r="C104" s="268" t="s">
        <v>696</v>
      </c>
      <c r="D104" s="268" t="str">
        <f>CONCATENATE(MID(B104,4,6),"1")</f>
        <v>CSABMU1</v>
      </c>
      <c r="E104" s="255">
        <v>2010</v>
      </c>
      <c r="F104" s="255"/>
      <c r="G104" s="255">
        <v>1.05</v>
      </c>
      <c r="H104" s="255">
        <v>1.01</v>
      </c>
      <c r="I104" s="255">
        <v>1.0049999999999999</v>
      </c>
      <c r="J104" s="255">
        <v>1.0049999999999999</v>
      </c>
      <c r="K104" s="255">
        <v>1.05</v>
      </c>
      <c r="L104" s="269">
        <f>L106*'Production Steps'!$O$10</f>
        <v>1.9743778931419391</v>
      </c>
      <c r="M104" s="269">
        <f>M106*'Production Steps'!$O$10</f>
        <v>2.3949639302737062</v>
      </c>
      <c r="N104" s="269">
        <f>N106*'Production Steps'!$O$10</f>
        <v>2.0791335203166912</v>
      </c>
      <c r="O104" s="269">
        <f>O106*'Production Steps'!$O$10</f>
        <v>2.1435523999878354</v>
      </c>
      <c r="P104" s="269">
        <f>P106*'Production Steps'!$O$10</f>
        <v>2.2182236095478176</v>
      </c>
      <c r="Q104" s="269">
        <f>Q106*'Production Steps'!$O$10</f>
        <v>2.2959555966248901</v>
      </c>
      <c r="R104" s="269">
        <f>R106*'Production Steps'!$O$10</f>
        <v>2.3915624675468781</v>
      </c>
      <c r="S104" s="269">
        <f>S106*'Production Steps'!$O$10</f>
        <v>2.4911505451528848</v>
      </c>
      <c r="T104" s="269">
        <f>T106*'Production Steps'!$O$10</f>
        <v>2.5948856125765705</v>
      </c>
      <c r="U104" s="269">
        <f>U106*'Production Steps'!$O$10</f>
        <v>2.7029403563981096</v>
      </c>
      <c r="V104" s="270">
        <f>X104*0.8</f>
        <v>4.7413459963576221</v>
      </c>
      <c r="W104" s="270">
        <f>'Production Steps'!H65*1.1*'Production Steps'!K65</f>
        <v>8.7455123934376235</v>
      </c>
      <c r="X104" s="270">
        <f>'Production Steps'!I65*1.1*'Production Steps'!K65</f>
        <v>5.926682495447027</v>
      </c>
    </row>
    <row r="105" spans="1:24" s="252" customFormat="1" x14ac:dyDescent="0.2">
      <c r="A105" s="255"/>
      <c r="B105" s="268" t="s">
        <v>697</v>
      </c>
      <c r="C105" s="268" t="s">
        <v>698</v>
      </c>
      <c r="D105" s="268" t="str">
        <f t="shared" ref="D105:D109" si="18">CONCATENATE(MID(B105,4,6),"1")</f>
        <v>CSABMU1</v>
      </c>
      <c r="E105" s="255">
        <v>2010</v>
      </c>
      <c r="F105" s="255"/>
      <c r="G105" s="255">
        <v>1.05</v>
      </c>
      <c r="H105" s="255">
        <v>1.01</v>
      </c>
      <c r="I105" s="255">
        <v>1.0049999999999999</v>
      </c>
      <c r="J105" s="255">
        <v>1.0049999999999999</v>
      </c>
      <c r="K105" s="255">
        <v>1.05</v>
      </c>
      <c r="L105" s="269">
        <f>L106*'Production Steps'!$O$11</f>
        <v>2.2391240197223352</v>
      </c>
      <c r="M105" s="269">
        <f>M106*'Production Steps'!$O$11</f>
        <v>2.7161068209240442</v>
      </c>
      <c r="N105" s="269">
        <f>N106*'Production Steps'!$O$11</f>
        <v>2.3579264241773386</v>
      </c>
      <c r="O105" s="269">
        <f>O106*'Production Steps'!$O$11</f>
        <v>2.4309832899862043</v>
      </c>
      <c r="P105" s="269">
        <f>P106*'Production Steps'!$O$11</f>
        <v>2.5156672299190022</v>
      </c>
      <c r="Q105" s="269">
        <f>Q106*'Production Steps'!$O$11</f>
        <v>2.603822369808682</v>
      </c>
      <c r="R105" s="269">
        <f>R106*'Production Steps'!$O$11</f>
        <v>2.7122492529679367</v>
      </c>
      <c r="S105" s="269">
        <f>S106*'Production Steps'!$O$11</f>
        <v>2.8251911864347488</v>
      </c>
      <c r="T105" s="269">
        <f>T106*'Production Steps'!$O$11</f>
        <v>2.942836183353883</v>
      </c>
      <c r="U105" s="269">
        <f>U106*'Production Steps'!$O$11</f>
        <v>3.0653800860060376</v>
      </c>
      <c r="V105" s="270">
        <f>X105*0.8</f>
        <v>4.6465190764304687</v>
      </c>
      <c r="W105" s="270">
        <f>'Production Steps'!H66*1.1*'Production Steps'!K66</f>
        <v>8.5706021455688717</v>
      </c>
      <c r="X105" s="270">
        <f>'Production Steps'!I66*1.1*'Production Steps'!K66</f>
        <v>5.8081488455380859</v>
      </c>
    </row>
    <row r="106" spans="1:24" s="252" customFormat="1" x14ac:dyDescent="0.2">
      <c r="A106" s="255"/>
      <c r="B106" s="268" t="s">
        <v>699</v>
      </c>
      <c r="C106" s="268" t="s">
        <v>700</v>
      </c>
      <c r="D106" s="268" t="str">
        <f t="shared" si="18"/>
        <v>CSABMU1</v>
      </c>
      <c r="E106" s="255">
        <v>2010</v>
      </c>
      <c r="F106" s="255"/>
      <c r="G106" s="255">
        <v>1.05</v>
      </c>
      <c r="H106" s="255">
        <v>1.01</v>
      </c>
      <c r="I106" s="255">
        <v>1.0049999999999999</v>
      </c>
      <c r="J106" s="255">
        <v>1.0049999999999999</v>
      </c>
      <c r="K106" s="255">
        <v>1.05</v>
      </c>
      <c r="L106" s="269">
        <f>'AEO Coal Prices'!M19*'Production Steps'!$Q$17*$N$4</f>
        <v>2.2436112422067489</v>
      </c>
      <c r="M106" s="269">
        <f>'AEO Coal Prices'!N19*'Production Steps'!$Q$17*$N$4</f>
        <v>2.7215499207655753</v>
      </c>
      <c r="N106" s="269">
        <f>'AEO Coal Prices'!O19*'Production Steps'!$Q$17*$N$4</f>
        <v>2.3626517276326036</v>
      </c>
      <c r="O106" s="269">
        <f>'AEO Coal Prices'!P19*'Production Steps'!$Q$17*$N$4</f>
        <v>2.4358549999861765</v>
      </c>
      <c r="P106" s="269">
        <f>'AEO Coal Prices'!Q19*'Production Steps'!$Q$17*$N$4</f>
        <v>2.520708647213429</v>
      </c>
      <c r="Q106" s="269">
        <f>'AEO Coal Prices'!R19*'Production Steps'!$Q$17*$N$4</f>
        <v>2.6090404507101024</v>
      </c>
      <c r="R106" s="269">
        <f>'AEO Coal Prices'!S19*'Production Steps'!$Q$17*$N$4</f>
        <v>2.7176846222123614</v>
      </c>
      <c r="S106" s="269">
        <f>R106*(1+(R106-Q106)/Q106)</f>
        <v>2.8308528922191871</v>
      </c>
      <c r="T106" s="269">
        <f>S106*(1+(S106-R106)/R106)</f>
        <v>2.9487336506551935</v>
      </c>
      <c r="U106" s="269">
        <f>T106*(1+(T106-S106)/S106)</f>
        <v>3.0715231322705789</v>
      </c>
      <c r="V106" s="270">
        <f>X106*0.8</f>
        <v>9.4826919927153072E-2</v>
      </c>
      <c r="W106" s="270">
        <f>'Production Steps'!H67*1.1*'Production Steps'!K67</f>
        <v>0.17491024786875406</v>
      </c>
      <c r="X106" s="270">
        <f>'Production Steps'!I67*1.1*'Production Steps'!K67</f>
        <v>0.11853364990894133</v>
      </c>
    </row>
    <row r="107" spans="1:24" s="252" customFormat="1" x14ac:dyDescent="0.2">
      <c r="A107" s="255"/>
      <c r="B107" s="268" t="s">
        <v>701</v>
      </c>
      <c r="C107" s="268" t="s">
        <v>702</v>
      </c>
      <c r="D107" s="268" t="str">
        <f t="shared" si="18"/>
        <v>CSABMU1</v>
      </c>
      <c r="E107" s="255">
        <v>2010</v>
      </c>
      <c r="F107" s="271"/>
      <c r="G107" s="255">
        <v>1.05</v>
      </c>
      <c r="H107" s="255">
        <v>1.01</v>
      </c>
      <c r="I107" s="255">
        <v>1.0049999999999999</v>
      </c>
      <c r="J107" s="255">
        <v>1.0049999999999999</v>
      </c>
      <c r="K107" s="255">
        <v>1.05</v>
      </c>
      <c r="L107" s="269">
        <f>L106*'Production Steps'!$O$13</f>
        <v>2.2503420759333688</v>
      </c>
      <c r="M107" s="269">
        <f>M106*'Production Steps'!$O$13</f>
        <v>2.7297145705278716</v>
      </c>
      <c r="N107" s="269">
        <f>N106*'Production Steps'!$O$13</f>
        <v>2.3697396828155011</v>
      </c>
      <c r="O107" s="269">
        <f>O106*'Production Steps'!$O$13</f>
        <v>2.4431625649861348</v>
      </c>
      <c r="P107" s="269">
        <f>P106*'Production Steps'!$O$13</f>
        <v>2.5282707731550689</v>
      </c>
      <c r="Q107" s="269">
        <f>Q106*'Production Steps'!$O$13</f>
        <v>2.6168675720622323</v>
      </c>
      <c r="R107" s="269">
        <f>R106*'Production Steps'!$O$13</f>
        <v>2.7258376760789984</v>
      </c>
      <c r="S107" s="269">
        <f>S106*'Production Steps'!$O$13</f>
        <v>2.8393454508958444</v>
      </c>
      <c r="T107" s="269">
        <f>T106*'Production Steps'!$O$13</f>
        <v>2.957579851607159</v>
      </c>
      <c r="U107" s="269">
        <f>U106*'Production Steps'!$O$13</f>
        <v>3.0807377016673905</v>
      </c>
      <c r="V107" s="270">
        <f>X107*0.8</f>
        <v>9.4826919927153072E-2</v>
      </c>
      <c r="W107" s="270">
        <f>'Production Steps'!H68*1.1*'Production Steps'!K68</f>
        <v>0.17491024786875406</v>
      </c>
      <c r="X107" s="270">
        <f>'Production Steps'!I68*1.1*'Production Steps'!K68</f>
        <v>0.11853364990894133</v>
      </c>
    </row>
    <row r="108" spans="1:24" s="252" customFormat="1" x14ac:dyDescent="0.2">
      <c r="A108" s="255"/>
      <c r="B108" s="268" t="s">
        <v>703</v>
      </c>
      <c r="C108" s="268" t="s">
        <v>704</v>
      </c>
      <c r="D108" s="268" t="str">
        <f t="shared" si="18"/>
        <v>CSABMU1</v>
      </c>
      <c r="E108" s="255">
        <v>2010</v>
      </c>
      <c r="F108" s="271">
        <f>X108*0.1</f>
        <v>0.1066802849180466</v>
      </c>
      <c r="G108" s="255">
        <v>1.05</v>
      </c>
      <c r="H108" s="255">
        <v>1.01</v>
      </c>
      <c r="I108" s="255">
        <v>1.0049999999999999</v>
      </c>
      <c r="J108" s="255">
        <v>1.0049999999999999</v>
      </c>
      <c r="K108" s="255">
        <v>1.05</v>
      </c>
      <c r="L108" s="269">
        <f>L106*'Production Steps'!$O$14</f>
        <v>2.5128445912715591</v>
      </c>
      <c r="M108" s="269">
        <f>M106*'Production Steps'!$O$14</f>
        <v>3.0481359112574449</v>
      </c>
      <c r="N108" s="269">
        <f>N106*'Production Steps'!$O$14</f>
        <v>2.6461699349485164</v>
      </c>
      <c r="O108" s="269">
        <f>O106*'Production Steps'!$O$14</f>
        <v>2.728157599984518</v>
      </c>
      <c r="P108" s="269">
        <f>P106*'Production Steps'!$O$14</f>
        <v>2.8231936848790409</v>
      </c>
      <c r="Q108" s="269">
        <f>Q106*'Production Steps'!$O$14</f>
        <v>2.9221253047953151</v>
      </c>
      <c r="R108" s="269">
        <f>R106*'Production Steps'!$O$14</f>
        <v>3.0438067768778452</v>
      </c>
      <c r="S108" s="269">
        <f>S106*'Production Steps'!$O$14</f>
        <v>3.1705552392854899</v>
      </c>
      <c r="T108" s="269">
        <f>T106*'Production Steps'!$O$14</f>
        <v>3.3025816887338171</v>
      </c>
      <c r="U108" s="269">
        <f>U106*'Production Steps'!$O$14</f>
        <v>3.4401059081430487</v>
      </c>
      <c r="V108" s="270"/>
      <c r="W108" s="270">
        <f>'Production Steps'!H69*1.1*'Production Steps'!K69</f>
        <v>1.5741922308187717</v>
      </c>
      <c r="X108" s="270">
        <f>'Production Steps'!I69*1.1*'Production Steps'!K69</f>
        <v>1.066802849180466</v>
      </c>
    </row>
    <row r="109" spans="1:24" s="252" customFormat="1" x14ac:dyDescent="0.2">
      <c r="A109" s="255"/>
      <c r="B109" s="268" t="s">
        <v>705</v>
      </c>
      <c r="C109" s="268" t="s">
        <v>706</v>
      </c>
      <c r="D109" s="268" t="str">
        <f t="shared" si="18"/>
        <v>CSABMU1</v>
      </c>
      <c r="E109" s="255">
        <v>2010</v>
      </c>
      <c r="F109" s="271">
        <f>X109*0.1</f>
        <v>0.11853364990894043</v>
      </c>
      <c r="G109" s="255">
        <v>1.05</v>
      </c>
      <c r="H109" s="255">
        <v>1.01</v>
      </c>
      <c r="I109" s="255">
        <v>1.0049999999999999</v>
      </c>
      <c r="J109" s="255">
        <v>1.0049999999999999</v>
      </c>
      <c r="K109" s="255">
        <v>1.05</v>
      </c>
      <c r="L109" s="269">
        <f>L106*'Production Steps'!$O$15</f>
        <v>3.4327252005763258</v>
      </c>
      <c r="M109" s="269">
        <f>M106*'Production Steps'!$O$15</f>
        <v>4.1639713787713299</v>
      </c>
      <c r="N109" s="269">
        <f>N106*'Production Steps'!$O$15</f>
        <v>3.6148571432778835</v>
      </c>
      <c r="O109" s="269">
        <f>O106*'Production Steps'!$O$15</f>
        <v>3.7268581499788502</v>
      </c>
      <c r="P109" s="269">
        <f>P106*'Production Steps'!$O$15</f>
        <v>3.8566842302365463</v>
      </c>
      <c r="Q109" s="269">
        <f>Q106*'Production Steps'!$O$15</f>
        <v>3.9918318895864568</v>
      </c>
      <c r="R109" s="269">
        <f>R106*'Production Steps'!$O$15</f>
        <v>4.1580574719849128</v>
      </c>
      <c r="S109" s="269">
        <f>S106*'Production Steps'!$O$15</f>
        <v>4.3312049250953564</v>
      </c>
      <c r="T109" s="269">
        <f>T106*'Production Steps'!$O$15</f>
        <v>4.5115624855024459</v>
      </c>
      <c r="U109" s="269">
        <f>U106*'Production Steps'!$O$15</f>
        <v>4.6994303923739862</v>
      </c>
      <c r="V109" s="270"/>
      <c r="W109" s="270">
        <f>'Production Steps'!H70*1.1*'Production Steps'!K70</f>
        <v>1.7491024786875227</v>
      </c>
      <c r="X109" s="270">
        <f>'Production Steps'!I70*1.1*'Production Steps'!K70</f>
        <v>1.1853364990894042</v>
      </c>
    </row>
    <row r="110" spans="1:24" s="252" customFormat="1" x14ac:dyDescent="0.2">
      <c r="A110" s="266" t="s">
        <v>505</v>
      </c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</row>
    <row r="111" spans="1:24" s="252" customFormat="1" x14ac:dyDescent="0.2">
      <c r="A111" s="267" t="s">
        <v>504</v>
      </c>
      <c r="B111" s="268" t="s">
        <v>707</v>
      </c>
      <c r="C111" s="268" t="s">
        <v>708</v>
      </c>
      <c r="D111" s="268" t="str">
        <f>CONCATENATE(MID(B111,4,6),"1")</f>
        <v>CSABMS1</v>
      </c>
      <c r="E111" s="255">
        <v>2010</v>
      </c>
      <c r="F111" s="255"/>
      <c r="G111" s="255">
        <v>1.05</v>
      </c>
      <c r="H111" s="255">
        <v>1.01</v>
      </c>
      <c r="I111" s="255">
        <v>1.0049999999999999</v>
      </c>
      <c r="J111" s="255">
        <v>1.0049999999999999</v>
      </c>
      <c r="K111" s="255">
        <v>1.05</v>
      </c>
      <c r="L111" s="269">
        <f>L113*'Production Steps'!$O$10</f>
        <v>1.9743778931419391</v>
      </c>
      <c r="M111" s="269">
        <f>M113*'Production Steps'!$O$10</f>
        <v>2.3949639302737062</v>
      </c>
      <c r="N111" s="269">
        <f>N113*'Production Steps'!$O$10</f>
        <v>2.0791335203166912</v>
      </c>
      <c r="O111" s="269">
        <f>O113*'Production Steps'!$O$10</f>
        <v>2.1435523999878354</v>
      </c>
      <c r="P111" s="269">
        <f>P113*'Production Steps'!$O$10</f>
        <v>2.2182236095478176</v>
      </c>
      <c r="Q111" s="269">
        <f>Q113*'Production Steps'!$O$10</f>
        <v>2.2959555966248901</v>
      </c>
      <c r="R111" s="269">
        <f>R113*'Production Steps'!$O$10</f>
        <v>2.3915624675468781</v>
      </c>
      <c r="S111" s="269">
        <f>S113*'Production Steps'!$O$10</f>
        <v>2.4911505451528848</v>
      </c>
      <c r="T111" s="269">
        <f>T113*'Production Steps'!$O$10</f>
        <v>2.5948856125765705</v>
      </c>
      <c r="U111" s="269">
        <f>U113*'Production Steps'!$O$10</f>
        <v>2.7029403563981096</v>
      </c>
      <c r="V111" s="270">
        <f>X111*0.8</f>
        <v>94.095538333210399</v>
      </c>
      <c r="W111" s="270">
        <f>'Production Steps'!H65*1.1*'Production Steps'!L65</f>
        <v>173.56119913890529</v>
      </c>
      <c r="X111" s="270">
        <f>'Production Steps'!I65*1.1*'Production Steps'!L65</f>
        <v>117.61942291651299</v>
      </c>
    </row>
    <row r="112" spans="1:24" s="252" customFormat="1" x14ac:dyDescent="0.2">
      <c r="A112" s="255"/>
      <c r="B112" s="268" t="s">
        <v>709</v>
      </c>
      <c r="C112" s="268" t="s">
        <v>710</v>
      </c>
      <c r="D112" s="268" t="str">
        <f t="shared" ref="D112:D116" si="19">CONCATENATE(MID(B112,4,6),"1")</f>
        <v>CSABMS1</v>
      </c>
      <c r="E112" s="255">
        <v>2010</v>
      </c>
      <c r="F112" s="255"/>
      <c r="G112" s="255">
        <v>1.05</v>
      </c>
      <c r="H112" s="255">
        <v>1.01</v>
      </c>
      <c r="I112" s="255">
        <v>1.0049999999999999</v>
      </c>
      <c r="J112" s="255">
        <v>1.0049999999999999</v>
      </c>
      <c r="K112" s="255">
        <v>1.05</v>
      </c>
      <c r="L112" s="269">
        <f>L113*'Production Steps'!$O$11</f>
        <v>2.2391240197223352</v>
      </c>
      <c r="M112" s="269">
        <f>M113*'Production Steps'!$O$11</f>
        <v>2.7161068209240442</v>
      </c>
      <c r="N112" s="269">
        <f>N113*'Production Steps'!$O$11</f>
        <v>2.3579264241773386</v>
      </c>
      <c r="O112" s="269">
        <f>O113*'Production Steps'!$O$11</f>
        <v>2.4309832899862043</v>
      </c>
      <c r="P112" s="269">
        <f>P113*'Production Steps'!$O$11</f>
        <v>2.5156672299190022</v>
      </c>
      <c r="Q112" s="269">
        <f>Q113*'Production Steps'!$O$11</f>
        <v>2.603822369808682</v>
      </c>
      <c r="R112" s="269">
        <f>R113*'Production Steps'!$O$11</f>
        <v>2.7122492529679367</v>
      </c>
      <c r="S112" s="269">
        <f>S113*'Production Steps'!$O$11</f>
        <v>2.8251911864347488</v>
      </c>
      <c r="T112" s="269">
        <f>T113*'Production Steps'!$O$11</f>
        <v>2.942836183353883</v>
      </c>
      <c r="U112" s="269">
        <f>U113*'Production Steps'!$O$11</f>
        <v>3.0653800860060376</v>
      </c>
      <c r="V112" s="270">
        <f>X112*0.8</f>
        <v>92.213627566546165</v>
      </c>
      <c r="W112" s="270">
        <f>'Production Steps'!H66*1.1*'Production Steps'!L66</f>
        <v>170.08997515612717</v>
      </c>
      <c r="X112" s="270">
        <f>'Production Steps'!I66*1.1*'Production Steps'!L66</f>
        <v>115.26703445818271</v>
      </c>
    </row>
    <row r="113" spans="1:24" s="252" customFormat="1" x14ac:dyDescent="0.2">
      <c r="A113" s="255"/>
      <c r="B113" s="268" t="s">
        <v>711</v>
      </c>
      <c r="C113" s="268" t="s">
        <v>712</v>
      </c>
      <c r="D113" s="268" t="str">
        <f t="shared" si="19"/>
        <v>CSABMS1</v>
      </c>
      <c r="E113" s="255">
        <v>2010</v>
      </c>
      <c r="F113" s="255"/>
      <c r="G113" s="255">
        <v>1.05</v>
      </c>
      <c r="H113" s="255">
        <v>1.01</v>
      </c>
      <c r="I113" s="255">
        <v>1.0049999999999999</v>
      </c>
      <c r="J113" s="255">
        <v>1.0049999999999999</v>
      </c>
      <c r="K113" s="255">
        <v>1.05</v>
      </c>
      <c r="L113" s="269">
        <f t="shared" ref="L113:R113" si="20">L106</f>
        <v>2.2436112422067489</v>
      </c>
      <c r="M113" s="269">
        <f t="shared" si="20"/>
        <v>2.7215499207655753</v>
      </c>
      <c r="N113" s="269">
        <f t="shared" si="20"/>
        <v>2.3626517276326036</v>
      </c>
      <c r="O113" s="269">
        <f t="shared" si="20"/>
        <v>2.4358549999861765</v>
      </c>
      <c r="P113" s="269">
        <f t="shared" si="20"/>
        <v>2.520708647213429</v>
      </c>
      <c r="Q113" s="269">
        <f t="shared" si="20"/>
        <v>2.6090404507101024</v>
      </c>
      <c r="R113" s="269">
        <f t="shared" si="20"/>
        <v>2.7176846222123614</v>
      </c>
      <c r="S113" s="269">
        <f>R113*(1+(R113-Q113)/Q113)</f>
        <v>2.8308528922191871</v>
      </c>
      <c r="T113" s="269">
        <f>S113*(1+(S113-R113)/R113)</f>
        <v>2.9487336506551935</v>
      </c>
      <c r="U113" s="269">
        <f>T113*(1+(T113-S113)/S113)</f>
        <v>3.0715231322705789</v>
      </c>
      <c r="V113" s="270">
        <f>X113*0.8</f>
        <v>1.8819107666642205</v>
      </c>
      <c r="W113" s="270">
        <f>'Production Steps'!H67*1.1*'Production Steps'!L67</f>
        <v>3.4712239827781368</v>
      </c>
      <c r="X113" s="270">
        <f>'Production Steps'!I67*1.1*'Production Steps'!L67</f>
        <v>2.3523884583302754</v>
      </c>
    </row>
    <row r="114" spans="1:24" s="252" customFormat="1" x14ac:dyDescent="0.2">
      <c r="A114" s="255"/>
      <c r="B114" s="268" t="s">
        <v>713</v>
      </c>
      <c r="C114" s="268" t="s">
        <v>714</v>
      </c>
      <c r="D114" s="268" t="str">
        <f t="shared" si="19"/>
        <v>CSABMS1</v>
      </c>
      <c r="E114" s="255">
        <v>2010</v>
      </c>
      <c r="F114" s="271"/>
      <c r="G114" s="255">
        <v>1.05</v>
      </c>
      <c r="H114" s="255">
        <v>1.01</v>
      </c>
      <c r="I114" s="255">
        <v>1.0049999999999999</v>
      </c>
      <c r="J114" s="255">
        <v>1.0049999999999999</v>
      </c>
      <c r="K114" s="255">
        <v>1.05</v>
      </c>
      <c r="L114" s="269">
        <f>L113*'Production Steps'!$O$13</f>
        <v>2.2503420759333688</v>
      </c>
      <c r="M114" s="269">
        <f>M113*'Production Steps'!$O$13</f>
        <v>2.7297145705278716</v>
      </c>
      <c r="N114" s="269">
        <f>N113*'Production Steps'!$O$13</f>
        <v>2.3697396828155011</v>
      </c>
      <c r="O114" s="269">
        <f>O113*'Production Steps'!$O$13</f>
        <v>2.4431625649861348</v>
      </c>
      <c r="P114" s="269">
        <f>P113*'Production Steps'!$O$13</f>
        <v>2.5282707731550689</v>
      </c>
      <c r="Q114" s="269">
        <f>Q113*'Production Steps'!$O$13</f>
        <v>2.6168675720622323</v>
      </c>
      <c r="R114" s="269">
        <f>R113*'Production Steps'!$O$13</f>
        <v>2.7258376760789984</v>
      </c>
      <c r="S114" s="269">
        <f>S113*'Production Steps'!$O$13</f>
        <v>2.8393454508958444</v>
      </c>
      <c r="T114" s="269">
        <f>T113*'Production Steps'!$O$13</f>
        <v>2.957579851607159</v>
      </c>
      <c r="U114" s="269">
        <f>U113*'Production Steps'!$O$13</f>
        <v>3.0807377016673905</v>
      </c>
      <c r="V114" s="270">
        <f>X114*0.8</f>
        <v>1.8819107666642205</v>
      </c>
      <c r="W114" s="270">
        <f>'Production Steps'!H68*1.1*'Production Steps'!L68</f>
        <v>3.4712239827781368</v>
      </c>
      <c r="X114" s="270">
        <f>'Production Steps'!I68*1.1*'Production Steps'!L68</f>
        <v>2.3523884583302754</v>
      </c>
    </row>
    <row r="115" spans="1:24" s="252" customFormat="1" x14ac:dyDescent="0.2">
      <c r="A115" s="255"/>
      <c r="B115" s="268" t="s">
        <v>715</v>
      </c>
      <c r="C115" s="268" t="s">
        <v>716</v>
      </c>
      <c r="D115" s="268" t="str">
        <f t="shared" si="19"/>
        <v>CSABMS1</v>
      </c>
      <c r="E115" s="255">
        <v>2010</v>
      </c>
      <c r="F115" s="271">
        <f>X115*0.1</f>
        <v>2.117149612497236</v>
      </c>
      <c r="G115" s="255">
        <v>1.05</v>
      </c>
      <c r="H115" s="255">
        <v>1.01</v>
      </c>
      <c r="I115" s="255">
        <v>1.0049999999999999</v>
      </c>
      <c r="J115" s="255">
        <v>1.0049999999999999</v>
      </c>
      <c r="K115" s="255">
        <v>1.05</v>
      </c>
      <c r="L115" s="269">
        <f>L113*'Production Steps'!$O$14</f>
        <v>2.5128445912715591</v>
      </c>
      <c r="M115" s="269">
        <f>M113*'Production Steps'!$O$14</f>
        <v>3.0481359112574449</v>
      </c>
      <c r="N115" s="269">
        <f>N113*'Production Steps'!$O$14</f>
        <v>2.6461699349485164</v>
      </c>
      <c r="O115" s="269">
        <f>O113*'Production Steps'!$O$14</f>
        <v>2.728157599984518</v>
      </c>
      <c r="P115" s="269">
        <f>P113*'Production Steps'!$O$14</f>
        <v>2.8231936848790409</v>
      </c>
      <c r="Q115" s="269">
        <f>Q113*'Production Steps'!$O$14</f>
        <v>2.9221253047953151</v>
      </c>
      <c r="R115" s="269">
        <f>R113*'Production Steps'!$O$14</f>
        <v>3.0438067768778452</v>
      </c>
      <c r="S115" s="269">
        <f>S113*'Production Steps'!$O$14</f>
        <v>3.1705552392854899</v>
      </c>
      <c r="T115" s="269">
        <f>T113*'Production Steps'!$O$14</f>
        <v>3.3025816887338171</v>
      </c>
      <c r="U115" s="269">
        <f>U113*'Production Steps'!$O$14</f>
        <v>3.4401059081430487</v>
      </c>
      <c r="V115" s="270"/>
      <c r="W115" s="270">
        <f>'Production Steps'!H69*1.1*'Production Steps'!L69</f>
        <v>31.241015845002938</v>
      </c>
      <c r="X115" s="270">
        <f>'Production Steps'!I69*1.1*'Production Steps'!L69</f>
        <v>21.171496124972357</v>
      </c>
    </row>
    <row r="116" spans="1:24" s="252" customFormat="1" x14ac:dyDescent="0.2">
      <c r="A116" s="255"/>
      <c r="B116" s="268" t="s">
        <v>717</v>
      </c>
      <c r="C116" s="268" t="s">
        <v>718</v>
      </c>
      <c r="D116" s="268" t="str">
        <f t="shared" si="19"/>
        <v>CSABMS1</v>
      </c>
      <c r="E116" s="255">
        <v>2010</v>
      </c>
      <c r="F116" s="271">
        <f>X116*0.1</f>
        <v>2.3523884583302577</v>
      </c>
      <c r="G116" s="255">
        <v>1.05</v>
      </c>
      <c r="H116" s="255">
        <v>1.01</v>
      </c>
      <c r="I116" s="255">
        <v>1.0049999999999999</v>
      </c>
      <c r="J116" s="255">
        <v>1.0049999999999999</v>
      </c>
      <c r="K116" s="255">
        <v>1.05</v>
      </c>
      <c r="L116" s="269">
        <f>L113*'Production Steps'!$O$15</f>
        <v>3.4327252005763258</v>
      </c>
      <c r="M116" s="269">
        <f>M113*'Production Steps'!$O$15</f>
        <v>4.1639713787713299</v>
      </c>
      <c r="N116" s="269">
        <f>N113*'Production Steps'!$O$15</f>
        <v>3.6148571432778835</v>
      </c>
      <c r="O116" s="269">
        <f>O113*'Production Steps'!$O$15</f>
        <v>3.7268581499788502</v>
      </c>
      <c r="P116" s="269">
        <f>P113*'Production Steps'!$O$15</f>
        <v>3.8566842302365463</v>
      </c>
      <c r="Q116" s="269">
        <f>Q113*'Production Steps'!$O$15</f>
        <v>3.9918318895864568</v>
      </c>
      <c r="R116" s="269">
        <f>R113*'Production Steps'!$O$15</f>
        <v>4.1580574719849128</v>
      </c>
      <c r="S116" s="269">
        <f>S113*'Production Steps'!$O$15</f>
        <v>4.3312049250953564</v>
      </c>
      <c r="T116" s="269">
        <f>T113*'Production Steps'!$O$15</f>
        <v>4.5115624855024459</v>
      </c>
      <c r="U116" s="269">
        <f>U113*'Production Steps'!$O$15</f>
        <v>4.6994303923739862</v>
      </c>
      <c r="V116" s="270"/>
      <c r="W116" s="270">
        <f>'Production Steps'!H70*1.1*'Production Steps'!L70</f>
        <v>34.712239827781019</v>
      </c>
      <c r="X116" s="270">
        <f>'Production Steps'!I70*1.1*'Production Steps'!L70</f>
        <v>23.523884583302575</v>
      </c>
    </row>
    <row r="117" spans="1:24" s="252" customFormat="1" x14ac:dyDescent="0.2">
      <c r="A117" s="266" t="s">
        <v>505</v>
      </c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</row>
    <row r="118" spans="1:24" s="252" customFormat="1" x14ac:dyDescent="0.2">
      <c r="A118" s="267" t="s">
        <v>504</v>
      </c>
      <c r="B118" s="268" t="s">
        <v>719</v>
      </c>
      <c r="C118" s="268" t="s">
        <v>720</v>
      </c>
      <c r="D118" s="268" t="str">
        <f>CONCATENATE(MID(B118,4,6),"1")</f>
        <v>CEIBMU1</v>
      </c>
      <c r="E118" s="255">
        <v>2010</v>
      </c>
      <c r="F118" s="255"/>
      <c r="G118" s="255">
        <v>1.05</v>
      </c>
      <c r="H118" s="255">
        <v>1.05</v>
      </c>
      <c r="I118" s="255">
        <v>1.05</v>
      </c>
      <c r="J118" s="255">
        <v>1.05</v>
      </c>
      <c r="K118" s="255">
        <v>1.05</v>
      </c>
      <c r="L118" s="269">
        <f>L120*'Production Steps'!$O$10</f>
        <v>1.8307785781273203</v>
      </c>
      <c r="M118" s="269">
        <f>M120*'Production Steps'!$O$10</f>
        <v>1.891047405906173</v>
      </c>
      <c r="N118" s="269">
        <f>N120*'Production Steps'!$O$10</f>
        <v>2.0808537475750102</v>
      </c>
      <c r="O118" s="269">
        <f>O120*'Production Steps'!$O$10</f>
        <v>2.1422076789859616</v>
      </c>
      <c r="P118" s="269">
        <f>P120*'Production Steps'!$O$10</f>
        <v>2.2315131394803931</v>
      </c>
      <c r="Q118" s="269">
        <f>Q120*'Production Steps'!$O$10</f>
        <v>2.3015863148566429</v>
      </c>
      <c r="R118" s="269">
        <f>R120*'Production Steps'!$O$10</f>
        <v>2.3628568489675041</v>
      </c>
      <c r="S118" s="269">
        <f>S120*'Production Steps'!$O$10</f>
        <v>2.4257584660953255</v>
      </c>
      <c r="T118" s="269">
        <f>T120*'Production Steps'!$O$10</f>
        <v>2.4903345873045191</v>
      </c>
      <c r="U118" s="269">
        <f>U120*'Production Steps'!$O$10</f>
        <v>2.5566297895717445</v>
      </c>
      <c r="V118" s="270">
        <f>X118*0.8</f>
        <v>80.244448066958839</v>
      </c>
      <c r="W118" s="270">
        <f>'Production Steps'!H73*1.1*'Production Steps'!K73</f>
        <v>287.15390880645396</v>
      </c>
      <c r="X118" s="270">
        <f>'Production Steps'!I73*1.1*'Production Steps'!K73</f>
        <v>100.30556008369854</v>
      </c>
    </row>
    <row r="119" spans="1:24" s="252" customFormat="1" x14ac:dyDescent="0.2">
      <c r="A119" s="255"/>
      <c r="B119" s="268" t="s">
        <v>721</v>
      </c>
      <c r="C119" s="268" t="s">
        <v>722</v>
      </c>
      <c r="D119" s="268" t="str">
        <f t="shared" ref="D119:D123" si="21">CONCATENATE(MID(B119,4,6),"1")</f>
        <v>CEIBMU1</v>
      </c>
      <c r="E119" s="255">
        <v>2010</v>
      </c>
      <c r="F119" s="255"/>
      <c r="G119" s="255">
        <v>1.05</v>
      </c>
      <c r="H119" s="255">
        <v>1.05</v>
      </c>
      <c r="I119" s="255">
        <v>1.05</v>
      </c>
      <c r="J119" s="255">
        <v>1.05</v>
      </c>
      <c r="K119" s="255">
        <v>1.05</v>
      </c>
      <c r="L119" s="269">
        <f>L120*'Production Steps'!$O$11</f>
        <v>2.0762693420125746</v>
      </c>
      <c r="M119" s="269">
        <f>M120*'Production Steps'!$O$11</f>
        <v>2.1446196716981372</v>
      </c>
      <c r="N119" s="269">
        <f>N120*'Production Steps'!$O$11</f>
        <v>2.3598773182725683</v>
      </c>
      <c r="O119" s="269">
        <f>O120*'Production Steps'!$O$11</f>
        <v>2.4294582541227157</v>
      </c>
      <c r="P119" s="269">
        <f>P120*'Production Steps'!$O$11</f>
        <v>2.5307387650016278</v>
      </c>
      <c r="Q119" s="269">
        <f>Q120*'Production Steps'!$O$11</f>
        <v>2.6102081161669655</v>
      </c>
      <c r="R119" s="269">
        <f>R120*'Production Steps'!$O$11</f>
        <v>2.6796944718972378</v>
      </c>
      <c r="S119" s="269">
        <f>S120*'Production Steps'!$O$11</f>
        <v>2.7510306240490165</v>
      </c>
      <c r="T119" s="269">
        <f>T120*'Production Steps'!$O$11</f>
        <v>2.8242658160567156</v>
      </c>
      <c r="U119" s="269">
        <f>U120*'Production Steps'!$O$11</f>
        <v>2.8994506022643192</v>
      </c>
      <c r="V119" s="270">
        <f>X119*0.8</f>
        <v>78.639559105619668</v>
      </c>
      <c r="W119" s="270">
        <f>'Production Steps'!H74*1.1*'Production Steps'!K74</f>
        <v>281.41083063032482</v>
      </c>
      <c r="X119" s="270">
        <f>'Production Steps'!I74*1.1*'Production Steps'!K74</f>
        <v>98.299448882024578</v>
      </c>
    </row>
    <row r="120" spans="1:24" s="252" customFormat="1" x14ac:dyDescent="0.2">
      <c r="A120" s="255"/>
      <c r="B120" s="268" t="s">
        <v>723</v>
      </c>
      <c r="C120" s="268" t="s">
        <v>724</v>
      </c>
      <c r="D120" s="268" t="str">
        <f t="shared" si="21"/>
        <v>CEIBMU1</v>
      </c>
      <c r="E120" s="255">
        <v>2010</v>
      </c>
      <c r="F120" s="255"/>
      <c r="G120" s="255">
        <v>1.05</v>
      </c>
      <c r="H120" s="255">
        <v>1.05</v>
      </c>
      <c r="I120" s="255">
        <v>1.05</v>
      </c>
      <c r="J120" s="255">
        <v>1.05</v>
      </c>
      <c r="K120" s="255">
        <v>1.05</v>
      </c>
      <c r="L120" s="269">
        <f>'AEO Coal Prices'!M22*'Production Steps'!$Q$17*$N$4</f>
        <v>2.0804302024174093</v>
      </c>
      <c r="M120" s="269">
        <f>'AEO Coal Prices'!N22*'Production Steps'!$Q$17*$N$4</f>
        <v>2.1489175067115602</v>
      </c>
      <c r="N120" s="269">
        <f>'AEO Coal Prices'!O22*'Production Steps'!$Q$17*$N$4</f>
        <v>2.3646065313352387</v>
      </c>
      <c r="O120" s="269">
        <f>'AEO Coal Prices'!P22*'Production Steps'!$Q$17*$N$4</f>
        <v>2.4343269079385927</v>
      </c>
      <c r="P120" s="269">
        <f>'AEO Coal Prices'!Q22*'Production Steps'!$Q$17*$N$4</f>
        <v>2.535810385773174</v>
      </c>
      <c r="Q120" s="269">
        <f>'AEO Coal Prices'!R22*'Production Steps'!$Q$17*$N$4</f>
        <v>2.615438994155276</v>
      </c>
      <c r="R120" s="269">
        <f>'AEO Coal Prices'!S22*'Production Steps'!$Q$17*$N$4</f>
        <v>2.6850646010994366</v>
      </c>
      <c r="S120" s="269">
        <f>R120*(1+(R120-Q120)/Q120)</f>
        <v>2.7565437114719606</v>
      </c>
      <c r="T120" s="269">
        <f>S120*(1+(S120-R120)/R120)</f>
        <v>2.8299256673914988</v>
      </c>
      <c r="U120" s="269">
        <f>T120*(1+(T120-S120)/S120)</f>
        <v>2.9052611245133457</v>
      </c>
      <c r="V120" s="270">
        <f>X120*0.8</f>
        <v>1.604888961339169</v>
      </c>
      <c r="W120" s="270">
        <f>'Production Steps'!H75*1.1*'Production Steps'!K75</f>
        <v>5.7430781761290763</v>
      </c>
      <c r="X120" s="270">
        <f>'Production Steps'!I75*1.1*'Production Steps'!K75</f>
        <v>2.0061112016739613</v>
      </c>
    </row>
    <row r="121" spans="1:24" s="252" customFormat="1" x14ac:dyDescent="0.2">
      <c r="A121" s="255"/>
      <c r="B121" s="268" t="s">
        <v>725</v>
      </c>
      <c r="C121" s="268" t="s">
        <v>726</v>
      </c>
      <c r="D121" s="268" t="str">
        <f t="shared" si="21"/>
        <v>CEIBMU1</v>
      </c>
      <c r="E121" s="255">
        <v>2010</v>
      </c>
      <c r="F121" s="271"/>
      <c r="G121" s="255">
        <v>1.05</v>
      </c>
      <c r="H121" s="255">
        <v>1.05</v>
      </c>
      <c r="I121" s="255">
        <v>1.05</v>
      </c>
      <c r="J121" s="255">
        <v>1.05</v>
      </c>
      <c r="K121" s="255">
        <v>1.05</v>
      </c>
      <c r="L121" s="269">
        <f>L120*'Production Steps'!$O$13</f>
        <v>2.0866714930246615</v>
      </c>
      <c r="M121" s="269">
        <f>M120*'Production Steps'!$O$13</f>
        <v>2.1553642592316948</v>
      </c>
      <c r="N121" s="269">
        <f>N120*'Production Steps'!$O$13</f>
        <v>2.371700350929244</v>
      </c>
      <c r="O121" s="269">
        <f>O120*'Production Steps'!$O$13</f>
        <v>2.4416298886624084</v>
      </c>
      <c r="P121" s="269">
        <f>P120*'Production Steps'!$O$13</f>
        <v>2.5434178169304933</v>
      </c>
      <c r="Q121" s="269">
        <f>Q120*'Production Steps'!$O$13</f>
        <v>2.6232853111377414</v>
      </c>
      <c r="R121" s="269">
        <f>R120*'Production Steps'!$O$13</f>
        <v>2.6931197949027346</v>
      </c>
      <c r="S121" s="269">
        <f>S120*'Production Steps'!$O$13</f>
        <v>2.7648133426063763</v>
      </c>
      <c r="T121" s="269">
        <f>T120*'Production Steps'!$O$13</f>
        <v>2.8384154443936729</v>
      </c>
      <c r="U121" s="269">
        <f>U120*'Production Steps'!$O$13</f>
        <v>2.9139769078868856</v>
      </c>
      <c r="V121" s="270">
        <f>X121*0.8</f>
        <v>1.604888961339169</v>
      </c>
      <c r="W121" s="270">
        <f>'Production Steps'!H76*1.1*'Production Steps'!K76</f>
        <v>5.7430781761290763</v>
      </c>
      <c r="X121" s="270">
        <f>'Production Steps'!I76*1.1*'Production Steps'!K76</f>
        <v>2.0061112016739613</v>
      </c>
    </row>
    <row r="122" spans="1:24" s="252" customFormat="1" x14ac:dyDescent="0.2">
      <c r="A122" s="255"/>
      <c r="B122" s="268" t="s">
        <v>727</v>
      </c>
      <c r="C122" s="268" t="s">
        <v>728</v>
      </c>
      <c r="D122" s="268" t="str">
        <f t="shared" si="21"/>
        <v>CEIBMU1</v>
      </c>
      <c r="E122" s="255">
        <v>2010</v>
      </c>
      <c r="F122" s="271">
        <f>X122*0.1</f>
        <v>1.8055000815065751</v>
      </c>
      <c r="G122" s="255">
        <v>1.05</v>
      </c>
      <c r="H122" s="255">
        <v>1.05</v>
      </c>
      <c r="I122" s="255">
        <v>1.05</v>
      </c>
      <c r="J122" s="255">
        <v>1.05</v>
      </c>
      <c r="K122" s="255">
        <v>1.05</v>
      </c>
      <c r="L122" s="269">
        <f>L120*'Production Steps'!$O$14</f>
        <v>2.3300818267074987</v>
      </c>
      <c r="M122" s="269">
        <f>M120*'Production Steps'!$O$14</f>
        <v>2.4067876075169479</v>
      </c>
      <c r="N122" s="269">
        <f>N120*'Production Steps'!$O$14</f>
        <v>2.6483593150954676</v>
      </c>
      <c r="O122" s="269">
        <f>O120*'Production Steps'!$O$14</f>
        <v>2.7264461368912243</v>
      </c>
      <c r="P122" s="269">
        <f>P120*'Production Steps'!$O$14</f>
        <v>2.8401076320659553</v>
      </c>
      <c r="Q122" s="269">
        <f>Q120*'Production Steps'!$O$14</f>
        <v>2.9292916734539096</v>
      </c>
      <c r="R122" s="269">
        <f>R120*'Production Steps'!$O$14</f>
        <v>3.0072723532313694</v>
      </c>
      <c r="S122" s="269">
        <f>S120*'Production Steps'!$O$14</f>
        <v>3.0873289568485962</v>
      </c>
      <c r="T122" s="269">
        <f>T120*'Production Steps'!$O$14</f>
        <v>3.1695167474784789</v>
      </c>
      <c r="U122" s="269">
        <f>U120*'Production Steps'!$O$14</f>
        <v>3.2538924594549474</v>
      </c>
      <c r="V122" s="270"/>
      <c r="W122" s="270">
        <f>'Production Steps'!H77*1.1*'Production Steps'!K77</f>
        <v>51.687703585161792</v>
      </c>
      <c r="X122" s="270">
        <f>'Production Steps'!I77*1.1*'Production Steps'!K77</f>
        <v>18.05500081506575</v>
      </c>
    </row>
    <row r="123" spans="1:24" s="252" customFormat="1" x14ac:dyDescent="0.2">
      <c r="A123" s="255"/>
      <c r="B123" s="268" t="s">
        <v>729</v>
      </c>
      <c r="C123" s="268" t="s">
        <v>730</v>
      </c>
      <c r="D123" s="268" t="str">
        <f t="shared" si="21"/>
        <v>CEIBMU1</v>
      </c>
      <c r="E123" s="255">
        <v>2010</v>
      </c>
      <c r="F123" s="271">
        <f>X123*0.1</f>
        <v>2.0061112016739711</v>
      </c>
      <c r="G123" s="255">
        <v>1.05</v>
      </c>
      <c r="H123" s="255">
        <v>1.05</v>
      </c>
      <c r="I123" s="255">
        <v>1.05</v>
      </c>
      <c r="J123" s="255">
        <v>1.05</v>
      </c>
      <c r="K123" s="255">
        <v>1.05</v>
      </c>
      <c r="L123" s="269">
        <f>L120*'Production Steps'!$O$15</f>
        <v>3.1830582096986362</v>
      </c>
      <c r="M123" s="269">
        <f>M120*'Production Steps'!$O$15</f>
        <v>3.287843785268687</v>
      </c>
      <c r="N123" s="269">
        <f>N120*'Production Steps'!$O$15</f>
        <v>3.6178479929429153</v>
      </c>
      <c r="O123" s="269">
        <f>O120*'Production Steps'!$O$15</f>
        <v>3.724520169146047</v>
      </c>
      <c r="P123" s="269">
        <f>P120*'Production Steps'!$O$15</f>
        <v>3.8797898902329564</v>
      </c>
      <c r="Q123" s="269">
        <f>Q120*'Production Steps'!$O$15</f>
        <v>4.0016216610575723</v>
      </c>
      <c r="R123" s="269">
        <f>R120*'Production Steps'!$O$15</f>
        <v>4.108148839682138</v>
      </c>
      <c r="S123" s="269">
        <f>S120*'Production Steps'!$O$15</f>
        <v>4.2175118785520995</v>
      </c>
      <c r="T123" s="269">
        <f>T120*'Production Steps'!$O$15</f>
        <v>4.3297862711089934</v>
      </c>
      <c r="U123" s="269">
        <f>U120*'Production Steps'!$O$15</f>
        <v>4.4450495205054192</v>
      </c>
      <c r="V123" s="270"/>
      <c r="W123" s="270">
        <f>'Production Steps'!H78*1.1*'Production Steps'!K78</f>
        <v>57.430781761290682</v>
      </c>
      <c r="X123" s="270">
        <f>'Production Steps'!I78*1.1*'Production Steps'!K78</f>
        <v>20.06111201673971</v>
      </c>
    </row>
    <row r="124" spans="1:24" s="252" customFormat="1" x14ac:dyDescent="0.2">
      <c r="A124" s="266" t="s">
        <v>505</v>
      </c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</row>
    <row r="125" spans="1:24" s="252" customFormat="1" x14ac:dyDescent="0.2">
      <c r="A125" s="267" t="s">
        <v>504</v>
      </c>
      <c r="B125" s="268" t="s">
        <v>731</v>
      </c>
      <c r="C125" s="268" t="s">
        <v>732</v>
      </c>
      <c r="D125" s="268" t="str">
        <f>CONCATENATE(MID(B125,4,6),"1")</f>
        <v>CEIBMS1</v>
      </c>
      <c r="E125" s="255">
        <v>2010</v>
      </c>
      <c r="F125" s="255"/>
      <c r="G125" s="255">
        <v>1.05</v>
      </c>
      <c r="H125" s="255">
        <v>1.05</v>
      </c>
      <c r="I125" s="255">
        <v>1.05</v>
      </c>
      <c r="J125" s="255">
        <v>1.05</v>
      </c>
      <c r="K125" s="255">
        <v>1.05</v>
      </c>
      <c r="L125" s="269">
        <f>L127*'Production Steps'!$O$10</f>
        <v>1.8307785781273203</v>
      </c>
      <c r="M125" s="269">
        <f>M127*'Production Steps'!$O$10</f>
        <v>1.891047405906173</v>
      </c>
      <c r="N125" s="269">
        <f>N127*'Production Steps'!$O$10</f>
        <v>2.0808537475750102</v>
      </c>
      <c r="O125" s="269">
        <f>O127*'Production Steps'!$O$10</f>
        <v>2.1422076789859616</v>
      </c>
      <c r="P125" s="269">
        <f>P127*'Production Steps'!$O$10</f>
        <v>2.2315131394803931</v>
      </c>
      <c r="Q125" s="269">
        <f>Q127*'Production Steps'!$O$10</f>
        <v>2.3015863148566429</v>
      </c>
      <c r="R125" s="269">
        <f>R127*'Production Steps'!$O$10</f>
        <v>2.3628568489675041</v>
      </c>
      <c r="S125" s="269">
        <f>S127*'Production Steps'!$O$10</f>
        <v>2.4257584660953255</v>
      </c>
      <c r="T125" s="269">
        <f>T127*'Production Steps'!$O$10</f>
        <v>2.4903345873045191</v>
      </c>
      <c r="U125" s="269">
        <f>U127*'Production Steps'!$O$10</f>
        <v>2.5566297895717445</v>
      </c>
      <c r="V125" s="270">
        <f>X125*0.8</f>
        <v>26.523237478303898</v>
      </c>
      <c r="W125" s="270">
        <f>'Production Steps'!H73*1.1*'Production Steps'!L73</f>
        <v>94.913124827546042</v>
      </c>
      <c r="X125" s="270">
        <f>'Production Steps'!I73*1.1*'Production Steps'!L73</f>
        <v>33.154046847879869</v>
      </c>
    </row>
    <row r="126" spans="1:24" s="252" customFormat="1" x14ac:dyDescent="0.2">
      <c r="A126" s="255"/>
      <c r="B126" s="268" t="s">
        <v>733</v>
      </c>
      <c r="C126" s="268" t="s">
        <v>734</v>
      </c>
      <c r="D126" s="268" t="str">
        <f t="shared" ref="D126:D130" si="22">CONCATENATE(MID(B126,4,6),"1")</f>
        <v>CEIBMS1</v>
      </c>
      <c r="E126" s="255">
        <v>2010</v>
      </c>
      <c r="F126" s="255"/>
      <c r="G126" s="255">
        <v>1.05</v>
      </c>
      <c r="H126" s="255">
        <v>1.05</v>
      </c>
      <c r="I126" s="255">
        <v>1.05</v>
      </c>
      <c r="J126" s="255">
        <v>1.05</v>
      </c>
      <c r="K126" s="255">
        <v>1.05</v>
      </c>
      <c r="L126" s="269">
        <f>L127*'Production Steps'!$O$11</f>
        <v>2.0762693420125746</v>
      </c>
      <c r="M126" s="269">
        <f>M127*'Production Steps'!$O$11</f>
        <v>2.1446196716981372</v>
      </c>
      <c r="N126" s="269">
        <f>N127*'Production Steps'!$O$11</f>
        <v>2.3598773182725683</v>
      </c>
      <c r="O126" s="269">
        <f>O127*'Production Steps'!$O$11</f>
        <v>2.4294582541227157</v>
      </c>
      <c r="P126" s="269">
        <f>P127*'Production Steps'!$O$11</f>
        <v>2.5307387650016278</v>
      </c>
      <c r="Q126" s="269">
        <f>Q127*'Production Steps'!$O$11</f>
        <v>2.6102081161669655</v>
      </c>
      <c r="R126" s="269">
        <f>R127*'Production Steps'!$O$11</f>
        <v>2.6796944718972378</v>
      </c>
      <c r="S126" s="269">
        <f>S127*'Production Steps'!$O$11</f>
        <v>2.7510306240490165</v>
      </c>
      <c r="T126" s="269">
        <f>T127*'Production Steps'!$O$11</f>
        <v>2.8242658160567156</v>
      </c>
      <c r="U126" s="269">
        <f>U127*'Production Steps'!$O$11</f>
        <v>2.8994506022643192</v>
      </c>
      <c r="V126" s="270">
        <f>X126*0.8</f>
        <v>25.992772728737823</v>
      </c>
      <c r="W126" s="270">
        <f>'Production Steps'!H74*1.1*'Production Steps'!L74</f>
        <v>93.014862330995115</v>
      </c>
      <c r="X126" s="270">
        <f>'Production Steps'!I74*1.1*'Production Steps'!L74</f>
        <v>32.490965910922277</v>
      </c>
    </row>
    <row r="127" spans="1:24" s="252" customFormat="1" x14ac:dyDescent="0.2">
      <c r="A127" s="255"/>
      <c r="B127" s="268" t="s">
        <v>735</v>
      </c>
      <c r="C127" s="268" t="s">
        <v>736</v>
      </c>
      <c r="D127" s="268" t="str">
        <f t="shared" si="22"/>
        <v>CEIBMS1</v>
      </c>
      <c r="E127" s="255">
        <v>2010</v>
      </c>
      <c r="F127" s="255"/>
      <c r="G127" s="255">
        <v>1.05</v>
      </c>
      <c r="H127" s="255">
        <v>1.05</v>
      </c>
      <c r="I127" s="255">
        <v>1.05</v>
      </c>
      <c r="J127" s="255">
        <v>1.05</v>
      </c>
      <c r="K127" s="255">
        <v>1.05</v>
      </c>
      <c r="L127" s="269">
        <f t="shared" ref="L127:R127" si="23">L120</f>
        <v>2.0804302024174093</v>
      </c>
      <c r="M127" s="269">
        <f t="shared" si="23"/>
        <v>2.1489175067115602</v>
      </c>
      <c r="N127" s="269">
        <f t="shared" si="23"/>
        <v>2.3646065313352387</v>
      </c>
      <c r="O127" s="269">
        <f t="shared" si="23"/>
        <v>2.4343269079385927</v>
      </c>
      <c r="P127" s="269">
        <f t="shared" si="23"/>
        <v>2.535810385773174</v>
      </c>
      <c r="Q127" s="269">
        <f t="shared" si="23"/>
        <v>2.615438994155276</v>
      </c>
      <c r="R127" s="269">
        <f t="shared" si="23"/>
        <v>2.6850646010994366</v>
      </c>
      <c r="S127" s="269">
        <f>R127*(1+(R127-Q127)/Q127)</f>
        <v>2.7565437114719606</v>
      </c>
      <c r="T127" s="269">
        <f>S127*(1+(S127-R127)/R127)</f>
        <v>2.8299256673914988</v>
      </c>
      <c r="U127" s="269">
        <f>T127*(1+(T127-S127)/S127)</f>
        <v>2.9052611245133457</v>
      </c>
      <c r="V127" s="270">
        <f>X127*0.8</f>
        <v>0.53046474956607559</v>
      </c>
      <c r="W127" s="270">
        <f>'Production Steps'!H75*1.1*'Production Steps'!L75</f>
        <v>1.8982624965509201</v>
      </c>
      <c r="X127" s="270">
        <f>'Production Steps'!I75*1.1*'Production Steps'!L75</f>
        <v>0.6630809369575944</v>
      </c>
    </row>
    <row r="128" spans="1:24" s="252" customFormat="1" x14ac:dyDescent="0.2">
      <c r="A128" s="255"/>
      <c r="B128" s="268" t="s">
        <v>737</v>
      </c>
      <c r="C128" s="268" t="s">
        <v>738</v>
      </c>
      <c r="D128" s="268" t="str">
        <f t="shared" si="22"/>
        <v>CEIBMS1</v>
      </c>
      <c r="E128" s="255">
        <v>2010</v>
      </c>
      <c r="F128" s="271"/>
      <c r="G128" s="255">
        <v>1.05</v>
      </c>
      <c r="H128" s="255">
        <v>1.05</v>
      </c>
      <c r="I128" s="255">
        <v>1.05</v>
      </c>
      <c r="J128" s="255">
        <v>1.05</v>
      </c>
      <c r="K128" s="255">
        <v>1.05</v>
      </c>
      <c r="L128" s="269">
        <f>L127*'Production Steps'!$O$13</f>
        <v>2.0866714930246615</v>
      </c>
      <c r="M128" s="269">
        <f>M127*'Production Steps'!$O$13</f>
        <v>2.1553642592316948</v>
      </c>
      <c r="N128" s="269">
        <f>N127*'Production Steps'!$O$13</f>
        <v>2.371700350929244</v>
      </c>
      <c r="O128" s="269">
        <f>O127*'Production Steps'!$O$13</f>
        <v>2.4416298886624084</v>
      </c>
      <c r="P128" s="269">
        <f>P127*'Production Steps'!$O$13</f>
        <v>2.5434178169304933</v>
      </c>
      <c r="Q128" s="269">
        <f>Q127*'Production Steps'!$O$13</f>
        <v>2.6232853111377414</v>
      </c>
      <c r="R128" s="269">
        <f>R127*'Production Steps'!$O$13</f>
        <v>2.6931197949027346</v>
      </c>
      <c r="S128" s="269">
        <f>S127*'Production Steps'!$O$13</f>
        <v>2.7648133426063763</v>
      </c>
      <c r="T128" s="269">
        <f>T127*'Production Steps'!$O$13</f>
        <v>2.8384154443936729</v>
      </c>
      <c r="U128" s="269">
        <f>U127*'Production Steps'!$O$13</f>
        <v>2.9139769078868856</v>
      </c>
      <c r="V128" s="270">
        <f>X128*0.8</f>
        <v>0.53046474956607559</v>
      </c>
      <c r="W128" s="270">
        <f>'Production Steps'!H76*1.1*'Production Steps'!L76</f>
        <v>1.8982624965509201</v>
      </c>
      <c r="X128" s="270">
        <f>'Production Steps'!I76*1.1*'Production Steps'!L76</f>
        <v>0.6630809369575944</v>
      </c>
    </row>
    <row r="129" spans="1:24" s="252" customFormat="1" x14ac:dyDescent="0.2">
      <c r="A129" s="255"/>
      <c r="B129" s="268" t="s">
        <v>739</v>
      </c>
      <c r="C129" s="268" t="s">
        <v>740</v>
      </c>
      <c r="D129" s="268" t="str">
        <f t="shared" si="22"/>
        <v>CEIBMS1</v>
      </c>
      <c r="E129" s="255">
        <v>2010</v>
      </c>
      <c r="F129" s="271">
        <f>X129*0.1</f>
        <v>0.5967728432618381</v>
      </c>
      <c r="G129" s="255">
        <v>1.05</v>
      </c>
      <c r="H129" s="255">
        <v>1.05</v>
      </c>
      <c r="I129" s="255">
        <v>1.05</v>
      </c>
      <c r="J129" s="255">
        <v>1.05</v>
      </c>
      <c r="K129" s="255">
        <v>1.05</v>
      </c>
      <c r="L129" s="269">
        <f>L127*'Production Steps'!$O$14</f>
        <v>2.3300818267074987</v>
      </c>
      <c r="M129" s="269">
        <f>M127*'Production Steps'!$O$14</f>
        <v>2.4067876075169479</v>
      </c>
      <c r="N129" s="269">
        <f>N127*'Production Steps'!$O$14</f>
        <v>2.6483593150954676</v>
      </c>
      <c r="O129" s="269">
        <f>O127*'Production Steps'!$O$14</f>
        <v>2.7264461368912243</v>
      </c>
      <c r="P129" s="269">
        <f>P127*'Production Steps'!$O$14</f>
        <v>2.8401076320659553</v>
      </c>
      <c r="Q129" s="269">
        <f>Q127*'Production Steps'!$O$14</f>
        <v>2.9292916734539096</v>
      </c>
      <c r="R129" s="269">
        <f>R127*'Production Steps'!$O$14</f>
        <v>3.0072723532313694</v>
      </c>
      <c r="S129" s="269">
        <f>S127*'Production Steps'!$O$14</f>
        <v>3.0873289568485962</v>
      </c>
      <c r="T129" s="269">
        <f>T127*'Production Steps'!$O$14</f>
        <v>3.1695167474784789</v>
      </c>
      <c r="U129" s="269">
        <f>U127*'Production Steps'!$O$14</f>
        <v>3.2538924594549474</v>
      </c>
      <c r="V129" s="270"/>
      <c r="W129" s="270">
        <f>'Production Steps'!H77*1.1*'Production Steps'!L77</f>
        <v>17.084362468958314</v>
      </c>
      <c r="X129" s="270">
        <f>'Production Steps'!I77*1.1*'Production Steps'!L77</f>
        <v>5.9677284326183804</v>
      </c>
    </row>
    <row r="130" spans="1:24" s="252" customFormat="1" x14ac:dyDescent="0.2">
      <c r="A130" s="255"/>
      <c r="B130" s="268" t="s">
        <v>741</v>
      </c>
      <c r="C130" s="268" t="s">
        <v>742</v>
      </c>
      <c r="D130" s="268" t="str">
        <f t="shared" si="22"/>
        <v>CEIBMS1</v>
      </c>
      <c r="E130" s="255">
        <v>2010</v>
      </c>
      <c r="F130" s="271">
        <f>X130*0.1</f>
        <v>0.66308093695759751</v>
      </c>
      <c r="G130" s="255">
        <v>1.05</v>
      </c>
      <c r="H130" s="255">
        <v>1.05</v>
      </c>
      <c r="I130" s="255">
        <v>1.05</v>
      </c>
      <c r="J130" s="255">
        <v>1.05</v>
      </c>
      <c r="K130" s="255">
        <v>1.05</v>
      </c>
      <c r="L130" s="269">
        <f>L127*'Production Steps'!$O$15</f>
        <v>3.1830582096986362</v>
      </c>
      <c r="M130" s="269">
        <f>M127*'Production Steps'!$O$15</f>
        <v>3.287843785268687</v>
      </c>
      <c r="N130" s="269">
        <f>N127*'Production Steps'!$O$15</f>
        <v>3.6178479929429153</v>
      </c>
      <c r="O130" s="269">
        <f>O127*'Production Steps'!$O$15</f>
        <v>3.724520169146047</v>
      </c>
      <c r="P130" s="269">
        <f>P127*'Production Steps'!$O$15</f>
        <v>3.8797898902329564</v>
      </c>
      <c r="Q130" s="269">
        <f>Q127*'Production Steps'!$O$15</f>
        <v>4.0016216610575723</v>
      </c>
      <c r="R130" s="269">
        <f>R127*'Production Steps'!$O$15</f>
        <v>4.108148839682138</v>
      </c>
      <c r="S130" s="269">
        <f>S127*'Production Steps'!$O$15</f>
        <v>4.2175118785520995</v>
      </c>
      <c r="T130" s="269">
        <f>T127*'Production Steps'!$O$15</f>
        <v>4.3297862711089934</v>
      </c>
      <c r="U130" s="269">
        <f>U127*'Production Steps'!$O$15</f>
        <v>4.4450495205054192</v>
      </c>
      <c r="V130" s="270"/>
      <c r="W130" s="270">
        <f>'Production Steps'!H78*1.1*'Production Steps'!L78</f>
        <v>18.982624965509171</v>
      </c>
      <c r="X130" s="270">
        <f>'Production Steps'!I78*1.1*'Production Steps'!L78</f>
        <v>6.6308093695759744</v>
      </c>
    </row>
    <row r="131" spans="1:24" s="252" customFormat="1" x14ac:dyDescent="0.2">
      <c r="A131" s="266" t="s">
        <v>505</v>
      </c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</row>
    <row r="132" spans="1:24" s="252" customFormat="1" x14ac:dyDescent="0.2">
      <c r="A132" s="267" t="s">
        <v>504</v>
      </c>
      <c r="B132" s="268" t="s">
        <v>743</v>
      </c>
      <c r="C132" s="268" t="s">
        <v>744</v>
      </c>
      <c r="D132" s="268" t="str">
        <f>CONCATENATE(MID(B132,4,6),"1")</f>
        <v>CEIBHU1</v>
      </c>
      <c r="E132" s="255">
        <v>2010</v>
      </c>
      <c r="F132" s="255"/>
      <c r="G132" s="255">
        <v>1.05</v>
      </c>
      <c r="H132" s="255">
        <v>1.05</v>
      </c>
      <c r="I132" s="255">
        <v>1.05</v>
      </c>
      <c r="J132" s="255">
        <v>1.05</v>
      </c>
      <c r="K132" s="255">
        <v>1.05</v>
      </c>
      <c r="L132" s="269">
        <f>L134*'Production Steps'!$O$10</f>
        <v>1.478216265016643</v>
      </c>
      <c r="M132" s="269">
        <f>M134*'Production Steps'!$O$10</f>
        <v>1.6858328692019811</v>
      </c>
      <c r="N132" s="269">
        <f>N134*'Production Steps'!$O$10</f>
        <v>1.8754518935669433</v>
      </c>
      <c r="O132" s="269">
        <f>O134*'Production Steps'!$O$10</f>
        <v>1.9351791762017092</v>
      </c>
      <c r="P132" s="269">
        <f>P134*'Production Steps'!$O$10</f>
        <v>2.0228387453698464</v>
      </c>
      <c r="Q132" s="269">
        <f>Q134*'Production Steps'!$O$10</f>
        <v>2.0912844872735197</v>
      </c>
      <c r="R132" s="269">
        <f>R134*'Production Steps'!$O$10</f>
        <v>2.1575936140884138</v>
      </c>
      <c r="S132" s="269">
        <f>S134*'Production Steps'!$O$10</f>
        <v>2.2260052287884857</v>
      </c>
      <c r="T132" s="269">
        <f>T134*'Production Steps'!$O$10</f>
        <v>2.296585995730811</v>
      </c>
      <c r="U132" s="269">
        <f>U134*'Production Steps'!$O$10</f>
        <v>2.3694046930237662</v>
      </c>
      <c r="V132" s="270">
        <f>X132*0.8</f>
        <v>811.93316751071325</v>
      </c>
      <c r="W132" s="270">
        <f>'Production Steps'!H80*1.1*'Production Steps'!K80</f>
        <v>607.99179069033619</v>
      </c>
      <c r="X132" s="270">
        <f>'Production Steps'!I80*1.1*'Production Steps'!K80</f>
        <v>1014.9164593883914</v>
      </c>
    </row>
    <row r="133" spans="1:24" s="252" customFormat="1" x14ac:dyDescent="0.2">
      <c r="A133" s="255"/>
      <c r="B133" s="268" t="s">
        <v>745</v>
      </c>
      <c r="C133" s="268" t="s">
        <v>746</v>
      </c>
      <c r="D133" s="268" t="str">
        <f t="shared" ref="D133:D137" si="24">CONCATENATE(MID(B133,4,6),"1")</f>
        <v>CEIBHU1</v>
      </c>
      <c r="E133" s="255">
        <v>2010</v>
      </c>
      <c r="F133" s="255"/>
      <c r="G133" s="255">
        <v>1.05</v>
      </c>
      <c r="H133" s="255">
        <v>1.05</v>
      </c>
      <c r="I133" s="255">
        <v>1.05</v>
      </c>
      <c r="J133" s="255">
        <v>1.05</v>
      </c>
      <c r="K133" s="255">
        <v>1.05</v>
      </c>
      <c r="L133" s="269">
        <f>L134*'Production Steps'!$O$11</f>
        <v>1.6764316278256928</v>
      </c>
      <c r="M133" s="269">
        <f>M134*'Production Steps'!$O$11</f>
        <v>1.9118877312086104</v>
      </c>
      <c r="N133" s="269">
        <f>N134*'Production Steps'!$O$11</f>
        <v>2.1269329429316017</v>
      </c>
      <c r="O133" s="269">
        <f>O134*'Production Steps'!$O$11</f>
        <v>2.1946691111923928</v>
      </c>
      <c r="P133" s="269">
        <f>P134*'Production Steps'!$O$11</f>
        <v>2.294083031680803</v>
      </c>
      <c r="Q133" s="269">
        <f>Q134*'Production Steps'!$O$11</f>
        <v>2.3717067253397417</v>
      </c>
      <c r="R133" s="269">
        <f>R134*'Production Steps'!$O$11</f>
        <v>2.4469073032502693</v>
      </c>
      <c r="S133" s="269">
        <f>S134*'Production Steps'!$O$11</f>
        <v>2.5244922935578509</v>
      </c>
      <c r="T133" s="269">
        <f>T134*'Production Steps'!$O$11</f>
        <v>2.6045372997038059</v>
      </c>
      <c r="U133" s="269">
        <f>U134*'Production Steps'!$O$11</f>
        <v>2.6871203223155891</v>
      </c>
      <c r="V133" s="270">
        <f>X133*0.8</f>
        <v>795.69450416049904</v>
      </c>
      <c r="W133" s="270">
        <f>'Production Steps'!H81*1.1*'Production Steps'!K81</f>
        <v>595.83195487652938</v>
      </c>
      <c r="X133" s="270">
        <f>'Production Steps'!I81*1.1*'Production Steps'!K81</f>
        <v>994.61813020062368</v>
      </c>
    </row>
    <row r="134" spans="1:24" s="252" customFormat="1" x14ac:dyDescent="0.2">
      <c r="A134" s="255"/>
      <c r="B134" s="268" t="s">
        <v>747</v>
      </c>
      <c r="C134" s="268" t="s">
        <v>748</v>
      </c>
      <c r="D134" s="268" t="str">
        <f t="shared" si="24"/>
        <v>CEIBHU1</v>
      </c>
      <c r="E134" s="255">
        <v>2010</v>
      </c>
      <c r="F134" s="255"/>
      <c r="G134" s="255">
        <v>1.05</v>
      </c>
      <c r="H134" s="255">
        <v>1.05</v>
      </c>
      <c r="I134" s="255">
        <v>1.05</v>
      </c>
      <c r="J134" s="255">
        <v>1.05</v>
      </c>
      <c r="K134" s="255">
        <v>1.05</v>
      </c>
      <c r="L134" s="269">
        <f>'AEO Coal Prices'!M23*'Production Steps'!$Q$17*$N$4</f>
        <v>1.6797912102461852</v>
      </c>
      <c r="M134" s="269">
        <f>'AEO Coal Prices'!N23*'Production Steps'!$Q$17*$N$4</f>
        <v>1.9157191695477058</v>
      </c>
      <c r="N134" s="269">
        <f>'AEO Coal Prices'!O23*'Production Steps'!$Q$17*$N$4</f>
        <v>2.1311953335987992</v>
      </c>
      <c r="O134" s="269">
        <f>'AEO Coal Prices'!P23*'Production Steps'!$Q$17*$N$4</f>
        <v>2.1990672456837603</v>
      </c>
      <c r="P134" s="269">
        <f>'AEO Coal Prices'!Q23*'Production Steps'!$Q$17*$N$4</f>
        <v>2.2986803924657346</v>
      </c>
      <c r="Q134" s="269">
        <f>'AEO Coal Prices'!R23*'Production Steps'!$Q$17*$N$4</f>
        <v>2.3764596446289996</v>
      </c>
      <c r="R134" s="269">
        <f>'AEO Coal Prices'!S23*'Production Steps'!$Q$17*$N$4</f>
        <v>2.4518109251004701</v>
      </c>
      <c r="S134" s="269">
        <f>R134*(1+(R134-Q134)/Q134)</f>
        <v>2.529551396350552</v>
      </c>
      <c r="T134" s="269">
        <f>S134*(1+(S134-R134)/R134)</f>
        <v>2.6097568133304669</v>
      </c>
      <c r="U134" s="269">
        <f>T134*(1+(T134-S134)/S134)</f>
        <v>2.6925053329815523</v>
      </c>
      <c r="V134" s="270">
        <f>X134*0.8</f>
        <v>16.238663350214193</v>
      </c>
      <c r="W134" s="270">
        <f>'Production Steps'!H82*1.1*'Production Steps'!K82</f>
        <v>12.159835813806705</v>
      </c>
      <c r="X134" s="270">
        <f>'Production Steps'!I82*1.1*'Production Steps'!K82</f>
        <v>20.298329187767738</v>
      </c>
    </row>
    <row r="135" spans="1:24" s="252" customFormat="1" x14ac:dyDescent="0.2">
      <c r="A135" s="255"/>
      <c r="B135" s="268" t="s">
        <v>749</v>
      </c>
      <c r="C135" s="268" t="s">
        <v>750</v>
      </c>
      <c r="D135" s="268" t="str">
        <f t="shared" si="24"/>
        <v>CEIBHU1</v>
      </c>
      <c r="E135" s="255">
        <v>2010</v>
      </c>
      <c r="F135" s="271"/>
      <c r="G135" s="255">
        <v>1.05</v>
      </c>
      <c r="H135" s="255">
        <v>1.05</v>
      </c>
      <c r="I135" s="255">
        <v>1.05</v>
      </c>
      <c r="J135" s="255">
        <v>1.05</v>
      </c>
      <c r="K135" s="255">
        <v>1.05</v>
      </c>
      <c r="L135" s="269">
        <f>L134*'Production Steps'!$O$13</f>
        <v>1.6848305838769235</v>
      </c>
      <c r="M135" s="269">
        <f>M134*'Production Steps'!$O$13</f>
        <v>1.9214663270563488</v>
      </c>
      <c r="N135" s="269">
        <f>N134*'Production Steps'!$O$13</f>
        <v>2.1375889195995952</v>
      </c>
      <c r="O135" s="269">
        <f>O134*'Production Steps'!$O$13</f>
        <v>2.2056644474208116</v>
      </c>
      <c r="P135" s="269">
        <f>P134*'Production Steps'!$O$13</f>
        <v>2.3055764336431315</v>
      </c>
      <c r="Q135" s="269">
        <f>Q134*'Production Steps'!$O$13</f>
        <v>2.3835890235628865</v>
      </c>
      <c r="R135" s="269">
        <f>R134*'Production Steps'!$O$13</f>
        <v>2.459166357875771</v>
      </c>
      <c r="S135" s="269">
        <f>S134*'Production Steps'!$O$13</f>
        <v>2.5371400505396036</v>
      </c>
      <c r="T135" s="269">
        <f>T134*'Production Steps'!$O$13</f>
        <v>2.6175860837704579</v>
      </c>
      <c r="U135" s="269">
        <f>U134*'Production Steps'!$O$13</f>
        <v>2.7005828489804968</v>
      </c>
      <c r="V135" s="270">
        <f>X135*0.8</f>
        <v>16.238663350214193</v>
      </c>
      <c r="W135" s="270">
        <f>'Production Steps'!H83*1.1*'Production Steps'!K83</f>
        <v>12.159835813806705</v>
      </c>
      <c r="X135" s="270">
        <f>'Production Steps'!I83*1.1*'Production Steps'!K83</f>
        <v>20.298329187767738</v>
      </c>
    </row>
    <row r="136" spans="1:24" s="252" customFormat="1" x14ac:dyDescent="0.2">
      <c r="A136" s="255"/>
      <c r="B136" s="268" t="s">
        <v>751</v>
      </c>
      <c r="C136" s="268" t="s">
        <v>752</v>
      </c>
      <c r="D136" s="268" t="str">
        <f t="shared" si="24"/>
        <v>CEIBHU1</v>
      </c>
      <c r="E136" s="255">
        <v>2010</v>
      </c>
      <c r="F136" s="271">
        <f>X136*0.1</f>
        <v>18.268496268991075</v>
      </c>
      <c r="G136" s="255">
        <v>1.05</v>
      </c>
      <c r="H136" s="255">
        <v>1.05</v>
      </c>
      <c r="I136" s="255">
        <v>1.05</v>
      </c>
      <c r="J136" s="255">
        <v>1.05</v>
      </c>
      <c r="K136" s="255">
        <v>1.05</v>
      </c>
      <c r="L136" s="269">
        <f>L134*'Production Steps'!$O$14</f>
        <v>1.8813661554757275</v>
      </c>
      <c r="M136" s="269">
        <f>M134*'Production Steps'!$O$14</f>
        <v>2.1456054698934306</v>
      </c>
      <c r="N136" s="269">
        <f>N134*'Production Steps'!$O$14</f>
        <v>2.3869387736306553</v>
      </c>
      <c r="O136" s="269">
        <f>O134*'Production Steps'!$O$14</f>
        <v>2.4629553151658117</v>
      </c>
      <c r="P136" s="269">
        <f>P134*'Production Steps'!$O$14</f>
        <v>2.5745220395616228</v>
      </c>
      <c r="Q136" s="269">
        <f>Q134*'Production Steps'!$O$14</f>
        <v>2.66163480198448</v>
      </c>
      <c r="R136" s="269">
        <f>R134*'Production Steps'!$O$14</f>
        <v>2.7460282361125268</v>
      </c>
      <c r="S136" s="269">
        <f>S134*'Production Steps'!$O$14</f>
        <v>2.8330975639126184</v>
      </c>
      <c r="T136" s="269">
        <f>T134*'Production Steps'!$O$14</f>
        <v>2.9229276309301233</v>
      </c>
      <c r="U136" s="269">
        <f>U134*'Production Steps'!$O$14</f>
        <v>3.0156059729393387</v>
      </c>
      <c r="V136" s="270"/>
      <c r="W136" s="270">
        <f>'Production Steps'!H84*1.1*'Production Steps'!K84</f>
        <v>109.43852232426069</v>
      </c>
      <c r="X136" s="270">
        <f>'Production Steps'!I84*1.1*'Production Steps'!K84</f>
        <v>182.68496268991075</v>
      </c>
    </row>
    <row r="137" spans="1:24" s="252" customFormat="1" x14ac:dyDescent="0.2">
      <c r="A137" s="255"/>
      <c r="B137" s="268" t="s">
        <v>753</v>
      </c>
      <c r="C137" s="268" t="s">
        <v>754</v>
      </c>
      <c r="D137" s="268" t="str">
        <f t="shared" si="24"/>
        <v>CEIBHU1</v>
      </c>
      <c r="E137" s="255">
        <v>2010</v>
      </c>
      <c r="F137" s="271">
        <f>X137*0.1</f>
        <v>20.298329187767813</v>
      </c>
      <c r="G137" s="255">
        <v>1.05</v>
      </c>
      <c r="H137" s="255">
        <v>1.05</v>
      </c>
      <c r="I137" s="255">
        <v>1.05</v>
      </c>
      <c r="J137" s="255">
        <v>1.05</v>
      </c>
      <c r="K137" s="255">
        <v>1.05</v>
      </c>
      <c r="L137" s="269">
        <f>L134*'Production Steps'!$O$15</f>
        <v>2.5700805516766634</v>
      </c>
      <c r="M137" s="269">
        <f>M134*'Production Steps'!$O$15</f>
        <v>2.9310503294079902</v>
      </c>
      <c r="N137" s="269">
        <f>N134*'Production Steps'!$O$15</f>
        <v>3.2607288604061631</v>
      </c>
      <c r="O137" s="269">
        <f>O134*'Production Steps'!$O$15</f>
        <v>3.3645728858961532</v>
      </c>
      <c r="P137" s="269">
        <f>P134*'Production Steps'!$O$15</f>
        <v>3.5169810004725739</v>
      </c>
      <c r="Q137" s="269">
        <f>Q134*'Production Steps'!$O$15</f>
        <v>3.6359832562823695</v>
      </c>
      <c r="R137" s="269">
        <f>R134*'Production Steps'!$O$15</f>
        <v>3.7512707154037193</v>
      </c>
      <c r="S137" s="269">
        <f>S134*'Production Steps'!$O$15</f>
        <v>3.8702136364163446</v>
      </c>
      <c r="T137" s="269">
        <f>T134*'Production Steps'!$O$15</f>
        <v>3.9929279243956146</v>
      </c>
      <c r="U137" s="269">
        <f>U134*'Production Steps'!$O$15</f>
        <v>4.119533159461775</v>
      </c>
      <c r="V137" s="270"/>
      <c r="W137" s="270">
        <f>'Production Steps'!H85*1.1*'Production Steps'!K85</f>
        <v>121.59835813806703</v>
      </c>
      <c r="X137" s="270">
        <f>'Production Steps'!I85*1.1*'Production Steps'!K85</f>
        <v>202.98329187767811</v>
      </c>
    </row>
    <row r="138" spans="1:24" s="252" customFormat="1" x14ac:dyDescent="0.2">
      <c r="A138" s="266" t="s">
        <v>505</v>
      </c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</row>
    <row r="139" spans="1:24" s="252" customFormat="1" x14ac:dyDescent="0.2">
      <c r="A139" s="267" t="s">
        <v>504</v>
      </c>
      <c r="B139" s="268" t="s">
        <v>755</v>
      </c>
      <c r="C139" s="268" t="s">
        <v>756</v>
      </c>
      <c r="D139" s="268" t="str">
        <f>CONCATENATE(MID(B139,4,6),"1")</f>
        <v>CEIBHS1</v>
      </c>
      <c r="E139" s="255">
        <v>2010</v>
      </c>
      <c r="F139" s="255"/>
      <c r="G139" s="255">
        <v>1.05</v>
      </c>
      <c r="H139" s="255">
        <v>1.05</v>
      </c>
      <c r="I139" s="255">
        <v>1.05</v>
      </c>
      <c r="J139" s="255">
        <v>1.05</v>
      </c>
      <c r="K139" s="255">
        <v>1.05</v>
      </c>
      <c r="L139" s="269">
        <f>L141*'Production Steps'!$O$10</f>
        <v>1.478216265016643</v>
      </c>
      <c r="M139" s="269">
        <f>M141*'Production Steps'!$O$10</f>
        <v>1.6858328692019811</v>
      </c>
      <c r="N139" s="269">
        <f>N141*'Production Steps'!$O$10</f>
        <v>1.8754518935669433</v>
      </c>
      <c r="O139" s="269">
        <f>O141*'Production Steps'!$O$10</f>
        <v>1.9351791762017092</v>
      </c>
      <c r="P139" s="269">
        <f>P141*'Production Steps'!$O$10</f>
        <v>2.0228387453698464</v>
      </c>
      <c r="Q139" s="269">
        <f>Q141*'Production Steps'!$O$10</f>
        <v>2.0912844872735197</v>
      </c>
      <c r="R139" s="269">
        <f>R141*'Production Steps'!$O$10</f>
        <v>2.1575936140884138</v>
      </c>
      <c r="S139" s="269">
        <f>S141*'Production Steps'!$O$10</f>
        <v>2.2260052287884857</v>
      </c>
      <c r="T139" s="269">
        <f>T141*'Production Steps'!$O$10</f>
        <v>2.296585995730811</v>
      </c>
      <c r="U139" s="269">
        <f>U141*'Production Steps'!$O$10</f>
        <v>2.3694046930237662</v>
      </c>
      <c r="V139" s="270">
        <f>X139*0.8</f>
        <v>310.19015228900912</v>
      </c>
      <c r="W139" s="270">
        <f>'Production Steps'!H80*1.1*'Production Steps'!L80</f>
        <v>232.27658838338348</v>
      </c>
      <c r="X139" s="270">
        <f>'Production Steps'!I80*1.1*'Production Steps'!L80</f>
        <v>387.73769036126134</v>
      </c>
    </row>
    <row r="140" spans="1:24" s="252" customFormat="1" x14ac:dyDescent="0.2">
      <c r="A140" s="255"/>
      <c r="B140" s="268" t="s">
        <v>757</v>
      </c>
      <c r="C140" s="268" t="s">
        <v>758</v>
      </c>
      <c r="D140" s="268" t="str">
        <f t="shared" ref="D140:D144" si="25">CONCATENATE(MID(B140,4,6),"1")</f>
        <v>CEIBHS1</v>
      </c>
      <c r="E140" s="255">
        <v>2010</v>
      </c>
      <c r="F140" s="255"/>
      <c r="G140" s="255">
        <v>1.05</v>
      </c>
      <c r="H140" s="255">
        <v>1.05</v>
      </c>
      <c r="I140" s="255">
        <v>1.05</v>
      </c>
      <c r="J140" s="255">
        <v>1.05</v>
      </c>
      <c r="K140" s="255">
        <v>1.05</v>
      </c>
      <c r="L140" s="269">
        <f>L141*'Production Steps'!$O$11</f>
        <v>1.6764316278256928</v>
      </c>
      <c r="M140" s="269">
        <f>M141*'Production Steps'!$O$11</f>
        <v>1.9118877312086104</v>
      </c>
      <c r="N140" s="269">
        <f>N141*'Production Steps'!$O$11</f>
        <v>2.1269329429316017</v>
      </c>
      <c r="O140" s="269">
        <f>O141*'Production Steps'!$O$11</f>
        <v>2.1946691111923928</v>
      </c>
      <c r="P140" s="269">
        <f>P141*'Production Steps'!$O$11</f>
        <v>2.294083031680803</v>
      </c>
      <c r="Q140" s="269">
        <f>Q141*'Production Steps'!$O$11</f>
        <v>2.3717067253397417</v>
      </c>
      <c r="R140" s="269">
        <f>R141*'Production Steps'!$O$11</f>
        <v>2.4469073032502693</v>
      </c>
      <c r="S140" s="269">
        <f>S141*'Production Steps'!$O$11</f>
        <v>2.5244922935578509</v>
      </c>
      <c r="T140" s="269">
        <f>T141*'Production Steps'!$O$11</f>
        <v>2.6045372997038059</v>
      </c>
      <c r="U140" s="269">
        <f>U141*'Production Steps'!$O$11</f>
        <v>2.6871203223155891</v>
      </c>
      <c r="V140" s="270">
        <f>X140*0.8</f>
        <v>303.98634924322886</v>
      </c>
      <c r="W140" s="270">
        <f>'Production Steps'!H81*1.1*'Production Steps'!L81</f>
        <v>227.63105661571581</v>
      </c>
      <c r="X140" s="270">
        <f>'Production Steps'!I81*1.1*'Production Steps'!L81</f>
        <v>379.98293655403609</v>
      </c>
    </row>
    <row r="141" spans="1:24" s="252" customFormat="1" x14ac:dyDescent="0.2">
      <c r="A141" s="255"/>
      <c r="B141" s="268" t="s">
        <v>759</v>
      </c>
      <c r="C141" s="268" t="s">
        <v>760</v>
      </c>
      <c r="D141" s="268" t="str">
        <f t="shared" si="25"/>
        <v>CEIBHS1</v>
      </c>
      <c r="E141" s="255">
        <v>2010</v>
      </c>
      <c r="F141" s="255"/>
      <c r="G141" s="255">
        <v>1.05</v>
      </c>
      <c r="H141" s="255">
        <v>1.05</v>
      </c>
      <c r="I141" s="255">
        <v>1.05</v>
      </c>
      <c r="J141" s="255">
        <v>1.05</v>
      </c>
      <c r="K141" s="255">
        <v>1.05</v>
      </c>
      <c r="L141" s="269">
        <f t="shared" ref="L141:R141" si="26">L134</f>
        <v>1.6797912102461852</v>
      </c>
      <c r="M141" s="269">
        <f t="shared" si="26"/>
        <v>1.9157191695477058</v>
      </c>
      <c r="N141" s="269">
        <f t="shared" si="26"/>
        <v>2.1311953335987992</v>
      </c>
      <c r="O141" s="269">
        <f t="shared" si="26"/>
        <v>2.1990672456837603</v>
      </c>
      <c r="P141" s="269">
        <f t="shared" si="26"/>
        <v>2.2986803924657346</v>
      </c>
      <c r="Q141" s="269">
        <f t="shared" si="26"/>
        <v>2.3764596446289996</v>
      </c>
      <c r="R141" s="269">
        <f t="shared" si="26"/>
        <v>2.4518109251004701</v>
      </c>
      <c r="S141" s="269">
        <f>R141*(1+(R141-Q141)/Q141)</f>
        <v>2.529551396350552</v>
      </c>
      <c r="T141" s="269">
        <f>S141*(1+(S141-R141)/R141)</f>
        <v>2.6097568133304669</v>
      </c>
      <c r="U141" s="269">
        <f>T141*(1+(T141-S141)/S141)</f>
        <v>2.6925053329815523</v>
      </c>
      <c r="V141" s="270">
        <f>X141*0.8</f>
        <v>6.2038030457801536</v>
      </c>
      <c r="W141" s="270">
        <f>'Production Steps'!H82*1.1*'Production Steps'!L82</f>
        <v>4.6455317676676628</v>
      </c>
      <c r="X141" s="270">
        <f>'Production Steps'!I82*1.1*'Production Steps'!L82</f>
        <v>7.7547538072251916</v>
      </c>
    </row>
    <row r="142" spans="1:24" s="252" customFormat="1" x14ac:dyDescent="0.2">
      <c r="A142" s="255"/>
      <c r="B142" s="268" t="s">
        <v>761</v>
      </c>
      <c r="C142" s="268" t="s">
        <v>762</v>
      </c>
      <c r="D142" s="268" t="str">
        <f t="shared" si="25"/>
        <v>CEIBHS1</v>
      </c>
      <c r="E142" s="255">
        <v>2010</v>
      </c>
      <c r="F142" s="271"/>
      <c r="G142" s="255">
        <v>1.05</v>
      </c>
      <c r="H142" s="255">
        <v>1.05</v>
      </c>
      <c r="I142" s="255">
        <v>1.05</v>
      </c>
      <c r="J142" s="255">
        <v>1.05</v>
      </c>
      <c r="K142" s="255">
        <v>1.05</v>
      </c>
      <c r="L142" s="269">
        <f>L141*'Production Steps'!$O$13</f>
        <v>1.6848305838769235</v>
      </c>
      <c r="M142" s="269">
        <f>M141*'Production Steps'!$O$13</f>
        <v>1.9214663270563488</v>
      </c>
      <c r="N142" s="269">
        <f>N141*'Production Steps'!$O$13</f>
        <v>2.1375889195995952</v>
      </c>
      <c r="O142" s="269">
        <f>O141*'Production Steps'!$O$13</f>
        <v>2.2056644474208116</v>
      </c>
      <c r="P142" s="269">
        <f>P141*'Production Steps'!$O$13</f>
        <v>2.3055764336431315</v>
      </c>
      <c r="Q142" s="269">
        <f>Q141*'Production Steps'!$O$13</f>
        <v>2.3835890235628865</v>
      </c>
      <c r="R142" s="269">
        <f>R141*'Production Steps'!$O$13</f>
        <v>2.459166357875771</v>
      </c>
      <c r="S142" s="269">
        <f>S141*'Production Steps'!$O$13</f>
        <v>2.5371400505396036</v>
      </c>
      <c r="T142" s="269">
        <f>T141*'Production Steps'!$O$13</f>
        <v>2.6175860837704579</v>
      </c>
      <c r="U142" s="269">
        <f>U141*'Production Steps'!$O$13</f>
        <v>2.7005828489804968</v>
      </c>
      <c r="V142" s="270">
        <f>X142*0.8</f>
        <v>6.2038030457801536</v>
      </c>
      <c r="W142" s="270">
        <f>'Production Steps'!H83*1.1*'Production Steps'!L83</f>
        <v>4.6455317676676628</v>
      </c>
      <c r="X142" s="270">
        <f>'Production Steps'!I83*1.1*'Production Steps'!L83</f>
        <v>7.7547538072251916</v>
      </c>
    </row>
    <row r="143" spans="1:24" s="252" customFormat="1" x14ac:dyDescent="0.2">
      <c r="A143" s="255"/>
      <c r="B143" s="268" t="s">
        <v>763</v>
      </c>
      <c r="C143" s="268" t="s">
        <v>764</v>
      </c>
      <c r="D143" s="268" t="str">
        <f t="shared" si="25"/>
        <v>CEIBHS1</v>
      </c>
      <c r="E143" s="255">
        <v>2010</v>
      </c>
      <c r="F143" s="271">
        <f>X143*0.1</f>
        <v>6.9792784265027139</v>
      </c>
      <c r="G143" s="255">
        <v>1.05</v>
      </c>
      <c r="H143" s="255">
        <v>1.05</v>
      </c>
      <c r="I143" s="255">
        <v>1.05</v>
      </c>
      <c r="J143" s="255">
        <v>1.05</v>
      </c>
      <c r="K143" s="255">
        <v>1.05</v>
      </c>
      <c r="L143" s="269">
        <f>L141*'Production Steps'!$O$14</f>
        <v>1.8813661554757275</v>
      </c>
      <c r="M143" s="269">
        <f>M141*'Production Steps'!$O$14</f>
        <v>2.1456054698934306</v>
      </c>
      <c r="N143" s="269">
        <f>N141*'Production Steps'!$O$14</f>
        <v>2.3869387736306553</v>
      </c>
      <c r="O143" s="269">
        <f>O141*'Production Steps'!$O$14</f>
        <v>2.4629553151658117</v>
      </c>
      <c r="P143" s="269">
        <f>P141*'Production Steps'!$O$14</f>
        <v>2.5745220395616228</v>
      </c>
      <c r="Q143" s="269">
        <f>Q141*'Production Steps'!$O$14</f>
        <v>2.66163480198448</v>
      </c>
      <c r="R143" s="269">
        <f>R141*'Production Steps'!$O$14</f>
        <v>2.7460282361125268</v>
      </c>
      <c r="S143" s="269">
        <f>S141*'Production Steps'!$O$14</f>
        <v>2.8330975639126184</v>
      </c>
      <c r="T143" s="269">
        <f>T141*'Production Steps'!$O$14</f>
        <v>2.9229276309301233</v>
      </c>
      <c r="U143" s="269">
        <f>U141*'Production Steps'!$O$14</f>
        <v>3.0156059729393387</v>
      </c>
      <c r="V143" s="270"/>
      <c r="W143" s="270">
        <f>'Production Steps'!H84*1.1*'Production Steps'!L84</f>
        <v>41.809785909009101</v>
      </c>
      <c r="X143" s="270">
        <f>'Production Steps'!I84*1.1*'Production Steps'!L84</f>
        <v>69.792784265027137</v>
      </c>
    </row>
    <row r="144" spans="1:24" s="252" customFormat="1" x14ac:dyDescent="0.2">
      <c r="A144" s="255"/>
      <c r="B144" s="268" t="s">
        <v>765</v>
      </c>
      <c r="C144" s="268" t="s">
        <v>766</v>
      </c>
      <c r="D144" s="268" t="str">
        <f t="shared" si="25"/>
        <v>CEIBHS1</v>
      </c>
      <c r="E144" s="255">
        <v>2010</v>
      </c>
      <c r="F144" s="271">
        <f>X144*0.1</f>
        <v>7.75475380722522</v>
      </c>
      <c r="G144" s="255">
        <v>1.05</v>
      </c>
      <c r="H144" s="255">
        <v>1.05</v>
      </c>
      <c r="I144" s="255">
        <v>1.05</v>
      </c>
      <c r="J144" s="255">
        <v>1.05</v>
      </c>
      <c r="K144" s="255">
        <v>1.05</v>
      </c>
      <c r="L144" s="269">
        <f>L141*'Production Steps'!$O$15</f>
        <v>2.5700805516766634</v>
      </c>
      <c r="M144" s="269">
        <f>M141*'Production Steps'!$O$15</f>
        <v>2.9310503294079902</v>
      </c>
      <c r="N144" s="269">
        <f>N141*'Production Steps'!$O$15</f>
        <v>3.2607288604061631</v>
      </c>
      <c r="O144" s="269">
        <f>O141*'Production Steps'!$O$15</f>
        <v>3.3645728858961532</v>
      </c>
      <c r="P144" s="269">
        <f>P141*'Production Steps'!$O$15</f>
        <v>3.5169810004725739</v>
      </c>
      <c r="Q144" s="269">
        <f>Q141*'Production Steps'!$O$15</f>
        <v>3.6359832562823695</v>
      </c>
      <c r="R144" s="269">
        <f>R141*'Production Steps'!$O$15</f>
        <v>3.7512707154037193</v>
      </c>
      <c r="S144" s="269">
        <f>S141*'Production Steps'!$O$15</f>
        <v>3.8702136364163446</v>
      </c>
      <c r="T144" s="269">
        <f>T141*'Production Steps'!$O$15</f>
        <v>3.9929279243956146</v>
      </c>
      <c r="U144" s="269">
        <f>U141*'Production Steps'!$O$15</f>
        <v>4.119533159461775</v>
      </c>
      <c r="V144" s="270"/>
      <c r="W144" s="270">
        <f>'Production Steps'!H85*1.1*'Production Steps'!L85</f>
        <v>46.455317676676621</v>
      </c>
      <c r="X144" s="270">
        <f>'Production Steps'!I85*1.1*'Production Steps'!L85</f>
        <v>77.547538072252195</v>
      </c>
    </row>
    <row r="145" spans="1:24" s="252" customFormat="1" x14ac:dyDescent="0.2">
      <c r="A145" s="266" t="s">
        <v>505</v>
      </c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</row>
    <row r="146" spans="1:24" s="252" customFormat="1" x14ac:dyDescent="0.2">
      <c r="A146" s="267" t="s">
        <v>504</v>
      </c>
      <c r="B146" s="268" t="s">
        <v>767</v>
      </c>
      <c r="C146" s="268" t="s">
        <v>768</v>
      </c>
      <c r="D146" s="268" t="str">
        <f>CONCATENATE(MID(B146,4,6),"1")</f>
        <v>CEILMS1</v>
      </c>
      <c r="E146" s="255">
        <v>2010</v>
      </c>
      <c r="F146" s="255"/>
      <c r="G146" s="255">
        <v>1.05</v>
      </c>
      <c r="H146" s="255">
        <v>1.05</v>
      </c>
      <c r="I146" s="255">
        <v>1.05</v>
      </c>
      <c r="J146" s="255">
        <v>1.05</v>
      </c>
      <c r="K146" s="255">
        <v>1.05</v>
      </c>
      <c r="L146" s="269">
        <f>L148*'Production Steps'!$O$10</f>
        <v>1.4886055002102321</v>
      </c>
      <c r="M146" s="269">
        <f>M148*'Production Steps'!$O$10</f>
        <v>1.5840522975421636</v>
      </c>
      <c r="N146" s="269">
        <f>N148*'Production Steps'!$O$10</f>
        <v>1.8224272145791292</v>
      </c>
      <c r="O146" s="269">
        <f>O148*'Production Steps'!$O$10</f>
        <v>1.8611814038889161</v>
      </c>
      <c r="P146" s="269">
        <f>P148*'Production Steps'!$O$10</f>
        <v>1.9996831815796934</v>
      </c>
      <c r="Q146" s="269">
        <f>Q148*'Production Steps'!$O$10</f>
        <v>2.0433904891399681</v>
      </c>
      <c r="R146" s="269">
        <f>R148*'Production Steps'!$O$10</f>
        <v>2.1029361417365071</v>
      </c>
      <c r="S146" s="269">
        <f>S148*'Production Steps'!$O$10</f>
        <v>2.1642169911845497</v>
      </c>
      <c r="T146" s="269">
        <f>T148*'Production Steps'!$O$10</f>
        <v>2.227283602184996</v>
      </c>
      <c r="U146" s="269">
        <f>U148*'Production Steps'!$O$10</f>
        <v>2.2921880129251555</v>
      </c>
      <c r="V146" s="270">
        <f>X146*0.8</f>
        <v>13.209889081607679</v>
      </c>
      <c r="W146" s="270">
        <f>'Production Steps'!H87*1.1</f>
        <v>21.401684009287237</v>
      </c>
      <c r="X146" s="270">
        <f>'Production Steps'!I87*1.1</f>
        <v>16.512361352009599</v>
      </c>
    </row>
    <row r="147" spans="1:24" s="252" customFormat="1" x14ac:dyDescent="0.2">
      <c r="A147" s="255"/>
      <c r="B147" s="268" t="s">
        <v>769</v>
      </c>
      <c r="C147" s="268" t="s">
        <v>770</v>
      </c>
      <c r="D147" s="268" t="str">
        <f t="shared" ref="D147:D151" si="27">CONCATENATE(MID(B147,4,6),"1")</f>
        <v>CEILMS1</v>
      </c>
      <c r="E147" s="255">
        <v>2010</v>
      </c>
      <c r="F147" s="255"/>
      <c r="G147" s="255">
        <v>1.05</v>
      </c>
      <c r="H147" s="255">
        <v>1.05</v>
      </c>
      <c r="I147" s="255">
        <v>1.05</v>
      </c>
      <c r="J147" s="255">
        <v>1.05</v>
      </c>
      <c r="K147" s="255">
        <v>1.05</v>
      </c>
      <c r="L147" s="269">
        <f>L148*'Production Steps'!$O$11</f>
        <v>1.6882139650111496</v>
      </c>
      <c r="M147" s="269">
        <f>M148*'Production Steps'!$O$11</f>
        <v>1.7964593101671356</v>
      </c>
      <c r="N147" s="269">
        <f>N148*'Production Steps'!$O$11</f>
        <v>2.0667981365340578</v>
      </c>
      <c r="O147" s="269">
        <f>O148*'Production Steps'!$O$11</f>
        <v>2.110748910319475</v>
      </c>
      <c r="P147" s="269">
        <f>P148*'Production Steps'!$O$11</f>
        <v>2.2678225172915161</v>
      </c>
      <c r="Q147" s="269">
        <f>Q148*'Production Steps'!$O$11</f>
        <v>2.3173905774564636</v>
      </c>
      <c r="R147" s="269">
        <f>R148*'Production Steps'!$O$11</f>
        <v>2.3849207607420841</v>
      </c>
      <c r="S147" s="269">
        <f>S148*'Production Steps'!$O$11</f>
        <v>2.4544188150024779</v>
      </c>
      <c r="T147" s="269">
        <f>T148*'Production Steps'!$O$11</f>
        <v>2.5259420852052568</v>
      </c>
      <c r="U147" s="269">
        <f>U148*'Production Steps'!$O$11</f>
        <v>2.5995495873855741</v>
      </c>
      <c r="V147" s="270">
        <f>X147*0.8</f>
        <v>12.945691299975525</v>
      </c>
      <c r="W147" s="270">
        <f>'Production Steps'!H88*1.1</f>
        <v>20.973650329101492</v>
      </c>
      <c r="X147" s="270">
        <f>'Production Steps'!I88*1.1</f>
        <v>16.182114124969406</v>
      </c>
    </row>
    <row r="148" spans="1:24" s="252" customFormat="1" x14ac:dyDescent="0.2">
      <c r="A148" s="255"/>
      <c r="B148" s="268" t="s">
        <v>771</v>
      </c>
      <c r="C148" s="268" t="s">
        <v>772</v>
      </c>
      <c r="D148" s="268" t="str">
        <f t="shared" si="27"/>
        <v>CEILMS1</v>
      </c>
      <c r="E148" s="255">
        <v>2010</v>
      </c>
      <c r="F148" s="255"/>
      <c r="G148" s="255">
        <v>1.05</v>
      </c>
      <c r="H148" s="255">
        <v>1.05</v>
      </c>
      <c r="I148" s="255">
        <v>1.05</v>
      </c>
      <c r="J148" s="255">
        <v>1.05</v>
      </c>
      <c r="K148" s="255">
        <v>1.05</v>
      </c>
      <c r="L148" s="269">
        <f>'AEO Coal Prices'!M24*'Production Steps'!$Q$17*$N$4</f>
        <v>1.6915971593298091</v>
      </c>
      <c r="M148" s="269">
        <f>'AEO Coal Prices'!N24*'Production Steps'!$Q$17*$N$4</f>
        <v>1.8000594290251859</v>
      </c>
      <c r="N148" s="269">
        <f>'AEO Coal Prices'!O24*'Production Steps'!$Q$17*$N$4</f>
        <v>2.0709400165671923</v>
      </c>
      <c r="O148" s="269">
        <f>'AEO Coal Prices'!P24*'Production Steps'!$Q$17*$N$4</f>
        <v>2.1149788680555863</v>
      </c>
      <c r="P148" s="269">
        <f>'AEO Coal Prices'!Q24*'Production Steps'!$Q$17*$N$4</f>
        <v>2.2723672517951061</v>
      </c>
      <c r="Q148" s="269">
        <f>'AEO Coal Prices'!R24*'Production Steps'!$Q$17*$N$4</f>
        <v>2.3220346467499637</v>
      </c>
      <c r="R148" s="269">
        <f>'AEO Coal Prices'!S24*'Production Steps'!$Q$17*$N$4</f>
        <v>2.3897001610642126</v>
      </c>
      <c r="S148" s="269">
        <f>R148*(1+(R148-Q148)/Q148)</f>
        <v>2.4593374899824427</v>
      </c>
      <c r="T148" s="269">
        <f>S148*(1+(S148-R148)/R148)</f>
        <v>2.531004093392041</v>
      </c>
      <c r="U148" s="269">
        <f>T148*(1+(T148-S148)/S148)</f>
        <v>2.6047591055967678</v>
      </c>
      <c r="V148" s="270">
        <f>X148*0.8</f>
        <v>0.26419778163215429</v>
      </c>
      <c r="W148" s="270">
        <f>'Production Steps'!H89*1.1</f>
        <v>0.42803368018574733</v>
      </c>
      <c r="X148" s="270">
        <f>'Production Steps'!I89*1.1</f>
        <v>0.33024722704019283</v>
      </c>
    </row>
    <row r="149" spans="1:24" s="252" customFormat="1" x14ac:dyDescent="0.2">
      <c r="A149" s="255"/>
      <c r="B149" s="268" t="s">
        <v>773</v>
      </c>
      <c r="C149" s="268" t="s">
        <v>774</v>
      </c>
      <c r="D149" s="268" t="str">
        <f t="shared" si="27"/>
        <v>CEILMS1</v>
      </c>
      <c r="E149" s="255">
        <v>2010</v>
      </c>
      <c r="F149" s="271"/>
      <c r="G149" s="255">
        <v>1.05</v>
      </c>
      <c r="H149" s="255">
        <v>1.05</v>
      </c>
      <c r="I149" s="255">
        <v>1.05</v>
      </c>
      <c r="J149" s="255">
        <v>1.05</v>
      </c>
      <c r="K149" s="255">
        <v>1.05</v>
      </c>
      <c r="L149" s="269">
        <f>L148*'Production Steps'!$O$13</f>
        <v>1.6966719508077983</v>
      </c>
      <c r="M149" s="269">
        <f>M148*'Production Steps'!$O$13</f>
        <v>1.8054596073122613</v>
      </c>
      <c r="N149" s="269">
        <f>N148*'Production Steps'!$O$13</f>
        <v>2.0771528366168934</v>
      </c>
      <c r="O149" s="269">
        <f>O148*'Production Steps'!$O$13</f>
        <v>2.1213238046597529</v>
      </c>
      <c r="P149" s="269">
        <f>P148*'Production Steps'!$O$13</f>
        <v>2.279184353550491</v>
      </c>
      <c r="Q149" s="269">
        <f>Q148*'Production Steps'!$O$13</f>
        <v>2.3290007506902133</v>
      </c>
      <c r="R149" s="269">
        <f>R148*'Production Steps'!$O$13</f>
        <v>2.3968692615474048</v>
      </c>
      <c r="S149" s="269">
        <f>S148*'Production Steps'!$O$13</f>
        <v>2.4667155024523897</v>
      </c>
      <c r="T149" s="269">
        <f>T148*'Production Steps'!$O$13</f>
        <v>2.538597105672217</v>
      </c>
      <c r="U149" s="269">
        <f>U148*'Production Steps'!$O$13</f>
        <v>2.612573382913558</v>
      </c>
      <c r="V149" s="270">
        <f>X149*0.8</f>
        <v>0.26419778163215429</v>
      </c>
      <c r="W149" s="270">
        <f>'Production Steps'!H90*1.1</f>
        <v>0.42803368018574733</v>
      </c>
      <c r="X149" s="270">
        <f>'Production Steps'!I90*1.1</f>
        <v>0.33024722704019283</v>
      </c>
    </row>
    <row r="150" spans="1:24" s="252" customFormat="1" x14ac:dyDescent="0.2">
      <c r="A150" s="255"/>
      <c r="B150" s="268" t="s">
        <v>775</v>
      </c>
      <c r="C150" s="268" t="s">
        <v>776</v>
      </c>
      <c r="D150" s="268" t="str">
        <f t="shared" si="27"/>
        <v>CEILMS1</v>
      </c>
      <c r="E150" s="255">
        <v>2010</v>
      </c>
      <c r="F150" s="271">
        <f>X150*0.1</f>
        <v>0.29722250433617281</v>
      </c>
      <c r="G150" s="255">
        <v>1.05</v>
      </c>
      <c r="H150" s="255">
        <v>1.05</v>
      </c>
      <c r="I150" s="255">
        <v>1.05</v>
      </c>
      <c r="J150" s="255">
        <v>1.05</v>
      </c>
      <c r="K150" s="255">
        <v>1.05</v>
      </c>
      <c r="L150" s="269">
        <f>L148*'Production Steps'!$O$14</f>
        <v>1.8945888184493864</v>
      </c>
      <c r="M150" s="269">
        <f>M148*'Production Steps'!$O$14</f>
        <v>2.0160665605082082</v>
      </c>
      <c r="N150" s="269">
        <f>N148*'Production Steps'!$O$14</f>
        <v>2.3194528185552556</v>
      </c>
      <c r="O150" s="269">
        <f>O148*'Production Steps'!$O$14</f>
        <v>2.3687763322222568</v>
      </c>
      <c r="P150" s="269">
        <f>P148*'Production Steps'!$O$14</f>
        <v>2.5450513220105191</v>
      </c>
      <c r="Q150" s="269">
        <f>Q148*'Production Steps'!$O$14</f>
        <v>2.6006788043599598</v>
      </c>
      <c r="R150" s="269">
        <f>R148*'Production Steps'!$O$14</f>
        <v>2.6764641803919185</v>
      </c>
      <c r="S150" s="269">
        <f>S148*'Production Steps'!$O$14</f>
        <v>2.7544579887803362</v>
      </c>
      <c r="T150" s="269">
        <f>T148*'Production Steps'!$O$14</f>
        <v>2.8347245845990861</v>
      </c>
      <c r="U150" s="269">
        <f>U148*'Production Steps'!$O$14</f>
        <v>2.9173301982683801</v>
      </c>
      <c r="V150" s="270"/>
      <c r="W150" s="270">
        <f>'Production Steps'!H91*1.1</f>
        <v>3.8523031216717025</v>
      </c>
      <c r="X150" s="270">
        <f>'Production Steps'!I91*1.1</f>
        <v>2.9722250433617279</v>
      </c>
    </row>
    <row r="151" spans="1:24" s="252" customFormat="1" x14ac:dyDescent="0.2">
      <c r="A151" s="255"/>
      <c r="B151" s="268" t="s">
        <v>777</v>
      </c>
      <c r="C151" s="268" t="s">
        <v>778</v>
      </c>
      <c r="D151" s="268" t="str">
        <f t="shared" si="27"/>
        <v>CEILMS1</v>
      </c>
      <c r="E151" s="255">
        <v>2010</v>
      </c>
      <c r="F151" s="271">
        <f>X151*0.1</f>
        <v>0.3302472270401921</v>
      </c>
      <c r="G151" s="255">
        <v>1.05</v>
      </c>
      <c r="H151" s="255">
        <v>1.05</v>
      </c>
      <c r="I151" s="255">
        <v>1.05</v>
      </c>
      <c r="J151" s="255">
        <v>1.05</v>
      </c>
      <c r="K151" s="255">
        <v>1.05</v>
      </c>
      <c r="L151" s="269">
        <f>L148*'Production Steps'!$O$15</f>
        <v>2.5881436537746079</v>
      </c>
      <c r="M151" s="269">
        <f>M148*'Production Steps'!$O$15</f>
        <v>2.7540909264085345</v>
      </c>
      <c r="N151" s="269">
        <f>N148*'Production Steps'!$O$15</f>
        <v>3.1685382253478043</v>
      </c>
      <c r="O151" s="269">
        <f>O148*'Production Steps'!$O$15</f>
        <v>3.235917668125047</v>
      </c>
      <c r="P151" s="269">
        <f>P148*'Production Steps'!$O$15</f>
        <v>3.4767218952465124</v>
      </c>
      <c r="Q151" s="269">
        <f>Q148*'Production Steps'!$O$15</f>
        <v>3.5527130095274444</v>
      </c>
      <c r="R151" s="269">
        <f>R148*'Production Steps'!$O$15</f>
        <v>3.6562412464282454</v>
      </c>
      <c r="S151" s="269">
        <f>S148*'Production Steps'!$O$15</f>
        <v>3.7627863596731372</v>
      </c>
      <c r="T151" s="269">
        <f>T148*'Production Steps'!$O$15</f>
        <v>3.8724362628898228</v>
      </c>
      <c r="U151" s="269">
        <f>U148*'Production Steps'!$O$15</f>
        <v>3.9852814315630547</v>
      </c>
      <c r="V151" s="270"/>
      <c r="W151" s="270">
        <f>'Production Steps'!H92*1.1</f>
        <v>4.2803368018574419</v>
      </c>
      <c r="X151" s="270">
        <f>'Production Steps'!I92*1.1</f>
        <v>3.3024722704019207</v>
      </c>
    </row>
    <row r="152" spans="1:24" s="252" customFormat="1" x14ac:dyDescent="0.2">
      <c r="A152" s="266" t="s">
        <v>505</v>
      </c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</row>
    <row r="153" spans="1:24" s="252" customFormat="1" x14ac:dyDescent="0.2">
      <c r="A153" s="267" t="s">
        <v>504</v>
      </c>
      <c r="B153" s="268" t="s">
        <v>779</v>
      </c>
      <c r="C153" s="268" t="s">
        <v>780</v>
      </c>
      <c r="D153" s="268" t="str">
        <f>CONCATENATE(MID(B153,4,6),"1")</f>
        <v>CWIBHS1</v>
      </c>
      <c r="E153" s="255">
        <v>2010</v>
      </c>
      <c r="F153" s="255"/>
      <c r="G153" s="255">
        <v>1.05</v>
      </c>
      <c r="H153" s="255">
        <v>1.05</v>
      </c>
      <c r="I153" s="255">
        <v>1.05</v>
      </c>
      <c r="J153" s="255">
        <v>1.05</v>
      </c>
      <c r="K153" s="255">
        <v>1.05</v>
      </c>
      <c r="L153" s="269">
        <f>L155*'Production Steps'!$O$10</f>
        <v>2.0264318017936609</v>
      </c>
      <c r="M153" s="269">
        <f>M155*'Production Steps'!$O$10</f>
        <v>1.6516376049053783</v>
      </c>
      <c r="N153" s="269">
        <f>N155*'Production Steps'!$O$10</f>
        <v>1.9148234555689185</v>
      </c>
      <c r="O153" s="269">
        <f>O155*'Production Steps'!$O$10</f>
        <v>1.972455603148316</v>
      </c>
      <c r="P153" s="269">
        <f>P155*'Production Steps'!$O$10</f>
        <v>2.0162757518052881</v>
      </c>
      <c r="Q153" s="269">
        <f>Q155*'Production Steps'!$O$10</f>
        <v>2.101399741279689</v>
      </c>
      <c r="R153" s="269">
        <f>R155*'Production Steps'!$O$10</f>
        <v>2.2073596379817033</v>
      </c>
      <c r="S153" s="269">
        <f>S155*'Production Steps'!$O$10</f>
        <v>2.3186624018634121</v>
      </c>
      <c r="T153" s="269">
        <f>T155*'Production Steps'!$O$10</f>
        <v>2.4355774389037594</v>
      </c>
      <c r="U153" s="269">
        <f>U155*'Production Steps'!$O$10</f>
        <v>2.5583877394698193</v>
      </c>
      <c r="V153" s="270">
        <f>X153*0.8</f>
        <v>17.559297008000001</v>
      </c>
      <c r="W153" s="270">
        <f>'Production Steps'!H94*1.1</f>
        <v>32.430444621167211</v>
      </c>
      <c r="X153" s="270">
        <f>'Production Steps'!I94*1.1</f>
        <v>21.949121260000002</v>
      </c>
    </row>
    <row r="154" spans="1:24" s="252" customFormat="1" x14ac:dyDescent="0.2">
      <c r="A154" s="255"/>
      <c r="B154" s="268" t="s">
        <v>781</v>
      </c>
      <c r="C154" s="268" t="s">
        <v>782</v>
      </c>
      <c r="D154" s="268" t="str">
        <f t="shared" ref="D154:D158" si="28">CONCATENATE(MID(B154,4,6),"1")</f>
        <v>CWIBHS1</v>
      </c>
      <c r="E154" s="255">
        <v>2010</v>
      </c>
      <c r="F154" s="255"/>
      <c r="G154" s="255">
        <v>1.05</v>
      </c>
      <c r="H154" s="255">
        <v>1.05</v>
      </c>
      <c r="I154" s="255">
        <v>1.05</v>
      </c>
      <c r="J154" s="255">
        <v>1.05</v>
      </c>
      <c r="K154" s="255">
        <v>1.05</v>
      </c>
      <c r="L154" s="269">
        <f>L155*'Production Steps'!$O$11</f>
        <v>2.2981578843069017</v>
      </c>
      <c r="M154" s="269">
        <f>M155*'Production Steps'!$O$11</f>
        <v>1.8731071928358722</v>
      </c>
      <c r="N154" s="269">
        <f>N155*'Production Steps'!$O$11</f>
        <v>2.1715838734747508</v>
      </c>
      <c r="O154" s="269">
        <f>O155*'Production Steps'!$O$11</f>
        <v>2.2369439681159311</v>
      </c>
      <c r="P154" s="269">
        <f>P155*'Production Steps'!$O$11</f>
        <v>2.2866400003428149</v>
      </c>
      <c r="Q154" s="269">
        <f>Q155*'Production Steps'!$O$11</f>
        <v>2.3831783429512834</v>
      </c>
      <c r="R154" s="269">
        <f>R155*'Production Steps'!$O$11</f>
        <v>2.50334649852925</v>
      </c>
      <c r="S154" s="269">
        <f>S155*'Production Steps'!$O$11</f>
        <v>2.629573951204188</v>
      </c>
      <c r="T154" s="269">
        <f>T155*'Production Steps'!$O$11</f>
        <v>2.7621662318476727</v>
      </c>
      <c r="U154" s="269">
        <f>U155*'Production Steps'!$O$11</f>
        <v>2.9014442772623634</v>
      </c>
      <c r="V154" s="270">
        <f>X154*0.8</f>
        <v>17.208111067840004</v>
      </c>
      <c r="W154" s="270">
        <f>'Production Steps'!H95*1.1</f>
        <v>31.781835728743872</v>
      </c>
      <c r="X154" s="270">
        <f>'Production Steps'!I95*1.1</f>
        <v>21.510138834800003</v>
      </c>
    </row>
    <row r="155" spans="1:24" s="252" customFormat="1" x14ac:dyDescent="0.2">
      <c r="A155" s="255"/>
      <c r="B155" s="268" t="s">
        <v>783</v>
      </c>
      <c r="C155" s="268" t="s">
        <v>784</v>
      </c>
      <c r="D155" s="268" t="str">
        <f t="shared" si="28"/>
        <v>CWIBHS1</v>
      </c>
      <c r="E155" s="255">
        <v>2010</v>
      </c>
      <c r="F155" s="255"/>
      <c r="G155" s="255">
        <v>1.05</v>
      </c>
      <c r="H155" s="255">
        <v>1.05</v>
      </c>
      <c r="I155" s="255">
        <v>1.05</v>
      </c>
      <c r="J155" s="255">
        <v>1.05</v>
      </c>
      <c r="K155" s="255">
        <v>1.05</v>
      </c>
      <c r="L155" s="269">
        <f>'AEO Coal Prices'!M26*'Production Steps'!$Q$17*$N$4</f>
        <v>2.3027634111291602</v>
      </c>
      <c r="M155" s="269">
        <f>'AEO Coal Prices'!N26*'Production Steps'!$Q$17*$N$4</f>
        <v>1.8768609146652027</v>
      </c>
      <c r="N155" s="269">
        <f>'AEO Coal Prices'!O26*'Production Steps'!$Q$17*$N$4</f>
        <v>2.1759357449646801</v>
      </c>
      <c r="O155" s="269">
        <f>'AEO Coal Prices'!P26*'Production Steps'!$Q$17*$N$4</f>
        <v>2.24142682175945</v>
      </c>
      <c r="P155" s="269">
        <f>'AEO Coal Prices'!Q26*'Production Steps'!$Q$17*$N$4</f>
        <v>2.2912224452332817</v>
      </c>
      <c r="Q155" s="269">
        <f>'AEO Coal Prices'!R26*'Production Steps'!$Q$17*$N$4</f>
        <v>2.3879542514541918</v>
      </c>
      <c r="R155" s="269">
        <f>'AEO Coal Prices'!S26*'Production Steps'!$Q$17*$N$4</f>
        <v>2.5083632249792083</v>
      </c>
      <c r="S155" s="269">
        <f>R155*(1+(R155-Q155)/Q155)</f>
        <v>2.6348436384811502</v>
      </c>
      <c r="T155" s="269">
        <f>S155*(1+(S155-R155)/R155)</f>
        <v>2.7677016351179087</v>
      </c>
      <c r="U155" s="269">
        <f>T155*(1+(T155-S155)/S155)</f>
        <v>2.9072587948520674</v>
      </c>
      <c r="V155" s="270">
        <f>X155*0.8</f>
        <v>0.3511859401599981</v>
      </c>
      <c r="W155" s="270">
        <f>'Production Steps'!H96*1.1</f>
        <v>0.64860889242334219</v>
      </c>
      <c r="X155" s="270">
        <f>'Production Steps'!I96*1.1</f>
        <v>0.43898242519999758</v>
      </c>
    </row>
    <row r="156" spans="1:24" s="252" customFormat="1" x14ac:dyDescent="0.2">
      <c r="A156" s="255"/>
      <c r="B156" s="268" t="s">
        <v>785</v>
      </c>
      <c r="C156" s="268" t="s">
        <v>786</v>
      </c>
      <c r="D156" s="268" t="str">
        <f t="shared" si="28"/>
        <v>CWIBHS1</v>
      </c>
      <c r="E156" s="255">
        <v>2010</v>
      </c>
      <c r="F156" s="271"/>
      <c r="G156" s="255">
        <v>1.05</v>
      </c>
      <c r="H156" s="255">
        <v>1.05</v>
      </c>
      <c r="I156" s="255">
        <v>1.05</v>
      </c>
      <c r="J156" s="255">
        <v>1.05</v>
      </c>
      <c r="K156" s="255">
        <v>1.05</v>
      </c>
      <c r="L156" s="269">
        <f>L155*'Production Steps'!$O$13</f>
        <v>2.3096717013625474</v>
      </c>
      <c r="M156" s="269">
        <f>M155*'Production Steps'!$O$13</f>
        <v>1.882491497409198</v>
      </c>
      <c r="N156" s="269">
        <f>N155*'Production Steps'!$O$13</f>
        <v>2.1824635521995739</v>
      </c>
      <c r="O156" s="269">
        <f>O155*'Production Steps'!$O$13</f>
        <v>2.2481511022247282</v>
      </c>
      <c r="P156" s="269">
        <f>P155*'Production Steps'!$O$13</f>
        <v>2.2980961125689814</v>
      </c>
      <c r="Q156" s="269">
        <f>Q155*'Production Steps'!$O$13</f>
        <v>2.3951181142085542</v>
      </c>
      <c r="R156" s="269">
        <f>R155*'Production Steps'!$O$13</f>
        <v>2.5158883146541458</v>
      </c>
      <c r="S156" s="269">
        <f>S155*'Production Steps'!$O$13</f>
        <v>2.6427481693965933</v>
      </c>
      <c r="T156" s="269">
        <f>T155*'Production Steps'!$O$13</f>
        <v>2.7760047400232621</v>
      </c>
      <c r="U156" s="269">
        <f>U155*'Production Steps'!$O$13</f>
        <v>2.9159805712366231</v>
      </c>
      <c r="V156" s="270">
        <f>X156*0.8</f>
        <v>0.3511859401599981</v>
      </c>
      <c r="W156" s="270">
        <f>'Production Steps'!H97*1.1</f>
        <v>0.64860889242334219</v>
      </c>
      <c r="X156" s="270">
        <f>'Production Steps'!I97*1.1</f>
        <v>0.43898242519999758</v>
      </c>
    </row>
    <row r="157" spans="1:24" s="252" customFormat="1" x14ac:dyDescent="0.2">
      <c r="A157" s="255"/>
      <c r="B157" s="268" t="s">
        <v>787</v>
      </c>
      <c r="C157" s="268" t="s">
        <v>788</v>
      </c>
      <c r="D157" s="268" t="str">
        <f t="shared" si="28"/>
        <v>CWIBHS1</v>
      </c>
      <c r="E157" s="255">
        <v>2010</v>
      </c>
      <c r="F157" s="271">
        <f>X157*0.1</f>
        <v>0.39508418268000095</v>
      </c>
      <c r="G157" s="255">
        <v>1.05</v>
      </c>
      <c r="H157" s="255">
        <v>1.05</v>
      </c>
      <c r="I157" s="255">
        <v>1.05</v>
      </c>
      <c r="J157" s="255">
        <v>1.05</v>
      </c>
      <c r="K157" s="255">
        <v>1.05</v>
      </c>
      <c r="L157" s="269">
        <f>L155*'Production Steps'!$O$14</f>
        <v>2.5790950204646594</v>
      </c>
      <c r="M157" s="269">
        <f>M155*'Production Steps'!$O$14</f>
        <v>2.1020842244250271</v>
      </c>
      <c r="N157" s="269">
        <f>N155*'Production Steps'!$O$14</f>
        <v>2.4370480343604419</v>
      </c>
      <c r="O157" s="269">
        <f>O155*'Production Steps'!$O$14</f>
        <v>2.5103980403705841</v>
      </c>
      <c r="P157" s="269">
        <f>P155*'Production Steps'!$O$14</f>
        <v>2.5661691386612757</v>
      </c>
      <c r="Q157" s="269">
        <f>Q155*'Production Steps'!$O$14</f>
        <v>2.6745087616286951</v>
      </c>
      <c r="R157" s="269">
        <f>R155*'Production Steps'!$O$14</f>
        <v>2.8093668119767137</v>
      </c>
      <c r="S157" s="269">
        <f>S155*'Production Steps'!$O$14</f>
        <v>2.9510248750988883</v>
      </c>
      <c r="T157" s="269">
        <f>T155*'Production Steps'!$O$14</f>
        <v>3.0998258313320579</v>
      </c>
      <c r="U157" s="269">
        <f>U155*'Production Steps'!$O$14</f>
        <v>3.2561298502343159</v>
      </c>
      <c r="V157" s="270"/>
      <c r="W157" s="270">
        <f>'Production Steps'!H98*1.1</f>
        <v>5.8374800318101032</v>
      </c>
      <c r="X157" s="270">
        <f>'Production Steps'!I98*1.1</f>
        <v>3.9508418268000094</v>
      </c>
    </row>
    <row r="158" spans="1:24" s="252" customFormat="1" x14ac:dyDescent="0.2">
      <c r="A158" s="255"/>
      <c r="B158" s="268" t="s">
        <v>789</v>
      </c>
      <c r="C158" s="268" t="s">
        <v>790</v>
      </c>
      <c r="D158" s="268" t="str">
        <f t="shared" si="28"/>
        <v>CWIBHS1</v>
      </c>
      <c r="E158" s="255">
        <v>2010</v>
      </c>
      <c r="F158" s="271">
        <f>X158*0.1</f>
        <v>0.43898242519999919</v>
      </c>
      <c r="G158" s="255">
        <v>1.05</v>
      </c>
      <c r="H158" s="255">
        <v>1.05</v>
      </c>
      <c r="I158" s="255">
        <v>1.05</v>
      </c>
      <c r="J158" s="255">
        <v>1.05</v>
      </c>
      <c r="K158" s="255">
        <v>1.05</v>
      </c>
      <c r="L158" s="269">
        <f>L155*'Production Steps'!$O$15</f>
        <v>3.5232280190276151</v>
      </c>
      <c r="M158" s="269">
        <f>M155*'Production Steps'!$O$15</f>
        <v>2.87159719943776</v>
      </c>
      <c r="N158" s="269">
        <f>N155*'Production Steps'!$O$15</f>
        <v>3.3291816897959605</v>
      </c>
      <c r="O158" s="269">
        <f>O155*'Production Steps'!$O$15</f>
        <v>3.4293830372919585</v>
      </c>
      <c r="P158" s="269">
        <f>P155*'Production Steps'!$O$15</f>
        <v>3.505570341206921</v>
      </c>
      <c r="Q158" s="269">
        <f>Q155*'Production Steps'!$O$15</f>
        <v>3.6535700047249136</v>
      </c>
      <c r="R158" s="269">
        <f>R155*'Production Steps'!$O$15</f>
        <v>3.8377957342181888</v>
      </c>
      <c r="S158" s="269">
        <f>S155*'Production Steps'!$O$15</f>
        <v>4.0313107668761603</v>
      </c>
      <c r="T158" s="269">
        <f>T155*'Production Steps'!$O$15</f>
        <v>4.2345835017304001</v>
      </c>
      <c r="U158" s="269">
        <f>U155*'Production Steps'!$O$15</f>
        <v>4.4481059561236629</v>
      </c>
      <c r="V158" s="270"/>
      <c r="W158" s="270">
        <f>'Production Steps'!H99*1.1</f>
        <v>6.486088924233437</v>
      </c>
      <c r="X158" s="270">
        <f>'Production Steps'!I99*1.1</f>
        <v>4.3898242519999915</v>
      </c>
    </row>
    <row r="159" spans="1:24" s="252" customFormat="1" x14ac:dyDescent="0.2">
      <c r="A159" s="266" t="s">
        <v>505</v>
      </c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</row>
    <row r="160" spans="1:24" s="252" customFormat="1" x14ac:dyDescent="0.2">
      <c r="A160" s="267" t="s">
        <v>504</v>
      </c>
      <c r="B160" s="268" t="s">
        <v>791</v>
      </c>
      <c r="C160" s="268" t="s">
        <v>792</v>
      </c>
      <c r="D160" s="268" t="str">
        <f>CONCATENATE(MID(B160,4,6),"1")</f>
        <v>CGLLMS1</v>
      </c>
      <c r="E160" s="255">
        <v>2010</v>
      </c>
      <c r="F160" s="255"/>
      <c r="G160" s="255">
        <v>1.05</v>
      </c>
      <c r="H160" s="255">
        <v>1.05</v>
      </c>
      <c r="I160" s="255">
        <v>1.05</v>
      </c>
      <c r="J160" s="255">
        <v>1.05</v>
      </c>
      <c r="K160" s="255">
        <v>1.05</v>
      </c>
      <c r="L160" s="269">
        <f>L162*'Production Steps'!$O$10</f>
        <v>1.105558496713579</v>
      </c>
      <c r="M160" s="269">
        <f>M162*'Production Steps'!$O$10</f>
        <v>1.1329842970183448</v>
      </c>
      <c r="N160" s="269">
        <f>N162*'Production Steps'!$O$10</f>
        <v>1.2484062312550608</v>
      </c>
      <c r="O160" s="269">
        <f>O162*'Production Steps'!$O$10</f>
        <v>1.4013270323263087</v>
      </c>
      <c r="P160" s="269">
        <f>P162*'Production Steps'!$O$10</f>
        <v>1.5290090435170454</v>
      </c>
      <c r="Q160" s="269">
        <f>Q162*'Production Steps'!$O$10</f>
        <v>1.5964825172027133</v>
      </c>
      <c r="R160" s="269">
        <f>R162*'Production Steps'!$O$10</f>
        <v>1.6539605497384162</v>
      </c>
      <c r="S160" s="269">
        <f>S162*'Production Steps'!$O$10</f>
        <v>1.7135079592880083</v>
      </c>
      <c r="T160" s="269">
        <f>T162*'Production Steps'!$O$10</f>
        <v>1.7751992494668134</v>
      </c>
      <c r="U160" s="269">
        <f>U162*'Production Steps'!$O$10</f>
        <v>1.8391116062378663</v>
      </c>
      <c r="V160" s="270">
        <f>X160*0.8</f>
        <v>243.29268648164381</v>
      </c>
      <c r="W160" s="270">
        <f>'Production Steps'!H102*1.1</f>
        <v>182.14271314216015</v>
      </c>
      <c r="X160" s="270">
        <f>'Production Steps'!I102*1.1</f>
        <v>304.11585810205474</v>
      </c>
    </row>
    <row r="161" spans="1:24" s="252" customFormat="1" x14ac:dyDescent="0.2">
      <c r="A161" s="255"/>
      <c r="B161" s="268" t="s">
        <v>793</v>
      </c>
      <c r="C161" s="268" t="s">
        <v>794</v>
      </c>
      <c r="D161" s="268" t="str">
        <f t="shared" ref="D161:D165" si="29">CONCATENATE(MID(B161,4,6),"1")</f>
        <v>CGLLMS1</v>
      </c>
      <c r="E161" s="255">
        <v>2010</v>
      </c>
      <c r="F161" s="255"/>
      <c r="G161" s="255">
        <v>1.05</v>
      </c>
      <c r="H161" s="255">
        <v>1.05</v>
      </c>
      <c r="I161" s="255">
        <v>1.05</v>
      </c>
      <c r="J161" s="255">
        <v>1.05</v>
      </c>
      <c r="K161" s="255">
        <v>1.05</v>
      </c>
      <c r="L161" s="269">
        <f>L162*'Production Steps'!$O$11</f>
        <v>1.2538038405910816</v>
      </c>
      <c r="M161" s="269">
        <f>M162*'Production Steps'!$O$11</f>
        <v>1.2849071913912593</v>
      </c>
      <c r="N161" s="269">
        <f>N162*'Production Steps'!$O$11</f>
        <v>1.4158061577188075</v>
      </c>
      <c r="O161" s="269">
        <f>O162*'Production Steps'!$O$11</f>
        <v>1.5892322480246093</v>
      </c>
      <c r="P161" s="269">
        <f>P162*'Production Steps'!$O$11</f>
        <v>1.7340352561704675</v>
      </c>
      <c r="Q161" s="269">
        <f>Q162*'Production Steps'!$O$11</f>
        <v>1.8105563092821679</v>
      </c>
      <c r="R161" s="269">
        <f>R162*'Production Steps'!$O$11</f>
        <v>1.8757416234533402</v>
      </c>
      <c r="S161" s="269">
        <f>S162*'Production Steps'!$O$11</f>
        <v>1.9432737992834459</v>
      </c>
      <c r="T161" s="269">
        <f>T162*'Production Steps'!$O$11</f>
        <v>2.013237330645318</v>
      </c>
      <c r="U161" s="269">
        <f>U162*'Production Steps'!$O$11</f>
        <v>2.0857197534379437</v>
      </c>
      <c r="V161" s="270">
        <f>X161*0.8</f>
        <v>238.42683275201091</v>
      </c>
      <c r="W161" s="270">
        <f>'Production Steps'!H103*1.1</f>
        <v>178.49985887931695</v>
      </c>
      <c r="X161" s="270">
        <f>'Production Steps'!I103*1.1</f>
        <v>298.03354094001361</v>
      </c>
    </row>
    <row r="162" spans="1:24" s="252" customFormat="1" x14ac:dyDescent="0.2">
      <c r="A162" s="255"/>
      <c r="B162" s="268" t="s">
        <v>795</v>
      </c>
      <c r="C162" s="268" t="s">
        <v>796</v>
      </c>
      <c r="D162" s="268" t="str">
        <f t="shared" si="29"/>
        <v>CGLLMS1</v>
      </c>
      <c r="E162" s="255">
        <v>2010</v>
      </c>
      <c r="F162" s="255"/>
      <c r="G162" s="255">
        <v>1.05</v>
      </c>
      <c r="H162" s="255">
        <v>1.05</v>
      </c>
      <c r="I162" s="255">
        <v>1.05</v>
      </c>
      <c r="J162" s="255">
        <v>1.05</v>
      </c>
      <c r="K162" s="255">
        <v>1.05</v>
      </c>
      <c r="L162" s="269">
        <f>'AEO Coal Prices'!M29*'Production Steps'!$Q$17*$N$4</f>
        <v>1.256316473538158</v>
      </c>
      <c r="M162" s="269">
        <f>'AEO Coal Prices'!N29*'Production Steps'!$Q$17*$N$4</f>
        <v>1.2874821557026646</v>
      </c>
      <c r="N162" s="269">
        <f>'AEO Coal Prices'!O29*'Production Steps'!$Q$17*$N$4</f>
        <v>1.4186434446080236</v>
      </c>
      <c r="O162" s="269">
        <f>'AEO Coal Prices'!P29*'Production Steps'!$Q$17*$N$4</f>
        <v>1.5924170821889871</v>
      </c>
      <c r="P162" s="269">
        <f>'AEO Coal Prices'!Q29*'Production Steps'!$Q$17*$N$4</f>
        <v>1.7375102767239152</v>
      </c>
      <c r="Q162" s="269">
        <f>'AEO Coal Prices'!R29*'Production Steps'!$Q$17*$N$4</f>
        <v>1.8141846786394469</v>
      </c>
      <c r="R162" s="269">
        <f>'AEO Coal Prices'!S29*'Production Steps'!$Q$17*$N$4</f>
        <v>1.8795006247027457</v>
      </c>
      <c r="S162" s="269">
        <f>R162*(1+(R162-Q162)/Q162)</f>
        <v>1.9471681355545549</v>
      </c>
      <c r="T162" s="269">
        <f>S162*(1+(S162-R162)/R162)</f>
        <v>2.017271874394106</v>
      </c>
      <c r="U162" s="269">
        <f>T162*(1+(T162-S162)/S162)</f>
        <v>2.0898995525430299</v>
      </c>
      <c r="V162" s="270">
        <f>X162*0.8</f>
        <v>4.8658537296329278</v>
      </c>
      <c r="W162" s="270">
        <f>'Production Steps'!H104*1.1</f>
        <v>3.6428542628431959</v>
      </c>
      <c r="X162" s="270">
        <f>'Production Steps'!I104*1.1</f>
        <v>6.0823171620411589</v>
      </c>
    </row>
    <row r="163" spans="1:24" s="252" customFormat="1" x14ac:dyDescent="0.2">
      <c r="A163" s="255"/>
      <c r="B163" s="268" t="s">
        <v>797</v>
      </c>
      <c r="C163" s="268" t="s">
        <v>798</v>
      </c>
      <c r="D163" s="268" t="str">
        <f t="shared" si="29"/>
        <v>CGLLMS1</v>
      </c>
      <c r="E163" s="255">
        <v>2010</v>
      </c>
      <c r="F163" s="271"/>
      <c r="G163" s="255">
        <v>1.05</v>
      </c>
      <c r="H163" s="255">
        <v>1.05</v>
      </c>
      <c r="I163" s="255">
        <v>1.05</v>
      </c>
      <c r="J163" s="255">
        <v>1.05</v>
      </c>
      <c r="K163" s="255">
        <v>1.05</v>
      </c>
      <c r="L163" s="269">
        <f>L162*'Production Steps'!$O$13</f>
        <v>1.2600854229587723</v>
      </c>
      <c r="M163" s="269">
        <f>M162*'Production Steps'!$O$13</f>
        <v>1.2913446021697723</v>
      </c>
      <c r="N163" s="269">
        <f>N162*'Production Steps'!$O$13</f>
        <v>1.4228993749418475</v>
      </c>
      <c r="O163" s="269">
        <f>O162*'Production Steps'!$O$13</f>
        <v>1.5971943334355538</v>
      </c>
      <c r="P163" s="269">
        <f>P162*'Production Steps'!$O$13</f>
        <v>1.7427228075540868</v>
      </c>
      <c r="Q163" s="269">
        <f>Q162*'Production Steps'!$O$13</f>
        <v>1.8196272326753651</v>
      </c>
      <c r="R163" s="269">
        <f>R162*'Production Steps'!$O$13</f>
        <v>1.8851391265768538</v>
      </c>
      <c r="S163" s="269">
        <f>S162*'Production Steps'!$O$13</f>
        <v>1.9530096399612185</v>
      </c>
      <c r="T163" s="269">
        <f>T162*'Production Steps'!$O$13</f>
        <v>2.0233236900172882</v>
      </c>
      <c r="U163" s="269">
        <f>U162*'Production Steps'!$O$13</f>
        <v>2.0961692512006587</v>
      </c>
      <c r="V163" s="270">
        <f>X163*0.8</f>
        <v>4.8658537296329278</v>
      </c>
      <c r="W163" s="270">
        <f>'Production Steps'!H105*1.1</f>
        <v>3.6428542628431959</v>
      </c>
      <c r="X163" s="270">
        <f>'Production Steps'!I105*1.1</f>
        <v>6.0823171620411589</v>
      </c>
    </row>
    <row r="164" spans="1:24" s="252" customFormat="1" x14ac:dyDescent="0.2">
      <c r="A164" s="255"/>
      <c r="B164" s="268" t="s">
        <v>799</v>
      </c>
      <c r="C164" s="268" t="s">
        <v>800</v>
      </c>
      <c r="D164" s="268" t="str">
        <f t="shared" si="29"/>
        <v>CGLLMS1</v>
      </c>
      <c r="E164" s="255">
        <v>2010</v>
      </c>
      <c r="F164" s="271">
        <f>X164*0.1</f>
        <v>5.4740854458369803</v>
      </c>
      <c r="G164" s="255">
        <v>1.05</v>
      </c>
      <c r="H164" s="255">
        <v>1.05</v>
      </c>
      <c r="I164" s="255">
        <v>1.05</v>
      </c>
      <c r="J164" s="255">
        <v>1.05</v>
      </c>
      <c r="K164" s="255">
        <v>1.05</v>
      </c>
      <c r="L164" s="269">
        <f>L162*'Production Steps'!$O$14</f>
        <v>1.407074450362737</v>
      </c>
      <c r="M164" s="269">
        <f>M162*'Production Steps'!$O$14</f>
        <v>1.4419800143869845</v>
      </c>
      <c r="N164" s="269">
        <f>N162*'Production Steps'!$O$14</f>
        <v>1.5888806579609867</v>
      </c>
      <c r="O164" s="269">
        <f>O162*'Production Steps'!$O$14</f>
        <v>1.7835071320516658</v>
      </c>
      <c r="P164" s="269">
        <f>P162*'Production Steps'!$O$14</f>
        <v>1.9460115099307853</v>
      </c>
      <c r="Q164" s="269">
        <f>Q162*'Production Steps'!$O$14</f>
        <v>2.0318868400761807</v>
      </c>
      <c r="R164" s="269">
        <f>R162*'Production Steps'!$O$14</f>
        <v>2.1050406996670752</v>
      </c>
      <c r="S164" s="269">
        <f>S162*'Production Steps'!$O$14</f>
        <v>2.1808283118211018</v>
      </c>
      <c r="T164" s="269">
        <f>T162*'Production Steps'!$O$14</f>
        <v>2.2593444993213989</v>
      </c>
      <c r="U164" s="269">
        <f>U162*'Production Steps'!$O$14</f>
        <v>2.3406874988481938</v>
      </c>
      <c r="V164" s="270"/>
      <c r="W164" s="270">
        <f>'Production Steps'!H106*1.1</f>
        <v>32.785688365588889</v>
      </c>
      <c r="X164" s="270">
        <f>'Production Steps'!I106*1.1</f>
        <v>54.740854458369803</v>
      </c>
    </row>
    <row r="165" spans="1:24" s="252" customFormat="1" x14ac:dyDescent="0.2">
      <c r="A165" s="255"/>
      <c r="B165" s="268" t="s">
        <v>801</v>
      </c>
      <c r="C165" s="268" t="s">
        <v>802</v>
      </c>
      <c r="D165" s="268" t="str">
        <f t="shared" si="29"/>
        <v>CGLLMS1</v>
      </c>
      <c r="E165" s="255">
        <v>2010</v>
      </c>
      <c r="F165" s="271">
        <f>X165*0.1</f>
        <v>6.0823171620410967</v>
      </c>
      <c r="G165" s="255">
        <v>1.05</v>
      </c>
      <c r="H165" s="255">
        <v>1.05</v>
      </c>
      <c r="I165" s="255">
        <v>1.05</v>
      </c>
      <c r="J165" s="255">
        <v>1.05</v>
      </c>
      <c r="K165" s="255">
        <v>1.05</v>
      </c>
      <c r="L165" s="269">
        <f>L162*'Production Steps'!$O$15</f>
        <v>1.9221642045133818</v>
      </c>
      <c r="M165" s="269">
        <f>M162*'Production Steps'!$O$15</f>
        <v>1.9698476982250768</v>
      </c>
      <c r="N165" s="269">
        <f>N162*'Production Steps'!$O$15</f>
        <v>2.170524470250276</v>
      </c>
      <c r="O165" s="269">
        <f>O162*'Production Steps'!$O$15</f>
        <v>2.4363981357491502</v>
      </c>
      <c r="P165" s="269">
        <f>P162*'Production Steps'!$O$15</f>
        <v>2.6583907233875905</v>
      </c>
      <c r="Q165" s="269">
        <f>Q162*'Production Steps'!$O$15</f>
        <v>2.7757025583183537</v>
      </c>
      <c r="R165" s="269">
        <f>R162*'Production Steps'!$O$15</f>
        <v>2.8756359557952011</v>
      </c>
      <c r="S165" s="269">
        <f>S162*'Production Steps'!$O$15</f>
        <v>2.9791672473984692</v>
      </c>
      <c r="T165" s="269">
        <f>T162*'Production Steps'!$O$15</f>
        <v>3.0864259678229824</v>
      </c>
      <c r="U165" s="269">
        <f>U162*'Production Steps'!$O$15</f>
        <v>3.1975463153908357</v>
      </c>
      <c r="V165" s="270"/>
      <c r="W165" s="270">
        <f>'Production Steps'!H107*1.1</f>
        <v>36.428542628431956</v>
      </c>
      <c r="X165" s="270">
        <f>'Production Steps'!I107*1.1</f>
        <v>60.823171620410967</v>
      </c>
    </row>
    <row r="166" spans="1:24" s="252" customFormat="1" x14ac:dyDescent="0.2">
      <c r="A166" s="266" t="s">
        <v>505</v>
      </c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</row>
    <row r="167" spans="1:24" s="252" customFormat="1" x14ac:dyDescent="0.2">
      <c r="A167" s="267" t="s">
        <v>504</v>
      </c>
      <c r="B167" s="268" t="s">
        <v>803</v>
      </c>
      <c r="C167" s="268" t="s">
        <v>804</v>
      </c>
      <c r="D167" s="268" t="str">
        <f>CONCATENATE(MID(B167,4,6),"1")</f>
        <v>CGLLHS1</v>
      </c>
      <c r="E167" s="255">
        <v>2010</v>
      </c>
      <c r="F167" s="255"/>
      <c r="G167" s="255">
        <v>1.05</v>
      </c>
      <c r="H167" s="255">
        <v>1.05</v>
      </c>
      <c r="I167" s="255">
        <v>1.05</v>
      </c>
      <c r="J167" s="255">
        <v>1.05</v>
      </c>
      <c r="K167" s="255">
        <v>1.05</v>
      </c>
      <c r="L167" s="269">
        <f>L169*'Production Steps'!$O$10</f>
        <v>1.0690883721433422</v>
      </c>
      <c r="M167" s="269">
        <f>M169*'Production Steps'!$O$10</f>
        <v>1.3136736170768655</v>
      </c>
      <c r="N167" s="269">
        <f>N169*'Production Steps'!$O$10</f>
        <v>1.4478762336037667</v>
      </c>
      <c r="O167" s="269">
        <f>O169*'Production Steps'!$O$10</f>
        <v>1.5185850151714022</v>
      </c>
      <c r="P167" s="269">
        <f>P169*'Production Steps'!$O$10</f>
        <v>1.5779472748896073</v>
      </c>
      <c r="Q167" s="269">
        <f>Q169*'Production Steps'!$O$10</f>
        <v>1.6258768540562742</v>
      </c>
      <c r="R167" s="269">
        <f>R169*'Production Steps'!$O$10</f>
        <v>1.6797567535034545</v>
      </c>
      <c r="S167" s="269">
        <f>S169*'Production Steps'!$O$10</f>
        <v>1.7354221778243026</v>
      </c>
      <c r="T167" s="269">
        <f>T169*'Production Steps'!$O$10</f>
        <v>1.7929322974906865</v>
      </c>
      <c r="U167" s="269">
        <f>U169*'Production Steps'!$O$10</f>
        <v>1.8523482438235181</v>
      </c>
      <c r="V167" s="270">
        <f>X167*0.8</f>
        <v>60.29093418741185</v>
      </c>
      <c r="W167" s="270">
        <f>'Production Steps'!H109*1.1</f>
        <v>186.32364346714195</v>
      </c>
      <c r="X167" s="270">
        <f>'Production Steps'!I109*1.1</f>
        <v>75.363667734264808</v>
      </c>
    </row>
    <row r="168" spans="1:24" s="252" customFormat="1" x14ac:dyDescent="0.2">
      <c r="A168" s="255"/>
      <c r="B168" s="268" t="s">
        <v>805</v>
      </c>
      <c r="C168" s="268" t="s">
        <v>806</v>
      </c>
      <c r="D168" s="268" t="str">
        <f t="shared" ref="D168:D172" si="30">CONCATENATE(MID(B168,4,6),"1")</f>
        <v>CGLLHS1</v>
      </c>
      <c r="E168" s="255">
        <v>2010</v>
      </c>
      <c r="F168" s="255"/>
      <c r="G168" s="255">
        <v>1.05</v>
      </c>
      <c r="H168" s="255">
        <v>1.05</v>
      </c>
      <c r="I168" s="255">
        <v>1.05</v>
      </c>
      <c r="J168" s="255">
        <v>1.05</v>
      </c>
      <c r="K168" s="255">
        <v>1.05</v>
      </c>
      <c r="L168" s="269">
        <f>L169*'Production Steps'!$O$11</f>
        <v>1.2124434038625631</v>
      </c>
      <c r="M168" s="269">
        <f>M169*'Production Steps'!$O$11</f>
        <v>1.4898253066394453</v>
      </c>
      <c r="N168" s="269">
        <f>N169*'Production Steps'!$O$11</f>
        <v>1.6420232740188172</v>
      </c>
      <c r="O168" s="269">
        <f>O169*'Production Steps'!$O$11</f>
        <v>1.7222134603875674</v>
      </c>
      <c r="P168" s="269">
        <f>P169*'Production Steps'!$O$11</f>
        <v>1.7895356594770773</v>
      </c>
      <c r="Q168" s="269">
        <f>Q169*'Production Steps'!$O$11</f>
        <v>1.8438921594865472</v>
      </c>
      <c r="R168" s="269">
        <f>R169*'Production Steps'!$O$11</f>
        <v>1.9049968636323267</v>
      </c>
      <c r="S168" s="269">
        <f>S169*'Production Steps'!$O$11</f>
        <v>1.9681265153052887</v>
      </c>
      <c r="T168" s="269">
        <f>T169*'Production Steps'!$O$11</f>
        <v>2.0333482191996648</v>
      </c>
      <c r="U168" s="269">
        <f>U169*'Production Steps'!$O$11</f>
        <v>2.1007313037907624</v>
      </c>
      <c r="V168" s="270">
        <f>X168*0.8</f>
        <v>59.085115503663602</v>
      </c>
      <c r="W168" s="270">
        <f>'Production Steps'!H110*1.1</f>
        <v>182.59717059779911</v>
      </c>
      <c r="X168" s="270">
        <f>'Production Steps'!I110*1.1</f>
        <v>73.856394379579498</v>
      </c>
    </row>
    <row r="169" spans="1:24" s="252" customFormat="1" x14ac:dyDescent="0.2">
      <c r="A169" s="255"/>
      <c r="B169" s="268" t="s">
        <v>807</v>
      </c>
      <c r="C169" s="268" t="s">
        <v>808</v>
      </c>
      <c r="D169" s="268" t="str">
        <f t="shared" si="30"/>
        <v>CGLLHS1</v>
      </c>
      <c r="E169" s="255">
        <v>2010</v>
      </c>
      <c r="F169" s="255"/>
      <c r="G169" s="255">
        <v>1.05</v>
      </c>
      <c r="H169" s="255">
        <v>1.05</v>
      </c>
      <c r="I169" s="255">
        <v>1.05</v>
      </c>
      <c r="J169" s="255">
        <v>1.05</v>
      </c>
      <c r="K169" s="255">
        <v>1.05</v>
      </c>
      <c r="L169" s="269">
        <f>'AEO Coal Prices'!M30*'Production Steps'!$Q$17*$N$4</f>
        <v>1.2148731501628889</v>
      </c>
      <c r="M169" s="269">
        <f>'AEO Coal Prices'!N30*'Production Steps'!$Q$17*$N$4</f>
        <v>1.4928109284964381</v>
      </c>
      <c r="N169" s="269">
        <f>'AEO Coal Prices'!O30*'Production Steps'!$Q$17*$N$4</f>
        <v>1.6453139018224621</v>
      </c>
      <c r="O169" s="269">
        <f>'AEO Coal Prices'!P30*'Production Steps'!$Q$17*$N$4</f>
        <v>1.7256647899675024</v>
      </c>
      <c r="P169" s="269">
        <f>'AEO Coal Prices'!Q30*'Production Steps'!$Q$17*$N$4</f>
        <v>1.7931219032836445</v>
      </c>
      <c r="Q169" s="269">
        <f>'AEO Coal Prices'!R30*'Production Steps'!$Q$17*$N$4</f>
        <v>1.847587334154857</v>
      </c>
      <c r="R169" s="269">
        <f>'AEO Coal Prices'!S30*'Production Steps'!$Q$17*$N$4</f>
        <v>1.9088144926175619</v>
      </c>
      <c r="S169" s="269">
        <f>R169*(1+(R169-Q169)/Q169)</f>
        <v>1.9720706566185258</v>
      </c>
      <c r="T169" s="269">
        <f>S169*(1+(S169-R169)/R169)</f>
        <v>2.0374230653303256</v>
      </c>
      <c r="U169" s="269">
        <f>T169*(1+(T169-S169)/S169)</f>
        <v>2.1049411861630887</v>
      </c>
      <c r="V169" s="270">
        <f>X169*0.8</f>
        <v>1.2058186837482414</v>
      </c>
      <c r="W169" s="270">
        <f>'Production Steps'!H111*1.1</f>
        <v>3.7264728693428482</v>
      </c>
      <c r="X169" s="270">
        <f>'Production Steps'!I111*1.1</f>
        <v>1.5072733546853017</v>
      </c>
    </row>
    <row r="170" spans="1:24" s="252" customFormat="1" x14ac:dyDescent="0.2">
      <c r="A170" s="255"/>
      <c r="B170" s="268" t="s">
        <v>809</v>
      </c>
      <c r="C170" s="268" t="s">
        <v>810</v>
      </c>
      <c r="D170" s="268" t="str">
        <f t="shared" si="30"/>
        <v>CGLLHS1</v>
      </c>
      <c r="E170" s="255">
        <v>2010</v>
      </c>
      <c r="F170" s="271"/>
      <c r="G170" s="255">
        <v>1.05</v>
      </c>
      <c r="H170" s="255">
        <v>1.05</v>
      </c>
      <c r="I170" s="255">
        <v>1.05</v>
      </c>
      <c r="J170" s="255">
        <v>1.05</v>
      </c>
      <c r="K170" s="255">
        <v>1.05</v>
      </c>
      <c r="L170" s="269">
        <f>L169*'Production Steps'!$O$13</f>
        <v>1.2185177696133773</v>
      </c>
      <c r="M170" s="269">
        <f>M169*'Production Steps'!$O$13</f>
        <v>1.4972893612819274</v>
      </c>
      <c r="N170" s="269">
        <f>N169*'Production Steps'!$O$13</f>
        <v>1.6502498435279294</v>
      </c>
      <c r="O170" s="269">
        <f>O169*'Production Steps'!$O$13</f>
        <v>1.7308417843374047</v>
      </c>
      <c r="P170" s="269">
        <f>P169*'Production Steps'!$O$13</f>
        <v>1.7985012689934952</v>
      </c>
      <c r="Q170" s="269">
        <f>Q169*'Production Steps'!$O$13</f>
        <v>1.8531300961573214</v>
      </c>
      <c r="R170" s="269">
        <f>R169*'Production Steps'!$O$13</f>
        <v>1.9145409360954144</v>
      </c>
      <c r="S170" s="269">
        <f>S169*'Production Steps'!$O$13</f>
        <v>1.977986868588381</v>
      </c>
      <c r="T170" s="269">
        <f>T169*'Production Steps'!$O$13</f>
        <v>2.0435353345263163</v>
      </c>
      <c r="U170" s="269">
        <f>U169*'Production Steps'!$O$13</f>
        <v>2.1112560097215778</v>
      </c>
      <c r="V170" s="270">
        <f>X170*0.8</f>
        <v>1.2058186837482414</v>
      </c>
      <c r="W170" s="270">
        <f>'Production Steps'!H112*1.1</f>
        <v>3.7264728693428482</v>
      </c>
      <c r="X170" s="270">
        <f>'Production Steps'!I112*1.1</f>
        <v>1.5072733546853017</v>
      </c>
    </row>
    <row r="171" spans="1:24" s="252" customFormat="1" x14ac:dyDescent="0.2">
      <c r="A171" s="255"/>
      <c r="B171" s="268" t="s">
        <v>811</v>
      </c>
      <c r="C171" s="268" t="s">
        <v>812</v>
      </c>
      <c r="D171" s="268" t="str">
        <f t="shared" si="30"/>
        <v>CGLLHS1</v>
      </c>
      <c r="E171" s="255">
        <v>2010</v>
      </c>
      <c r="F171" s="271">
        <f>X171*0.1</f>
        <v>1.3565460192167684</v>
      </c>
      <c r="G171" s="255">
        <v>1.05</v>
      </c>
      <c r="H171" s="255">
        <v>1.05</v>
      </c>
      <c r="I171" s="255">
        <v>1.05</v>
      </c>
      <c r="J171" s="255">
        <v>1.05</v>
      </c>
      <c r="K171" s="255">
        <v>1.05</v>
      </c>
      <c r="L171" s="269">
        <f>L169*'Production Steps'!$O$14</f>
        <v>1.3606579281824356</v>
      </c>
      <c r="M171" s="269">
        <f>M169*'Production Steps'!$O$14</f>
        <v>1.6719482399160108</v>
      </c>
      <c r="N171" s="269">
        <f>N169*'Production Steps'!$O$14</f>
        <v>1.8427515700411576</v>
      </c>
      <c r="O171" s="269">
        <f>O169*'Production Steps'!$O$14</f>
        <v>1.9327445647636028</v>
      </c>
      <c r="P171" s="269">
        <f>P169*'Production Steps'!$O$14</f>
        <v>2.008296531677682</v>
      </c>
      <c r="Q171" s="269">
        <f>Q169*'Production Steps'!$O$14</f>
        <v>2.0692978142534399</v>
      </c>
      <c r="R171" s="269">
        <f>R169*'Production Steps'!$O$14</f>
        <v>2.1378722317316696</v>
      </c>
      <c r="S171" s="269">
        <f>S169*'Production Steps'!$O$14</f>
        <v>2.2087191354127489</v>
      </c>
      <c r="T171" s="269">
        <f>T169*'Production Steps'!$O$14</f>
        <v>2.2819138331699649</v>
      </c>
      <c r="U171" s="269">
        <f>U169*'Production Steps'!$O$14</f>
        <v>2.3575341285026594</v>
      </c>
      <c r="V171" s="270"/>
      <c r="W171" s="270">
        <f>'Production Steps'!H113*1.1</f>
        <v>33.538255824085574</v>
      </c>
      <c r="X171" s="270">
        <f>'Production Steps'!I113*1.1</f>
        <v>13.565460192167684</v>
      </c>
    </row>
    <row r="172" spans="1:24" s="252" customFormat="1" x14ac:dyDescent="0.2">
      <c r="A172" s="255"/>
      <c r="B172" s="268" t="s">
        <v>813</v>
      </c>
      <c r="C172" s="268" t="s">
        <v>814</v>
      </c>
      <c r="D172" s="268" t="str">
        <f t="shared" si="30"/>
        <v>CGLLHS1</v>
      </c>
      <c r="E172" s="255">
        <v>2010</v>
      </c>
      <c r="F172" s="271">
        <f>X172*0.1</f>
        <v>1.5072733546852923</v>
      </c>
      <c r="G172" s="255">
        <v>1.05</v>
      </c>
      <c r="H172" s="255">
        <v>1.05</v>
      </c>
      <c r="I172" s="255">
        <v>1.05</v>
      </c>
      <c r="J172" s="255">
        <v>1.05</v>
      </c>
      <c r="K172" s="255">
        <v>1.05</v>
      </c>
      <c r="L172" s="269">
        <f>L169*'Production Steps'!$O$15</f>
        <v>1.8587559197492201</v>
      </c>
      <c r="M172" s="269">
        <f>M169*'Production Steps'!$O$15</f>
        <v>2.2840007205995505</v>
      </c>
      <c r="N172" s="269">
        <f>N169*'Production Steps'!$O$15</f>
        <v>2.517330269788367</v>
      </c>
      <c r="O172" s="269">
        <f>O169*'Production Steps'!$O$15</f>
        <v>2.6402671286502786</v>
      </c>
      <c r="P172" s="269">
        <f>P169*'Production Steps'!$O$15</f>
        <v>2.7434765120239764</v>
      </c>
      <c r="Q172" s="269">
        <f>Q169*'Production Steps'!$O$15</f>
        <v>2.8268086212569314</v>
      </c>
      <c r="R172" s="269">
        <f>R169*'Production Steps'!$O$15</f>
        <v>2.9204861737048695</v>
      </c>
      <c r="S172" s="269">
        <f>S169*'Production Steps'!$O$15</f>
        <v>3.0172681046263445</v>
      </c>
      <c r="T172" s="269">
        <f>T169*'Production Steps'!$O$15</f>
        <v>3.1172572899553983</v>
      </c>
      <c r="U172" s="269">
        <f>U169*'Production Steps'!$O$15</f>
        <v>3.2205600148295259</v>
      </c>
      <c r="V172" s="270"/>
      <c r="W172" s="270">
        <f>'Production Steps'!H114*1.1</f>
        <v>37.26472869342836</v>
      </c>
      <c r="X172" s="270">
        <f>'Production Steps'!I114*1.1</f>
        <v>15.072733546852923</v>
      </c>
    </row>
    <row r="173" spans="1:24" s="252" customFormat="1" x14ac:dyDescent="0.2">
      <c r="A173" s="266" t="s">
        <v>505</v>
      </c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</row>
    <row r="174" spans="1:24" s="252" customFormat="1" x14ac:dyDescent="0.2">
      <c r="A174" s="267" t="s">
        <v>504</v>
      </c>
      <c r="B174" s="268" t="s">
        <v>815</v>
      </c>
      <c r="C174" s="268" t="s">
        <v>816</v>
      </c>
      <c r="D174" s="268" t="str">
        <f>CONCATENATE(MID(B174,4,6),"1")</f>
        <v>CDLLMS1</v>
      </c>
      <c r="E174" s="255">
        <v>2010</v>
      </c>
      <c r="F174" s="255"/>
      <c r="G174" s="255">
        <v>1.05</v>
      </c>
      <c r="H174" s="255">
        <v>1.01</v>
      </c>
      <c r="I174" s="255">
        <v>1.0049999999999999</v>
      </c>
      <c r="J174" s="255">
        <v>1.0049999999999999</v>
      </c>
      <c r="K174" s="255">
        <v>1.05</v>
      </c>
      <c r="L174" s="269">
        <f>L176*'Production Steps'!$O$10</f>
        <v>0.84119014031042427</v>
      </c>
      <c r="M174" s="269">
        <f>M176*'Production Steps'!$O$10</f>
        <v>0.98462812118705245</v>
      </c>
      <c r="N174" s="269">
        <f>N176*'Production Steps'!$O$10</f>
        <v>1.1724294285139645</v>
      </c>
      <c r="O174" s="269">
        <f>O176*'Production Steps'!$O$10</f>
        <v>1.2592938569111747</v>
      </c>
      <c r="P174" s="269">
        <f>P176*'Production Steps'!$O$10</f>
        <v>1.3406084924070201</v>
      </c>
      <c r="Q174" s="269">
        <f>Q176*'Production Steps'!$O$10</f>
        <v>1.4070861309957623</v>
      </c>
      <c r="R174" s="269">
        <f>R176*'Production Steps'!$O$10</f>
        <v>1.4802504425615763</v>
      </c>
      <c r="S174" s="269">
        <f>S176*'Production Steps'!$O$10</f>
        <v>1.5572190816443641</v>
      </c>
      <c r="T174" s="269">
        <f>T176*'Production Steps'!$O$10</f>
        <v>1.6381898620080586</v>
      </c>
      <c r="U174" s="269">
        <f>U176*'Production Steps'!$O$10</f>
        <v>1.72337088314647</v>
      </c>
      <c r="V174" s="270">
        <f>X174*0.8</f>
        <v>175.30161387566784</v>
      </c>
      <c r="W174" s="270">
        <f>'Production Steps'!H116*1.1</f>
        <v>232.18828577470313</v>
      </c>
      <c r="X174" s="270">
        <f>'Production Steps'!I116*1.1</f>
        <v>219.1270173445848</v>
      </c>
    </row>
    <row r="175" spans="1:24" s="252" customFormat="1" x14ac:dyDescent="0.2">
      <c r="A175" s="255"/>
      <c r="B175" s="268" t="s">
        <v>817</v>
      </c>
      <c r="C175" s="268" t="s">
        <v>818</v>
      </c>
      <c r="D175" s="268" t="str">
        <f t="shared" ref="D175:D179" si="31">CONCATENATE(MID(B175,4,6),"1")</f>
        <v>CDLLMS1</v>
      </c>
      <c r="E175" s="255">
        <v>2010</v>
      </c>
      <c r="F175" s="255"/>
      <c r="G175" s="255">
        <v>1.05</v>
      </c>
      <c r="H175" s="255">
        <v>1.01</v>
      </c>
      <c r="I175" s="255">
        <v>1.0049999999999999</v>
      </c>
      <c r="J175" s="255">
        <v>1.0049999999999999</v>
      </c>
      <c r="K175" s="255">
        <v>1.05</v>
      </c>
      <c r="L175" s="269">
        <f>L176*'Production Steps'!$O$11</f>
        <v>0.95398609094295839</v>
      </c>
      <c r="M175" s="269">
        <f>M176*'Production Steps'!$O$11</f>
        <v>1.1166578010734982</v>
      </c>
      <c r="N175" s="269">
        <f>N176*'Production Steps'!$O$11</f>
        <v>1.3296415564283368</v>
      </c>
      <c r="O175" s="269">
        <f>O176*'Production Steps'!$O$11</f>
        <v>1.4281537149969914</v>
      </c>
      <c r="P175" s="269">
        <f>P176*'Production Steps'!$O$11</f>
        <v>1.5203719038888706</v>
      </c>
      <c r="Q175" s="269">
        <f>Q176*'Production Steps'!$O$11</f>
        <v>1.595763589470194</v>
      </c>
      <c r="R175" s="269">
        <f>R176*'Production Steps'!$O$11</f>
        <v>1.6787385700868784</v>
      </c>
      <c r="S175" s="269">
        <f>S176*'Production Steps'!$O$11</f>
        <v>1.7660280039557672</v>
      </c>
      <c r="T175" s="269">
        <f>T176*'Production Steps'!$O$11</f>
        <v>1.8578562298682302</v>
      </c>
      <c r="U175" s="269">
        <f>U176*'Production Steps'!$O$11</f>
        <v>1.954459251568383</v>
      </c>
      <c r="V175" s="270">
        <f>X175*0.8</f>
        <v>171.79558159815451</v>
      </c>
      <c r="W175" s="270">
        <f>'Production Steps'!H117*1.1</f>
        <v>227.54452005920908</v>
      </c>
      <c r="X175" s="270">
        <f>'Production Steps'!I117*1.1</f>
        <v>214.74447699769311</v>
      </c>
    </row>
    <row r="176" spans="1:24" s="252" customFormat="1" x14ac:dyDescent="0.2">
      <c r="A176" s="255"/>
      <c r="B176" s="268" t="s">
        <v>819</v>
      </c>
      <c r="C176" s="268" t="s">
        <v>820</v>
      </c>
      <c r="D176" s="268" t="str">
        <f t="shared" si="31"/>
        <v>CDLLMS1</v>
      </c>
      <c r="E176" s="255">
        <v>2010</v>
      </c>
      <c r="F176" s="255"/>
      <c r="G176" s="255">
        <v>1.05</v>
      </c>
      <c r="H176" s="255">
        <v>1.01</v>
      </c>
      <c r="I176" s="255">
        <v>1.0049999999999999</v>
      </c>
      <c r="J176" s="255">
        <v>1.0049999999999999</v>
      </c>
      <c r="K176" s="255">
        <v>1.05</v>
      </c>
      <c r="L176" s="269">
        <f>'AEO Coal Prices'!M32*'Production Steps'!$Q$17*$N$4</f>
        <v>0.9558978867163912</v>
      </c>
      <c r="M176" s="269">
        <f>'AEO Coal Prices'!N32*'Production Steps'!$Q$17*$N$4</f>
        <v>1.1188955922580142</v>
      </c>
      <c r="N176" s="269">
        <f>'AEO Coal Prices'!O32*'Production Steps'!$Q$17*$N$4</f>
        <v>1.3323061687658686</v>
      </c>
      <c r="O176" s="269">
        <f>'AEO Coal Prices'!P32*'Production Steps'!$Q$17*$N$4</f>
        <v>1.4310157464899713</v>
      </c>
      <c r="P176" s="269">
        <f>'AEO Coal Prices'!Q32*'Production Steps'!$Q$17*$N$4</f>
        <v>1.5234187413716138</v>
      </c>
      <c r="Q176" s="269">
        <f>'AEO Coal Prices'!R32*'Production Steps'!$Q$17*$N$4</f>
        <v>1.5989615124951844</v>
      </c>
      <c r="R176" s="269">
        <f>'AEO Coal Prices'!S32*'Production Steps'!$Q$17*$N$4</f>
        <v>1.6821027756381548</v>
      </c>
      <c r="S176" s="269">
        <f>R176*(1+(R176-Q176)/Q176)</f>
        <v>1.7695671382322318</v>
      </c>
      <c r="T176" s="269">
        <f>S176*(1+(S176-R176)/R176)</f>
        <v>1.8615793886455212</v>
      </c>
      <c r="U176" s="269">
        <f>T176*(1+(T176-S176)/S176)</f>
        <v>1.958376003575534</v>
      </c>
      <c r="V176" s="270">
        <f>X176*0.8</f>
        <v>3.5060322775133645</v>
      </c>
      <c r="W176" s="270">
        <f>'Production Steps'!H118*1.1</f>
        <v>4.6437657154940615</v>
      </c>
      <c r="X176" s="270">
        <f>'Production Steps'!I118*1.1</f>
        <v>4.3825403468917052</v>
      </c>
    </row>
    <row r="177" spans="1:24" s="252" customFormat="1" x14ac:dyDescent="0.2">
      <c r="A177" s="255"/>
      <c r="B177" s="268" t="s">
        <v>821</v>
      </c>
      <c r="C177" s="268" t="s">
        <v>822</v>
      </c>
      <c r="D177" s="268" t="str">
        <f t="shared" si="31"/>
        <v>CDLLMS1</v>
      </c>
      <c r="E177" s="255">
        <v>2010</v>
      </c>
      <c r="F177" s="271"/>
      <c r="G177" s="255">
        <v>1.05</v>
      </c>
      <c r="H177" s="255">
        <v>1.01</v>
      </c>
      <c r="I177" s="255">
        <v>1.0049999999999999</v>
      </c>
      <c r="J177" s="255">
        <v>1.0049999999999999</v>
      </c>
      <c r="K177" s="255">
        <v>1.05</v>
      </c>
      <c r="L177" s="269">
        <f>L176*'Production Steps'!$O$13</f>
        <v>0.95876558037654025</v>
      </c>
      <c r="M177" s="269">
        <f>M176*'Production Steps'!$O$13</f>
        <v>1.1222522790347882</v>
      </c>
      <c r="N177" s="269">
        <f>N176*'Production Steps'!$O$13</f>
        <v>1.336303087272166</v>
      </c>
      <c r="O177" s="269">
        <f>O176*'Production Steps'!$O$13</f>
        <v>1.4353087937294411</v>
      </c>
      <c r="P177" s="269">
        <f>P176*'Production Steps'!$O$13</f>
        <v>1.5279889975957286</v>
      </c>
      <c r="Q177" s="269">
        <f>Q176*'Production Steps'!$O$13</f>
        <v>1.6037583970326696</v>
      </c>
      <c r="R177" s="269">
        <f>R176*'Production Steps'!$O$13</f>
        <v>1.6871490839650691</v>
      </c>
      <c r="S177" s="269">
        <f>S176*'Production Steps'!$O$13</f>
        <v>1.7748758396469282</v>
      </c>
      <c r="T177" s="269">
        <f>T176*'Production Steps'!$O$13</f>
        <v>1.8671641268114576</v>
      </c>
      <c r="U177" s="269">
        <f>U176*'Production Steps'!$O$13</f>
        <v>1.9642511315862603</v>
      </c>
      <c r="V177" s="270">
        <f>X177*0.8</f>
        <v>3.5060322775133645</v>
      </c>
      <c r="W177" s="270">
        <f>'Production Steps'!H119*1.1</f>
        <v>4.6437657154940615</v>
      </c>
      <c r="X177" s="270">
        <f>'Production Steps'!I119*1.1</f>
        <v>4.3825403468917052</v>
      </c>
    </row>
    <row r="178" spans="1:24" s="252" customFormat="1" x14ac:dyDescent="0.2">
      <c r="A178" s="255"/>
      <c r="B178" s="268" t="s">
        <v>823</v>
      </c>
      <c r="C178" s="268" t="s">
        <v>824</v>
      </c>
      <c r="D178" s="268" t="str">
        <f t="shared" si="31"/>
        <v>CDLLMS1</v>
      </c>
      <c r="E178" s="255">
        <v>2010</v>
      </c>
      <c r="F178" s="271">
        <f>X178*0.1</f>
        <v>3.9442863122025282</v>
      </c>
      <c r="G178" s="255">
        <v>1.05</v>
      </c>
      <c r="H178" s="255">
        <v>1.01</v>
      </c>
      <c r="I178" s="255">
        <v>1.0049999999999999</v>
      </c>
      <c r="J178" s="255">
        <v>1.0049999999999999</v>
      </c>
      <c r="K178" s="255">
        <v>1.05</v>
      </c>
      <c r="L178" s="269">
        <f>L176*'Production Steps'!$O$14</f>
        <v>1.0706056331223583</v>
      </c>
      <c r="M178" s="269">
        <f>M176*'Production Steps'!$O$14</f>
        <v>1.2531630633289759</v>
      </c>
      <c r="N178" s="269">
        <f>N176*'Production Steps'!$O$14</f>
        <v>1.492182909017773</v>
      </c>
      <c r="O178" s="269">
        <f>O176*'Production Steps'!$O$14</f>
        <v>1.602737636068768</v>
      </c>
      <c r="P178" s="269">
        <f>P176*'Production Steps'!$O$14</f>
        <v>1.7062289903362076</v>
      </c>
      <c r="Q178" s="269">
        <f>Q176*'Production Steps'!$O$14</f>
        <v>1.7908368939946067</v>
      </c>
      <c r="R178" s="269">
        <f>R176*'Production Steps'!$O$14</f>
        <v>1.8839551087147335</v>
      </c>
      <c r="S178" s="269">
        <f>S176*'Production Steps'!$O$14</f>
        <v>1.9819151948200997</v>
      </c>
      <c r="T178" s="269">
        <f>T176*'Production Steps'!$O$14</f>
        <v>2.084968915282984</v>
      </c>
      <c r="U178" s="269">
        <f>U176*'Production Steps'!$O$14</f>
        <v>2.1933811240045982</v>
      </c>
      <c r="V178" s="270"/>
      <c r="W178" s="270">
        <f>'Production Steps'!H120*1.1</f>
        <v>41.793891439446611</v>
      </c>
      <c r="X178" s="270">
        <f>'Production Steps'!I120*1.1</f>
        <v>39.44286312202528</v>
      </c>
    </row>
    <row r="179" spans="1:24" s="252" customFormat="1" x14ac:dyDescent="0.2">
      <c r="A179" s="255"/>
      <c r="B179" s="268" t="s">
        <v>825</v>
      </c>
      <c r="C179" s="268" t="s">
        <v>826</v>
      </c>
      <c r="D179" s="268" t="str">
        <f t="shared" si="31"/>
        <v>CDLLMS1</v>
      </c>
      <c r="E179" s="255">
        <v>2010</v>
      </c>
      <c r="F179" s="271">
        <f>X179*0.1</f>
        <v>4.3825403468916928</v>
      </c>
      <c r="G179" s="255">
        <v>1.05</v>
      </c>
      <c r="H179" s="255">
        <v>1.01</v>
      </c>
      <c r="I179" s="255">
        <v>1.0049999999999999</v>
      </c>
      <c r="J179" s="255">
        <v>1.0049999999999999</v>
      </c>
      <c r="K179" s="255">
        <v>1.05</v>
      </c>
      <c r="L179" s="269">
        <f>L176*'Production Steps'!$O$15</f>
        <v>1.4625237666760786</v>
      </c>
      <c r="M179" s="269">
        <f>M176*'Production Steps'!$O$15</f>
        <v>1.7119102561547617</v>
      </c>
      <c r="N179" s="269">
        <f>N176*'Production Steps'!$O$15</f>
        <v>2.038428438211779</v>
      </c>
      <c r="O179" s="269">
        <f>O176*'Production Steps'!$O$15</f>
        <v>2.1894540921296564</v>
      </c>
      <c r="P179" s="269">
        <f>P176*'Production Steps'!$O$15</f>
        <v>2.3308306742985692</v>
      </c>
      <c r="Q179" s="269">
        <f>Q176*'Production Steps'!$O$15</f>
        <v>2.4464111141176321</v>
      </c>
      <c r="R179" s="269">
        <f>R176*'Production Steps'!$O$15</f>
        <v>2.5736172467263767</v>
      </c>
      <c r="S179" s="269">
        <f>S176*'Production Steps'!$O$15</f>
        <v>2.7074377214953147</v>
      </c>
      <c r="T179" s="269">
        <f>T176*'Production Steps'!$O$15</f>
        <v>2.8482164646276473</v>
      </c>
      <c r="U179" s="269">
        <f>U176*'Production Steps'!$O$15</f>
        <v>2.9963152854705672</v>
      </c>
      <c r="V179" s="270"/>
      <c r="W179" s="270">
        <f>'Production Steps'!H121*1.1</f>
        <v>46.437657154940553</v>
      </c>
      <c r="X179" s="270">
        <f>'Production Steps'!I121*1.1</f>
        <v>43.825403468916925</v>
      </c>
    </row>
    <row r="180" spans="1:24" s="252" customFormat="1" x14ac:dyDescent="0.2">
      <c r="A180" s="266" t="s">
        <v>505</v>
      </c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</row>
    <row r="181" spans="1:24" s="252" customFormat="1" x14ac:dyDescent="0.2">
      <c r="A181" s="267" t="s">
        <v>504</v>
      </c>
      <c r="B181" s="268" t="s">
        <v>827</v>
      </c>
      <c r="C181" s="268" t="s">
        <v>828</v>
      </c>
      <c r="D181" s="268" t="str">
        <f>CONCATENATE(MID(B181,4,6),"1")</f>
        <v>CWMBLU1</v>
      </c>
      <c r="E181" s="255">
        <v>2010</v>
      </c>
      <c r="F181" s="255"/>
      <c r="G181" s="255">
        <v>1.05</v>
      </c>
      <c r="H181" s="255">
        <v>1.01</v>
      </c>
      <c r="I181" s="255">
        <v>1.01</v>
      </c>
      <c r="J181" s="255">
        <v>1.0049999999999999</v>
      </c>
      <c r="K181" s="255">
        <v>1.0049999999999999</v>
      </c>
      <c r="L181" s="269">
        <f>L183*'Production Steps'!$O$10</f>
        <v>0</v>
      </c>
      <c r="M181" s="269">
        <f>M183*'Production Steps'!$O$10</f>
        <v>0.97153338642496245</v>
      </c>
      <c r="N181" s="269">
        <f>N183*'Production Steps'!$O$10</f>
        <v>1.1462694338734232</v>
      </c>
      <c r="O181" s="269">
        <f>O183*'Production Steps'!$O$10</f>
        <v>1.147164049085303</v>
      </c>
      <c r="P181" s="269">
        <f>P183*'Production Steps'!$O$10</f>
        <v>1.1632722719212971</v>
      </c>
      <c r="Q181" s="269">
        <f>Q183*'Production Steps'!$O$10</f>
        <v>1.2481692762591676</v>
      </c>
      <c r="R181" s="269">
        <f>R183*'Production Steps'!$O$10</f>
        <v>1.3357849642975042</v>
      </c>
      <c r="S181" s="269">
        <f>S183*'Production Steps'!$O$10</f>
        <v>1.4295508668431538</v>
      </c>
      <c r="T181" s="269">
        <f>T183*'Production Steps'!$O$10</f>
        <v>1.5298987003995508</v>
      </c>
      <c r="U181" s="269">
        <f>U183*'Production Steps'!$O$10</f>
        <v>1.637290485964245</v>
      </c>
      <c r="V181" s="270">
        <f>X181*0.8</f>
        <v>47.228467532055042</v>
      </c>
      <c r="W181" s="270">
        <f>'Production Steps'!H124*1.1</f>
        <v>0</v>
      </c>
      <c r="X181" s="270">
        <f>'Production Steps'!I124*1.1</f>
        <v>59.035584415068797</v>
      </c>
    </row>
    <row r="182" spans="1:24" s="252" customFormat="1" x14ac:dyDescent="0.2">
      <c r="A182" s="255"/>
      <c r="B182" s="268" t="s">
        <v>829</v>
      </c>
      <c r="C182" s="268" t="s">
        <v>830</v>
      </c>
      <c r="D182" s="268" t="str">
        <f t="shared" ref="D182:D186" si="32">CONCATENATE(MID(B182,4,6),"1")</f>
        <v>CWMBLU1</v>
      </c>
      <c r="E182" s="255">
        <v>2010</v>
      </c>
      <c r="F182" s="255"/>
      <c r="G182" s="255">
        <v>1.05</v>
      </c>
      <c r="H182" s="255">
        <v>1.01</v>
      </c>
      <c r="I182" s="255">
        <v>1.01</v>
      </c>
      <c r="J182" s="255">
        <v>1.0049999999999999</v>
      </c>
      <c r="K182" s="255">
        <v>1.0049999999999999</v>
      </c>
      <c r="L182" s="269">
        <f>L183*'Production Steps'!$O$11</f>
        <v>0</v>
      </c>
      <c r="M182" s="269">
        <f>M183*'Production Steps'!$O$11</f>
        <v>1.1018071814228552</v>
      </c>
      <c r="N182" s="269">
        <f>N183*'Production Steps'!$O$11</f>
        <v>1.2999737443246322</v>
      </c>
      <c r="O182" s="269">
        <f>O183*'Production Steps'!$O$11</f>
        <v>1.3009883193035596</v>
      </c>
      <c r="P182" s="269">
        <f>P183*'Production Steps'!$O$11</f>
        <v>1.3192565083834711</v>
      </c>
      <c r="Q182" s="269">
        <f>Q183*'Production Steps'!$O$11</f>
        <v>1.4155374292121015</v>
      </c>
      <c r="R182" s="269">
        <f>R183*'Production Steps'!$O$11</f>
        <v>1.5149015845101241</v>
      </c>
      <c r="S182" s="269">
        <f>S183*'Production Steps'!$O$11</f>
        <v>1.6212406421698493</v>
      </c>
      <c r="T182" s="269">
        <f>T183*'Production Steps'!$O$11</f>
        <v>1.735044207953127</v>
      </c>
      <c r="U182" s="269">
        <f>U183*'Production Steps'!$O$11</f>
        <v>1.8568362556730869</v>
      </c>
      <c r="V182" s="270">
        <f>X182*0.8</f>
        <v>46.283898181413946</v>
      </c>
      <c r="W182" s="270">
        <f>'Production Steps'!H125*1.1</f>
        <v>0</v>
      </c>
      <c r="X182" s="270">
        <f>'Production Steps'!I125*1.1</f>
        <v>57.854872726767425</v>
      </c>
    </row>
    <row r="183" spans="1:24" s="252" customFormat="1" x14ac:dyDescent="0.2">
      <c r="A183" s="255"/>
      <c r="B183" s="268" t="s">
        <v>831</v>
      </c>
      <c r="C183" s="268" t="s">
        <v>832</v>
      </c>
      <c r="D183" s="268" t="str">
        <f t="shared" si="32"/>
        <v>CWMBLU1</v>
      </c>
      <c r="E183" s="255">
        <v>2010</v>
      </c>
      <c r="F183" s="255"/>
      <c r="G183" s="255">
        <v>1.05</v>
      </c>
      <c r="H183" s="255">
        <v>1.01</v>
      </c>
      <c r="I183" s="255">
        <v>1.01</v>
      </c>
      <c r="J183" s="255">
        <v>1.0049999999999999</v>
      </c>
      <c r="K183" s="255">
        <v>1.0049999999999999</v>
      </c>
      <c r="L183" s="269">
        <f>'AEO Coal Prices'!M35*'Production Steps'!$Q$17*$N$4</f>
        <v>0</v>
      </c>
      <c r="M183" s="269">
        <f>'AEO Coal Prices'!N35*'Production Steps'!$Q$17*$N$4</f>
        <v>1.1040152118465483</v>
      </c>
      <c r="N183" s="269">
        <f>'AEO Coal Prices'!O35*'Production Steps'!$Q$17*$N$4</f>
        <v>1.30257890212889</v>
      </c>
      <c r="O183" s="269">
        <f>'AEO Coal Prices'!P35*'Production Steps'!$Q$17*$N$4</f>
        <v>1.3035955103242081</v>
      </c>
      <c r="P183" s="269">
        <f>'AEO Coal Prices'!Q35*'Production Steps'!$Q$17*$N$4</f>
        <v>1.321900309001474</v>
      </c>
      <c r="Q183" s="269">
        <f>'AEO Coal Prices'!R35*'Production Steps'!$Q$17*$N$4</f>
        <v>1.4183741775672358</v>
      </c>
      <c r="R183" s="269">
        <f>'AEO Coal Prices'!S35*'Production Steps'!$Q$17*$N$4</f>
        <v>1.5179374594289821</v>
      </c>
      <c r="S183" s="269">
        <f>R183*(1+(R183-Q183)/Q183)</f>
        <v>1.6244896214126747</v>
      </c>
      <c r="T183" s="269">
        <f>S183*(1+(S183-R183)/R183)</f>
        <v>1.738521250454035</v>
      </c>
      <c r="U183" s="269">
        <f>T183*(1+(T183-S183)/S183)</f>
        <v>1.8605573704139147</v>
      </c>
      <c r="V183" s="270">
        <f>X183*0.8</f>
        <v>0.94456935064109993</v>
      </c>
      <c r="W183" s="270">
        <f>'Production Steps'!H126*1.1</f>
        <v>0</v>
      </c>
      <c r="X183" s="270">
        <f>'Production Steps'!I126*1.1</f>
        <v>1.1807116883013749</v>
      </c>
    </row>
    <row r="184" spans="1:24" s="252" customFormat="1" x14ac:dyDescent="0.2">
      <c r="A184" s="255"/>
      <c r="B184" s="268" t="s">
        <v>833</v>
      </c>
      <c r="C184" s="268" t="s">
        <v>834</v>
      </c>
      <c r="D184" s="268" t="str">
        <f t="shared" si="32"/>
        <v>CWMBLU1</v>
      </c>
      <c r="E184" s="255">
        <v>2010</v>
      </c>
      <c r="F184" s="271"/>
      <c r="G184" s="255">
        <v>1.05</v>
      </c>
      <c r="H184" s="255">
        <v>1.01</v>
      </c>
      <c r="I184" s="255">
        <v>1.01</v>
      </c>
      <c r="J184" s="255">
        <v>1.0049999999999999</v>
      </c>
      <c r="K184" s="255">
        <v>1.0049999999999999</v>
      </c>
      <c r="L184" s="269">
        <f>L183*'Production Steps'!$O$13</f>
        <v>0</v>
      </c>
      <c r="M184" s="269">
        <f>M183*'Production Steps'!$O$13</f>
        <v>1.1073272574820878</v>
      </c>
      <c r="N184" s="269">
        <f>N183*'Production Steps'!$O$13</f>
        <v>1.3064866388352765</v>
      </c>
      <c r="O184" s="269">
        <f>O183*'Production Steps'!$O$13</f>
        <v>1.3075062968551805</v>
      </c>
      <c r="P184" s="269">
        <f>P183*'Production Steps'!$O$13</f>
        <v>1.3258660099284783</v>
      </c>
      <c r="Q184" s="269">
        <f>Q183*'Production Steps'!$O$13</f>
        <v>1.4226293000999375</v>
      </c>
      <c r="R184" s="269">
        <f>R183*'Production Steps'!$O$13</f>
        <v>1.522491271807269</v>
      </c>
      <c r="S184" s="269">
        <f>S183*'Production Steps'!$O$13</f>
        <v>1.6293630902769125</v>
      </c>
      <c r="T184" s="269">
        <f>T183*'Production Steps'!$O$13</f>
        <v>1.7437368142053971</v>
      </c>
      <c r="U184" s="269">
        <f>U183*'Production Steps'!$O$13</f>
        <v>1.8661390425251563</v>
      </c>
      <c r="V184" s="270">
        <f>X184*0.8</f>
        <v>0.94456935064109993</v>
      </c>
      <c r="W184" s="270">
        <f>'Production Steps'!H127*1.1</f>
        <v>0</v>
      </c>
      <c r="X184" s="270">
        <f>'Production Steps'!I127*1.1</f>
        <v>1.1807116883013749</v>
      </c>
    </row>
    <row r="185" spans="1:24" s="252" customFormat="1" x14ac:dyDescent="0.2">
      <c r="A185" s="255"/>
      <c r="B185" s="268" t="s">
        <v>835</v>
      </c>
      <c r="C185" s="268" t="s">
        <v>836</v>
      </c>
      <c r="D185" s="268" t="str">
        <f t="shared" si="32"/>
        <v>CWMBLU1</v>
      </c>
      <c r="E185" s="255">
        <v>2010</v>
      </c>
      <c r="F185" s="271">
        <f>X185*0.1</f>
        <v>1.0626405194712392</v>
      </c>
      <c r="G185" s="255">
        <v>1.05</v>
      </c>
      <c r="H185" s="255">
        <v>1.01</v>
      </c>
      <c r="I185" s="255">
        <v>1.01</v>
      </c>
      <c r="J185" s="255">
        <v>1.0049999999999999</v>
      </c>
      <c r="K185" s="255">
        <v>1.0049999999999999</v>
      </c>
      <c r="L185" s="269">
        <f>L183*'Production Steps'!$O$14</f>
        <v>0</v>
      </c>
      <c r="M185" s="269">
        <f>M183*'Production Steps'!$O$14</f>
        <v>1.2364970372681341</v>
      </c>
      <c r="N185" s="269">
        <f>N183*'Production Steps'!$O$14</f>
        <v>1.4588883703843569</v>
      </c>
      <c r="O185" s="269">
        <f>O183*'Production Steps'!$O$14</f>
        <v>1.4600269715631131</v>
      </c>
      <c r="P185" s="269">
        <f>P183*'Production Steps'!$O$14</f>
        <v>1.480528346081651</v>
      </c>
      <c r="Q185" s="269">
        <f>Q183*'Production Steps'!$O$14</f>
        <v>1.5885790788753043</v>
      </c>
      <c r="R185" s="269">
        <f>R183*'Production Steps'!$O$14</f>
        <v>1.70008995456046</v>
      </c>
      <c r="S185" s="269">
        <f>S183*'Production Steps'!$O$14</f>
        <v>1.8194283759821959</v>
      </c>
      <c r="T185" s="269">
        <f>T183*'Production Steps'!$O$14</f>
        <v>1.9471438005085195</v>
      </c>
      <c r="U185" s="269">
        <f>U183*'Production Steps'!$O$14</f>
        <v>2.0838242548635848</v>
      </c>
      <c r="V185" s="270"/>
      <c r="W185" s="270">
        <f>'Production Steps'!H128*1.1</f>
        <v>0</v>
      </c>
      <c r="X185" s="270">
        <f>'Production Steps'!I128*1.1</f>
        <v>10.62640519471239</v>
      </c>
    </row>
    <row r="186" spans="1:24" s="252" customFormat="1" x14ac:dyDescent="0.2">
      <c r="A186" s="255"/>
      <c r="B186" s="268" t="s">
        <v>837</v>
      </c>
      <c r="C186" s="268" t="s">
        <v>838</v>
      </c>
      <c r="D186" s="268" t="str">
        <f t="shared" si="32"/>
        <v>CWMBLU1</v>
      </c>
      <c r="E186" s="255">
        <v>2010</v>
      </c>
      <c r="F186" s="271">
        <f>X186*0.1</f>
        <v>1.1807116883013751</v>
      </c>
      <c r="G186" s="255">
        <v>1.05</v>
      </c>
      <c r="H186" s="255">
        <v>1.01</v>
      </c>
      <c r="I186" s="255">
        <v>1.01</v>
      </c>
      <c r="J186" s="255">
        <v>1.0049999999999999</v>
      </c>
      <c r="K186" s="255">
        <v>1.0049999999999999</v>
      </c>
      <c r="L186" s="269">
        <f>L183*'Production Steps'!$O$15</f>
        <v>0</v>
      </c>
      <c r="M186" s="269">
        <f>M183*'Production Steps'!$O$15</f>
        <v>1.6891432741252188</v>
      </c>
      <c r="N186" s="269">
        <f>N183*'Production Steps'!$O$15</f>
        <v>1.9929457202572018</v>
      </c>
      <c r="O186" s="269">
        <f>O183*'Production Steps'!$O$15</f>
        <v>1.9945011307960383</v>
      </c>
      <c r="P186" s="269">
        <f>P183*'Production Steps'!$O$15</f>
        <v>2.0225074727722552</v>
      </c>
      <c r="Q186" s="269">
        <f>Q183*'Production Steps'!$O$15</f>
        <v>2.1701124916778709</v>
      </c>
      <c r="R186" s="269">
        <f>R183*'Production Steps'!$O$15</f>
        <v>2.3224443129263426</v>
      </c>
      <c r="S186" s="269">
        <f>S183*'Production Steps'!$O$15</f>
        <v>2.4854691207613921</v>
      </c>
      <c r="T186" s="269">
        <f>T183*'Production Steps'!$O$15</f>
        <v>2.6599375131946736</v>
      </c>
      <c r="U186" s="269">
        <f>U183*'Production Steps'!$O$15</f>
        <v>2.8466527767332894</v>
      </c>
      <c r="V186" s="270"/>
      <c r="W186" s="270">
        <f>'Production Steps'!H129*1.1</f>
        <v>0</v>
      </c>
      <c r="X186" s="270">
        <f>'Production Steps'!I129*1.1</f>
        <v>11.80711688301375</v>
      </c>
    </row>
    <row r="187" spans="1:24" s="252" customFormat="1" x14ac:dyDescent="0.2">
      <c r="A187" s="266" t="s">
        <v>505</v>
      </c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</row>
    <row r="188" spans="1:24" s="252" customFormat="1" x14ac:dyDescent="0.2">
      <c r="A188" s="267" t="s">
        <v>504</v>
      </c>
      <c r="B188" s="268" t="s">
        <v>839</v>
      </c>
      <c r="C188" s="268" t="s">
        <v>840</v>
      </c>
      <c r="D188" s="268" t="str">
        <f>CONCATENATE(MID(B188,4,6),"1")</f>
        <v>CWMSLS1</v>
      </c>
      <c r="E188" s="255">
        <v>2010</v>
      </c>
      <c r="F188" s="255"/>
      <c r="G188" s="255">
        <v>1.05</v>
      </c>
      <c r="H188" s="255">
        <v>1.01</v>
      </c>
      <c r="I188" s="255">
        <v>1.01</v>
      </c>
      <c r="J188" s="255">
        <v>1.0049999999999999</v>
      </c>
      <c r="K188" s="255">
        <v>1.0049999999999999</v>
      </c>
      <c r="L188" s="269">
        <f>L190*'Production Steps'!$O$10</f>
        <v>0.71100829777295738</v>
      </c>
      <c r="M188" s="269">
        <f>M190*'Production Steps'!$O$10</f>
        <v>0.64612131704603271</v>
      </c>
      <c r="N188" s="269">
        <f>N190*'Production Steps'!$O$10</f>
        <v>0.79660021662945368</v>
      </c>
      <c r="O188" s="269">
        <f>O190*'Production Steps'!$O$10</f>
        <v>0.91958118715661219</v>
      </c>
      <c r="P188" s="269">
        <f>P190*'Production Steps'!$O$10</f>
        <v>1.021696025680485</v>
      </c>
      <c r="Q188" s="269">
        <f>Q190*'Production Steps'!$O$10</f>
        <v>1.1143446221908992</v>
      </c>
      <c r="R188" s="269">
        <f>R190*'Production Steps'!$O$10</f>
        <v>1.2158821640762711</v>
      </c>
      <c r="S188" s="269">
        <f>S190*'Production Steps'!$O$10</f>
        <v>1.3266716664474874</v>
      </c>
      <c r="T188" s="269">
        <f>T190*'Production Steps'!$O$10</f>
        <v>1.4475561551572744</v>
      </c>
      <c r="U188" s="269">
        <f>U190*'Production Steps'!$O$10</f>
        <v>1.5794554714089484</v>
      </c>
      <c r="V188" s="270">
        <f>X188*0.8</f>
        <v>161.65924429916802</v>
      </c>
      <c r="W188" s="270">
        <f>'Production Steps'!H131*1.1</f>
        <v>216.25846986584332</v>
      </c>
      <c r="X188" s="270">
        <f>'Production Steps'!I131*1.1</f>
        <v>202.07405537396002</v>
      </c>
    </row>
    <row r="189" spans="1:24" s="252" customFormat="1" x14ac:dyDescent="0.2">
      <c r="A189" s="255"/>
      <c r="B189" s="268" t="s">
        <v>841</v>
      </c>
      <c r="C189" s="268" t="s">
        <v>842</v>
      </c>
      <c r="D189" s="268" t="str">
        <f t="shared" ref="D189:D193" si="33">CONCATENATE(MID(B189,4,6),"1")</f>
        <v>CWMSLS1</v>
      </c>
      <c r="E189" s="255">
        <v>2010</v>
      </c>
      <c r="F189" s="255"/>
      <c r="G189" s="255">
        <v>1.05</v>
      </c>
      <c r="H189" s="255">
        <v>1.01</v>
      </c>
      <c r="I189" s="255">
        <v>1.01</v>
      </c>
      <c r="J189" s="255">
        <v>1.0049999999999999</v>
      </c>
      <c r="K189" s="255">
        <v>1.0049999999999999</v>
      </c>
      <c r="L189" s="269">
        <f>L190*'Production Steps'!$O$11</f>
        <v>0.80634804679251304</v>
      </c>
      <c r="M189" s="269">
        <f>M190*'Production Steps'!$O$11</f>
        <v>0.73276031183175072</v>
      </c>
      <c r="N189" s="269">
        <f>N190*'Production Steps'!$O$11</f>
        <v>0.9034170638593122</v>
      </c>
      <c r="O189" s="269">
        <f>O190*'Production Steps'!$O$11</f>
        <v>1.0428886645253397</v>
      </c>
      <c r="P189" s="269">
        <f>P190*'Production Steps'!$O$11</f>
        <v>1.15869617457855</v>
      </c>
      <c r="Q189" s="269">
        <f>Q190*'Production Steps'!$O$11</f>
        <v>1.2637681056210426</v>
      </c>
      <c r="R189" s="269">
        <f>R190*'Production Steps'!$O$11</f>
        <v>1.3789209088046801</v>
      </c>
      <c r="S189" s="269">
        <f>S190*'Production Steps'!$O$11</f>
        <v>1.5045662762665823</v>
      </c>
      <c r="T189" s="269">
        <f>T190*'Production Steps'!$O$11</f>
        <v>1.6416602759624546</v>
      </c>
      <c r="U189" s="269">
        <f>U190*'Production Steps'!$O$11</f>
        <v>1.7912460914387847</v>
      </c>
      <c r="V189" s="270">
        <f>X189*0.8</f>
        <v>158.42605941318465</v>
      </c>
      <c r="W189" s="270">
        <f>'Production Steps'!H132*1.1</f>
        <v>211.93330046852645</v>
      </c>
      <c r="X189" s="270">
        <f>'Production Steps'!I132*1.1</f>
        <v>198.03257426648079</v>
      </c>
    </row>
    <row r="190" spans="1:24" s="252" customFormat="1" x14ac:dyDescent="0.2">
      <c r="A190" s="255"/>
      <c r="B190" s="268" t="s">
        <v>843</v>
      </c>
      <c r="C190" s="268" t="s">
        <v>844</v>
      </c>
      <c r="D190" s="268" t="str">
        <f t="shared" si="33"/>
        <v>CWMSLS1</v>
      </c>
      <c r="E190" s="255">
        <v>2010</v>
      </c>
      <c r="F190" s="255"/>
      <c r="G190" s="255">
        <v>1.05</v>
      </c>
      <c r="H190" s="255">
        <v>1.01</v>
      </c>
      <c r="I190" s="255">
        <v>1.01</v>
      </c>
      <c r="J190" s="255">
        <v>1.0049999999999999</v>
      </c>
      <c r="K190" s="255">
        <v>1.0049999999999999</v>
      </c>
      <c r="L190" s="269">
        <f>'AEO Coal Prices'!M36*'Production Steps'!$Q$17*$N$4</f>
        <v>0.80796397474199699</v>
      </c>
      <c r="M190" s="269">
        <f>'AEO Coal Prices'!N36*'Production Steps'!$Q$17*$N$4</f>
        <v>0.73422876937049175</v>
      </c>
      <c r="N190" s="269">
        <f>'AEO Coal Prices'!O36*'Production Steps'!$Q$17*$N$4</f>
        <v>0.9052275188971064</v>
      </c>
      <c r="O190" s="269">
        <f>'AEO Coal Prices'!P36*'Production Steps'!$Q$17*$N$4</f>
        <v>1.0449786217688775</v>
      </c>
      <c r="P190" s="269">
        <f>'AEO Coal Prices'!Q36*'Production Steps'!$Q$17*$N$4</f>
        <v>1.1610182110005511</v>
      </c>
      <c r="Q190" s="269">
        <f>'AEO Coal Prices'!R36*'Production Steps'!$Q$17*$N$4</f>
        <v>1.2663007070351129</v>
      </c>
      <c r="R190" s="269">
        <f>'AEO Coal Prices'!S36*'Production Steps'!$Q$17*$N$4</f>
        <v>1.3816842773593989</v>
      </c>
      <c r="S190" s="269">
        <f>R190*(1+(R190-Q190)/Q190)</f>
        <v>1.5075814391448721</v>
      </c>
      <c r="T190" s="269">
        <f>S190*(1+(S190-R190)/R190)</f>
        <v>1.6449501763150847</v>
      </c>
      <c r="U190" s="269">
        <f>T190*(1+(T190-S190)/S190)</f>
        <v>1.794835762964714</v>
      </c>
      <c r="V190" s="270">
        <f>X190*0.8</f>
        <v>3.2331848859833694</v>
      </c>
      <c r="W190" s="270">
        <f>'Production Steps'!H133*1.1</f>
        <v>4.3251693973168877</v>
      </c>
      <c r="X190" s="270">
        <f>'Production Steps'!I133*1.1</f>
        <v>4.0414811074792114</v>
      </c>
    </row>
    <row r="191" spans="1:24" s="252" customFormat="1" x14ac:dyDescent="0.2">
      <c r="A191" s="255"/>
      <c r="B191" s="268" t="s">
        <v>845</v>
      </c>
      <c r="C191" s="268" t="s">
        <v>846</v>
      </c>
      <c r="D191" s="268" t="str">
        <f t="shared" si="33"/>
        <v>CWMSLS1</v>
      </c>
      <c r="E191" s="255">
        <v>2010</v>
      </c>
      <c r="F191" s="271"/>
      <c r="G191" s="255">
        <v>1.05</v>
      </c>
      <c r="H191" s="255">
        <v>1.01</v>
      </c>
      <c r="I191" s="255">
        <v>1.01</v>
      </c>
      <c r="J191" s="255">
        <v>1.0049999999999999</v>
      </c>
      <c r="K191" s="255">
        <v>1.0049999999999999</v>
      </c>
      <c r="L191" s="269">
        <f>L190*'Production Steps'!$O$13</f>
        <v>0.81038786666622287</v>
      </c>
      <c r="M191" s="269">
        <f>M190*'Production Steps'!$O$13</f>
        <v>0.73643145567860313</v>
      </c>
      <c r="N191" s="269">
        <f>N190*'Production Steps'!$O$13</f>
        <v>0.90794320145379759</v>
      </c>
      <c r="O191" s="269">
        <f>O190*'Production Steps'!$O$13</f>
        <v>1.048113557634184</v>
      </c>
      <c r="P191" s="269">
        <f>P190*'Production Steps'!$O$13</f>
        <v>1.1645012656335527</v>
      </c>
      <c r="Q191" s="269">
        <f>Q190*'Production Steps'!$O$13</f>
        <v>1.270099609156218</v>
      </c>
      <c r="R191" s="269">
        <f>R190*'Production Steps'!$O$13</f>
        <v>1.385829330191477</v>
      </c>
      <c r="S191" s="269">
        <f>S190*'Production Steps'!$O$13</f>
        <v>1.5121041834623066</v>
      </c>
      <c r="T191" s="269">
        <f>T190*'Production Steps'!$O$13</f>
        <v>1.6498850268440297</v>
      </c>
      <c r="U191" s="269">
        <f>U190*'Production Steps'!$O$13</f>
        <v>1.8002202702536081</v>
      </c>
      <c r="V191" s="270">
        <f>X191*0.8</f>
        <v>3.2331848859833694</v>
      </c>
      <c r="W191" s="270">
        <f>'Production Steps'!H134*1.1</f>
        <v>4.3251693973168877</v>
      </c>
      <c r="X191" s="270">
        <f>'Production Steps'!I134*1.1</f>
        <v>4.0414811074792114</v>
      </c>
    </row>
    <row r="192" spans="1:24" s="252" customFormat="1" x14ac:dyDescent="0.2">
      <c r="A192" s="255"/>
      <c r="B192" s="268" t="s">
        <v>847</v>
      </c>
      <c r="C192" s="268" t="s">
        <v>848</v>
      </c>
      <c r="D192" s="268" t="str">
        <f t="shared" si="33"/>
        <v>CWMSLS1</v>
      </c>
      <c r="E192" s="255">
        <v>2010</v>
      </c>
      <c r="F192" s="271">
        <f>X192*0.1</f>
        <v>3.6373329967312844</v>
      </c>
      <c r="G192" s="255">
        <v>1.05</v>
      </c>
      <c r="H192" s="255">
        <v>1.01</v>
      </c>
      <c r="I192" s="255">
        <v>1.01</v>
      </c>
      <c r="J192" s="255">
        <v>1.0049999999999999</v>
      </c>
      <c r="K192" s="255">
        <v>1.0049999999999999</v>
      </c>
      <c r="L192" s="269">
        <f>L190*'Production Steps'!$O$14</f>
        <v>0.90491965171103672</v>
      </c>
      <c r="M192" s="269">
        <f>M190*'Production Steps'!$O$14</f>
        <v>0.8223362216949508</v>
      </c>
      <c r="N192" s="269">
        <f>N190*'Production Steps'!$O$14</f>
        <v>1.0138548211647593</v>
      </c>
      <c r="O192" s="269">
        <f>O190*'Production Steps'!$O$14</f>
        <v>1.1703760563811429</v>
      </c>
      <c r="P192" s="269">
        <f>P190*'Production Steps'!$O$14</f>
        <v>1.3003403963206175</v>
      </c>
      <c r="Q192" s="269">
        <f>Q190*'Production Steps'!$O$14</f>
        <v>1.4182567918793265</v>
      </c>
      <c r="R192" s="269">
        <f>R190*'Production Steps'!$O$14</f>
        <v>1.5474863906425269</v>
      </c>
      <c r="S192" s="269">
        <f>S190*'Production Steps'!$O$14</f>
        <v>1.6884912118422568</v>
      </c>
      <c r="T192" s="269">
        <f>T190*'Production Steps'!$O$14</f>
        <v>1.8423441974728949</v>
      </c>
      <c r="U192" s="269">
        <f>U190*'Production Steps'!$O$14</f>
        <v>2.0102160545204799</v>
      </c>
      <c r="V192" s="270"/>
      <c r="W192" s="270">
        <f>'Production Steps'!H135*1.1</f>
        <v>38.926524575851801</v>
      </c>
      <c r="X192" s="270">
        <f>'Production Steps'!I135*1.1</f>
        <v>36.373329967312841</v>
      </c>
    </row>
    <row r="193" spans="1:24" s="252" customFormat="1" x14ac:dyDescent="0.2">
      <c r="A193" s="255"/>
      <c r="B193" s="268" t="s">
        <v>849</v>
      </c>
      <c r="C193" s="268" t="s">
        <v>850</v>
      </c>
      <c r="D193" s="268" t="str">
        <f t="shared" si="33"/>
        <v>CWMSLS1</v>
      </c>
      <c r="E193" s="255">
        <v>2010</v>
      </c>
      <c r="F193" s="271">
        <f>X193*0.1</f>
        <v>4.0414811074791928</v>
      </c>
      <c r="G193" s="255">
        <v>1.05</v>
      </c>
      <c r="H193" s="255">
        <v>1.01</v>
      </c>
      <c r="I193" s="255">
        <v>1.01</v>
      </c>
      <c r="J193" s="255">
        <v>1.0049999999999999</v>
      </c>
      <c r="K193" s="255">
        <v>1.0049999999999999</v>
      </c>
      <c r="L193" s="269">
        <f>L190*'Production Steps'!$O$15</f>
        <v>1.2361848813552554</v>
      </c>
      <c r="M193" s="269">
        <f>M190*'Production Steps'!$O$15</f>
        <v>1.1233700171368524</v>
      </c>
      <c r="N193" s="269">
        <f>N190*'Production Steps'!$O$15</f>
        <v>1.3849981039125727</v>
      </c>
      <c r="O193" s="269">
        <f>O190*'Production Steps'!$O$15</f>
        <v>1.5988172913063825</v>
      </c>
      <c r="P193" s="269">
        <f>P190*'Production Steps'!$O$15</f>
        <v>1.7763578628308432</v>
      </c>
      <c r="Q193" s="269">
        <f>Q190*'Production Steps'!$O$15</f>
        <v>1.9374400817637227</v>
      </c>
      <c r="R193" s="269">
        <f>R190*'Production Steps'!$O$15</f>
        <v>2.1139769443598806</v>
      </c>
      <c r="S193" s="269">
        <f>S190*'Production Steps'!$O$15</f>
        <v>2.3065996018916541</v>
      </c>
      <c r="T193" s="269">
        <f>T190*'Production Steps'!$O$15</f>
        <v>2.5167737697620796</v>
      </c>
      <c r="U193" s="269">
        <f>U190*'Production Steps'!$O$15</f>
        <v>2.7460987173360123</v>
      </c>
      <c r="V193" s="270"/>
      <c r="W193" s="270">
        <f>'Production Steps'!H136*1.1</f>
        <v>43.251693973168621</v>
      </c>
      <c r="X193" s="270">
        <f>'Production Steps'!I136*1.1</f>
        <v>40.414811074791928</v>
      </c>
    </row>
    <row r="194" spans="1:24" s="252" customFormat="1" x14ac:dyDescent="0.2">
      <c r="A194" s="266" t="s">
        <v>505</v>
      </c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</row>
    <row r="195" spans="1:24" s="252" customFormat="1" x14ac:dyDescent="0.2">
      <c r="A195" s="267" t="s">
        <v>504</v>
      </c>
      <c r="B195" s="268" t="s">
        <v>851</v>
      </c>
      <c r="C195" s="268" t="s">
        <v>852</v>
      </c>
      <c r="D195" s="268" t="str">
        <f>CONCATENATE(MID(B195,4,6),"1")</f>
        <v>CWMSMS1</v>
      </c>
      <c r="E195" s="255">
        <v>2010</v>
      </c>
      <c r="F195" s="255"/>
      <c r="G195" s="255">
        <v>1.05</v>
      </c>
      <c r="H195" s="255">
        <v>1.05</v>
      </c>
      <c r="I195" s="255">
        <v>1.05</v>
      </c>
      <c r="J195" s="255">
        <v>1.05</v>
      </c>
      <c r="K195" s="255">
        <v>1.05</v>
      </c>
      <c r="L195" s="269">
        <f>L197*'Production Steps'!$O$10</f>
        <v>0.67219145291633575</v>
      </c>
      <c r="M195" s="269">
        <f>M197*'Production Steps'!$O$10</f>
        <v>0.8817053126103912</v>
      </c>
      <c r="N195" s="269">
        <f>N197*'Production Steps'!$O$10</f>
        <v>1.0811978661827901</v>
      </c>
      <c r="O195" s="269">
        <f>O197*'Production Steps'!$O$10</f>
        <v>1.2035473702170187</v>
      </c>
      <c r="P195" s="269">
        <f>P197*'Production Steps'!$O$10</f>
        <v>1.3088240516722187</v>
      </c>
      <c r="Q195" s="269">
        <f>Q197*'Production Steps'!$O$10</f>
        <v>1.3971542258582954</v>
      </c>
      <c r="R195" s="269">
        <f>R197*'Production Steps'!$O$10</f>
        <v>1.4946515701050076</v>
      </c>
      <c r="S195" s="269">
        <f>S197*'Production Steps'!$O$10</f>
        <v>1.598952552746989</v>
      </c>
      <c r="T195" s="269">
        <f>T197*'Production Steps'!$O$10</f>
        <v>1.7105319507719738</v>
      </c>
      <c r="U195" s="269">
        <f>U197*'Production Steps'!$O$10</f>
        <v>1.8298976724387885</v>
      </c>
      <c r="V195" s="270">
        <f>X195*0.8</f>
        <v>138.36406887864001</v>
      </c>
      <c r="W195" s="270">
        <f>'Production Steps'!H138*1.1</f>
        <v>194.49126808876207</v>
      </c>
      <c r="X195" s="270">
        <f>'Production Steps'!I138*1.1</f>
        <v>172.9550860983</v>
      </c>
    </row>
    <row r="196" spans="1:24" s="252" customFormat="1" x14ac:dyDescent="0.2">
      <c r="A196" s="255"/>
      <c r="B196" s="268" t="s">
        <v>853</v>
      </c>
      <c r="C196" s="268" t="s">
        <v>854</v>
      </c>
      <c r="D196" s="268" t="str">
        <f t="shared" ref="D196:D200" si="34">CONCATENATE(MID(B196,4,6),"1")</f>
        <v>CWMSMS1</v>
      </c>
      <c r="E196" s="255">
        <v>2010</v>
      </c>
      <c r="F196" s="255"/>
      <c r="G196" s="255">
        <v>1.05</v>
      </c>
      <c r="H196" s="255">
        <v>1.05</v>
      </c>
      <c r="I196" s="255">
        <v>1.05</v>
      </c>
      <c r="J196" s="255">
        <v>1.05</v>
      </c>
      <c r="K196" s="255">
        <v>1.05</v>
      </c>
      <c r="L196" s="269">
        <f>L197*'Production Steps'!$O$11</f>
        <v>0.76232621592102623</v>
      </c>
      <c r="M196" s="269">
        <f>M197*'Production Steps'!$O$11</f>
        <v>0.99993397952860286</v>
      </c>
      <c r="N196" s="269">
        <f>N197*'Production Steps'!$O$11</f>
        <v>1.2261766709663915</v>
      </c>
      <c r="O196" s="269">
        <f>O197*'Production Steps'!$O$11</f>
        <v>1.3649321312233917</v>
      </c>
      <c r="P196" s="269">
        <f>P197*'Production Steps'!$O$11</f>
        <v>1.4843254586009935</v>
      </c>
      <c r="Q196" s="269">
        <f>Q197*'Production Steps'!$O$11</f>
        <v>1.5844999061438396</v>
      </c>
      <c r="R196" s="269">
        <f>R197*'Production Steps'!$O$11</f>
        <v>1.6950707579145428</v>
      </c>
      <c r="S196" s="269">
        <f>S197*'Production Steps'!$O$11</f>
        <v>1.8133575541380624</v>
      </c>
      <c r="T196" s="269">
        <f>T197*'Production Steps'!$O$11</f>
        <v>1.9398987350800339</v>
      </c>
      <c r="U196" s="269">
        <f>U197*'Production Steps'!$O$11</f>
        <v>2.0752703148794445</v>
      </c>
      <c r="V196" s="270">
        <f>X196*0.8</f>
        <v>135.59678750106718</v>
      </c>
      <c r="W196" s="270">
        <f>'Production Steps'!H139*1.1</f>
        <v>190.60144272698682</v>
      </c>
      <c r="X196" s="270">
        <f>'Production Steps'!I139*1.1</f>
        <v>169.49598437633398</v>
      </c>
    </row>
    <row r="197" spans="1:24" s="252" customFormat="1" x14ac:dyDescent="0.2">
      <c r="A197" s="255"/>
      <c r="B197" s="268" t="s">
        <v>855</v>
      </c>
      <c r="C197" s="268" t="s">
        <v>856</v>
      </c>
      <c r="D197" s="268" t="str">
        <f t="shared" si="34"/>
        <v>CWMSMS1</v>
      </c>
      <c r="E197" s="255">
        <v>2010</v>
      </c>
      <c r="F197" s="255"/>
      <c r="G197" s="255">
        <v>1.05</v>
      </c>
      <c r="H197" s="255">
        <v>1.05</v>
      </c>
      <c r="I197" s="255">
        <v>1.05</v>
      </c>
      <c r="J197" s="255">
        <v>1.05</v>
      </c>
      <c r="K197" s="255">
        <v>1.05</v>
      </c>
      <c r="L197" s="269">
        <f>'AEO Coal Prices'!M37*'Production Steps'!$Q$17*$N$4</f>
        <v>0.76385392376856331</v>
      </c>
      <c r="M197" s="269">
        <f>'AEO Coal Prices'!N37*'Production Steps'!$Q$17*$N$4</f>
        <v>1.001937855239081</v>
      </c>
      <c r="N197" s="269">
        <f>'AEO Coal Prices'!O37*'Production Steps'!$Q$17*$N$4</f>
        <v>1.2286339388440797</v>
      </c>
      <c r="O197" s="269">
        <f>'AEO Coal Prices'!P37*'Production Steps'!$Q$17*$N$4</f>
        <v>1.3676674661557031</v>
      </c>
      <c r="P197" s="269">
        <f>'AEO Coal Prices'!Q37*'Production Steps'!$Q$17*$N$4</f>
        <v>1.4873000587184304</v>
      </c>
      <c r="Q197" s="269">
        <f>'AEO Coal Prices'!R37*'Production Steps'!$Q$17*$N$4</f>
        <v>1.5876752566571539</v>
      </c>
      <c r="R197" s="269">
        <f>'AEO Coal Prices'!S37*'Production Steps'!$Q$17*$N$4</f>
        <v>1.6984676933011451</v>
      </c>
      <c r="S197" s="269">
        <f>R197*(1+(R197-Q197)/Q197)</f>
        <v>1.8169915372124874</v>
      </c>
      <c r="T197" s="269">
        <f>S197*(1+(S197-R197)/R197)</f>
        <v>1.9437863076954247</v>
      </c>
      <c r="U197" s="269">
        <f>T197*(1+(T197-S197)/S197)</f>
        <v>2.079429173225896</v>
      </c>
      <c r="V197" s="270">
        <f>X197*0.8</f>
        <v>2.767281377572822</v>
      </c>
      <c r="W197" s="270">
        <f>'Production Steps'!H140*1.1</f>
        <v>3.8898253617752521</v>
      </c>
      <c r="X197" s="270">
        <f>'Production Steps'!I140*1.1</f>
        <v>3.4591017219660274</v>
      </c>
    </row>
    <row r="198" spans="1:24" s="252" customFormat="1" x14ac:dyDescent="0.2">
      <c r="A198" s="255"/>
      <c r="B198" s="268" t="s">
        <v>857</v>
      </c>
      <c r="C198" s="268" t="s">
        <v>858</v>
      </c>
      <c r="D198" s="268" t="str">
        <f t="shared" si="34"/>
        <v>CWMSMS1</v>
      </c>
      <c r="E198" s="255">
        <v>2010</v>
      </c>
      <c r="F198" s="271"/>
      <c r="G198" s="255">
        <v>1.05</v>
      </c>
      <c r="H198" s="255">
        <v>1.05</v>
      </c>
      <c r="I198" s="255">
        <v>1.05</v>
      </c>
      <c r="J198" s="255">
        <v>1.05</v>
      </c>
      <c r="K198" s="255">
        <v>1.05</v>
      </c>
      <c r="L198" s="269">
        <f>L197*'Production Steps'!$O$13</f>
        <v>0.76614548553986894</v>
      </c>
      <c r="M198" s="269">
        <f>M197*'Production Steps'!$O$13</f>
        <v>1.0049436688047981</v>
      </c>
      <c r="N198" s="269">
        <f>N197*'Production Steps'!$O$13</f>
        <v>1.2323198406606117</v>
      </c>
      <c r="O198" s="269">
        <f>O197*'Production Steps'!$O$13</f>
        <v>1.3717704685541701</v>
      </c>
      <c r="P198" s="269">
        <f>P197*'Production Steps'!$O$13</f>
        <v>1.4917619588945856</v>
      </c>
      <c r="Q198" s="269">
        <f>Q197*'Production Steps'!$O$13</f>
        <v>1.5924382824271253</v>
      </c>
      <c r="R198" s="269">
        <f>R197*'Production Steps'!$O$13</f>
        <v>1.7035630963810484</v>
      </c>
      <c r="S198" s="269">
        <f>S197*'Production Steps'!$O$13</f>
        <v>1.8224425118241248</v>
      </c>
      <c r="T198" s="269">
        <f>T197*'Production Steps'!$O$13</f>
        <v>1.9496176666185108</v>
      </c>
      <c r="U198" s="269">
        <f>U197*'Production Steps'!$O$13</f>
        <v>2.0856674607455736</v>
      </c>
      <c r="V198" s="270">
        <f>X198*0.8</f>
        <v>2.767281377572822</v>
      </c>
      <c r="W198" s="270">
        <f>'Production Steps'!H141*1.1</f>
        <v>3.8898253617752521</v>
      </c>
      <c r="X198" s="270">
        <f>'Production Steps'!I141*1.1</f>
        <v>3.4591017219660274</v>
      </c>
    </row>
    <row r="199" spans="1:24" s="252" customFormat="1" x14ac:dyDescent="0.2">
      <c r="A199" s="255"/>
      <c r="B199" s="268" t="s">
        <v>859</v>
      </c>
      <c r="C199" s="268" t="s">
        <v>860</v>
      </c>
      <c r="D199" s="268" t="str">
        <f t="shared" si="34"/>
        <v>CWMSMS1</v>
      </c>
      <c r="E199" s="255">
        <v>2010</v>
      </c>
      <c r="F199" s="271">
        <f>X199*0.1</f>
        <v>3.1131915497694003</v>
      </c>
      <c r="G199" s="255">
        <v>1.05</v>
      </c>
      <c r="H199" s="255">
        <v>1.05</v>
      </c>
      <c r="I199" s="255">
        <v>1.05</v>
      </c>
      <c r="J199" s="255">
        <v>1.05</v>
      </c>
      <c r="K199" s="255">
        <v>1.05</v>
      </c>
      <c r="L199" s="269">
        <f>L197*'Production Steps'!$O$14</f>
        <v>0.85551639462079099</v>
      </c>
      <c r="M199" s="269">
        <f>M197*'Production Steps'!$O$14</f>
        <v>1.1221703978677708</v>
      </c>
      <c r="N199" s="269">
        <f>N197*'Production Steps'!$O$14</f>
        <v>1.3760700115053695</v>
      </c>
      <c r="O199" s="269">
        <f>O197*'Production Steps'!$O$14</f>
        <v>1.5317875620943877</v>
      </c>
      <c r="P199" s="269">
        <f>P197*'Production Steps'!$O$14</f>
        <v>1.6657760657646423</v>
      </c>
      <c r="Q199" s="269">
        <f>Q197*'Production Steps'!$O$14</f>
        <v>1.7781962874560127</v>
      </c>
      <c r="R199" s="269">
        <f>R197*'Production Steps'!$O$14</f>
        <v>1.9022838164972826</v>
      </c>
      <c r="S199" s="269">
        <f>S197*'Production Steps'!$O$14</f>
        <v>2.035030521677986</v>
      </c>
      <c r="T199" s="269">
        <f>T197*'Production Steps'!$O$14</f>
        <v>2.1770406646188758</v>
      </c>
      <c r="U199" s="269">
        <f>U197*'Production Steps'!$O$14</f>
        <v>2.328960674013004</v>
      </c>
      <c r="V199" s="270"/>
      <c r="W199" s="270">
        <f>'Production Steps'!H142*1.1</f>
        <v>35.008428255977208</v>
      </c>
      <c r="X199" s="270">
        <f>'Production Steps'!I142*1.1</f>
        <v>31.131915497693999</v>
      </c>
    </row>
    <row r="200" spans="1:24" s="252" customFormat="1" x14ac:dyDescent="0.2">
      <c r="A200" s="255"/>
      <c r="B200" s="268" t="s">
        <v>861</v>
      </c>
      <c r="C200" s="268" t="s">
        <v>862</v>
      </c>
      <c r="D200" s="268" t="str">
        <f t="shared" si="34"/>
        <v>CWMSMS1</v>
      </c>
      <c r="E200" s="255">
        <v>2010</v>
      </c>
      <c r="F200" s="271">
        <f>X200*0.1</f>
        <v>3.4591017219659963</v>
      </c>
      <c r="G200" s="255">
        <v>1.05</v>
      </c>
      <c r="H200" s="255">
        <v>1.05</v>
      </c>
      <c r="I200" s="255">
        <v>1.05</v>
      </c>
      <c r="J200" s="255">
        <v>1.05</v>
      </c>
      <c r="K200" s="255">
        <v>1.05</v>
      </c>
      <c r="L200" s="269">
        <f>L197*'Production Steps'!$O$15</f>
        <v>1.1686965033659018</v>
      </c>
      <c r="M200" s="269">
        <f>M197*'Production Steps'!$O$15</f>
        <v>1.5329649185157939</v>
      </c>
      <c r="N200" s="269">
        <f>N197*'Production Steps'!$O$15</f>
        <v>1.8798099264314418</v>
      </c>
      <c r="O200" s="269">
        <f>O197*'Production Steps'!$O$15</f>
        <v>2.0925312232182258</v>
      </c>
      <c r="P200" s="269">
        <f>P197*'Production Steps'!$O$15</f>
        <v>2.2755690898391987</v>
      </c>
      <c r="Q200" s="269">
        <f>Q197*'Production Steps'!$O$15</f>
        <v>2.4291431426854455</v>
      </c>
      <c r="R200" s="269">
        <f>R197*'Production Steps'!$O$15</f>
        <v>2.5986555707507519</v>
      </c>
      <c r="S200" s="269">
        <f>S197*'Production Steps'!$O$15</f>
        <v>2.7799970519351058</v>
      </c>
      <c r="T200" s="269">
        <f>T197*'Production Steps'!$O$15</f>
        <v>2.9739930507739998</v>
      </c>
      <c r="U200" s="269">
        <f>U197*'Production Steps'!$O$15</f>
        <v>3.1815266350356208</v>
      </c>
      <c r="V200" s="270"/>
      <c r="W200" s="270">
        <f>'Production Steps'!H143*1.1</f>
        <v>38.898253617752331</v>
      </c>
      <c r="X200" s="270">
        <f>'Production Steps'!I143*1.1</f>
        <v>34.59101721965996</v>
      </c>
    </row>
    <row r="201" spans="1:24" s="252" customFormat="1" x14ac:dyDescent="0.2">
      <c r="A201" s="266" t="s">
        <v>505</v>
      </c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</row>
    <row r="202" spans="1:24" s="252" customFormat="1" x14ac:dyDescent="0.2">
      <c r="A202" s="267" t="s">
        <v>504</v>
      </c>
      <c r="B202" s="268" t="s">
        <v>863</v>
      </c>
      <c r="C202" s="268" t="s">
        <v>864</v>
      </c>
      <c r="D202" s="268" t="str">
        <f>CONCATENATE(MID(B202,4,6),"1")</f>
        <v>CNWSLS1</v>
      </c>
      <c r="E202" s="255">
        <v>2010</v>
      </c>
      <c r="F202" s="255"/>
      <c r="G202" s="255">
        <v>1.05</v>
      </c>
      <c r="H202" s="255">
        <v>1.05</v>
      </c>
      <c r="I202" s="255">
        <v>1.01</v>
      </c>
      <c r="J202" s="255">
        <v>1.0049999999999999</v>
      </c>
      <c r="K202" s="255">
        <v>1.0049999999999999</v>
      </c>
      <c r="L202" s="269">
        <f>L204*'Production Steps'!$O$10</f>
        <v>0.62923139366168057</v>
      </c>
      <c r="M202" s="269">
        <f>M204*'Production Steps'!$O$10</f>
        <v>0.64649100910491719</v>
      </c>
      <c r="N202" s="269">
        <f>N204*'Production Steps'!$O$10</f>
        <v>0.7922808009058937</v>
      </c>
      <c r="O202" s="269">
        <f>O204*'Production Steps'!$O$10</f>
        <v>0.91457170682684752</v>
      </c>
      <c r="P202" s="269">
        <f>P204*'Production Steps'!$O$10</f>
        <v>1.0411980597845072</v>
      </c>
      <c r="Q202" s="269">
        <f>Q204*'Production Steps'!$O$10</f>
        <v>1.1336380798587764</v>
      </c>
      <c r="R202" s="269">
        <f>R204*'Production Steps'!$O$10</f>
        <v>1.2370411250337607</v>
      </c>
      <c r="S202" s="269">
        <f>S204*'Production Steps'!$O$10</f>
        <v>1.3498759191429306</v>
      </c>
      <c r="T202" s="269">
        <f>T204*'Production Steps'!$O$10</f>
        <v>1.4730027645865387</v>
      </c>
      <c r="U202" s="269">
        <f>U204*'Production Steps'!$O$10</f>
        <v>1.6073604349184962</v>
      </c>
      <c r="V202" s="270">
        <f>X202*0.8</f>
        <v>3312.0771315707848</v>
      </c>
      <c r="W202" s="270">
        <f>'Production Steps'!H146*1.1</f>
        <v>3777.3389088753634</v>
      </c>
      <c r="X202" s="270">
        <f>'Production Steps'!I146*1.1</f>
        <v>4140.0964144634809</v>
      </c>
    </row>
    <row r="203" spans="1:24" s="252" customFormat="1" x14ac:dyDescent="0.2">
      <c r="A203" s="255"/>
      <c r="B203" s="268" t="s">
        <v>865</v>
      </c>
      <c r="C203" s="268" t="s">
        <v>866</v>
      </c>
      <c r="D203" s="268" t="str">
        <f t="shared" ref="D203:D207" si="35">CONCATENATE(MID(B203,4,6),"1")</f>
        <v>CNWSLS1</v>
      </c>
      <c r="E203" s="255">
        <v>2010</v>
      </c>
      <c r="F203" s="255"/>
      <c r="G203" s="255">
        <v>1.05</v>
      </c>
      <c r="H203" s="255">
        <v>1.05</v>
      </c>
      <c r="I203" s="255">
        <v>1.01</v>
      </c>
      <c r="J203" s="255">
        <v>1.0049999999999999</v>
      </c>
      <c r="K203" s="255">
        <v>1.0049999999999999</v>
      </c>
      <c r="L203" s="269">
        <f>L204*'Production Steps'!$O$11</f>
        <v>0.71360560326631495</v>
      </c>
      <c r="M203" s="269">
        <f>M204*'Production Steps'!$O$11</f>
        <v>0.73317957623489483</v>
      </c>
      <c r="N203" s="269">
        <f>N204*'Production Steps'!$O$11</f>
        <v>0.89851845375463857</v>
      </c>
      <c r="O203" s="269">
        <f>O204*'Production Steps'!$O$11</f>
        <v>1.0372074584240838</v>
      </c>
      <c r="P203" s="269">
        <f>P204*'Production Steps'!$O$11</f>
        <v>1.1808132541647023</v>
      </c>
      <c r="Q203" s="269">
        <f>Q204*'Production Steps'!$O$11</f>
        <v>1.2856486405671121</v>
      </c>
      <c r="R203" s="269">
        <f>R204*'Production Steps'!$O$11</f>
        <v>1.4029170940723787</v>
      </c>
      <c r="S203" s="269">
        <f>S204*'Production Steps'!$O$11</f>
        <v>1.5308820083007326</v>
      </c>
      <c r="T203" s="269">
        <f>T204*'Production Steps'!$O$11</f>
        <v>1.67051904438337</v>
      </c>
      <c r="U203" s="269">
        <f>U204*'Production Steps'!$O$11</f>
        <v>1.8228928568734764</v>
      </c>
      <c r="V203" s="270">
        <f>X203*0.8</f>
        <v>3245.8355889393697</v>
      </c>
      <c r="W203" s="270">
        <f>'Production Steps'!H147*1.1</f>
        <v>3701.7921306978565</v>
      </c>
      <c r="X203" s="270">
        <f>'Production Steps'!I147*1.1</f>
        <v>4057.2944861742117</v>
      </c>
    </row>
    <row r="204" spans="1:24" s="252" customFormat="1" x14ac:dyDescent="0.2">
      <c r="A204" s="255"/>
      <c r="B204" s="268" t="s">
        <v>867</v>
      </c>
      <c r="C204" s="268" t="s">
        <v>868</v>
      </c>
      <c r="D204" s="268" t="str">
        <f t="shared" si="35"/>
        <v>CNWSLS1</v>
      </c>
      <c r="E204" s="255">
        <v>2010</v>
      </c>
      <c r="F204" s="255"/>
      <c r="G204" s="255">
        <v>1.05</v>
      </c>
      <c r="H204" s="255">
        <v>1.05</v>
      </c>
      <c r="I204" s="255">
        <v>1.01</v>
      </c>
      <c r="J204" s="255">
        <v>1.0049999999999999</v>
      </c>
      <c r="K204" s="255">
        <v>1.0049999999999999</v>
      </c>
      <c r="L204" s="269">
        <f>'AEO Coal Prices'!M40*'Production Steps'!$Q$17*$N$4</f>
        <v>0.71503567461554607</v>
      </c>
      <c r="M204" s="269">
        <f>'AEO Coal Prices'!N40*'Production Steps'!$Q$17*$N$4</f>
        <v>0.7346488739828605</v>
      </c>
      <c r="N204" s="269">
        <f>'AEO Coal Prices'!O40*'Production Steps'!$Q$17*$N$4</f>
        <v>0.90031909193851556</v>
      </c>
      <c r="O204" s="269">
        <f>'AEO Coal Prices'!P40*'Production Steps'!$Q$17*$N$4</f>
        <v>1.039286030485054</v>
      </c>
      <c r="P204" s="269">
        <f>'AEO Coal Prices'!Q40*'Production Steps'!$Q$17*$N$4</f>
        <v>1.1831796133914854</v>
      </c>
      <c r="Q204" s="269">
        <f>'AEO Coal Prices'!R40*'Production Steps'!$Q$17*$N$4</f>
        <v>1.2882250907486095</v>
      </c>
      <c r="R204" s="269">
        <f>'AEO Coal Prices'!S40*'Production Steps'!$Q$17*$N$4</f>
        <v>1.4057285511747282</v>
      </c>
      <c r="S204" s="269">
        <f>R204*(1+(R204-Q204)/Q204)</f>
        <v>1.5339499081169665</v>
      </c>
      <c r="T204" s="269">
        <f>S204*(1+(S204-R204)/R204)</f>
        <v>1.6738667779392484</v>
      </c>
      <c r="U204" s="269">
        <f>T204*(1+(T204-S204)/S204)</f>
        <v>1.8265459487710185</v>
      </c>
      <c r="V204" s="270">
        <f>X204*0.8</f>
        <v>66.241542631415584</v>
      </c>
      <c r="W204" s="270">
        <f>'Production Steps'!H148*1.1</f>
        <v>75.546778177506994</v>
      </c>
      <c r="X204" s="270">
        <f>'Production Steps'!I148*1.1</f>
        <v>82.801928289269483</v>
      </c>
    </row>
    <row r="205" spans="1:24" s="252" customFormat="1" x14ac:dyDescent="0.2">
      <c r="A205" s="255"/>
      <c r="B205" s="268" t="s">
        <v>869</v>
      </c>
      <c r="C205" s="268" t="s">
        <v>870</v>
      </c>
      <c r="D205" s="268" t="str">
        <f t="shared" si="35"/>
        <v>CNWSLS1</v>
      </c>
      <c r="E205" s="255">
        <v>2010</v>
      </c>
      <c r="F205" s="271"/>
      <c r="G205" s="255">
        <v>1.05</v>
      </c>
      <c r="H205" s="255">
        <v>1.05</v>
      </c>
      <c r="I205" s="255">
        <v>1.01</v>
      </c>
      <c r="J205" s="255">
        <v>1.0049999999999999</v>
      </c>
      <c r="K205" s="255">
        <v>1.0049999999999999</v>
      </c>
      <c r="L205" s="269">
        <f>L204*'Production Steps'!$O$13</f>
        <v>0.71718078163939258</v>
      </c>
      <c r="M205" s="269">
        <f>M204*'Production Steps'!$O$13</f>
        <v>0.73685282060480894</v>
      </c>
      <c r="N205" s="269">
        <f>N204*'Production Steps'!$O$13</f>
        <v>0.90302004921433099</v>
      </c>
      <c r="O205" s="269">
        <f>O204*'Production Steps'!$O$13</f>
        <v>1.042403888576509</v>
      </c>
      <c r="P205" s="269">
        <f>P204*'Production Steps'!$O$13</f>
        <v>1.1867291522316596</v>
      </c>
      <c r="Q205" s="269">
        <f>Q204*'Production Steps'!$O$13</f>
        <v>1.2920897660208552</v>
      </c>
      <c r="R205" s="269">
        <f>R204*'Production Steps'!$O$13</f>
        <v>1.4099457368282522</v>
      </c>
      <c r="S205" s="269">
        <f>S204*'Production Steps'!$O$13</f>
        <v>1.5385517578413173</v>
      </c>
      <c r="T205" s="269">
        <f>T204*'Production Steps'!$O$13</f>
        <v>1.6788883782730659</v>
      </c>
      <c r="U205" s="269">
        <f>U204*'Production Steps'!$O$13</f>
        <v>1.8320255866173314</v>
      </c>
      <c r="V205" s="270">
        <f>X205*0.8</f>
        <v>66.241542631415584</v>
      </c>
      <c r="W205" s="270">
        <f>'Production Steps'!H149*1.1</f>
        <v>75.546778177506994</v>
      </c>
      <c r="X205" s="270">
        <f>'Production Steps'!I149*1.1</f>
        <v>82.801928289269483</v>
      </c>
    </row>
    <row r="206" spans="1:24" s="252" customFormat="1" x14ac:dyDescent="0.2">
      <c r="A206" s="255"/>
      <c r="B206" s="268" t="s">
        <v>871</v>
      </c>
      <c r="C206" s="268" t="s">
        <v>872</v>
      </c>
      <c r="D206" s="268" t="str">
        <f t="shared" si="35"/>
        <v>CNWSLS1</v>
      </c>
      <c r="E206" s="255">
        <v>2010</v>
      </c>
      <c r="F206" s="271">
        <f>X206*0.1</f>
        <v>74.52173546034274</v>
      </c>
      <c r="G206" s="255">
        <v>1.05</v>
      </c>
      <c r="H206" s="255">
        <v>1.05</v>
      </c>
      <c r="I206" s="255">
        <v>1.01</v>
      </c>
      <c r="J206" s="255">
        <v>1.0049999999999999</v>
      </c>
      <c r="K206" s="255">
        <v>1.0049999999999999</v>
      </c>
      <c r="L206" s="269">
        <f>L204*'Production Steps'!$O$14</f>
        <v>0.80083995556941168</v>
      </c>
      <c r="M206" s="269">
        <f>M204*'Production Steps'!$O$14</f>
        <v>0.8228067388608038</v>
      </c>
      <c r="N206" s="269">
        <f>N204*'Production Steps'!$O$14</f>
        <v>1.0083573829711374</v>
      </c>
      <c r="O206" s="269">
        <f>O204*'Production Steps'!$O$14</f>
        <v>1.1640003541432606</v>
      </c>
      <c r="P206" s="269">
        <f>P204*'Production Steps'!$O$14</f>
        <v>1.3251611669984638</v>
      </c>
      <c r="Q206" s="269">
        <f>Q204*'Production Steps'!$O$14</f>
        <v>1.4428121016384428</v>
      </c>
      <c r="R206" s="269">
        <f>R204*'Production Steps'!$O$14</f>
        <v>1.5744159773156956</v>
      </c>
      <c r="S206" s="269">
        <f>S204*'Production Steps'!$O$14</f>
        <v>1.7180238970910027</v>
      </c>
      <c r="T206" s="269">
        <f>T204*'Production Steps'!$O$14</f>
        <v>1.8747307912919584</v>
      </c>
      <c r="U206" s="269">
        <f>U204*'Production Steps'!$O$14</f>
        <v>2.0457314626235408</v>
      </c>
      <c r="V206" s="270"/>
      <c r="W206" s="270">
        <f>'Production Steps'!H150*1.1</f>
        <v>679.92100359756591</v>
      </c>
      <c r="X206" s="270">
        <f>'Production Steps'!I150*1.1</f>
        <v>745.21735460342734</v>
      </c>
    </row>
    <row r="207" spans="1:24" s="252" customFormat="1" x14ac:dyDescent="0.2">
      <c r="A207" s="255"/>
      <c r="B207" s="268" t="s">
        <v>873</v>
      </c>
      <c r="C207" s="268" t="s">
        <v>874</v>
      </c>
      <c r="D207" s="268" t="str">
        <f t="shared" si="35"/>
        <v>CNWSLS1</v>
      </c>
      <c r="E207" s="255">
        <v>2010</v>
      </c>
      <c r="F207" s="271">
        <f>X207*0.1</f>
        <v>82.801928289269483</v>
      </c>
      <c r="G207" s="255">
        <v>1.05</v>
      </c>
      <c r="H207" s="255">
        <v>1.05</v>
      </c>
      <c r="I207" s="255">
        <v>1.01</v>
      </c>
      <c r="J207" s="255">
        <v>1.0049999999999999</v>
      </c>
      <c r="K207" s="255">
        <v>1.0049999999999999</v>
      </c>
      <c r="L207" s="269">
        <f>L204*'Production Steps'!$O$15</f>
        <v>1.0940045821617854</v>
      </c>
      <c r="M207" s="269">
        <f>M204*'Production Steps'!$O$15</f>
        <v>1.1240127771937767</v>
      </c>
      <c r="N207" s="269">
        <f>N204*'Production Steps'!$O$15</f>
        <v>1.3774882106659287</v>
      </c>
      <c r="O207" s="269">
        <f>O204*'Production Steps'!$O$15</f>
        <v>1.5901076266421326</v>
      </c>
      <c r="P207" s="269">
        <f>P204*'Production Steps'!$O$15</f>
        <v>1.8102648084889725</v>
      </c>
      <c r="Q207" s="269">
        <f>Q204*'Production Steps'!$O$15</f>
        <v>1.9709843888453724</v>
      </c>
      <c r="R207" s="269">
        <f>R204*'Production Steps'!$O$15</f>
        <v>2.1507646832973339</v>
      </c>
      <c r="S207" s="269">
        <f>S204*'Production Steps'!$O$15</f>
        <v>2.3469433594189586</v>
      </c>
      <c r="T207" s="269">
        <f>T204*'Production Steps'!$O$15</f>
        <v>2.5610161702470502</v>
      </c>
      <c r="U207" s="269">
        <f>U204*'Production Steps'!$O$15</f>
        <v>2.7946153016196584</v>
      </c>
      <c r="V207" s="270"/>
      <c r="W207" s="270">
        <f>'Production Steps'!H151*1.1</f>
        <v>755.46778177507292</v>
      </c>
      <c r="X207" s="270">
        <f>'Production Steps'!I151*1.1</f>
        <v>828.01928289269483</v>
      </c>
    </row>
    <row r="208" spans="1:24" s="252" customFormat="1" x14ac:dyDescent="0.2">
      <c r="A208" s="266" t="s">
        <v>505</v>
      </c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</row>
    <row r="209" spans="1:24" s="252" customFormat="1" x14ac:dyDescent="0.2">
      <c r="A209" s="267" t="s">
        <v>504</v>
      </c>
      <c r="B209" s="268" t="s">
        <v>875</v>
      </c>
      <c r="C209" s="268" t="s">
        <v>876</v>
      </c>
      <c r="D209" s="268" t="str">
        <f>CONCATENATE(MID(B209,4,6),"1")</f>
        <v>CNWSMS1</v>
      </c>
      <c r="E209" s="255">
        <v>2010</v>
      </c>
      <c r="F209" s="255"/>
      <c r="G209" s="255">
        <v>1.05</v>
      </c>
      <c r="H209" s="255">
        <v>1.05</v>
      </c>
      <c r="I209" s="255">
        <v>1.05</v>
      </c>
      <c r="J209" s="255">
        <v>1.05</v>
      </c>
      <c r="K209" s="255">
        <v>1.05</v>
      </c>
      <c r="L209" s="269">
        <f>L211*'Production Steps'!$O$10</f>
        <v>0.54959017602314186</v>
      </c>
      <c r="M209" s="269">
        <f>M211*'Production Steps'!$O$10</f>
        <v>0.70265592564423851</v>
      </c>
      <c r="N209" s="269">
        <f>N211*'Production Steps'!$O$10</f>
        <v>1.0234852287063876</v>
      </c>
      <c r="O209" s="269">
        <f>O211*'Production Steps'!$O$10</f>
        <v>1.1388142853816425</v>
      </c>
      <c r="P209" s="269">
        <f>P211*'Production Steps'!$O$10</f>
        <v>1.2423747988137983</v>
      </c>
      <c r="Q209" s="269">
        <f>Q211*'Production Steps'!$O$10</f>
        <v>1.3290391886740924</v>
      </c>
      <c r="R209" s="269">
        <f>R211*'Production Steps'!$O$10</f>
        <v>1.4248251740676954</v>
      </c>
      <c r="S209" s="269">
        <f>S211*'Production Steps'!$O$10</f>
        <v>1.527514609017949</v>
      </c>
      <c r="T209" s="269">
        <f>T211*'Production Steps'!$O$10</f>
        <v>1.6376050362038306</v>
      </c>
      <c r="U209" s="269">
        <f>U211*'Production Steps'!$O$10</f>
        <v>1.7556298570029829</v>
      </c>
      <c r="V209" s="270">
        <f>X209*0.8</f>
        <v>18.144375105429759</v>
      </c>
      <c r="W209" s="270">
        <f>'Production Steps'!H153*1.1</f>
        <v>33.695512663989547</v>
      </c>
      <c r="X209" s="270">
        <f>'Production Steps'!I153*1.1</f>
        <v>22.680468881787199</v>
      </c>
    </row>
    <row r="210" spans="1:24" s="252" customFormat="1" x14ac:dyDescent="0.2">
      <c r="A210" s="255"/>
      <c r="B210" s="268" t="s">
        <v>877</v>
      </c>
      <c r="C210" s="268" t="s">
        <v>878</v>
      </c>
      <c r="D210" s="268" t="str">
        <f t="shared" ref="D210:D214" si="36">CONCATENATE(MID(B210,4,6),"1")</f>
        <v>CNWSMS1</v>
      </c>
      <c r="E210" s="255">
        <v>2010</v>
      </c>
      <c r="F210" s="255"/>
      <c r="G210" s="255">
        <v>1.05</v>
      </c>
      <c r="H210" s="255">
        <v>1.05</v>
      </c>
      <c r="I210" s="255">
        <v>1.05</v>
      </c>
      <c r="J210" s="255">
        <v>1.05</v>
      </c>
      <c r="K210" s="255">
        <v>1.05</v>
      </c>
      <c r="L210" s="269">
        <f>L211*'Production Steps'!$O$11</f>
        <v>0.62328522235351769</v>
      </c>
      <c r="M210" s="269">
        <f>M211*'Production Steps'!$O$11</f>
        <v>0.79687569749198861</v>
      </c>
      <c r="N210" s="269">
        <f>N211*'Production Steps'!$O$11</f>
        <v>1.1607252934647441</v>
      </c>
      <c r="O210" s="269">
        <f>O211*'Production Steps'!$O$11</f>
        <v>1.291518928194181</v>
      </c>
      <c r="P210" s="269">
        <f>P211*'Production Steps'!$O$11</f>
        <v>1.4089659650183759</v>
      </c>
      <c r="Q210" s="269">
        <f>Q211*'Production Steps'!$O$11</f>
        <v>1.5072512617008458</v>
      </c>
      <c r="R210" s="269">
        <f>R211*'Production Steps'!$O$11</f>
        <v>1.6158812769540454</v>
      </c>
      <c r="S210" s="269">
        <f>S211*'Production Steps'!$O$11</f>
        <v>1.7323404315908104</v>
      </c>
      <c r="T210" s="269">
        <f>T211*'Production Steps'!$O$11</f>
        <v>1.8571929842402533</v>
      </c>
      <c r="U210" s="269">
        <f>U211*'Production Steps'!$O$11</f>
        <v>1.9910438605556555</v>
      </c>
      <c r="V210" s="270">
        <f>X210*0.8</f>
        <v>17.781487603321164</v>
      </c>
      <c r="W210" s="270">
        <f>'Production Steps'!H154*1.1</f>
        <v>33.021602410709754</v>
      </c>
      <c r="X210" s="270">
        <f>'Production Steps'!I154*1.1</f>
        <v>22.226859504151452</v>
      </c>
    </row>
    <row r="211" spans="1:24" s="252" customFormat="1" x14ac:dyDescent="0.2">
      <c r="A211" s="255"/>
      <c r="B211" s="268" t="s">
        <v>879</v>
      </c>
      <c r="C211" s="268" t="s">
        <v>880</v>
      </c>
      <c r="D211" s="268" t="str">
        <f t="shared" si="36"/>
        <v>CNWSMS1</v>
      </c>
      <c r="E211" s="255">
        <v>2010</v>
      </c>
      <c r="F211" s="255"/>
      <c r="G211" s="255">
        <v>1.05</v>
      </c>
      <c r="H211" s="255">
        <v>1.05</v>
      </c>
      <c r="I211" s="255">
        <v>1.05</v>
      </c>
      <c r="J211" s="255">
        <v>1.05</v>
      </c>
      <c r="K211" s="255">
        <v>1.05</v>
      </c>
      <c r="L211" s="269">
        <f>'AEO Coal Prices'!M41*'Production Steps'!$Q$17*$N$4</f>
        <v>0.62453429093538848</v>
      </c>
      <c r="M211" s="269">
        <f>'AEO Coal Prices'!N41*'Production Steps'!$Q$17*$N$4</f>
        <v>0.79847264277754371</v>
      </c>
      <c r="N211" s="269">
        <f>'AEO Coal Prices'!O41*'Production Steps'!$Q$17*$N$4</f>
        <v>1.1630513962572586</v>
      </c>
      <c r="O211" s="269">
        <f>'AEO Coal Prices'!P41*'Production Steps'!$Q$17*$N$4</f>
        <v>1.2941071424791393</v>
      </c>
      <c r="P211" s="269">
        <f>'AEO Coal Prices'!Q41*'Production Steps'!$Q$17*$N$4</f>
        <v>1.4117895441065891</v>
      </c>
      <c r="Q211" s="269">
        <f>'AEO Coal Prices'!R41*'Production Steps'!$Q$17*$N$4</f>
        <v>1.5102718053114688</v>
      </c>
      <c r="R211" s="269">
        <f>'AEO Coal Prices'!S41*'Production Steps'!$Q$17*$N$4</f>
        <v>1.6191195159860174</v>
      </c>
      <c r="S211" s="269">
        <f>R211*(1+(R211-Q211)/Q211)</f>
        <v>1.7358120557022148</v>
      </c>
      <c r="T211" s="269">
        <f>S211*(1+(S211-R211)/R211)</f>
        <v>1.8609148138679892</v>
      </c>
      <c r="U211" s="269">
        <f>T211*(1+(T211-S211)/S211)</f>
        <v>1.9950339284124805</v>
      </c>
      <c r="V211" s="270">
        <f>X211*0.8</f>
        <v>0.36288750210859694</v>
      </c>
      <c r="W211" s="270">
        <f>'Production Steps'!H155*1.1</f>
        <v>0.67391025327978937</v>
      </c>
      <c r="X211" s="270">
        <f>'Production Steps'!I155*1.1</f>
        <v>0.45360937763574616</v>
      </c>
    </row>
    <row r="212" spans="1:24" s="252" customFormat="1" x14ac:dyDescent="0.2">
      <c r="A212" s="255"/>
      <c r="B212" s="268" t="s">
        <v>881</v>
      </c>
      <c r="C212" s="268" t="s">
        <v>882</v>
      </c>
      <c r="D212" s="268" t="str">
        <f t="shared" si="36"/>
        <v>CNWSMS1</v>
      </c>
      <c r="E212" s="255">
        <v>2010</v>
      </c>
      <c r="F212" s="271"/>
      <c r="G212" s="255">
        <v>1.05</v>
      </c>
      <c r="H212" s="255">
        <v>1.05</v>
      </c>
      <c r="I212" s="255">
        <v>1.05</v>
      </c>
      <c r="J212" s="255">
        <v>1.05</v>
      </c>
      <c r="K212" s="255">
        <v>1.05</v>
      </c>
      <c r="L212" s="269">
        <f>L211*'Production Steps'!$O$13</f>
        <v>0.62640789380819462</v>
      </c>
      <c r="M212" s="269">
        <f>M211*'Production Steps'!$O$13</f>
        <v>0.80086806070587624</v>
      </c>
      <c r="N212" s="269">
        <f>N211*'Production Steps'!$O$13</f>
        <v>1.1665405504460302</v>
      </c>
      <c r="O212" s="269">
        <f>O211*'Production Steps'!$O$13</f>
        <v>1.2979894639065765</v>
      </c>
      <c r="P212" s="269">
        <f>P211*'Production Steps'!$O$13</f>
        <v>1.4160249127389086</v>
      </c>
      <c r="Q212" s="269">
        <f>Q211*'Production Steps'!$O$13</f>
        <v>1.514802620727403</v>
      </c>
      <c r="R212" s="269">
        <f>R211*'Production Steps'!$O$13</f>
        <v>1.6239768745339753</v>
      </c>
      <c r="S212" s="269">
        <f>S211*'Production Steps'!$O$13</f>
        <v>1.7410194918693211</v>
      </c>
      <c r="T212" s="269">
        <f>T211*'Production Steps'!$O$13</f>
        <v>1.8664975583095929</v>
      </c>
      <c r="U212" s="269">
        <f>U211*'Production Steps'!$O$13</f>
        <v>2.0010190301977175</v>
      </c>
      <c r="V212" s="270">
        <f>X212*0.8</f>
        <v>0.36288750210859694</v>
      </c>
      <c r="W212" s="270">
        <f>'Production Steps'!H156*1.1</f>
        <v>0.67391025327978937</v>
      </c>
      <c r="X212" s="270">
        <f>'Production Steps'!I156*1.1</f>
        <v>0.45360937763574616</v>
      </c>
    </row>
    <row r="213" spans="1:24" s="252" customFormat="1" x14ac:dyDescent="0.2">
      <c r="A213" s="255"/>
      <c r="B213" s="268" t="s">
        <v>883</v>
      </c>
      <c r="C213" s="268" t="s">
        <v>884</v>
      </c>
      <c r="D213" s="268" t="str">
        <f t="shared" si="36"/>
        <v>CNWSMS1</v>
      </c>
      <c r="E213" s="255">
        <v>2010</v>
      </c>
      <c r="F213" s="271">
        <f>X213*0.1</f>
        <v>0.40824843987217002</v>
      </c>
      <c r="G213" s="255">
        <v>1.05</v>
      </c>
      <c r="H213" s="255">
        <v>1.05</v>
      </c>
      <c r="I213" s="255">
        <v>1.05</v>
      </c>
      <c r="J213" s="255">
        <v>1.05</v>
      </c>
      <c r="K213" s="255">
        <v>1.05</v>
      </c>
      <c r="L213" s="269">
        <f>L211*'Production Steps'!$O$14</f>
        <v>0.69947840584763521</v>
      </c>
      <c r="M213" s="269">
        <f>M211*'Production Steps'!$O$14</f>
        <v>0.89428935991084901</v>
      </c>
      <c r="N213" s="269">
        <f>N211*'Production Steps'!$O$14</f>
        <v>1.3026175638081299</v>
      </c>
      <c r="O213" s="269">
        <f>O211*'Production Steps'!$O$14</f>
        <v>1.4493999995766362</v>
      </c>
      <c r="P213" s="269">
        <f>P211*'Production Steps'!$O$14</f>
        <v>1.5812042893993798</v>
      </c>
      <c r="Q213" s="269">
        <f>Q211*'Production Steps'!$O$14</f>
        <v>1.6915044219488451</v>
      </c>
      <c r="R213" s="269">
        <f>R211*'Production Steps'!$O$14</f>
        <v>1.8134138579043397</v>
      </c>
      <c r="S213" s="269">
        <f>S211*'Production Steps'!$O$14</f>
        <v>1.9441095023864807</v>
      </c>
      <c r="T213" s="269">
        <f>T211*'Production Steps'!$O$14</f>
        <v>2.084224591532148</v>
      </c>
      <c r="U213" s="269">
        <f>U211*'Production Steps'!$O$14</f>
        <v>2.2344379998219783</v>
      </c>
      <c r="V213" s="270"/>
      <c r="W213" s="270">
        <f>'Production Steps'!H157*1.1</f>
        <v>6.0651922795181283</v>
      </c>
      <c r="X213" s="270">
        <f>'Production Steps'!I157*1.1</f>
        <v>4.0824843987217001</v>
      </c>
    </row>
    <row r="214" spans="1:24" s="252" customFormat="1" x14ac:dyDescent="0.2">
      <c r="A214" s="255"/>
      <c r="B214" s="268" t="s">
        <v>885</v>
      </c>
      <c r="C214" s="268" t="s">
        <v>886</v>
      </c>
      <c r="D214" s="268" t="str">
        <f t="shared" si="36"/>
        <v>CNWSMS1</v>
      </c>
      <c r="E214" s="255">
        <v>2010</v>
      </c>
      <c r="F214" s="271">
        <f>X214*0.1</f>
        <v>0.45360937763574305</v>
      </c>
      <c r="G214" s="255">
        <v>1.05</v>
      </c>
      <c r="H214" s="255">
        <v>1.05</v>
      </c>
      <c r="I214" s="255">
        <v>1.05</v>
      </c>
      <c r="J214" s="255">
        <v>1.05</v>
      </c>
      <c r="K214" s="255">
        <v>1.05</v>
      </c>
      <c r="L214" s="269">
        <f>L211*'Production Steps'!$O$15</f>
        <v>0.95553746513114435</v>
      </c>
      <c r="M214" s="269">
        <f>M211*'Production Steps'!$O$15</f>
        <v>1.2216631434496419</v>
      </c>
      <c r="N214" s="269">
        <f>N211*'Production Steps'!$O$15</f>
        <v>1.7794686362736056</v>
      </c>
      <c r="O214" s="269">
        <f>O211*'Production Steps'!$O$15</f>
        <v>1.9799839279930831</v>
      </c>
      <c r="P214" s="269">
        <f>P211*'Production Steps'!$O$15</f>
        <v>2.1600380024830814</v>
      </c>
      <c r="Q214" s="269">
        <f>Q211*'Production Steps'!$O$15</f>
        <v>2.3107158621265471</v>
      </c>
      <c r="R214" s="269">
        <f>R211*'Production Steps'!$O$15</f>
        <v>2.4772528594586065</v>
      </c>
      <c r="S214" s="269">
        <f>S211*'Production Steps'!$O$15</f>
        <v>2.6557924452243884</v>
      </c>
      <c r="T214" s="269">
        <f>T211*'Production Steps'!$O$15</f>
        <v>2.8471996652180236</v>
      </c>
      <c r="U214" s="269">
        <f>U211*'Production Steps'!$O$15</f>
        <v>3.0524019104710951</v>
      </c>
      <c r="V214" s="270"/>
      <c r="W214" s="270">
        <f>'Production Steps'!H158*1.1</f>
        <v>6.7391025327978946</v>
      </c>
      <c r="X214" s="270">
        <f>'Production Steps'!I158*1.1</f>
        <v>4.5360937763574301</v>
      </c>
    </row>
    <row r="215" spans="1:24" s="252" customFormat="1" x14ac:dyDescent="0.2">
      <c r="A215" s="266" t="s">
        <v>505</v>
      </c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</row>
    <row r="216" spans="1:24" s="252" customFormat="1" x14ac:dyDescent="0.2">
      <c r="A216" s="267" t="s">
        <v>504</v>
      </c>
      <c r="B216" s="268" t="s">
        <v>887</v>
      </c>
      <c r="C216" s="268" t="s">
        <v>888</v>
      </c>
      <c r="D216" s="268" t="str">
        <f>CONCATENATE(MID(B216,4,6),"1")</f>
        <v>CWWSLU1</v>
      </c>
      <c r="E216" s="255">
        <v>2010</v>
      </c>
      <c r="F216" s="255"/>
      <c r="G216" s="255">
        <v>1.05</v>
      </c>
      <c r="H216" s="255">
        <v>1.05</v>
      </c>
      <c r="I216" s="255">
        <v>1.05</v>
      </c>
      <c r="J216" s="255">
        <v>1.05</v>
      </c>
      <c r="K216" s="255">
        <v>1.05</v>
      </c>
      <c r="L216" s="269">
        <f>L218*'Production Steps'!$O$10</f>
        <v>0.79200000000000004</v>
      </c>
      <c r="M216" s="269">
        <f>M218*'Production Steps'!$O$10</f>
        <v>0.79200000000000004</v>
      </c>
      <c r="N216" s="269">
        <f>N218*'Production Steps'!$O$10</f>
        <v>0.79200000000000004</v>
      </c>
      <c r="O216" s="269">
        <f>O218*'Production Steps'!$O$10</f>
        <v>0.79200000000000004</v>
      </c>
      <c r="P216" s="269">
        <f>P218*'Production Steps'!$O$10</f>
        <v>0.79200000000000004</v>
      </c>
      <c r="Q216" s="269">
        <f>Q218*'Production Steps'!$O$10</f>
        <v>0.79200000000000004</v>
      </c>
      <c r="R216" s="269">
        <f>R218*'Production Steps'!$O$10</f>
        <v>0.79200000000000004</v>
      </c>
      <c r="S216" s="269">
        <f>S218*'Production Steps'!$O$10</f>
        <v>0.79200000000000004</v>
      </c>
      <c r="T216" s="269">
        <f>T218*'Production Steps'!$O$10</f>
        <v>0.79200000000000004</v>
      </c>
      <c r="U216" s="269">
        <f>U218*'Production Steps'!$O$10</f>
        <v>0.79200000000000004</v>
      </c>
      <c r="V216" s="270">
        <f>X216*0.8</f>
        <v>33.494320127458352</v>
      </c>
      <c r="W216" s="270">
        <f>'Production Steps'!H161*1.1*'Production Steps'!K161</f>
        <v>24.953010894436165</v>
      </c>
      <c r="X216" s="270">
        <f>'Production Steps'!I161*1.1*'Production Steps'!K161</f>
        <v>41.867900159322936</v>
      </c>
    </row>
    <row r="217" spans="1:24" s="252" customFormat="1" x14ac:dyDescent="0.2">
      <c r="A217" s="255"/>
      <c r="B217" s="268" t="s">
        <v>889</v>
      </c>
      <c r="C217" s="268" t="s">
        <v>890</v>
      </c>
      <c r="D217" s="268" t="str">
        <f t="shared" ref="D217:D221" si="37">CONCATENATE(MID(B217,4,6),"1")</f>
        <v>CWWSLU1</v>
      </c>
      <c r="E217" s="255">
        <v>2010</v>
      </c>
      <c r="F217" s="255"/>
      <c r="G217" s="255">
        <v>1.05</v>
      </c>
      <c r="H217" s="255">
        <v>1.05</v>
      </c>
      <c r="I217" s="255">
        <v>1.05</v>
      </c>
      <c r="J217" s="255">
        <v>1.05</v>
      </c>
      <c r="K217" s="255">
        <v>1.05</v>
      </c>
      <c r="L217" s="269">
        <f>L218*'Production Steps'!$O$11</f>
        <v>0.8982</v>
      </c>
      <c r="M217" s="269">
        <f>M218*'Production Steps'!$O$11</f>
        <v>0.8982</v>
      </c>
      <c r="N217" s="269">
        <f>N218*'Production Steps'!$O$11</f>
        <v>0.8982</v>
      </c>
      <c r="O217" s="269">
        <f>O218*'Production Steps'!$O$11</f>
        <v>0.8982</v>
      </c>
      <c r="P217" s="269">
        <f>P218*'Production Steps'!$O$11</f>
        <v>0.8982</v>
      </c>
      <c r="Q217" s="269">
        <f>Q218*'Production Steps'!$O$11</f>
        <v>0.8982</v>
      </c>
      <c r="R217" s="269">
        <f>R218*'Production Steps'!$O$11</f>
        <v>0.8982</v>
      </c>
      <c r="S217" s="269">
        <f>S218*'Production Steps'!$O$11</f>
        <v>0.8982</v>
      </c>
      <c r="T217" s="269">
        <f>T218*'Production Steps'!$O$11</f>
        <v>0.8982</v>
      </c>
      <c r="U217" s="269">
        <f>U218*'Production Steps'!$O$11</f>
        <v>0.8982</v>
      </c>
      <c r="V217" s="270">
        <f>X217*0.8</f>
        <v>32.824433724909191</v>
      </c>
      <c r="W217" s="270">
        <f>'Production Steps'!H162*1.1*'Production Steps'!K162</f>
        <v>24.453950676547443</v>
      </c>
      <c r="X217" s="270">
        <f>'Production Steps'!I162*1.1*'Production Steps'!K162</f>
        <v>41.030542156136484</v>
      </c>
    </row>
    <row r="218" spans="1:24" s="252" customFormat="1" x14ac:dyDescent="0.2">
      <c r="A218" s="255"/>
      <c r="B218" s="268" t="s">
        <v>891</v>
      </c>
      <c r="C218" s="268" t="s">
        <v>892</v>
      </c>
      <c r="D218" s="268" t="str">
        <f t="shared" si="37"/>
        <v>CWWSLU1</v>
      </c>
      <c r="E218" s="255">
        <v>2010</v>
      </c>
      <c r="F218" s="255"/>
      <c r="G218" s="255">
        <v>1.05</v>
      </c>
      <c r="H218" s="255">
        <v>1.05</v>
      </c>
      <c r="I218" s="255">
        <v>1.05</v>
      </c>
      <c r="J218" s="255">
        <v>1.05</v>
      </c>
      <c r="K218" s="255">
        <v>1.05</v>
      </c>
      <c r="L218" s="269">
        <f>'AEO Coal Prices'!M44*'Production Steps'!R$17+$N$4</f>
        <v>0.9</v>
      </c>
      <c r="M218" s="269">
        <f>'AEO Coal Prices'!N44*'Production Steps'!S$17+$N$4</f>
        <v>0.9</v>
      </c>
      <c r="N218" s="269">
        <f>'AEO Coal Prices'!O44*'Production Steps'!T$17+$N$4</f>
        <v>0.9</v>
      </c>
      <c r="O218" s="269">
        <f>'AEO Coal Prices'!P44*'Production Steps'!U$17+$N$4</f>
        <v>0.9</v>
      </c>
      <c r="P218" s="269">
        <f>'AEO Coal Prices'!Q44*'Production Steps'!V$17+$N$4</f>
        <v>0.9</v>
      </c>
      <c r="Q218" s="269">
        <f>'AEO Coal Prices'!R44*'Production Steps'!W$17+$N$4</f>
        <v>0.9</v>
      </c>
      <c r="R218" s="269">
        <f>'AEO Coal Prices'!S44*'Production Steps'!X$17+$N$4</f>
        <v>0.9</v>
      </c>
      <c r="S218" s="269">
        <f>R218*(1+(R218-Q218)/Q218)</f>
        <v>0.9</v>
      </c>
      <c r="T218" s="269">
        <f>S218*(1+(S218-R218)/R218)</f>
        <v>0.9</v>
      </c>
      <c r="U218" s="269">
        <f>T218*(1+(T218-S218)/S218)</f>
        <v>0.9</v>
      </c>
      <c r="V218" s="270">
        <f>X218*0.8</f>
        <v>0.66988640254916287</v>
      </c>
      <c r="W218" s="270">
        <f>'Production Steps'!H163*1.1*'Production Steps'!K163</f>
        <v>0.49906021788872401</v>
      </c>
      <c r="X218" s="270">
        <f>'Production Steps'!I163*1.1*'Production Steps'!K163</f>
        <v>0.83735800318645359</v>
      </c>
    </row>
    <row r="219" spans="1:24" s="252" customFormat="1" x14ac:dyDescent="0.2">
      <c r="A219" s="255"/>
      <c r="B219" s="268" t="s">
        <v>893</v>
      </c>
      <c r="C219" s="268" t="s">
        <v>894</v>
      </c>
      <c r="D219" s="268" t="str">
        <f t="shared" si="37"/>
        <v>CWWSLU1</v>
      </c>
      <c r="E219" s="255">
        <v>2010</v>
      </c>
      <c r="F219" s="271"/>
      <c r="G219" s="255">
        <v>1.05</v>
      </c>
      <c r="H219" s="255">
        <v>1.05</v>
      </c>
      <c r="I219" s="255">
        <v>1.05</v>
      </c>
      <c r="J219" s="255">
        <v>1.05</v>
      </c>
      <c r="K219" s="255">
        <v>1.05</v>
      </c>
      <c r="L219" s="269">
        <f>L218*'Production Steps'!$O$13</f>
        <v>0.90269999999999995</v>
      </c>
      <c r="M219" s="269">
        <f>M218*'Production Steps'!$O$13</f>
        <v>0.90269999999999995</v>
      </c>
      <c r="N219" s="269">
        <f>N218*'Production Steps'!$O$13</f>
        <v>0.90269999999999995</v>
      </c>
      <c r="O219" s="269">
        <f>O218*'Production Steps'!$O$13</f>
        <v>0.90269999999999995</v>
      </c>
      <c r="P219" s="269">
        <f>P218*'Production Steps'!$O$13</f>
        <v>0.90269999999999995</v>
      </c>
      <c r="Q219" s="269">
        <f>Q218*'Production Steps'!$O$13</f>
        <v>0.90269999999999995</v>
      </c>
      <c r="R219" s="269">
        <f>R218*'Production Steps'!$O$13</f>
        <v>0.90269999999999995</v>
      </c>
      <c r="S219" s="269">
        <f>S218*'Production Steps'!$O$13</f>
        <v>0.90269999999999995</v>
      </c>
      <c r="T219" s="269">
        <f>T218*'Production Steps'!$O$13</f>
        <v>0.90269999999999995</v>
      </c>
      <c r="U219" s="269">
        <f>U218*'Production Steps'!$O$13</f>
        <v>0.90269999999999995</v>
      </c>
      <c r="V219" s="270">
        <f>X219*0.8</f>
        <v>0.66988640254916287</v>
      </c>
      <c r="W219" s="270">
        <f>'Production Steps'!H164*1.1*'Production Steps'!K164</f>
        <v>0.49906021788872401</v>
      </c>
      <c r="X219" s="270">
        <f>'Production Steps'!I164*1.1*'Production Steps'!K164</f>
        <v>0.83735800318645359</v>
      </c>
    </row>
    <row r="220" spans="1:24" s="252" customFormat="1" x14ac:dyDescent="0.2">
      <c r="A220" s="255"/>
      <c r="B220" s="268" t="s">
        <v>895</v>
      </c>
      <c r="C220" s="268" t="s">
        <v>896</v>
      </c>
      <c r="D220" s="268" t="str">
        <f t="shared" si="37"/>
        <v>CWWSLU1</v>
      </c>
      <c r="E220" s="255">
        <v>2010</v>
      </c>
      <c r="F220" s="271">
        <f>X220*0.1</f>
        <v>0.75362220286781367</v>
      </c>
      <c r="G220" s="255">
        <v>1.05</v>
      </c>
      <c r="H220" s="255">
        <v>1.05</v>
      </c>
      <c r="I220" s="255">
        <v>1.05</v>
      </c>
      <c r="J220" s="255">
        <v>1.05</v>
      </c>
      <c r="K220" s="255">
        <v>1.05</v>
      </c>
      <c r="L220" s="269">
        <f>L218*'Production Steps'!$O$14</f>
        <v>1.0080000000000002</v>
      </c>
      <c r="M220" s="269">
        <f>M218*'Production Steps'!$O$14</f>
        <v>1.0080000000000002</v>
      </c>
      <c r="N220" s="269">
        <f>N218*'Production Steps'!$O$14</f>
        <v>1.0080000000000002</v>
      </c>
      <c r="O220" s="269">
        <f>O218*'Production Steps'!$O$14</f>
        <v>1.0080000000000002</v>
      </c>
      <c r="P220" s="269">
        <f>P218*'Production Steps'!$O$14</f>
        <v>1.0080000000000002</v>
      </c>
      <c r="Q220" s="269">
        <f>Q218*'Production Steps'!$O$14</f>
        <v>1.0080000000000002</v>
      </c>
      <c r="R220" s="269">
        <f>R218*'Production Steps'!$O$14</f>
        <v>1.0080000000000002</v>
      </c>
      <c r="S220" s="269">
        <f>S218*'Production Steps'!$O$14</f>
        <v>1.0080000000000002</v>
      </c>
      <c r="T220" s="269">
        <f>T218*'Production Steps'!$O$14</f>
        <v>1.0080000000000002</v>
      </c>
      <c r="U220" s="269">
        <f>U218*'Production Steps'!$O$14</f>
        <v>1.0080000000000002</v>
      </c>
      <c r="V220" s="270"/>
      <c r="W220" s="270">
        <f>'Production Steps'!H165*1.1*'Production Steps'!K165</f>
        <v>4.4915419609985161</v>
      </c>
      <c r="X220" s="270">
        <f>'Production Steps'!I165*1.1*'Production Steps'!K165</f>
        <v>7.5362220286781358</v>
      </c>
    </row>
    <row r="221" spans="1:24" s="252" customFormat="1" x14ac:dyDescent="0.2">
      <c r="A221" s="255"/>
      <c r="B221" s="268" t="s">
        <v>897</v>
      </c>
      <c r="C221" s="268" t="s">
        <v>898</v>
      </c>
      <c r="D221" s="268" t="str">
        <f t="shared" si="37"/>
        <v>CWWSLU1</v>
      </c>
      <c r="E221" s="255">
        <v>2010</v>
      </c>
      <c r="F221" s="271">
        <f>X221*0.1</f>
        <v>0.83735800318645903</v>
      </c>
      <c r="G221" s="255">
        <v>1.05</v>
      </c>
      <c r="H221" s="255">
        <v>1.05</v>
      </c>
      <c r="I221" s="255">
        <v>1.05</v>
      </c>
      <c r="J221" s="255">
        <v>1.05</v>
      </c>
      <c r="K221" s="255">
        <v>1.05</v>
      </c>
      <c r="L221" s="269">
        <f>L218*'Production Steps'!$O$15</f>
        <v>1.377</v>
      </c>
      <c r="M221" s="269">
        <f>M218*'Production Steps'!$O$15</f>
        <v>1.377</v>
      </c>
      <c r="N221" s="269">
        <f>N218*'Production Steps'!$O$15</f>
        <v>1.377</v>
      </c>
      <c r="O221" s="269">
        <f>O218*'Production Steps'!$O$15</f>
        <v>1.377</v>
      </c>
      <c r="P221" s="269">
        <f>P218*'Production Steps'!$O$15</f>
        <v>1.377</v>
      </c>
      <c r="Q221" s="269">
        <f>Q218*'Production Steps'!$O$15</f>
        <v>1.377</v>
      </c>
      <c r="R221" s="269">
        <f>R218*'Production Steps'!$O$15</f>
        <v>1.377</v>
      </c>
      <c r="S221" s="269">
        <f>S218*'Production Steps'!$O$15</f>
        <v>1.377</v>
      </c>
      <c r="T221" s="269">
        <f>T218*'Production Steps'!$O$15</f>
        <v>1.377</v>
      </c>
      <c r="U221" s="269">
        <f>U218*'Production Steps'!$O$15</f>
        <v>1.377</v>
      </c>
      <c r="V221" s="270"/>
      <c r="W221" s="270">
        <f>'Production Steps'!H166*1.1*'Production Steps'!K166</f>
        <v>4.9906021788872224</v>
      </c>
      <c r="X221" s="270">
        <f>'Production Steps'!I166*1.1*'Production Steps'!K166</f>
        <v>8.3735800318645897</v>
      </c>
    </row>
    <row r="222" spans="1:24" s="252" customFormat="1" x14ac:dyDescent="0.2">
      <c r="A222" s="266" t="s">
        <v>505</v>
      </c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</row>
    <row r="223" spans="1:24" s="252" customFormat="1" x14ac:dyDescent="0.2">
      <c r="A223" s="267" t="s">
        <v>504</v>
      </c>
      <c r="B223" s="268" t="s">
        <v>899</v>
      </c>
      <c r="C223" s="268" t="s">
        <v>900</v>
      </c>
      <c r="D223" s="268" t="str">
        <f>CONCATENATE(MID(B223,4,6),"1")</f>
        <v>CWWSLS1</v>
      </c>
      <c r="E223" s="255">
        <v>2010</v>
      </c>
      <c r="F223" s="255"/>
      <c r="G223" s="255">
        <v>1.05</v>
      </c>
      <c r="H223" s="255">
        <v>1.05</v>
      </c>
      <c r="I223" s="255">
        <v>1.05</v>
      </c>
      <c r="J223" s="255">
        <v>1.05</v>
      </c>
      <c r="K223" s="255">
        <v>1.05</v>
      </c>
      <c r="L223" s="269">
        <f>L225*'Production Steps'!$O$10</f>
        <v>0.79200000000000004</v>
      </c>
      <c r="M223" s="269">
        <f>M225*'Production Steps'!$O$10</f>
        <v>0.79200000000000004</v>
      </c>
      <c r="N223" s="269">
        <f>N225*'Production Steps'!$O$10</f>
        <v>0.79200000000000004</v>
      </c>
      <c r="O223" s="269">
        <f>O225*'Production Steps'!$O$10</f>
        <v>0.79200000000000004</v>
      </c>
      <c r="P223" s="269">
        <f>P225*'Production Steps'!$O$10</f>
        <v>0.79200000000000004</v>
      </c>
      <c r="Q223" s="269">
        <f>Q225*'Production Steps'!$O$10</f>
        <v>0.79200000000000004</v>
      </c>
      <c r="R223" s="269">
        <f>R225*'Production Steps'!$O$10</f>
        <v>0.79200000000000004</v>
      </c>
      <c r="S223" s="269">
        <f>S225*'Production Steps'!$O$10</f>
        <v>0.79200000000000004</v>
      </c>
      <c r="T223" s="269">
        <f>T225*'Production Steps'!$O$10</f>
        <v>0.79200000000000004</v>
      </c>
      <c r="U223" s="269">
        <f>U225*'Production Steps'!$O$10</f>
        <v>0.79200000000000004</v>
      </c>
      <c r="V223" s="270">
        <f>X223*0.8</f>
        <v>25.15070931263061</v>
      </c>
      <c r="W223" s="270">
        <f>'Production Steps'!H161*1.1*'Production Steps'!L161</f>
        <v>18.737085007030171</v>
      </c>
      <c r="X223" s="270">
        <f>'Production Steps'!I161*1.1*'Production Steps'!L161</f>
        <v>31.438386640788259</v>
      </c>
    </row>
    <row r="224" spans="1:24" s="252" customFormat="1" x14ac:dyDescent="0.2">
      <c r="A224" s="255"/>
      <c r="B224" s="268" t="s">
        <v>901</v>
      </c>
      <c r="C224" s="268" t="s">
        <v>902</v>
      </c>
      <c r="D224" s="268" t="str">
        <f t="shared" ref="D224:D228" si="38">CONCATENATE(MID(B224,4,6),"1")</f>
        <v>CWWSLS1</v>
      </c>
      <c r="E224" s="255">
        <v>2010</v>
      </c>
      <c r="F224" s="255"/>
      <c r="G224" s="255">
        <v>1.05</v>
      </c>
      <c r="H224" s="255">
        <v>1.05</v>
      </c>
      <c r="I224" s="255">
        <v>1.05</v>
      </c>
      <c r="J224" s="255">
        <v>1.05</v>
      </c>
      <c r="K224" s="255">
        <v>1.05</v>
      </c>
      <c r="L224" s="269">
        <f>L225*'Production Steps'!$O$11</f>
        <v>0.8982</v>
      </c>
      <c r="M224" s="269">
        <f>M225*'Production Steps'!$O$11</f>
        <v>0.8982</v>
      </c>
      <c r="N224" s="269">
        <f>N225*'Production Steps'!$O$11</f>
        <v>0.8982</v>
      </c>
      <c r="O224" s="269">
        <f>O225*'Production Steps'!$O$11</f>
        <v>0.8982</v>
      </c>
      <c r="P224" s="269">
        <f>P225*'Production Steps'!$O$11</f>
        <v>0.8982</v>
      </c>
      <c r="Q224" s="269">
        <f>Q225*'Production Steps'!$O$11</f>
        <v>0.8982</v>
      </c>
      <c r="R224" s="269">
        <f>R225*'Production Steps'!$O$11</f>
        <v>0.8982</v>
      </c>
      <c r="S224" s="269">
        <f>S225*'Production Steps'!$O$11</f>
        <v>0.8982</v>
      </c>
      <c r="T224" s="269">
        <f>T225*'Production Steps'!$O$11</f>
        <v>0.8982</v>
      </c>
      <c r="U224" s="269">
        <f>U225*'Production Steps'!$O$11</f>
        <v>0.8982</v>
      </c>
      <c r="V224" s="270">
        <f>X224*0.8</f>
        <v>24.647695126378</v>
      </c>
      <c r="W224" s="270">
        <f>'Production Steps'!H162*1.1*'Production Steps'!L162</f>
        <v>18.362343306889564</v>
      </c>
      <c r="X224" s="270">
        <f>'Production Steps'!I162*1.1*'Production Steps'!L162</f>
        <v>30.809618907972499</v>
      </c>
    </row>
    <row r="225" spans="1:24" s="252" customFormat="1" x14ac:dyDescent="0.2">
      <c r="A225" s="255"/>
      <c r="B225" s="268" t="s">
        <v>903</v>
      </c>
      <c r="C225" s="268" t="s">
        <v>904</v>
      </c>
      <c r="D225" s="268" t="str">
        <f t="shared" si="38"/>
        <v>CWWSLS1</v>
      </c>
      <c r="E225" s="255">
        <v>2010</v>
      </c>
      <c r="F225" s="255"/>
      <c r="G225" s="255">
        <v>1.05</v>
      </c>
      <c r="H225" s="255">
        <v>1.05</v>
      </c>
      <c r="I225" s="255">
        <v>1.05</v>
      </c>
      <c r="J225" s="255">
        <v>1.05</v>
      </c>
      <c r="K225" s="255">
        <v>1.05</v>
      </c>
      <c r="L225" s="269">
        <f t="shared" ref="L225:R225" si="39">L218</f>
        <v>0.9</v>
      </c>
      <c r="M225" s="269">
        <f t="shared" si="39"/>
        <v>0.9</v>
      </c>
      <c r="N225" s="269">
        <f t="shared" si="39"/>
        <v>0.9</v>
      </c>
      <c r="O225" s="269">
        <f t="shared" si="39"/>
        <v>0.9</v>
      </c>
      <c r="P225" s="269">
        <f t="shared" si="39"/>
        <v>0.9</v>
      </c>
      <c r="Q225" s="269">
        <f t="shared" si="39"/>
        <v>0.9</v>
      </c>
      <c r="R225" s="269">
        <f t="shared" si="39"/>
        <v>0.9</v>
      </c>
      <c r="S225" s="269">
        <f>R225*(1+(R225-Q225)/Q225)</f>
        <v>0.9</v>
      </c>
      <c r="T225" s="269">
        <f>S225*(1+(S225-R225)/R225)</f>
        <v>0.9</v>
      </c>
      <c r="U225" s="269">
        <f>T225*(1+(T225-S225)/S225)</f>
        <v>0.9</v>
      </c>
      <c r="V225" s="270">
        <f>X225*0.8</f>
        <v>0.50301418625260907</v>
      </c>
      <c r="W225" s="270">
        <f>'Production Steps'!H163*1.1*'Production Steps'!L163</f>
        <v>0.37474170014060393</v>
      </c>
      <c r="X225" s="270">
        <f>'Production Steps'!I163*1.1*'Production Steps'!L163</f>
        <v>0.62876773281576126</v>
      </c>
    </row>
    <row r="226" spans="1:24" s="252" customFormat="1" x14ac:dyDescent="0.2">
      <c r="A226" s="255"/>
      <c r="B226" s="268" t="s">
        <v>905</v>
      </c>
      <c r="C226" s="268" t="s">
        <v>906</v>
      </c>
      <c r="D226" s="268" t="str">
        <f t="shared" si="38"/>
        <v>CWWSLS1</v>
      </c>
      <c r="E226" s="255">
        <v>2010</v>
      </c>
      <c r="F226" s="271"/>
      <c r="G226" s="255">
        <v>1.05</v>
      </c>
      <c r="H226" s="255">
        <v>1.05</v>
      </c>
      <c r="I226" s="255">
        <v>1.05</v>
      </c>
      <c r="J226" s="255">
        <v>1.05</v>
      </c>
      <c r="K226" s="255">
        <v>1.05</v>
      </c>
      <c r="L226" s="269">
        <f>L225*'Production Steps'!$O$13</f>
        <v>0.90269999999999995</v>
      </c>
      <c r="M226" s="269">
        <f>M225*'Production Steps'!$O$13</f>
        <v>0.90269999999999995</v>
      </c>
      <c r="N226" s="269">
        <f>N225*'Production Steps'!$O$13</f>
        <v>0.90269999999999995</v>
      </c>
      <c r="O226" s="269">
        <f>O225*'Production Steps'!$O$13</f>
        <v>0.90269999999999995</v>
      </c>
      <c r="P226" s="269">
        <f>P225*'Production Steps'!$O$13</f>
        <v>0.90269999999999995</v>
      </c>
      <c r="Q226" s="269">
        <f>Q225*'Production Steps'!$O$13</f>
        <v>0.90269999999999995</v>
      </c>
      <c r="R226" s="269">
        <f>R225*'Production Steps'!$O$13</f>
        <v>0.90269999999999995</v>
      </c>
      <c r="S226" s="269">
        <f>S225*'Production Steps'!$O$13</f>
        <v>0.90269999999999995</v>
      </c>
      <c r="T226" s="269">
        <f>T225*'Production Steps'!$O$13</f>
        <v>0.90269999999999995</v>
      </c>
      <c r="U226" s="269">
        <f>U225*'Production Steps'!$O$13</f>
        <v>0.90269999999999995</v>
      </c>
      <c r="V226" s="270">
        <f>X226*0.8</f>
        <v>0.50301418625260907</v>
      </c>
      <c r="W226" s="270">
        <f>'Production Steps'!H164*1.1*'Production Steps'!L164</f>
        <v>0.37474170014060393</v>
      </c>
      <c r="X226" s="270">
        <f>'Production Steps'!I164*1.1*'Production Steps'!L164</f>
        <v>0.62876773281576126</v>
      </c>
    </row>
    <row r="227" spans="1:24" s="252" customFormat="1" x14ac:dyDescent="0.2">
      <c r="A227" s="255"/>
      <c r="B227" s="268" t="s">
        <v>907</v>
      </c>
      <c r="C227" s="268" t="s">
        <v>908</v>
      </c>
      <c r="D227" s="268" t="str">
        <f t="shared" si="38"/>
        <v>CWWSLS1</v>
      </c>
      <c r="E227" s="255">
        <v>2010</v>
      </c>
      <c r="F227" s="271">
        <f>X227*0.1</f>
        <v>0.56589095953418933</v>
      </c>
      <c r="G227" s="255">
        <v>1.05</v>
      </c>
      <c r="H227" s="255">
        <v>1.05</v>
      </c>
      <c r="I227" s="255">
        <v>1.05</v>
      </c>
      <c r="J227" s="255">
        <v>1.05</v>
      </c>
      <c r="K227" s="255">
        <v>1.05</v>
      </c>
      <c r="L227" s="269">
        <f>L225*'Production Steps'!$O$14</f>
        <v>1.0080000000000002</v>
      </c>
      <c r="M227" s="269">
        <f>M225*'Production Steps'!$O$14</f>
        <v>1.0080000000000002</v>
      </c>
      <c r="N227" s="269">
        <f>N225*'Production Steps'!$O$14</f>
        <v>1.0080000000000002</v>
      </c>
      <c r="O227" s="269">
        <f>O225*'Production Steps'!$O$14</f>
        <v>1.0080000000000002</v>
      </c>
      <c r="P227" s="269">
        <f>P225*'Production Steps'!$O$14</f>
        <v>1.0080000000000002</v>
      </c>
      <c r="Q227" s="269">
        <f>Q225*'Production Steps'!$O$14</f>
        <v>1.0080000000000002</v>
      </c>
      <c r="R227" s="269">
        <f>R225*'Production Steps'!$O$14</f>
        <v>1.0080000000000002</v>
      </c>
      <c r="S227" s="269">
        <f>S225*'Production Steps'!$O$14</f>
        <v>1.0080000000000002</v>
      </c>
      <c r="T227" s="269">
        <f>T225*'Production Steps'!$O$14</f>
        <v>1.0080000000000002</v>
      </c>
      <c r="U227" s="269">
        <f>U225*'Production Steps'!$O$14</f>
        <v>1.0080000000000002</v>
      </c>
      <c r="V227" s="270"/>
      <c r="W227" s="270">
        <f>'Production Steps'!H165*1.1*'Production Steps'!L165</f>
        <v>3.3726753012654349</v>
      </c>
      <c r="X227" s="270">
        <f>'Production Steps'!I165*1.1*'Production Steps'!L165</f>
        <v>5.6589095953418926</v>
      </c>
    </row>
    <row r="228" spans="1:24" s="252" customFormat="1" x14ac:dyDescent="0.2">
      <c r="A228" s="255"/>
      <c r="B228" s="268" t="s">
        <v>909</v>
      </c>
      <c r="C228" s="268" t="s">
        <v>910</v>
      </c>
      <c r="D228" s="268" t="str">
        <f t="shared" si="38"/>
        <v>CWWSLS1</v>
      </c>
      <c r="E228" s="255">
        <v>2010</v>
      </c>
      <c r="F228" s="271">
        <f>X228*0.1</f>
        <v>0.62876773281576537</v>
      </c>
      <c r="G228" s="255">
        <v>1.05</v>
      </c>
      <c r="H228" s="255">
        <v>1.05</v>
      </c>
      <c r="I228" s="255">
        <v>1.05</v>
      </c>
      <c r="J228" s="255">
        <v>1.05</v>
      </c>
      <c r="K228" s="255">
        <v>1.05</v>
      </c>
      <c r="L228" s="269">
        <f>L225*'Production Steps'!$O$15</f>
        <v>1.377</v>
      </c>
      <c r="M228" s="269">
        <f>M225*'Production Steps'!$O$15</f>
        <v>1.377</v>
      </c>
      <c r="N228" s="269">
        <f>N225*'Production Steps'!$O$15</f>
        <v>1.377</v>
      </c>
      <c r="O228" s="269">
        <f>O225*'Production Steps'!$O$15</f>
        <v>1.377</v>
      </c>
      <c r="P228" s="269">
        <f>P225*'Production Steps'!$O$15</f>
        <v>1.377</v>
      </c>
      <c r="Q228" s="269">
        <f>Q225*'Production Steps'!$O$15</f>
        <v>1.377</v>
      </c>
      <c r="R228" s="269">
        <f>R225*'Production Steps'!$O$15</f>
        <v>1.377</v>
      </c>
      <c r="S228" s="269">
        <f>S225*'Production Steps'!$O$15</f>
        <v>1.377</v>
      </c>
      <c r="T228" s="269">
        <f>T225*'Production Steps'!$O$15</f>
        <v>1.377</v>
      </c>
      <c r="U228" s="269">
        <f>U225*'Production Steps'!$O$15</f>
        <v>1.377</v>
      </c>
      <c r="V228" s="270"/>
      <c r="W228" s="270">
        <f>'Production Steps'!H166*1.1*'Production Steps'!L166</f>
        <v>3.747417001406026</v>
      </c>
      <c r="X228" s="270">
        <f>'Production Steps'!I166*1.1*'Production Steps'!L166</f>
        <v>6.2876773281576535</v>
      </c>
    </row>
    <row r="229" spans="1:24" s="252" customFormat="1" x14ac:dyDescent="0.2">
      <c r="A229" s="266" t="s">
        <v>505</v>
      </c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</row>
    <row r="230" spans="1:24" s="252" customFormat="1" x14ac:dyDescent="0.2">
      <c r="A230" s="267" t="s">
        <v>504</v>
      </c>
      <c r="B230" s="268" t="s">
        <v>911</v>
      </c>
      <c r="C230" s="268" t="s">
        <v>912</v>
      </c>
      <c r="D230" s="268" t="str">
        <f>CONCATENATE(MID(B230,4,6),"1")</f>
        <v>CWWSMS1</v>
      </c>
      <c r="E230" s="255">
        <v>2010</v>
      </c>
      <c r="F230" s="255"/>
      <c r="G230" s="255">
        <v>1.05</v>
      </c>
      <c r="H230" s="255">
        <v>1.05</v>
      </c>
      <c r="I230" s="255">
        <v>1.05</v>
      </c>
      <c r="J230" s="255">
        <v>1.05</v>
      </c>
      <c r="K230" s="255">
        <v>1.05</v>
      </c>
      <c r="L230" s="269">
        <f>L232*'Production Steps'!$O$10</f>
        <v>1.1682634601595268</v>
      </c>
      <c r="M230" s="269">
        <f>M232*'Production Steps'!$O$10</f>
        <v>1.2512437383021622</v>
      </c>
      <c r="N230" s="269">
        <f>N232*'Production Steps'!$O$10</f>
        <v>1.4668568036614111</v>
      </c>
      <c r="O230" s="269">
        <f>O232*'Production Steps'!$O$10</f>
        <v>1.5159323657398869</v>
      </c>
      <c r="P230" s="269">
        <f>P232*'Production Steps'!$O$10</f>
        <v>1.5756586303132762</v>
      </c>
      <c r="Q230" s="269">
        <f>Q232*'Production Steps'!$O$10</f>
        <v>1.7279327770246595</v>
      </c>
      <c r="R230" s="269">
        <f>R232*'Production Steps'!$O$10</f>
        <v>1.824545542889926</v>
      </c>
      <c r="S230" s="269">
        <f>S232*'Production Steps'!$O$10</f>
        <v>1.9265601546211002</v>
      </c>
      <c r="T230" s="269">
        <f>T232*'Production Steps'!$O$10</f>
        <v>2.0342786420637999</v>
      </c>
      <c r="U230" s="269">
        <f>U232*'Production Steps'!$O$10</f>
        <v>2.1480199222592256</v>
      </c>
      <c r="V230" s="270">
        <f>X230*0.8</f>
        <v>53.486853523910412</v>
      </c>
      <c r="W230" s="270">
        <f>'Production Steps'!H168*1.1</f>
        <v>115.65460352371669</v>
      </c>
      <c r="X230" s="270">
        <f>'Production Steps'!I168*1.1</f>
        <v>66.858566904888008</v>
      </c>
    </row>
    <row r="231" spans="1:24" s="252" customFormat="1" x14ac:dyDescent="0.2">
      <c r="A231" s="255"/>
      <c r="B231" s="268" t="s">
        <v>913</v>
      </c>
      <c r="C231" s="268" t="s">
        <v>914</v>
      </c>
      <c r="D231" s="268" t="str">
        <f t="shared" ref="D231:D235" si="40">CONCATENATE(MID(B231,4,6),"1")</f>
        <v>CWWSMS1</v>
      </c>
      <c r="E231" s="255">
        <v>2010</v>
      </c>
      <c r="F231" s="255"/>
      <c r="G231" s="255">
        <v>1.05</v>
      </c>
      <c r="H231" s="255">
        <v>1.05</v>
      </c>
      <c r="I231" s="255">
        <v>1.05</v>
      </c>
      <c r="J231" s="255">
        <v>1.05</v>
      </c>
      <c r="K231" s="255">
        <v>1.05</v>
      </c>
      <c r="L231" s="269">
        <f>L232*'Production Steps'!$O$11</f>
        <v>1.3249169695900087</v>
      </c>
      <c r="M231" s="269">
        <f>M232*'Production Steps'!$O$11</f>
        <v>1.4190241486654065</v>
      </c>
      <c r="N231" s="269">
        <f>N232*'Production Steps'!$O$11</f>
        <v>1.6635489659705549</v>
      </c>
      <c r="O231" s="269">
        <f>O232*'Production Steps'!$O$11</f>
        <v>1.7192051147822809</v>
      </c>
      <c r="P231" s="269">
        <f>P232*'Production Steps'!$O$11</f>
        <v>1.7869401284689201</v>
      </c>
      <c r="Q231" s="269">
        <f>Q232*'Production Steps'!$O$11</f>
        <v>1.9596328539438752</v>
      </c>
      <c r="R231" s="269">
        <f>R232*'Production Steps'!$O$11</f>
        <v>2.0692005134138025</v>
      </c>
      <c r="S231" s="269">
        <f>S232*'Production Steps'!$O$11</f>
        <v>2.1848943571725661</v>
      </c>
      <c r="T231" s="269">
        <f>T232*'Production Steps'!$O$11</f>
        <v>2.307056914522355</v>
      </c>
      <c r="U231" s="269">
        <f>U232*'Production Steps'!$O$11</f>
        <v>2.4360498663803494</v>
      </c>
      <c r="V231" s="270">
        <f>X231*0.8</f>
        <v>52.4171164534322</v>
      </c>
      <c r="W231" s="270">
        <f>'Production Steps'!H169*1.1</f>
        <v>113.34151145324236</v>
      </c>
      <c r="X231" s="270">
        <f>'Production Steps'!I169*1.1</f>
        <v>65.521395566790247</v>
      </c>
    </row>
    <row r="232" spans="1:24" s="252" customFormat="1" x14ac:dyDescent="0.2">
      <c r="A232" s="255"/>
      <c r="B232" s="268" t="s">
        <v>915</v>
      </c>
      <c r="C232" s="268" t="s">
        <v>916</v>
      </c>
      <c r="D232" s="268" t="str">
        <f t="shared" si="40"/>
        <v>CWWSMS1</v>
      </c>
      <c r="E232" s="255">
        <v>2010</v>
      </c>
      <c r="F232" s="255"/>
      <c r="G232" s="255">
        <v>1.05</v>
      </c>
      <c r="H232" s="255">
        <v>1.05</v>
      </c>
      <c r="I232" s="255">
        <v>1.05</v>
      </c>
      <c r="J232" s="255">
        <v>1.05</v>
      </c>
      <c r="K232" s="255">
        <v>1.05</v>
      </c>
      <c r="L232" s="269">
        <f>'AEO Coal Prices'!M45*'Production Steps'!$Q$17*$N$4</f>
        <v>1.327572113817644</v>
      </c>
      <c r="M232" s="269">
        <f>'AEO Coal Prices'!N45*'Production Steps'!$Q$17*$N$4</f>
        <v>1.4218678844342751</v>
      </c>
      <c r="N232" s="269">
        <f>'AEO Coal Prices'!O45*'Production Steps'!$Q$17*$N$4</f>
        <v>1.6668827314334218</v>
      </c>
      <c r="O232" s="269">
        <f>'AEO Coal Prices'!P45*'Production Steps'!$Q$17*$N$4</f>
        <v>1.7226504156135078</v>
      </c>
      <c r="P232" s="269">
        <f>'AEO Coal Prices'!Q45*'Production Steps'!$Q$17*$N$4</f>
        <v>1.7905211708105413</v>
      </c>
      <c r="Q232" s="269">
        <f>'AEO Coal Prices'!R45*'Production Steps'!$Q$17*$N$4</f>
        <v>1.9635599738916585</v>
      </c>
      <c r="R232" s="269">
        <f>'AEO Coal Prices'!S45*'Production Steps'!$Q$17*$N$4</f>
        <v>2.0733472078294612</v>
      </c>
      <c r="S232" s="269">
        <f>R232*(1+(R232-Q232)/Q232)</f>
        <v>2.1892729029785229</v>
      </c>
      <c r="T232" s="269">
        <f>S232*(1+(S232-R232)/R232)</f>
        <v>2.3116802750724998</v>
      </c>
      <c r="U232" s="269">
        <f>T232*(1+(T232-S232)/S232)</f>
        <v>2.4409317298400293</v>
      </c>
      <c r="V232" s="270">
        <f>X232*0.8</f>
        <v>1.0697370704782088</v>
      </c>
      <c r="W232" s="270">
        <f>'Production Steps'!H170*1.1</f>
        <v>2.3130920704743319</v>
      </c>
      <c r="X232" s="270">
        <f>'Production Steps'!I170*1.1</f>
        <v>1.337171338097761</v>
      </c>
    </row>
    <row r="233" spans="1:24" s="252" customFormat="1" x14ac:dyDescent="0.2">
      <c r="A233" s="255"/>
      <c r="B233" s="268" t="s">
        <v>917</v>
      </c>
      <c r="C233" s="268" t="s">
        <v>918</v>
      </c>
      <c r="D233" s="268" t="str">
        <f t="shared" si="40"/>
        <v>CWWSMS1</v>
      </c>
      <c r="E233" s="255">
        <v>2010</v>
      </c>
      <c r="F233" s="271"/>
      <c r="G233" s="255">
        <v>1.05</v>
      </c>
      <c r="H233" s="255">
        <v>1.05</v>
      </c>
      <c r="I233" s="255">
        <v>1.05</v>
      </c>
      <c r="J233" s="255">
        <v>1.05</v>
      </c>
      <c r="K233" s="255">
        <v>1.05</v>
      </c>
      <c r="L233" s="269">
        <f>L232*'Production Steps'!$O$13</f>
        <v>1.3315548301590967</v>
      </c>
      <c r="M233" s="269">
        <f>M232*'Production Steps'!$O$13</f>
        <v>1.4261334880875778</v>
      </c>
      <c r="N233" s="269">
        <f>N232*'Production Steps'!$O$13</f>
        <v>1.6718833796277219</v>
      </c>
      <c r="O233" s="269">
        <f>O232*'Production Steps'!$O$13</f>
        <v>1.7278183668603482</v>
      </c>
      <c r="P233" s="269">
        <f>P232*'Production Steps'!$O$13</f>
        <v>1.7958927343229727</v>
      </c>
      <c r="Q233" s="269">
        <f>Q232*'Production Steps'!$O$13</f>
        <v>1.9694506538133332</v>
      </c>
      <c r="R233" s="269">
        <f>R232*'Production Steps'!$O$13</f>
        <v>2.0795672494529494</v>
      </c>
      <c r="S233" s="269">
        <f>S232*'Production Steps'!$O$13</f>
        <v>2.1958407216874583</v>
      </c>
      <c r="T233" s="269">
        <f>T232*'Production Steps'!$O$13</f>
        <v>2.3186153158977172</v>
      </c>
      <c r="U233" s="269">
        <f>U232*'Production Steps'!$O$13</f>
        <v>2.4482545250295491</v>
      </c>
      <c r="V233" s="270">
        <f>X233*0.8</f>
        <v>1.0697370704782088</v>
      </c>
      <c r="W233" s="270">
        <f>'Production Steps'!H171*1.1</f>
        <v>2.3130920704743319</v>
      </c>
      <c r="X233" s="270">
        <f>'Production Steps'!I171*1.1</f>
        <v>1.337171338097761</v>
      </c>
    </row>
    <row r="234" spans="1:24" s="252" customFormat="1" x14ac:dyDescent="0.2">
      <c r="A234" s="255"/>
      <c r="B234" s="268" t="s">
        <v>919</v>
      </c>
      <c r="C234" s="268" t="s">
        <v>920</v>
      </c>
      <c r="D234" s="268" t="str">
        <f t="shared" si="40"/>
        <v>CWWSMS1</v>
      </c>
      <c r="E234" s="255">
        <v>2010</v>
      </c>
      <c r="F234" s="271">
        <f>X234*0.1</f>
        <v>1.2034542042879866</v>
      </c>
      <c r="G234" s="255">
        <v>1.05</v>
      </c>
      <c r="H234" s="255">
        <v>1.05</v>
      </c>
      <c r="I234" s="255">
        <v>1.05</v>
      </c>
      <c r="J234" s="255">
        <v>1.05</v>
      </c>
      <c r="K234" s="255">
        <v>1.05</v>
      </c>
      <c r="L234" s="269">
        <f>L232*'Production Steps'!$O$14</f>
        <v>1.4868807674757614</v>
      </c>
      <c r="M234" s="269">
        <f>M232*'Production Steps'!$O$14</f>
        <v>1.5924920305663883</v>
      </c>
      <c r="N234" s="269">
        <f>N232*'Production Steps'!$O$14</f>
        <v>1.8669086592054327</v>
      </c>
      <c r="O234" s="269">
        <f>O232*'Production Steps'!$O$14</f>
        <v>1.929368465487129</v>
      </c>
      <c r="P234" s="269">
        <f>P232*'Production Steps'!$O$14</f>
        <v>2.0053837113078066</v>
      </c>
      <c r="Q234" s="269">
        <f>Q232*'Production Steps'!$O$14</f>
        <v>2.1991871707586577</v>
      </c>
      <c r="R234" s="269">
        <f>R232*'Production Steps'!$O$14</f>
        <v>2.322148872768997</v>
      </c>
      <c r="S234" s="269">
        <f>S232*'Production Steps'!$O$14</f>
        <v>2.4519856513359461</v>
      </c>
      <c r="T234" s="269">
        <f>T232*'Production Steps'!$O$14</f>
        <v>2.5890819080812002</v>
      </c>
      <c r="U234" s="269">
        <f>U232*'Production Steps'!$O$14</f>
        <v>2.733843537420833</v>
      </c>
      <c r="V234" s="270"/>
      <c r="W234" s="270">
        <f>'Production Steps'!H172*1.1</f>
        <v>20.81782863426902</v>
      </c>
      <c r="X234" s="270">
        <f>'Production Steps'!I172*1.1</f>
        <v>12.034542042879865</v>
      </c>
    </row>
    <row r="235" spans="1:24" s="252" customFormat="1" x14ac:dyDescent="0.2">
      <c r="A235" s="255"/>
      <c r="B235" s="268" t="s">
        <v>921</v>
      </c>
      <c r="C235" s="268" t="s">
        <v>922</v>
      </c>
      <c r="D235" s="268" t="str">
        <f t="shared" si="40"/>
        <v>CWWSMS1</v>
      </c>
      <c r="E235" s="255">
        <v>2010</v>
      </c>
      <c r="F235" s="271">
        <f>X235*0.1</f>
        <v>1.3371713380977581</v>
      </c>
      <c r="G235" s="255">
        <v>1.05</v>
      </c>
      <c r="H235" s="255">
        <v>1.05</v>
      </c>
      <c r="I235" s="255">
        <v>1.05</v>
      </c>
      <c r="J235" s="255">
        <v>1.05</v>
      </c>
      <c r="K235" s="255">
        <v>1.05</v>
      </c>
      <c r="L235" s="269">
        <f>L232*'Production Steps'!$O$15</f>
        <v>2.0311853341409951</v>
      </c>
      <c r="M235" s="269">
        <f>M232*'Production Steps'!$O$15</f>
        <v>2.175457863184441</v>
      </c>
      <c r="N235" s="269">
        <f>N232*'Production Steps'!$O$15</f>
        <v>2.5503305790931354</v>
      </c>
      <c r="O235" s="269">
        <f>O232*'Production Steps'!$O$15</f>
        <v>2.6356551358886668</v>
      </c>
      <c r="P235" s="269">
        <f>P232*'Production Steps'!$O$15</f>
        <v>2.7394973913401284</v>
      </c>
      <c r="Q235" s="269">
        <f>Q232*'Production Steps'!$O$15</f>
        <v>3.0042467600542375</v>
      </c>
      <c r="R235" s="269">
        <f>R232*'Production Steps'!$O$15</f>
        <v>3.1722212279790756</v>
      </c>
      <c r="S235" s="269">
        <f>S232*'Production Steps'!$O$15</f>
        <v>3.3495875415571401</v>
      </c>
      <c r="T235" s="269">
        <f>T232*'Production Steps'!$O$15</f>
        <v>3.536870820860925</v>
      </c>
      <c r="U235" s="269">
        <f>U232*'Production Steps'!$O$15</f>
        <v>3.7346255466552449</v>
      </c>
      <c r="V235" s="270"/>
      <c r="W235" s="270">
        <f>'Production Steps'!H173*1.1</f>
        <v>23.130920704743321</v>
      </c>
      <c r="X235" s="270">
        <f>'Production Steps'!I173*1.1</f>
        <v>13.37171338097758</v>
      </c>
    </row>
    <row r="236" spans="1:24" s="252" customFormat="1" x14ac:dyDescent="0.2">
      <c r="A236" s="266" t="s">
        <v>505</v>
      </c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</row>
    <row r="237" spans="1:24" s="252" customFormat="1" x14ac:dyDescent="0.2">
      <c r="A237" s="267" t="s">
        <v>504</v>
      </c>
      <c r="B237" s="268" t="s">
        <v>923</v>
      </c>
      <c r="C237" s="268" t="s">
        <v>924</v>
      </c>
      <c r="D237" s="268" t="str">
        <f>CONCATENATE(MID(B237,4,6),"1")</f>
        <v>CRMPLU1</v>
      </c>
      <c r="E237" s="255">
        <v>2010</v>
      </c>
      <c r="F237" s="255"/>
      <c r="G237" s="255">
        <v>1.05</v>
      </c>
      <c r="H237" s="255">
        <v>1.05</v>
      </c>
      <c r="I237" s="255">
        <v>1.05</v>
      </c>
      <c r="J237" s="255">
        <v>1.05</v>
      </c>
      <c r="K237" s="255">
        <v>1.05</v>
      </c>
      <c r="L237" s="269">
        <f>L239*'Production Steps'!$O$10</f>
        <v>2.1868866824691247</v>
      </c>
      <c r="M237" s="269">
        <f>M239*'Production Steps'!$O$10</f>
        <v>2.67977422528286</v>
      </c>
      <c r="N237" s="269">
        <f>N239*'Production Steps'!$O$10</f>
        <v>3.3783587033999876</v>
      </c>
      <c r="O237" s="269">
        <f>O239*'Production Steps'!$O$10</f>
        <v>4.5638650038033237</v>
      </c>
      <c r="P237" s="269">
        <f>P239*'Production Steps'!$O$10</f>
        <v>4.8055255497258003</v>
      </c>
      <c r="Q237" s="269">
        <f>Q239*'Production Steps'!$O$10</f>
        <v>4.8385193311640586</v>
      </c>
      <c r="R237" s="269">
        <f>R239*'Production Steps'!$O$10</f>
        <v>5.2215184698538817</v>
      </c>
      <c r="S237" s="269">
        <f>S239*'Production Steps'!$O$10</f>
        <v>5.6348343914678427</v>
      </c>
      <c r="T237" s="269">
        <f>T239*'Production Steps'!$O$10</f>
        <v>6.0808668594362549</v>
      </c>
      <c r="U237" s="269">
        <f>U239*'Production Steps'!$O$10</f>
        <v>6.5622055935095283</v>
      </c>
      <c r="V237" s="270">
        <f>X237*0.8</f>
        <v>0.21610121216640002</v>
      </c>
      <c r="W237" s="270">
        <f>'Production Steps'!H176*1.1</f>
        <v>0</v>
      </c>
      <c r="X237" s="270">
        <f>'Production Steps'!I176*1.1</f>
        <v>0.27012651520800002</v>
      </c>
    </row>
    <row r="238" spans="1:24" s="252" customFormat="1" x14ac:dyDescent="0.2">
      <c r="A238" s="255"/>
      <c r="B238" s="268" t="s">
        <v>925</v>
      </c>
      <c r="C238" s="268" t="s">
        <v>926</v>
      </c>
      <c r="D238" s="268" t="str">
        <f t="shared" ref="D238:D242" si="41">CONCATENATE(MID(B238,4,6),"1")</f>
        <v>CRMPLU1</v>
      </c>
      <c r="E238" s="255">
        <v>2010</v>
      </c>
      <c r="F238" s="255"/>
      <c r="G238" s="255">
        <v>1.05</v>
      </c>
      <c r="H238" s="255">
        <v>1.05</v>
      </c>
      <c r="I238" s="255">
        <v>1.05</v>
      </c>
      <c r="J238" s="255">
        <v>1.05</v>
      </c>
      <c r="K238" s="255">
        <v>1.05</v>
      </c>
      <c r="L238" s="269">
        <f>L239*'Production Steps'!$O$11</f>
        <v>2.4801283058002119</v>
      </c>
      <c r="M238" s="269">
        <f>M239*'Production Steps'!$O$11</f>
        <v>3.0391075873094255</v>
      </c>
      <c r="N238" s="269">
        <f>N239*'Production Steps'!$O$11</f>
        <v>3.8313658931740768</v>
      </c>
      <c r="O238" s="269">
        <f>O239*'Production Steps'!$O$11</f>
        <v>5.1758378111314967</v>
      </c>
      <c r="P238" s="269">
        <f>P239*'Production Steps'!$O$11</f>
        <v>5.4499028393481233</v>
      </c>
      <c r="Q238" s="269">
        <f>Q239*'Production Steps'!$O$11</f>
        <v>5.4873207869337843</v>
      </c>
      <c r="R238" s="269">
        <f>R239*'Production Steps'!$O$11</f>
        <v>5.9216766283115616</v>
      </c>
      <c r="S238" s="269">
        <f>S239*'Production Steps'!$O$11</f>
        <v>6.390414457596485</v>
      </c>
      <c r="T238" s="269">
        <f>T239*'Production Steps'!$O$11</f>
        <v>6.8962558246788435</v>
      </c>
      <c r="U238" s="269">
        <f>U239*'Production Steps'!$O$11</f>
        <v>7.4421377071846697</v>
      </c>
      <c r="V238" s="270">
        <f>X238*0.8</f>
        <v>0.21177918792307199</v>
      </c>
      <c r="W238" s="270">
        <f>'Production Steps'!H177*1.1</f>
        <v>0</v>
      </c>
      <c r="X238" s="270">
        <f>'Production Steps'!I177*1.1</f>
        <v>0.26472398490383997</v>
      </c>
    </row>
    <row r="239" spans="1:24" s="252" customFormat="1" x14ac:dyDescent="0.2">
      <c r="A239" s="255"/>
      <c r="B239" s="268" t="s">
        <v>927</v>
      </c>
      <c r="C239" s="268" t="s">
        <v>928</v>
      </c>
      <c r="D239" s="268" t="str">
        <f t="shared" si="41"/>
        <v>CRMPLU1</v>
      </c>
      <c r="E239" s="255">
        <v>2010</v>
      </c>
      <c r="F239" s="255"/>
      <c r="G239" s="255">
        <v>1.05</v>
      </c>
      <c r="H239" s="255">
        <v>1.05</v>
      </c>
      <c r="I239" s="255">
        <v>1.05</v>
      </c>
      <c r="J239" s="255">
        <v>1.05</v>
      </c>
      <c r="K239" s="255">
        <v>1.05</v>
      </c>
      <c r="L239" s="269">
        <f>'AEO Coal Prices'!M49*'Production Steps'!$Q$17*$N$4</f>
        <v>2.4850985028058235</v>
      </c>
      <c r="M239" s="269">
        <f>'AEO Coal Prices'!N49*'Production Steps'!$Q$17*$N$4</f>
        <v>3.0451979832759775</v>
      </c>
      <c r="N239" s="269">
        <f>'AEO Coal Prices'!O49*'Production Steps'!$Q$17*$N$4</f>
        <v>3.8390439811363497</v>
      </c>
      <c r="O239" s="269">
        <f>'AEO Coal Prices'!P49*'Production Steps'!$Q$17*$N$4</f>
        <v>5.1862102315946856</v>
      </c>
      <c r="P239" s="269">
        <f>'AEO Coal Prices'!Q49*'Production Steps'!$Q$17*$N$4</f>
        <v>5.4608244883247732</v>
      </c>
      <c r="Q239" s="269">
        <f>'AEO Coal Prices'!R49*'Production Steps'!$Q$17*$N$4</f>
        <v>5.4983174217773394</v>
      </c>
      <c r="R239" s="269">
        <f>'AEO Coal Prices'!S49*'Production Steps'!$Q$17*$N$4</f>
        <v>5.9335437157430473</v>
      </c>
      <c r="S239" s="269">
        <f>R239*(1+(R239-Q239)/Q239)</f>
        <v>6.4032208993952757</v>
      </c>
      <c r="T239" s="269">
        <f>S239*(1+(S239-R239)/R239)</f>
        <v>6.9100759766321076</v>
      </c>
      <c r="U239" s="269">
        <f>T239*(1+(T239-S239)/S239)</f>
        <v>7.4570518108062824</v>
      </c>
      <c r="V239" s="270">
        <f>X239*0.8</f>
        <v>4.3220242433280208E-3</v>
      </c>
      <c r="W239" s="270">
        <f>'Production Steps'!H178*1.1</f>
        <v>0</v>
      </c>
      <c r="X239" s="270">
        <f>'Production Steps'!I178*1.1</f>
        <v>5.4025303041600253E-3</v>
      </c>
    </row>
    <row r="240" spans="1:24" s="252" customFormat="1" x14ac:dyDescent="0.2">
      <c r="A240" s="255"/>
      <c r="B240" s="268" t="s">
        <v>929</v>
      </c>
      <c r="C240" s="268" t="s">
        <v>930</v>
      </c>
      <c r="D240" s="268" t="str">
        <f t="shared" si="41"/>
        <v>CRMPLU1</v>
      </c>
      <c r="E240" s="255">
        <v>2010</v>
      </c>
      <c r="F240" s="271"/>
      <c r="G240" s="255">
        <v>1.05</v>
      </c>
      <c r="H240" s="255">
        <v>1.05</v>
      </c>
      <c r="I240" s="255">
        <v>1.05</v>
      </c>
      <c r="J240" s="255">
        <v>1.05</v>
      </c>
      <c r="K240" s="255">
        <v>1.05</v>
      </c>
      <c r="L240" s="269">
        <f>L239*'Production Steps'!$O$13</f>
        <v>2.4925537983142405</v>
      </c>
      <c r="M240" s="269">
        <f>M239*'Production Steps'!$O$13</f>
        <v>3.0543335772258051</v>
      </c>
      <c r="N240" s="269">
        <f>N239*'Production Steps'!$O$13</f>
        <v>3.8505611130797583</v>
      </c>
      <c r="O240" s="269">
        <f>O239*'Production Steps'!$O$13</f>
        <v>5.2017688622894696</v>
      </c>
      <c r="P240" s="269">
        <f>P239*'Production Steps'!$O$13</f>
        <v>5.4772069617897472</v>
      </c>
      <c r="Q240" s="269">
        <f>Q239*'Production Steps'!$O$13</f>
        <v>5.5148123740426707</v>
      </c>
      <c r="R240" s="269">
        <f>R239*'Production Steps'!$O$13</f>
        <v>5.9513443468902754</v>
      </c>
      <c r="S240" s="269">
        <f>S239*'Production Steps'!$O$13</f>
        <v>6.422430562093461</v>
      </c>
      <c r="T240" s="269">
        <f>T239*'Production Steps'!$O$13</f>
        <v>6.9308062045620034</v>
      </c>
      <c r="U240" s="269">
        <f>U239*'Production Steps'!$O$13</f>
        <v>7.4794229662387002</v>
      </c>
      <c r="V240" s="270">
        <f>X240*0.8</f>
        <v>4.3220242433280208E-3</v>
      </c>
      <c r="W240" s="270">
        <f>'Production Steps'!H179*1.1</f>
        <v>0</v>
      </c>
      <c r="X240" s="270">
        <f>'Production Steps'!I179*1.1</f>
        <v>5.4025303041600253E-3</v>
      </c>
    </row>
    <row r="241" spans="1:24" s="252" customFormat="1" x14ac:dyDescent="0.2">
      <c r="A241" s="255"/>
      <c r="B241" s="268" t="s">
        <v>931</v>
      </c>
      <c r="C241" s="268" t="s">
        <v>932</v>
      </c>
      <c r="D241" s="268" t="str">
        <f t="shared" si="41"/>
        <v>CRMPLU1</v>
      </c>
      <c r="E241" s="255">
        <v>2010</v>
      </c>
      <c r="F241" s="271">
        <f>X241*0.1</f>
        <v>4.8622772737440048E-3</v>
      </c>
      <c r="G241" s="255">
        <v>1.05</v>
      </c>
      <c r="H241" s="255">
        <v>1.05</v>
      </c>
      <c r="I241" s="255">
        <v>1.05</v>
      </c>
      <c r="J241" s="255">
        <v>1.05</v>
      </c>
      <c r="K241" s="255">
        <v>1.05</v>
      </c>
      <c r="L241" s="269">
        <f>L239*'Production Steps'!$O$14</f>
        <v>2.7833103231425227</v>
      </c>
      <c r="M241" s="269">
        <f>M239*'Production Steps'!$O$14</f>
        <v>3.4106217412690949</v>
      </c>
      <c r="N241" s="269">
        <f>N239*'Production Steps'!$O$14</f>
        <v>4.2997292588727118</v>
      </c>
      <c r="O241" s="269">
        <f>O239*'Production Steps'!$O$14</f>
        <v>5.8085554593860484</v>
      </c>
      <c r="P241" s="269">
        <f>P239*'Production Steps'!$O$14</f>
        <v>6.1161234269237461</v>
      </c>
      <c r="Q241" s="269">
        <f>Q239*'Production Steps'!$O$14</f>
        <v>6.158115512390621</v>
      </c>
      <c r="R241" s="269">
        <f>R239*'Production Steps'!$O$14</f>
        <v>6.6455689616322138</v>
      </c>
      <c r="S241" s="269">
        <f>S239*'Production Steps'!$O$14</f>
        <v>7.1716074073227096</v>
      </c>
      <c r="T241" s="269">
        <f>T239*'Production Steps'!$O$14</f>
        <v>7.7392850938279611</v>
      </c>
      <c r="U241" s="269">
        <f>U239*'Production Steps'!$O$14</f>
        <v>8.3518980281030366</v>
      </c>
      <c r="V241" s="270"/>
      <c r="W241" s="270">
        <f>'Production Steps'!H180*1.1</f>
        <v>0</v>
      </c>
      <c r="X241" s="270">
        <f>'Production Steps'!I180*1.1</f>
        <v>4.8622772737440041E-2</v>
      </c>
    </row>
    <row r="242" spans="1:24" s="252" customFormat="1" x14ac:dyDescent="0.2">
      <c r="A242" s="255"/>
      <c r="B242" s="268" t="s">
        <v>933</v>
      </c>
      <c r="C242" s="268" t="s">
        <v>934</v>
      </c>
      <c r="D242" s="268" t="str">
        <f t="shared" si="41"/>
        <v>CRMPLU1</v>
      </c>
      <c r="E242" s="255">
        <v>2010</v>
      </c>
      <c r="F242" s="271">
        <f>X242*0.1</f>
        <v>5.4025303041599889E-3</v>
      </c>
      <c r="G242" s="255">
        <v>1.05</v>
      </c>
      <c r="H242" s="255">
        <v>1.05</v>
      </c>
      <c r="I242" s="255">
        <v>1.05</v>
      </c>
      <c r="J242" s="255">
        <v>1.05</v>
      </c>
      <c r="K242" s="255">
        <v>1.05</v>
      </c>
      <c r="L242" s="269">
        <f>L239*'Production Steps'!$O$15</f>
        <v>3.8022007092929098</v>
      </c>
      <c r="M242" s="269">
        <f>M239*'Production Steps'!$O$15</f>
        <v>4.6591529144122452</v>
      </c>
      <c r="N242" s="269">
        <f>N239*'Production Steps'!$O$15</f>
        <v>5.8737372911386148</v>
      </c>
      <c r="O242" s="269">
        <f>O239*'Production Steps'!$O$15</f>
        <v>7.9349016543398694</v>
      </c>
      <c r="P242" s="269">
        <f>P239*'Production Steps'!$O$15</f>
        <v>8.3550614671369026</v>
      </c>
      <c r="Q242" s="269">
        <f>Q239*'Production Steps'!$O$15</f>
        <v>8.4124256553193302</v>
      </c>
      <c r="R242" s="269">
        <f>R239*'Production Steps'!$O$15</f>
        <v>9.0783218850868632</v>
      </c>
      <c r="S242" s="269">
        <f>S239*'Production Steps'!$O$15</f>
        <v>9.7969279760747714</v>
      </c>
      <c r="T242" s="269">
        <f>T239*'Production Steps'!$O$15</f>
        <v>10.572416244247124</v>
      </c>
      <c r="U242" s="269">
        <f>U239*'Production Steps'!$O$15</f>
        <v>11.409289270533613</v>
      </c>
      <c r="V242" s="270"/>
      <c r="W242" s="270">
        <f>'Production Steps'!H181*1.1</f>
        <v>0</v>
      </c>
      <c r="X242" s="270">
        <f>'Production Steps'!I181*1.1</f>
        <v>5.4025303041599887E-2</v>
      </c>
    </row>
    <row r="243" spans="1:24" s="252" customFormat="1" x14ac:dyDescent="0.2">
      <c r="A243" s="266" t="s">
        <v>505</v>
      </c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</row>
    <row r="244" spans="1:24" s="252" customFormat="1" x14ac:dyDescent="0.2">
      <c r="A244" s="267" t="s">
        <v>504</v>
      </c>
      <c r="B244" s="268" t="s">
        <v>935</v>
      </c>
      <c r="C244" s="268" t="s">
        <v>936</v>
      </c>
      <c r="D244" s="268" t="str">
        <f>CONCATENATE(MID(B244,4,6),"1")</f>
        <v>CRMBLU1</v>
      </c>
      <c r="E244" s="255">
        <v>2010</v>
      </c>
      <c r="F244" s="255"/>
      <c r="G244" s="255">
        <v>1.05</v>
      </c>
      <c r="H244" s="255">
        <v>1.05</v>
      </c>
      <c r="I244" s="255">
        <v>1.05</v>
      </c>
      <c r="J244" s="255">
        <v>1.05</v>
      </c>
      <c r="K244" s="255">
        <v>1.05</v>
      </c>
      <c r="L244" s="269">
        <f>L246*'Production Steps'!$O$10</f>
        <v>1.1970794949190433</v>
      </c>
      <c r="M244" s="269">
        <f>M246*'Production Steps'!$O$10</f>
        <v>1.2043275450855506</v>
      </c>
      <c r="N244" s="269">
        <f>N246*'Production Steps'!$O$10</f>
        <v>1.336636427635153</v>
      </c>
      <c r="O244" s="269">
        <f>O246*'Production Steps'!$O$10</f>
        <v>1.4692152085930161</v>
      </c>
      <c r="P244" s="269">
        <f>P246*'Production Steps'!$O$10</f>
        <v>1.5531734964599913</v>
      </c>
      <c r="Q244" s="269">
        <f>Q246*'Production Steps'!$O$10</f>
        <v>1.6401750129493906</v>
      </c>
      <c r="R244" s="269">
        <f>R246*'Production Steps'!$O$10</f>
        <v>1.7397500286475853</v>
      </c>
      <c r="S244" s="269">
        <f>S246*'Production Steps'!$O$10</f>
        <v>1.8453702429819097</v>
      </c>
      <c r="T244" s="269">
        <f>T246*'Production Steps'!$O$10</f>
        <v>1.9574026599271461</v>
      </c>
      <c r="U244" s="269">
        <f>U246*'Production Steps'!$O$10</f>
        <v>2.0762365642672971</v>
      </c>
      <c r="V244" s="270">
        <f>X244*0.8</f>
        <v>434.27094839451377</v>
      </c>
      <c r="W244" s="270">
        <f>'Production Steps'!H183*1.1</f>
        <v>698.83819027940126</v>
      </c>
      <c r="X244" s="270">
        <f>'Production Steps'!I183*1.1</f>
        <v>542.83868549314218</v>
      </c>
    </row>
    <row r="245" spans="1:24" s="252" customFormat="1" x14ac:dyDescent="0.2">
      <c r="A245" s="255"/>
      <c r="B245" s="268" t="s">
        <v>937</v>
      </c>
      <c r="C245" s="268" t="s">
        <v>938</v>
      </c>
      <c r="D245" s="268" t="str">
        <f t="shared" ref="D245:D249" si="42">CONCATENATE(MID(B245,4,6),"1")</f>
        <v>CRMBLU1</v>
      </c>
      <c r="E245" s="255">
        <v>2010</v>
      </c>
      <c r="F245" s="255"/>
      <c r="G245" s="255">
        <v>1.05</v>
      </c>
      <c r="H245" s="255">
        <v>1.05</v>
      </c>
      <c r="I245" s="255">
        <v>1.05</v>
      </c>
      <c r="J245" s="255">
        <v>1.05</v>
      </c>
      <c r="K245" s="255">
        <v>1.05</v>
      </c>
      <c r="L245" s="269">
        <f>L246*'Production Steps'!$O$11</f>
        <v>1.357596972646824</v>
      </c>
      <c r="M245" s="269">
        <f>M246*'Production Steps'!$O$11</f>
        <v>1.3658169204492949</v>
      </c>
      <c r="N245" s="269">
        <f>N246*'Production Steps'!$O$11</f>
        <v>1.5158672213407758</v>
      </c>
      <c r="O245" s="269">
        <f>O246*'Production Steps'!$O$11</f>
        <v>1.6662236115634432</v>
      </c>
      <c r="P245" s="269">
        <f>P246*'Production Steps'!$O$11</f>
        <v>1.7614399425762173</v>
      </c>
      <c r="Q245" s="269">
        <f>Q246*'Production Steps'!$O$11</f>
        <v>1.8601075715039679</v>
      </c>
      <c r="R245" s="269">
        <f>R246*'Production Steps'!$O$11</f>
        <v>1.9730346915798751</v>
      </c>
      <c r="S245" s="269">
        <f>S246*'Production Steps'!$O$11</f>
        <v>2.092817616472666</v>
      </c>
      <c r="T245" s="269">
        <f>T246*'Production Steps'!$O$11</f>
        <v>2.2198725620537409</v>
      </c>
      <c r="U245" s="269">
        <f>U246*'Production Steps'!$O$11</f>
        <v>2.3546410126576847</v>
      </c>
      <c r="V245" s="270">
        <f>X245*0.8</f>
        <v>425.5855294266234</v>
      </c>
      <c r="W245" s="270">
        <f>'Production Steps'!H184*1.1</f>
        <v>684.86142647381325</v>
      </c>
      <c r="X245" s="270">
        <f>'Production Steps'!I184*1.1</f>
        <v>531.9819117832792</v>
      </c>
    </row>
    <row r="246" spans="1:24" s="252" customFormat="1" x14ac:dyDescent="0.2">
      <c r="A246" s="255"/>
      <c r="B246" s="268" t="s">
        <v>939</v>
      </c>
      <c r="C246" s="268" t="s">
        <v>940</v>
      </c>
      <c r="D246" s="268" t="str">
        <f t="shared" si="42"/>
        <v>CRMBLU1</v>
      </c>
      <c r="E246" s="255">
        <v>2010</v>
      </c>
      <c r="F246" s="255"/>
      <c r="G246" s="255">
        <v>1.05</v>
      </c>
      <c r="H246" s="255">
        <v>1.05</v>
      </c>
      <c r="I246" s="255">
        <v>1.05</v>
      </c>
      <c r="J246" s="255">
        <v>1.05</v>
      </c>
      <c r="K246" s="255">
        <v>1.05</v>
      </c>
      <c r="L246" s="269">
        <f>'AEO Coal Prices'!M50*'Production Steps'!$Q$17*$N$4</f>
        <v>1.3603176078625492</v>
      </c>
      <c r="M246" s="269">
        <f>'AEO Coal Prices'!N50*'Production Steps'!$Q$17*$N$4</f>
        <v>1.3685540285063076</v>
      </c>
      <c r="N246" s="269">
        <f>'AEO Coal Prices'!O50*'Production Steps'!$Q$17*$N$4</f>
        <v>1.518905031403583</v>
      </c>
      <c r="O246" s="269">
        <f>'AEO Coal Prices'!P50*'Production Steps'!$Q$17*$N$4</f>
        <v>1.6695627370375183</v>
      </c>
      <c r="P246" s="269">
        <f>'AEO Coal Prices'!Q50*'Production Steps'!$Q$17*$N$4</f>
        <v>1.764969882340899</v>
      </c>
      <c r="Q246" s="269">
        <f>'AEO Coal Prices'!R50*'Production Steps'!$Q$17*$N$4</f>
        <v>1.8638352419879438</v>
      </c>
      <c r="R246" s="269">
        <f>'AEO Coal Prices'!S50*'Production Steps'!$Q$17*$N$4</f>
        <v>1.9769886689177105</v>
      </c>
      <c r="S246" s="269">
        <f>R246*(1+(R246-Q246)/Q246)</f>
        <v>2.0970116397521701</v>
      </c>
      <c r="T246" s="269">
        <f>S246*(1+(S246-R246)/R246)</f>
        <v>2.2243212044626661</v>
      </c>
      <c r="U246" s="269">
        <f>T246*(1+(T246-S246)/S246)</f>
        <v>2.3593597321219284</v>
      </c>
      <c r="V246" s="270">
        <f>X246*0.8</f>
        <v>8.6854189678903193</v>
      </c>
      <c r="W246" s="270">
        <f>'Production Steps'!H185*1.1</f>
        <v>13.97676380558794</v>
      </c>
      <c r="X246" s="270">
        <f>'Production Steps'!I185*1.1</f>
        <v>10.8567737098629</v>
      </c>
    </row>
    <row r="247" spans="1:24" s="252" customFormat="1" x14ac:dyDescent="0.2">
      <c r="A247" s="255"/>
      <c r="B247" s="268" t="s">
        <v>941</v>
      </c>
      <c r="C247" s="268" t="s">
        <v>942</v>
      </c>
      <c r="D247" s="268" t="str">
        <f t="shared" si="42"/>
        <v>CRMBLU1</v>
      </c>
      <c r="E247" s="255">
        <v>2010</v>
      </c>
      <c r="F247" s="271"/>
      <c r="G247" s="255">
        <v>1.05</v>
      </c>
      <c r="H247" s="255">
        <v>1.05</v>
      </c>
      <c r="I247" s="255">
        <v>1.05</v>
      </c>
      <c r="J247" s="255">
        <v>1.05</v>
      </c>
      <c r="K247" s="255">
        <v>1.05</v>
      </c>
      <c r="L247" s="269">
        <f>L246*'Production Steps'!$O$13</f>
        <v>1.3643985606861366</v>
      </c>
      <c r="M247" s="269">
        <f>M246*'Production Steps'!$O$13</f>
        <v>1.3726596905918265</v>
      </c>
      <c r="N247" s="269">
        <f>N246*'Production Steps'!$O$13</f>
        <v>1.5234617464977935</v>
      </c>
      <c r="O247" s="269">
        <f>O246*'Production Steps'!$O$13</f>
        <v>1.6745714252486308</v>
      </c>
      <c r="P247" s="269">
        <f>P246*'Production Steps'!$O$13</f>
        <v>1.7702647919879215</v>
      </c>
      <c r="Q247" s="269">
        <f>Q246*'Production Steps'!$O$13</f>
        <v>1.8694267477139075</v>
      </c>
      <c r="R247" s="269">
        <f>R246*'Production Steps'!$O$13</f>
        <v>1.9829196349244635</v>
      </c>
      <c r="S247" s="269">
        <f>S246*'Production Steps'!$O$13</f>
        <v>2.1033026746714265</v>
      </c>
      <c r="T247" s="269">
        <f>T246*'Production Steps'!$O$13</f>
        <v>2.2309941680760539</v>
      </c>
      <c r="U247" s="269">
        <f>U246*'Production Steps'!$O$13</f>
        <v>2.3664378113182938</v>
      </c>
      <c r="V247" s="270">
        <f>X247*0.8</f>
        <v>8.6854189678903193</v>
      </c>
      <c r="W247" s="270">
        <f>'Production Steps'!H186*1.1</f>
        <v>13.97676380558794</v>
      </c>
      <c r="X247" s="270">
        <f>'Production Steps'!I186*1.1</f>
        <v>10.8567737098629</v>
      </c>
    </row>
    <row r="248" spans="1:24" s="252" customFormat="1" x14ac:dyDescent="0.2">
      <c r="A248" s="255"/>
      <c r="B248" s="268" t="s">
        <v>943</v>
      </c>
      <c r="C248" s="268" t="s">
        <v>944</v>
      </c>
      <c r="D248" s="268" t="str">
        <f t="shared" si="42"/>
        <v>CRMBLU1</v>
      </c>
      <c r="E248" s="255">
        <v>2010</v>
      </c>
      <c r="F248" s="271">
        <f>X248*0.1</f>
        <v>9.771096338876573</v>
      </c>
      <c r="G248" s="255">
        <v>1.05</v>
      </c>
      <c r="H248" s="255">
        <v>1.05</v>
      </c>
      <c r="I248" s="255">
        <v>1.05</v>
      </c>
      <c r="J248" s="255">
        <v>1.05</v>
      </c>
      <c r="K248" s="255">
        <v>1.05</v>
      </c>
      <c r="L248" s="269">
        <f>L246*'Production Steps'!$O$14</f>
        <v>1.5235557208060553</v>
      </c>
      <c r="M248" s="269">
        <f>M246*'Production Steps'!$O$14</f>
        <v>1.5327805119270645</v>
      </c>
      <c r="N248" s="269">
        <f>N246*'Production Steps'!$O$14</f>
        <v>1.701173635172013</v>
      </c>
      <c r="O248" s="269">
        <f>O246*'Production Steps'!$O$14</f>
        <v>1.8699102654820208</v>
      </c>
      <c r="P248" s="269">
        <f>P246*'Production Steps'!$O$14</f>
        <v>1.976766268221807</v>
      </c>
      <c r="Q248" s="269">
        <f>Q246*'Production Steps'!$O$14</f>
        <v>2.0874954710264975</v>
      </c>
      <c r="R248" s="269">
        <f>R246*'Production Steps'!$O$14</f>
        <v>2.2142273091878359</v>
      </c>
      <c r="S248" s="269">
        <f>S246*'Production Steps'!$O$14</f>
        <v>2.3486530365224305</v>
      </c>
      <c r="T248" s="269">
        <f>T246*'Production Steps'!$O$14</f>
        <v>2.4912397489981863</v>
      </c>
      <c r="U248" s="269">
        <f>U246*'Production Steps'!$O$14</f>
        <v>2.6424828999765602</v>
      </c>
      <c r="V248" s="270"/>
      <c r="W248" s="270">
        <f>'Production Steps'!H187*1.1</f>
        <v>125.79087425029246</v>
      </c>
      <c r="X248" s="270">
        <f>'Production Steps'!I187*1.1</f>
        <v>97.71096338876572</v>
      </c>
    </row>
    <row r="249" spans="1:24" s="252" customFormat="1" x14ac:dyDescent="0.2">
      <c r="A249" s="255"/>
      <c r="B249" s="268" t="s">
        <v>945</v>
      </c>
      <c r="C249" s="268" t="s">
        <v>946</v>
      </c>
      <c r="D249" s="268" t="str">
        <f t="shared" si="42"/>
        <v>CRMBLU1</v>
      </c>
      <c r="E249" s="255">
        <v>2010</v>
      </c>
      <c r="F249" s="271">
        <f>X249*0.1</f>
        <v>10.856773709862825</v>
      </c>
      <c r="G249" s="255">
        <v>1.05</v>
      </c>
      <c r="H249" s="255">
        <v>1.05</v>
      </c>
      <c r="I249" s="255">
        <v>1.05</v>
      </c>
      <c r="J249" s="255">
        <v>1.05</v>
      </c>
      <c r="K249" s="255">
        <v>1.05</v>
      </c>
      <c r="L249" s="269">
        <f>L246*'Production Steps'!$O$15</f>
        <v>2.0812859400297001</v>
      </c>
      <c r="M249" s="269">
        <f>M246*'Production Steps'!$O$15</f>
        <v>2.0938876636146508</v>
      </c>
      <c r="N249" s="269">
        <f>N246*'Production Steps'!$O$15</f>
        <v>2.3239246980474819</v>
      </c>
      <c r="O249" s="269">
        <f>O246*'Production Steps'!$O$15</f>
        <v>2.554430987667403</v>
      </c>
      <c r="P249" s="269">
        <f>P246*'Production Steps'!$O$15</f>
        <v>2.7004039199815755</v>
      </c>
      <c r="Q249" s="269">
        <f>Q246*'Production Steps'!$O$15</f>
        <v>2.851667920241554</v>
      </c>
      <c r="R249" s="269">
        <f>R246*'Production Steps'!$O$15</f>
        <v>3.0247926634440971</v>
      </c>
      <c r="S249" s="269">
        <f>S246*'Production Steps'!$O$15</f>
        <v>3.2084278088208205</v>
      </c>
      <c r="T249" s="269">
        <f>T246*'Production Steps'!$O$15</f>
        <v>3.403211442827879</v>
      </c>
      <c r="U249" s="269">
        <f>U246*'Production Steps'!$O$15</f>
        <v>3.6098203901465507</v>
      </c>
      <c r="V249" s="270"/>
      <c r="W249" s="270">
        <f>'Production Steps'!H188*1.1</f>
        <v>139.76763805588016</v>
      </c>
      <c r="X249" s="270">
        <f>'Production Steps'!I188*1.1</f>
        <v>108.56773709862824</v>
      </c>
    </row>
    <row r="250" spans="1:24" s="252" customFormat="1" x14ac:dyDescent="0.2">
      <c r="A250" s="266" t="s">
        <v>505</v>
      </c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</row>
    <row r="251" spans="1:24" s="252" customFormat="1" x14ac:dyDescent="0.2">
      <c r="A251" s="267" t="s">
        <v>504</v>
      </c>
      <c r="B251" s="268" t="s">
        <v>947</v>
      </c>
      <c r="C251" s="268" t="s">
        <v>948</v>
      </c>
      <c r="D251" s="268" t="str">
        <f>CONCATENATE(MID(B251,4,6),"1")</f>
        <v>CRMSLS1</v>
      </c>
      <c r="E251" s="255">
        <v>2010</v>
      </c>
      <c r="F251" s="255"/>
      <c r="G251" s="255">
        <v>1.05</v>
      </c>
      <c r="H251" s="255">
        <v>1.05</v>
      </c>
      <c r="I251" s="255">
        <v>1.05</v>
      </c>
      <c r="J251" s="255">
        <v>1.05</v>
      </c>
      <c r="K251" s="255">
        <v>1.05</v>
      </c>
      <c r="L251" s="269">
        <f>L253*'Production Steps'!$O$10</f>
        <v>1.2460693813717774</v>
      </c>
      <c r="M251" s="269">
        <f>M253*'Production Steps'!$O$10</f>
        <v>1.3122451406807589</v>
      </c>
      <c r="N251" s="269">
        <f>N253*'Production Steps'!$O$10</f>
        <v>1.4651746492025248</v>
      </c>
      <c r="O251" s="269">
        <f>O253*'Production Steps'!$O$10</f>
        <v>1.5997849872676784</v>
      </c>
      <c r="P251" s="269">
        <f>P253*'Production Steps'!$O$10</f>
        <v>1.683050228292269</v>
      </c>
      <c r="Q251" s="269">
        <f>Q253*'Production Steps'!$O$10</f>
        <v>1.7682908433606632</v>
      </c>
      <c r="R251" s="269">
        <f>R253*'Production Steps'!$O$10</f>
        <v>1.8662687570883461</v>
      </c>
      <c r="S251" s="269">
        <f>S253*'Production Steps'!$O$10</f>
        <v>1.96967545625281</v>
      </c>
      <c r="T251" s="269">
        <f>T253*'Production Steps'!$O$10</f>
        <v>2.0788117403934336</v>
      </c>
      <c r="U251" s="269">
        <f>U253*'Production Steps'!$O$10</f>
        <v>2.1939950758278184</v>
      </c>
      <c r="V251" s="270">
        <f>X251*0.8</f>
        <v>49.794248258726405</v>
      </c>
      <c r="W251" s="270">
        <f>'Production Steps'!H190*1.1</f>
        <v>116.45950965472298</v>
      </c>
      <c r="X251" s="270">
        <f>'Production Steps'!I190*1.1</f>
        <v>62.242810323408001</v>
      </c>
    </row>
    <row r="252" spans="1:24" s="252" customFormat="1" x14ac:dyDescent="0.2">
      <c r="A252" s="255"/>
      <c r="B252" s="268" t="s">
        <v>949</v>
      </c>
      <c r="C252" s="268" t="s">
        <v>950</v>
      </c>
      <c r="D252" s="268" t="str">
        <f t="shared" ref="D252:D256" si="43">CONCATENATE(MID(B252,4,6),"1")</f>
        <v>CRMSLS1</v>
      </c>
      <c r="E252" s="255">
        <v>2010</v>
      </c>
      <c r="F252" s="255"/>
      <c r="G252" s="255">
        <v>1.05</v>
      </c>
      <c r="H252" s="255">
        <v>1.05</v>
      </c>
      <c r="I252" s="255">
        <v>1.05</v>
      </c>
      <c r="J252" s="255">
        <v>1.05</v>
      </c>
      <c r="K252" s="255">
        <v>1.05</v>
      </c>
      <c r="L252" s="269">
        <f>L253*'Production Steps'!$O$11</f>
        <v>1.4131559575102657</v>
      </c>
      <c r="M252" s="269">
        <f>M253*'Production Steps'!$O$11</f>
        <v>1.48820528454477</v>
      </c>
      <c r="N252" s="269">
        <f>N253*'Production Steps'!$O$11</f>
        <v>1.6616412498910451</v>
      </c>
      <c r="O252" s="269">
        <f>O253*'Production Steps'!$O$11</f>
        <v>1.8143016105603897</v>
      </c>
      <c r="P252" s="269">
        <f>P253*'Production Steps'!$O$11</f>
        <v>1.9087319634496414</v>
      </c>
      <c r="Q252" s="269">
        <f>Q253*'Production Steps'!$O$11</f>
        <v>2.005402570084025</v>
      </c>
      <c r="R252" s="269">
        <f>R253*'Production Steps'!$O$11</f>
        <v>2.1165184313342835</v>
      </c>
      <c r="S252" s="269">
        <f>S253*'Production Steps'!$O$11</f>
        <v>2.2337910287958005</v>
      </c>
      <c r="T252" s="269">
        <f>T253*'Production Steps'!$O$11</f>
        <v>2.3575614964916438</v>
      </c>
      <c r="U252" s="269">
        <f>U253*'Production Steps'!$O$11</f>
        <v>2.4881898700865488</v>
      </c>
      <c r="V252" s="270">
        <f>X252*0.8</f>
        <v>48.79836329355188</v>
      </c>
      <c r="W252" s="270">
        <f>'Production Steps'!H191*1.1</f>
        <v>114.13031946162852</v>
      </c>
      <c r="X252" s="270">
        <f>'Production Steps'!I191*1.1</f>
        <v>60.997954116939844</v>
      </c>
    </row>
    <row r="253" spans="1:24" s="252" customFormat="1" x14ac:dyDescent="0.2">
      <c r="A253" s="255"/>
      <c r="B253" s="268" t="s">
        <v>951</v>
      </c>
      <c r="C253" s="268" t="s">
        <v>952</v>
      </c>
      <c r="D253" s="268" t="str">
        <f t="shared" si="43"/>
        <v>CRMSLS1</v>
      </c>
      <c r="E253" s="255">
        <v>2010</v>
      </c>
      <c r="F253" s="255"/>
      <c r="G253" s="255">
        <v>1.05</v>
      </c>
      <c r="H253" s="255">
        <v>1.05</v>
      </c>
      <c r="I253" s="255">
        <v>1.05</v>
      </c>
      <c r="J253" s="255">
        <v>1.05</v>
      </c>
      <c r="K253" s="255">
        <v>1.05</v>
      </c>
      <c r="L253" s="269">
        <f>'AEO Coal Prices'!M51*'Production Steps'!$Q$17*$N$4</f>
        <v>1.4159879333770198</v>
      </c>
      <c r="M253" s="269">
        <f>'AEO Coal Prices'!N51*'Production Steps'!$Q$17*$N$4</f>
        <v>1.4911876598644989</v>
      </c>
      <c r="N253" s="269">
        <f>'AEO Coal Prices'!O51*'Production Steps'!$Q$17*$N$4</f>
        <v>1.6649711922755963</v>
      </c>
      <c r="O253" s="269">
        <f>'AEO Coal Prices'!P51*'Production Steps'!$Q$17*$N$4</f>
        <v>1.8179374855314527</v>
      </c>
      <c r="P253" s="269">
        <f>'AEO Coal Prices'!Q51*'Production Steps'!$Q$17*$N$4</f>
        <v>1.9125570776048511</v>
      </c>
      <c r="Q253" s="269">
        <f>'AEO Coal Prices'!R51*'Production Steps'!$Q$17*$N$4</f>
        <v>2.0094214129098447</v>
      </c>
      <c r="R253" s="269">
        <f>'AEO Coal Prices'!S51*'Production Steps'!$Q$17*$N$4</f>
        <v>2.120759951236757</v>
      </c>
      <c r="S253" s="269">
        <f>R253*(1+(R253-Q253)/Q253)</f>
        <v>2.2382675639236478</v>
      </c>
      <c r="T253" s="269">
        <f>S253*(1+(S253-R253)/R253)</f>
        <v>2.3622860686289018</v>
      </c>
      <c r="U253" s="269">
        <f>T253*(1+(T253-S253)/S253)</f>
        <v>2.4931762225316119</v>
      </c>
      <c r="V253" s="270">
        <f>X253*0.8</f>
        <v>0.99588496517452441</v>
      </c>
      <c r="W253" s="270">
        <f>'Production Steps'!H192*1.1</f>
        <v>2.3291901930944707</v>
      </c>
      <c r="X253" s="270">
        <f>'Production Steps'!I192*1.1</f>
        <v>1.2448562064681554</v>
      </c>
    </row>
    <row r="254" spans="1:24" s="252" customFormat="1" x14ac:dyDescent="0.2">
      <c r="A254" s="255"/>
      <c r="B254" s="268" t="s">
        <v>953</v>
      </c>
      <c r="C254" s="268" t="s">
        <v>954</v>
      </c>
      <c r="D254" s="268" t="str">
        <f t="shared" si="43"/>
        <v>CRMSLS1</v>
      </c>
      <c r="E254" s="255">
        <v>2010</v>
      </c>
      <c r="F254" s="271"/>
      <c r="G254" s="255">
        <v>1.05</v>
      </c>
      <c r="H254" s="255">
        <v>1.05</v>
      </c>
      <c r="I254" s="255">
        <v>1.05</v>
      </c>
      <c r="J254" s="255">
        <v>1.05</v>
      </c>
      <c r="K254" s="255">
        <v>1.05</v>
      </c>
      <c r="L254" s="269">
        <f>L253*'Production Steps'!$O$13</f>
        <v>1.4202358971771507</v>
      </c>
      <c r="M254" s="269">
        <f>M253*'Production Steps'!$O$13</f>
        <v>1.4956612228440922</v>
      </c>
      <c r="N254" s="269">
        <f>N253*'Production Steps'!$O$13</f>
        <v>1.6699661058524229</v>
      </c>
      <c r="O254" s="269">
        <f>O253*'Production Steps'!$O$13</f>
        <v>1.8233912979880469</v>
      </c>
      <c r="P254" s="269">
        <f>P253*'Production Steps'!$O$13</f>
        <v>1.9182947488376654</v>
      </c>
      <c r="Q254" s="269">
        <f>Q253*'Production Steps'!$O$13</f>
        <v>2.0154496771485739</v>
      </c>
      <c r="R254" s="269">
        <f>R253*'Production Steps'!$O$13</f>
        <v>2.1271222310904672</v>
      </c>
      <c r="S254" s="269">
        <f>S253*'Production Steps'!$O$13</f>
        <v>2.2449823666154183</v>
      </c>
      <c r="T254" s="269">
        <f>T253*'Production Steps'!$O$13</f>
        <v>2.3693729268347883</v>
      </c>
      <c r="U254" s="269">
        <f>U253*'Production Steps'!$O$13</f>
        <v>2.5006557511992065</v>
      </c>
      <c r="V254" s="270">
        <f>X254*0.8</f>
        <v>0.99588496517452441</v>
      </c>
      <c r="W254" s="270">
        <f>'Production Steps'!H193*1.1</f>
        <v>2.3291901930944707</v>
      </c>
      <c r="X254" s="270">
        <f>'Production Steps'!I193*1.1</f>
        <v>1.2448562064681554</v>
      </c>
    </row>
    <row r="255" spans="1:24" s="252" customFormat="1" x14ac:dyDescent="0.2">
      <c r="A255" s="255"/>
      <c r="B255" s="268" t="s">
        <v>955</v>
      </c>
      <c r="C255" s="268" t="s">
        <v>956</v>
      </c>
      <c r="D255" s="268" t="str">
        <f t="shared" si="43"/>
        <v>CRMSLS1</v>
      </c>
      <c r="E255" s="255">
        <v>2010</v>
      </c>
      <c r="F255" s="271">
        <f>X255*0.1</f>
        <v>1.1203705858213462</v>
      </c>
      <c r="G255" s="255">
        <v>1.05</v>
      </c>
      <c r="H255" s="255">
        <v>1.05</v>
      </c>
      <c r="I255" s="255">
        <v>1.05</v>
      </c>
      <c r="J255" s="255">
        <v>1.05</v>
      </c>
      <c r="K255" s="255">
        <v>1.05</v>
      </c>
      <c r="L255" s="269">
        <f>L253*'Production Steps'!$O$14</f>
        <v>1.5859064853822622</v>
      </c>
      <c r="M255" s="269">
        <f>M253*'Production Steps'!$O$14</f>
        <v>1.6701301790482388</v>
      </c>
      <c r="N255" s="269">
        <f>N253*'Production Steps'!$O$14</f>
        <v>1.864767735348668</v>
      </c>
      <c r="O255" s="269">
        <f>O253*'Production Steps'!$O$14</f>
        <v>2.0360899837952271</v>
      </c>
      <c r="P255" s="269">
        <f>P253*'Production Steps'!$O$14</f>
        <v>2.1420639269174333</v>
      </c>
      <c r="Q255" s="269">
        <f>Q253*'Production Steps'!$O$14</f>
        <v>2.2505519824590263</v>
      </c>
      <c r="R255" s="269">
        <f>R253*'Production Steps'!$O$14</f>
        <v>2.3752511453851679</v>
      </c>
      <c r="S255" s="269">
        <f>S253*'Production Steps'!$O$14</f>
        <v>2.5068596715944858</v>
      </c>
      <c r="T255" s="269">
        <f>T253*'Production Steps'!$O$14</f>
        <v>2.6457603968643704</v>
      </c>
      <c r="U255" s="269">
        <f>U253*'Production Steps'!$O$14</f>
        <v>2.7923573692354053</v>
      </c>
      <c r="V255" s="270"/>
      <c r="W255" s="270">
        <f>'Production Steps'!H194*1.1</f>
        <v>20.962711737850142</v>
      </c>
      <c r="X255" s="270">
        <f>'Production Steps'!I194*1.1</f>
        <v>11.203705858213462</v>
      </c>
    </row>
    <row r="256" spans="1:24" s="252" customFormat="1" x14ac:dyDescent="0.2">
      <c r="A256" s="255"/>
      <c r="B256" s="268" t="s">
        <v>957</v>
      </c>
      <c r="C256" s="268" t="s">
        <v>958</v>
      </c>
      <c r="D256" s="268" t="str">
        <f t="shared" si="43"/>
        <v>CRMSLS1</v>
      </c>
      <c r="E256" s="255">
        <v>2010</v>
      </c>
      <c r="F256" s="271">
        <f>X256*0.1</f>
        <v>1.244856206468157</v>
      </c>
      <c r="G256" s="255">
        <v>1.05</v>
      </c>
      <c r="H256" s="255">
        <v>1.05</v>
      </c>
      <c r="I256" s="255">
        <v>1.05</v>
      </c>
      <c r="J256" s="255">
        <v>1.05</v>
      </c>
      <c r="K256" s="255">
        <v>1.05</v>
      </c>
      <c r="L256" s="269">
        <f>L253*'Production Steps'!$O$15</f>
        <v>2.1664615380668404</v>
      </c>
      <c r="M256" s="269">
        <f>M253*'Production Steps'!$O$15</f>
        <v>2.2815171195926833</v>
      </c>
      <c r="N256" s="269">
        <f>N253*'Production Steps'!$O$15</f>
        <v>2.5474059241816622</v>
      </c>
      <c r="O256" s="269">
        <f>O253*'Production Steps'!$O$15</f>
        <v>2.7814443528631227</v>
      </c>
      <c r="P256" s="269">
        <f>P253*'Production Steps'!$O$15</f>
        <v>2.926212328735422</v>
      </c>
      <c r="Q256" s="269">
        <f>Q253*'Production Steps'!$O$15</f>
        <v>3.0744147617520623</v>
      </c>
      <c r="R256" s="269">
        <f>R253*'Production Steps'!$O$15</f>
        <v>3.2447627253922384</v>
      </c>
      <c r="S256" s="269">
        <f>S253*'Production Steps'!$O$15</f>
        <v>3.4245493728031811</v>
      </c>
      <c r="T256" s="269">
        <f>T253*'Production Steps'!$O$15</f>
        <v>3.6142976850022199</v>
      </c>
      <c r="U256" s="269">
        <f>U253*'Production Steps'!$O$15</f>
        <v>3.8145596204733661</v>
      </c>
      <c r="V256" s="270"/>
      <c r="W256" s="270">
        <f>'Production Steps'!H195*1.1</f>
        <v>23.291901930944579</v>
      </c>
      <c r="X256" s="270">
        <f>'Production Steps'!I195*1.1</f>
        <v>12.448562064681569</v>
      </c>
    </row>
    <row r="257" spans="1:24" s="252" customFormat="1" x14ac:dyDescent="0.2">
      <c r="A257" s="266" t="s">
        <v>505</v>
      </c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</row>
    <row r="258" spans="1:24" s="252" customFormat="1" x14ac:dyDescent="0.2">
      <c r="A258" s="267" t="s">
        <v>504</v>
      </c>
      <c r="B258" s="268" t="s">
        <v>959</v>
      </c>
      <c r="C258" s="268" t="s">
        <v>960</v>
      </c>
      <c r="D258" s="268" t="str">
        <f>CONCATENATE(MID(B258,4,6),"1")</f>
        <v>CZNBLS1</v>
      </c>
      <c r="E258" s="255">
        <v>2010</v>
      </c>
      <c r="F258" s="255"/>
      <c r="G258" s="255">
        <v>1.05</v>
      </c>
      <c r="H258" s="255">
        <v>1.05</v>
      </c>
      <c r="I258" s="255">
        <v>1.05</v>
      </c>
      <c r="J258" s="255">
        <v>1.05</v>
      </c>
      <c r="K258" s="255">
        <v>1.05</v>
      </c>
      <c r="L258" s="269">
        <f>L260*'Production Steps'!$O$10</f>
        <v>1.3857071702994439</v>
      </c>
      <c r="M258" s="269">
        <f>M260*'Production Steps'!$O$10</f>
        <v>1.4164540550418001</v>
      </c>
      <c r="N258" s="269">
        <f>N260*'Production Steps'!$O$10</f>
        <v>1.625303174014701</v>
      </c>
      <c r="O258" s="269">
        <f>O260*'Production Steps'!$O$10</f>
        <v>1.7792444281293041</v>
      </c>
      <c r="P258" s="269">
        <f>P260*'Production Steps'!$O$10</f>
        <v>1.8780266021222918</v>
      </c>
      <c r="Q258" s="269">
        <f>Q260*'Production Steps'!$O$10</f>
        <v>1.9730676502025846</v>
      </c>
      <c r="R258" s="269">
        <f>R260*'Production Steps'!$O$10</f>
        <v>2.0504249237463799</v>
      </c>
      <c r="S258" s="269">
        <f>S260*'Production Steps'!$O$10</f>
        <v>2.13081511294794</v>
      </c>
      <c r="T258" s="269">
        <f>T260*'Production Steps'!$O$10</f>
        <v>2.2143571281173853</v>
      </c>
      <c r="U258" s="269">
        <f>U260*'Production Steps'!$O$10</f>
        <v>2.3011745416337646</v>
      </c>
      <c r="V258" s="270">
        <f>X258*0.8</f>
        <v>79.997189844549112</v>
      </c>
      <c r="W258" s="270">
        <f>'Production Steps'!H198*1.1</f>
        <v>217.86190398422809</v>
      </c>
      <c r="X258" s="270">
        <f>'Production Steps'!I198*1.1</f>
        <v>99.996487305686387</v>
      </c>
    </row>
    <row r="259" spans="1:24" s="252" customFormat="1" x14ac:dyDescent="0.2">
      <c r="A259" s="255"/>
      <c r="B259" s="268" t="s">
        <v>961</v>
      </c>
      <c r="C259" s="268" t="s">
        <v>962</v>
      </c>
      <c r="D259" s="268" t="str">
        <f t="shared" ref="D259:D263" si="44">CONCATENATE(MID(B259,4,6),"1")</f>
        <v>CZNBLS1</v>
      </c>
      <c r="E259" s="255">
        <v>2010</v>
      </c>
      <c r="F259" s="255"/>
      <c r="G259" s="255">
        <v>1.05</v>
      </c>
      <c r="H259" s="255">
        <v>1.05</v>
      </c>
      <c r="I259" s="255">
        <v>1.05</v>
      </c>
      <c r="J259" s="255">
        <v>1.05</v>
      </c>
      <c r="K259" s="255">
        <v>1.05</v>
      </c>
      <c r="L259" s="269">
        <f>L260*'Production Steps'!$O$11</f>
        <v>1.5715179044986876</v>
      </c>
      <c r="M259" s="269">
        <f>M260*'Production Steps'!$O$11</f>
        <v>1.6063876669678596</v>
      </c>
      <c r="N259" s="269">
        <f>N260*'Production Steps'!$O$11</f>
        <v>1.8432415541666722</v>
      </c>
      <c r="O259" s="269">
        <f>O260*'Production Steps'!$O$11</f>
        <v>2.0178249309920973</v>
      </c>
      <c r="P259" s="269">
        <f>P260*'Production Steps'!$O$11</f>
        <v>2.129852896497781</v>
      </c>
      <c r="Q259" s="269">
        <f>Q260*'Production Steps'!$O$11</f>
        <v>2.2376380851161128</v>
      </c>
      <c r="R259" s="269">
        <f>R260*'Production Steps'!$O$11</f>
        <v>2.3253682657941899</v>
      </c>
      <c r="S259" s="269">
        <f>S260*'Production Steps'!$O$11</f>
        <v>2.4165380485477774</v>
      </c>
      <c r="T259" s="269">
        <f>T260*'Production Steps'!$O$11</f>
        <v>2.5112822884785801</v>
      </c>
      <c r="U259" s="269">
        <f>U260*'Production Steps'!$O$11</f>
        <v>2.6097411278982925</v>
      </c>
      <c r="V259" s="270">
        <f>X259*0.8</f>
        <v>78.397246047658129</v>
      </c>
      <c r="W259" s="270">
        <f>'Production Steps'!H199*1.1</f>
        <v>213.50466590454351</v>
      </c>
      <c r="X259" s="270">
        <f>'Production Steps'!I199*1.1</f>
        <v>97.996557559572651</v>
      </c>
    </row>
    <row r="260" spans="1:24" s="252" customFormat="1" x14ac:dyDescent="0.2">
      <c r="A260" s="255"/>
      <c r="B260" s="268" t="s">
        <v>963</v>
      </c>
      <c r="C260" s="268" t="s">
        <v>964</v>
      </c>
      <c r="D260" s="268" t="str">
        <f t="shared" si="44"/>
        <v>CZNBLS1</v>
      </c>
      <c r="E260" s="255">
        <v>2010</v>
      </c>
      <c r="F260" s="255"/>
      <c r="G260" s="255">
        <v>1.05</v>
      </c>
      <c r="H260" s="255">
        <v>1.05</v>
      </c>
      <c r="I260" s="255">
        <v>1.05</v>
      </c>
      <c r="J260" s="255">
        <v>1.05</v>
      </c>
      <c r="K260" s="255">
        <v>1.05</v>
      </c>
      <c r="L260" s="269">
        <f>'AEO Coal Prices'!M54*'Production Steps'!$Q$17*$N$4</f>
        <v>1.5746672389766407</v>
      </c>
      <c r="M260" s="269">
        <f>'AEO Coal Prices'!N54*'Production Steps'!$Q$17*$N$4</f>
        <v>1.6096068807293182</v>
      </c>
      <c r="N260" s="269">
        <f>'AEO Coal Prices'!O54*'Production Steps'!$Q$17*$N$4</f>
        <v>1.8469354250167056</v>
      </c>
      <c r="O260" s="269">
        <f>'AEO Coal Prices'!P54*'Production Steps'!$Q$17*$N$4</f>
        <v>2.0218686683287546</v>
      </c>
      <c r="P260" s="269">
        <f>'AEO Coal Prices'!Q54*'Production Steps'!$Q$17*$N$4</f>
        <v>2.1341211387753316</v>
      </c>
      <c r="Q260" s="269">
        <f>'AEO Coal Prices'!R54*'Production Steps'!$Q$17*$N$4</f>
        <v>2.2421223297756643</v>
      </c>
      <c r="R260" s="269">
        <f>'AEO Coal Prices'!S54*'Production Steps'!$Q$17*$N$4</f>
        <v>2.3300283224390679</v>
      </c>
      <c r="S260" s="269">
        <f>R260*(1+(R260-Q260)/Q260)</f>
        <v>2.4213808101681136</v>
      </c>
      <c r="T260" s="269">
        <f>S260*(1+(S260-R260)/R260)</f>
        <v>2.5163149183152105</v>
      </c>
      <c r="U260" s="269">
        <f>T260*(1+(T260-S260)/S260)</f>
        <v>2.614971070038369</v>
      </c>
      <c r="V260" s="270">
        <f>X260*0.8</f>
        <v>1.5999437968909844</v>
      </c>
      <c r="W260" s="270">
        <f>'Production Steps'!H200*1.1</f>
        <v>4.3572380796845955</v>
      </c>
      <c r="X260" s="270">
        <f>'Production Steps'!I200*1.1</f>
        <v>1.9999297461137304</v>
      </c>
    </row>
    <row r="261" spans="1:24" s="252" customFormat="1" x14ac:dyDescent="0.2">
      <c r="A261" s="255"/>
      <c r="B261" s="268" t="s">
        <v>965</v>
      </c>
      <c r="C261" s="268" t="s">
        <v>966</v>
      </c>
      <c r="D261" s="268" t="str">
        <f t="shared" si="44"/>
        <v>CZNBLS1</v>
      </c>
      <c r="E261" s="255">
        <v>2010</v>
      </c>
      <c r="F261" s="271"/>
      <c r="G261" s="255">
        <v>1.05</v>
      </c>
      <c r="H261" s="255">
        <v>1.05</v>
      </c>
      <c r="I261" s="255">
        <v>1.05</v>
      </c>
      <c r="J261" s="255">
        <v>1.05</v>
      </c>
      <c r="K261" s="255">
        <v>1.05</v>
      </c>
      <c r="L261" s="269">
        <f>L260*'Production Steps'!$O$13</f>
        <v>1.5793912406935704</v>
      </c>
      <c r="M261" s="269">
        <f>M260*'Production Steps'!$O$13</f>
        <v>1.614435701371506</v>
      </c>
      <c r="N261" s="269">
        <f>N260*'Production Steps'!$O$13</f>
        <v>1.8524762312917555</v>
      </c>
      <c r="O261" s="269">
        <f>O260*'Production Steps'!$O$13</f>
        <v>2.0279342743337407</v>
      </c>
      <c r="P261" s="269">
        <f>P260*'Production Steps'!$O$13</f>
        <v>2.1405235021916575</v>
      </c>
      <c r="Q261" s="269">
        <f>Q260*'Production Steps'!$O$13</f>
        <v>2.2488486967649912</v>
      </c>
      <c r="R261" s="269">
        <f>R260*'Production Steps'!$O$13</f>
        <v>2.3370184074063847</v>
      </c>
      <c r="S261" s="269">
        <f>S260*'Production Steps'!$O$13</f>
        <v>2.4286449525986176</v>
      </c>
      <c r="T261" s="269">
        <f>T260*'Production Steps'!$O$13</f>
        <v>2.5238638630701558</v>
      </c>
      <c r="U261" s="269">
        <f>U260*'Production Steps'!$O$13</f>
        <v>2.6228159832484841</v>
      </c>
      <c r="V261" s="270">
        <f>X261*0.8</f>
        <v>1.5999437968909844</v>
      </c>
      <c r="W261" s="270">
        <f>'Production Steps'!H201*1.1</f>
        <v>4.3572380796845955</v>
      </c>
      <c r="X261" s="270">
        <f>'Production Steps'!I201*1.1</f>
        <v>1.9999297461137304</v>
      </c>
    </row>
    <row r="262" spans="1:24" s="252" customFormat="1" x14ac:dyDescent="0.2">
      <c r="A262" s="255"/>
      <c r="B262" s="268" t="s">
        <v>967</v>
      </c>
      <c r="C262" s="268" t="s">
        <v>968</v>
      </c>
      <c r="D262" s="268" t="str">
        <f t="shared" si="44"/>
        <v>CZNBLS1</v>
      </c>
      <c r="E262" s="255">
        <v>2010</v>
      </c>
      <c r="F262" s="271">
        <f>X262*0.1</f>
        <v>1.7999367715023575</v>
      </c>
      <c r="G262" s="255">
        <v>1.05</v>
      </c>
      <c r="H262" s="255">
        <v>1.05</v>
      </c>
      <c r="I262" s="255">
        <v>1.05</v>
      </c>
      <c r="J262" s="255">
        <v>1.05</v>
      </c>
      <c r="K262" s="255">
        <v>1.05</v>
      </c>
      <c r="L262" s="269">
        <f>L260*'Production Steps'!$O$14</f>
        <v>1.7636273076538378</v>
      </c>
      <c r="M262" s="269">
        <f>M260*'Production Steps'!$O$14</f>
        <v>1.8027597064168366</v>
      </c>
      <c r="N262" s="269">
        <f>N260*'Production Steps'!$O$14</f>
        <v>2.0685676760187106</v>
      </c>
      <c r="O262" s="269">
        <f>O260*'Production Steps'!$O$14</f>
        <v>2.2644929085282053</v>
      </c>
      <c r="P262" s="269">
        <f>P260*'Production Steps'!$O$14</f>
        <v>2.3902156754283714</v>
      </c>
      <c r="Q262" s="269">
        <f>Q260*'Production Steps'!$O$14</f>
        <v>2.5111770093487444</v>
      </c>
      <c r="R262" s="269">
        <f>R260*'Production Steps'!$O$14</f>
        <v>2.6096317211317563</v>
      </c>
      <c r="S262" s="269">
        <f>S260*'Production Steps'!$O$14</f>
        <v>2.7119465073882876</v>
      </c>
      <c r="T262" s="269">
        <f>T260*'Production Steps'!$O$14</f>
        <v>2.8182727085130361</v>
      </c>
      <c r="U262" s="269">
        <f>U260*'Production Steps'!$O$14</f>
        <v>2.9287675984429735</v>
      </c>
      <c r="V262" s="270"/>
      <c r="W262" s="270">
        <f>'Production Steps'!H202*1.1</f>
        <v>39.215142717161044</v>
      </c>
      <c r="X262" s="270">
        <f>'Production Steps'!I202*1.1</f>
        <v>17.999367715023574</v>
      </c>
    </row>
    <row r="263" spans="1:24" s="252" customFormat="1" ht="13.5" customHeight="1" x14ac:dyDescent="0.2">
      <c r="A263" s="255"/>
      <c r="B263" s="268" t="s">
        <v>969</v>
      </c>
      <c r="C263" s="268" t="s">
        <v>970</v>
      </c>
      <c r="D263" s="268" t="str">
        <f t="shared" si="44"/>
        <v>CZNBLS1</v>
      </c>
      <c r="E263" s="255">
        <v>2010</v>
      </c>
      <c r="F263" s="271">
        <f>X263*0.1</f>
        <v>1.9999297461137244</v>
      </c>
      <c r="G263" s="255">
        <v>1.05</v>
      </c>
      <c r="H263" s="255">
        <v>1.05</v>
      </c>
      <c r="I263" s="255">
        <v>1.05</v>
      </c>
      <c r="J263" s="255">
        <v>1.05</v>
      </c>
      <c r="K263" s="255">
        <v>1.05</v>
      </c>
      <c r="L263" s="269">
        <f>L260*'Production Steps'!$O$15</f>
        <v>2.4092408756342603</v>
      </c>
      <c r="M263" s="269">
        <f>M260*'Production Steps'!$O$15</f>
        <v>2.4626985275158568</v>
      </c>
      <c r="N263" s="269">
        <f>N260*'Production Steps'!$O$15</f>
        <v>2.8258112002755595</v>
      </c>
      <c r="O263" s="269">
        <f>O260*'Production Steps'!$O$15</f>
        <v>3.0934590625429945</v>
      </c>
      <c r="P263" s="269">
        <f>P260*'Production Steps'!$O$15</f>
        <v>3.2652053423262575</v>
      </c>
      <c r="Q263" s="269">
        <f>Q260*'Production Steps'!$O$15</f>
        <v>3.4304471645567665</v>
      </c>
      <c r="R263" s="269">
        <f>R260*'Production Steps'!$O$15</f>
        <v>3.5649433333317737</v>
      </c>
      <c r="S263" s="269">
        <f>S260*'Production Steps'!$O$15</f>
        <v>3.7047126395572136</v>
      </c>
      <c r="T263" s="269">
        <f>T260*'Production Steps'!$O$15</f>
        <v>3.8499618250222722</v>
      </c>
      <c r="U263" s="269">
        <f>U260*'Production Steps'!$O$15</f>
        <v>4.0009057371587051</v>
      </c>
      <c r="V263" s="270"/>
      <c r="W263" s="270">
        <f>'Production Steps'!H203*1.1</f>
        <v>43.572380796845579</v>
      </c>
      <c r="X263" s="270">
        <f>'Production Steps'!I203*1.1</f>
        <v>19.999297461137242</v>
      </c>
    </row>
    <row r="264" spans="1:24" s="252" customFormat="1" x14ac:dyDescent="0.2">
      <c r="A264" s="266" t="s">
        <v>505</v>
      </c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</row>
    <row r="265" spans="1:24" s="252" customFormat="1" x14ac:dyDescent="0.2">
      <c r="A265" s="267" t="s">
        <v>504</v>
      </c>
      <c r="B265" s="268" t="s">
        <v>971</v>
      </c>
      <c r="C265" s="268" t="s">
        <v>972</v>
      </c>
      <c r="D265" s="268" t="str">
        <f>CONCATENATE(MID(B265,4,6),"1")</f>
        <v>CZNBMU1</v>
      </c>
      <c r="E265" s="255">
        <v>2010</v>
      </c>
      <c r="F265" s="255"/>
      <c r="G265" s="255">
        <v>1.05</v>
      </c>
      <c r="H265" s="255">
        <v>1.0049999999999999</v>
      </c>
      <c r="I265" s="255">
        <v>1.0049999999999999</v>
      </c>
      <c r="J265" s="255">
        <v>1.1000000000000001</v>
      </c>
      <c r="K265" s="255">
        <v>1.05</v>
      </c>
      <c r="L265" s="269">
        <f>L267*'Production Steps'!$O$10</f>
        <v>1.7122470664421734</v>
      </c>
      <c r="M265" s="269">
        <f>M267*'Production Steps'!$O$10</f>
        <v>2.1182665177527471</v>
      </c>
      <c r="N265" s="269">
        <f>N267*'Production Steps'!$O$10</f>
        <v>2.201802713339625</v>
      </c>
      <c r="O265" s="269">
        <f>O267*'Production Steps'!$O$10</f>
        <v>1.8133533020251333</v>
      </c>
      <c r="P265" s="269">
        <f>P267*'Production Steps'!$O$10</f>
        <v>1.7460408950607154</v>
      </c>
      <c r="Q265" s="269">
        <f>Q267*'Production Steps'!$O$10</f>
        <v>1.9123700648399253</v>
      </c>
      <c r="R265" s="269">
        <f>R267*'Production Steps'!$O$10</f>
        <v>2.0387127324353407</v>
      </c>
      <c r="S265" s="269">
        <f>S267*'Production Steps'!$O$10</f>
        <v>2.1734023564847429</v>
      </c>
      <c r="T265" s="269">
        <f>T267*'Production Steps'!$O$10</f>
        <v>2.3169903871305948</v>
      </c>
      <c r="U265" s="269">
        <f>U267*'Production Steps'!$O$10</f>
        <v>2.4700647066282264</v>
      </c>
      <c r="V265" s="270">
        <f>X265*0.8</f>
        <v>35.260558553158404</v>
      </c>
      <c r="W265" s="270">
        <f>'Production Steps'!H205*1.1</f>
        <v>87.531701222429319</v>
      </c>
      <c r="X265" s="270">
        <f>'Production Steps'!I205*1.1</f>
        <v>44.075698191448005</v>
      </c>
    </row>
    <row r="266" spans="1:24" s="252" customFormat="1" x14ac:dyDescent="0.2">
      <c r="A266" s="255"/>
      <c r="B266" s="268" t="s">
        <v>973</v>
      </c>
      <c r="C266" s="268" t="s">
        <v>974</v>
      </c>
      <c r="D266" s="268" t="str">
        <f t="shared" ref="D266:D270" si="45">CONCATENATE(MID(B266,4,6),"1")</f>
        <v>CZNBMU1</v>
      </c>
      <c r="E266" s="255">
        <v>2010</v>
      </c>
      <c r="F266" s="255"/>
      <c r="G266" s="255">
        <v>1.05</v>
      </c>
      <c r="H266" s="255">
        <v>1.0049999999999999</v>
      </c>
      <c r="I266" s="255">
        <v>1.0049999999999999</v>
      </c>
      <c r="J266" s="255">
        <v>1.1000000000000001</v>
      </c>
      <c r="K266" s="255">
        <v>1.05</v>
      </c>
      <c r="L266" s="269">
        <f>L267*'Production Steps'!$O$11</f>
        <v>1.9418438321696465</v>
      </c>
      <c r="M266" s="269">
        <f>M267*'Production Steps'!$O$11</f>
        <v>2.4023068008150474</v>
      </c>
      <c r="N266" s="269">
        <f>N267*'Production Steps'!$O$11</f>
        <v>2.4970444408101655</v>
      </c>
      <c r="O266" s="269">
        <f>O267*'Production Steps'!$O$11</f>
        <v>2.0565074947966853</v>
      </c>
      <c r="P266" s="269">
        <f>P267*'Production Steps'!$O$11</f>
        <v>1.9801691059893114</v>
      </c>
      <c r="Q266" s="269">
        <f>Q267*'Production Steps'!$O$11</f>
        <v>2.1688015053525516</v>
      </c>
      <c r="R266" s="269">
        <f>R267*'Production Steps'!$O$11</f>
        <v>2.312085576102807</v>
      </c>
      <c r="S266" s="269">
        <f>S267*'Production Steps'!$O$11</f>
        <v>2.4648358542861057</v>
      </c>
      <c r="T266" s="269">
        <f>T267*'Production Steps'!$O$11</f>
        <v>2.6276777344958333</v>
      </c>
      <c r="U266" s="269">
        <f>U267*'Production Steps'!$O$11</f>
        <v>2.8012779286533749</v>
      </c>
      <c r="V266" s="270">
        <f>X266*0.8</f>
        <v>34.555347382095242</v>
      </c>
      <c r="W266" s="270">
        <f>'Production Steps'!H206*1.1</f>
        <v>85.781067197980718</v>
      </c>
      <c r="X266" s="270">
        <f>'Production Steps'!I206*1.1</f>
        <v>43.194184227619047</v>
      </c>
    </row>
    <row r="267" spans="1:24" s="252" customFormat="1" x14ac:dyDescent="0.2">
      <c r="A267" s="255"/>
      <c r="B267" s="268" t="s">
        <v>975</v>
      </c>
      <c r="C267" s="268" t="s">
        <v>976</v>
      </c>
      <c r="D267" s="268" t="str">
        <f t="shared" si="45"/>
        <v>CZNBMU1</v>
      </c>
      <c r="E267" s="255">
        <v>2010</v>
      </c>
      <c r="F267" s="255"/>
      <c r="G267" s="255">
        <v>1.05</v>
      </c>
      <c r="H267" s="255">
        <v>1.0049999999999999</v>
      </c>
      <c r="I267" s="255">
        <v>1.0049999999999999</v>
      </c>
      <c r="J267" s="255">
        <v>1.1000000000000001</v>
      </c>
      <c r="K267" s="255">
        <v>1.05</v>
      </c>
      <c r="L267" s="269">
        <f>'AEO Coal Prices'!M55*'Production Steps'!$Q$17*$N$4</f>
        <v>1.9457353027751969</v>
      </c>
      <c r="M267" s="269">
        <f>'AEO Coal Prices'!N55*'Production Steps'!$Q$17*$N$4</f>
        <v>2.4071210429008492</v>
      </c>
      <c r="N267" s="269">
        <f>'AEO Coal Prices'!O55*'Production Steps'!$Q$17*$N$4</f>
        <v>2.5020485378859374</v>
      </c>
      <c r="O267" s="269">
        <f>'AEO Coal Prices'!P55*'Production Steps'!$Q$17*$N$4</f>
        <v>2.0606287523012878</v>
      </c>
      <c r="P267" s="269">
        <f>'AEO Coal Prices'!Q55*'Production Steps'!$Q$17*$N$4</f>
        <v>1.9841373807508129</v>
      </c>
      <c r="Q267" s="269">
        <f>'AEO Coal Prices'!R55*'Production Steps'!$Q$17*$N$4</f>
        <v>2.1731478009544607</v>
      </c>
      <c r="R267" s="269">
        <f>'AEO Coal Prices'!S55*'Production Steps'!$Q$17*$N$4</f>
        <v>2.3167190141310692</v>
      </c>
      <c r="S267" s="269">
        <f>R267*(1+(R267-Q267)/Q267)</f>
        <v>2.4697754050962986</v>
      </c>
      <c r="T267" s="269">
        <f>S267*(1+(S267-R267)/R267)</f>
        <v>2.6329436217393121</v>
      </c>
      <c r="U267" s="269">
        <f>T267*(1+(T267-S267)/S267)</f>
        <v>2.8068917120775301</v>
      </c>
      <c r="V267" s="270">
        <f>X267*0.8</f>
        <v>0.70521117106316655</v>
      </c>
      <c r="W267" s="270">
        <f>'Production Steps'!H207*1.1</f>
        <v>1.7506340244485985</v>
      </c>
      <c r="X267" s="270">
        <f>'Production Steps'!I207*1.1</f>
        <v>0.88151396382895808</v>
      </c>
    </row>
    <row r="268" spans="1:24" s="252" customFormat="1" x14ac:dyDescent="0.2">
      <c r="A268" s="255"/>
      <c r="B268" s="268" t="s">
        <v>977</v>
      </c>
      <c r="C268" s="268" t="s">
        <v>978</v>
      </c>
      <c r="D268" s="268" t="str">
        <f t="shared" si="45"/>
        <v>CZNBMU1</v>
      </c>
      <c r="E268" s="255">
        <v>2010</v>
      </c>
      <c r="F268" s="271"/>
      <c r="G268" s="255">
        <v>1.05</v>
      </c>
      <c r="H268" s="255">
        <v>1.0049999999999999</v>
      </c>
      <c r="I268" s="255">
        <v>1.0049999999999999</v>
      </c>
      <c r="J268" s="255">
        <v>1.1000000000000001</v>
      </c>
      <c r="K268" s="255">
        <v>1.05</v>
      </c>
      <c r="L268" s="269">
        <f>L267*'Production Steps'!$O$13</f>
        <v>1.9515725086835223</v>
      </c>
      <c r="M268" s="269">
        <f>M267*'Production Steps'!$O$13</f>
        <v>2.4143424060295513</v>
      </c>
      <c r="N268" s="269">
        <f>N267*'Production Steps'!$O$13</f>
        <v>2.5095546834995948</v>
      </c>
      <c r="O268" s="269">
        <f>O267*'Production Steps'!$O$13</f>
        <v>2.0668106385581915</v>
      </c>
      <c r="P268" s="269">
        <f>P267*'Production Steps'!$O$13</f>
        <v>1.9900897928930652</v>
      </c>
      <c r="Q268" s="269">
        <f>Q267*'Production Steps'!$O$13</f>
        <v>2.179667244357324</v>
      </c>
      <c r="R268" s="269">
        <f>R267*'Production Steps'!$O$13</f>
        <v>2.3236691711734623</v>
      </c>
      <c r="S268" s="269">
        <f>S267*'Production Steps'!$O$13</f>
        <v>2.4771847313115871</v>
      </c>
      <c r="T268" s="269">
        <f>T267*'Production Steps'!$O$13</f>
        <v>2.6408424526045295</v>
      </c>
      <c r="U268" s="269">
        <f>U267*'Production Steps'!$O$13</f>
        <v>2.8153123872137624</v>
      </c>
      <c r="V268" s="270">
        <f>X268*0.8</f>
        <v>0.70521117106316655</v>
      </c>
      <c r="W268" s="270">
        <f>'Production Steps'!H208*1.1</f>
        <v>1.7506340244485985</v>
      </c>
      <c r="X268" s="270">
        <f>'Production Steps'!I208*1.1</f>
        <v>0.88151396382895808</v>
      </c>
    </row>
    <row r="269" spans="1:24" s="252" customFormat="1" x14ac:dyDescent="0.2">
      <c r="A269" s="255"/>
      <c r="B269" s="268" t="s">
        <v>979</v>
      </c>
      <c r="C269" s="268" t="s">
        <v>980</v>
      </c>
      <c r="D269" s="268" t="str">
        <f t="shared" si="45"/>
        <v>CZNBMU1</v>
      </c>
      <c r="E269" s="255">
        <v>2010</v>
      </c>
      <c r="F269" s="271">
        <f>X269*0.1</f>
        <v>0.79336256744606537</v>
      </c>
      <c r="G269" s="255">
        <v>1.05</v>
      </c>
      <c r="H269" s="255">
        <v>1.0049999999999999</v>
      </c>
      <c r="I269" s="255">
        <v>1.0049999999999999</v>
      </c>
      <c r="J269" s="255">
        <v>1.1000000000000001</v>
      </c>
      <c r="K269" s="255">
        <v>1.05</v>
      </c>
      <c r="L269" s="269">
        <f>L267*'Production Steps'!$O$14</f>
        <v>2.1792235391082206</v>
      </c>
      <c r="M269" s="269">
        <f>M267*'Production Steps'!$O$14</f>
        <v>2.6959755680489512</v>
      </c>
      <c r="N269" s="269">
        <f>N267*'Production Steps'!$O$14</f>
        <v>2.8022943624322503</v>
      </c>
      <c r="O269" s="269">
        <f>O267*'Production Steps'!$O$14</f>
        <v>2.3079042025774426</v>
      </c>
      <c r="P269" s="269">
        <f>P267*'Production Steps'!$O$14</f>
        <v>2.2222338664409107</v>
      </c>
      <c r="Q269" s="269">
        <f>Q267*'Production Steps'!$O$14</f>
        <v>2.4339255370689963</v>
      </c>
      <c r="R269" s="269">
        <f>R267*'Production Steps'!$O$14</f>
        <v>2.5947252958267977</v>
      </c>
      <c r="S269" s="269">
        <f>S267*'Production Steps'!$O$14</f>
        <v>2.7661484537078547</v>
      </c>
      <c r="T269" s="269">
        <f>T267*'Production Steps'!$O$14</f>
        <v>2.9488968563480298</v>
      </c>
      <c r="U269" s="269">
        <f>U267*'Production Steps'!$O$14</f>
        <v>3.1437187175268342</v>
      </c>
      <c r="V269" s="270"/>
      <c r="W269" s="270">
        <f>'Production Steps'!H209*1.1</f>
        <v>15.755706220037293</v>
      </c>
      <c r="X269" s="270">
        <f>'Production Steps'!I209*1.1</f>
        <v>7.9336256744606537</v>
      </c>
    </row>
    <row r="270" spans="1:24" s="252" customFormat="1" x14ac:dyDescent="0.2">
      <c r="A270" s="255"/>
      <c r="B270" s="268" t="s">
        <v>981</v>
      </c>
      <c r="C270" s="268" t="s">
        <v>982</v>
      </c>
      <c r="D270" s="268" t="str">
        <f t="shared" si="45"/>
        <v>CZNBMU1</v>
      </c>
      <c r="E270" s="255">
        <v>2010</v>
      </c>
      <c r="F270" s="271">
        <f>X270*0.1</f>
        <v>0.88151396382895797</v>
      </c>
      <c r="G270" s="255">
        <v>1.05</v>
      </c>
      <c r="H270" s="255">
        <v>1.0049999999999999</v>
      </c>
      <c r="I270" s="255">
        <v>1.0049999999999999</v>
      </c>
      <c r="J270" s="255">
        <v>1.1000000000000001</v>
      </c>
      <c r="K270" s="255">
        <v>1.05</v>
      </c>
      <c r="L270" s="269">
        <f>L267*'Production Steps'!$O$15</f>
        <v>2.9769750132460513</v>
      </c>
      <c r="M270" s="269">
        <f>M267*'Production Steps'!$O$15</f>
        <v>3.6828951956382991</v>
      </c>
      <c r="N270" s="269">
        <f>N267*'Production Steps'!$O$15</f>
        <v>3.8281342629654844</v>
      </c>
      <c r="O270" s="269">
        <f>O267*'Production Steps'!$O$15</f>
        <v>3.1527619910209705</v>
      </c>
      <c r="P270" s="269">
        <f>P267*'Production Steps'!$O$15</f>
        <v>3.0357301925487437</v>
      </c>
      <c r="Q270" s="269">
        <f>Q267*'Production Steps'!$O$15</f>
        <v>3.3249161354603247</v>
      </c>
      <c r="R270" s="269">
        <f>R267*'Production Steps'!$O$15</f>
        <v>3.5445800916205359</v>
      </c>
      <c r="S270" s="269">
        <f>S267*'Production Steps'!$O$15</f>
        <v>3.7787563697973368</v>
      </c>
      <c r="T270" s="269">
        <f>T267*'Production Steps'!$O$15</f>
        <v>4.0284037412611475</v>
      </c>
      <c r="U270" s="269">
        <f>U267*'Production Steps'!$O$15</f>
        <v>4.2945443194786215</v>
      </c>
      <c r="V270" s="270"/>
      <c r="W270" s="270">
        <f>'Production Steps'!H210*1.1</f>
        <v>17.506340244485827</v>
      </c>
      <c r="X270" s="270">
        <f>'Production Steps'!I210*1.1</f>
        <v>8.8151396382895797</v>
      </c>
    </row>
    <row r="271" spans="1:24" s="252" customFormat="1" x14ac:dyDescent="0.2">
      <c r="A271" s="266" t="s">
        <v>505</v>
      </c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</row>
    <row r="272" spans="1:24" s="252" customFormat="1" x14ac:dyDescent="0.2">
      <c r="A272" s="267" t="s">
        <v>504</v>
      </c>
      <c r="B272" s="268" t="s">
        <v>983</v>
      </c>
      <c r="C272" s="268" t="s">
        <v>984</v>
      </c>
      <c r="D272" s="268" t="str">
        <f>CONCATENATE(MID(B272,4,6),"1")</f>
        <v>CZNSMS1</v>
      </c>
      <c r="E272" s="255">
        <v>2010</v>
      </c>
      <c r="F272" s="255"/>
      <c r="G272" s="255">
        <v>1.05</v>
      </c>
      <c r="H272" s="255">
        <v>1.0049999999999999</v>
      </c>
      <c r="I272" s="255">
        <v>1.0049999999999999</v>
      </c>
      <c r="J272" s="255">
        <v>1.1000000000000001</v>
      </c>
      <c r="K272" s="255">
        <v>1.05</v>
      </c>
      <c r="L272" s="269">
        <f>L274*'Production Steps'!$O$10</f>
        <v>1.1384177986170989</v>
      </c>
      <c r="M272" s="269">
        <f>M274*'Production Steps'!$O$10</f>
        <v>1.3006498603522003</v>
      </c>
      <c r="N272" s="269">
        <f>N274*'Production Steps'!$O$10</f>
        <v>1.464209745904979</v>
      </c>
      <c r="O272" s="269">
        <f>O274*'Production Steps'!$O$10</f>
        <v>1.5667636129145635</v>
      </c>
      <c r="P272" s="269">
        <f>P274*'Production Steps'!$O$10</f>
        <v>1.6242792336588119</v>
      </c>
      <c r="Q272" s="269">
        <f>Q274*'Production Steps'!$O$10</f>
        <v>1.6674199726839309</v>
      </c>
      <c r="R272" s="269">
        <f>R274*'Production Steps'!$O$10</f>
        <v>1.7260795053118674</v>
      </c>
      <c r="S272" s="269">
        <f>S274*'Production Steps'!$O$10</f>
        <v>1.7868026696729595</v>
      </c>
      <c r="T272" s="269">
        <f>T274*'Production Steps'!$O$10</f>
        <v>1.849662063957805</v>
      </c>
      <c r="U272" s="269">
        <f>U274*'Production Steps'!$O$10</f>
        <v>1.9147328403481971</v>
      </c>
      <c r="V272" s="270">
        <f>X272*0.8</f>
        <v>150.65983511686272</v>
      </c>
      <c r="W272" s="270">
        <f>'Production Steps'!H212*1.1</f>
        <v>159.11009395599999</v>
      </c>
      <c r="X272" s="270">
        <f>'Production Steps'!I212*1.1</f>
        <v>188.3247938960784</v>
      </c>
    </row>
    <row r="273" spans="1:70" s="252" customFormat="1" x14ac:dyDescent="0.2">
      <c r="A273" s="255"/>
      <c r="B273" s="268" t="s">
        <v>985</v>
      </c>
      <c r="C273" s="268" t="s">
        <v>986</v>
      </c>
      <c r="D273" s="268" t="str">
        <f t="shared" ref="D273:D277" si="46">CONCATENATE(MID(B273,4,6),"1")</f>
        <v>CZNSMS1</v>
      </c>
      <c r="E273" s="255">
        <v>2010</v>
      </c>
      <c r="F273" s="255"/>
      <c r="G273" s="255">
        <v>1.05</v>
      </c>
      <c r="H273" s="255">
        <v>1.0049999999999999</v>
      </c>
      <c r="I273" s="255">
        <v>1.0049999999999999</v>
      </c>
      <c r="J273" s="255">
        <v>1.1000000000000001</v>
      </c>
      <c r="K273" s="255">
        <v>1.05</v>
      </c>
      <c r="L273" s="269">
        <f>L274*'Production Steps'!$O$11</f>
        <v>1.2910692761589371</v>
      </c>
      <c r="M273" s="269">
        <f>M274*'Production Steps'!$O$11</f>
        <v>1.4750551825357907</v>
      </c>
      <c r="N273" s="269">
        <f>N274*'Production Steps'!$O$11</f>
        <v>1.6605469618331468</v>
      </c>
      <c r="O273" s="269">
        <f>O274*'Production Steps'!$O$11</f>
        <v>1.7768523701008345</v>
      </c>
      <c r="P273" s="269">
        <f>P274*'Production Steps'!$O$11</f>
        <v>1.8420803127176071</v>
      </c>
      <c r="Q273" s="269">
        <f>Q274*'Production Steps'!$O$11</f>
        <v>1.8910058326574581</v>
      </c>
      <c r="R273" s="269">
        <f>R274*'Production Steps'!$O$11</f>
        <v>1.9575310753423223</v>
      </c>
      <c r="S273" s="269">
        <f>S274*'Production Steps'!$O$11</f>
        <v>2.0263966640154698</v>
      </c>
      <c r="T273" s="269">
        <f>T274*'Production Steps'!$O$11</f>
        <v>2.0976849316248742</v>
      </c>
      <c r="U273" s="269">
        <f>U274*'Production Steps'!$O$11</f>
        <v>2.1714811075767053</v>
      </c>
      <c r="V273" s="270">
        <f>X273*0.8</f>
        <v>147.64663841452543</v>
      </c>
      <c r="W273" s="270">
        <f>'Production Steps'!H213*1.1</f>
        <v>155.92789207687997</v>
      </c>
      <c r="X273" s="270">
        <f>'Production Steps'!I213*1.1</f>
        <v>184.55829801815679</v>
      </c>
    </row>
    <row r="274" spans="1:70" s="252" customFormat="1" x14ac:dyDescent="0.2">
      <c r="A274" s="255"/>
      <c r="B274" s="268" t="s">
        <v>987</v>
      </c>
      <c r="C274" s="268" t="s">
        <v>988</v>
      </c>
      <c r="D274" s="268" t="str">
        <f t="shared" si="46"/>
        <v>CZNSMS1</v>
      </c>
      <c r="E274" s="255">
        <v>2010</v>
      </c>
      <c r="F274" s="255"/>
      <c r="G274" s="255">
        <v>1.05</v>
      </c>
      <c r="H274" s="255">
        <v>1.0049999999999999</v>
      </c>
      <c r="I274" s="255">
        <v>1.0049999999999999</v>
      </c>
      <c r="J274" s="255">
        <v>1.1000000000000001</v>
      </c>
      <c r="K274" s="255">
        <v>1.05</v>
      </c>
      <c r="L274" s="269">
        <f>'AEO Coal Prices'!M56*'Production Steps'!$Q$17*$N$4</f>
        <v>1.2936565893376124</v>
      </c>
      <c r="M274" s="269">
        <f>'AEO Coal Prices'!N56*'Production Steps'!$Q$17*$N$4</f>
        <v>1.4780112049456822</v>
      </c>
      <c r="N274" s="269">
        <f>'AEO Coal Prices'!O56*'Production Steps'!$Q$17*$N$4</f>
        <v>1.663874711255658</v>
      </c>
      <c r="O274" s="269">
        <f>'AEO Coal Prices'!P56*'Production Steps'!$Q$17*$N$4</f>
        <v>1.7804131964938221</v>
      </c>
      <c r="P274" s="269">
        <f>'AEO Coal Prices'!Q56*'Production Steps'!$Q$17*$N$4</f>
        <v>1.8457718564304679</v>
      </c>
      <c r="Q274" s="269">
        <f>'AEO Coal Prices'!R56*'Production Steps'!$Q$17*$N$4</f>
        <v>1.8947954235044671</v>
      </c>
      <c r="R274" s="269">
        <f>'AEO Coal Prices'!S56*'Production Steps'!$Q$17*$N$4</f>
        <v>1.9614539833089402</v>
      </c>
      <c r="S274" s="269">
        <f>R274*(1+(R274-Q274)/Q274)</f>
        <v>2.0304575791738175</v>
      </c>
      <c r="T274" s="269">
        <f>S274*(1+(S274-R274)/R274)</f>
        <v>2.1018887090429601</v>
      </c>
      <c r="U274" s="269">
        <f>T274*(1+(T274-S274)/S274)</f>
        <v>2.1758327731229512</v>
      </c>
      <c r="V274" s="270">
        <f>X274*0.8</f>
        <v>3.0131967023372823</v>
      </c>
      <c r="W274" s="270">
        <f>'Production Steps'!H214*1.1</f>
        <v>3.1822018791200266</v>
      </c>
      <c r="X274" s="270">
        <f>'Production Steps'!I214*1.1</f>
        <v>3.7664958779216025</v>
      </c>
    </row>
    <row r="275" spans="1:70" s="252" customFormat="1" x14ac:dyDescent="0.2">
      <c r="A275" s="255"/>
      <c r="B275" s="268" t="s">
        <v>989</v>
      </c>
      <c r="C275" s="268" t="s">
        <v>990</v>
      </c>
      <c r="D275" s="268" t="str">
        <f t="shared" si="46"/>
        <v>CZNSMS1</v>
      </c>
      <c r="E275" s="255">
        <v>2010</v>
      </c>
      <c r="F275" s="271"/>
      <c r="G275" s="255">
        <v>1.05</v>
      </c>
      <c r="H275" s="255">
        <v>1.0049999999999999</v>
      </c>
      <c r="I275" s="255">
        <v>1.0049999999999999</v>
      </c>
      <c r="J275" s="255">
        <v>1.1000000000000001</v>
      </c>
      <c r="K275" s="255">
        <v>1.05</v>
      </c>
      <c r="L275" s="269">
        <f>L274*'Production Steps'!$O$13</f>
        <v>1.2975375591056251</v>
      </c>
      <c r="M275" s="269">
        <f>M274*'Production Steps'!$O$13</f>
        <v>1.4824452385605191</v>
      </c>
      <c r="N275" s="269">
        <f>N274*'Production Steps'!$O$13</f>
        <v>1.6688663353894249</v>
      </c>
      <c r="O275" s="269">
        <f>O274*'Production Steps'!$O$13</f>
        <v>1.7857544360833033</v>
      </c>
      <c r="P275" s="269">
        <f>P274*'Production Steps'!$O$13</f>
        <v>1.8513091719997592</v>
      </c>
      <c r="Q275" s="269">
        <f>Q274*'Production Steps'!$O$13</f>
        <v>1.9004798097749802</v>
      </c>
      <c r="R275" s="269">
        <f>R274*'Production Steps'!$O$13</f>
        <v>1.9673383452588669</v>
      </c>
      <c r="S275" s="269">
        <f>S274*'Production Steps'!$O$13</f>
        <v>2.0365489519113389</v>
      </c>
      <c r="T275" s="269">
        <f>T274*'Production Steps'!$O$13</f>
        <v>2.1081943751700889</v>
      </c>
      <c r="U275" s="269">
        <f>U274*'Production Steps'!$O$13</f>
        <v>2.1823602714423198</v>
      </c>
      <c r="V275" s="270">
        <f>X275*0.8</f>
        <v>3.0131967023372823</v>
      </c>
      <c r="W275" s="270">
        <f>'Production Steps'!H215*1.1</f>
        <v>3.1822018791200266</v>
      </c>
      <c r="X275" s="270">
        <f>'Production Steps'!I215*1.1</f>
        <v>3.7664958779216025</v>
      </c>
    </row>
    <row r="276" spans="1:70" s="252" customFormat="1" x14ac:dyDescent="0.2">
      <c r="A276" s="255"/>
      <c r="B276" s="268" t="s">
        <v>991</v>
      </c>
      <c r="C276" s="268" t="s">
        <v>992</v>
      </c>
      <c r="D276" s="268" t="str">
        <f t="shared" si="46"/>
        <v>CZNSMS1</v>
      </c>
      <c r="E276" s="255">
        <v>2010</v>
      </c>
      <c r="F276" s="271">
        <f>X276*0.1</f>
        <v>3.3898462901294111</v>
      </c>
      <c r="G276" s="255">
        <v>1.05</v>
      </c>
      <c r="H276" s="255">
        <v>1.0049999999999999</v>
      </c>
      <c r="I276" s="255">
        <v>1.0049999999999999</v>
      </c>
      <c r="J276" s="255">
        <v>1.1000000000000001</v>
      </c>
      <c r="K276" s="255">
        <v>1.05</v>
      </c>
      <c r="L276" s="269">
        <f>L274*'Production Steps'!$O$14</f>
        <v>1.4488953800581261</v>
      </c>
      <c r="M276" s="269">
        <f>M274*'Production Steps'!$O$14</f>
        <v>1.6553725495391642</v>
      </c>
      <c r="N276" s="269">
        <f>N274*'Production Steps'!$O$14</f>
        <v>1.8635396766063372</v>
      </c>
      <c r="O276" s="269">
        <f>O274*'Production Steps'!$O$14</f>
        <v>1.994062780073081</v>
      </c>
      <c r="P276" s="269">
        <f>P274*'Production Steps'!$O$14</f>
        <v>2.0672644792021244</v>
      </c>
      <c r="Q276" s="269">
        <f>Q274*'Production Steps'!$O$14</f>
        <v>2.1221708743250032</v>
      </c>
      <c r="R276" s="269">
        <f>R274*'Production Steps'!$O$14</f>
        <v>2.1968284613060134</v>
      </c>
      <c r="S276" s="269">
        <f>S274*'Production Steps'!$O$14</f>
        <v>2.274112488674676</v>
      </c>
      <c r="T276" s="269">
        <f>T274*'Production Steps'!$O$14</f>
        <v>2.3541153541281155</v>
      </c>
      <c r="U276" s="269">
        <f>U274*'Production Steps'!$O$14</f>
        <v>2.4369327058977057</v>
      </c>
      <c r="V276" s="270"/>
      <c r="W276" s="270">
        <f>'Production Steps'!H216*1.1</f>
        <v>28.63981691207999</v>
      </c>
      <c r="X276" s="270">
        <f>'Production Steps'!I216*1.1</f>
        <v>33.89846290129411</v>
      </c>
    </row>
    <row r="277" spans="1:70" s="252" customFormat="1" x14ac:dyDescent="0.2">
      <c r="A277" s="255"/>
      <c r="B277" s="268" t="s">
        <v>993</v>
      </c>
      <c r="C277" s="268" t="s">
        <v>994</v>
      </c>
      <c r="D277" s="268" t="str">
        <f t="shared" si="46"/>
        <v>CZNSMS1</v>
      </c>
      <c r="E277" s="255">
        <v>2010</v>
      </c>
      <c r="F277" s="271">
        <f>X277*0.1</f>
        <v>3.7664958779215656</v>
      </c>
      <c r="G277" s="255">
        <v>1.05</v>
      </c>
      <c r="H277" s="255">
        <v>1.0049999999999999</v>
      </c>
      <c r="I277" s="255">
        <v>1.0049999999999999</v>
      </c>
      <c r="J277" s="255">
        <v>1.1000000000000001</v>
      </c>
      <c r="K277" s="255">
        <v>1.05</v>
      </c>
      <c r="L277" s="269">
        <f>L274*'Production Steps'!$O$15</f>
        <v>1.979294581686547</v>
      </c>
      <c r="M277" s="269">
        <f>M274*'Production Steps'!$O$15</f>
        <v>2.2613571435668938</v>
      </c>
      <c r="N277" s="269">
        <f>N274*'Production Steps'!$O$15</f>
        <v>2.5457283082211566</v>
      </c>
      <c r="O277" s="269">
        <f>O274*'Production Steps'!$O$15</f>
        <v>2.724032190635548</v>
      </c>
      <c r="P277" s="269">
        <f>P274*'Production Steps'!$O$15</f>
        <v>2.8240309403386159</v>
      </c>
      <c r="Q277" s="269">
        <f>Q274*'Production Steps'!$O$15</f>
        <v>2.8990369979618347</v>
      </c>
      <c r="R277" s="269">
        <f>R274*'Production Steps'!$O$15</f>
        <v>3.0010245944626783</v>
      </c>
      <c r="S277" s="269">
        <f>S274*'Production Steps'!$O$15</f>
        <v>3.1066000961359408</v>
      </c>
      <c r="T277" s="269">
        <f>T274*'Production Steps'!$O$15</f>
        <v>3.215889724835729</v>
      </c>
      <c r="U277" s="269">
        <f>U274*'Production Steps'!$O$15</f>
        <v>3.3290241428781155</v>
      </c>
      <c r="V277" s="270"/>
      <c r="W277" s="270">
        <f>'Production Steps'!H217*1.1</f>
        <v>31.822018791199955</v>
      </c>
      <c r="X277" s="270">
        <f>'Production Steps'!I217*1.1</f>
        <v>37.664958779215652</v>
      </c>
    </row>
    <row r="278" spans="1:70" s="252" customFormat="1" x14ac:dyDescent="0.2">
      <c r="A278" s="266" t="s">
        <v>505</v>
      </c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</row>
    <row r="279" spans="1:70" s="252" customFormat="1" x14ac:dyDescent="0.2">
      <c r="A279" s="267" t="s">
        <v>504</v>
      </c>
      <c r="B279" s="268" t="s">
        <v>995</v>
      </c>
      <c r="C279" s="268" t="s">
        <v>996</v>
      </c>
      <c r="D279" s="268" t="str">
        <f>CONCATENATE(MID(B279,4,6),"1")</f>
        <v>CPCSLS1</v>
      </c>
      <c r="E279" s="255">
        <v>2010</v>
      </c>
      <c r="F279" s="255"/>
      <c r="G279" s="255">
        <v>1.05</v>
      </c>
      <c r="H279" s="255">
        <v>1.05</v>
      </c>
      <c r="I279" s="255">
        <v>1.05</v>
      </c>
      <c r="J279" s="255">
        <v>1.05</v>
      </c>
      <c r="K279" s="255">
        <v>1.05</v>
      </c>
      <c r="L279" s="269">
        <f>L281*'Production Steps'!$O$10</f>
        <v>3.0687003665947721</v>
      </c>
      <c r="M279" s="269">
        <f>M281*'Production Steps'!$O$10</f>
        <v>1.6729008450249789</v>
      </c>
      <c r="N279" s="269">
        <f>N281*'Production Steps'!$O$10</f>
        <v>1.8203105438027363</v>
      </c>
      <c r="O279" s="269">
        <f>O281*'Production Steps'!$O$10</f>
        <v>1.9416705076996528</v>
      </c>
      <c r="P279" s="269">
        <f>P281*'Production Steps'!$O$10</f>
        <v>2.0561091727271208</v>
      </c>
      <c r="Q279" s="269">
        <f>Q281*'Production Steps'!$O$10</f>
        <v>2.2001251225554075</v>
      </c>
      <c r="R279" s="269">
        <f>R281*'Production Steps'!$O$10</f>
        <v>2.3871659191859869</v>
      </c>
      <c r="S279" s="269">
        <f>S281*'Production Steps'!$O$10</f>
        <v>2.590107747646778</v>
      </c>
      <c r="T279" s="269">
        <f>T281*'Production Steps'!$O$10</f>
        <v>2.810302413628412</v>
      </c>
      <c r="U279" s="269">
        <f>U281*'Production Steps'!$O$10</f>
        <v>3.049216644836942</v>
      </c>
      <c r="V279" s="270">
        <f>X279*0.8</f>
        <v>15.98110870891392</v>
      </c>
      <c r="W279" s="270">
        <f>'Production Steps'!H220*1.1</f>
        <v>62.469779405120931</v>
      </c>
      <c r="X279" s="270">
        <f>'Production Steps'!I220*1.1</f>
        <v>19.976385886142399</v>
      </c>
    </row>
    <row r="280" spans="1:70" s="252" customFormat="1" x14ac:dyDescent="0.2">
      <c r="A280" s="255"/>
      <c r="B280" s="268" t="s">
        <v>997</v>
      </c>
      <c r="C280" s="268" t="s">
        <v>998</v>
      </c>
      <c r="D280" s="268" t="str">
        <f t="shared" ref="D280:D284" si="47">CONCATENATE(MID(B280,4,6),"1")</f>
        <v>CPCSLS1</v>
      </c>
      <c r="E280" s="255">
        <v>2010</v>
      </c>
      <c r="F280" s="255"/>
      <c r="G280" s="255">
        <v>1.05</v>
      </c>
      <c r="H280" s="255">
        <v>1.05</v>
      </c>
      <c r="I280" s="255">
        <v>1.05</v>
      </c>
      <c r="J280" s="255">
        <v>1.05</v>
      </c>
      <c r="K280" s="255">
        <v>1.05</v>
      </c>
      <c r="L280" s="269">
        <f>L281*'Production Steps'!$O$11</f>
        <v>3.4801851884790711</v>
      </c>
      <c r="M280" s="269">
        <f>M281*'Production Steps'!$O$11</f>
        <v>1.8972216401533282</v>
      </c>
      <c r="N280" s="269">
        <f>N281*'Production Steps'!$O$11</f>
        <v>2.0643976394490124</v>
      </c>
      <c r="O280" s="269">
        <f>O281*'Production Steps'!$O$11</f>
        <v>2.2020308712321062</v>
      </c>
      <c r="P280" s="269">
        <f>P281*'Production Steps'!$O$11</f>
        <v>2.3318147208882576</v>
      </c>
      <c r="Q280" s="269">
        <f>Q281*'Production Steps'!$O$11</f>
        <v>2.4951419003526096</v>
      </c>
      <c r="R280" s="269">
        <f>R281*'Production Steps'!$O$11</f>
        <v>2.7072631674404715</v>
      </c>
      <c r="S280" s="269">
        <f>S281*'Production Steps'!$O$11</f>
        <v>2.9374176501721414</v>
      </c>
      <c r="T280" s="269">
        <f>T281*'Production Steps'!$O$11</f>
        <v>3.1871384190922214</v>
      </c>
      <c r="U280" s="269">
        <f>U281*'Production Steps'!$O$11</f>
        <v>3.4580888767582589</v>
      </c>
      <c r="V280" s="270">
        <f>X280*0.8</f>
        <v>15.661486534735642</v>
      </c>
      <c r="W280" s="270">
        <f>'Production Steps'!H221*1.1</f>
        <v>61.220383817018515</v>
      </c>
      <c r="X280" s="270">
        <f>'Production Steps'!I221*1.1</f>
        <v>19.576858168419552</v>
      </c>
    </row>
    <row r="281" spans="1:70" s="252" customFormat="1" x14ac:dyDescent="0.2">
      <c r="A281" s="255"/>
      <c r="B281" s="268" t="s">
        <v>999</v>
      </c>
      <c r="C281" s="268" t="s">
        <v>1000</v>
      </c>
      <c r="D281" s="268" t="str">
        <f t="shared" si="47"/>
        <v>CPCSLS1</v>
      </c>
      <c r="E281" s="255">
        <v>2010</v>
      </c>
      <c r="F281" s="255"/>
      <c r="G281" s="255">
        <v>1.05</v>
      </c>
      <c r="H281" s="255">
        <v>1.05</v>
      </c>
      <c r="I281" s="255">
        <v>1.05</v>
      </c>
      <c r="J281" s="255">
        <v>1.05</v>
      </c>
      <c r="K281" s="255">
        <v>1.05</v>
      </c>
      <c r="L281" s="269">
        <f>'AEO Coal Prices'!M59*'Production Steps'!$Q$17*$N$4</f>
        <v>3.4871595074940593</v>
      </c>
      <c r="M281" s="269">
        <f>'AEO Coal Prices'!N59*'Production Steps'!$Q$17*$N$4</f>
        <v>1.901023687528385</v>
      </c>
      <c r="N281" s="269">
        <f>'AEO Coal Prices'!O59*'Production Steps'!$Q$17*$N$4</f>
        <v>2.0685347088667458</v>
      </c>
      <c r="O281" s="269">
        <f>'AEO Coal Prices'!P59*'Production Steps'!$Q$17*$N$4</f>
        <v>2.2064437587496055</v>
      </c>
      <c r="P281" s="269">
        <f>'AEO Coal Prices'!Q59*'Production Steps'!$Q$17*$N$4</f>
        <v>2.3364876962808192</v>
      </c>
      <c r="Q281" s="269">
        <f>'AEO Coal Prices'!R59*'Production Steps'!$Q$17*$N$4</f>
        <v>2.500142184722054</v>
      </c>
      <c r="R281" s="269">
        <f>'AEO Coal Prices'!S59*'Production Steps'!$Q$17*$N$4</f>
        <v>2.7126885445295303</v>
      </c>
      <c r="S281" s="269">
        <f>R281*(1+(R281-Q281)/Q281)</f>
        <v>2.9433042586895204</v>
      </c>
      <c r="T281" s="269">
        <f>S281*(1+(S281-R281)/R281)</f>
        <v>3.1935254700322862</v>
      </c>
      <c r="U281" s="269">
        <f>T281*(1+(T281-S281)/S281)</f>
        <v>3.4650189145874339</v>
      </c>
      <c r="V281" s="270">
        <f>X281*0.8</f>
        <v>0.31962217417827848</v>
      </c>
      <c r="W281" s="270">
        <f>'Production Steps'!H222*1.1</f>
        <v>1.249395588102415</v>
      </c>
      <c r="X281" s="270">
        <f>'Production Steps'!I222*1.1</f>
        <v>0.39952771772284806</v>
      </c>
    </row>
    <row r="282" spans="1:70" s="252" customFormat="1" x14ac:dyDescent="0.2">
      <c r="A282" s="255"/>
      <c r="B282" s="268" t="s">
        <v>1001</v>
      </c>
      <c r="C282" s="268" t="s">
        <v>1002</v>
      </c>
      <c r="D282" s="268" t="str">
        <f t="shared" si="47"/>
        <v>CPCSLS1</v>
      </c>
      <c r="E282" s="255">
        <v>2010</v>
      </c>
      <c r="F282" s="271"/>
      <c r="G282" s="255">
        <v>1.05</v>
      </c>
      <c r="H282" s="255">
        <v>1.05</v>
      </c>
      <c r="I282" s="255">
        <v>1.05</v>
      </c>
      <c r="J282" s="255">
        <v>1.05</v>
      </c>
      <c r="K282" s="255">
        <v>1.05</v>
      </c>
      <c r="L282" s="269">
        <f>L281*'Production Steps'!$O$13</f>
        <v>3.4976209860165413</v>
      </c>
      <c r="M282" s="269">
        <f>M281*'Production Steps'!$O$13</f>
        <v>1.90672675859097</v>
      </c>
      <c r="N282" s="269">
        <f>N281*'Production Steps'!$O$13</f>
        <v>2.0747403129933457</v>
      </c>
      <c r="O282" s="269">
        <f>O281*'Production Steps'!$O$13</f>
        <v>2.2130630900258539</v>
      </c>
      <c r="P282" s="269">
        <f>P281*'Production Steps'!$O$13</f>
        <v>2.3434971593696612</v>
      </c>
      <c r="Q282" s="269">
        <f>Q281*'Production Steps'!$O$13</f>
        <v>2.50764261127622</v>
      </c>
      <c r="R282" s="269">
        <f>R281*'Production Steps'!$O$13</f>
        <v>2.7208266101631184</v>
      </c>
      <c r="S282" s="269">
        <f>S281*'Production Steps'!$O$13</f>
        <v>2.9521341714655884</v>
      </c>
      <c r="T282" s="269">
        <f>T281*'Production Steps'!$O$13</f>
        <v>3.2031060464423828</v>
      </c>
      <c r="U282" s="269">
        <f>U281*'Production Steps'!$O$13</f>
        <v>3.475413971331196</v>
      </c>
      <c r="V282" s="270">
        <f>X282*0.8</f>
        <v>0.31962217417827848</v>
      </c>
      <c r="W282" s="270">
        <f>'Production Steps'!H223*1.1</f>
        <v>1.249395588102415</v>
      </c>
      <c r="X282" s="270">
        <f>'Production Steps'!I223*1.1</f>
        <v>0.39952771772284806</v>
      </c>
    </row>
    <row r="283" spans="1:70" s="252" customFormat="1" x14ac:dyDescent="0.2">
      <c r="A283" s="255"/>
      <c r="B283" s="268" t="s">
        <v>1003</v>
      </c>
      <c r="C283" s="268" t="s">
        <v>1004</v>
      </c>
      <c r="D283" s="268" t="str">
        <f t="shared" si="47"/>
        <v>CPCSLS1</v>
      </c>
      <c r="E283" s="255">
        <v>2010</v>
      </c>
      <c r="F283" s="271">
        <f>X283*0.1</f>
        <v>0.35957494595056327</v>
      </c>
      <c r="G283" s="255">
        <v>1.05</v>
      </c>
      <c r="H283" s="255">
        <v>1.05</v>
      </c>
      <c r="I283" s="255">
        <v>1.05</v>
      </c>
      <c r="J283" s="255">
        <v>1.05</v>
      </c>
      <c r="K283" s="255">
        <v>1.05</v>
      </c>
      <c r="L283" s="269">
        <f>L281*'Production Steps'!$O$14</f>
        <v>3.905618648393347</v>
      </c>
      <c r="M283" s="269">
        <f>M281*'Production Steps'!$O$14</f>
        <v>2.1291465300317913</v>
      </c>
      <c r="N283" s="269">
        <f>N281*'Production Steps'!$O$14</f>
        <v>2.3167588739307554</v>
      </c>
      <c r="O283" s="269">
        <f>O281*'Production Steps'!$O$14</f>
        <v>2.4712170097995583</v>
      </c>
      <c r="P283" s="269">
        <f>P281*'Production Steps'!$O$14</f>
        <v>2.6168662198345176</v>
      </c>
      <c r="Q283" s="269">
        <f>Q281*'Production Steps'!$O$14</f>
        <v>2.8001592468887009</v>
      </c>
      <c r="R283" s="269">
        <f>R281*'Production Steps'!$O$14</f>
        <v>3.0382111698730743</v>
      </c>
      <c r="S283" s="269">
        <f>S281*'Production Steps'!$O$14</f>
        <v>3.2965007697322632</v>
      </c>
      <c r="T283" s="269">
        <f>T281*'Production Steps'!$O$14</f>
        <v>3.5767485264361607</v>
      </c>
      <c r="U283" s="269">
        <f>U281*'Production Steps'!$O$14</f>
        <v>3.8808211843379263</v>
      </c>
      <c r="V283" s="270"/>
      <c r="W283" s="270">
        <f>'Production Steps'!H224*1.1</f>
        <v>11.244560292921783</v>
      </c>
      <c r="X283" s="270">
        <f>'Production Steps'!I224*1.1</f>
        <v>3.5957494595056327</v>
      </c>
    </row>
    <row r="284" spans="1:70" s="252" customFormat="1" x14ac:dyDescent="0.2">
      <c r="A284" s="255"/>
      <c r="B284" s="268" t="s">
        <v>1005</v>
      </c>
      <c r="C284" s="268" t="s">
        <v>1006</v>
      </c>
      <c r="D284" s="268" t="str">
        <f t="shared" si="47"/>
        <v>CPCSLS1</v>
      </c>
      <c r="E284" s="255">
        <v>2010</v>
      </c>
      <c r="F284" s="271">
        <f>X284*0.1</f>
        <v>0.39952771772284812</v>
      </c>
      <c r="G284" s="255">
        <v>1.05</v>
      </c>
      <c r="H284" s="255">
        <v>1.05</v>
      </c>
      <c r="I284" s="255">
        <v>1.05</v>
      </c>
      <c r="J284" s="255">
        <v>1.05</v>
      </c>
      <c r="K284" s="255">
        <v>1.05</v>
      </c>
      <c r="L284" s="269">
        <f>L281*'Production Steps'!$O$15</f>
        <v>5.3353540464659108</v>
      </c>
      <c r="M284" s="269">
        <f>M281*'Production Steps'!$O$15</f>
        <v>2.9085662419184293</v>
      </c>
      <c r="N284" s="269">
        <f>N281*'Production Steps'!$O$15</f>
        <v>3.1648581045661213</v>
      </c>
      <c r="O284" s="269">
        <f>O281*'Production Steps'!$O$15</f>
        <v>3.3758589508868964</v>
      </c>
      <c r="P284" s="269">
        <f>P281*'Production Steps'!$O$15</f>
        <v>3.5748261753096533</v>
      </c>
      <c r="Q284" s="269">
        <f>Q281*'Production Steps'!$O$15</f>
        <v>3.8252175426247428</v>
      </c>
      <c r="R284" s="269">
        <f>R281*'Production Steps'!$O$15</f>
        <v>4.1504134731301816</v>
      </c>
      <c r="S284" s="269">
        <f>S281*'Production Steps'!$O$15</f>
        <v>4.5032555157949661</v>
      </c>
      <c r="T284" s="269">
        <f>T281*'Production Steps'!$O$15</f>
        <v>4.8860939691493979</v>
      </c>
      <c r="U284" s="269">
        <f>U281*'Production Steps'!$O$15</f>
        <v>5.3014789393187742</v>
      </c>
      <c r="V284" s="270"/>
      <c r="W284" s="270">
        <f>'Production Steps'!H225*1.1</f>
        <v>12.493955881024181</v>
      </c>
      <c r="X284" s="270">
        <f>'Production Steps'!I225*1.1</f>
        <v>3.995277177228481</v>
      </c>
    </row>
    <row r="285" spans="1:70" s="252" customFormat="1" x14ac:dyDescent="0.2">
      <c r="B285" s="8"/>
      <c r="C285" s="8"/>
      <c r="D285" s="8"/>
      <c r="F285" s="265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3"/>
      <c r="W285" s="264"/>
      <c r="X285" s="264"/>
      <c r="Y285" s="264"/>
      <c r="Z285" s="264"/>
      <c r="AA285" s="264"/>
    </row>
    <row r="286" spans="1:70" s="252" customFormat="1" x14ac:dyDescent="0.2">
      <c r="B286" s="8"/>
      <c r="C286" s="8"/>
      <c r="D286" s="8"/>
      <c r="F286" s="265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3"/>
      <c r="W286" s="264"/>
      <c r="X286" s="264"/>
      <c r="Y286" s="264"/>
      <c r="Z286" s="264"/>
      <c r="AA286" s="264"/>
    </row>
    <row r="287" spans="1:70" s="252" customFormat="1" ht="17.25" customHeight="1" x14ac:dyDescent="0.2">
      <c r="E287" s="261"/>
      <c r="Q287" s="8"/>
      <c r="W287" s="260"/>
      <c r="AN287" s="258"/>
      <c r="AO287" s="258"/>
      <c r="AP287" s="258"/>
      <c r="AQ287" s="258"/>
      <c r="AR287" s="258"/>
      <c r="AS287" s="258"/>
      <c r="AT287" s="258"/>
      <c r="AU287" s="258"/>
      <c r="AV287" s="258"/>
      <c r="AW287" s="258"/>
      <c r="AX287" s="258"/>
      <c r="AY287" s="258"/>
      <c r="AZ287" s="258"/>
      <c r="BA287" s="258"/>
      <c r="BB287" s="258"/>
      <c r="BC287" s="258"/>
      <c r="BD287" s="258"/>
      <c r="BE287" s="258"/>
      <c r="BF287" s="258"/>
      <c r="BG287" s="258"/>
      <c r="BH287" s="258"/>
      <c r="BI287" s="258"/>
      <c r="BJ287" s="258"/>
      <c r="BK287" s="258"/>
      <c r="BL287" s="258"/>
      <c r="BM287" s="258"/>
      <c r="BN287" s="258"/>
      <c r="BO287" s="258"/>
      <c r="BP287" s="258"/>
      <c r="BQ287" s="258"/>
      <c r="BR287" s="258"/>
    </row>
    <row r="288" spans="1:70" s="252" customFormat="1" ht="15.75" customHeight="1" x14ac:dyDescent="0.2">
      <c r="A288" s="253" t="s">
        <v>516</v>
      </c>
      <c r="B288" s="253" t="s">
        <v>517</v>
      </c>
      <c r="C288" s="253" t="s">
        <v>518</v>
      </c>
      <c r="D288" s="253" t="s">
        <v>1007</v>
      </c>
      <c r="E288" s="253" t="s">
        <v>519</v>
      </c>
      <c r="F288" s="253" t="s">
        <v>520</v>
      </c>
      <c r="G288" s="253" t="s">
        <v>1008</v>
      </c>
      <c r="H288" s="253" t="s">
        <v>1009</v>
      </c>
      <c r="I288" s="253" t="s">
        <v>1010</v>
      </c>
      <c r="J288" s="253" t="s">
        <v>1011</v>
      </c>
      <c r="K288" s="253" t="s">
        <v>1012</v>
      </c>
    </row>
    <row r="289" spans="1:11" s="252" customFormat="1" x14ac:dyDescent="0.2">
      <c r="A289" s="266" t="s">
        <v>1013</v>
      </c>
      <c r="B289" s="256"/>
      <c r="C289" s="256"/>
      <c r="D289" s="256"/>
      <c r="E289" s="256"/>
      <c r="F289" s="256"/>
      <c r="G289" s="256"/>
      <c r="H289" s="256"/>
      <c r="I289" s="279"/>
      <c r="J289" s="279"/>
      <c r="K289" s="256"/>
    </row>
    <row r="290" spans="1:11" s="252" customFormat="1" x14ac:dyDescent="0.2">
      <c r="A290" s="267" t="s">
        <v>504</v>
      </c>
      <c r="B290" s="268" t="s">
        <v>1014</v>
      </c>
      <c r="C290" s="268" t="s">
        <v>1015</v>
      </c>
      <c r="D290" s="268" t="str">
        <f>CONCATENATE(MID(B290,4,6),"1")</f>
        <v>CNAPMU1</v>
      </c>
      <c r="E290" s="268" t="str">
        <f>MID(B290,4,6)</f>
        <v>CNAPMU</v>
      </c>
      <c r="F290" s="255">
        <v>2010</v>
      </c>
      <c r="G290" s="255">
        <v>1</v>
      </c>
      <c r="H290" s="255"/>
      <c r="I290" s="255"/>
      <c r="J290" s="255"/>
      <c r="K290" s="255"/>
    </row>
    <row r="291" spans="1:11" s="252" customFormat="1" x14ac:dyDescent="0.2">
      <c r="A291" s="267" t="s">
        <v>504</v>
      </c>
      <c r="B291" s="268" t="s">
        <v>1016</v>
      </c>
      <c r="C291" s="268" t="s">
        <v>1017</v>
      </c>
      <c r="D291" s="268" t="str">
        <f t="shared" ref="D291:D330" si="48">CONCATENATE(MID(B291,4,6),"1")</f>
        <v>CNABMU1</v>
      </c>
      <c r="E291" s="268" t="str">
        <f t="shared" ref="E291:E330" si="49">MID(B291,4,6)</f>
        <v>CNABMU</v>
      </c>
      <c r="F291" s="255">
        <v>2010</v>
      </c>
      <c r="G291" s="255">
        <v>1</v>
      </c>
      <c r="H291" s="255"/>
      <c r="I291" s="255"/>
      <c r="J291" s="255"/>
      <c r="K291" s="255"/>
    </row>
    <row r="292" spans="1:11" s="252" customFormat="1" x14ac:dyDescent="0.2">
      <c r="A292" s="267" t="s">
        <v>504</v>
      </c>
      <c r="B292" s="268" t="s">
        <v>1018</v>
      </c>
      <c r="C292" s="268" t="s">
        <v>1019</v>
      </c>
      <c r="D292" s="268" t="str">
        <f t="shared" si="48"/>
        <v>CNABMS1</v>
      </c>
      <c r="E292" s="268" t="str">
        <f t="shared" si="49"/>
        <v>CNABMS</v>
      </c>
      <c r="F292" s="255">
        <v>2010</v>
      </c>
      <c r="G292" s="255">
        <v>1</v>
      </c>
      <c r="H292" s="255"/>
      <c r="I292" s="255"/>
      <c r="J292" s="255"/>
      <c r="K292" s="255"/>
    </row>
    <row r="293" spans="1:11" s="252" customFormat="1" x14ac:dyDescent="0.2">
      <c r="A293" s="267" t="s">
        <v>504</v>
      </c>
      <c r="B293" s="268" t="s">
        <v>1020</v>
      </c>
      <c r="C293" s="268" t="s">
        <v>1021</v>
      </c>
      <c r="D293" s="268" t="str">
        <f t="shared" si="48"/>
        <v>CNABHU1</v>
      </c>
      <c r="E293" s="268" t="str">
        <f t="shared" si="49"/>
        <v>CNABHU</v>
      </c>
      <c r="F293" s="255">
        <v>2010</v>
      </c>
      <c r="G293" s="255">
        <v>1</v>
      </c>
      <c r="H293" s="255"/>
      <c r="I293" s="255"/>
      <c r="J293" s="255"/>
      <c r="K293" s="255"/>
    </row>
    <row r="294" spans="1:11" s="252" customFormat="1" x14ac:dyDescent="0.2">
      <c r="A294" s="267" t="s">
        <v>504</v>
      </c>
      <c r="B294" s="268" t="s">
        <v>1022</v>
      </c>
      <c r="C294" s="268" t="s">
        <v>1023</v>
      </c>
      <c r="D294" s="268" t="str">
        <f t="shared" si="48"/>
        <v>CNABHS1</v>
      </c>
      <c r="E294" s="268" t="str">
        <f t="shared" si="49"/>
        <v>CNABHS</v>
      </c>
      <c r="F294" s="255">
        <v>2010</v>
      </c>
      <c r="G294" s="255">
        <v>1</v>
      </c>
      <c r="H294" s="255"/>
      <c r="I294" s="255"/>
      <c r="J294" s="255"/>
      <c r="K294" s="255"/>
    </row>
    <row r="295" spans="1:11" s="252" customFormat="1" x14ac:dyDescent="0.2">
      <c r="A295" s="267" t="s">
        <v>505</v>
      </c>
      <c r="B295" s="268" t="s">
        <v>1024</v>
      </c>
      <c r="C295" s="268" t="s">
        <v>1025</v>
      </c>
      <c r="D295" s="268" t="str">
        <f t="shared" si="48"/>
        <v>CNALHS1</v>
      </c>
      <c r="E295" s="268" t="str">
        <f t="shared" si="49"/>
        <v>CNALHS</v>
      </c>
      <c r="F295" s="255">
        <v>2010</v>
      </c>
      <c r="G295" s="255">
        <v>1</v>
      </c>
      <c r="H295" s="255"/>
      <c r="I295" s="255"/>
      <c r="J295" s="255"/>
      <c r="K295" s="255"/>
    </row>
    <row r="296" spans="1:11" s="252" customFormat="1" x14ac:dyDescent="0.2">
      <c r="A296" s="267" t="s">
        <v>504</v>
      </c>
      <c r="B296" s="268" t="s">
        <v>1026</v>
      </c>
      <c r="C296" s="268" t="s">
        <v>1027</v>
      </c>
      <c r="D296" s="268" t="str">
        <f t="shared" si="48"/>
        <v>CCAPMU1</v>
      </c>
      <c r="E296" s="268" t="str">
        <f t="shared" si="49"/>
        <v>CCAPMU</v>
      </c>
      <c r="F296" s="255">
        <v>2010</v>
      </c>
      <c r="G296" s="255">
        <v>1</v>
      </c>
      <c r="H296" s="255"/>
      <c r="I296" s="255"/>
      <c r="J296" s="255"/>
      <c r="K296" s="255"/>
    </row>
    <row r="297" spans="1:11" s="252" customFormat="1" x14ac:dyDescent="0.2">
      <c r="A297" s="267" t="s">
        <v>504</v>
      </c>
      <c r="B297" s="268" t="s">
        <v>1028</v>
      </c>
      <c r="C297" s="268" t="s">
        <v>1029</v>
      </c>
      <c r="D297" s="268" t="str">
        <f t="shared" si="48"/>
        <v>CCABLU1</v>
      </c>
      <c r="E297" s="268" t="str">
        <f t="shared" si="49"/>
        <v>CCABLU</v>
      </c>
      <c r="F297" s="255">
        <v>2010</v>
      </c>
      <c r="G297" s="255">
        <v>1</v>
      </c>
      <c r="H297" s="255"/>
      <c r="I297" s="255"/>
      <c r="J297" s="255"/>
      <c r="K297" s="255"/>
    </row>
    <row r="298" spans="1:11" s="252" customFormat="1" x14ac:dyDescent="0.2">
      <c r="A298" s="267" t="s">
        <v>504</v>
      </c>
      <c r="B298" s="268" t="s">
        <v>1030</v>
      </c>
      <c r="C298" s="268" t="s">
        <v>1031</v>
      </c>
      <c r="D298" s="268" t="str">
        <f t="shared" si="48"/>
        <v>CCABLS1</v>
      </c>
      <c r="E298" s="268" t="str">
        <f t="shared" si="49"/>
        <v>CCABLS</v>
      </c>
      <c r="F298" s="255">
        <v>2010</v>
      </c>
      <c r="G298" s="255">
        <v>1</v>
      </c>
      <c r="H298" s="255"/>
      <c r="I298" s="255"/>
      <c r="J298" s="255"/>
      <c r="K298" s="255"/>
    </row>
    <row r="299" spans="1:11" s="252" customFormat="1" x14ac:dyDescent="0.2">
      <c r="A299" s="267" t="s">
        <v>504</v>
      </c>
      <c r="B299" s="268" t="s">
        <v>1032</v>
      </c>
      <c r="C299" s="268" t="s">
        <v>1033</v>
      </c>
      <c r="D299" s="268" t="str">
        <f t="shared" si="48"/>
        <v>CCABMU1</v>
      </c>
      <c r="E299" s="268" t="str">
        <f t="shared" si="49"/>
        <v>CCABMU</v>
      </c>
      <c r="F299" s="255">
        <v>2010</v>
      </c>
      <c r="G299" s="255">
        <v>1</v>
      </c>
      <c r="H299" s="255"/>
      <c r="I299" s="255"/>
      <c r="J299" s="255"/>
      <c r="K299" s="255"/>
    </row>
    <row r="300" spans="1:11" s="252" customFormat="1" x14ac:dyDescent="0.2">
      <c r="A300" s="267" t="s">
        <v>504</v>
      </c>
      <c r="B300" s="268" t="s">
        <v>1034</v>
      </c>
      <c r="C300" s="268" t="s">
        <v>1035</v>
      </c>
      <c r="D300" s="268" t="str">
        <f t="shared" si="48"/>
        <v>CCABMS1</v>
      </c>
      <c r="E300" s="268" t="str">
        <f t="shared" si="49"/>
        <v>CCABMS</v>
      </c>
      <c r="F300" s="255">
        <v>2010</v>
      </c>
      <c r="G300" s="255">
        <v>1</v>
      </c>
      <c r="H300" s="255"/>
      <c r="I300" s="255"/>
      <c r="J300" s="255"/>
      <c r="K300" s="255"/>
    </row>
    <row r="301" spans="1:11" s="252" customFormat="1" x14ac:dyDescent="0.2">
      <c r="A301" s="267" t="s">
        <v>504</v>
      </c>
      <c r="B301" s="268" t="s">
        <v>1036</v>
      </c>
      <c r="C301" s="268" t="s">
        <v>1037</v>
      </c>
      <c r="D301" s="268" t="str">
        <f t="shared" si="48"/>
        <v>CSAPLU1</v>
      </c>
      <c r="E301" s="268" t="str">
        <f t="shared" si="49"/>
        <v>CSAPLU</v>
      </c>
      <c r="F301" s="255">
        <v>2010</v>
      </c>
      <c r="G301" s="255">
        <v>1</v>
      </c>
      <c r="H301" s="255"/>
      <c r="I301" s="255"/>
      <c r="J301" s="255"/>
      <c r="K301" s="255"/>
    </row>
    <row r="302" spans="1:11" s="252" customFormat="1" x14ac:dyDescent="0.2">
      <c r="A302" s="267" t="s">
        <v>504</v>
      </c>
      <c r="B302" s="268" t="s">
        <v>1038</v>
      </c>
      <c r="C302" s="268" t="s">
        <v>1039</v>
      </c>
      <c r="D302" s="268" t="str">
        <f t="shared" si="48"/>
        <v>CSABLU1</v>
      </c>
      <c r="E302" s="268" t="str">
        <f t="shared" si="49"/>
        <v>CSABLU</v>
      </c>
      <c r="F302" s="255">
        <v>2010</v>
      </c>
      <c r="G302" s="255">
        <v>1</v>
      </c>
      <c r="H302" s="255"/>
      <c r="I302" s="255"/>
      <c r="J302" s="255"/>
      <c r="K302" s="255"/>
    </row>
    <row r="303" spans="1:11" s="252" customFormat="1" x14ac:dyDescent="0.2">
      <c r="A303" s="267" t="s">
        <v>504</v>
      </c>
      <c r="B303" s="268" t="s">
        <v>1040</v>
      </c>
      <c r="C303" s="268" t="s">
        <v>1041</v>
      </c>
      <c r="D303" s="268" t="str">
        <f t="shared" si="48"/>
        <v>CSABLS1</v>
      </c>
      <c r="E303" s="268" t="str">
        <f t="shared" si="49"/>
        <v>CSABLS</v>
      </c>
      <c r="F303" s="255">
        <v>2010</v>
      </c>
      <c r="G303" s="255">
        <v>1</v>
      </c>
      <c r="H303" s="255"/>
      <c r="I303" s="255"/>
      <c r="J303" s="255"/>
      <c r="K303" s="255"/>
    </row>
    <row r="304" spans="1:11" s="252" customFormat="1" x14ac:dyDescent="0.2">
      <c r="A304" s="267" t="s">
        <v>504</v>
      </c>
      <c r="B304" s="268" t="s">
        <v>1042</v>
      </c>
      <c r="C304" s="268" t="s">
        <v>1043</v>
      </c>
      <c r="D304" s="268" t="str">
        <f t="shared" si="48"/>
        <v>CSABMU1</v>
      </c>
      <c r="E304" s="268" t="str">
        <f t="shared" si="49"/>
        <v>CSABMU</v>
      </c>
      <c r="F304" s="255">
        <v>2010</v>
      </c>
      <c r="G304" s="255">
        <v>1</v>
      </c>
      <c r="H304" s="255"/>
      <c r="I304" s="255"/>
      <c r="J304" s="255"/>
      <c r="K304" s="255"/>
    </row>
    <row r="305" spans="1:11" s="252" customFormat="1" x14ac:dyDescent="0.2">
      <c r="A305" s="267" t="s">
        <v>504</v>
      </c>
      <c r="B305" s="268" t="s">
        <v>1044</v>
      </c>
      <c r="C305" s="268" t="s">
        <v>1045</v>
      </c>
      <c r="D305" s="268" t="str">
        <f t="shared" si="48"/>
        <v>CSABMS1</v>
      </c>
      <c r="E305" s="268" t="str">
        <f t="shared" si="49"/>
        <v>CSABMS</v>
      </c>
      <c r="F305" s="255">
        <v>2010</v>
      </c>
      <c r="G305" s="255">
        <v>1</v>
      </c>
      <c r="H305" s="255"/>
      <c r="I305" s="255"/>
      <c r="J305" s="255"/>
      <c r="K305" s="255"/>
    </row>
    <row r="306" spans="1:11" s="252" customFormat="1" x14ac:dyDescent="0.2">
      <c r="A306" s="267" t="s">
        <v>504</v>
      </c>
      <c r="B306" s="268" t="s">
        <v>1046</v>
      </c>
      <c r="C306" s="268" t="s">
        <v>1047</v>
      </c>
      <c r="D306" s="268" t="str">
        <f t="shared" si="48"/>
        <v>CEIBMU1</v>
      </c>
      <c r="E306" s="268" t="str">
        <f t="shared" si="49"/>
        <v>CEIBMU</v>
      </c>
      <c r="F306" s="255">
        <v>2010</v>
      </c>
      <c r="G306" s="255">
        <v>1</v>
      </c>
      <c r="H306" s="255"/>
      <c r="I306" s="255"/>
      <c r="J306" s="255"/>
      <c r="K306" s="255"/>
    </row>
    <row r="307" spans="1:11" s="252" customFormat="1" x14ac:dyDescent="0.2">
      <c r="A307" s="267" t="s">
        <v>504</v>
      </c>
      <c r="B307" s="268" t="s">
        <v>1048</v>
      </c>
      <c r="C307" s="268" t="s">
        <v>1049</v>
      </c>
      <c r="D307" s="268" t="str">
        <f t="shared" si="48"/>
        <v>CEIBMS1</v>
      </c>
      <c r="E307" s="268" t="str">
        <f t="shared" si="49"/>
        <v>CEIBMS</v>
      </c>
      <c r="F307" s="255">
        <v>2010</v>
      </c>
      <c r="G307" s="255">
        <v>1</v>
      </c>
      <c r="H307" s="255"/>
      <c r="I307" s="255"/>
      <c r="J307" s="255"/>
      <c r="K307" s="255"/>
    </row>
    <row r="308" spans="1:11" s="252" customFormat="1" x14ac:dyDescent="0.2">
      <c r="A308" s="267" t="s">
        <v>504</v>
      </c>
      <c r="B308" s="268" t="s">
        <v>1050</v>
      </c>
      <c r="C308" s="268" t="s">
        <v>1051</v>
      </c>
      <c r="D308" s="268" t="str">
        <f t="shared" si="48"/>
        <v>CEIBHU1</v>
      </c>
      <c r="E308" s="268" t="str">
        <f t="shared" si="49"/>
        <v>CEIBHU</v>
      </c>
      <c r="F308" s="255">
        <v>2010</v>
      </c>
      <c r="G308" s="255">
        <v>1</v>
      </c>
      <c r="H308" s="255"/>
      <c r="I308" s="255"/>
      <c r="J308" s="255"/>
      <c r="K308" s="255"/>
    </row>
    <row r="309" spans="1:11" s="252" customFormat="1" x14ac:dyDescent="0.2">
      <c r="A309" s="267" t="s">
        <v>504</v>
      </c>
      <c r="B309" s="268" t="s">
        <v>1052</v>
      </c>
      <c r="C309" s="268" t="s">
        <v>1053</v>
      </c>
      <c r="D309" s="268" t="str">
        <f t="shared" si="48"/>
        <v>CEIBHS1</v>
      </c>
      <c r="E309" s="268" t="str">
        <f t="shared" si="49"/>
        <v>CEIBHS</v>
      </c>
      <c r="F309" s="255">
        <v>2010</v>
      </c>
      <c r="G309" s="255">
        <v>1</v>
      </c>
      <c r="H309" s="255"/>
      <c r="I309" s="255"/>
      <c r="J309" s="255"/>
      <c r="K309" s="255"/>
    </row>
    <row r="310" spans="1:11" s="252" customFormat="1" x14ac:dyDescent="0.2">
      <c r="A310" s="267" t="s">
        <v>504</v>
      </c>
      <c r="B310" s="268" t="s">
        <v>1054</v>
      </c>
      <c r="C310" s="268" t="s">
        <v>1055</v>
      </c>
      <c r="D310" s="268" t="str">
        <f t="shared" si="48"/>
        <v>CEILMS1</v>
      </c>
      <c r="E310" s="268" t="str">
        <f t="shared" si="49"/>
        <v>CEILMS</v>
      </c>
      <c r="F310" s="255">
        <v>2010</v>
      </c>
      <c r="G310" s="255">
        <v>1</v>
      </c>
      <c r="H310" s="255"/>
      <c r="I310" s="255"/>
      <c r="J310" s="255"/>
      <c r="K310" s="255"/>
    </row>
    <row r="311" spans="1:11" s="252" customFormat="1" x14ac:dyDescent="0.2">
      <c r="A311" s="267" t="s">
        <v>504</v>
      </c>
      <c r="B311" s="268" t="s">
        <v>1056</v>
      </c>
      <c r="C311" s="268" t="s">
        <v>1057</v>
      </c>
      <c r="D311" s="268" t="str">
        <f t="shared" si="48"/>
        <v>CWIBHS1</v>
      </c>
      <c r="E311" s="268" t="str">
        <f t="shared" si="49"/>
        <v>CWIBHS</v>
      </c>
      <c r="F311" s="255">
        <v>2010</v>
      </c>
      <c r="G311" s="255">
        <v>1</v>
      </c>
      <c r="H311" s="255"/>
      <c r="I311" s="255"/>
      <c r="J311" s="255"/>
      <c r="K311" s="255"/>
    </row>
    <row r="312" spans="1:11" s="252" customFormat="1" x14ac:dyDescent="0.2">
      <c r="A312" s="267" t="s">
        <v>504</v>
      </c>
      <c r="B312" s="268" t="s">
        <v>1058</v>
      </c>
      <c r="C312" s="268" t="s">
        <v>1059</v>
      </c>
      <c r="D312" s="268" t="str">
        <f t="shared" si="48"/>
        <v>CGLLMS1</v>
      </c>
      <c r="E312" s="268" t="str">
        <f t="shared" si="49"/>
        <v>CGLLMS</v>
      </c>
      <c r="F312" s="255">
        <v>2010</v>
      </c>
      <c r="G312" s="255">
        <v>1</v>
      </c>
      <c r="H312" s="255"/>
      <c r="I312" s="255"/>
      <c r="J312" s="255"/>
      <c r="K312" s="255"/>
    </row>
    <row r="313" spans="1:11" s="252" customFormat="1" x14ac:dyDescent="0.2">
      <c r="A313" s="267" t="s">
        <v>504</v>
      </c>
      <c r="B313" s="268" t="s">
        <v>1060</v>
      </c>
      <c r="C313" s="268" t="s">
        <v>1061</v>
      </c>
      <c r="D313" s="268" t="str">
        <f t="shared" si="48"/>
        <v>CGLLHS1</v>
      </c>
      <c r="E313" s="268" t="str">
        <f t="shared" si="49"/>
        <v>CGLLHS</v>
      </c>
      <c r="F313" s="255">
        <v>2010</v>
      </c>
      <c r="G313" s="255">
        <v>1</v>
      </c>
      <c r="H313" s="255"/>
      <c r="I313" s="255"/>
      <c r="J313" s="255"/>
      <c r="K313" s="255"/>
    </row>
    <row r="314" spans="1:11" s="252" customFormat="1" x14ac:dyDescent="0.2">
      <c r="A314" s="267" t="s">
        <v>504</v>
      </c>
      <c r="B314" s="268" t="s">
        <v>1062</v>
      </c>
      <c r="C314" s="268" t="s">
        <v>1063</v>
      </c>
      <c r="D314" s="268" t="str">
        <f t="shared" si="48"/>
        <v>CDLLMS1</v>
      </c>
      <c r="E314" s="268" t="str">
        <f t="shared" si="49"/>
        <v>CDLLMS</v>
      </c>
      <c r="F314" s="255">
        <v>2010</v>
      </c>
      <c r="G314" s="255">
        <v>1</v>
      </c>
      <c r="H314" s="255"/>
      <c r="I314" s="255"/>
      <c r="J314" s="255"/>
      <c r="K314" s="255"/>
    </row>
    <row r="315" spans="1:11" s="252" customFormat="1" x14ac:dyDescent="0.2">
      <c r="A315" s="267" t="s">
        <v>504</v>
      </c>
      <c r="B315" s="268" t="s">
        <v>1064</v>
      </c>
      <c r="C315" s="268" t="s">
        <v>1065</v>
      </c>
      <c r="D315" s="268" t="str">
        <f t="shared" si="48"/>
        <v>CWMBLU1</v>
      </c>
      <c r="E315" s="268" t="str">
        <f t="shared" si="49"/>
        <v>CWMBLU</v>
      </c>
      <c r="F315" s="255">
        <v>2010</v>
      </c>
      <c r="G315" s="255">
        <v>1</v>
      </c>
      <c r="H315" s="255"/>
      <c r="I315" s="255"/>
      <c r="J315" s="255"/>
      <c r="K315" s="255"/>
    </row>
    <row r="316" spans="1:11" s="252" customFormat="1" x14ac:dyDescent="0.2">
      <c r="A316" s="267" t="s">
        <v>504</v>
      </c>
      <c r="B316" s="268" t="s">
        <v>1066</v>
      </c>
      <c r="C316" s="268" t="s">
        <v>1067</v>
      </c>
      <c r="D316" s="268" t="str">
        <f t="shared" si="48"/>
        <v>CWMSLS1</v>
      </c>
      <c r="E316" s="268" t="str">
        <f t="shared" si="49"/>
        <v>CWMSLS</v>
      </c>
      <c r="F316" s="255">
        <v>2010</v>
      </c>
      <c r="G316" s="255">
        <v>1</v>
      </c>
      <c r="H316" s="255"/>
      <c r="I316" s="255"/>
      <c r="J316" s="255"/>
      <c r="K316" s="255"/>
    </row>
    <row r="317" spans="1:11" s="252" customFormat="1" x14ac:dyDescent="0.2">
      <c r="A317" s="267" t="s">
        <v>504</v>
      </c>
      <c r="B317" s="268" t="s">
        <v>1068</v>
      </c>
      <c r="C317" s="268" t="s">
        <v>1069</v>
      </c>
      <c r="D317" s="268" t="str">
        <f t="shared" si="48"/>
        <v>CWMSMS1</v>
      </c>
      <c r="E317" s="268" t="str">
        <f t="shared" si="49"/>
        <v>CWMSMS</v>
      </c>
      <c r="F317" s="255">
        <v>2010</v>
      </c>
      <c r="G317" s="255">
        <v>1</v>
      </c>
      <c r="H317" s="255"/>
      <c r="I317" s="255"/>
      <c r="J317" s="255"/>
      <c r="K317" s="255"/>
    </row>
    <row r="318" spans="1:11" s="252" customFormat="1" x14ac:dyDescent="0.2">
      <c r="A318" s="267" t="s">
        <v>504</v>
      </c>
      <c r="B318" s="268" t="s">
        <v>1070</v>
      </c>
      <c r="C318" s="268" t="s">
        <v>1071</v>
      </c>
      <c r="D318" s="268" t="str">
        <f t="shared" si="48"/>
        <v>CNWSLS1</v>
      </c>
      <c r="E318" s="268" t="str">
        <f t="shared" si="49"/>
        <v>CNWSLS</v>
      </c>
      <c r="F318" s="255">
        <v>2010</v>
      </c>
      <c r="G318" s="255">
        <v>1</v>
      </c>
      <c r="H318" s="255"/>
      <c r="I318" s="255"/>
      <c r="J318" s="255"/>
      <c r="K318" s="255"/>
    </row>
    <row r="319" spans="1:11" s="252" customFormat="1" x14ac:dyDescent="0.2">
      <c r="A319" s="267" t="s">
        <v>504</v>
      </c>
      <c r="B319" s="268" t="s">
        <v>1072</v>
      </c>
      <c r="C319" s="268" t="s">
        <v>1073</v>
      </c>
      <c r="D319" s="268" t="str">
        <f t="shared" si="48"/>
        <v>CNWSMS1</v>
      </c>
      <c r="E319" s="268" t="str">
        <f t="shared" si="49"/>
        <v>CNWSMS</v>
      </c>
      <c r="F319" s="255">
        <v>2010</v>
      </c>
      <c r="G319" s="255">
        <v>1</v>
      </c>
      <c r="H319" s="255"/>
      <c r="I319" s="255"/>
      <c r="J319" s="255"/>
      <c r="K319" s="255"/>
    </row>
    <row r="320" spans="1:11" s="252" customFormat="1" x14ac:dyDescent="0.2">
      <c r="A320" s="267" t="s">
        <v>505</v>
      </c>
      <c r="B320" s="268" t="s">
        <v>1074</v>
      </c>
      <c r="C320" s="268" t="s">
        <v>1075</v>
      </c>
      <c r="D320" s="268" t="str">
        <f t="shared" si="48"/>
        <v>CSWSLS1</v>
      </c>
      <c r="E320" s="268" t="str">
        <f t="shared" si="49"/>
        <v>CSWSLS</v>
      </c>
      <c r="F320" s="255">
        <v>2010</v>
      </c>
      <c r="G320" s="255">
        <v>1</v>
      </c>
      <c r="H320" s="255"/>
      <c r="I320" s="255"/>
      <c r="J320" s="255"/>
      <c r="K320" s="255"/>
    </row>
    <row r="321" spans="1:27" s="252" customFormat="1" x14ac:dyDescent="0.2">
      <c r="A321" s="267" t="s">
        <v>504</v>
      </c>
      <c r="B321" s="268" t="s">
        <v>1076</v>
      </c>
      <c r="C321" s="268" t="s">
        <v>1077</v>
      </c>
      <c r="D321" s="268" t="str">
        <f t="shared" si="48"/>
        <v>CWWSLU1</v>
      </c>
      <c r="E321" s="268" t="str">
        <f t="shared" si="49"/>
        <v>CWWSLU</v>
      </c>
      <c r="F321" s="255">
        <v>2010</v>
      </c>
      <c r="G321" s="255">
        <v>1</v>
      </c>
      <c r="H321" s="255"/>
      <c r="I321" s="255"/>
      <c r="J321" s="255"/>
      <c r="K321" s="255"/>
    </row>
    <row r="322" spans="1:27" s="252" customFormat="1" x14ac:dyDescent="0.2">
      <c r="A322" s="267" t="s">
        <v>504</v>
      </c>
      <c r="B322" s="268" t="s">
        <v>1078</v>
      </c>
      <c r="C322" s="268" t="s">
        <v>1079</v>
      </c>
      <c r="D322" s="268" t="str">
        <f t="shared" si="48"/>
        <v>CWWSLS1</v>
      </c>
      <c r="E322" s="268" t="str">
        <f t="shared" si="49"/>
        <v>CWWSLS</v>
      </c>
      <c r="F322" s="255">
        <v>2010</v>
      </c>
      <c r="G322" s="255">
        <v>1</v>
      </c>
      <c r="H322" s="255"/>
      <c r="I322" s="255"/>
      <c r="J322" s="255"/>
      <c r="K322" s="255"/>
    </row>
    <row r="323" spans="1:27" s="252" customFormat="1" x14ac:dyDescent="0.2">
      <c r="A323" s="267" t="s">
        <v>504</v>
      </c>
      <c r="B323" s="268" t="s">
        <v>1080</v>
      </c>
      <c r="C323" s="268" t="s">
        <v>1081</v>
      </c>
      <c r="D323" s="268" t="str">
        <f t="shared" si="48"/>
        <v>CWWSMS1</v>
      </c>
      <c r="E323" s="268" t="str">
        <f t="shared" si="49"/>
        <v>CWWSMS</v>
      </c>
      <c r="F323" s="255">
        <v>2010</v>
      </c>
      <c r="G323" s="255">
        <v>1</v>
      </c>
      <c r="H323" s="255"/>
      <c r="I323" s="255"/>
      <c r="J323" s="255"/>
      <c r="K323" s="255"/>
    </row>
    <row r="324" spans="1:27" s="252" customFormat="1" x14ac:dyDescent="0.2">
      <c r="A324" s="267" t="s">
        <v>504</v>
      </c>
      <c r="B324" s="268" t="s">
        <v>1082</v>
      </c>
      <c r="C324" s="268" t="s">
        <v>1083</v>
      </c>
      <c r="D324" s="268" t="str">
        <f t="shared" si="48"/>
        <v>CRMPLU1</v>
      </c>
      <c r="E324" s="268" t="str">
        <f t="shared" si="49"/>
        <v>CRMPLU</v>
      </c>
      <c r="F324" s="255">
        <v>2010</v>
      </c>
      <c r="G324" s="255">
        <v>1</v>
      </c>
      <c r="H324" s="255"/>
      <c r="I324" s="255"/>
      <c r="J324" s="255"/>
      <c r="K324" s="255"/>
    </row>
    <row r="325" spans="1:27" s="252" customFormat="1" x14ac:dyDescent="0.2">
      <c r="A325" s="267" t="s">
        <v>504</v>
      </c>
      <c r="B325" s="268" t="s">
        <v>1084</v>
      </c>
      <c r="C325" s="268" t="s">
        <v>1085</v>
      </c>
      <c r="D325" s="268" t="str">
        <f t="shared" si="48"/>
        <v>CRMBLU1</v>
      </c>
      <c r="E325" s="268" t="str">
        <f t="shared" si="49"/>
        <v>CRMBLU</v>
      </c>
      <c r="F325" s="255">
        <v>2010</v>
      </c>
      <c r="G325" s="255">
        <v>1</v>
      </c>
      <c r="H325" s="255"/>
      <c r="I325" s="255"/>
      <c r="J325" s="255"/>
      <c r="K325" s="255"/>
    </row>
    <row r="326" spans="1:27" s="252" customFormat="1" x14ac:dyDescent="0.2">
      <c r="A326" s="267" t="s">
        <v>504</v>
      </c>
      <c r="B326" s="268" t="s">
        <v>1086</v>
      </c>
      <c r="C326" s="268" t="s">
        <v>1087</v>
      </c>
      <c r="D326" s="268" t="str">
        <f t="shared" si="48"/>
        <v>CRMSLS1</v>
      </c>
      <c r="E326" s="268" t="str">
        <f t="shared" si="49"/>
        <v>CRMSLS</v>
      </c>
      <c r="F326" s="255">
        <v>2010</v>
      </c>
      <c r="G326" s="255">
        <v>1</v>
      </c>
      <c r="H326" s="255"/>
      <c r="I326" s="255"/>
      <c r="J326" s="255"/>
      <c r="K326" s="255"/>
    </row>
    <row r="327" spans="1:27" s="252" customFormat="1" x14ac:dyDescent="0.2">
      <c r="A327" s="267" t="s">
        <v>504</v>
      </c>
      <c r="B327" s="268" t="s">
        <v>1088</v>
      </c>
      <c r="C327" s="268" t="s">
        <v>1089</v>
      </c>
      <c r="D327" s="268" t="str">
        <f t="shared" si="48"/>
        <v>CZNBLS1</v>
      </c>
      <c r="E327" s="268" t="str">
        <f t="shared" si="49"/>
        <v>CZNBLS</v>
      </c>
      <c r="F327" s="255">
        <v>2010</v>
      </c>
      <c r="G327" s="255">
        <v>1</v>
      </c>
      <c r="H327" s="255"/>
      <c r="I327" s="255"/>
      <c r="J327" s="255"/>
      <c r="K327" s="255"/>
    </row>
    <row r="328" spans="1:27" s="252" customFormat="1" x14ac:dyDescent="0.2">
      <c r="A328" s="267" t="s">
        <v>504</v>
      </c>
      <c r="B328" s="268" t="s">
        <v>1090</v>
      </c>
      <c r="C328" s="268" t="s">
        <v>1091</v>
      </c>
      <c r="D328" s="268" t="str">
        <f t="shared" si="48"/>
        <v>CZNBMU1</v>
      </c>
      <c r="E328" s="268" t="str">
        <f t="shared" si="49"/>
        <v>CZNBMU</v>
      </c>
      <c r="F328" s="255">
        <v>2010</v>
      </c>
      <c r="G328" s="255">
        <v>1</v>
      </c>
      <c r="H328" s="255"/>
      <c r="I328" s="255"/>
      <c r="J328" s="255"/>
      <c r="K328" s="255"/>
    </row>
    <row r="329" spans="1:27" s="252" customFormat="1" x14ac:dyDescent="0.2">
      <c r="A329" s="267" t="s">
        <v>504</v>
      </c>
      <c r="B329" s="268" t="s">
        <v>1092</v>
      </c>
      <c r="C329" s="268" t="s">
        <v>1093</v>
      </c>
      <c r="D329" s="268" t="str">
        <f t="shared" si="48"/>
        <v>CZNSMS1</v>
      </c>
      <c r="E329" s="268" t="str">
        <f t="shared" si="49"/>
        <v>CZNSMS</v>
      </c>
      <c r="F329" s="255">
        <v>2010</v>
      </c>
      <c r="G329" s="255">
        <v>1</v>
      </c>
      <c r="H329" s="255"/>
      <c r="I329" s="255"/>
      <c r="J329" s="255"/>
      <c r="K329" s="255"/>
    </row>
    <row r="330" spans="1:27" s="252" customFormat="1" x14ac:dyDescent="0.2">
      <c r="A330" s="267" t="s">
        <v>504</v>
      </c>
      <c r="B330" s="268" t="s">
        <v>1094</v>
      </c>
      <c r="C330" s="268" t="s">
        <v>1095</v>
      </c>
      <c r="D330" s="268" t="str">
        <f t="shared" si="48"/>
        <v>CPCSLS1</v>
      </c>
      <c r="E330" s="268" t="str">
        <f t="shared" si="49"/>
        <v>CPCSLS</v>
      </c>
      <c r="F330" s="255">
        <v>2010</v>
      </c>
      <c r="G330" s="255">
        <v>1</v>
      </c>
      <c r="H330" s="255"/>
      <c r="I330" s="255"/>
      <c r="J330" s="255"/>
      <c r="K330" s="255"/>
    </row>
    <row r="331" spans="1:27" s="252" customFormat="1" x14ac:dyDescent="0.2">
      <c r="B331" s="8"/>
      <c r="C331" s="8"/>
      <c r="D331" s="8"/>
      <c r="F331" s="265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3"/>
      <c r="W331" s="264"/>
      <c r="X331" s="264"/>
      <c r="Y331" s="264"/>
      <c r="Z331" s="264"/>
      <c r="AA331" s="264"/>
    </row>
    <row r="332" spans="1:27" s="252" customFormat="1" x14ac:dyDescent="0.2">
      <c r="B332" s="8"/>
      <c r="C332" s="8"/>
      <c r="D332" s="261"/>
      <c r="F332" s="265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3"/>
      <c r="W332" s="264"/>
      <c r="X332" s="264"/>
      <c r="Y332" s="264"/>
      <c r="Z332" s="264"/>
      <c r="AA332" s="264"/>
    </row>
    <row r="333" spans="1:27" s="252" customFormat="1" ht="15.75" customHeight="1" x14ac:dyDescent="0.2">
      <c r="A333" s="253" t="s">
        <v>516</v>
      </c>
      <c r="B333" s="253" t="s">
        <v>517</v>
      </c>
      <c r="C333" s="253" t="s">
        <v>518</v>
      </c>
      <c r="D333" s="253" t="s">
        <v>519</v>
      </c>
      <c r="E333" s="253" t="s">
        <v>520</v>
      </c>
      <c r="F333" s="253" t="s">
        <v>525</v>
      </c>
      <c r="G333" s="253" t="s">
        <v>526</v>
      </c>
      <c r="H333" s="253" t="s">
        <v>527</v>
      </c>
      <c r="I333" s="253" t="s">
        <v>528</v>
      </c>
      <c r="J333" s="253" t="s">
        <v>529</v>
      </c>
      <c r="K333" s="253" t="s">
        <v>530</v>
      </c>
      <c r="L333" s="253" t="s">
        <v>531</v>
      </c>
      <c r="M333" s="253" t="s">
        <v>532</v>
      </c>
      <c r="N333" s="253" t="s">
        <v>533</v>
      </c>
      <c r="O333" s="253" t="s">
        <v>534</v>
      </c>
      <c r="P333" s="253" t="s">
        <v>513</v>
      </c>
    </row>
    <row r="334" spans="1:27" s="12" customFormat="1" x14ac:dyDescent="0.2">
      <c r="A334" s="266" t="s">
        <v>1096</v>
      </c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</row>
    <row r="335" spans="1:27" s="12" customFormat="1" x14ac:dyDescent="0.2">
      <c r="A335" s="254" t="s">
        <v>504</v>
      </c>
      <c r="B335" s="274" t="s">
        <v>1097</v>
      </c>
      <c r="C335" s="274" t="s">
        <v>1098</v>
      </c>
      <c r="D335" s="274" t="e">
        <f>#REF!</f>
        <v>#REF!</v>
      </c>
      <c r="E335" s="274">
        <v>2010</v>
      </c>
      <c r="F335" s="275">
        <f>'COKE Imports'!G4</f>
        <v>2.2174340451946435</v>
      </c>
      <c r="G335" s="275">
        <f t="shared" ref="G335:O335" si="50">F335</f>
        <v>2.2174340451946435</v>
      </c>
      <c r="H335" s="275">
        <f t="shared" si="50"/>
        <v>2.2174340451946435</v>
      </c>
      <c r="I335" s="275">
        <f t="shared" si="50"/>
        <v>2.2174340451946435</v>
      </c>
      <c r="J335" s="275">
        <f t="shared" si="50"/>
        <v>2.2174340451946435</v>
      </c>
      <c r="K335" s="275">
        <f t="shared" si="50"/>
        <v>2.2174340451946435</v>
      </c>
      <c r="L335" s="275">
        <f t="shared" si="50"/>
        <v>2.2174340451946435</v>
      </c>
      <c r="M335" s="275">
        <f t="shared" si="50"/>
        <v>2.2174340451946435</v>
      </c>
      <c r="N335" s="275">
        <f t="shared" si="50"/>
        <v>2.2174340451946435</v>
      </c>
      <c r="O335" s="275">
        <f t="shared" si="50"/>
        <v>2.2174340451946435</v>
      </c>
      <c r="P335" s="276">
        <f>'COKE Imports'!H4</f>
        <v>75.964669846839271</v>
      </c>
    </row>
    <row r="336" spans="1:27" s="12" customFormat="1" x14ac:dyDescent="0.2">
      <c r="A336" s="254"/>
      <c r="B336" s="274" t="s">
        <v>1099</v>
      </c>
      <c r="C336" s="274" t="s">
        <v>1100</v>
      </c>
      <c r="D336" s="274" t="e">
        <f>#REF!</f>
        <v>#REF!</v>
      </c>
      <c r="E336" s="274">
        <v>2010</v>
      </c>
      <c r="F336" s="275">
        <f>'COKE Imports'!G5</f>
        <v>2.6994353146363834</v>
      </c>
      <c r="G336" s="275">
        <f t="shared" ref="G336:O336" si="51">F336</f>
        <v>2.6994353146363834</v>
      </c>
      <c r="H336" s="275">
        <f t="shared" si="51"/>
        <v>2.6994353146363834</v>
      </c>
      <c r="I336" s="275">
        <f t="shared" si="51"/>
        <v>2.6994353146363834</v>
      </c>
      <c r="J336" s="275">
        <f t="shared" si="51"/>
        <v>2.6994353146363834</v>
      </c>
      <c r="K336" s="275">
        <f t="shared" si="51"/>
        <v>2.6994353146363834</v>
      </c>
      <c r="L336" s="275">
        <f t="shared" si="51"/>
        <v>2.6994353146363834</v>
      </c>
      <c r="M336" s="275">
        <f t="shared" si="51"/>
        <v>2.6994353146363834</v>
      </c>
      <c r="N336" s="275">
        <f t="shared" si="51"/>
        <v>2.6994353146363834</v>
      </c>
      <c r="O336" s="275">
        <f t="shared" si="51"/>
        <v>2.6994353146363834</v>
      </c>
      <c r="P336" s="276">
        <f>'COKE Imports'!H5</f>
        <v>59.11284637696</v>
      </c>
    </row>
    <row r="337" spans="1:46" s="12" customFormat="1" x14ac:dyDescent="0.2">
      <c r="A337" s="254"/>
      <c r="B337" s="274" t="s">
        <v>1101</v>
      </c>
      <c r="C337" s="274" t="s">
        <v>1102</v>
      </c>
      <c r="D337" s="274" t="e">
        <f>#REF!</f>
        <v>#REF!</v>
      </c>
      <c r="E337" s="274">
        <v>2010</v>
      </c>
      <c r="F337" s="275">
        <f>'COKE Imports'!G6</f>
        <v>4.8811673072869457</v>
      </c>
      <c r="G337" s="275">
        <f t="shared" ref="G337:O337" si="52">F337</f>
        <v>4.8811673072869457</v>
      </c>
      <c r="H337" s="275">
        <f t="shared" si="52"/>
        <v>4.8811673072869457</v>
      </c>
      <c r="I337" s="275">
        <f t="shared" si="52"/>
        <v>4.8811673072869457</v>
      </c>
      <c r="J337" s="275">
        <f t="shared" si="52"/>
        <v>4.8811673072869457</v>
      </c>
      <c r="K337" s="275">
        <f t="shared" si="52"/>
        <v>4.8811673072869457</v>
      </c>
      <c r="L337" s="275">
        <f t="shared" si="52"/>
        <v>4.8811673072869457</v>
      </c>
      <c r="M337" s="275">
        <f t="shared" si="52"/>
        <v>4.8811673072869457</v>
      </c>
      <c r="N337" s="275">
        <f t="shared" si="52"/>
        <v>4.8811673072869457</v>
      </c>
      <c r="O337" s="275">
        <f t="shared" si="52"/>
        <v>4.8811673072869457</v>
      </c>
      <c r="P337" s="276">
        <f>'COKE Imports'!H6</f>
        <v>78.342773450687886</v>
      </c>
    </row>
    <row r="338" spans="1:46" s="12" customFormat="1" x14ac:dyDescent="0.2">
      <c r="A338" s="254"/>
      <c r="B338" s="274" t="s">
        <v>1103</v>
      </c>
      <c r="C338" s="274" t="s">
        <v>1104</v>
      </c>
      <c r="D338" s="274" t="e">
        <f>#REF!</f>
        <v>#REF!</v>
      </c>
      <c r="E338" s="274">
        <v>2010</v>
      </c>
      <c r="F338" s="275">
        <f>'COKE Imports'!G7</f>
        <v>5.9536845760660428</v>
      </c>
      <c r="G338" s="275">
        <f t="shared" ref="G338:O338" si="53">F338</f>
        <v>5.9536845760660428</v>
      </c>
      <c r="H338" s="275">
        <f t="shared" si="53"/>
        <v>5.9536845760660428</v>
      </c>
      <c r="I338" s="275">
        <f t="shared" si="53"/>
        <v>5.9536845760660428</v>
      </c>
      <c r="J338" s="275">
        <f t="shared" si="53"/>
        <v>5.9536845760660428</v>
      </c>
      <c r="K338" s="275">
        <f t="shared" si="53"/>
        <v>5.9536845760660428</v>
      </c>
      <c r="L338" s="275">
        <f t="shared" si="53"/>
        <v>5.9536845760660428</v>
      </c>
      <c r="M338" s="275">
        <f t="shared" si="53"/>
        <v>5.9536845760660428</v>
      </c>
      <c r="N338" s="275">
        <f t="shared" si="53"/>
        <v>5.9536845760660428</v>
      </c>
      <c r="O338" s="275">
        <f t="shared" si="53"/>
        <v>5.9536845760660428</v>
      </c>
      <c r="P338" s="276">
        <f>'COKE Imports'!H7</f>
        <v>81.419895113608248</v>
      </c>
    </row>
    <row r="339" spans="1:46" s="12" customFormat="1" x14ac:dyDescent="0.2">
      <c r="A339" s="254"/>
      <c r="B339" s="274" t="s">
        <v>1105</v>
      </c>
      <c r="C339" s="274" t="s">
        <v>1106</v>
      </c>
      <c r="D339" s="274" t="e">
        <f>#REF!</f>
        <v>#REF!</v>
      </c>
      <c r="E339" s="274">
        <v>2010</v>
      </c>
      <c r="F339" s="275">
        <f>'COKE Imports'!G8</f>
        <v>6.3700473749826951</v>
      </c>
      <c r="G339" s="275">
        <f t="shared" ref="G339:O339" si="54">F339</f>
        <v>6.3700473749826951</v>
      </c>
      <c r="H339" s="275">
        <f t="shared" si="54"/>
        <v>6.3700473749826951</v>
      </c>
      <c r="I339" s="275">
        <f t="shared" si="54"/>
        <v>6.3700473749826951</v>
      </c>
      <c r="J339" s="275">
        <f t="shared" si="54"/>
        <v>6.3700473749826951</v>
      </c>
      <c r="K339" s="275">
        <f t="shared" si="54"/>
        <v>6.3700473749826951</v>
      </c>
      <c r="L339" s="275">
        <f t="shared" si="54"/>
        <v>6.3700473749826951</v>
      </c>
      <c r="M339" s="275">
        <f t="shared" si="54"/>
        <v>6.3700473749826951</v>
      </c>
      <c r="N339" s="275">
        <f t="shared" si="54"/>
        <v>6.3700473749826951</v>
      </c>
      <c r="O339" s="275">
        <f t="shared" si="54"/>
        <v>6.3700473749826951</v>
      </c>
      <c r="P339" s="276">
        <f>'COKE Imports'!H8</f>
        <v>204.61525731300003</v>
      </c>
    </row>
    <row r="340" spans="1:46" s="12" customFormat="1" x14ac:dyDescent="0.2">
      <c r="A340" s="254"/>
      <c r="B340" s="274" t="s">
        <v>1107</v>
      </c>
      <c r="C340" s="274" t="s">
        <v>1108</v>
      </c>
      <c r="D340" s="274" t="e">
        <f>#REF!</f>
        <v>#REF!</v>
      </c>
      <c r="E340" s="274">
        <v>2010</v>
      </c>
      <c r="F340" s="275">
        <f>'COKE Imports'!G9</f>
        <v>6.4921281151064232</v>
      </c>
      <c r="G340" s="275">
        <f t="shared" ref="G340:O340" si="55">F340</f>
        <v>6.4921281151064232</v>
      </c>
      <c r="H340" s="275">
        <f t="shared" si="55"/>
        <v>6.4921281151064232</v>
      </c>
      <c r="I340" s="275">
        <f t="shared" si="55"/>
        <v>6.4921281151064232</v>
      </c>
      <c r="J340" s="275">
        <f t="shared" si="55"/>
        <v>6.4921281151064232</v>
      </c>
      <c r="K340" s="275">
        <f t="shared" si="55"/>
        <v>6.4921281151064232</v>
      </c>
      <c r="L340" s="275">
        <f t="shared" si="55"/>
        <v>6.4921281151064232</v>
      </c>
      <c r="M340" s="275">
        <f t="shared" si="55"/>
        <v>6.4921281151064232</v>
      </c>
      <c r="N340" s="275">
        <f t="shared" si="55"/>
        <v>6.4921281151064232</v>
      </c>
      <c r="O340" s="275">
        <f t="shared" si="55"/>
        <v>6.4921281151064232</v>
      </c>
      <c r="P340" s="276">
        <f>'COKE Imports'!H9</f>
        <v>195.27735667404394</v>
      </c>
    </row>
    <row r="341" spans="1:46" s="12" customFormat="1" x14ac:dyDescent="0.2">
      <c r="A341" s="254"/>
      <c r="B341" s="274" t="s">
        <v>1109</v>
      </c>
      <c r="C341" s="274" t="s">
        <v>1110</v>
      </c>
      <c r="D341" s="274" t="e">
        <f>#REF!</f>
        <v>#REF!</v>
      </c>
      <c r="E341" s="274">
        <v>2010</v>
      </c>
      <c r="F341" s="275">
        <f>'COKE Imports'!G10</f>
        <v>6.6346836806200828</v>
      </c>
      <c r="G341" s="275">
        <f t="shared" ref="G341:O341" si="56">F341</f>
        <v>6.6346836806200828</v>
      </c>
      <c r="H341" s="275">
        <f t="shared" si="56"/>
        <v>6.6346836806200828</v>
      </c>
      <c r="I341" s="275">
        <f t="shared" si="56"/>
        <v>6.6346836806200828</v>
      </c>
      <c r="J341" s="275">
        <f t="shared" si="56"/>
        <v>6.6346836806200828</v>
      </c>
      <c r="K341" s="275">
        <f t="shared" si="56"/>
        <v>6.6346836806200828</v>
      </c>
      <c r="L341" s="275">
        <f t="shared" si="56"/>
        <v>6.6346836806200828</v>
      </c>
      <c r="M341" s="275">
        <f t="shared" si="56"/>
        <v>6.6346836806200828</v>
      </c>
      <c r="N341" s="275">
        <f t="shared" si="56"/>
        <v>6.6346836806200828</v>
      </c>
      <c r="O341" s="275">
        <f t="shared" si="56"/>
        <v>6.6346836806200828</v>
      </c>
      <c r="P341" s="276">
        <f>'COKE Imports'!H10</f>
        <v>132.30956441196824</v>
      </c>
    </row>
    <row r="342" spans="1:46" s="12" customFormat="1" x14ac:dyDescent="0.2">
      <c r="A342" s="254"/>
      <c r="B342" s="274" t="s">
        <v>1111</v>
      </c>
      <c r="C342" s="274" t="s">
        <v>1112</v>
      </c>
      <c r="D342" s="274" t="e">
        <f>#REF!</f>
        <v>#REF!</v>
      </c>
      <c r="E342" s="274">
        <v>2010</v>
      </c>
      <c r="F342" s="275">
        <f>'COKE Imports'!G11</f>
        <v>6.7448296797446146</v>
      </c>
      <c r="G342" s="275">
        <f t="shared" ref="G342:O342" si="57">F342</f>
        <v>6.7448296797446146</v>
      </c>
      <c r="H342" s="275">
        <f t="shared" si="57"/>
        <v>6.7448296797446146</v>
      </c>
      <c r="I342" s="275">
        <f t="shared" si="57"/>
        <v>6.7448296797446146</v>
      </c>
      <c r="J342" s="275">
        <f t="shared" si="57"/>
        <v>6.7448296797446146</v>
      </c>
      <c r="K342" s="275">
        <f t="shared" si="57"/>
        <v>6.7448296797446146</v>
      </c>
      <c r="L342" s="275">
        <f t="shared" si="57"/>
        <v>6.7448296797446146</v>
      </c>
      <c r="M342" s="275">
        <f t="shared" si="57"/>
        <v>6.7448296797446146</v>
      </c>
      <c r="N342" s="275">
        <f t="shared" si="57"/>
        <v>6.7448296797446146</v>
      </c>
      <c r="O342" s="275">
        <f t="shared" si="57"/>
        <v>6.7448296797446146</v>
      </c>
      <c r="P342" s="276">
        <f>'COKE Imports'!H11</f>
        <v>146.72245386425669</v>
      </c>
    </row>
    <row r="343" spans="1:46" s="12" customFormat="1" x14ac:dyDescent="0.2">
      <c r="A343" s="254"/>
      <c r="B343" s="274" t="s">
        <v>1113</v>
      </c>
      <c r="C343" s="274" t="s">
        <v>1114</v>
      </c>
      <c r="D343" s="274" t="e">
        <f>#REF!</f>
        <v>#REF!</v>
      </c>
      <c r="E343" s="274">
        <v>2010</v>
      </c>
      <c r="F343" s="275">
        <f>'COKE Imports'!G12</f>
        <v>6.8568042726208844</v>
      </c>
      <c r="G343" s="275">
        <f t="shared" ref="G343:O343" si="58">F343</f>
        <v>6.8568042726208844</v>
      </c>
      <c r="H343" s="275">
        <f t="shared" si="58"/>
        <v>6.8568042726208844</v>
      </c>
      <c r="I343" s="275">
        <f t="shared" si="58"/>
        <v>6.8568042726208844</v>
      </c>
      <c r="J343" s="275">
        <f t="shared" si="58"/>
        <v>6.8568042726208844</v>
      </c>
      <c r="K343" s="275">
        <f t="shared" si="58"/>
        <v>6.8568042726208844</v>
      </c>
      <c r="L343" s="275">
        <f t="shared" si="58"/>
        <v>6.8568042726208844</v>
      </c>
      <c r="M343" s="275">
        <f t="shared" si="58"/>
        <v>6.8568042726208844</v>
      </c>
      <c r="N343" s="275">
        <f t="shared" si="58"/>
        <v>6.8568042726208844</v>
      </c>
      <c r="O343" s="275">
        <f t="shared" si="58"/>
        <v>6.8568042726208844</v>
      </c>
      <c r="P343" s="276">
        <f>'COKE Imports'!H12</f>
        <v>162.70538387474002</v>
      </c>
    </row>
    <row r="344" spans="1:46" s="252" customFormat="1" x14ac:dyDescent="0.2"/>
    <row r="345" spans="1:46" s="252" customFormat="1" x14ac:dyDescent="0.2"/>
    <row r="346" spans="1:46" s="252" customFormat="1" x14ac:dyDescent="0.2">
      <c r="A346" s="261"/>
    </row>
    <row r="347" spans="1:46" x14ac:dyDescent="0.2">
      <c r="AR347" s="277"/>
      <c r="AS347" s="277"/>
      <c r="AT347" s="277"/>
    </row>
    <row r="348" spans="1:46" x14ac:dyDescent="0.2">
      <c r="AR348" s="277"/>
      <c r="AS348" s="277"/>
      <c r="AT348" s="277"/>
    </row>
  </sheetData>
  <phoneticPr fontId="15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1115</v>
      </c>
      <c r="B1" s="252"/>
    </row>
    <row r="4" spans="1:12" ht="18" customHeight="1" x14ac:dyDescent="0.2"/>
    <row r="7" spans="1:12" x14ac:dyDescent="0.2">
      <c r="B7" s="1" t="s">
        <v>517</v>
      </c>
      <c r="C7" s="1" t="s">
        <v>1116</v>
      </c>
      <c r="D7" s="1" t="s">
        <v>1117</v>
      </c>
      <c r="E7" s="1" t="s">
        <v>1118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1119</v>
      </c>
      <c r="B1" s="25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1120</v>
      </c>
      <c r="C7" s="1" t="s">
        <v>1121</v>
      </c>
      <c r="D7" s="1" t="s">
        <v>1122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1123</v>
      </c>
      <c r="B1" s="25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1122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1124</v>
      </c>
      <c r="B1" s="25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517</v>
      </c>
      <c r="C7" s="1" t="s">
        <v>1116</v>
      </c>
      <c r="D7" s="1" t="s">
        <v>1122</v>
      </c>
      <c r="E7" s="1" t="s">
        <v>1007</v>
      </c>
      <c r="F7" s="1" t="s">
        <v>519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AE99"/>
  <sheetViews>
    <sheetView showFormulas="1" workbookViewId="0">
      <selection activeCell="N28" sqref="N28"/>
    </sheetView>
  </sheetViews>
  <sheetFormatPr defaultColWidth="9.140625" defaultRowHeight="12.75" x14ac:dyDescent="0.2"/>
  <cols>
    <col min="1" max="1" width="36.5703125" style="28" bestFit="1" customWidth="1"/>
    <col min="2" max="2" width="12.140625" style="28" customWidth="1"/>
    <col min="3" max="9" width="12" style="28" customWidth="1"/>
    <col min="10" max="10" width="9.140625" style="28"/>
    <col min="11" max="11" width="9.5703125" style="28" bestFit="1" customWidth="1"/>
    <col min="12" max="14" width="9.7109375" style="28" bestFit="1" customWidth="1"/>
    <col min="15" max="15" width="11.7109375" style="28" bestFit="1" customWidth="1"/>
    <col min="16" max="19" width="9.7109375" style="28" bestFit="1" customWidth="1"/>
    <col min="20" max="20" width="9.140625" style="28"/>
    <col min="21" max="21" width="9.28515625" style="28" bestFit="1" customWidth="1"/>
    <col min="22" max="23" width="9.140625" style="28"/>
    <col min="24" max="31" width="9.28515625" style="28" bestFit="1" customWidth="1"/>
    <col min="32" max="16384" width="9.140625" style="28"/>
  </cols>
  <sheetData>
    <row r="1" spans="1:31" ht="22.5" customHeight="1" x14ac:dyDescent="0.2">
      <c r="A1" s="313" t="s">
        <v>1144</v>
      </c>
      <c r="B1" s="313"/>
      <c r="C1" s="313"/>
      <c r="D1" s="313"/>
      <c r="E1" s="313"/>
      <c r="F1" s="313"/>
      <c r="G1" s="313"/>
      <c r="H1" s="313"/>
      <c r="I1" s="313"/>
    </row>
    <row r="2" spans="1:31" ht="22.5" customHeight="1" x14ac:dyDescent="0.2">
      <c r="A2" s="313" t="s">
        <v>1145</v>
      </c>
      <c r="B2" s="313"/>
      <c r="C2" s="313"/>
      <c r="D2" s="313"/>
      <c r="E2" s="313"/>
      <c r="F2" s="313"/>
      <c r="G2" s="313"/>
      <c r="H2" s="313"/>
      <c r="I2" s="313"/>
      <c r="L2" s="28" t="s">
        <v>1146</v>
      </c>
      <c r="O2" s="28">
        <v>1.0550559999999999E-6</v>
      </c>
    </row>
    <row r="3" spans="1:31" x14ac:dyDescent="0.2">
      <c r="A3" s="314"/>
      <c r="B3" s="314"/>
      <c r="C3" s="314"/>
      <c r="D3" s="314"/>
      <c r="E3" s="314"/>
      <c r="F3" s="314"/>
      <c r="G3" s="314"/>
      <c r="H3" s="314"/>
      <c r="I3" s="314"/>
    </row>
    <row r="4" spans="1:31" x14ac:dyDescent="0.2">
      <c r="A4" s="298" t="s">
        <v>1147</v>
      </c>
      <c r="B4" s="299">
        <v>2005</v>
      </c>
      <c r="C4" s="299">
        <v>2010</v>
      </c>
      <c r="D4" s="299">
        <v>2015</v>
      </c>
      <c r="E4" s="299">
        <v>2020</v>
      </c>
      <c r="F4" s="299">
        <v>2025</v>
      </c>
      <c r="G4" s="299">
        <v>2030</v>
      </c>
      <c r="H4" s="299">
        <v>2035</v>
      </c>
      <c r="I4" s="299">
        <v>2040</v>
      </c>
      <c r="K4" s="30"/>
      <c r="L4" s="31">
        <v>2005</v>
      </c>
      <c r="M4" s="31">
        <v>2010</v>
      </c>
      <c r="N4" s="31">
        <v>2015</v>
      </c>
      <c r="O4" s="31">
        <v>2020</v>
      </c>
      <c r="P4" s="31">
        <v>2025</v>
      </c>
      <c r="Q4" s="31">
        <v>2030</v>
      </c>
      <c r="R4" s="31">
        <v>2035</v>
      </c>
      <c r="S4" s="31">
        <v>2040</v>
      </c>
      <c r="X4" s="31">
        <v>2005</v>
      </c>
      <c r="Y4" s="31">
        <v>2010</v>
      </c>
      <c r="Z4" s="31">
        <v>2015</v>
      </c>
      <c r="AA4" s="31">
        <v>2020</v>
      </c>
      <c r="AB4" s="31">
        <v>2025</v>
      </c>
      <c r="AC4" s="31">
        <v>2030</v>
      </c>
      <c r="AD4" s="31">
        <v>2035</v>
      </c>
      <c r="AE4" s="31">
        <v>2040</v>
      </c>
    </row>
    <row r="5" spans="1:31" x14ac:dyDescent="0.2">
      <c r="A5" s="32"/>
      <c r="B5" s="291"/>
    </row>
    <row r="6" spans="1:31" x14ac:dyDescent="0.2">
      <c r="A6" s="33" t="s">
        <v>1148</v>
      </c>
      <c r="B6" s="34">
        <v>35.065238952636697</v>
      </c>
      <c r="C6" s="35">
        <v>54.224151999999997</v>
      </c>
      <c r="D6" s="35">
        <v>67.093102000000002</v>
      </c>
      <c r="E6" s="35">
        <v>75.796233999999998</v>
      </c>
      <c r="F6" s="35">
        <v>84.36412</v>
      </c>
      <c r="G6" s="35">
        <v>89.951340000000002</v>
      </c>
      <c r="H6" s="35">
        <v>96.711005999999998</v>
      </c>
      <c r="I6" s="35">
        <v>103.28035</v>
      </c>
    </row>
    <row r="7" spans="1:31" x14ac:dyDescent="0.2">
      <c r="A7" s="36" t="s">
        <v>1149</v>
      </c>
      <c r="B7" s="34">
        <v>70.030242919921903</v>
      </c>
      <c r="C7" s="291">
        <v>83.834380999999993</v>
      </c>
      <c r="D7" s="291">
        <v>105.434494</v>
      </c>
      <c r="E7" s="291">
        <v>120.82428</v>
      </c>
      <c r="F7" s="291">
        <v>141.92157</v>
      </c>
      <c r="G7" s="291">
        <v>154.620361</v>
      </c>
      <c r="H7" s="291">
        <v>168.06445299999999</v>
      </c>
      <c r="I7" s="291">
        <v>182.31542999999999</v>
      </c>
      <c r="K7" s="37"/>
      <c r="L7" s="37">
        <f>B7*'Conversion Factors'!$C$38/Types!$R$9/$O$2/1000000</f>
        <v>2.4485496917078979</v>
      </c>
      <c r="M7" s="37">
        <f>C7*'Conversion Factors'!$C$41/Types!$R$9/$O$2/1000000</f>
        <v>2.7793052120084965</v>
      </c>
      <c r="N7" s="37">
        <f>D7*'Conversion Factors'!$C$44/Types!$R$9/$O$2/1000000</f>
        <v>3.3288883300223779</v>
      </c>
      <c r="O7" s="37">
        <f>E7*'Conversion Factors'!$C$44/Types!$R$9/$O$2/1000000</f>
        <v>3.8147907806657293</v>
      </c>
      <c r="P7" s="37">
        <f>F7*'Conversion Factors'!$C$44/Types!$R$9/$O$2/1000000</f>
        <v>4.4808965285256077</v>
      </c>
      <c r="Q7" s="37">
        <f>G7*'Conversion Factors'!$C$44/Types!$R$9/$O$2/1000000</f>
        <v>4.8818360651187582</v>
      </c>
      <c r="R7" s="37">
        <f>H7*'Conversion Factors'!$C$44/Types!$R$9/$O$2/1000000</f>
        <v>5.3063070258894056</v>
      </c>
      <c r="S7" s="37">
        <f>I7*'Conversion Factors'!$C$44/Types!$R$9/$O$2/1000000</f>
        <v>5.7562538054198065</v>
      </c>
      <c r="T7" s="37"/>
      <c r="U7" s="38">
        <f>L7/M7</f>
        <v>0.88099345157505238</v>
      </c>
      <c r="X7" s="38">
        <f>L7*'AEO Coal Prod'!L7</f>
        <v>237.79801585735697</v>
      </c>
      <c r="Y7" s="38">
        <f>M7*'AEO Coal Prod'!M7</f>
        <v>1406.7397662418332</v>
      </c>
      <c r="Z7" s="38">
        <f>N7*'AEO Coal Prod'!N7</f>
        <v>1873.198633234229</v>
      </c>
      <c r="AA7" s="38">
        <f>O7*'AEO Coal Prod'!O7</f>
        <v>2590.0823534873525</v>
      </c>
      <c r="AB7" s="38">
        <f>P7*'AEO Coal Prod'!P7</f>
        <v>3707.0742144364576</v>
      </c>
      <c r="AC7" s="38">
        <f>Q7*'AEO Coal Prod'!Q7</f>
        <v>4138.1550471588816</v>
      </c>
      <c r="AD7" s="38">
        <f>R7*'AEO Coal Prod'!R7</f>
        <v>5012.3347464242579</v>
      </c>
      <c r="AE7" s="38">
        <f>S7*'AEO Coal Prod'!S7</f>
        <v>5737.1816383068262</v>
      </c>
    </row>
    <row r="8" spans="1:31" x14ac:dyDescent="0.2">
      <c r="A8" s="36" t="s">
        <v>1150</v>
      </c>
      <c r="B8" s="34">
        <v>36.763557434082003</v>
      </c>
      <c r="C8" s="291">
        <v>53.896236000000002</v>
      </c>
      <c r="D8" s="291">
        <v>62.629607999999998</v>
      </c>
      <c r="E8" s="291">
        <v>68.200325000000007</v>
      </c>
      <c r="F8" s="291">
        <v>71.262389999999996</v>
      </c>
      <c r="G8" s="291">
        <v>74.472549000000001</v>
      </c>
      <c r="H8" s="291">
        <v>77.522125000000003</v>
      </c>
      <c r="I8" s="291">
        <v>80.920829999999995</v>
      </c>
      <c r="K8" s="37"/>
      <c r="L8" s="37">
        <f>B8*'Conversion Factors'!$C$38/Types!$R$4/$O$2/1000000</f>
        <v>1.3420490830969385</v>
      </c>
      <c r="M8" s="37">
        <f>C8*'Conversion Factors'!$C$41/Types!$R$4/$O$2/1000000</f>
        <v>1.8655208051224519</v>
      </c>
      <c r="N8" s="37">
        <f>D8*'Conversion Factors'!$C$44/Types!$R$4/$O$2/1000000</f>
        <v>2.0645422882503257</v>
      </c>
      <c r="O8" s="37">
        <f>E8*'Conversion Factors'!$C$44/Types!$R$4/$O$2/1000000</f>
        <v>2.2481771726068587</v>
      </c>
      <c r="P8" s="37">
        <f>F8*'Conversion Factors'!$C$44/Types!$R$4/$O$2/1000000</f>
        <v>2.3491160557285804</v>
      </c>
      <c r="Q8" s="37">
        <f>G8*'Conversion Factors'!$C$44/Types!$R$4/$O$2/1000000</f>
        <v>2.4549367564985318</v>
      </c>
      <c r="R8" s="37">
        <f>H8*'Conversion Factors'!$C$44/Types!$R$4/$O$2/1000000</f>
        <v>2.5554639482579509</v>
      </c>
      <c r="S8" s="37">
        <f>I8*'Conversion Factors'!$C$44/Types!$R$4/$O$2/1000000</f>
        <v>2.6674999392510261</v>
      </c>
      <c r="T8" s="37"/>
      <c r="U8" s="38">
        <f t="shared" ref="U8:U9" si="0">L8/M8</f>
        <v>0.71939647063268586</v>
      </c>
      <c r="X8" s="38">
        <f>L8*'AEO Coal Prod'!L8</f>
        <v>2675.7723604298953</v>
      </c>
      <c r="Y8" s="38">
        <f>M8*'AEO Coal Prod'!M8</f>
        <v>1817.3631894407449</v>
      </c>
      <c r="Z8" s="38">
        <f>N8*'AEO Coal Prod'!N8</f>
        <v>1112.6983532195738</v>
      </c>
      <c r="AA8" s="38">
        <f>O8*'AEO Coal Prod'!O8</f>
        <v>1522.2824255328881</v>
      </c>
      <c r="AB8" s="38">
        <f>P8*'AEO Coal Prod'!P8</f>
        <v>1502.9772386569509</v>
      </c>
      <c r="AC8" s="38">
        <f>Q8*'AEO Coal Prod'!Q8</f>
        <v>1664.168868226285</v>
      </c>
      <c r="AD8" s="38">
        <f>R8*'AEO Coal Prod'!R8</f>
        <v>1650.102406723006</v>
      </c>
      <c r="AE8" s="38">
        <f>S8*'AEO Coal Prod'!S8</f>
        <v>1736.8888174552878</v>
      </c>
    </row>
    <row r="9" spans="1:31" x14ac:dyDescent="0.2">
      <c r="A9" s="36" t="s">
        <v>1151</v>
      </c>
      <c r="B9" s="34">
        <v>31.007642745971701</v>
      </c>
      <c r="C9" s="291">
        <v>51.845878999999996</v>
      </c>
      <c r="D9" s="291">
        <v>59.578769999999999</v>
      </c>
      <c r="E9" s="291">
        <v>65.990654000000006</v>
      </c>
      <c r="F9" s="291">
        <v>68.828491</v>
      </c>
      <c r="G9" s="291">
        <v>72.055785999999998</v>
      </c>
      <c r="H9" s="291">
        <v>74.698195999999996</v>
      </c>
      <c r="I9" s="291">
        <v>77.850005999999993</v>
      </c>
      <c r="K9" s="37"/>
      <c r="L9" s="37">
        <f>B9*'Conversion Factors'!$C$38/Types!$R$5/$O$2/1000000</f>
        <v>1.1557892213861904</v>
      </c>
      <c r="M9" s="37">
        <f>C9*'Conversion Factors'!$C$41/Types!$R$5/$O$2/1000000</f>
        <v>1.8323773750914443</v>
      </c>
      <c r="N9" s="37">
        <f>D9*'Conversion Factors'!$C$44/Types!$R$5/$O$2/1000000</f>
        <v>2.0053705858209199</v>
      </c>
      <c r="O9" s="37">
        <f>E9*'Conversion Factors'!$C$44/Types!$R$5/$O$2/1000000</f>
        <v>2.2211891328183788</v>
      </c>
      <c r="P9" s="37">
        <f>F9*'Conversion Factors'!$C$44/Types!$R$5/$O$2/1000000</f>
        <v>2.3167083059593194</v>
      </c>
      <c r="Q9" s="37">
        <f>G9*'Conversion Factors'!$C$44/Types!$R$5/$O$2/1000000</f>
        <v>2.4253363032269184</v>
      </c>
      <c r="R9" s="37">
        <f>H9*'Conversion Factors'!$C$44/Types!$R$5/$O$2/1000000</f>
        <v>2.5142775702198259</v>
      </c>
      <c r="S9" s="37">
        <f>I9*'Conversion Factors'!$C$44/Types!$R$5/$O$2/1000000</f>
        <v>2.6203648067656</v>
      </c>
      <c r="T9" s="37"/>
      <c r="U9" s="38">
        <f t="shared" si="0"/>
        <v>0.63075938237259188</v>
      </c>
      <c r="X9" s="38">
        <f>L9*'AEO Coal Prod'!L9</f>
        <v>1851.9187209969305</v>
      </c>
      <c r="Y9" s="38">
        <f>M9*'AEO Coal Prod'!M9</f>
        <v>3718.3267931536961</v>
      </c>
      <c r="Z9" s="38">
        <f>N9*'AEO Coal Prod'!N9</f>
        <v>4772.2079737838294</v>
      </c>
      <c r="AA9" s="38">
        <f>O9*'AEO Coal Prod'!O9</f>
        <v>5355.0518823922803</v>
      </c>
      <c r="AB9" s="38">
        <f>P9*'AEO Coal Prod'!P9</f>
        <v>5436.5377171683085</v>
      </c>
      <c r="AC9" s="38">
        <f>Q9*'AEO Coal Prod'!Q9</f>
        <v>5576.1189871492188</v>
      </c>
      <c r="AD9" s="38">
        <f>R9*'AEO Coal Prod'!R9</f>
        <v>5835.2475569281678</v>
      </c>
      <c r="AE9" s="38">
        <f>S9*'AEO Coal Prod'!S9</f>
        <v>6144.6021088559864</v>
      </c>
    </row>
    <row r="10" spans="1:31" x14ac:dyDescent="0.2">
      <c r="A10" s="36"/>
    </row>
    <row r="11" spans="1:31" x14ac:dyDescent="0.2">
      <c r="A11" s="33" t="s">
        <v>1152</v>
      </c>
      <c r="B11" s="34">
        <v>46.536525726318402</v>
      </c>
      <c r="C11" s="35">
        <v>78.007050000000007</v>
      </c>
      <c r="D11" s="35">
        <v>102.054237</v>
      </c>
      <c r="E11" s="35">
        <v>119.742638</v>
      </c>
      <c r="F11" s="35">
        <v>129.093918</v>
      </c>
      <c r="G11" s="35">
        <v>141.12995900000001</v>
      </c>
      <c r="H11" s="35">
        <v>147.79278600000001</v>
      </c>
      <c r="I11" s="35">
        <v>152.37441999999999</v>
      </c>
    </row>
    <row r="12" spans="1:31" x14ac:dyDescent="0.2">
      <c r="A12" s="36" t="s">
        <v>1149</v>
      </c>
      <c r="B12" s="34">
        <v>66.089820861816406</v>
      </c>
      <c r="C12" s="291">
        <v>110.09124</v>
      </c>
      <c r="D12" s="291">
        <v>137.23921200000001</v>
      </c>
      <c r="E12" s="291">
        <v>157.73831200000001</v>
      </c>
      <c r="F12" s="291">
        <v>172.63171399999999</v>
      </c>
      <c r="G12" s="291">
        <v>188.770126</v>
      </c>
      <c r="H12" s="291">
        <v>200.487854</v>
      </c>
      <c r="I12" s="291">
        <v>207.27633700000001</v>
      </c>
      <c r="K12" s="37"/>
      <c r="L12" s="37">
        <f>B12*'Conversion Factors'!$C$38/Types!$R$14/$O$2/1000000</f>
        <v>2.3107760840023555</v>
      </c>
      <c r="M12" s="37">
        <f>C12*'Conversion Factors'!$C$41/Types!$R$14/$O$2/1000000</f>
        <v>3.6497813126153851</v>
      </c>
      <c r="N12" s="37">
        <f>D12*'Conversion Factors'!$C$44/Types!$R$14/$O$2/1000000</f>
        <v>4.333060215077877</v>
      </c>
      <c r="O12" s="37">
        <f>E12*'Conversion Factors'!$C$44/Types!$R$14/$O$2/1000000</f>
        <v>4.9802792814107768</v>
      </c>
      <c r="P12" s="37">
        <f>F12*'Conversion Factors'!$C$44/Types!$R$14/$O$2/1000000</f>
        <v>5.4505093762422838</v>
      </c>
      <c r="Q12" s="37">
        <f>G12*'Conversion Factors'!$C$44/Types!$R$14/$O$2/1000000</f>
        <v>5.9600482314474235</v>
      </c>
      <c r="R12" s="37">
        <f>H12*'Conversion Factors'!$C$44/Types!$R$14/$O$2/1000000</f>
        <v>6.3300126189426251</v>
      </c>
      <c r="S12" s="37">
        <f>I12*'Conversion Factors'!$C$44/Types!$R$14/$O$2/1000000</f>
        <v>6.54434571791169</v>
      </c>
      <c r="U12" s="38">
        <f t="shared" ref="U12:U14" si="1">L12/M12</f>
        <v>0.63312727149301007</v>
      </c>
      <c r="X12" s="38">
        <f>L12*'AEO Coal Prod'!L12</f>
        <v>2514.7610608000919</v>
      </c>
      <c r="Y12" s="38">
        <f>M12*'AEO Coal Prod'!M12</f>
        <v>6245.3669403874183</v>
      </c>
      <c r="Z12" s="38">
        <f>N12*'AEO Coal Prod'!N12</f>
        <v>6469.3047784509272</v>
      </c>
      <c r="AA12" s="38">
        <f>O12*'AEO Coal Prod'!O12</f>
        <v>7638.475269469247</v>
      </c>
      <c r="AB12" s="38">
        <f>P12*'AEO Coal Prod'!P12</f>
        <v>8010.4102948496147</v>
      </c>
      <c r="AC12" s="38">
        <f>Q12*'AEO Coal Prod'!Q12</f>
        <v>8498.1819327200083</v>
      </c>
      <c r="AD12" s="38">
        <f>R12*'AEO Coal Prod'!R12</f>
        <v>8531.6439243137647</v>
      </c>
      <c r="AE12" s="38">
        <f>S12*'AEO Coal Prod'!S12</f>
        <v>7740.0687701365459</v>
      </c>
    </row>
    <row r="13" spans="1:31" x14ac:dyDescent="0.2">
      <c r="A13" s="36" t="s">
        <v>1153</v>
      </c>
      <c r="B13" s="34">
        <v>44.5722045898438</v>
      </c>
      <c r="C13" s="291">
        <v>69.050880000000006</v>
      </c>
      <c r="D13" s="291">
        <v>74.815383999999995</v>
      </c>
      <c r="E13" s="291">
        <v>79.993483999999995</v>
      </c>
      <c r="F13" s="291">
        <v>83.592360999999997</v>
      </c>
      <c r="G13" s="291">
        <v>94.048552999999998</v>
      </c>
      <c r="H13" s="291">
        <v>101.10721599999999</v>
      </c>
      <c r="I13" s="291">
        <v>111.37326</v>
      </c>
      <c r="K13" s="37"/>
      <c r="L13" s="37">
        <f>B13*'Conversion Factors'!$C$38/Types!$R$10/$O$2/1000000</f>
        <v>1.6580387900324838</v>
      </c>
      <c r="M13" s="37">
        <f>C13*'Conversion Factors'!$C$41/Types!$R$10/$O$2/1000000</f>
        <v>2.4355137153351127</v>
      </c>
      <c r="N13" s="37">
        <f>D13*'Conversion Factors'!$C$44/Types!$R$10/$O$2/1000000</f>
        <v>2.5131285272173622</v>
      </c>
      <c r="O13" s="37">
        <f>E13*'Conversion Factors'!$C$44/Types!$R$10/$O$2/1000000</f>
        <v>2.6870664278339551</v>
      </c>
      <c r="P13" s="37">
        <f>F13*'Conversion Factors'!$C$44/Types!$R$10/$O$2/1000000</f>
        <v>2.8079565438914553</v>
      </c>
      <c r="Q13" s="37">
        <f>G13*'Conversion Factors'!$C$44/Types!$R$10/$O$2/1000000</f>
        <v>3.1591911830301376</v>
      </c>
      <c r="R13" s="37">
        <f>H13*'Conversion Factors'!$C$44/Types!$R$10/$O$2/1000000</f>
        <v>3.3962992001368022</v>
      </c>
      <c r="S13" s="37">
        <f>I13*'Conversion Factors'!$C$44/Types!$R$10/$O$2/1000000</f>
        <v>3.7411465651930143</v>
      </c>
      <c r="U13" s="38">
        <f t="shared" si="1"/>
        <v>0.68077579674165256</v>
      </c>
      <c r="X13" s="38">
        <f>L13*'AEO Coal Prod'!L13</f>
        <v>2038.056006252913</v>
      </c>
      <c r="Y13" s="38">
        <f>M13*'AEO Coal Prod'!M13</f>
        <v>890.30465981153304</v>
      </c>
      <c r="Z13" s="38">
        <f>N13*'AEO Coal Prod'!N13</f>
        <v>368.58316259143658</v>
      </c>
      <c r="AA13" s="38">
        <f>O13*'AEO Coal Prod'!O13</f>
        <v>385.28918196280023</v>
      </c>
      <c r="AB13" s="38">
        <f>P13*'AEO Coal Prod'!P13</f>
        <v>341.0343486899406</v>
      </c>
      <c r="AC13" s="38">
        <f>Q13*'AEO Coal Prod'!Q13</f>
        <v>430.72804494068168</v>
      </c>
      <c r="AD13" s="38">
        <f>R13*'AEO Coal Prod'!R13</f>
        <v>450.95728431393195</v>
      </c>
      <c r="AE13" s="38">
        <f>S13*'AEO Coal Prod'!S13</f>
        <v>517.01096440789615</v>
      </c>
    </row>
    <row r="14" spans="1:31" x14ac:dyDescent="0.2">
      <c r="A14" s="36" t="s">
        <v>1150</v>
      </c>
      <c r="B14" s="34">
        <v>42.024333953857401</v>
      </c>
      <c r="C14" s="291">
        <v>65.239883000000006</v>
      </c>
      <c r="D14" s="291">
        <v>69.931290000000004</v>
      </c>
      <c r="E14" s="291">
        <v>75.058334000000002</v>
      </c>
      <c r="F14" s="291">
        <v>77.891730999999993</v>
      </c>
      <c r="G14" s="291">
        <v>80.787261999999998</v>
      </c>
      <c r="H14" s="291">
        <v>83.894447</v>
      </c>
      <c r="I14" s="291">
        <v>87.105887999999993</v>
      </c>
      <c r="K14" s="37"/>
      <c r="L14" s="37">
        <f>B14*'Conversion Factors'!$C$38/Types!$R$11/$O$2/1000000</f>
        <v>1.5670642556589014</v>
      </c>
      <c r="M14" s="37">
        <f>C14*'Conversion Factors'!$C$41/Types!$R$11/$O$2/1000000</f>
        <v>2.306693700441548</v>
      </c>
      <c r="N14" s="37">
        <f>D14*'Conversion Factors'!$C$44/Types!$R$11/$O$2/1000000</f>
        <v>2.3547820921661757</v>
      </c>
      <c r="O14" s="37">
        <f>E14*'Conversion Factors'!$C$44/Types!$R$11/$O$2/1000000</f>
        <v>2.5274240010591487</v>
      </c>
      <c r="P14" s="37">
        <f>F14*'Conversion Factors'!$C$44/Types!$R$11/$O$2/1000000</f>
        <v>2.6228324014418289</v>
      </c>
      <c r="Q14" s="37">
        <f>G14*'Conversion Factors'!$C$44/Types!$R$11/$O$2/1000000</f>
        <v>2.7203330273578108</v>
      </c>
      <c r="R14" s="37">
        <f>H14*'Conversion Factors'!$C$44/Types!$R$11/$O$2/1000000</f>
        <v>2.8249606353291115</v>
      </c>
      <c r="S14" s="37">
        <f>I14*'Conversion Factors'!$C$44/Types!$R$11/$O$2/1000000</f>
        <v>2.9330988343648827</v>
      </c>
      <c r="U14" s="38">
        <f t="shared" si="1"/>
        <v>0.67935515467828844</v>
      </c>
      <c r="X14" s="38">
        <f>L14*'AEO Coal Prod'!L14</f>
        <v>6092.8748050778313</v>
      </c>
      <c r="Y14" s="38">
        <f>M14*'AEO Coal Prod'!M14</f>
        <v>6560.0642599519133</v>
      </c>
      <c r="Z14" s="38">
        <f>N14*'AEO Coal Prod'!N14</f>
        <v>3318.5750677687579</v>
      </c>
      <c r="AA14" s="38">
        <f>O14*'AEO Coal Prod'!O14</f>
        <v>2769.0437429418562</v>
      </c>
      <c r="AB14" s="38">
        <f>P14*'AEO Coal Prod'!P14</f>
        <v>2790.8920739892328</v>
      </c>
      <c r="AC14" s="38">
        <f>Q14*'AEO Coal Prod'!Q14</f>
        <v>2582.6563835100942</v>
      </c>
      <c r="AD14" s="38">
        <f>R14*'AEO Coal Prod'!R14</f>
        <v>2670.7510005108752</v>
      </c>
      <c r="AE14" s="38">
        <f>S14*'AEO Coal Prod'!S14</f>
        <v>2482.0496422073302</v>
      </c>
    </row>
    <row r="15" spans="1:31" x14ac:dyDescent="0.2">
      <c r="A15" s="36"/>
    </row>
    <row r="16" spans="1:31" x14ac:dyDescent="0.2">
      <c r="A16" s="33" t="s">
        <v>1154</v>
      </c>
      <c r="B16" s="34">
        <v>55.298610687255902</v>
      </c>
      <c r="C16" s="35">
        <v>78.789535999999998</v>
      </c>
      <c r="D16" s="35">
        <v>125.83792099999999</v>
      </c>
      <c r="E16" s="35">
        <v>140.53088399999999</v>
      </c>
      <c r="F16" s="35">
        <v>144.94120799999999</v>
      </c>
      <c r="G16" s="35">
        <v>154.819748</v>
      </c>
      <c r="H16" s="35">
        <v>162.00633199999999</v>
      </c>
      <c r="I16" s="35">
        <v>168.11979700000001</v>
      </c>
    </row>
    <row r="17" spans="1:31" x14ac:dyDescent="0.2">
      <c r="A17" s="36" t="s">
        <v>1155</v>
      </c>
      <c r="B17" s="34">
        <v>73.1351318359375</v>
      </c>
      <c r="C17" s="291">
        <v>87.973716999999994</v>
      </c>
      <c r="D17" s="291">
        <v>138.490814</v>
      </c>
      <c r="E17" s="291">
        <v>155.084518</v>
      </c>
      <c r="F17" s="291">
        <v>166.79222100000001</v>
      </c>
      <c r="G17" s="291">
        <v>179.67327900000001</v>
      </c>
      <c r="H17" s="291">
        <v>189.66990699999999</v>
      </c>
      <c r="I17" s="291">
        <v>193.245926</v>
      </c>
      <c r="K17" s="37"/>
      <c r="L17" s="37">
        <f>B17*'Conversion Factors'!$C$38/Types!$R$19/$O$2/1000000</f>
        <v>2.557109572141135</v>
      </c>
      <c r="M17" s="37">
        <f>C17*'Conversion Factors'!$C$41/Types!$R$19/$O$2/1000000</f>
        <v>2.9165338523565945</v>
      </c>
      <c r="N17" s="37">
        <f>D17*'Conversion Factors'!$C$44/Types!$R$19/$O$2/1000000</f>
        <v>4.3725771049833062</v>
      </c>
      <c r="O17" s="37">
        <f>E17*'Conversion Factors'!$C$44/Types!$R$19/$O$2/1000000</f>
        <v>4.8964909163157317</v>
      </c>
      <c r="P17" s="37">
        <f>F17*'Conversion Factors'!$C$44/Types!$R$19/$O$2/1000000</f>
        <v>5.2661387840056735</v>
      </c>
      <c r="Q17" s="37">
        <f>G17*'Conversion Factors'!$C$44/Types!$R$19/$O$2/1000000</f>
        <v>5.6728330453215321</v>
      </c>
      <c r="R17" s="37">
        <f>H17*'Conversion Factors'!$C$44/Types!$R$19/$O$2/1000000</f>
        <v>5.9884570600654632</v>
      </c>
      <c r="S17" s="37">
        <f>I17*'Conversion Factors'!$C$44/Types!$R$19/$O$2/1000000</f>
        <v>6.1013628792657553</v>
      </c>
      <c r="U17" s="38">
        <f t="shared" ref="U17:U19" si="2">L17/M17</f>
        <v>0.8767632064599421</v>
      </c>
      <c r="X17" s="38">
        <f>L17*'AEO Coal Prod'!L17</f>
        <v>573.31321797007888</v>
      </c>
      <c r="Y17" s="38">
        <f>M17*'AEO Coal Prod'!M17</f>
        <v>826.77563246828254</v>
      </c>
      <c r="Z17" s="38">
        <f>N17*'AEO Coal Prod'!N17</f>
        <v>1526.0322741296657</v>
      </c>
      <c r="AA17" s="38">
        <f>O17*'AEO Coal Prod'!O17</f>
        <v>1776.0633472708876</v>
      </c>
      <c r="AB17" s="38">
        <f>P17*'AEO Coal Prod'!P17</f>
        <v>1807.0019968922459</v>
      </c>
      <c r="AC17" s="38">
        <f>Q17*'AEO Coal Prod'!Q17</f>
        <v>1899.1005937568834</v>
      </c>
      <c r="AD17" s="38">
        <f>R17*'AEO Coal Prod'!R17</f>
        <v>1905.3966957400785</v>
      </c>
      <c r="AE17" s="38">
        <f>S17*'AEO Coal Prod'!S17</f>
        <v>2152.2280921831393</v>
      </c>
    </row>
    <row r="18" spans="1:31" x14ac:dyDescent="0.2">
      <c r="A18" s="36" t="s">
        <v>1153</v>
      </c>
      <c r="B18" s="34">
        <v>49.286277770996101</v>
      </c>
      <c r="C18" s="291">
        <v>77.487555999999998</v>
      </c>
      <c r="D18" s="291">
        <v>86.502646999999996</v>
      </c>
      <c r="E18" s="291">
        <v>92.004722999999998</v>
      </c>
      <c r="F18" s="291">
        <v>94.471405000000004</v>
      </c>
      <c r="G18" s="291">
        <v>101.289963</v>
      </c>
      <c r="H18" s="291">
        <v>106.77394099999999</v>
      </c>
      <c r="I18" s="291">
        <v>113.031158</v>
      </c>
      <c r="K18" s="37"/>
      <c r="L18" s="37">
        <f>B18*'Conversion Factors'!$C$38/Types!$R$15/$O$2/1000000</f>
        <v>1.729831362806918</v>
      </c>
      <c r="M18" s="37">
        <f>C18*'Conversion Factors'!$C$41/Types!$R$15/$O$2/1000000</f>
        <v>2.5786980997108686</v>
      </c>
      <c r="N18" s="37">
        <f>D18*'Conversion Factors'!$C$44/Types!$R$15/$O$2/1000000</f>
        <v>2.7415764628454076</v>
      </c>
      <c r="O18" s="37">
        <f>E18*'Conversion Factors'!$C$44/Types!$R$15/$O$2/1000000</f>
        <v>2.9159568151412922</v>
      </c>
      <c r="P18" s="37">
        <f>F18*'Conversion Factors'!$C$44/Types!$R$15/$O$2/1000000</f>
        <v>2.9941347385581842</v>
      </c>
      <c r="Q18" s="37">
        <f>G18*'Conversion Factors'!$C$44/Types!$R$15/$O$2/1000000</f>
        <v>3.2102390864788473</v>
      </c>
      <c r="R18" s="37">
        <f>H18*'Conversion Factors'!$C$44/Types!$R$15/$O$2/1000000</f>
        <v>3.384045848803265</v>
      </c>
      <c r="S18" s="37">
        <f>I18*'Conversion Factors'!$C$44/Types!$R$15/$O$2/1000000</f>
        <v>3.5823593044610571</v>
      </c>
      <c r="U18" s="38">
        <f t="shared" si="2"/>
        <v>0.67081577444093665</v>
      </c>
      <c r="X18" s="38">
        <f>L18*'AEO Coal Prod'!L18</f>
        <v>24.864738576086001</v>
      </c>
      <c r="Y18" s="38">
        <f>M18*'AEO Coal Prod'!M18</f>
        <v>32.062453622454015</v>
      </c>
      <c r="Z18" s="38">
        <f>N18*'AEO Coal Prod'!N18</f>
        <v>49.756095700998173</v>
      </c>
      <c r="AA18" s="38">
        <f>O18*'AEO Coal Prod'!O18</f>
        <v>39.901194816740116</v>
      </c>
      <c r="AB18" s="38">
        <f>P18*'AEO Coal Prod'!P18</f>
        <v>38.44761360054148</v>
      </c>
      <c r="AC18" s="38">
        <f>Q18*'AEO Coal Prod'!Q18</f>
        <v>40.995521519791367</v>
      </c>
      <c r="AD18" s="38">
        <f>R18*'AEO Coal Prod'!R18</f>
        <v>42.510880938740399</v>
      </c>
      <c r="AE18" s="38">
        <f>S18*'AEO Coal Prod'!S18</f>
        <v>41.18262079207804</v>
      </c>
    </row>
    <row r="19" spans="1:31" x14ac:dyDescent="0.2">
      <c r="A19" s="36" t="s">
        <v>1150</v>
      </c>
      <c r="B19" s="34">
        <v>44.334949493408203</v>
      </c>
      <c r="C19" s="291">
        <v>63.498877999999998</v>
      </c>
      <c r="D19" s="291">
        <v>80.878356999999994</v>
      </c>
      <c r="E19" s="291">
        <v>70.212708000000006</v>
      </c>
      <c r="F19" s="291">
        <v>72.388144999999994</v>
      </c>
      <c r="G19" s="291">
        <v>74.909805000000006</v>
      </c>
      <c r="H19" s="291">
        <v>77.534828000000005</v>
      </c>
      <c r="I19" s="291">
        <v>80.763489000000007</v>
      </c>
      <c r="K19" s="37"/>
      <c r="L19" s="37">
        <f>B19*'Conversion Factors'!$C$38/Types!$R$16/$O$2/1000000</f>
        <v>1.6687903852823041</v>
      </c>
      <c r="M19" s="37">
        <f>C19*'Conversion Factors'!$C$41/Types!$R$16/$O$2/1000000</f>
        <v>2.2662739820270188</v>
      </c>
      <c r="N19" s="37">
        <f>D19*'Conversion Factors'!$C$44/Types!$R$16/$O$2/1000000</f>
        <v>2.7490403240056316</v>
      </c>
      <c r="O19" s="37">
        <f>E19*'Conversion Factors'!$C$44/Types!$R$16/$O$2/1000000</f>
        <v>2.3865168965985895</v>
      </c>
      <c r="P19" s="37">
        <f>F19*'Conversion Factors'!$C$44/Types!$R$16/$O$2/1000000</f>
        <v>2.4604595959456326</v>
      </c>
      <c r="Q19" s="37">
        <f>G19*'Conversion Factors'!$C$44/Types!$R$16/$O$2/1000000</f>
        <v>2.5461703507206352</v>
      </c>
      <c r="R19" s="37">
        <f>H19*'Conversion Factors'!$C$44/Types!$R$16/$O$2/1000000</f>
        <v>2.6353943946566689</v>
      </c>
      <c r="S19" s="37">
        <f>I19*'Conversion Factors'!$C$44/Types!$R$16/$O$2/1000000</f>
        <v>2.7451359820326879</v>
      </c>
      <c r="U19" s="38">
        <f t="shared" si="2"/>
        <v>0.73635862147157127</v>
      </c>
      <c r="X19" s="38">
        <f>L19*'AEO Coal Prod'!L19</f>
        <v>553.14852250474257</v>
      </c>
      <c r="Y19" s="38">
        <f>M19*'AEO Coal Prod'!M19</f>
        <v>509.07149868344072</v>
      </c>
      <c r="Z19" s="38">
        <f>N19*'AEO Coal Prod'!N19</f>
        <v>210.10728484768168</v>
      </c>
      <c r="AA19" s="38">
        <f>O19*'AEO Coal Prod'!O19</f>
        <v>145.40783762060403</v>
      </c>
      <c r="AB19" s="38">
        <f>P19*'AEO Coal Prod'!P19</f>
        <v>215.69913735587707</v>
      </c>
      <c r="AC19" s="38">
        <f>Q19*'AEO Coal Prod'!Q19</f>
        <v>225.94836551973256</v>
      </c>
      <c r="AD19" s="38">
        <f>R19*'AEO Coal Prod'!R19</f>
        <v>234.89884885300867</v>
      </c>
      <c r="AE19" s="38">
        <f>S19*'AEO Coal Prod'!S19</f>
        <v>240.15998841072243</v>
      </c>
    </row>
    <row r="20" spans="1:31" x14ac:dyDescent="0.2">
      <c r="A20" s="36"/>
    </row>
    <row r="21" spans="1:31" x14ac:dyDescent="0.2">
      <c r="A21" s="33" t="s">
        <v>1156</v>
      </c>
      <c r="B21" s="39" t="s">
        <v>1157</v>
      </c>
      <c r="C21" s="35">
        <v>44.883808000000002</v>
      </c>
      <c r="D21" s="35">
        <v>52.043491000000003</v>
      </c>
      <c r="E21" s="35">
        <v>57.922966000000002</v>
      </c>
      <c r="F21" s="35">
        <v>59.986744000000002</v>
      </c>
      <c r="G21" s="35">
        <v>62.594608000000001</v>
      </c>
      <c r="H21" s="35">
        <v>64.764235999999997</v>
      </c>
      <c r="I21" s="35">
        <v>66.851546999999997</v>
      </c>
    </row>
    <row r="22" spans="1:31" x14ac:dyDescent="0.2">
      <c r="A22" s="36" t="s">
        <v>1150</v>
      </c>
      <c r="B22" s="34">
        <v>31.141740798950199</v>
      </c>
      <c r="C22" s="291">
        <v>54.252983</v>
      </c>
      <c r="D22" s="291">
        <v>58.842049000000003</v>
      </c>
      <c r="E22" s="291">
        <v>64.748085000000003</v>
      </c>
      <c r="F22" s="291">
        <v>66.657180999999994</v>
      </c>
      <c r="G22" s="291">
        <v>69.436019999999999</v>
      </c>
      <c r="H22" s="291">
        <v>71.616425000000007</v>
      </c>
      <c r="I22" s="291">
        <v>73.522925999999998</v>
      </c>
      <c r="K22" s="37"/>
      <c r="L22" s="37">
        <f>B22*'Conversion Factors'!$C$38/Types!$R$20/$O$2/1000000</f>
        <v>1.2721737451652688</v>
      </c>
      <c r="M22" s="37">
        <f>C22*'Conversion Factors'!$C$41/Types!$R$20/$O$2/1000000</f>
        <v>2.1014446489064738</v>
      </c>
      <c r="N22" s="37">
        <f>D22*'Conversion Factors'!$C$44/Types!$R$20/$O$2/1000000</f>
        <v>2.1706237441530907</v>
      </c>
      <c r="O22" s="37">
        <f>E22*'Conversion Factors'!$C$44/Types!$R$20/$O$2/1000000</f>
        <v>2.3884914457931705</v>
      </c>
      <c r="P22" s="37">
        <f>F22*'Conversion Factors'!$C$44/Types!$R$20/$O$2/1000000</f>
        <v>2.4589160686248412</v>
      </c>
      <c r="Q22" s="37">
        <f>G22*'Conversion Factors'!$C$44/Types!$R$20/$O$2/1000000</f>
        <v>2.561424632094115</v>
      </c>
      <c r="R22" s="37">
        <f>H22*'Conversion Factors'!$C$44/Types!$R$20/$O$2/1000000</f>
        <v>2.6418575698538138</v>
      </c>
      <c r="S22" s="37">
        <f>I22*'Conversion Factors'!$C$44/Types!$R$20/$O$2/1000000</f>
        <v>2.7121864657570067</v>
      </c>
      <c r="U22" s="38">
        <f t="shared" ref="U22:U23" si="3">L22/M22</f>
        <v>0.60538056323647083</v>
      </c>
      <c r="X22" s="38">
        <f>L22*'AEO Coal Prod'!L22</f>
        <v>883.73754378609169</v>
      </c>
      <c r="Y22" s="38">
        <f>M22*'AEO Coal Prod'!M22</f>
        <v>509.92359423913962</v>
      </c>
      <c r="Z22" s="38">
        <f>N22*'AEO Coal Prod'!N22</f>
        <v>425.42013071872663</v>
      </c>
      <c r="AA22" s="38">
        <f>O22*'AEO Coal Prod'!O22</f>
        <v>428.84362905338327</v>
      </c>
      <c r="AB22" s="38">
        <f>P22*'AEO Coal Prod'!P22</f>
        <v>454.63815459799952</v>
      </c>
      <c r="AC22" s="38">
        <f>Q22*'AEO Coal Prod'!Q22</f>
        <v>492.67564241466567</v>
      </c>
      <c r="AD22" s="38">
        <f>R22*'AEO Coal Prod'!R22</f>
        <v>521.80671892164969</v>
      </c>
      <c r="AE22" s="38">
        <f>S22*'AEO Coal Prod'!S22</f>
        <v>542.76888295797062</v>
      </c>
    </row>
    <row r="23" spans="1:31" x14ac:dyDescent="0.2">
      <c r="A23" s="36" t="s">
        <v>1151</v>
      </c>
      <c r="B23" s="34">
        <v>26.623664855956999</v>
      </c>
      <c r="C23" s="291">
        <v>44.272258999999998</v>
      </c>
      <c r="D23" s="291">
        <v>53.015858000000001</v>
      </c>
      <c r="E23" s="291">
        <v>58.978973000000003</v>
      </c>
      <c r="F23" s="291">
        <v>60.857269000000002</v>
      </c>
      <c r="G23" s="291">
        <v>63.613976000000001</v>
      </c>
      <c r="H23" s="291">
        <v>65.766448999999994</v>
      </c>
      <c r="I23" s="291">
        <v>67.851730000000003</v>
      </c>
      <c r="K23" s="37"/>
      <c r="L23" s="37">
        <f>B23*'Conversion Factors'!$C$38/Types!$R$21/$O$2/1000000</f>
        <v>1.0761318232544999</v>
      </c>
      <c r="M23" s="37">
        <f>C23*'Conversion Factors'!$C$41/Types!$R$21/$O$2/1000000</f>
        <v>1.6967587982284698</v>
      </c>
      <c r="N23" s="37">
        <f>D23*'Conversion Factors'!$C$44/Types!$R$21/$O$2/1000000</f>
        <v>1.9350698682300056</v>
      </c>
      <c r="O23" s="37">
        <f>E23*'Conversion Factors'!$C$44/Types!$R$21/$O$2/1000000</f>
        <v>2.152722559190706</v>
      </c>
      <c r="P23" s="37">
        <f>F23*'Conversion Factors'!$C$44/Types!$R$21/$O$2/1000000</f>
        <v>2.2212800461452122</v>
      </c>
      <c r="Q23" s="37">
        <f>G23*'Conversion Factors'!$C$44/Types!$R$21/$O$2/1000000</f>
        <v>2.3218993863290249</v>
      </c>
      <c r="R23" s="37">
        <f>H23*'Conversion Factors'!$C$44/Types!$R$21/$O$2/1000000</f>
        <v>2.4004642875040401</v>
      </c>
      <c r="S23" s="37">
        <f>I23*'Conversion Factors'!$C$44/Types!$R$21/$O$2/1000000</f>
        <v>2.4765766920206764</v>
      </c>
      <c r="U23" s="38">
        <f t="shared" si="3"/>
        <v>0.6342279317355265</v>
      </c>
      <c r="X23" s="38">
        <f>L23*'AEO Coal Prod'!L23</f>
        <v>1644.071895992191</v>
      </c>
      <c r="Y23" s="38">
        <f>M23*'AEO Coal Prod'!M23</f>
        <v>4327.2104899261758</v>
      </c>
      <c r="Z23" s="38">
        <f>N23*'AEO Coal Prod'!N23</f>
        <v>6752.4217930860104</v>
      </c>
      <c r="AA23" s="38">
        <f>O23*'AEO Coal Prod'!O23</f>
        <v>8377.1456677760416</v>
      </c>
      <c r="AB23" s="38">
        <f>P23*'AEO Coal Prod'!P23</f>
        <v>9223.8597282274877</v>
      </c>
      <c r="AC23" s="38">
        <f>Q23*'AEO Coal Prod'!Q23</f>
        <v>10594.21567688801</v>
      </c>
      <c r="AD23" s="38">
        <f>R23*'AEO Coal Prod'!R23</f>
        <v>11665.128062601674</v>
      </c>
      <c r="AE23" s="38">
        <f>S23*'AEO Coal Prod'!S23</f>
        <v>12609.01824078483</v>
      </c>
    </row>
    <row r="24" spans="1:31" x14ac:dyDescent="0.2">
      <c r="A24" s="36" t="s">
        <v>1158</v>
      </c>
      <c r="B24" s="39" t="s">
        <v>1157</v>
      </c>
      <c r="C24" s="291">
        <v>20.302600999999999</v>
      </c>
      <c r="D24" s="291">
        <v>22.685019</v>
      </c>
      <c r="E24" s="291">
        <v>26.098756999999999</v>
      </c>
      <c r="F24" s="291">
        <v>26.653751</v>
      </c>
      <c r="G24" s="291">
        <v>28.637218000000001</v>
      </c>
      <c r="H24" s="291">
        <v>29.263145000000002</v>
      </c>
      <c r="I24" s="291">
        <v>30.115891000000001</v>
      </c>
      <c r="K24" s="37"/>
      <c r="L24" s="40">
        <f>M24*$U$60</f>
        <v>1.1723250734559505</v>
      </c>
      <c r="M24" s="37">
        <f>C24*'Conversion Factors'!$C$41/Types!$R$24/$O$2/1000000</f>
        <v>1.7086839993230394</v>
      </c>
      <c r="N24" s="37">
        <f>D24*'Conversion Factors'!$C$44/Types!$R$24/$O$2/1000000</f>
        <v>1.8182418475001874</v>
      </c>
      <c r="O24" s="37">
        <f>E24*'Conversion Factors'!$C$44/Types!$R$24/$O$2/1000000</f>
        <v>2.0918586025931232</v>
      </c>
      <c r="P24" s="37">
        <f>F24*'Conversion Factors'!$C$44/Types!$R$24/$O$2/1000000</f>
        <v>2.1363422909652385</v>
      </c>
      <c r="Q24" s="37">
        <f>G24*'Conversion Factors'!$C$44/Types!$R$24/$O$2/1000000</f>
        <v>2.2953204563586929</v>
      </c>
      <c r="R24" s="37">
        <f>H24*'Conversion Factors'!$C$44/Types!$R$24/$O$2/1000000</f>
        <v>2.3454895421716802</v>
      </c>
      <c r="S24" s="37">
        <f>I24*'Conversion Factors'!$C$44/Types!$R$24/$O$2/1000000</f>
        <v>2.4138385465295076</v>
      </c>
      <c r="U24" s="38"/>
    </row>
    <row r="25" spans="1:31" x14ac:dyDescent="0.2">
      <c r="A25" s="36"/>
    </row>
    <row r="26" spans="1:31" x14ac:dyDescent="0.2">
      <c r="A26" s="33" t="s">
        <v>1159</v>
      </c>
      <c r="B26" s="34">
        <v>30.347471237182599</v>
      </c>
      <c r="C26" s="35">
        <v>56.689579000000002</v>
      </c>
      <c r="D26" s="35">
        <v>48.515841999999999</v>
      </c>
      <c r="E26" s="35">
        <v>56.246765000000003</v>
      </c>
      <c r="F26" s="35">
        <v>57.939673999999997</v>
      </c>
      <c r="G26" s="35">
        <v>59.226863999999999</v>
      </c>
      <c r="H26" s="35">
        <v>61.727328999999997</v>
      </c>
      <c r="I26" s="35">
        <v>64.839836000000005</v>
      </c>
      <c r="K26" s="37"/>
      <c r="L26" s="37">
        <f>B26*'Conversion Factors'!$C$38/Types!$R$25/$O$2/1000000</f>
        <v>1.3132354928945347</v>
      </c>
      <c r="M26" s="37">
        <f>C26*'Conversion Factors'!$C$41/Types!$R$25/$O$2/1000000</f>
        <v>2.3260236476052123</v>
      </c>
      <c r="N26" s="37">
        <f>D26*'Conversion Factors'!$C$44/Types!$R$25/$O$2/1000000</f>
        <v>1.8958191057224267</v>
      </c>
      <c r="O26" s="37">
        <f>E26*'Conversion Factors'!$C$44/Types!$R$25/$O$2/1000000</f>
        <v>2.1979148939037167</v>
      </c>
      <c r="P26" s="37">
        <f>F26*'Conversion Factors'!$C$44/Types!$R$25/$O$2/1000000</f>
        <v>2.2640674967267169</v>
      </c>
      <c r="Q26" s="37">
        <f>G26*'Conversion Factors'!$C$44/Types!$R$25/$O$2/1000000</f>
        <v>2.314366106296244</v>
      </c>
      <c r="R26" s="37">
        <f>H26*'Conversion Factors'!$C$44/Types!$R$25/$O$2/1000000</f>
        <v>2.4120750014688808</v>
      </c>
      <c r="S26" s="37">
        <f>I26*'Conversion Factors'!$C$44/Types!$R$25/$O$2/1000000</f>
        <v>2.5337002272517251</v>
      </c>
      <c r="U26" s="38">
        <f>L26/M26</f>
        <v>0.56458389588884583</v>
      </c>
      <c r="X26" s="38">
        <f>L26*'AEO Coal Prod'!L26</f>
        <v>77.434201685213509</v>
      </c>
      <c r="Y26" s="38">
        <f>M26*'AEO Coal Prod'!M26</f>
        <v>92.825772899844196</v>
      </c>
      <c r="Z26" s="38">
        <f>N26*'AEO Coal Prod'!N26</f>
        <v>48.195413862493901</v>
      </c>
      <c r="AA26" s="38">
        <f>O26*'AEO Coal Prod'!O26</f>
        <v>34.121843221908762</v>
      </c>
      <c r="AB26" s="38">
        <f>P26*'AEO Coal Prod'!P26</f>
        <v>42.511157236939908</v>
      </c>
      <c r="AC26" s="38">
        <f>Q26*'AEO Coal Prod'!Q26</f>
        <v>32.680171966988169</v>
      </c>
      <c r="AD26" s="38">
        <f>R26*'AEO Coal Prod'!R26</f>
        <v>30.101866366031238</v>
      </c>
      <c r="AE26" s="38">
        <f>S26*'AEO Coal Prod'!S26</f>
        <v>31.192019439989064</v>
      </c>
    </row>
    <row r="27" spans="1:31" x14ac:dyDescent="0.2">
      <c r="A27" s="36"/>
    </row>
    <row r="28" spans="1:31" x14ac:dyDescent="0.2">
      <c r="A28" s="33" t="s">
        <v>1160</v>
      </c>
      <c r="B28" s="39" t="s">
        <v>1157</v>
      </c>
      <c r="C28" s="35">
        <v>18.071055999999999</v>
      </c>
      <c r="D28" s="35">
        <v>21.312981000000001</v>
      </c>
      <c r="E28" s="35">
        <v>23.479724999999998</v>
      </c>
      <c r="F28" s="35">
        <v>25.807580999999999</v>
      </c>
      <c r="G28" s="35">
        <v>27.817467000000001</v>
      </c>
      <c r="H28" s="35">
        <v>28.947941</v>
      </c>
      <c r="I28" s="35">
        <v>29.977573</v>
      </c>
    </row>
    <row r="29" spans="1:31" x14ac:dyDescent="0.2">
      <c r="A29" s="36" t="s">
        <v>1158</v>
      </c>
      <c r="B29" s="39" t="s">
        <v>1157</v>
      </c>
      <c r="C29" s="291">
        <v>19.590209999999999</v>
      </c>
      <c r="D29" s="291">
        <v>21.080399</v>
      </c>
      <c r="E29" s="291">
        <v>23.227948999999999</v>
      </c>
      <c r="F29" s="291">
        <v>26.073205999999999</v>
      </c>
      <c r="G29" s="291">
        <v>28.448868000000001</v>
      </c>
      <c r="H29" s="291">
        <v>29.704284999999999</v>
      </c>
      <c r="I29" s="291">
        <v>30.773726</v>
      </c>
      <c r="K29" s="37"/>
      <c r="L29" s="40">
        <f t="shared" ref="L29:L30" si="4">M29*$U$60</f>
        <v>0.87066314459173744</v>
      </c>
      <c r="M29" s="37">
        <f>C29*'Conversion Factors'!$C$41/Types!$R$26/$O$2/1000000</f>
        <v>1.2690065389274323</v>
      </c>
      <c r="N29" s="37">
        <f>D29*'Conversion Factors'!$C$44/Types!$R$26/$O$2/1000000</f>
        <v>1.3004870259622872</v>
      </c>
      <c r="O29" s="37">
        <f>E29*'Conversion Factors'!$C$44/Types!$R$26/$O$2/1000000</f>
        <v>1.432973176371741</v>
      </c>
      <c r="P29" s="37">
        <f>F29*'Conversion Factors'!$C$44/Types!$R$26/$O$2/1000000</f>
        <v>1.6085021032211988</v>
      </c>
      <c r="Q29" s="37">
        <f>G29*'Conversion Factors'!$C$44/Types!$R$26/$O$2/1000000</f>
        <v>1.7550608855797123</v>
      </c>
      <c r="R29" s="37">
        <f>H29*'Conversion Factors'!$C$44/Types!$R$26/$O$2/1000000</f>
        <v>1.8325097764034814</v>
      </c>
      <c r="S29" s="37">
        <f>I29*'Conversion Factors'!$C$44/Types!$R$26/$O$2/1000000</f>
        <v>1.8984854794977228</v>
      </c>
      <c r="U29" s="38"/>
      <c r="X29" s="38">
        <f>L29*'AEO Coal Prod'!L29</f>
        <v>288.33626797967986</v>
      </c>
      <c r="Y29" s="38">
        <f>M29*'AEO Coal Prod'!M29</f>
        <v>701.68184095097206</v>
      </c>
      <c r="Z29" s="38">
        <f>N29*'AEO Coal Prod'!N29</f>
        <v>551.9613732664144</v>
      </c>
      <c r="AA29" s="38">
        <f>O29*'AEO Coal Prod'!O29</f>
        <v>696.37031470670581</v>
      </c>
      <c r="AB29" s="38">
        <f>P29*'AEO Coal Prod'!P29</f>
        <v>914.03115546969025</v>
      </c>
      <c r="AC29" s="38">
        <f>Q29*'AEO Coal Prod'!Q29</f>
        <v>1090.2552183480777</v>
      </c>
      <c r="AD29" s="38">
        <f>R29*'AEO Coal Prod'!R29</f>
        <v>1137.6835932863462</v>
      </c>
      <c r="AE29" s="38">
        <f>S29*'AEO Coal Prod'!S29</f>
        <v>1192.5656005743158</v>
      </c>
    </row>
    <row r="30" spans="1:31" x14ac:dyDescent="0.2">
      <c r="A30" s="36" t="s">
        <v>1161</v>
      </c>
      <c r="B30" s="39" t="s">
        <v>1157</v>
      </c>
      <c r="C30" s="291">
        <v>16.875050999999999</v>
      </c>
      <c r="D30" s="291">
        <v>21.772912999999999</v>
      </c>
      <c r="E30" s="291">
        <v>23.997195999999999</v>
      </c>
      <c r="F30" s="291">
        <v>25.169128000000001</v>
      </c>
      <c r="G30" s="291">
        <v>26.153002000000001</v>
      </c>
      <c r="H30" s="291">
        <v>26.947389999999999</v>
      </c>
      <c r="I30" s="291">
        <v>27.840399000000001</v>
      </c>
      <c r="K30" s="37"/>
      <c r="L30" s="40">
        <f t="shared" si="4"/>
        <v>0.84194173958570151</v>
      </c>
      <c r="M30" s="37">
        <f>C30*'Conversion Factors'!$C$41/Types!$R$27/$O$2/1000000</f>
        <v>1.2271445961241301</v>
      </c>
      <c r="N30" s="37">
        <f>D30*'Conversion Factors'!$C$44/Types!$R$27/$O$2/1000000</f>
        <v>1.5078898267640788</v>
      </c>
      <c r="O30" s="37">
        <f>E30*'Conversion Factors'!$C$44/Types!$R$27/$O$2/1000000</f>
        <v>1.6619332341641031</v>
      </c>
      <c r="P30" s="37">
        <f>F30*'Conversion Factors'!$C$44/Types!$R$27/$O$2/1000000</f>
        <v>1.7430957474419215</v>
      </c>
      <c r="Q30" s="37">
        <f>G30*'Conversion Factors'!$C$44/Types!$R$27/$O$2/1000000</f>
        <v>1.8112342457410548</v>
      </c>
      <c r="R30" s="37">
        <f>H30*'Conversion Factors'!$C$44/Types!$R$27/$O$2/1000000</f>
        <v>1.8662498324796535</v>
      </c>
      <c r="S30" s="37">
        <f>I30*'Conversion Factors'!$C$44/Types!$R$27/$O$2/1000000</f>
        <v>1.9280954470884459</v>
      </c>
      <c r="U30" s="38"/>
      <c r="X30" s="38">
        <f>L30*'AEO Coal Prod'!L30</f>
        <v>285.22482273940273</v>
      </c>
      <c r="Y30" s="38">
        <f>M30*'AEO Coal Prod'!M30</f>
        <v>168.14930473490455</v>
      </c>
      <c r="Z30" s="38">
        <f>N30*'AEO Coal Prod'!N30</f>
        <v>288.28887987606271</v>
      </c>
      <c r="AA30" s="38">
        <f>O30*'AEO Coal Prod'!O30</f>
        <v>350.03731259712652</v>
      </c>
      <c r="AB30" s="38">
        <f>P30*'AEO Coal Prod'!P30</f>
        <v>367.09231457879952</v>
      </c>
      <c r="AC30" s="38">
        <f>Q30*'AEO Coal Prod'!Q30</f>
        <v>380.20274280890214</v>
      </c>
      <c r="AD30" s="38">
        <f>R30*'AEO Coal Prod'!R30</f>
        <v>390.20135629721767</v>
      </c>
      <c r="AE30" s="38">
        <f>S30*'AEO Coal Prod'!S30</f>
        <v>401.91408916397484</v>
      </c>
    </row>
    <row r="31" spans="1:31" x14ac:dyDescent="0.2">
      <c r="A31" s="36"/>
    </row>
    <row r="32" spans="1:31" x14ac:dyDescent="0.2">
      <c r="A32" s="33" t="s">
        <v>1162</v>
      </c>
      <c r="B32" s="39" t="s">
        <v>1157</v>
      </c>
      <c r="C32" s="35">
        <v>14.628819999999999</v>
      </c>
      <c r="D32" s="35">
        <v>17.979803</v>
      </c>
      <c r="E32" s="35">
        <v>21.409148999999999</v>
      </c>
      <c r="F32" s="35">
        <v>22.995336999999999</v>
      </c>
      <c r="G32" s="35">
        <v>24.480183</v>
      </c>
      <c r="H32" s="35">
        <v>25.694098</v>
      </c>
      <c r="I32" s="35">
        <v>27.030114999999999</v>
      </c>
      <c r="K32" s="37"/>
      <c r="L32" s="40">
        <f>M32*$U$60</f>
        <v>0.6624644963965054</v>
      </c>
      <c r="M32" s="37">
        <f>C32*'Conversion Factors'!$C$41/Types!$R$28/$O$2/1000000</f>
        <v>0.96555342092564767</v>
      </c>
      <c r="N32" s="37">
        <f>D32*'Conversion Factors'!$C$44/Types!$R$28/$O$2/1000000</f>
        <v>1.1301975679373879</v>
      </c>
      <c r="O32" s="37">
        <f>E32*'Conversion Factors'!$C$44/Types!$R$28/$O$2/1000000</f>
        <v>1.3457638068342104</v>
      </c>
      <c r="P32" s="37">
        <f>F32*'Conversion Factors'!$C$44/Types!$R$28/$O$2/1000000</f>
        <v>1.4454704509999707</v>
      </c>
      <c r="Q32" s="37">
        <f>G32*'Conversion Factors'!$C$44/Types!$R$28/$O$2/1000000</f>
        <v>1.5388068094662763</v>
      </c>
      <c r="R32" s="37">
        <f>H32*'Conversion Factors'!$C$44/Types!$R$28/$O$2/1000000</f>
        <v>1.6151126388840245</v>
      </c>
      <c r="S32" s="37">
        <f>I32*'Conversion Factors'!$C$44/Types!$R$28/$O$2/1000000</f>
        <v>1.6990937127658128</v>
      </c>
      <c r="U32" s="38"/>
      <c r="X32" s="38">
        <f>L32*'AEO Coal Prod'!L32</f>
        <v>279.66635600892107</v>
      </c>
      <c r="Y32" s="38">
        <f>M32*'AEO Coal Prod'!M32</f>
        <v>384.68880220781375</v>
      </c>
      <c r="Z32" s="38">
        <f>N32*'AEO Coal Prod'!N32</f>
        <v>464.66476454338721</v>
      </c>
      <c r="AA32" s="38">
        <f>O32*'AEO Coal Prod'!O32</f>
        <v>578.8187466112247</v>
      </c>
      <c r="AB32" s="38">
        <f>P32*'AEO Coal Prod'!P32</f>
        <v>621.60498904165956</v>
      </c>
      <c r="AC32" s="38">
        <f>Q32*'AEO Coal Prod'!Q32</f>
        <v>665.12456362384796</v>
      </c>
      <c r="AD32" s="38">
        <f>R32*'AEO Coal Prod'!R32</f>
        <v>695.87673249955344</v>
      </c>
      <c r="AE32" s="38">
        <f>S32*'AEO Coal Prod'!S32</f>
        <v>734.14123226042284</v>
      </c>
    </row>
    <row r="33" spans="1:31" x14ac:dyDescent="0.2">
      <c r="A33" s="36"/>
    </row>
    <row r="34" spans="1:31" x14ac:dyDescent="0.2">
      <c r="A34" s="33" t="s">
        <v>1163</v>
      </c>
      <c r="B34" s="39" t="s">
        <v>1157</v>
      </c>
      <c r="C34" s="35">
        <v>16.278589</v>
      </c>
      <c r="D34" s="35">
        <v>20.247177000000001</v>
      </c>
      <c r="E34" s="35">
        <v>24.778656000000002</v>
      </c>
      <c r="F34" s="35">
        <v>26.633322</v>
      </c>
      <c r="G34" s="35">
        <v>28.590447999999999</v>
      </c>
      <c r="H34" s="35">
        <v>30.840281999999998</v>
      </c>
      <c r="I34" s="35">
        <v>33.202961000000002</v>
      </c>
    </row>
    <row r="35" spans="1:31" x14ac:dyDescent="0.2">
      <c r="A35" s="36" t="s">
        <v>1153</v>
      </c>
      <c r="B35" s="39"/>
      <c r="C35" s="35"/>
      <c r="D35" s="291">
        <v>26.604315</v>
      </c>
      <c r="E35" s="291">
        <v>31.389258999999999</v>
      </c>
      <c r="F35" s="291">
        <v>31.413757</v>
      </c>
      <c r="G35" s="291">
        <v>31.854862000000001</v>
      </c>
      <c r="H35" s="291">
        <v>34.179667999999999</v>
      </c>
      <c r="I35" s="291">
        <v>36.578921999999999</v>
      </c>
      <c r="K35" s="37"/>
      <c r="L35" s="37">
        <f>B35*'Conversion Factors'!$C$38/Types!$R$29/$O$2/1000000</f>
        <v>0</v>
      </c>
      <c r="M35" s="37">
        <f>C35*'Conversion Factors'!$C$41/Types!$R$29/$O$2/1000000</f>
        <v>0</v>
      </c>
      <c r="N35" s="37">
        <f>D35*'Conversion Factors'!$C$44/Types!$R$29/$O$2/1000000</f>
        <v>1.115166880653079</v>
      </c>
      <c r="O35" s="37">
        <f>E35*'Conversion Factors'!$C$44/Types!$R$29/$O$2/1000000</f>
        <v>1.3157362647766566</v>
      </c>
      <c r="P35" s="37">
        <f>F35*'Conversion Factors'!$C$44/Types!$R$29/$O$2/1000000</f>
        <v>1.3167631417416241</v>
      </c>
      <c r="Q35" s="37">
        <f>G35*'Conversion Factors'!$C$44/Types!$R$29/$O$2/1000000</f>
        <v>1.3352528373752262</v>
      </c>
      <c r="R35" s="37">
        <f>H35*'Conversion Factors'!$C$44/Types!$R$29/$O$2/1000000</f>
        <v>1.4327011894618542</v>
      </c>
      <c r="S35" s="37">
        <f>I35*'Conversion Factors'!$C$44/Types!$R$29/$O$2/1000000</f>
        <v>1.5332701610393757</v>
      </c>
      <c r="U35" s="38"/>
      <c r="X35" s="38">
        <f>L35*'AEO Coal Prod'!L35</f>
        <v>0</v>
      </c>
      <c r="Y35" s="38">
        <f>M35*'AEO Coal Prod'!M35</f>
        <v>0</v>
      </c>
      <c r="Z35" s="38">
        <f>N35*'AEO Coal Prod'!N35</f>
        <v>262.83126433215728</v>
      </c>
      <c r="AA35" s="38">
        <f>O35*'AEO Coal Prod'!O35</f>
        <v>391.97945209741317</v>
      </c>
      <c r="AB35" s="38">
        <f>P35*'AEO Coal Prod'!P35</f>
        <v>345.96942266005618</v>
      </c>
      <c r="AC35" s="38">
        <f>Q35*'AEO Coal Prod'!Q35</f>
        <v>334.18080554154398</v>
      </c>
      <c r="AD35" s="38">
        <f>R35*'AEO Coal Prod'!R35</f>
        <v>414.45160023609458</v>
      </c>
      <c r="AE35" s="38">
        <f>S35*'AEO Coal Prod'!S35</f>
        <v>455.12470636562739</v>
      </c>
    </row>
    <row r="36" spans="1:31" x14ac:dyDescent="0.2">
      <c r="A36" s="36" t="s">
        <v>1164</v>
      </c>
      <c r="B36" s="34">
        <v>9.9238176345825195</v>
      </c>
      <c r="C36" s="291">
        <v>16.942034</v>
      </c>
      <c r="D36" s="291">
        <v>16.165997999999998</v>
      </c>
      <c r="E36" s="291">
        <v>19.930990000000001</v>
      </c>
      <c r="F36" s="291">
        <v>23.007981999999998</v>
      </c>
      <c r="G36" s="291">
        <v>25.562902000000001</v>
      </c>
      <c r="H36" s="291">
        <v>27.880976</v>
      </c>
      <c r="I36" s="291">
        <v>30.421451999999999</v>
      </c>
      <c r="K36" s="37"/>
      <c r="L36" s="37">
        <f>B36*'Conversion Factors'!$C$38/Types!$R$30/$O$2/1000000</f>
        <v>0.50417259790327995</v>
      </c>
      <c r="M36" s="37">
        <f>C36*'Conversion Factors'!$C$41/Types!$R$30/$O$2/1000000</f>
        <v>0.81612522701211809</v>
      </c>
      <c r="N36" s="37">
        <f>D36*'Conversion Factors'!$C$44/Types!$R$30/$O$2/1000000</f>
        <v>0.74164522158635526</v>
      </c>
      <c r="O36" s="37">
        <f>E36*'Conversion Factors'!$C$44/Types!$R$30/$O$2/1000000</f>
        <v>0.91437123120919817</v>
      </c>
      <c r="P36" s="37">
        <f>F36*'Conversion Factors'!$C$44/Types!$R$30/$O$2/1000000</f>
        <v>1.0555339613827044</v>
      </c>
      <c r="Q36" s="37">
        <f>G36*'Conversion Factors'!$C$44/Types!$R$30/$O$2/1000000</f>
        <v>1.1727456676773242</v>
      </c>
      <c r="R36" s="37">
        <f>H36*'Conversion Factors'!$C$44/Types!$R$30/$O$2/1000000</f>
        <v>1.2790916232677907</v>
      </c>
      <c r="S36" s="37">
        <f>I36*'Conversion Factors'!$C$44/Types!$R$30/$O$2/1000000</f>
        <v>1.3956406842014131</v>
      </c>
      <c r="U36" s="38">
        <f t="shared" ref="U36" si="5">L36/M36</f>
        <v>0.61776377106866942</v>
      </c>
      <c r="X36" s="38">
        <f>L36*'AEO Coal Prod'!L36</f>
        <v>198.23926285609164</v>
      </c>
      <c r="Y36" s="38">
        <f>M36*'AEO Coal Prod'!M36</f>
        <v>299.85042602787712</v>
      </c>
      <c r="Z36" s="38">
        <f>N36*'AEO Coal Prod'!N36</f>
        <v>298.95677706009923</v>
      </c>
      <c r="AA36" s="38">
        <f>O36*'AEO Coal Prod'!O36</f>
        <v>404.0665218263419</v>
      </c>
      <c r="AB36" s="38">
        <f>P36*'AEO Coal Prod'!P36</f>
        <v>541.25793779030494</v>
      </c>
      <c r="AC36" s="38">
        <f>Q36*'AEO Coal Prod'!Q36</f>
        <v>622.37565530420932</v>
      </c>
      <c r="AD36" s="38">
        <f>R36*'AEO Coal Prod'!R36</f>
        <v>712.91484036172403</v>
      </c>
      <c r="AE36" s="38">
        <f>S36*'AEO Coal Prod'!S36</f>
        <v>817.87538289514953</v>
      </c>
    </row>
    <row r="37" spans="1:31" x14ac:dyDescent="0.2">
      <c r="A37" s="36" t="s">
        <v>1165</v>
      </c>
      <c r="B37" s="39" t="s">
        <v>1157</v>
      </c>
      <c r="C37" s="291">
        <v>15.264915</v>
      </c>
      <c r="D37" s="291">
        <v>21.024342999999998</v>
      </c>
      <c r="E37" s="291">
        <v>25.781261000000001</v>
      </c>
      <c r="F37" s="291">
        <v>28.698696000000002</v>
      </c>
      <c r="G37" s="291">
        <v>31.209028</v>
      </c>
      <c r="H37" s="291">
        <v>33.315269000000001</v>
      </c>
      <c r="I37" s="291">
        <v>35.640101999999999</v>
      </c>
      <c r="K37" s="37"/>
      <c r="L37" s="40">
        <f>M37*$U$60</f>
        <v>0.5293725532421546</v>
      </c>
      <c r="M37" s="37">
        <f>C37*'Conversion Factors'!$C$41/Types!$R$31/$O$2/1000000</f>
        <v>0.77156961996824569</v>
      </c>
      <c r="N37" s="37">
        <f>D37*'Conversion Factors'!$C$44/Types!$R$31/$O$2/1000000</f>
        <v>1.0120584396354351</v>
      </c>
      <c r="O37" s="37">
        <f>E37*'Conversion Factors'!$C$44/Types!$R$31/$O$2/1000000</f>
        <v>1.2410443826707875</v>
      </c>
      <c r="P37" s="37">
        <f>F37*'Conversion Factors'!$C$44/Types!$R$31/$O$2/1000000</f>
        <v>1.3814822890461647</v>
      </c>
      <c r="Q37" s="37">
        <f>G37*'Conversion Factors'!$C$44/Types!$R$31/$O$2/1000000</f>
        <v>1.502323291634778</v>
      </c>
      <c r="R37" s="37">
        <f>H37*'Conversion Factors'!$C$44/Types!$R$31/$O$2/1000000</f>
        <v>1.6037123804617714</v>
      </c>
      <c r="S37" s="37">
        <f>I37*'Conversion Factors'!$C$44/Types!$R$31/$O$2/1000000</f>
        <v>1.715623932627419</v>
      </c>
      <c r="U37" s="38"/>
      <c r="X37" s="38">
        <f>L37*'AEO Coal Prod'!L37</f>
        <v>187.19698031173155</v>
      </c>
      <c r="Y37" s="38">
        <f>M37*'AEO Coal Prod'!M37</f>
        <v>242.63070918625553</v>
      </c>
      <c r="Z37" s="38">
        <f>N37*'AEO Coal Prod'!N37</f>
        <v>342.73025275351984</v>
      </c>
      <c r="AA37" s="38">
        <f>O37*'AEO Coal Prod'!O37</f>
        <v>404.40667745351971</v>
      </c>
      <c r="AB37" s="38">
        <f>P37*'AEO Coal Prod'!P37</f>
        <v>453.49251202879998</v>
      </c>
      <c r="AC37" s="38">
        <f>Q37*'AEO Coal Prod'!Q37</f>
        <v>470.35710338568958</v>
      </c>
      <c r="AD37" s="38">
        <f>R37*'AEO Coal Prod'!R37</f>
        <v>473.51153142650048</v>
      </c>
      <c r="AE37" s="38">
        <f>S37*'AEO Coal Prod'!S37</f>
        <v>479.30636224288554</v>
      </c>
    </row>
    <row r="38" spans="1:31" x14ac:dyDescent="0.2">
      <c r="A38" s="36"/>
    </row>
    <row r="39" spans="1:31" x14ac:dyDescent="0.2">
      <c r="A39" s="33" t="s">
        <v>1166</v>
      </c>
      <c r="B39" s="39" t="s">
        <v>1157</v>
      </c>
      <c r="C39" s="35">
        <v>13.932995</v>
      </c>
      <c r="D39" s="35">
        <v>15.057492</v>
      </c>
      <c r="E39" s="35">
        <v>18.487614000000001</v>
      </c>
      <c r="F39" s="35">
        <v>21.324152000000002</v>
      </c>
      <c r="G39" s="35">
        <v>24.262512000000001</v>
      </c>
      <c r="H39" s="35">
        <v>26.411327</v>
      </c>
      <c r="I39" s="35">
        <v>28.814512000000001</v>
      </c>
    </row>
    <row r="40" spans="1:31" x14ac:dyDescent="0.2">
      <c r="A40" s="36" t="s">
        <v>1164</v>
      </c>
      <c r="B40" s="34">
        <v>7.7255954742431596</v>
      </c>
      <c r="C40" s="291">
        <v>13.949697</v>
      </c>
      <c r="D40" s="291">
        <v>15.049236000000001</v>
      </c>
      <c r="E40" s="291">
        <v>18.442979999999999</v>
      </c>
      <c r="F40" s="291">
        <v>21.289708999999998</v>
      </c>
      <c r="G40" s="291">
        <v>24.237359999999999</v>
      </c>
      <c r="H40" s="291">
        <v>26.389209999999999</v>
      </c>
      <c r="I40" s="291">
        <v>28.796261000000001</v>
      </c>
      <c r="K40" s="37"/>
      <c r="L40" s="37">
        <f>B40*'Conversion Factors'!$C$38/Types!$R$32/$O$2/1000000</f>
        <v>0.42186055011423257</v>
      </c>
      <c r="M40" s="37">
        <f>C40*'Conversion Factors'!$C$41/Types!$R$32/$O$2/1000000</f>
        <v>0.72225825718742021</v>
      </c>
      <c r="N40" s="37">
        <f>D40*'Conversion Factors'!$C$44/Types!$R$32/$O$2/1000000</f>
        <v>0.74206956967965698</v>
      </c>
      <c r="O40" s="37">
        <f>E40*'Conversion Factors'!$C$44/Types!$R$32/$O$2/1000000</f>
        <v>0.90941322418031867</v>
      </c>
      <c r="P40" s="37">
        <f>F40*'Conversion Factors'!$C$44/Types!$R$32/$O$2/1000000</f>
        <v>1.049783869176822</v>
      </c>
      <c r="Q40" s="37">
        <f>G40*'Conversion Factors'!$C$44/Types!$R$32/$O$2/1000000</f>
        <v>1.1951309226176619</v>
      </c>
      <c r="R40" s="37">
        <f>H40*'Conversion Factors'!$C$44/Types!$R$32/$O$2/1000000</f>
        <v>1.3012374654026357</v>
      </c>
      <c r="S40" s="37">
        <f>I40*'Conversion Factors'!$C$44/Types!$R$32/$O$2/1000000</f>
        <v>1.4199278294694222</v>
      </c>
      <c r="U40" s="38">
        <f t="shared" ref="U40" si="6">L40/M40</f>
        <v>0.58408546515898563</v>
      </c>
      <c r="X40" s="38">
        <f>L40*'AEO Coal Prod'!L40</f>
        <v>2897.2914001201016</v>
      </c>
      <c r="Y40" s="38">
        <f>M40*'AEO Coal Prod'!M40</f>
        <v>5436.7614925423286</v>
      </c>
      <c r="Z40" s="38">
        <f>N40*'AEO Coal Prod'!N40</f>
        <v>5600.5194320354676</v>
      </c>
      <c r="AA40" s="38">
        <f>O40*'AEO Coal Prod'!O40</f>
        <v>6736.1468706880751</v>
      </c>
      <c r="AB40" s="38">
        <f>P40*'AEO Coal Prod'!P40</f>
        <v>8161.6654876025295</v>
      </c>
      <c r="AC40" s="38">
        <f>Q40*'AEO Coal Prod'!Q40</f>
        <v>9306.1154165639691</v>
      </c>
      <c r="AD40" s="38">
        <f>R40*'AEO Coal Prod'!R40</f>
        <v>9956.8781414435271</v>
      </c>
      <c r="AE40" s="38">
        <f>S40*'AEO Coal Prod'!S40</f>
        <v>10576.782142859</v>
      </c>
    </row>
    <row r="41" spans="1:31" x14ac:dyDescent="0.2">
      <c r="A41" s="36" t="s">
        <v>1165</v>
      </c>
      <c r="B41" s="39" t="s">
        <v>1157</v>
      </c>
      <c r="C41" s="291">
        <v>11.735514</v>
      </c>
      <c r="D41" s="291">
        <v>15.754457</v>
      </c>
      <c r="E41" s="291">
        <v>22.947866000000001</v>
      </c>
      <c r="F41" s="291">
        <v>25.533693</v>
      </c>
      <c r="G41" s="291">
        <v>27.855654000000001</v>
      </c>
      <c r="H41" s="291">
        <v>29.798781999999999</v>
      </c>
      <c r="I41" s="291">
        <v>31.946428000000001</v>
      </c>
      <c r="K41" s="37"/>
      <c r="L41" s="40">
        <f>M41*$U$60</f>
        <v>0.43282007448313603</v>
      </c>
      <c r="M41" s="37">
        <f>C41*'Conversion Factors'!$C$41/Types!$R$33/$O$2/1000000</f>
        <v>0.63084271811655401</v>
      </c>
      <c r="N41" s="37">
        <f>D41*'Conversion Factors'!$C$44/Types!$R$33/$O$2/1000000</f>
        <v>0.8065380230076199</v>
      </c>
      <c r="O41" s="37">
        <f>E41*'Conversion Factors'!$C$44/Types!$R$33/$O$2/1000000</f>
        <v>1.1747993901588469</v>
      </c>
      <c r="P41" s="37">
        <f>F41*'Conversion Factors'!$C$44/Types!$R$33/$O$2/1000000</f>
        <v>1.3071789317971103</v>
      </c>
      <c r="Q41" s="37">
        <f>G41*'Conversion Factors'!$C$44/Types!$R$33/$O$2/1000000</f>
        <v>1.42605004455211</v>
      </c>
      <c r="R41" s="37">
        <f>H41*'Conversion Factors'!$C$44/Types!$R$33/$O$2/1000000</f>
        <v>1.5255270760721904</v>
      </c>
      <c r="S41" s="37">
        <f>I41*'Conversion Factors'!$C$44/Types!$R$33/$O$2/1000000</f>
        <v>1.6354742585717346</v>
      </c>
      <c r="U41" s="38"/>
      <c r="X41" s="38">
        <f>L41*'AEO Coal Prod'!L41</f>
        <v>26.51653509268256</v>
      </c>
      <c r="Y41" s="38">
        <f>M41*'AEO Coal Prod'!M41</f>
        <v>26.014197522808281</v>
      </c>
      <c r="Z41" s="38">
        <f>N41*'AEO Coal Prod'!N41</f>
        <v>69.461138160669677</v>
      </c>
      <c r="AA41" s="38">
        <f>O41*'AEO Coal Prod'!O41</f>
        <v>83.873505851073688</v>
      </c>
      <c r="AB41" s="38">
        <f>P41*'AEO Coal Prod'!P41</f>
        <v>80.093843652885056</v>
      </c>
      <c r="AC41" s="38">
        <f>Q41*'AEO Coal Prod'!Q41</f>
        <v>74.870807946140772</v>
      </c>
      <c r="AD41" s="38">
        <f>R41*'AEO Coal Prod'!R41</f>
        <v>73.414836732613267</v>
      </c>
      <c r="AE41" s="38">
        <f>S41*'AEO Coal Prod'!S41</f>
        <v>68.377564694306159</v>
      </c>
    </row>
    <row r="42" spans="1:31" x14ac:dyDescent="0.2">
      <c r="A42" s="36"/>
    </row>
    <row r="43" spans="1:31" x14ac:dyDescent="0.2">
      <c r="A43" s="33" t="s">
        <v>1167</v>
      </c>
      <c r="B43" s="39" t="s">
        <v>1157</v>
      </c>
      <c r="C43" s="35">
        <v>27.758376999999999</v>
      </c>
      <c r="D43" s="35">
        <v>37.935009000000001</v>
      </c>
      <c r="E43" s="35">
        <v>49.246014000000002</v>
      </c>
      <c r="F43" s="35">
        <v>53.219028000000002</v>
      </c>
      <c r="G43" s="35">
        <v>49.001682000000002</v>
      </c>
      <c r="H43" s="35">
        <v>46.372146999999998</v>
      </c>
      <c r="I43" s="35">
        <v>48.943317</v>
      </c>
    </row>
    <row r="44" spans="1:31" x14ac:dyDescent="0.2">
      <c r="A44" s="36" t="s">
        <v>1164</v>
      </c>
      <c r="B44" s="39" t="s">
        <v>1157</v>
      </c>
      <c r="C44" s="291">
        <v>26.115950000000002</v>
      </c>
      <c r="D44" s="291">
        <v>39.355072</v>
      </c>
      <c r="E44" s="291">
        <v>52.353316999999997</v>
      </c>
      <c r="F44" s="291">
        <v>56.766272999999998</v>
      </c>
      <c r="G44" s="291">
        <v>52.717167000000003</v>
      </c>
      <c r="H44" s="291">
        <v>45.991131000000003</v>
      </c>
      <c r="I44" s="291">
        <v>48.592891999999999</v>
      </c>
      <c r="K44" s="37"/>
      <c r="L44" s="40">
        <f>M44*$U$60</f>
        <v>0.82792320990794588</v>
      </c>
      <c r="M44" s="37">
        <f>C44*'Conversion Factors'!$C$41/Types!$R$35/$O$2/1000000</f>
        <v>1.2067123475125709</v>
      </c>
      <c r="N44" s="37">
        <f>D44*'Conversion Factors'!$C$44/Types!$R$35/$O$2/1000000</f>
        <v>1.7318132901872985</v>
      </c>
      <c r="O44" s="37">
        <f>E44*'Conversion Factors'!$C$44/Types!$R$35/$O$2/1000000</f>
        <v>2.3037988639936589</v>
      </c>
      <c r="P44" s="37">
        <f>F44*'Conversion Factors'!$C$44/Types!$R$35/$O$2/1000000</f>
        <v>2.4979902467412693</v>
      </c>
      <c r="Q44" s="37">
        <f>G44*'Conversion Factors'!$C$44/Types!$R$35/$O$2/1000000</f>
        <v>2.3198100217329878</v>
      </c>
      <c r="R44" s="37">
        <f>H44*'Conversion Factors'!$C$44/Types!$R$35/$O$2/1000000</f>
        <v>2.0238319446231752</v>
      </c>
      <c r="S44" s="37">
        <f>I44*'Conversion Factors'!$C$44/Types!$R$35/$O$2/1000000</f>
        <v>2.1383219975874028</v>
      </c>
      <c r="U44" s="38"/>
      <c r="X44" s="38">
        <f>L44*'AEO Coal Prod'!L44</f>
        <v>65.767353527141807</v>
      </c>
      <c r="Y44" s="38">
        <f>M44*'AEO Coal Prod'!M44</f>
        <v>160.83563896725812</v>
      </c>
      <c r="Z44" s="38">
        <f>N44*'AEO Coal Prod'!N44</f>
        <v>367.07258702232343</v>
      </c>
      <c r="AA44" s="38">
        <f>O44*'AEO Coal Prod'!O44</f>
        <v>488.21697137784463</v>
      </c>
      <c r="AB44" s="38">
        <f>P44*'AEO Coal Prod'!P44</f>
        <v>529.5344776645353</v>
      </c>
      <c r="AC44" s="38">
        <f>Q44*'AEO Coal Prod'!Q44</f>
        <v>256.42210975424462</v>
      </c>
      <c r="AD44" s="38">
        <f>R44*'AEO Coal Prod'!R44</f>
        <v>101.87419845234929</v>
      </c>
      <c r="AE44" s="38">
        <f>S44*'AEO Coal Prod'!S44</f>
        <v>112.59687151035079</v>
      </c>
    </row>
    <row r="45" spans="1:31" x14ac:dyDescent="0.2">
      <c r="A45" s="36" t="s">
        <v>1165</v>
      </c>
      <c r="B45" s="34">
        <v>22.580085754394499</v>
      </c>
      <c r="C45" s="291">
        <v>30.052295999999998</v>
      </c>
      <c r="D45" s="291">
        <v>33.796860000000002</v>
      </c>
      <c r="E45" s="291">
        <v>39.620700999999997</v>
      </c>
      <c r="F45" s="291">
        <v>40.946261999999997</v>
      </c>
      <c r="G45" s="291">
        <v>42.559505000000001</v>
      </c>
      <c r="H45" s="291">
        <v>46.672522999999998</v>
      </c>
      <c r="I45" s="291">
        <v>49.282093000000003</v>
      </c>
      <c r="K45" s="37"/>
      <c r="L45" s="37">
        <f>B45*'Conversion Factors'!$C$38/Types!$R$37/$O$2/1000000</f>
        <v>1.0626250886029045</v>
      </c>
      <c r="M45" s="37">
        <f>C45*'Conversion Factors'!$C$41/Types!$R$37/$O$2/1000000</f>
        <v>1.3409819331491351</v>
      </c>
      <c r="N45" s="37">
        <f>D45*'Conversion Factors'!$C$44/Types!$R$37/$O$2/1000000</f>
        <v>1.4362301862972475</v>
      </c>
      <c r="O45" s="37">
        <f>E45*'Conversion Factors'!$C$44/Types!$R$37/$O$2/1000000</f>
        <v>1.6837199307408299</v>
      </c>
      <c r="P45" s="37">
        <f>F45*'Conversion Factors'!$C$44/Types!$R$37/$O$2/1000000</f>
        <v>1.740050924862129</v>
      </c>
      <c r="Q45" s="37">
        <f>G45*'Conversion Factors'!$C$44/Types!$R$37/$O$2/1000000</f>
        <v>1.808607243242971</v>
      </c>
      <c r="R45" s="37">
        <f>H45*'Conversion Factors'!$C$44/Types!$R$37/$O$2/1000000</f>
        <v>1.983393913021877</v>
      </c>
      <c r="S45" s="37">
        <f>I45*'Conversion Factors'!$C$44/Types!$R$37/$O$2/1000000</f>
        <v>2.0942901089186474</v>
      </c>
      <c r="U45" s="38">
        <f t="shared" ref="U45" si="7">L45/M45</f>
        <v>0.79242312094947998</v>
      </c>
      <c r="X45" s="38">
        <f>L45*'AEO Coal Prod'!L45</f>
        <v>223.4499696667695</v>
      </c>
      <c r="Y45" s="38">
        <f>M45*'AEO Coal Prod'!M45</f>
        <v>163.01114599217726</v>
      </c>
      <c r="Z45" s="38">
        <f>N45*'AEO Coal Prod'!N45</f>
        <v>108.17556979135321</v>
      </c>
      <c r="AA45" s="38">
        <f>O45*'AEO Coal Prod'!O45</f>
        <v>119.27776129360502</v>
      </c>
      <c r="AB45" s="38">
        <f>P45*'AEO Coal Prod'!P45</f>
        <v>110.39943860090722</v>
      </c>
      <c r="AC45" s="38">
        <f>Q45*'AEO Coal Prod'!Q45</f>
        <v>119.39414366209446</v>
      </c>
      <c r="AD45" s="38">
        <f>R45*'AEO Coal Prod'!R45</f>
        <v>131.13940066917223</v>
      </c>
      <c r="AE45" s="38">
        <f>S45*'AEO Coal Prod'!S45</f>
        <v>118.12156572832323</v>
      </c>
    </row>
    <row r="46" spans="1:31" x14ac:dyDescent="0.2">
      <c r="A46" s="36"/>
    </row>
    <row r="47" spans="1:31" x14ac:dyDescent="0.2">
      <c r="A47" s="36"/>
    </row>
    <row r="48" spans="1:31" x14ac:dyDescent="0.2">
      <c r="A48" s="33" t="s">
        <v>1168</v>
      </c>
      <c r="B48" s="34">
        <v>21.9429817199707</v>
      </c>
      <c r="C48" s="35">
        <v>35.970458999999998</v>
      </c>
      <c r="D48" s="35">
        <v>37.924408</v>
      </c>
      <c r="E48" s="35">
        <v>43.396563999999998</v>
      </c>
      <c r="F48" s="35">
        <v>46.605311999999998</v>
      </c>
      <c r="G48" s="35">
        <v>48.551785000000002</v>
      </c>
      <c r="H48" s="35">
        <v>52.557510000000001</v>
      </c>
      <c r="I48" s="35">
        <v>55.617268000000003</v>
      </c>
    </row>
    <row r="49" spans="1:31" x14ac:dyDescent="0.2">
      <c r="A49" s="36" t="s">
        <v>1155</v>
      </c>
      <c r="B49" s="34"/>
      <c r="C49" s="291">
        <v>75.717162999999999</v>
      </c>
      <c r="D49" s="291">
        <v>97.423523000000003</v>
      </c>
      <c r="E49" s="291">
        <v>122.82064800000001</v>
      </c>
      <c r="F49" s="291">
        <v>165.91987599999999</v>
      </c>
      <c r="G49" s="291">
        <v>174.70547500000001</v>
      </c>
      <c r="H49" s="291">
        <v>175.904968</v>
      </c>
      <c r="I49" s="291">
        <v>189.82894899999999</v>
      </c>
      <c r="K49" s="37"/>
      <c r="L49" s="37">
        <f>B49*'Conversion Factors'!$C$38/Types!$R$40/$O$2/1000000</f>
        <v>0</v>
      </c>
      <c r="M49" s="37">
        <f>C49*'Conversion Factors'!$C$41/Types!$R$40/$O$2/1000000</f>
        <v>2.5102005078846701</v>
      </c>
      <c r="N49" s="37">
        <f>D49*'Conversion Factors'!$C$44/Types!$R$40/$O$2/1000000</f>
        <v>3.0759575588646233</v>
      </c>
      <c r="O49" s="37">
        <f>E49*'Conversion Factors'!$C$44/Types!$R$40/$O$2/1000000</f>
        <v>3.8778222031680292</v>
      </c>
      <c r="P49" s="37">
        <f>F49*'Conversion Factors'!$C$44/Types!$R$40/$O$2/1000000</f>
        <v>5.2385961935299852</v>
      </c>
      <c r="Q49" s="37">
        <f>G49*'Conversion Factors'!$C$44/Types!$R$40/$O$2/1000000</f>
        <v>5.5159843316411843</v>
      </c>
      <c r="R49" s="37">
        <f>H49*'Conversion Factors'!$C$44/Types!$R$40/$O$2/1000000</f>
        <v>5.5538559815932711</v>
      </c>
      <c r="S49" s="37">
        <f>I49*'Conversion Factors'!$C$44/Types!$R$40/$O$2/1000000</f>
        <v>5.9934785007505527</v>
      </c>
      <c r="U49" s="38"/>
      <c r="X49" s="38">
        <f>L49*'AEO Coal Prod'!L49</f>
        <v>0</v>
      </c>
      <c r="Y49" s="38">
        <f>M49*'AEO Coal Prod'!M49</f>
        <v>1.2328576648513412</v>
      </c>
      <c r="Z49" s="38">
        <f>N49*'AEO Coal Prod'!N49</f>
        <v>16.307700908504049</v>
      </c>
      <c r="AA49" s="38">
        <f>O49*'AEO Coal Prod'!O49</f>
        <v>70.16427419708738</v>
      </c>
      <c r="AB49" s="38">
        <f>P49*'AEO Coal Prod'!P49</f>
        <v>28.958703806393874</v>
      </c>
      <c r="AC49" s="38">
        <f>Q49*'AEO Coal Prod'!Q49</f>
        <v>2.646515212904383</v>
      </c>
      <c r="AD49" s="38">
        <f>R49*'AEO Coal Prod'!R49</f>
        <v>48.901628212128415</v>
      </c>
      <c r="AE49" s="38">
        <f>S49*'AEO Coal Prod'!S49</f>
        <v>47.793769639885994</v>
      </c>
    </row>
    <row r="50" spans="1:31" x14ac:dyDescent="0.2">
      <c r="A50" s="36" t="s">
        <v>1153</v>
      </c>
      <c r="B50" s="34">
        <v>21.9199104309082</v>
      </c>
      <c r="C50" s="291">
        <v>35.836514000000001</v>
      </c>
      <c r="D50" s="291">
        <v>37.856892000000002</v>
      </c>
      <c r="E50" s="291">
        <v>42.015895999999998</v>
      </c>
      <c r="F50" s="291">
        <v>46.183383999999997</v>
      </c>
      <c r="G50" s="291">
        <v>48.822533</v>
      </c>
      <c r="H50" s="291">
        <v>51.557343000000003</v>
      </c>
      <c r="I50" s="291">
        <v>54.687389000000003</v>
      </c>
      <c r="K50" s="37"/>
      <c r="L50" s="37">
        <f>B50*'Conversion Factors'!$C$38/Types!$R$38/$O$2/1000000</f>
        <v>0.88639511239567659</v>
      </c>
      <c r="M50" s="37">
        <f>C50*'Conversion Factors'!$C$41/Types!$R$38/$O$2/1000000</f>
        <v>1.3740581897601505</v>
      </c>
      <c r="N50" s="37">
        <f>D50*'Conversion Factors'!$C$44/Types!$R$38/$O$2/1000000</f>
        <v>1.3823778065720278</v>
      </c>
      <c r="O50" s="37">
        <f>E50*'Conversion Factors'!$C$44/Types!$R$38/$O$2/1000000</f>
        <v>1.5342475064682655</v>
      </c>
      <c r="P50" s="37">
        <f>F50*'Conversion Factors'!$C$44/Types!$R$38/$O$2/1000000</f>
        <v>1.6864270071086043</v>
      </c>
      <c r="Q50" s="37">
        <f>G50*'Conversion Factors'!$C$44/Types!$R$38/$O$2/1000000</f>
        <v>1.7827978609504029</v>
      </c>
      <c r="R50" s="37">
        <f>H50*'Conversion Factors'!$C$44/Types!$R$38/$O$2/1000000</f>
        <v>1.8826618605938825</v>
      </c>
      <c r="S50" s="37">
        <f>I50*'Conversion Factors'!$C$44/Types!$R$38/$O$2/1000000</f>
        <v>1.9969582514320308</v>
      </c>
      <c r="U50" s="38">
        <f t="shared" ref="U50:U51" si="8">L50/M50</f>
        <v>0.64509284905204911</v>
      </c>
      <c r="X50" s="38">
        <f>L50*'AEO Coal Prod'!L50</f>
        <v>1126.2668294892746</v>
      </c>
      <c r="Y50" s="38">
        <f>M50*'AEO Coal Prod'!M50</f>
        <v>1356.1671664008845</v>
      </c>
      <c r="Z50" s="38">
        <f>N50*'AEO Coal Prod'!N50</f>
        <v>964.01460149252887</v>
      </c>
      <c r="AA50" s="38">
        <f>O50*'AEO Coal Prod'!O50</f>
        <v>1012.6129918790302</v>
      </c>
      <c r="AB50" s="38">
        <f>P50*'AEO Coal Prod'!P50</f>
        <v>1116.5049712529419</v>
      </c>
      <c r="AC50" s="38">
        <f>Q50*'AEO Coal Prod'!Q50</f>
        <v>1162.2191309984005</v>
      </c>
      <c r="AD50" s="38">
        <f>R50*'AEO Coal Prod'!R50</f>
        <v>1012.0793597759971</v>
      </c>
      <c r="AE50" s="38">
        <f>S50*'AEO Coal Prod'!S50</f>
        <v>1046.2684891321005</v>
      </c>
    </row>
    <row r="51" spans="1:31" x14ac:dyDescent="0.2">
      <c r="A51" s="36" t="s">
        <v>1164</v>
      </c>
      <c r="B51" s="34">
        <v>22.064323425293001</v>
      </c>
      <c r="C51" s="291">
        <v>32.693531</v>
      </c>
      <c r="D51" s="291">
        <v>36.151985000000003</v>
      </c>
      <c r="E51" s="291">
        <v>40.36515</v>
      </c>
      <c r="F51" s="291">
        <v>44.073627000000002</v>
      </c>
      <c r="G51" s="291">
        <v>46.367561000000002</v>
      </c>
      <c r="H51" s="291">
        <v>48.715916</v>
      </c>
      <c r="I51" s="291">
        <v>51.415179999999999</v>
      </c>
      <c r="K51" s="37"/>
      <c r="L51" s="37">
        <f>B51*'Conversion Factors'!$C$38/Types!$R$39/$O$2/1000000</f>
        <v>1.0180341672299056</v>
      </c>
      <c r="M51" s="37">
        <f>C51*'Conversion Factors'!$C$41/Types!$R$39/$O$2/1000000</f>
        <v>1.4302908417949693</v>
      </c>
      <c r="N51" s="37">
        <f>D51*'Conversion Factors'!$C$44/Types!$R$39/$O$2/1000000</f>
        <v>1.5062501614792918</v>
      </c>
      <c r="O51" s="37">
        <f>E51*'Conversion Factors'!$C$44/Types!$R$39/$O$2/1000000</f>
        <v>1.6817890831066629</v>
      </c>
      <c r="P51" s="37">
        <f>F51*'Conversion Factors'!$C$44/Types!$R$39/$O$2/1000000</f>
        <v>1.8363004904358107</v>
      </c>
      <c r="Q51" s="37">
        <f>G51*'Conversion Factors'!$C$44/Types!$R$39/$O$2/1000000</f>
        <v>1.9318758359644959</v>
      </c>
      <c r="R51" s="37">
        <f>H51*'Conversion Factors'!$C$44/Types!$R$39/$O$2/1000000</f>
        <v>2.0297185988988327</v>
      </c>
      <c r="S51" s="37">
        <f>I51*'Conversion Factors'!$C$44/Types!$R$39/$O$2/1000000</f>
        <v>2.142181768926017</v>
      </c>
      <c r="U51" s="38">
        <f t="shared" si="8"/>
        <v>0.71176724165576366</v>
      </c>
      <c r="X51" s="38">
        <f>L51*'AEO Coal Prod'!L51</f>
        <v>215.56319986790737</v>
      </c>
      <c r="Y51" s="38">
        <f>M51*'AEO Coal Prod'!M51</f>
        <v>161.86422104209424</v>
      </c>
      <c r="Z51" s="38">
        <f>N51*'AEO Coal Prod'!N51</f>
        <v>168.07418584693829</v>
      </c>
      <c r="AA51" s="38">
        <f>O51*'AEO Coal Prod'!O51</f>
        <v>161.09069865102779</v>
      </c>
      <c r="AB51" s="38">
        <f>P51*'AEO Coal Prod'!P51</f>
        <v>184.9518668249199</v>
      </c>
      <c r="AC51" s="38">
        <f>Q51*'AEO Coal Prod'!Q51</f>
        <v>177.39067742138195</v>
      </c>
      <c r="AD51" s="38">
        <f>R51*'AEO Coal Prod'!R51</f>
        <v>185.87170508096278</v>
      </c>
      <c r="AE51" s="38">
        <f>S51*'AEO Coal Prod'!S51</f>
        <v>195.77698090611173</v>
      </c>
    </row>
    <row r="52" spans="1:31" x14ac:dyDescent="0.2">
      <c r="A52" s="36"/>
    </row>
    <row r="53" spans="1:31" x14ac:dyDescent="0.2">
      <c r="A53" s="33" t="s">
        <v>1169</v>
      </c>
      <c r="B53" s="39" t="s">
        <v>1157</v>
      </c>
      <c r="C53" s="35">
        <v>32.814438000000003</v>
      </c>
      <c r="D53" s="35">
        <v>38.373469999999998</v>
      </c>
      <c r="E53" s="35">
        <v>40.283175999999997</v>
      </c>
      <c r="F53" s="35">
        <v>42.489238999999998</v>
      </c>
      <c r="G53" s="35">
        <v>44.276184000000001</v>
      </c>
      <c r="H53" s="35">
        <v>46.116894000000002</v>
      </c>
      <c r="I53" s="35">
        <v>47.749583999999999</v>
      </c>
    </row>
    <row r="54" spans="1:31" x14ac:dyDescent="0.2">
      <c r="A54" s="36" t="s">
        <v>1153</v>
      </c>
      <c r="B54" s="39" t="s">
        <v>1157</v>
      </c>
      <c r="C54" s="291">
        <v>39.294291999999999</v>
      </c>
      <c r="D54" s="291">
        <v>42.175288999999999</v>
      </c>
      <c r="E54" s="291">
        <v>48.393825999999997</v>
      </c>
      <c r="F54" s="291">
        <v>52.977466999999997</v>
      </c>
      <c r="G54" s="291">
        <v>55.918731999999999</v>
      </c>
      <c r="H54" s="291">
        <v>58.748604</v>
      </c>
      <c r="I54" s="291">
        <v>61.051937000000002</v>
      </c>
      <c r="K54" s="37"/>
      <c r="L54" s="40">
        <f t="shared" ref="L54:L56" si="9">M54*$U$60</f>
        <v>1.0912893039695934</v>
      </c>
      <c r="M54" s="37">
        <f>C54*'Conversion Factors'!$C$41/Types!$R$42/$O$2/1000000</f>
        <v>1.5905729686632732</v>
      </c>
      <c r="N54" s="37">
        <f>D54*'Conversion Factors'!$C$44/Types!$R$42/$O$2/1000000</f>
        <v>1.6258655360902203</v>
      </c>
      <c r="O54" s="37">
        <f>E54*'Conversion Factors'!$C$44/Types!$R$42/$O$2/1000000</f>
        <v>1.8655913384007123</v>
      </c>
      <c r="P54" s="37">
        <f>F54*'Conversion Factors'!$C$44/Types!$R$42/$O$2/1000000</f>
        <v>2.0422915841704592</v>
      </c>
      <c r="Q54" s="37">
        <f>G54*'Conversion Factors'!$C$44/Types!$R$42/$O$2/1000000</f>
        <v>2.15567791795488</v>
      </c>
      <c r="R54" s="37">
        <f>H54*'Conversion Factors'!$C$44/Types!$R$42/$O$2/1000000</f>
        <v>2.2647700300764284</v>
      </c>
      <c r="S54" s="37">
        <f>I54*'Conversion Factors'!$C$44/Types!$R$42/$O$2/1000000</f>
        <v>2.3535639620596642</v>
      </c>
      <c r="U54" s="38"/>
      <c r="X54" s="38">
        <f>L54*'AEO Coal Prod'!L54</f>
        <v>432.27339192807028</v>
      </c>
      <c r="Y54" s="38">
        <f>M54*'AEO Coal Prod'!M54</f>
        <v>289.18492667219073</v>
      </c>
      <c r="Z54" s="38">
        <f>N54*'AEO Coal Prod'!N54</f>
        <v>208.62158834570246</v>
      </c>
      <c r="AA54" s="38">
        <f>O54*'AEO Coal Prod'!O54</f>
        <v>302.77909794639334</v>
      </c>
      <c r="AB54" s="38">
        <f>P54*'AEO Coal Prod'!P54</f>
        <v>356.91587319451628</v>
      </c>
      <c r="AC54" s="38">
        <f>Q54*'AEO Coal Prod'!Q54</f>
        <v>364.52585194920368</v>
      </c>
      <c r="AD54" s="38">
        <f>R54*'AEO Coal Prod'!R54</f>
        <v>390.80755636884936</v>
      </c>
      <c r="AE54" s="38">
        <f>S54*'AEO Coal Prod'!S54</f>
        <v>403.69111126135419</v>
      </c>
    </row>
    <row r="55" spans="1:31" x14ac:dyDescent="0.2">
      <c r="A55" s="36" t="s">
        <v>1150</v>
      </c>
      <c r="B55" s="39" t="s">
        <v>1157</v>
      </c>
      <c r="C55" s="291">
        <v>42.986237000000003</v>
      </c>
      <c r="D55" s="291">
        <v>55.839455000000001</v>
      </c>
      <c r="E55" s="291">
        <v>58.041545999999997</v>
      </c>
      <c r="F55" s="291">
        <v>47.801662</v>
      </c>
      <c r="G55" s="291">
        <v>46.027245000000001</v>
      </c>
      <c r="H55" s="291">
        <v>50.411835000000004</v>
      </c>
      <c r="I55" s="291">
        <v>53.742344000000003</v>
      </c>
      <c r="K55" s="37"/>
      <c r="L55" s="40">
        <f t="shared" si="9"/>
        <v>1.3484500545363221</v>
      </c>
      <c r="M55" s="37">
        <f>C55*'Conversion Factors'!$C$41/Types!$R$41/$O$2/1000000</f>
        <v>1.9653891947224207</v>
      </c>
      <c r="N55" s="37">
        <f>D55*'Conversion Factors'!$C$44/Types!$R$41/$O$2/1000000</f>
        <v>2.4314353968695444</v>
      </c>
      <c r="O55" s="37">
        <f>E55*'Conversion Factors'!$C$44/Types!$R$41/$O$2/1000000</f>
        <v>2.5273217554403402</v>
      </c>
      <c r="P55" s="37">
        <f>F55*'Conversion Factors'!$C$44/Types!$R$41/$O$2/1000000</f>
        <v>2.0814431841427146</v>
      </c>
      <c r="Q55" s="37">
        <f>G55*'Conversion Factors'!$C$44/Types!$R$41/$O$2/1000000</f>
        <v>2.0041791724755686</v>
      </c>
      <c r="R55" s="37">
        <f>H55*'Conversion Factors'!$C$44/Types!$R$41/$O$2/1000000</f>
        <v>2.195098788842889</v>
      </c>
      <c r="S55" s="37">
        <f>I55*'Conversion Factors'!$C$44/Types!$R$41/$O$2/1000000</f>
        <v>2.3401202162940087</v>
      </c>
      <c r="U55" s="38"/>
      <c r="X55" s="38">
        <f>L55*'AEO Coal Prod'!L55</f>
        <v>214.60386779462155</v>
      </c>
      <c r="Y55" s="38">
        <f>M55*'AEO Coal Prod'!M55</f>
        <v>157.5016381369426</v>
      </c>
      <c r="Z55" s="38">
        <f>N55*'AEO Coal Prod'!N55</f>
        <v>302.81570534844832</v>
      </c>
      <c r="AA55" s="38">
        <f>O55*'AEO Coal Prod'!O55</f>
        <v>83.309339458248928</v>
      </c>
      <c r="AB55" s="38">
        <f>P55*'AEO Coal Prod'!P55</f>
        <v>33.724058630526066</v>
      </c>
      <c r="AC55" s="38">
        <f>Q55*'AEO Coal Prod'!Q55</f>
        <v>128.08494123234922</v>
      </c>
      <c r="AD55" s="38">
        <f>R55*'AEO Coal Prod'!R55</f>
        <v>139.15856223134611</v>
      </c>
      <c r="AE55" s="38">
        <f>S55*'AEO Coal Prod'!S55</f>
        <v>132.96736396431928</v>
      </c>
    </row>
    <row r="56" spans="1:31" x14ac:dyDescent="0.2">
      <c r="A56" s="36" t="s">
        <v>1165</v>
      </c>
      <c r="B56" s="39" t="s">
        <v>1157</v>
      </c>
      <c r="C56" s="291">
        <v>26.946580999999998</v>
      </c>
      <c r="D56" s="291">
        <v>32.326594999999998</v>
      </c>
      <c r="E56" s="291">
        <v>36.391742999999998</v>
      </c>
      <c r="F56" s="291">
        <v>38.940635999999998</v>
      </c>
      <c r="G56" s="291">
        <v>40.370139999999999</v>
      </c>
      <c r="H56" s="291">
        <v>41.442368000000002</v>
      </c>
      <c r="I56" s="291">
        <v>42.900303000000001</v>
      </c>
      <c r="K56" s="37"/>
      <c r="L56" s="40">
        <f t="shared" si="9"/>
        <v>0.896540909729858</v>
      </c>
      <c r="M56" s="37">
        <f>C56*'Conversion Factors'!$C$41/Types!$R$43/$O$2/1000000</f>
        <v>1.3067238276137496</v>
      </c>
      <c r="N56" s="37">
        <f>D56*'Conversion Factors'!$C$44/Types!$R$43/$O$2/1000000</f>
        <v>1.4929406110562444</v>
      </c>
      <c r="O56" s="37">
        <f>E56*'Conversion Factors'!$C$44/Types!$R$43/$O$2/1000000</f>
        <v>1.6806815265208663</v>
      </c>
      <c r="P56" s="37">
        <f>F56*'Conversion Factors'!$C$44/Types!$R$43/$O$2/1000000</f>
        <v>1.7983971681755777</v>
      </c>
      <c r="Q56" s="37">
        <f>G56*'Conversion Factors'!$C$44/Types!$R$43/$O$2/1000000</f>
        <v>1.8644160165964321</v>
      </c>
      <c r="R56" s="37">
        <f>H56*'Conversion Factors'!$C$44/Types!$R$43/$O$2/1000000</f>
        <v>1.913934771216633</v>
      </c>
      <c r="S56" s="37">
        <f>I56*'Conversion Factors'!$C$44/Types!$R$43/$O$2/1000000</f>
        <v>1.9812666498070102</v>
      </c>
      <c r="U56" s="38"/>
      <c r="X56" s="38">
        <f>L56*'AEO Coal Prod'!L56</f>
        <v>259.36128796820981</v>
      </c>
      <c r="Y56" s="38">
        <f>M56*'AEO Coal Prod'!M56</f>
        <v>447.4336282080983</v>
      </c>
      <c r="Z56" s="38">
        <f>N56*'AEO Coal Prod'!N56</f>
        <v>606.89591741902677</v>
      </c>
      <c r="AA56" s="38">
        <f>O56*'AEO Coal Prod'!O56</f>
        <v>712.92306053758841</v>
      </c>
      <c r="AB56" s="38">
        <f>P56*'AEO Coal Prod'!P56</f>
        <v>816.52070639645535</v>
      </c>
      <c r="AC56" s="38">
        <f>Q56*'AEO Coal Prod'!Q56</f>
        <v>834.77132228899734</v>
      </c>
      <c r="AD56" s="38">
        <f>R56*'AEO Coal Prod'!R56</f>
        <v>850.0705681878195</v>
      </c>
      <c r="AE56" s="38">
        <f>S56*'AEO Coal Prod'!S56</f>
        <v>909.31611773143879</v>
      </c>
    </row>
    <row r="57" spans="1:31" x14ac:dyDescent="0.2">
      <c r="A57" s="36"/>
    </row>
    <row r="58" spans="1:31" x14ac:dyDescent="0.2">
      <c r="A58" s="33" t="s">
        <v>1170</v>
      </c>
    </row>
    <row r="59" spans="1:31" x14ac:dyDescent="0.2">
      <c r="A59" s="36" t="s">
        <v>1164</v>
      </c>
      <c r="B59" s="39" t="s">
        <v>1157</v>
      </c>
      <c r="C59" s="291">
        <v>64.718627999999995</v>
      </c>
      <c r="D59" s="291">
        <v>37.046107999999997</v>
      </c>
      <c r="E59" s="291">
        <v>40.310471</v>
      </c>
      <c r="F59" s="291">
        <v>42.997967000000003</v>
      </c>
      <c r="G59" s="291">
        <v>45.532192000000002</v>
      </c>
      <c r="H59" s="291">
        <v>48.721401</v>
      </c>
      <c r="I59" s="291">
        <v>52.863388</v>
      </c>
      <c r="L59" s="40">
        <f>M59*$U$60</f>
        <v>2.4167009877193455</v>
      </c>
      <c r="M59" s="37">
        <f>C59*'Conversion Factors'!$C$41/Types!$R$44/$O$2/1000000</f>
        <v>3.5223833409030898</v>
      </c>
      <c r="N59" s="37">
        <f>D59*'Conversion Factors'!$C$44/Types!$R$44/$O$2/1000000</f>
        <v>1.9202259469983685</v>
      </c>
      <c r="O59" s="37">
        <f>E59*'Conversion Factors'!$C$44/Types!$R$44/$O$2/1000000</f>
        <v>2.0894289988552988</v>
      </c>
      <c r="P59" s="37">
        <f>F59*'Conversion Factors'!$C$44/Types!$R$44/$O$2/1000000</f>
        <v>2.2287310694440459</v>
      </c>
      <c r="Q59" s="37">
        <f>G59*'Conversion Factors'!$C$44/Types!$R$44/$O$2/1000000</f>
        <v>2.3600885821018376</v>
      </c>
      <c r="R59" s="37">
        <f>H59*'Conversion Factors'!$C$44/Types!$R$44/$O$2/1000000</f>
        <v>2.5253961461838923</v>
      </c>
      <c r="S59" s="37">
        <f>I59*'Conversion Factors'!$C$44/Types!$R$44/$O$2/1000000</f>
        <v>2.7400894389187171</v>
      </c>
      <c r="U59" s="38"/>
      <c r="X59" s="38">
        <f>L59*'AEO Coal Prod'!L59</f>
        <v>274.49232289266433</v>
      </c>
      <c r="Y59" s="38">
        <f>M59*'AEO Coal Prod'!M59</f>
        <v>127.93543428509017</v>
      </c>
      <c r="Z59" s="38">
        <f>N59*'AEO Coal Prod'!N59</f>
        <v>57.004103552022116</v>
      </c>
      <c r="AA59" s="38">
        <f>O59*'AEO Coal Prod'!O59</f>
        <v>73.902075521714238</v>
      </c>
      <c r="AB59" s="38">
        <f>P59*'AEO Coal Prod'!P59</f>
        <v>94.568968216466004</v>
      </c>
      <c r="AC59" s="38">
        <f>Q59*'AEO Coal Prod'!Q59</f>
        <v>121.28598532375234</v>
      </c>
      <c r="AD59" s="38">
        <f>R59*'AEO Coal Prod'!R59</f>
        <v>158.67421705276573</v>
      </c>
      <c r="AE59" s="38">
        <f>S59*'AEO Coal Prod'!S59</f>
        <v>212.29228025804298</v>
      </c>
    </row>
    <row r="60" spans="1:31" x14ac:dyDescent="0.2">
      <c r="A60" s="36"/>
      <c r="U60" s="41">
        <f>AVERAGE(U7:U51)</f>
        <v>0.68609823344773635</v>
      </c>
    </row>
    <row r="61" spans="1:31" x14ac:dyDescent="0.2">
      <c r="A61" s="33" t="s">
        <v>1171</v>
      </c>
      <c r="X61" s="42">
        <f>SUM(X7:X60)/SUM('AEO Coal Prod'!L7:L59)</f>
        <v>1.0763607523172929</v>
      </c>
      <c r="Y61" s="42">
        <f>SUM(Y7:Y60)/SUM('AEO Coal Prod'!M7:M59)</f>
        <v>1.5936061409839528</v>
      </c>
      <c r="Z61" s="42">
        <f>SUM(Z7:Z60)/SUM('AEO Coal Prod'!N7:N59)</f>
        <v>1.6949528384868067</v>
      </c>
      <c r="AA61" s="42">
        <f>SUM(AA7:AA60)/SUM('AEO Coal Prod'!O7:O59)</f>
        <v>1.9416965506443544</v>
      </c>
      <c r="AB61" s="42">
        <f>SUM(AB7:AB60)/SUM('AEO Coal Prod'!P7:P59)</f>
        <v>2.0817816953370212</v>
      </c>
      <c r="AC61" s="42">
        <f>SUM(AC7:AC60)/SUM('AEO Coal Prod'!Q7:Q59)</f>
        <v>2.2276359832079136</v>
      </c>
      <c r="AD61" s="42">
        <f>SUM(AD7:AD60)/SUM('AEO Coal Prod'!R7:R59)</f>
        <v>2.357825420693143</v>
      </c>
      <c r="AE61" s="42">
        <f>SUM(AE7:AE60)/SUM('AEO Coal Prod'!S7:S59)</f>
        <v>2.4720051006055401</v>
      </c>
    </row>
    <row r="62" spans="1:31" x14ac:dyDescent="0.2">
      <c r="A62" s="36"/>
    </row>
    <row r="63" spans="1:31" x14ac:dyDescent="0.2">
      <c r="A63" s="36" t="s">
        <v>1172</v>
      </c>
      <c r="B63" s="34">
        <v>67.481903076171903</v>
      </c>
      <c r="C63" s="291">
        <v>103.284454</v>
      </c>
      <c r="D63" s="291">
        <v>129.90685999999999</v>
      </c>
      <c r="E63" s="291">
        <v>147.45979299999999</v>
      </c>
      <c r="F63" s="291">
        <v>162.25704999999999</v>
      </c>
      <c r="G63" s="291">
        <v>176.50396699999999</v>
      </c>
      <c r="H63" s="291">
        <v>187.398697</v>
      </c>
      <c r="I63" s="291">
        <v>195.47901899999999</v>
      </c>
    </row>
    <row r="64" spans="1:31" x14ac:dyDescent="0.2">
      <c r="A64" s="36" t="s">
        <v>1173</v>
      </c>
      <c r="B64" s="34">
        <v>35.044464111328097</v>
      </c>
      <c r="C64" s="291">
        <v>53.397770000000001</v>
      </c>
      <c r="D64" s="291">
        <v>56.154693999999999</v>
      </c>
      <c r="E64" s="291">
        <v>61.096153000000001</v>
      </c>
      <c r="F64" s="291">
        <v>63.454346000000001</v>
      </c>
      <c r="G64" s="291">
        <v>66.098372999999995</v>
      </c>
      <c r="H64" s="291">
        <v>68.569382000000004</v>
      </c>
      <c r="I64" s="291">
        <v>71.070221000000004</v>
      </c>
    </row>
    <row r="65" spans="1:19" x14ac:dyDescent="0.2">
      <c r="A65" s="36" t="s">
        <v>1174</v>
      </c>
      <c r="B65" s="34">
        <v>9.2983808517456108</v>
      </c>
      <c r="C65" s="291">
        <v>15.339892000000001</v>
      </c>
      <c r="D65" s="291">
        <v>16.974637999999999</v>
      </c>
      <c r="E65" s="291">
        <v>20.749597999999999</v>
      </c>
      <c r="F65" s="291">
        <v>23.585878000000001</v>
      </c>
      <c r="G65" s="291">
        <v>25.999084</v>
      </c>
      <c r="H65" s="291">
        <v>27.964044999999999</v>
      </c>
      <c r="I65" s="291">
        <v>30.417836999999999</v>
      </c>
    </row>
    <row r="66" spans="1:19" x14ac:dyDescent="0.2">
      <c r="A66" s="36" t="s">
        <v>1175</v>
      </c>
      <c r="B66" s="34">
        <v>13.647386550903301</v>
      </c>
      <c r="C66" s="291">
        <v>16.771704</v>
      </c>
      <c r="D66" s="291">
        <v>20.216072</v>
      </c>
      <c r="E66" s="291">
        <v>22.966239999999999</v>
      </c>
      <c r="F66" s="291">
        <v>24.935400000000001</v>
      </c>
      <c r="G66" s="291">
        <v>26.829681000000001</v>
      </c>
      <c r="H66" s="291">
        <v>27.949966</v>
      </c>
      <c r="I66" s="291">
        <v>29.064968</v>
      </c>
    </row>
    <row r="67" spans="1:19" x14ac:dyDescent="0.2">
      <c r="A67" s="36"/>
    </row>
    <row r="68" spans="1:19" x14ac:dyDescent="0.2">
      <c r="A68" s="36" t="s">
        <v>1176</v>
      </c>
      <c r="B68" s="34">
        <v>14.306738853454601</v>
      </c>
      <c r="C68" s="291">
        <v>20.745073000000001</v>
      </c>
      <c r="D68" s="291">
        <v>21.349748999999999</v>
      </c>
      <c r="E68" s="291">
        <v>25.700178000000001</v>
      </c>
      <c r="F68" s="291">
        <v>28.220645999999999</v>
      </c>
      <c r="G68" s="291">
        <v>30.917418999999999</v>
      </c>
      <c r="H68" s="291">
        <v>33.024399000000003</v>
      </c>
      <c r="I68" s="291">
        <v>36.126522000000001</v>
      </c>
    </row>
    <row r="69" spans="1:19" x14ac:dyDescent="0.2">
      <c r="A69" s="36" t="s">
        <v>1177</v>
      </c>
      <c r="B69" s="34">
        <v>35.7249145507813</v>
      </c>
      <c r="C69" s="291">
        <v>57.876949000000003</v>
      </c>
      <c r="D69" s="291">
        <v>65.003380000000007</v>
      </c>
      <c r="E69" s="291">
        <v>73.407889999999995</v>
      </c>
      <c r="F69" s="291">
        <v>79.425269999999998</v>
      </c>
      <c r="G69" s="291">
        <v>83.951164000000006</v>
      </c>
      <c r="H69" s="291">
        <v>89.108299000000002</v>
      </c>
      <c r="I69" s="291">
        <v>91.761527999999998</v>
      </c>
    </row>
    <row r="70" spans="1:19" x14ac:dyDescent="0.2">
      <c r="A70" s="36" t="s">
        <v>1178</v>
      </c>
      <c r="B70" s="34">
        <v>26.277803421020501</v>
      </c>
      <c r="C70" s="291">
        <v>44.792453999999999</v>
      </c>
      <c r="D70" s="291">
        <v>53.500903999999998</v>
      </c>
      <c r="E70" s="291">
        <v>59.218369000000003</v>
      </c>
      <c r="F70" s="291">
        <v>61.292327999999998</v>
      </c>
      <c r="G70" s="291">
        <v>64.024238999999994</v>
      </c>
      <c r="H70" s="291">
        <v>66.260627999999997</v>
      </c>
      <c r="I70" s="291">
        <v>68.602897999999996</v>
      </c>
    </row>
    <row r="71" spans="1:19" x14ac:dyDescent="0.2">
      <c r="A71" s="36"/>
    </row>
    <row r="72" spans="1:19" x14ac:dyDescent="0.2">
      <c r="A72" s="33" t="s">
        <v>1179</v>
      </c>
      <c r="C72" s="35">
        <v>62.230640000000001</v>
      </c>
      <c r="D72" s="35">
        <v>72.899483000000004</v>
      </c>
      <c r="E72" s="35">
        <v>81.523674</v>
      </c>
      <c r="F72" s="35">
        <v>87.071372999999994</v>
      </c>
      <c r="G72" s="35">
        <v>91.481812000000005</v>
      </c>
      <c r="H72" s="35">
        <v>95.618774000000002</v>
      </c>
      <c r="I72" s="35">
        <v>98.107360999999997</v>
      </c>
    </row>
    <row r="73" spans="1:19" x14ac:dyDescent="0.2">
      <c r="A73" s="36" t="s">
        <v>1180</v>
      </c>
      <c r="C73" s="291">
        <v>24.054285</v>
      </c>
      <c r="D73" s="291">
        <v>26.174226999999998</v>
      </c>
      <c r="E73" s="291">
        <v>29.704267999999999</v>
      </c>
      <c r="F73" s="291">
        <v>31.542477000000002</v>
      </c>
      <c r="G73" s="291">
        <v>34.024597</v>
      </c>
      <c r="H73" s="291">
        <v>36.137939000000003</v>
      </c>
      <c r="I73" s="291">
        <v>38.556046000000002</v>
      </c>
    </row>
    <row r="74" spans="1:19" x14ac:dyDescent="0.2">
      <c r="A74" s="36"/>
    </row>
    <row r="75" spans="1:19" x14ac:dyDescent="0.2">
      <c r="A75" s="33" t="s">
        <v>1181</v>
      </c>
      <c r="B75" s="34">
        <v>24.073635101318398</v>
      </c>
      <c r="C75" s="35">
        <v>36.637374999999999</v>
      </c>
      <c r="D75" s="35">
        <v>40.543593999999999</v>
      </c>
      <c r="E75" s="35">
        <v>46.522297000000002</v>
      </c>
      <c r="F75" s="35">
        <v>49.668925999999999</v>
      </c>
      <c r="G75" s="35">
        <v>53.149624000000003</v>
      </c>
      <c r="H75" s="35">
        <v>56.368309000000004</v>
      </c>
      <c r="I75" s="35">
        <v>59.155963999999997</v>
      </c>
      <c r="L75" s="37"/>
      <c r="M75" s="37"/>
      <c r="N75" s="37"/>
      <c r="O75" s="37"/>
      <c r="P75" s="37"/>
      <c r="Q75" s="37"/>
      <c r="R75" s="37"/>
      <c r="S75" s="37"/>
    </row>
    <row r="76" spans="1:19" x14ac:dyDescent="0.2">
      <c r="A76" s="36"/>
    </row>
    <row r="77" spans="1:19" x14ac:dyDescent="0.2">
      <c r="A77" s="33" t="s">
        <v>1182</v>
      </c>
      <c r="B77" s="34">
        <v>11.8625392913818</v>
      </c>
      <c r="C77" s="35">
        <v>14.813438</v>
      </c>
      <c r="D77" s="35">
        <v>18.938403999999998</v>
      </c>
      <c r="E77" s="35">
        <v>21.027377999999999</v>
      </c>
      <c r="F77" s="35">
        <v>21.783594000000001</v>
      </c>
      <c r="G77" s="35">
        <v>22.631582000000002</v>
      </c>
      <c r="H77" s="35">
        <v>24.162844</v>
      </c>
      <c r="I77" s="35">
        <v>25.577887</v>
      </c>
    </row>
    <row r="78" spans="1:19" x14ac:dyDescent="0.2">
      <c r="A78" s="36"/>
      <c r="B78" s="291"/>
    </row>
    <row r="79" spans="1:19" s="43" customFormat="1" x14ac:dyDescent="0.2">
      <c r="A79" s="315" t="s">
        <v>1183</v>
      </c>
      <c r="B79" s="315"/>
      <c r="C79" s="315"/>
      <c r="D79" s="315"/>
      <c r="E79" s="315"/>
      <c r="F79" s="315"/>
      <c r="G79" s="315"/>
      <c r="H79" s="315"/>
      <c r="I79" s="315"/>
      <c r="K79" s="28"/>
      <c r="L79" s="28"/>
      <c r="M79" s="28"/>
      <c r="N79" s="28"/>
      <c r="O79" s="28"/>
      <c r="P79" s="28"/>
      <c r="Q79" s="28"/>
      <c r="R79" s="28"/>
      <c r="S79" s="28"/>
    </row>
    <row r="80" spans="1:19" x14ac:dyDescent="0.2">
      <c r="A80" s="312" t="s">
        <v>1184</v>
      </c>
      <c r="B80" s="312"/>
      <c r="C80" s="312"/>
      <c r="D80" s="312"/>
      <c r="E80" s="312"/>
      <c r="F80" s="312"/>
      <c r="G80" s="312"/>
      <c r="H80" s="312"/>
      <c r="I80" s="312"/>
    </row>
    <row r="81" spans="1:9" x14ac:dyDescent="0.2">
      <c r="A81" s="312" t="s">
        <v>1185</v>
      </c>
      <c r="B81" s="312"/>
      <c r="C81" s="312"/>
      <c r="D81" s="312"/>
      <c r="E81" s="312"/>
      <c r="F81" s="312"/>
      <c r="G81" s="312"/>
      <c r="H81" s="312"/>
      <c r="I81" s="312"/>
    </row>
    <row r="82" spans="1:9" x14ac:dyDescent="0.2">
      <c r="A82" s="312" t="s">
        <v>1186</v>
      </c>
      <c r="B82" s="312"/>
      <c r="C82" s="312"/>
      <c r="D82" s="312"/>
      <c r="E82" s="312"/>
      <c r="F82" s="312"/>
      <c r="G82" s="312"/>
      <c r="H82" s="312"/>
      <c r="I82" s="312"/>
    </row>
    <row r="83" spans="1:9" x14ac:dyDescent="0.2">
      <c r="A83" s="312" t="s">
        <v>1187</v>
      </c>
      <c r="B83" s="312"/>
      <c r="C83" s="312"/>
      <c r="D83" s="312"/>
      <c r="E83" s="312"/>
      <c r="F83" s="312"/>
      <c r="G83" s="312"/>
      <c r="H83" s="312"/>
      <c r="I83" s="312"/>
    </row>
    <row r="84" spans="1:9" x14ac:dyDescent="0.2">
      <c r="A84" s="312" t="s">
        <v>1188</v>
      </c>
      <c r="B84" s="312"/>
      <c r="C84" s="312"/>
      <c r="D84" s="312"/>
      <c r="E84" s="312"/>
      <c r="F84" s="312"/>
      <c r="G84" s="312"/>
      <c r="H84" s="312"/>
      <c r="I84" s="312"/>
    </row>
    <row r="85" spans="1:9" x14ac:dyDescent="0.2">
      <c r="A85" s="312" t="s">
        <v>1189</v>
      </c>
      <c r="B85" s="312"/>
      <c r="C85" s="312"/>
      <c r="D85" s="312"/>
      <c r="E85" s="312"/>
      <c r="F85" s="312"/>
      <c r="G85" s="312"/>
      <c r="H85" s="312"/>
      <c r="I85" s="312"/>
    </row>
    <row r="86" spans="1:9" x14ac:dyDescent="0.2">
      <c r="A86" s="312" t="s">
        <v>1190</v>
      </c>
      <c r="B86" s="312"/>
      <c r="C86" s="312"/>
      <c r="D86" s="312"/>
      <c r="E86" s="312"/>
      <c r="F86" s="312"/>
      <c r="G86" s="312"/>
      <c r="H86" s="312"/>
      <c r="I86" s="312"/>
    </row>
    <row r="87" spans="1:9" x14ac:dyDescent="0.2">
      <c r="A87" s="312" t="s">
        <v>1191</v>
      </c>
      <c r="B87" s="312"/>
      <c r="C87" s="312"/>
      <c r="D87" s="312"/>
      <c r="E87" s="312"/>
      <c r="F87" s="312"/>
      <c r="G87" s="312"/>
      <c r="H87" s="312"/>
      <c r="I87" s="312"/>
    </row>
    <row r="88" spans="1:9" x14ac:dyDescent="0.2">
      <c r="A88" s="312" t="s">
        <v>1192</v>
      </c>
      <c r="B88" s="312"/>
      <c r="C88" s="312"/>
      <c r="D88" s="312"/>
      <c r="E88" s="312"/>
      <c r="F88" s="312"/>
      <c r="G88" s="312"/>
      <c r="H88" s="312"/>
      <c r="I88" s="312"/>
    </row>
    <row r="89" spans="1:9" x14ac:dyDescent="0.2">
      <c r="A89" s="312" t="s">
        <v>1193</v>
      </c>
      <c r="B89" s="312"/>
      <c r="C89" s="312"/>
      <c r="D89" s="312"/>
      <c r="E89" s="312"/>
      <c r="F89" s="312"/>
      <c r="G89" s="312"/>
      <c r="H89" s="312"/>
      <c r="I89" s="312"/>
    </row>
    <row r="90" spans="1:9" x14ac:dyDescent="0.2">
      <c r="A90" s="312" t="s">
        <v>1194</v>
      </c>
      <c r="B90" s="312"/>
      <c r="C90" s="312"/>
      <c r="D90" s="312"/>
      <c r="E90" s="312"/>
      <c r="F90" s="312"/>
      <c r="G90" s="312"/>
      <c r="H90" s="312"/>
      <c r="I90" s="312"/>
    </row>
    <row r="91" spans="1:9" x14ac:dyDescent="0.2">
      <c r="A91" s="312" t="s">
        <v>1195</v>
      </c>
      <c r="B91" s="312"/>
      <c r="C91" s="312"/>
      <c r="D91" s="312"/>
      <c r="E91" s="312"/>
      <c r="F91" s="312"/>
      <c r="G91" s="312"/>
      <c r="H91" s="312"/>
      <c r="I91" s="312"/>
    </row>
    <row r="92" spans="1:9" x14ac:dyDescent="0.2">
      <c r="A92" s="312" t="s">
        <v>1196</v>
      </c>
      <c r="B92" s="312"/>
      <c r="C92" s="312"/>
      <c r="D92" s="312"/>
      <c r="E92" s="312"/>
      <c r="F92" s="312"/>
      <c r="G92" s="312"/>
      <c r="H92" s="312"/>
      <c r="I92" s="312"/>
    </row>
    <row r="93" spans="1:9" x14ac:dyDescent="0.2">
      <c r="A93" s="312" t="s">
        <v>1197</v>
      </c>
      <c r="B93" s="312"/>
      <c r="C93" s="312"/>
      <c r="D93" s="312"/>
      <c r="E93" s="312"/>
      <c r="F93" s="312"/>
      <c r="G93" s="312"/>
      <c r="H93" s="312"/>
      <c r="I93" s="312"/>
    </row>
    <row r="94" spans="1:9" x14ac:dyDescent="0.2">
      <c r="A94" s="312" t="s">
        <v>1198</v>
      </c>
      <c r="B94" s="312"/>
      <c r="C94" s="312"/>
      <c r="D94" s="312"/>
      <c r="E94" s="312"/>
      <c r="F94" s="312"/>
      <c r="G94" s="312"/>
      <c r="H94" s="312"/>
      <c r="I94" s="312"/>
    </row>
    <row r="95" spans="1:9" x14ac:dyDescent="0.2">
      <c r="A95" s="312" t="s">
        <v>1199</v>
      </c>
      <c r="B95" s="312"/>
      <c r="C95" s="312"/>
      <c r="D95" s="312"/>
      <c r="E95" s="312"/>
      <c r="F95" s="312"/>
      <c r="G95" s="312"/>
      <c r="H95" s="312"/>
      <c r="I95" s="312"/>
    </row>
    <row r="96" spans="1:9" x14ac:dyDescent="0.2">
      <c r="A96" s="312" t="s">
        <v>1200</v>
      </c>
      <c r="B96" s="312"/>
      <c r="C96" s="312"/>
      <c r="D96" s="312"/>
      <c r="E96" s="312"/>
      <c r="F96" s="312"/>
      <c r="G96" s="312"/>
      <c r="H96" s="312"/>
      <c r="I96" s="312"/>
    </row>
    <row r="97" spans="1:9" x14ac:dyDescent="0.2">
      <c r="A97" s="312" t="s">
        <v>1201</v>
      </c>
      <c r="B97" s="312"/>
      <c r="C97" s="312"/>
      <c r="D97" s="312"/>
      <c r="E97" s="312"/>
      <c r="F97" s="312"/>
      <c r="G97" s="312"/>
      <c r="H97" s="312"/>
      <c r="I97" s="312"/>
    </row>
    <row r="98" spans="1:9" x14ac:dyDescent="0.2">
      <c r="A98" s="312" t="s">
        <v>1202</v>
      </c>
      <c r="B98" s="312"/>
      <c r="C98" s="312"/>
      <c r="D98" s="312"/>
      <c r="E98" s="312"/>
      <c r="F98" s="312"/>
      <c r="G98" s="312"/>
      <c r="H98" s="312"/>
      <c r="I98" s="312"/>
    </row>
    <row r="99" spans="1:9" x14ac:dyDescent="0.2">
      <c r="A99" s="312" t="s">
        <v>1203</v>
      </c>
      <c r="B99" s="312"/>
      <c r="C99" s="312"/>
      <c r="D99" s="312"/>
      <c r="E99" s="312"/>
      <c r="F99" s="312"/>
      <c r="G99" s="312"/>
      <c r="H99" s="312"/>
      <c r="I99" s="312"/>
    </row>
  </sheetData>
  <mergeCells count="24">
    <mergeCell ref="A99:I99"/>
    <mergeCell ref="A88:I88"/>
    <mergeCell ref="A89:I89"/>
    <mergeCell ref="A90:I90"/>
    <mergeCell ref="A91:I91"/>
    <mergeCell ref="A92:I92"/>
    <mergeCell ref="A93:I93"/>
    <mergeCell ref="A94:I94"/>
    <mergeCell ref="A95:I95"/>
    <mergeCell ref="A96:I96"/>
    <mergeCell ref="A97:I97"/>
    <mergeCell ref="A98:I98"/>
    <mergeCell ref="A87:I87"/>
    <mergeCell ref="A1:I1"/>
    <mergeCell ref="A2:I2"/>
    <mergeCell ref="A3:I3"/>
    <mergeCell ref="A79:I79"/>
    <mergeCell ref="A80:I80"/>
    <mergeCell ref="A81:I81"/>
    <mergeCell ref="A82:I82"/>
    <mergeCell ref="A83:I83"/>
    <mergeCell ref="A84:I84"/>
    <mergeCell ref="A85:I85"/>
    <mergeCell ref="A86:I86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/>
  <dimension ref="A4:AB244"/>
  <sheetViews>
    <sheetView showFormulas="1" workbookViewId="0">
      <selection activeCell="I29" sqref="I29"/>
    </sheetView>
  </sheetViews>
  <sheetFormatPr defaultColWidth="9.140625" defaultRowHeight="12.75" x14ac:dyDescent="0.2"/>
  <cols>
    <col min="1" max="1" width="36.5703125" style="27" bestFit="1" customWidth="1"/>
    <col min="2" max="16384" width="9.140625" style="27"/>
  </cols>
  <sheetData>
    <row r="4" spans="1:28" ht="15" x14ac:dyDescent="0.25">
      <c r="A4" s="44" t="s">
        <v>1147</v>
      </c>
      <c r="B4" s="27">
        <f>'AEO Coal Prod'!L4</f>
        <v>2005</v>
      </c>
      <c r="C4" s="27">
        <f>'AEO Coal Prod'!M4</f>
        <v>2010</v>
      </c>
      <c r="E4" s="27">
        <v>2005</v>
      </c>
      <c r="F4" s="27">
        <v>2010</v>
      </c>
      <c r="H4" s="27">
        <v>2005</v>
      </c>
      <c r="I4" s="27">
        <v>2010</v>
      </c>
      <c r="K4" s="27" t="s">
        <v>1204</v>
      </c>
      <c r="L4" s="27" t="s">
        <v>1205</v>
      </c>
    </row>
    <row r="5" spans="1:28" x14ac:dyDescent="0.2">
      <c r="A5" s="45"/>
    </row>
    <row r="6" spans="1:28" ht="15" x14ac:dyDescent="0.25">
      <c r="A6" s="46" t="s">
        <v>1148</v>
      </c>
    </row>
    <row r="7" spans="1:28" ht="15" x14ac:dyDescent="0.25">
      <c r="A7" s="46"/>
      <c r="D7" s="27">
        <v>1</v>
      </c>
      <c r="E7" s="27">
        <f>B9*$P$10</f>
        <v>48.558952399999995</v>
      </c>
      <c r="F7" s="27">
        <f>C9*$P$10</f>
        <v>253.07399852375997</v>
      </c>
      <c r="H7" s="27">
        <f>E7</f>
        <v>48.558952399999995</v>
      </c>
      <c r="I7" s="27">
        <f>F7</f>
        <v>253.07399852375997</v>
      </c>
    </row>
    <row r="8" spans="1:28" ht="15" x14ac:dyDescent="0.25">
      <c r="A8" s="46"/>
      <c r="D8" s="27">
        <v>2</v>
      </c>
      <c r="E8" s="27">
        <f>B9*$P$11</f>
        <v>96.146725751999995</v>
      </c>
      <c r="F8" s="27">
        <f>C9*$P$11</f>
        <v>501.08651707704473</v>
      </c>
      <c r="H8" s="27">
        <f>E8-E7</f>
        <v>47.587773351999999</v>
      </c>
      <c r="I8" s="27">
        <f>F8-F7</f>
        <v>248.01251855328476</v>
      </c>
      <c r="N8" s="47"/>
      <c r="O8" s="316" t="s">
        <v>1206</v>
      </c>
      <c r="P8" s="316"/>
    </row>
    <row r="9" spans="1:28" x14ac:dyDescent="0.2">
      <c r="A9" s="45" t="s">
        <v>1149</v>
      </c>
      <c r="B9" s="27">
        <f>'AEO Coal Prod'!L7</f>
        <v>97.117904799999991</v>
      </c>
      <c r="C9" s="27">
        <f>'AEO Coal Prod'!M7</f>
        <v>506.14799704751994</v>
      </c>
      <c r="D9" s="27">
        <v>3</v>
      </c>
      <c r="E9" s="27">
        <f>B9*$P$12</f>
        <v>97.117904799999991</v>
      </c>
      <c r="F9" s="27">
        <f>C9*$P$12</f>
        <v>506.14799704751994</v>
      </c>
      <c r="H9" s="27">
        <f t="shared" ref="H9:I12" si="0">E9-E8</f>
        <v>0.97117904799999621</v>
      </c>
      <c r="I9" s="27">
        <f t="shared" si="0"/>
        <v>5.0614799704752045</v>
      </c>
      <c r="N9" s="47"/>
      <c r="O9" s="292" t="s">
        <v>1207</v>
      </c>
      <c r="P9" s="292" t="s">
        <v>1208</v>
      </c>
    </row>
    <row r="10" spans="1:28" x14ac:dyDescent="0.2">
      <c r="A10" s="45"/>
      <c r="D10" s="27">
        <v>4</v>
      </c>
      <c r="E10" s="27">
        <f>B9*$P$13</f>
        <v>98.089083847999987</v>
      </c>
      <c r="F10" s="27">
        <f>C9*$P$13</f>
        <v>511.20947701799514</v>
      </c>
      <c r="H10" s="27">
        <f t="shared" si="0"/>
        <v>0.97117904799999621</v>
      </c>
      <c r="I10" s="27">
        <f t="shared" si="0"/>
        <v>5.0614799704752045</v>
      </c>
      <c r="N10" s="48">
        <v>1</v>
      </c>
      <c r="O10" s="49">
        <v>0.88</v>
      </c>
      <c r="P10" s="49">
        <v>0.5</v>
      </c>
    </row>
    <row r="11" spans="1:28" x14ac:dyDescent="0.2">
      <c r="A11" s="45"/>
      <c r="D11" s="27">
        <v>5</v>
      </c>
      <c r="E11" s="27">
        <f>B9*$P$14</f>
        <v>106.82969528</v>
      </c>
      <c r="F11" s="27">
        <f>C9*$P$14</f>
        <v>556.76279675227192</v>
      </c>
      <c r="H11" s="27">
        <f t="shared" si="0"/>
        <v>8.7406114320000086</v>
      </c>
      <c r="I11" s="27">
        <f t="shared" si="0"/>
        <v>45.553319734276783</v>
      </c>
      <c r="N11" s="48">
        <v>2</v>
      </c>
      <c r="O11" s="49">
        <v>0.998</v>
      </c>
      <c r="P11" s="49">
        <v>0.99</v>
      </c>
    </row>
    <row r="12" spans="1:28" x14ac:dyDescent="0.2">
      <c r="A12" s="45"/>
      <c r="D12" s="27">
        <v>6</v>
      </c>
      <c r="E12" s="27">
        <f>B9*$P$15</f>
        <v>116.54148575999999</v>
      </c>
      <c r="F12" s="27">
        <f>C9*$P$15</f>
        <v>607.37759645702386</v>
      </c>
      <c r="H12" s="27">
        <f t="shared" si="0"/>
        <v>9.7117904799999906</v>
      </c>
      <c r="I12" s="27">
        <f t="shared" si="0"/>
        <v>50.614799704751931</v>
      </c>
      <c r="N12" s="48">
        <v>3</v>
      </c>
      <c r="O12" s="49">
        <v>1</v>
      </c>
      <c r="P12" s="49">
        <v>1</v>
      </c>
      <c r="AB12" s="27">
        <v>4</v>
      </c>
    </row>
    <row r="13" spans="1:28" x14ac:dyDescent="0.2">
      <c r="A13" s="45"/>
      <c r="N13" s="48">
        <v>4</v>
      </c>
      <c r="O13" s="49">
        <v>1.0029999999999999</v>
      </c>
      <c r="P13" s="49">
        <v>1.01</v>
      </c>
    </row>
    <row r="14" spans="1:28" x14ac:dyDescent="0.2">
      <c r="A14" s="45"/>
      <c r="D14" s="27">
        <v>1</v>
      </c>
      <c r="E14" s="27">
        <f>B16*$P$10</f>
        <v>996.89809938069891</v>
      </c>
      <c r="F14" s="27">
        <f>C16*$P$10</f>
        <v>487.09271546329768</v>
      </c>
      <c r="H14" s="27">
        <f>E14</f>
        <v>996.89809938069891</v>
      </c>
      <c r="I14" s="27">
        <f>F14</f>
        <v>487.09271546329768</v>
      </c>
      <c r="K14" s="27">
        <f>Types!Z4/(Types!Z4+Types!Z6)</f>
        <v>0.7410118333589687</v>
      </c>
      <c r="L14" s="27">
        <f>1-K14</f>
        <v>0.2589881666410313</v>
      </c>
      <c r="N14" s="48">
        <v>5</v>
      </c>
      <c r="O14" s="49">
        <v>1.1200000000000001</v>
      </c>
      <c r="P14" s="49">
        <v>1.1000000000000001</v>
      </c>
    </row>
    <row r="15" spans="1:28" x14ac:dyDescent="0.2">
      <c r="A15" s="45"/>
      <c r="D15" s="27">
        <v>2</v>
      </c>
      <c r="E15" s="27">
        <f>B16*$P$11</f>
        <v>1973.8582367737838</v>
      </c>
      <c r="F15" s="27">
        <f>C16*$P$11</f>
        <v>964.44357661732943</v>
      </c>
      <c r="H15" s="27">
        <f>E15-E14</f>
        <v>976.96013739308489</v>
      </c>
      <c r="I15" s="27">
        <f>F15-F14</f>
        <v>477.35086115403175</v>
      </c>
      <c r="K15" s="27">
        <f>K14</f>
        <v>0.7410118333589687</v>
      </c>
      <c r="L15" s="27">
        <f>L14</f>
        <v>0.2589881666410313</v>
      </c>
      <c r="N15" s="48">
        <v>6</v>
      </c>
      <c r="O15" s="49">
        <v>1.53</v>
      </c>
      <c r="P15" s="49">
        <v>1.2</v>
      </c>
    </row>
    <row r="16" spans="1:28" x14ac:dyDescent="0.2">
      <c r="A16" s="45" t="s">
        <v>1150</v>
      </c>
      <c r="B16" s="27">
        <f>'AEO Coal Prod'!L8</f>
        <v>1993.7961987613978</v>
      </c>
      <c r="C16" s="27">
        <f>'AEO Coal Prod'!M8</f>
        <v>974.18543092659536</v>
      </c>
      <c r="D16" s="27">
        <v>3</v>
      </c>
      <c r="E16" s="27">
        <f>B16*$P$12</f>
        <v>1993.7961987613978</v>
      </c>
      <c r="F16" s="27">
        <f>C16*$P$12</f>
        <v>974.18543092659536</v>
      </c>
      <c r="H16" s="27">
        <f t="shared" ref="H16:H19" si="1">E16-E15</f>
        <v>19.937961987614017</v>
      </c>
      <c r="I16" s="27">
        <f t="shared" ref="I16:I19" si="2">F16-F15</f>
        <v>9.741854309265932</v>
      </c>
      <c r="K16" s="27">
        <f t="shared" ref="K16:K19" si="3">K15</f>
        <v>0.7410118333589687</v>
      </c>
      <c r="L16" s="27">
        <f t="shared" ref="L16:L19" si="4">L15</f>
        <v>0.2589881666410313</v>
      </c>
    </row>
    <row r="17" spans="1:17" x14ac:dyDescent="0.2">
      <c r="A17" s="45"/>
      <c r="D17" s="27">
        <v>4</v>
      </c>
      <c r="E17" s="27">
        <f>B16*$P$13</f>
        <v>2013.7341607490118</v>
      </c>
      <c r="F17" s="27">
        <f>C16*$P$13</f>
        <v>983.92728523586129</v>
      </c>
      <c r="H17" s="27">
        <f t="shared" si="1"/>
        <v>19.937961987614017</v>
      </c>
      <c r="I17" s="27">
        <f t="shared" si="2"/>
        <v>9.741854309265932</v>
      </c>
      <c r="K17" s="27">
        <f t="shared" si="3"/>
        <v>0.7410118333589687</v>
      </c>
      <c r="L17" s="27">
        <f t="shared" si="4"/>
        <v>0.2589881666410313</v>
      </c>
      <c r="N17" s="27" t="s">
        <v>1209</v>
      </c>
      <c r="Q17" s="47">
        <v>1.1000000000000001</v>
      </c>
    </row>
    <row r="18" spans="1:17" x14ac:dyDescent="0.2">
      <c r="A18" s="45"/>
      <c r="D18" s="27">
        <v>5</v>
      </c>
      <c r="E18" s="27">
        <f>B16*$P$14</f>
        <v>2193.1758186375378</v>
      </c>
      <c r="F18" s="27">
        <f>C16*$P$14</f>
        <v>1071.603974019255</v>
      </c>
      <c r="H18" s="27">
        <f t="shared" si="1"/>
        <v>179.44165788852592</v>
      </c>
      <c r="I18" s="27">
        <f t="shared" si="2"/>
        <v>87.676688783393729</v>
      </c>
      <c r="K18" s="27">
        <f t="shared" si="3"/>
        <v>0.7410118333589687</v>
      </c>
      <c r="L18" s="27">
        <f t="shared" si="4"/>
        <v>0.2589881666410313</v>
      </c>
      <c r="Q18" s="27" t="s">
        <v>1210</v>
      </c>
    </row>
    <row r="19" spans="1:17" x14ac:dyDescent="0.2">
      <c r="A19" s="45"/>
      <c r="D19" s="27">
        <v>6</v>
      </c>
      <c r="E19" s="27">
        <f>B16*$P$15</f>
        <v>2392.5554385136775</v>
      </c>
      <c r="F19" s="27">
        <f>C16*$P$15</f>
        <v>1169.0225171119143</v>
      </c>
      <c r="H19" s="27">
        <f t="shared" si="1"/>
        <v>199.37961987613971</v>
      </c>
      <c r="I19" s="27">
        <f t="shared" si="2"/>
        <v>97.41854309265932</v>
      </c>
      <c r="K19" s="27">
        <f t="shared" si="3"/>
        <v>0.7410118333589687</v>
      </c>
      <c r="L19" s="27">
        <f t="shared" si="4"/>
        <v>0.2589881666410313</v>
      </c>
    </row>
    <row r="20" spans="1:17" x14ac:dyDescent="0.2">
      <c r="A20" s="45"/>
    </row>
    <row r="21" spans="1:17" x14ac:dyDescent="0.2">
      <c r="A21" s="45"/>
      <c r="D21" s="27">
        <v>1</v>
      </c>
      <c r="E21" s="27">
        <f>B23*$P$10</f>
        <v>801.14898405776808</v>
      </c>
      <c r="F21" s="27">
        <f>C23*$P$10</f>
        <v>1014.6181795570725</v>
      </c>
      <c r="H21" s="27">
        <f>E21</f>
        <v>801.14898405776808</v>
      </c>
      <c r="I21" s="27">
        <f>F21</f>
        <v>1014.6181795570725</v>
      </c>
      <c r="K21" s="27">
        <f>Types!Z5/(Types!Z5+Types!Z7)</f>
        <v>0.80407440007351227</v>
      </c>
      <c r="L21" s="27">
        <f>1-K21</f>
        <v>0.19592559992648773</v>
      </c>
    </row>
    <row r="22" spans="1:17" x14ac:dyDescent="0.2">
      <c r="A22" s="45"/>
      <c r="D22" s="27">
        <v>2</v>
      </c>
      <c r="E22" s="27">
        <f>B23*$P$11</f>
        <v>1586.2749884343807</v>
      </c>
      <c r="F22" s="27">
        <f>C23*$P$11</f>
        <v>2008.9439955230034</v>
      </c>
      <c r="H22" s="27">
        <f>E22-E21</f>
        <v>785.12600437661263</v>
      </c>
      <c r="I22" s="27">
        <f>F22-F21</f>
        <v>994.32581596593093</v>
      </c>
      <c r="K22" s="27">
        <f>K21</f>
        <v>0.80407440007351227</v>
      </c>
      <c r="L22" s="27">
        <f>L21</f>
        <v>0.19592559992648773</v>
      </c>
    </row>
    <row r="23" spans="1:17" x14ac:dyDescent="0.2">
      <c r="A23" s="45" t="s">
        <v>1151</v>
      </c>
      <c r="B23" s="27">
        <f>'AEO Coal Prod'!L9</f>
        <v>1602.2979681155362</v>
      </c>
      <c r="C23" s="27">
        <f>'AEO Coal Prod'!M9</f>
        <v>2029.236359114145</v>
      </c>
      <c r="D23" s="27">
        <v>3</v>
      </c>
      <c r="E23" s="27">
        <f>B23*$P$12</f>
        <v>1602.2979681155362</v>
      </c>
      <c r="F23" s="27">
        <f>C23*$P$12</f>
        <v>2029.236359114145</v>
      </c>
      <c r="H23" s="27">
        <f t="shared" ref="H23:H26" si="5">E23-E22</f>
        <v>16.022979681155448</v>
      </c>
      <c r="I23" s="27">
        <f t="shared" ref="I23:I26" si="6">F23-F22</f>
        <v>20.292363591141566</v>
      </c>
      <c r="K23" s="27">
        <f t="shared" ref="K23:K26" si="7">K22</f>
        <v>0.80407440007351227</v>
      </c>
      <c r="L23" s="27">
        <f t="shared" ref="L23:L26" si="8">L22</f>
        <v>0.19592559992648773</v>
      </c>
    </row>
    <row r="24" spans="1:17" x14ac:dyDescent="0.2">
      <c r="A24" s="45"/>
      <c r="D24" s="27">
        <v>4</v>
      </c>
      <c r="E24" s="27">
        <f>B23*$P$13</f>
        <v>1618.3209477966916</v>
      </c>
      <c r="F24" s="27">
        <f>C23*$P$13</f>
        <v>2049.5287227052863</v>
      </c>
      <c r="H24" s="27">
        <f t="shared" si="5"/>
        <v>16.022979681155448</v>
      </c>
      <c r="I24" s="27">
        <f t="shared" si="6"/>
        <v>20.292363591141338</v>
      </c>
      <c r="K24" s="27">
        <f t="shared" si="7"/>
        <v>0.80407440007351227</v>
      </c>
      <c r="L24" s="27">
        <f t="shared" si="8"/>
        <v>0.19592559992648773</v>
      </c>
    </row>
    <row r="25" spans="1:17" x14ac:dyDescent="0.2">
      <c r="A25" s="45"/>
      <c r="D25" s="27">
        <v>5</v>
      </c>
      <c r="E25" s="27">
        <f>B23*$P$14</f>
        <v>1762.5277649270899</v>
      </c>
      <c r="F25" s="27">
        <f>C23*$P$14</f>
        <v>2232.1599950255595</v>
      </c>
      <c r="H25" s="27">
        <f t="shared" si="5"/>
        <v>144.20681713039835</v>
      </c>
      <c r="I25" s="27">
        <f t="shared" si="6"/>
        <v>182.63127232027318</v>
      </c>
      <c r="K25" s="27">
        <f t="shared" si="7"/>
        <v>0.80407440007351227</v>
      </c>
      <c r="L25" s="27">
        <f t="shared" si="8"/>
        <v>0.19592559992648773</v>
      </c>
    </row>
    <row r="26" spans="1:17" x14ac:dyDescent="0.2">
      <c r="A26" s="45"/>
      <c r="D26" s="27">
        <v>6</v>
      </c>
      <c r="E26" s="27">
        <f>B23*$P$15</f>
        <v>1922.7575617386433</v>
      </c>
      <c r="F26" s="27">
        <f>C23*$P$15</f>
        <v>2435.0836309369738</v>
      </c>
      <c r="H26" s="27">
        <f t="shared" si="5"/>
        <v>160.22979681155334</v>
      </c>
      <c r="I26" s="27">
        <f t="shared" si="6"/>
        <v>202.92363591141429</v>
      </c>
      <c r="K26" s="27">
        <f t="shared" si="7"/>
        <v>0.80407440007351227</v>
      </c>
      <c r="L26" s="27">
        <f t="shared" si="8"/>
        <v>0.19592559992648773</v>
      </c>
    </row>
    <row r="27" spans="1:17" x14ac:dyDescent="0.2">
      <c r="A27" s="45"/>
    </row>
    <row r="28" spans="1:17" ht="15" x14ac:dyDescent="0.25">
      <c r="A28" s="46" t="s">
        <v>1152</v>
      </c>
    </row>
    <row r="29" spans="1:17" ht="15" x14ac:dyDescent="0.25">
      <c r="A29" s="46"/>
      <c r="D29" s="27">
        <v>1</v>
      </c>
      <c r="E29" s="27">
        <f>B31*$P$10</f>
        <v>544.13776354401818</v>
      </c>
      <c r="F29" s="27">
        <f>C31*$P$10</f>
        <v>855.58097944121357</v>
      </c>
      <c r="H29" s="27">
        <f>E29</f>
        <v>544.13776354401818</v>
      </c>
      <c r="I29" s="27">
        <f>F29</f>
        <v>855.58097944121357</v>
      </c>
    </row>
    <row r="30" spans="1:17" ht="15" x14ac:dyDescent="0.25">
      <c r="A30" s="46"/>
      <c r="D30" s="27">
        <v>2</v>
      </c>
      <c r="E30" s="27">
        <f>B31*$P$11</f>
        <v>1077.392771817156</v>
      </c>
      <c r="F30" s="27">
        <f>C31*$P$11</f>
        <v>1694.0503392936027</v>
      </c>
      <c r="H30" s="27">
        <f>E30-E29</f>
        <v>533.25500827313783</v>
      </c>
      <c r="I30" s="27">
        <f>F30-F29</f>
        <v>838.46935985238918</v>
      </c>
    </row>
    <row r="31" spans="1:17" x14ac:dyDescent="0.2">
      <c r="A31" s="45" t="s">
        <v>1149</v>
      </c>
      <c r="B31" s="27">
        <f>'AEO Coal Prod'!L12</f>
        <v>1088.2755270880364</v>
      </c>
      <c r="C31" s="27">
        <f>'AEO Coal Prod'!M12</f>
        <v>1711.1619588824271</v>
      </c>
      <c r="D31" s="27">
        <v>3</v>
      </c>
      <c r="E31" s="27">
        <f>B31*$P$12</f>
        <v>1088.2755270880364</v>
      </c>
      <c r="F31" s="27">
        <f>C31*$P$12</f>
        <v>1711.1619588824271</v>
      </c>
      <c r="H31" s="27">
        <f t="shared" ref="H31:H34" si="9">E31-E30</f>
        <v>10.882755270880352</v>
      </c>
      <c r="I31" s="27">
        <f t="shared" ref="I31:I34" si="10">F31-F30</f>
        <v>17.111619588824396</v>
      </c>
    </row>
    <row r="32" spans="1:17" x14ac:dyDescent="0.2">
      <c r="A32" s="45"/>
      <c r="E32" s="27">
        <f>B31*$P$13</f>
        <v>1099.1582823589167</v>
      </c>
      <c r="F32" s="27">
        <f>C31*$P$13</f>
        <v>1728.2735784712515</v>
      </c>
      <c r="H32" s="27">
        <f t="shared" si="9"/>
        <v>10.882755270880352</v>
      </c>
      <c r="I32" s="27">
        <f t="shared" si="10"/>
        <v>17.111619588824396</v>
      </c>
    </row>
    <row r="33" spans="1:12" x14ac:dyDescent="0.2">
      <c r="A33" s="45"/>
      <c r="D33" s="27">
        <v>5</v>
      </c>
      <c r="E33" s="27">
        <f>B31*$P$14</f>
        <v>1197.1030797968401</v>
      </c>
      <c r="F33" s="27">
        <f>C31*$P$14</f>
        <v>1882.27815477067</v>
      </c>
      <c r="H33" s="27">
        <f t="shared" si="9"/>
        <v>97.944797437923398</v>
      </c>
      <c r="I33" s="27">
        <f t="shared" si="10"/>
        <v>154.00457629941843</v>
      </c>
    </row>
    <row r="34" spans="1:12" x14ac:dyDescent="0.2">
      <c r="A34" s="45"/>
      <c r="D34" s="27">
        <v>6</v>
      </c>
      <c r="E34" s="27">
        <f>B31*$P$15</f>
        <v>1305.9306325056436</v>
      </c>
      <c r="F34" s="27">
        <f>C31*$P$15</f>
        <v>2053.3943506589126</v>
      </c>
      <c r="H34" s="27">
        <f t="shared" si="9"/>
        <v>108.82755270880352</v>
      </c>
      <c r="I34" s="27">
        <f t="shared" si="10"/>
        <v>171.1161958882426</v>
      </c>
    </row>
    <row r="35" spans="1:12" x14ac:dyDescent="0.2">
      <c r="A35" s="45"/>
    </row>
    <row r="36" spans="1:12" x14ac:dyDescent="0.2">
      <c r="A36" s="45"/>
      <c r="D36" s="27">
        <v>1</v>
      </c>
      <c r="E36" s="27">
        <f>B38*$P$10</f>
        <v>614.59840942954781</v>
      </c>
      <c r="F36" s="27">
        <f>C38*$P$10</f>
        <v>182.77553811455999</v>
      </c>
      <c r="H36" s="27">
        <f>E36</f>
        <v>614.59840942954781</v>
      </c>
      <c r="I36" s="27">
        <f>F36</f>
        <v>182.77553811455999</v>
      </c>
      <c r="K36" s="27">
        <f>Types!Z10/(Types!Z10+Types!Z12)</f>
        <v>0.18918662617618057</v>
      </c>
      <c r="L36" s="27">
        <f>1-K36</f>
        <v>0.81081337382381946</v>
      </c>
    </row>
    <row r="37" spans="1:12" x14ac:dyDescent="0.2">
      <c r="A37" s="45"/>
      <c r="D37" s="27">
        <v>2</v>
      </c>
      <c r="E37" s="27">
        <f>B38*$P$11</f>
        <v>1216.9048506705046</v>
      </c>
      <c r="F37" s="27">
        <f>C38*$P$11</f>
        <v>361.89556546682877</v>
      </c>
      <c r="H37" s="27">
        <f>E37-E36</f>
        <v>602.30644124095681</v>
      </c>
      <c r="I37" s="27">
        <f>F37-F36</f>
        <v>179.12002735226878</v>
      </c>
      <c r="K37" s="27">
        <f>K36</f>
        <v>0.18918662617618057</v>
      </c>
      <c r="L37" s="27">
        <f>L36</f>
        <v>0.81081337382381946</v>
      </c>
    </row>
    <row r="38" spans="1:12" x14ac:dyDescent="0.2">
      <c r="A38" s="45" t="s">
        <v>1153</v>
      </c>
      <c r="B38" s="27">
        <f>'AEO Coal Prod'!L13</f>
        <v>1229.1968188590956</v>
      </c>
      <c r="C38" s="27">
        <f>'AEO Coal Prod'!M13</f>
        <v>365.55107622911999</v>
      </c>
      <c r="D38" s="27">
        <v>3</v>
      </c>
      <c r="E38" s="27">
        <f>B38*$P$12</f>
        <v>1229.1968188590956</v>
      </c>
      <c r="F38" s="27">
        <f>C38*$P$12</f>
        <v>365.55107622911999</v>
      </c>
      <c r="H38" s="27">
        <f t="shared" ref="H38:H41" si="11">E38-E37</f>
        <v>12.291968188590999</v>
      </c>
      <c r="I38" s="27">
        <f t="shared" ref="I38:I41" si="12">F38-F37</f>
        <v>3.6555107622912146</v>
      </c>
      <c r="K38" s="27">
        <f t="shared" ref="K38:K41" si="13">K37</f>
        <v>0.18918662617618057</v>
      </c>
      <c r="L38" s="27">
        <f t="shared" ref="L38:L41" si="14">L37</f>
        <v>0.81081337382381946</v>
      </c>
    </row>
    <row r="39" spans="1:12" x14ac:dyDescent="0.2">
      <c r="A39" s="45"/>
      <c r="D39" s="27">
        <v>4</v>
      </c>
      <c r="E39" s="27">
        <f>B38*$P$13</f>
        <v>1241.4887870476866</v>
      </c>
      <c r="F39" s="27">
        <f>C38*$P$13</f>
        <v>369.2065869914112</v>
      </c>
      <c r="H39" s="27">
        <f t="shared" si="11"/>
        <v>12.291968188590999</v>
      </c>
      <c r="I39" s="27">
        <f t="shared" si="12"/>
        <v>3.6555107622912146</v>
      </c>
      <c r="K39" s="27">
        <f t="shared" si="13"/>
        <v>0.18918662617618057</v>
      </c>
      <c r="L39" s="27">
        <f t="shared" si="14"/>
        <v>0.81081337382381946</v>
      </c>
    </row>
    <row r="40" spans="1:12" x14ac:dyDescent="0.2">
      <c r="A40" s="45"/>
      <c r="D40" s="27">
        <v>5</v>
      </c>
      <c r="E40" s="27">
        <f>B38*$P$14</f>
        <v>1352.1165007450054</v>
      </c>
      <c r="F40" s="27">
        <f>C38*$P$14</f>
        <v>402.10618385203202</v>
      </c>
      <c r="H40" s="27">
        <f t="shared" si="11"/>
        <v>110.62771369731877</v>
      </c>
      <c r="I40" s="27">
        <f t="shared" si="12"/>
        <v>32.899596860620818</v>
      </c>
      <c r="K40" s="27">
        <f t="shared" si="13"/>
        <v>0.18918662617618057</v>
      </c>
      <c r="L40" s="27">
        <f t="shared" si="14"/>
        <v>0.81081337382381946</v>
      </c>
    </row>
    <row r="41" spans="1:12" x14ac:dyDescent="0.2">
      <c r="A41" s="45"/>
      <c r="D41" s="27">
        <v>6</v>
      </c>
      <c r="E41" s="27">
        <f>B38*$P$15</f>
        <v>1475.0361826309147</v>
      </c>
      <c r="F41" s="27">
        <f>C38*$P$15</f>
        <v>438.66129147494399</v>
      </c>
      <c r="H41" s="27">
        <f t="shared" si="11"/>
        <v>122.91968188590931</v>
      </c>
      <c r="I41" s="27">
        <f t="shared" si="12"/>
        <v>36.555107622911976</v>
      </c>
      <c r="K41" s="27">
        <f t="shared" si="13"/>
        <v>0.18918662617618057</v>
      </c>
      <c r="L41" s="27">
        <f t="shared" si="14"/>
        <v>0.81081337382381946</v>
      </c>
    </row>
    <row r="42" spans="1:12" x14ac:dyDescent="0.2">
      <c r="A42" s="45"/>
    </row>
    <row r="43" spans="1:12" x14ac:dyDescent="0.2">
      <c r="A43" s="45"/>
      <c r="D43" s="27">
        <v>1</v>
      </c>
      <c r="E43" s="27">
        <f>B45*$P$10</f>
        <v>1944.0411530910608</v>
      </c>
      <c r="F43" s="27">
        <f>C45*$P$10</f>
        <v>1421.9625819189137</v>
      </c>
      <c r="H43" s="27">
        <f>E43</f>
        <v>1944.0411530910608</v>
      </c>
      <c r="I43" s="27">
        <f>F43</f>
        <v>1421.9625819189137</v>
      </c>
      <c r="K43" s="27">
        <f>Types!Z11/(Types!Z11+Types!Z13)</f>
        <v>0.25624371672319329</v>
      </c>
      <c r="L43" s="27">
        <f>1-K43</f>
        <v>0.74375628327680676</v>
      </c>
    </row>
    <row r="44" spans="1:12" x14ac:dyDescent="0.2">
      <c r="A44" s="45"/>
      <c r="D44" s="27">
        <v>2</v>
      </c>
      <c r="E44" s="27">
        <f>B45*$P$11</f>
        <v>3849.2014831203005</v>
      </c>
      <c r="F44" s="27">
        <f>C45*$P$11</f>
        <v>2815.4859121994491</v>
      </c>
      <c r="H44" s="27">
        <f>E44-E43</f>
        <v>1905.1603300292397</v>
      </c>
      <c r="I44" s="27">
        <f>F44-F43</f>
        <v>1393.5233302805354</v>
      </c>
      <c r="K44" s="27">
        <f>K43</f>
        <v>0.25624371672319329</v>
      </c>
      <c r="L44" s="27">
        <f>L43</f>
        <v>0.74375628327680676</v>
      </c>
    </row>
    <row r="45" spans="1:12" x14ac:dyDescent="0.2">
      <c r="A45" s="45" t="s">
        <v>1150</v>
      </c>
      <c r="B45" s="27">
        <f>'AEO Coal Prod'!L14</f>
        <v>3888.0823061821216</v>
      </c>
      <c r="C45" s="27">
        <f>'AEO Coal Prod'!M14</f>
        <v>2843.9251638378273</v>
      </c>
      <c r="D45" s="27">
        <v>3</v>
      </c>
      <c r="E45" s="27">
        <f>B45*$P$12</f>
        <v>3888.0823061821216</v>
      </c>
      <c r="F45" s="27">
        <f>C45*$P$12</f>
        <v>2843.9251638378273</v>
      </c>
      <c r="H45" s="27">
        <f t="shared" ref="H45:H48" si="15">E45-E44</f>
        <v>38.880823061821047</v>
      </c>
      <c r="I45" s="27">
        <f t="shared" ref="I45:I48" si="16">F45-F44</f>
        <v>28.439251638378209</v>
      </c>
      <c r="K45" s="27">
        <f t="shared" ref="K45:K48" si="17">K44</f>
        <v>0.25624371672319329</v>
      </c>
      <c r="L45" s="27">
        <f t="shared" ref="L45:L48" si="18">L44</f>
        <v>0.74375628327680676</v>
      </c>
    </row>
    <row r="46" spans="1:12" x14ac:dyDescent="0.2">
      <c r="A46" s="45"/>
      <c r="D46" s="27">
        <v>4</v>
      </c>
      <c r="E46" s="27">
        <f>B45*$P$13</f>
        <v>3926.9631292439426</v>
      </c>
      <c r="F46" s="27">
        <f>C45*$P$13</f>
        <v>2872.3644154762055</v>
      </c>
      <c r="H46" s="27">
        <f t="shared" si="15"/>
        <v>38.880823061821047</v>
      </c>
      <c r="I46" s="27">
        <f t="shared" si="16"/>
        <v>28.439251638378209</v>
      </c>
      <c r="K46" s="27">
        <f t="shared" si="17"/>
        <v>0.25624371672319329</v>
      </c>
      <c r="L46" s="27">
        <f t="shared" si="18"/>
        <v>0.74375628327680676</v>
      </c>
    </row>
    <row r="47" spans="1:12" x14ac:dyDescent="0.2">
      <c r="A47" s="45"/>
      <c r="D47" s="27">
        <v>5</v>
      </c>
      <c r="E47" s="27">
        <f>B45*$P$14</f>
        <v>4276.8905368003343</v>
      </c>
      <c r="F47" s="27">
        <f>C45*$P$14</f>
        <v>3128.3176802216103</v>
      </c>
      <c r="H47" s="27">
        <f t="shared" si="15"/>
        <v>349.9274075563917</v>
      </c>
      <c r="I47" s="27">
        <f t="shared" si="16"/>
        <v>255.95326474540479</v>
      </c>
      <c r="K47" s="27">
        <f t="shared" si="17"/>
        <v>0.25624371672319329</v>
      </c>
      <c r="L47" s="27">
        <f t="shared" si="18"/>
        <v>0.74375628327680676</v>
      </c>
    </row>
    <row r="48" spans="1:12" x14ac:dyDescent="0.2">
      <c r="A48" s="45"/>
      <c r="D48" s="27">
        <v>6</v>
      </c>
      <c r="E48" s="27">
        <f>B45*$P$15</f>
        <v>4665.6987674185457</v>
      </c>
      <c r="F48" s="27">
        <f>C45*$P$15</f>
        <v>3412.7101966053929</v>
      </c>
      <c r="H48" s="27">
        <f t="shared" si="15"/>
        <v>388.80823061821138</v>
      </c>
      <c r="I48" s="27">
        <f t="shared" si="16"/>
        <v>284.39251638378255</v>
      </c>
      <c r="K48" s="27">
        <f t="shared" si="17"/>
        <v>0.25624371672319329</v>
      </c>
      <c r="L48" s="27">
        <f t="shared" si="18"/>
        <v>0.74375628327680676</v>
      </c>
    </row>
    <row r="49" spans="1:12" x14ac:dyDescent="0.2">
      <c r="A49" s="45"/>
    </row>
    <row r="50" spans="1:12" ht="15" x14ac:dyDescent="0.25">
      <c r="A50" s="46" t="s">
        <v>1154</v>
      </c>
    </row>
    <row r="51" spans="1:12" ht="15" x14ac:dyDescent="0.25">
      <c r="A51" s="46"/>
      <c r="D51" s="27">
        <v>1</v>
      </c>
      <c r="E51" s="27">
        <f>B53*$P$10</f>
        <v>112.10180905349876</v>
      </c>
      <c r="F51" s="27">
        <f>C53*$P$10</f>
        <v>141.73941985968</v>
      </c>
      <c r="H51" s="27">
        <f>E51</f>
        <v>112.10180905349876</v>
      </c>
      <c r="I51" s="27">
        <f>F51</f>
        <v>141.73941985968</v>
      </c>
    </row>
    <row r="52" spans="1:12" ht="15" x14ac:dyDescent="0.25">
      <c r="A52" s="46"/>
      <c r="D52" s="27">
        <v>2</v>
      </c>
      <c r="E52" s="27">
        <f>B53*$P$11</f>
        <v>221.96158192592753</v>
      </c>
      <c r="F52" s="27">
        <f>C53*$P$11</f>
        <v>280.64405132216638</v>
      </c>
      <c r="H52" s="27">
        <f>E52-E51</f>
        <v>109.85977287242878</v>
      </c>
      <c r="I52" s="27">
        <f>F52-F51</f>
        <v>138.90463146248638</v>
      </c>
    </row>
    <row r="53" spans="1:12" x14ac:dyDescent="0.2">
      <c r="A53" s="45" t="s">
        <v>1155</v>
      </c>
      <c r="B53" s="27">
        <f>'AEO Coal Prod'!L17</f>
        <v>224.20361810699751</v>
      </c>
      <c r="C53" s="27">
        <f>'AEO Coal Prod'!M17</f>
        <v>283.47883971936</v>
      </c>
      <c r="D53" s="27">
        <v>3</v>
      </c>
      <c r="E53" s="27">
        <f>B53*$P$12</f>
        <v>224.20361810699751</v>
      </c>
      <c r="F53" s="27">
        <f>C53*$P$12</f>
        <v>283.47883971936</v>
      </c>
      <c r="H53" s="27">
        <f t="shared" ref="H53:H56" si="19">E53-E52</f>
        <v>2.2420361810699774</v>
      </c>
      <c r="I53" s="27">
        <f t="shared" ref="I53:I56" si="20">F53-F52</f>
        <v>2.8347883971936199</v>
      </c>
    </row>
    <row r="54" spans="1:12" x14ac:dyDescent="0.2">
      <c r="A54" s="45"/>
      <c r="D54" s="27">
        <v>4</v>
      </c>
      <c r="E54" s="27">
        <f>B53*$P$13</f>
        <v>226.44565428806749</v>
      </c>
      <c r="F54" s="27">
        <f>C53*$P$13</f>
        <v>286.31362811655362</v>
      </c>
      <c r="H54" s="27">
        <f t="shared" si="19"/>
        <v>2.2420361810699774</v>
      </c>
      <c r="I54" s="27">
        <f t="shared" si="20"/>
        <v>2.8347883971936199</v>
      </c>
    </row>
    <row r="55" spans="1:12" x14ac:dyDescent="0.2">
      <c r="A55" s="45"/>
      <c r="D55" s="27">
        <v>5</v>
      </c>
      <c r="E55" s="27">
        <f>B53*$P$14</f>
        <v>246.62397991769728</v>
      </c>
      <c r="F55" s="27">
        <f>C53*$P$14</f>
        <v>311.82672369129602</v>
      </c>
      <c r="H55" s="27">
        <f t="shared" si="19"/>
        <v>20.178325629629796</v>
      </c>
      <c r="I55" s="27">
        <f t="shared" si="20"/>
        <v>25.513095574742408</v>
      </c>
    </row>
    <row r="56" spans="1:12" x14ac:dyDescent="0.2">
      <c r="A56" s="45"/>
      <c r="D56" s="27">
        <v>6</v>
      </c>
      <c r="E56" s="27">
        <f>B53*$P$15</f>
        <v>269.044341728397</v>
      </c>
      <c r="F56" s="27">
        <f>C53*$P$15</f>
        <v>340.174607663232</v>
      </c>
      <c r="H56" s="27">
        <f t="shared" si="19"/>
        <v>22.420361810699717</v>
      </c>
      <c r="I56" s="27">
        <f t="shared" si="20"/>
        <v>28.347883971935971</v>
      </c>
    </row>
    <row r="57" spans="1:12" x14ac:dyDescent="0.2">
      <c r="A57" s="45"/>
    </row>
    <row r="58" spans="1:12" x14ac:dyDescent="0.2">
      <c r="A58" s="45"/>
      <c r="D58" s="27">
        <v>1</v>
      </c>
      <c r="E58" s="27">
        <f>B60*$P$10</f>
        <v>7.1870412083808946</v>
      </c>
      <c r="F58" s="27">
        <f>C60*$P$10</f>
        <v>6.2167908732799999</v>
      </c>
      <c r="H58" s="27">
        <f>E58</f>
        <v>7.1870412083808946</v>
      </c>
      <c r="I58" s="27">
        <f>F58</f>
        <v>6.2167908732799999</v>
      </c>
      <c r="K58" s="27">
        <f>Types!Z15/(Types!Z15+Types!Z17)</f>
        <v>0</v>
      </c>
      <c r="L58" s="27">
        <f>1-K58</f>
        <v>1</v>
      </c>
    </row>
    <row r="59" spans="1:12" x14ac:dyDescent="0.2">
      <c r="A59" s="45"/>
      <c r="D59" s="27">
        <v>2</v>
      </c>
      <c r="E59" s="27">
        <f>B60*$P$11</f>
        <v>14.23034159259417</v>
      </c>
      <c r="F59" s="27">
        <f>C60*$P$11</f>
        <v>12.3092459290944</v>
      </c>
      <c r="H59" s="27">
        <f>E59-E58</f>
        <v>7.0433003842132758</v>
      </c>
      <c r="I59" s="27">
        <f>F59-F58</f>
        <v>6.0924550558144004</v>
      </c>
      <c r="K59" s="27">
        <f>K58</f>
        <v>0</v>
      </c>
      <c r="L59" s="27">
        <f>L58</f>
        <v>1</v>
      </c>
    </row>
    <row r="60" spans="1:12" x14ac:dyDescent="0.2">
      <c r="A60" s="45" t="s">
        <v>1153</v>
      </c>
      <c r="B60" s="27">
        <f>'AEO Coal Prod'!L18</f>
        <v>14.374082416761789</v>
      </c>
      <c r="C60" s="27">
        <f>'AEO Coal Prod'!M18</f>
        <v>12.43358174656</v>
      </c>
      <c r="D60" s="27">
        <v>3</v>
      </c>
      <c r="E60" s="27">
        <f>B60*$P$12</f>
        <v>14.374082416761789</v>
      </c>
      <c r="F60" s="27">
        <f>C60*$P$12</f>
        <v>12.43358174656</v>
      </c>
      <c r="H60" s="27">
        <f t="shared" ref="H60:H63" si="21">E60-E59</f>
        <v>0.1437408241676188</v>
      </c>
      <c r="I60" s="27">
        <f t="shared" ref="I60:I63" si="22">F60-F59</f>
        <v>0.12433581746559952</v>
      </c>
      <c r="K60" s="27">
        <f t="shared" ref="K60:K63" si="23">K59</f>
        <v>0</v>
      </c>
      <c r="L60" s="27">
        <f t="shared" ref="L60:L63" si="24">L59</f>
        <v>1</v>
      </c>
    </row>
    <row r="61" spans="1:12" x14ac:dyDescent="0.2">
      <c r="A61" s="45"/>
      <c r="D61" s="27">
        <v>4</v>
      </c>
      <c r="E61" s="27">
        <f>B60*$P$13</f>
        <v>14.517823240929408</v>
      </c>
      <c r="F61" s="27">
        <f>C60*$P$13</f>
        <v>12.557917564025599</v>
      </c>
      <c r="H61" s="27">
        <f t="shared" si="21"/>
        <v>0.1437408241676188</v>
      </c>
      <c r="I61" s="27">
        <f t="shared" si="22"/>
        <v>0.12433581746559952</v>
      </c>
      <c r="K61" s="27">
        <f t="shared" si="23"/>
        <v>0</v>
      </c>
      <c r="L61" s="27">
        <f t="shared" si="24"/>
        <v>1</v>
      </c>
    </row>
    <row r="62" spans="1:12" x14ac:dyDescent="0.2">
      <c r="A62" s="45"/>
      <c r="D62" s="27">
        <v>5</v>
      </c>
      <c r="E62" s="27">
        <f>B60*$P$14</f>
        <v>15.81149065843797</v>
      </c>
      <c r="F62" s="27">
        <f>C60*$P$14</f>
        <v>13.676939921216</v>
      </c>
      <c r="H62" s="27">
        <f t="shared" si="21"/>
        <v>1.2936674175085621</v>
      </c>
      <c r="I62" s="27">
        <f t="shared" si="22"/>
        <v>1.119022357190401</v>
      </c>
      <c r="K62" s="27">
        <f t="shared" si="23"/>
        <v>0</v>
      </c>
      <c r="L62" s="27">
        <f t="shared" si="24"/>
        <v>1</v>
      </c>
    </row>
    <row r="63" spans="1:12" x14ac:dyDescent="0.2">
      <c r="A63" s="45"/>
      <c r="D63" s="27">
        <v>6</v>
      </c>
      <c r="E63" s="27">
        <f>B60*$P$15</f>
        <v>17.248898900114146</v>
      </c>
      <c r="F63" s="27">
        <f>C60*$P$15</f>
        <v>14.920298095871999</v>
      </c>
      <c r="H63" s="27">
        <f t="shared" si="21"/>
        <v>1.4374082416761755</v>
      </c>
      <c r="I63" s="27">
        <f t="shared" si="22"/>
        <v>1.2433581746559987</v>
      </c>
      <c r="K63" s="27">
        <f t="shared" si="23"/>
        <v>0</v>
      </c>
      <c r="L63" s="27">
        <f t="shared" si="24"/>
        <v>1</v>
      </c>
    </row>
    <row r="64" spans="1:12" x14ac:dyDescent="0.2">
      <c r="A64" s="45"/>
    </row>
    <row r="65" spans="1:12" x14ac:dyDescent="0.2">
      <c r="A65" s="45"/>
      <c r="D65" s="27">
        <v>1</v>
      </c>
      <c r="E65" s="27">
        <f>B67*$P$10</f>
        <v>165.73337412031174</v>
      </c>
      <c r="F65" s="27">
        <f>C67*$P$10</f>
        <v>112.3146412836</v>
      </c>
      <c r="H65" s="27">
        <f>E65</f>
        <v>165.73337412031174</v>
      </c>
      <c r="I65" s="27">
        <f>F65</f>
        <v>112.3146412836</v>
      </c>
      <c r="K65" s="27">
        <f>Types!Z16/(Types!Z16+Types!Z18)</f>
        <v>4.7971423103016636E-2</v>
      </c>
      <c r="L65" s="27">
        <f>1-K65</f>
        <v>0.95202857689698339</v>
      </c>
    </row>
    <row r="66" spans="1:12" x14ac:dyDescent="0.2">
      <c r="A66" s="45"/>
      <c r="D66" s="27">
        <v>2</v>
      </c>
      <c r="E66" s="27">
        <f>B67*$P$11</f>
        <v>328.15208075821721</v>
      </c>
      <c r="F66" s="27">
        <f>C67*$P$11</f>
        <v>222.38298974152798</v>
      </c>
      <c r="H66" s="27">
        <f>E66-E65</f>
        <v>162.41870663790547</v>
      </c>
      <c r="I66" s="27">
        <f>F66-F65</f>
        <v>110.06834845792798</v>
      </c>
      <c r="K66" s="27">
        <f>K65</f>
        <v>4.7971423103016636E-2</v>
      </c>
      <c r="L66" s="27">
        <f>L65</f>
        <v>0.95202857689698339</v>
      </c>
    </row>
    <row r="67" spans="1:12" x14ac:dyDescent="0.2">
      <c r="A67" s="45" t="s">
        <v>1150</v>
      </c>
      <c r="B67" s="27">
        <f>'AEO Coal Prod'!L19</f>
        <v>331.46674824062347</v>
      </c>
      <c r="C67" s="27">
        <f>'AEO Coal Prod'!M19</f>
        <v>224.62928256719999</v>
      </c>
      <c r="D67" s="27">
        <v>3</v>
      </c>
      <c r="E67" s="27">
        <f>B67*$P$12</f>
        <v>331.46674824062347</v>
      </c>
      <c r="F67" s="27">
        <f>C67*$P$12</f>
        <v>224.62928256719999</v>
      </c>
      <c r="H67" s="27">
        <f t="shared" ref="H67:H70" si="25">E67-E66</f>
        <v>3.3146674824062643</v>
      </c>
      <c r="I67" s="27">
        <f t="shared" ref="I67:I70" si="26">F67-F66</f>
        <v>2.2462928256720147</v>
      </c>
      <c r="K67" s="27">
        <f t="shared" ref="K67:K70" si="27">K66</f>
        <v>4.7971423103016636E-2</v>
      </c>
      <c r="L67" s="27">
        <f t="shared" ref="L67:L70" si="28">L66</f>
        <v>0.95202857689698339</v>
      </c>
    </row>
    <row r="68" spans="1:12" x14ac:dyDescent="0.2">
      <c r="A68" s="45"/>
      <c r="D68" s="27">
        <v>4</v>
      </c>
      <c r="E68" s="27">
        <f>B67*$P$13</f>
        <v>334.78141572302974</v>
      </c>
      <c r="F68" s="27">
        <f>C67*$P$13</f>
        <v>226.87557539287201</v>
      </c>
      <c r="H68" s="27">
        <f t="shared" si="25"/>
        <v>3.3146674824062643</v>
      </c>
      <c r="I68" s="27">
        <f t="shared" si="26"/>
        <v>2.2462928256720147</v>
      </c>
      <c r="K68" s="27">
        <f t="shared" si="27"/>
        <v>4.7971423103016636E-2</v>
      </c>
      <c r="L68" s="27">
        <f t="shared" si="28"/>
        <v>0.95202857689698339</v>
      </c>
    </row>
    <row r="69" spans="1:12" x14ac:dyDescent="0.2">
      <c r="A69" s="45"/>
      <c r="D69" s="27">
        <v>5</v>
      </c>
      <c r="E69" s="27">
        <f>B67*$P$14</f>
        <v>364.61342306468583</v>
      </c>
      <c r="F69" s="27">
        <f>C67*$P$14</f>
        <v>247.09221082392003</v>
      </c>
      <c r="H69" s="27">
        <f t="shared" si="25"/>
        <v>29.832007341656094</v>
      </c>
      <c r="I69" s="27">
        <f t="shared" si="26"/>
        <v>20.216635431048019</v>
      </c>
      <c r="K69" s="27">
        <f t="shared" si="27"/>
        <v>4.7971423103016636E-2</v>
      </c>
      <c r="L69" s="27">
        <f t="shared" si="28"/>
        <v>0.95202857689698339</v>
      </c>
    </row>
    <row r="70" spans="1:12" x14ac:dyDescent="0.2">
      <c r="A70" s="45"/>
      <c r="D70" s="27">
        <v>6</v>
      </c>
      <c r="E70" s="27">
        <f>B67*$P$15</f>
        <v>397.76009788874813</v>
      </c>
      <c r="F70" s="27">
        <f>C67*$P$15</f>
        <v>269.55513908064</v>
      </c>
      <c r="H70" s="27">
        <f t="shared" si="25"/>
        <v>33.146674824062302</v>
      </c>
      <c r="I70" s="27">
        <f t="shared" si="26"/>
        <v>22.462928256719977</v>
      </c>
      <c r="K70" s="27">
        <f t="shared" si="27"/>
        <v>4.7971423103016636E-2</v>
      </c>
      <c r="L70" s="27">
        <f t="shared" si="28"/>
        <v>0.95202857689698339</v>
      </c>
    </row>
    <row r="71" spans="1:12" x14ac:dyDescent="0.2">
      <c r="A71" s="45"/>
    </row>
    <row r="72" spans="1:12" ht="15" x14ac:dyDescent="0.25">
      <c r="A72" s="46" t="s">
        <v>1156</v>
      </c>
    </row>
    <row r="73" spans="1:12" ht="15" x14ac:dyDescent="0.25">
      <c r="A73" s="46"/>
      <c r="D73" s="27">
        <v>1</v>
      </c>
      <c r="E73" s="27">
        <f>B75*$P$10</f>
        <v>347.33366693999994</v>
      </c>
      <c r="F73" s="27">
        <f>C75*$P$10</f>
        <v>121.32691539234401</v>
      </c>
      <c r="H73" s="27">
        <f>E73</f>
        <v>347.33366693999994</v>
      </c>
      <c r="I73" s="27">
        <f>F73</f>
        <v>121.32691539234401</v>
      </c>
      <c r="K73" s="27">
        <f>Types!Z20/(Types!Z20+Types!Z22)</f>
        <v>0.75157991537561497</v>
      </c>
      <c r="L73" s="27">
        <f>1-K73</f>
        <v>0.24842008462438503</v>
      </c>
    </row>
    <row r="74" spans="1:12" ht="15" x14ac:dyDescent="0.25">
      <c r="A74" s="46"/>
      <c r="D74" s="27">
        <v>2</v>
      </c>
      <c r="E74" s="27">
        <f>B75*$P$11</f>
        <v>687.72066054119989</v>
      </c>
      <c r="F74" s="27">
        <f>C75*$P$11</f>
        <v>240.22729247684114</v>
      </c>
      <c r="H74" s="27">
        <f>E74-E73</f>
        <v>340.38699360119995</v>
      </c>
      <c r="I74" s="27">
        <f>F74-F73</f>
        <v>118.90037708449714</v>
      </c>
      <c r="K74" s="27">
        <f>K73</f>
        <v>0.75157991537561497</v>
      </c>
      <c r="L74" s="27">
        <f>L73</f>
        <v>0.24842008462438503</v>
      </c>
    </row>
    <row r="75" spans="1:12" x14ac:dyDescent="0.2">
      <c r="A75" s="45" t="s">
        <v>1150</v>
      </c>
      <c r="B75" s="27">
        <f>'AEO Coal Prod'!L22</f>
        <v>694.66733387999989</v>
      </c>
      <c r="C75" s="27">
        <f>'AEO Coal Prod'!M22</f>
        <v>242.65383078468801</v>
      </c>
      <c r="D75" s="27">
        <v>3</v>
      </c>
      <c r="E75" s="27">
        <f>B75*$P$12</f>
        <v>694.66733387999989</v>
      </c>
      <c r="F75" s="27">
        <f>C75*$P$12</f>
        <v>242.65383078468801</v>
      </c>
      <c r="H75" s="27">
        <f t="shared" ref="H75:H78" si="29">E75-E74</f>
        <v>6.9466733387999966</v>
      </c>
      <c r="I75" s="27">
        <f t="shared" ref="I75:I78" si="30">F75-F74</f>
        <v>2.4265383078468687</v>
      </c>
      <c r="K75" s="27">
        <f t="shared" ref="K75:K78" si="31">K74</f>
        <v>0.75157991537561497</v>
      </c>
      <c r="L75" s="27">
        <f t="shared" ref="L75:L78" si="32">L74</f>
        <v>0.24842008462438503</v>
      </c>
    </row>
    <row r="76" spans="1:12" x14ac:dyDescent="0.2">
      <c r="A76" s="45"/>
      <c r="D76" s="27">
        <v>4</v>
      </c>
      <c r="E76" s="27">
        <f>B75*$P$13</f>
        <v>701.61400721879988</v>
      </c>
      <c r="F76" s="27">
        <f>C75*$P$13</f>
        <v>245.08036909253488</v>
      </c>
      <c r="H76" s="27">
        <f t="shared" si="29"/>
        <v>6.9466733387999966</v>
      </c>
      <c r="I76" s="27">
        <f t="shared" si="30"/>
        <v>2.4265383078468687</v>
      </c>
      <c r="K76" s="27">
        <f t="shared" si="31"/>
        <v>0.75157991537561497</v>
      </c>
      <c r="L76" s="27">
        <f t="shared" si="32"/>
        <v>0.24842008462438503</v>
      </c>
    </row>
    <row r="77" spans="1:12" x14ac:dyDescent="0.2">
      <c r="A77" s="45"/>
      <c r="D77" s="27">
        <v>5</v>
      </c>
      <c r="E77" s="27">
        <f>B75*$P$14</f>
        <v>764.13406726799997</v>
      </c>
      <c r="F77" s="27">
        <f>C75*$P$14</f>
        <v>266.91921386315681</v>
      </c>
      <c r="H77" s="27">
        <f t="shared" si="29"/>
        <v>62.520060049200083</v>
      </c>
      <c r="I77" s="27">
        <f t="shared" si="30"/>
        <v>21.838844770621932</v>
      </c>
      <c r="K77" s="27">
        <f t="shared" si="31"/>
        <v>0.75157991537561497</v>
      </c>
      <c r="L77" s="27">
        <f t="shared" si="32"/>
        <v>0.24842008462438503</v>
      </c>
    </row>
    <row r="78" spans="1:12" x14ac:dyDescent="0.2">
      <c r="A78" s="45"/>
      <c r="D78" s="27">
        <v>6</v>
      </c>
      <c r="E78" s="27">
        <f>B75*$P$15</f>
        <v>833.60080065599982</v>
      </c>
      <c r="F78" s="27">
        <f>C75*$P$15</f>
        <v>291.18459694162561</v>
      </c>
      <c r="H78" s="27">
        <f t="shared" si="29"/>
        <v>69.466733387999852</v>
      </c>
      <c r="I78" s="27">
        <f t="shared" si="30"/>
        <v>24.265383078468801</v>
      </c>
      <c r="K78" s="27">
        <f t="shared" si="31"/>
        <v>0.75157991537561497</v>
      </c>
      <c r="L78" s="27">
        <f t="shared" si="32"/>
        <v>0.24842008462438503</v>
      </c>
    </row>
    <row r="79" spans="1:12" x14ac:dyDescent="0.2">
      <c r="A79" s="45"/>
    </row>
    <row r="80" spans="1:12" x14ac:dyDescent="0.2">
      <c r="A80" s="45"/>
      <c r="D80" s="27">
        <v>1</v>
      </c>
      <c r="E80" s="27">
        <f>B82*$P$10</f>
        <v>763.8803446124723</v>
      </c>
      <c r="F80" s="27">
        <f>C82*$P$10</f>
        <v>1275.1401361360479</v>
      </c>
      <c r="H80" s="27">
        <f>E80</f>
        <v>763.8803446124723</v>
      </c>
      <c r="I80" s="27">
        <f>F80</f>
        <v>1275.1401361360479</v>
      </c>
      <c r="K80" s="27">
        <f>Types!Z21/(Types!Z21+Types!Z23)</f>
        <v>0.72356857146113662</v>
      </c>
      <c r="L80" s="27">
        <f>1-K80</f>
        <v>0.27643142853886338</v>
      </c>
    </row>
    <row r="81" spans="1:12" x14ac:dyDescent="0.2">
      <c r="A81" s="45"/>
      <c r="D81" s="27">
        <v>2</v>
      </c>
      <c r="E81" s="27">
        <f>B82*$P$11</f>
        <v>1512.4830823326952</v>
      </c>
      <c r="F81" s="27">
        <f>C82*$P$11</f>
        <v>2524.7774695493749</v>
      </c>
      <c r="H81" s="27">
        <f>E81-E80</f>
        <v>748.60273772022288</v>
      </c>
      <c r="I81" s="27">
        <f>F81-F80</f>
        <v>1249.637333413327</v>
      </c>
      <c r="K81" s="27">
        <f>K80</f>
        <v>0.72356857146113662</v>
      </c>
      <c r="L81" s="27">
        <f>L80</f>
        <v>0.27643142853886338</v>
      </c>
    </row>
    <row r="82" spans="1:12" x14ac:dyDescent="0.2">
      <c r="A82" s="45" t="s">
        <v>1151</v>
      </c>
      <c r="B82" s="27">
        <f>'AEO Coal Prod'!L23</f>
        <v>1527.7606892249446</v>
      </c>
      <c r="C82" s="27">
        <f>'AEO Coal Prod'!M23</f>
        <v>2550.2802722720958</v>
      </c>
      <c r="D82" s="27">
        <v>3</v>
      </c>
      <c r="E82" s="27">
        <f>B82*$P$12</f>
        <v>1527.7606892249446</v>
      </c>
      <c r="F82" s="27">
        <f>C82*$P$12</f>
        <v>2550.2802722720958</v>
      </c>
      <c r="H82" s="27">
        <f t="shared" ref="H82:H85" si="33">E82-E81</f>
        <v>15.277606892249423</v>
      </c>
      <c r="I82" s="27">
        <f t="shared" ref="I82:I85" si="34">F82-F81</f>
        <v>25.502802722720844</v>
      </c>
      <c r="K82" s="27">
        <f t="shared" ref="K82:K85" si="35">K81</f>
        <v>0.72356857146113662</v>
      </c>
      <c r="L82" s="27">
        <f t="shared" ref="L82:L85" si="36">L81</f>
        <v>0.27643142853886338</v>
      </c>
    </row>
    <row r="83" spans="1:12" x14ac:dyDescent="0.2">
      <c r="A83" s="45"/>
      <c r="D83" s="27">
        <v>4</v>
      </c>
      <c r="E83" s="27">
        <f>B82*$P$13</f>
        <v>1543.038296117194</v>
      </c>
      <c r="F83" s="27">
        <f>C82*$P$13</f>
        <v>2575.7830749948166</v>
      </c>
      <c r="H83" s="27">
        <f t="shared" si="33"/>
        <v>15.277606892249423</v>
      </c>
      <c r="I83" s="27">
        <f t="shared" si="34"/>
        <v>25.502802722720844</v>
      </c>
      <c r="K83" s="27">
        <f t="shared" si="35"/>
        <v>0.72356857146113662</v>
      </c>
      <c r="L83" s="27">
        <f t="shared" si="36"/>
        <v>0.27643142853886338</v>
      </c>
    </row>
    <row r="84" spans="1:12" x14ac:dyDescent="0.2">
      <c r="A84" s="45"/>
      <c r="D84" s="27">
        <v>5</v>
      </c>
      <c r="E84" s="27">
        <f>B82*$P$14</f>
        <v>1680.5367581474393</v>
      </c>
      <c r="F84" s="27">
        <f>C82*$P$14</f>
        <v>2805.3082994993056</v>
      </c>
      <c r="H84" s="27">
        <f t="shared" si="33"/>
        <v>137.49846203024526</v>
      </c>
      <c r="I84" s="27">
        <f t="shared" si="34"/>
        <v>229.52522450448896</v>
      </c>
      <c r="K84" s="27">
        <f t="shared" si="35"/>
        <v>0.72356857146113662</v>
      </c>
      <c r="L84" s="27">
        <f t="shared" si="36"/>
        <v>0.27643142853886338</v>
      </c>
    </row>
    <row r="85" spans="1:12" x14ac:dyDescent="0.2">
      <c r="A85" s="45"/>
      <c r="D85" s="27">
        <v>6</v>
      </c>
      <c r="E85" s="27">
        <f>B82*$P$15</f>
        <v>1833.3128270699335</v>
      </c>
      <c r="F85" s="27">
        <f>C82*$P$15</f>
        <v>3060.3363267265149</v>
      </c>
      <c r="H85" s="27">
        <f t="shared" si="33"/>
        <v>152.77606892249423</v>
      </c>
      <c r="I85" s="27">
        <f t="shared" si="34"/>
        <v>255.02802722720935</v>
      </c>
      <c r="K85" s="27">
        <f t="shared" si="35"/>
        <v>0.72356857146113662</v>
      </c>
      <c r="L85" s="27">
        <f t="shared" si="36"/>
        <v>0.27643142853886338</v>
      </c>
    </row>
    <row r="86" spans="1:12" x14ac:dyDescent="0.2">
      <c r="A86" s="45"/>
    </row>
    <row r="87" spans="1:12" x14ac:dyDescent="0.2">
      <c r="A87" s="45"/>
      <c r="D87" s="27">
        <v>1</v>
      </c>
      <c r="E87" s="27">
        <f>B89*$P$10</f>
        <v>19.456076372079306</v>
      </c>
      <c r="F87" s="27">
        <f>C89*$P$10</f>
        <v>15.011237592735998</v>
      </c>
      <c r="H87" s="27">
        <f>E87</f>
        <v>19.456076372079306</v>
      </c>
      <c r="I87" s="27">
        <f>F87</f>
        <v>15.011237592735998</v>
      </c>
    </row>
    <row r="88" spans="1:12" x14ac:dyDescent="0.2">
      <c r="A88" s="45"/>
      <c r="D88" s="27">
        <v>2</v>
      </c>
      <c r="E88" s="27">
        <f>B89*$P$11</f>
        <v>38.523031216717023</v>
      </c>
      <c r="F88" s="27">
        <f>C89*$P$11</f>
        <v>29.722250433617276</v>
      </c>
      <c r="H88" s="27">
        <f>E88-E87</f>
        <v>19.066954844637717</v>
      </c>
      <c r="I88" s="27">
        <f>F88-F87</f>
        <v>14.711012840881278</v>
      </c>
    </row>
    <row r="89" spans="1:12" x14ac:dyDescent="0.2">
      <c r="A89" s="45" t="s">
        <v>1158</v>
      </c>
      <c r="B89" s="27">
        <f>'AEO Coal Prod'!L24</f>
        <v>38.912152744158611</v>
      </c>
      <c r="C89" s="27">
        <f>'AEO Coal Prod'!M24</f>
        <v>30.022475185471997</v>
      </c>
      <c r="D89" s="27">
        <v>3</v>
      </c>
      <c r="E89" s="27">
        <f>B89*$P$12</f>
        <v>38.912152744158611</v>
      </c>
      <c r="F89" s="27">
        <f>C89*$P$12</f>
        <v>30.022475185471997</v>
      </c>
      <c r="H89" s="27">
        <f t="shared" ref="H89:H92" si="37">E89-E88</f>
        <v>0.38912152744158846</v>
      </c>
      <c r="I89" s="27">
        <f t="shared" ref="I89:I92" si="38">F89-F88</f>
        <v>0.30022475185472075</v>
      </c>
    </row>
    <row r="90" spans="1:12" x14ac:dyDescent="0.2">
      <c r="A90" s="45"/>
      <c r="D90" s="27">
        <v>4</v>
      </c>
      <c r="E90" s="27">
        <f>B89*$P$13</f>
        <v>39.301274271600199</v>
      </c>
      <c r="F90" s="27">
        <f>C89*$P$13</f>
        <v>30.322699937326718</v>
      </c>
      <c r="H90" s="27">
        <f t="shared" si="37"/>
        <v>0.38912152744158846</v>
      </c>
      <c r="I90" s="27">
        <f t="shared" si="38"/>
        <v>0.30022475185472075</v>
      </c>
    </row>
    <row r="91" spans="1:12" x14ac:dyDescent="0.2">
      <c r="A91" s="45"/>
      <c r="D91" s="27">
        <v>5</v>
      </c>
      <c r="E91" s="27">
        <f>B89*$P$14</f>
        <v>42.803368018574474</v>
      </c>
      <c r="F91" s="27">
        <f>C89*$P$14</f>
        <v>33.024722704019197</v>
      </c>
      <c r="H91" s="27">
        <f t="shared" si="37"/>
        <v>3.5020937469742748</v>
      </c>
      <c r="I91" s="27">
        <f t="shared" si="38"/>
        <v>2.7020227666924796</v>
      </c>
    </row>
    <row r="92" spans="1:12" x14ac:dyDescent="0.2">
      <c r="A92" s="45"/>
      <c r="D92" s="27">
        <v>6</v>
      </c>
      <c r="E92" s="27">
        <f>B89*$P$15</f>
        <v>46.69458329299033</v>
      </c>
      <c r="F92" s="27">
        <f>C89*$P$15</f>
        <v>36.026970222566398</v>
      </c>
      <c r="H92" s="27">
        <f t="shared" si="37"/>
        <v>3.8912152744158561</v>
      </c>
      <c r="I92" s="27">
        <f t="shared" si="38"/>
        <v>3.0022475185472004</v>
      </c>
    </row>
    <row r="93" spans="1:12" x14ac:dyDescent="0.2">
      <c r="A93" s="45"/>
    </row>
    <row r="94" spans="1:12" x14ac:dyDescent="0.2">
      <c r="A94" s="45"/>
      <c r="D94" s="27">
        <v>1</v>
      </c>
      <c r="E94" s="27">
        <f>B96*$P$10</f>
        <v>29.482222382879282</v>
      </c>
      <c r="F94" s="27">
        <f>C96*$P$10</f>
        <v>19.953746599999999</v>
      </c>
      <c r="H94" s="27">
        <f>E94</f>
        <v>29.482222382879282</v>
      </c>
      <c r="I94" s="27">
        <f>F94</f>
        <v>19.953746599999999</v>
      </c>
    </row>
    <row r="95" spans="1:12" x14ac:dyDescent="0.2">
      <c r="A95" s="45"/>
      <c r="D95" s="27">
        <v>2</v>
      </c>
      <c r="E95" s="27">
        <f>B96*$P$11</f>
        <v>58.374800318100981</v>
      </c>
      <c r="F95" s="27">
        <f>C96*$P$11</f>
        <v>39.508418268</v>
      </c>
      <c r="H95" s="27">
        <f>E95-E94</f>
        <v>28.892577935221698</v>
      </c>
      <c r="I95" s="27">
        <f>F95-F94</f>
        <v>19.554671668000001</v>
      </c>
    </row>
    <row r="96" spans="1:12" ht="30" x14ac:dyDescent="0.25">
      <c r="A96" s="46" t="s">
        <v>1159</v>
      </c>
      <c r="B96" s="27">
        <f>'AEO Coal Prod'!L26</f>
        <v>58.964444765758564</v>
      </c>
      <c r="C96" s="27">
        <f>'AEO Coal Prod'!M26</f>
        <v>39.907493199999998</v>
      </c>
      <c r="D96" s="27">
        <v>3</v>
      </c>
      <c r="E96" s="27">
        <f>B96*$P$12</f>
        <v>58.964444765758564</v>
      </c>
      <c r="F96" s="27">
        <f>C96*$P$12</f>
        <v>39.907493199999998</v>
      </c>
      <c r="H96" s="27">
        <f t="shared" ref="H96:H99" si="39">E96-E95</f>
        <v>0.58964444765758373</v>
      </c>
      <c r="I96" s="27">
        <f t="shared" ref="I96:I99" si="40">F96-F95</f>
        <v>0.39907493199999777</v>
      </c>
    </row>
    <row r="97" spans="1:9" ht="15" x14ac:dyDescent="0.25">
      <c r="A97" s="46"/>
      <c r="D97" s="27">
        <v>4</v>
      </c>
      <c r="E97" s="27">
        <f>B96*$P$13</f>
        <v>59.554089213416148</v>
      </c>
      <c r="F97" s="27">
        <f>C96*$P$13</f>
        <v>40.306568131999995</v>
      </c>
      <c r="H97" s="27">
        <f t="shared" si="39"/>
        <v>0.58964444765758373</v>
      </c>
      <c r="I97" s="27">
        <f t="shared" si="40"/>
        <v>0.39907493199999777</v>
      </c>
    </row>
    <row r="98" spans="1:9" ht="15" x14ac:dyDescent="0.25">
      <c r="A98" s="46"/>
      <c r="D98" s="27">
        <v>5</v>
      </c>
      <c r="E98" s="27">
        <f>B96*$P$14</f>
        <v>64.860889242334423</v>
      </c>
      <c r="F98" s="27">
        <f>C96*$P$14</f>
        <v>43.898242520000004</v>
      </c>
      <c r="H98" s="27">
        <f t="shared" si="39"/>
        <v>5.3068000289182748</v>
      </c>
      <c r="I98" s="27">
        <f t="shared" si="40"/>
        <v>3.5916743880000084</v>
      </c>
    </row>
    <row r="99" spans="1:9" ht="15" x14ac:dyDescent="0.25">
      <c r="A99" s="46"/>
      <c r="D99" s="27">
        <v>6</v>
      </c>
      <c r="E99" s="27">
        <f>B96*$P$15</f>
        <v>70.757333718910274</v>
      </c>
      <c r="F99" s="27">
        <f>C96*$P$15</f>
        <v>47.888991839999996</v>
      </c>
      <c r="H99" s="27">
        <f t="shared" si="39"/>
        <v>5.8964444765758515</v>
      </c>
      <c r="I99" s="27">
        <f t="shared" si="40"/>
        <v>3.9907493199999919</v>
      </c>
    </row>
    <row r="100" spans="1:9" x14ac:dyDescent="0.2">
      <c r="A100" s="45"/>
    </row>
    <row r="101" spans="1:9" ht="15" x14ac:dyDescent="0.25">
      <c r="A101" s="46" t="s">
        <v>1160</v>
      </c>
    </row>
    <row r="102" spans="1:9" ht="15" x14ac:dyDescent="0.25">
      <c r="A102" s="46"/>
      <c r="D102" s="27">
        <v>1</v>
      </c>
      <c r="E102" s="27">
        <f>B104*$P$10</f>
        <v>165.58428467469102</v>
      </c>
      <c r="F102" s="27">
        <f>C104*$P$10</f>
        <v>276.46896191095885</v>
      </c>
      <c r="H102" s="27">
        <f>E102</f>
        <v>165.58428467469102</v>
      </c>
      <c r="I102" s="27">
        <f>F102</f>
        <v>276.46896191095885</v>
      </c>
    </row>
    <row r="103" spans="1:9" ht="15" x14ac:dyDescent="0.25">
      <c r="A103" s="46"/>
      <c r="D103" s="27">
        <v>2</v>
      </c>
      <c r="E103" s="27">
        <f>B104*$P$11</f>
        <v>327.85688365588823</v>
      </c>
      <c r="F103" s="27">
        <f>C104*$P$11</f>
        <v>547.40854458369847</v>
      </c>
      <c r="H103" s="27">
        <f>E103-E102</f>
        <v>162.27259898119721</v>
      </c>
      <c r="I103" s="27">
        <f>F103-F102</f>
        <v>270.93958267273962</v>
      </c>
    </row>
    <row r="104" spans="1:9" x14ac:dyDescent="0.2">
      <c r="A104" s="45" t="s">
        <v>1158</v>
      </c>
      <c r="B104" s="27">
        <f>'AEO Coal Prod'!L29</f>
        <v>331.16856934938204</v>
      </c>
      <c r="C104" s="27">
        <f>'AEO Coal Prod'!M29</f>
        <v>552.93792382191771</v>
      </c>
      <c r="D104" s="27">
        <v>3</v>
      </c>
      <c r="E104" s="27">
        <f>B104*$P$12</f>
        <v>331.16856934938204</v>
      </c>
      <c r="F104" s="27">
        <f>C104*$P$12</f>
        <v>552.93792382191771</v>
      </c>
      <c r="H104" s="27">
        <f t="shared" ref="H104:H107" si="41">E104-E103</f>
        <v>3.3116856934938141</v>
      </c>
      <c r="I104" s="27">
        <f t="shared" ref="I104:I107" si="42">F104-F103</f>
        <v>5.529379238219235</v>
      </c>
    </row>
    <row r="105" spans="1:9" x14ac:dyDescent="0.2">
      <c r="A105" s="45"/>
      <c r="D105" s="27">
        <v>4</v>
      </c>
      <c r="E105" s="27">
        <f>B104*$P$13</f>
        <v>334.48025504287585</v>
      </c>
      <c r="F105" s="27">
        <f>C104*$P$13</f>
        <v>558.46730306013694</v>
      </c>
      <c r="H105" s="27">
        <f t="shared" si="41"/>
        <v>3.3116856934938141</v>
      </c>
      <c r="I105" s="27">
        <f t="shared" si="42"/>
        <v>5.529379238219235</v>
      </c>
    </row>
    <row r="106" spans="1:9" x14ac:dyDescent="0.2">
      <c r="A106" s="45"/>
      <c r="D106" s="27">
        <v>5</v>
      </c>
      <c r="E106" s="27">
        <f>B104*$P$14</f>
        <v>364.28542628432029</v>
      </c>
      <c r="F106" s="27">
        <f>C104*$P$14</f>
        <v>608.23171620410949</v>
      </c>
      <c r="H106" s="27">
        <f t="shared" si="41"/>
        <v>29.805171241444441</v>
      </c>
      <c r="I106" s="27">
        <f t="shared" si="42"/>
        <v>49.764413143972547</v>
      </c>
    </row>
    <row r="107" spans="1:9" x14ac:dyDescent="0.2">
      <c r="A107" s="45"/>
      <c r="D107" s="27">
        <v>6</v>
      </c>
      <c r="E107" s="27">
        <f>B104*$P$15</f>
        <v>397.40228321925844</v>
      </c>
      <c r="F107" s="27">
        <f>C104*$P$15</f>
        <v>663.52550858630127</v>
      </c>
      <c r="H107" s="27">
        <f t="shared" si="41"/>
        <v>33.116856934938141</v>
      </c>
      <c r="I107" s="27">
        <f t="shared" si="42"/>
        <v>55.293792382191782</v>
      </c>
    </row>
    <row r="108" spans="1:9" x14ac:dyDescent="0.2">
      <c r="A108" s="45"/>
    </row>
    <row r="109" spans="1:9" x14ac:dyDescent="0.2">
      <c r="A109" s="45"/>
      <c r="D109" s="27">
        <v>1</v>
      </c>
      <c r="E109" s="27">
        <f>B111*$P$10</f>
        <v>169.38513042467449</v>
      </c>
      <c r="F109" s="27">
        <f>C111*$P$10</f>
        <v>68.512425212967997</v>
      </c>
      <c r="H109" s="27">
        <f>E109</f>
        <v>169.38513042467449</v>
      </c>
      <c r="I109" s="27">
        <f>F109</f>
        <v>68.512425212967997</v>
      </c>
    </row>
    <row r="110" spans="1:9" x14ac:dyDescent="0.2">
      <c r="A110" s="45"/>
      <c r="D110" s="27">
        <v>2</v>
      </c>
      <c r="E110" s="27">
        <f>B111*$P$11</f>
        <v>335.38255824085547</v>
      </c>
      <c r="F110" s="27">
        <f>C111*$P$11</f>
        <v>135.65460192167663</v>
      </c>
      <c r="H110" s="27">
        <f>E110-E109</f>
        <v>165.99742781618099</v>
      </c>
      <c r="I110" s="27">
        <f>F110-F109</f>
        <v>67.142176708708632</v>
      </c>
    </row>
    <row r="111" spans="1:9" x14ac:dyDescent="0.2">
      <c r="A111" s="45" t="s">
        <v>1161</v>
      </c>
      <c r="B111" s="27">
        <f>'AEO Coal Prod'!L30</f>
        <v>338.77026084934897</v>
      </c>
      <c r="C111" s="27">
        <f>'AEO Coal Prod'!M30</f>
        <v>137.02485042593599</v>
      </c>
      <c r="D111" s="27">
        <v>3</v>
      </c>
      <c r="E111" s="27">
        <f>B111*$P$12</f>
        <v>338.77026084934897</v>
      </c>
      <c r="F111" s="27">
        <f>C111*$P$12</f>
        <v>137.02485042593599</v>
      </c>
      <c r="H111" s="27">
        <f t="shared" ref="H111:H114" si="43">E111-E110</f>
        <v>3.3877026084934982</v>
      </c>
      <c r="I111" s="27">
        <f t="shared" ref="I111:I114" si="44">F111-F110</f>
        <v>1.3702485042593651</v>
      </c>
    </row>
    <row r="112" spans="1:9" x14ac:dyDescent="0.2">
      <c r="A112" s="45"/>
      <c r="D112" s="27">
        <v>4</v>
      </c>
      <c r="E112" s="27">
        <f>B111*$P$13</f>
        <v>342.15796345784247</v>
      </c>
      <c r="F112" s="27">
        <f>C111*$P$13</f>
        <v>138.39509893019536</v>
      </c>
      <c r="H112" s="27">
        <f t="shared" si="43"/>
        <v>3.3877026084934982</v>
      </c>
      <c r="I112" s="27">
        <f t="shared" si="44"/>
        <v>1.3702485042593651</v>
      </c>
    </row>
    <row r="113" spans="1:9" x14ac:dyDescent="0.2">
      <c r="A113" s="45"/>
      <c r="D113" s="27">
        <v>5</v>
      </c>
      <c r="E113" s="27">
        <f>B111*$P$14</f>
        <v>372.6472869342839</v>
      </c>
      <c r="F113" s="27">
        <f>C111*$P$14</f>
        <v>150.72733546852962</v>
      </c>
      <c r="H113" s="27">
        <f t="shared" si="43"/>
        <v>30.489323476441427</v>
      </c>
      <c r="I113" s="27">
        <f t="shared" si="44"/>
        <v>12.332236538334257</v>
      </c>
    </row>
    <row r="114" spans="1:9" x14ac:dyDescent="0.2">
      <c r="A114" s="45"/>
      <c r="D114" s="27">
        <v>6</v>
      </c>
      <c r="E114" s="27">
        <f>B111*$P$15</f>
        <v>406.52431301921877</v>
      </c>
      <c r="F114" s="27">
        <f>C111*$P$15</f>
        <v>164.42982051112318</v>
      </c>
      <c r="H114" s="27">
        <f t="shared" si="43"/>
        <v>33.877026084934869</v>
      </c>
      <c r="I114" s="27">
        <f t="shared" si="44"/>
        <v>13.702485042593565</v>
      </c>
    </row>
    <row r="115" spans="1:9" x14ac:dyDescent="0.2">
      <c r="A115" s="45"/>
    </row>
    <row r="116" spans="1:9" x14ac:dyDescent="0.2">
      <c r="A116" s="45"/>
      <c r="D116" s="27">
        <v>1</v>
      </c>
      <c r="E116" s="27">
        <f>B118*$P$10</f>
        <v>211.08025979518465</v>
      </c>
      <c r="F116" s="27">
        <f>C118*$P$10</f>
        <v>199.20637940416799</v>
      </c>
      <c r="H116" s="27">
        <f>E116</f>
        <v>211.08025979518465</v>
      </c>
      <c r="I116" s="27">
        <f>F116</f>
        <v>199.20637940416799</v>
      </c>
    </row>
    <row r="117" spans="1:9" x14ac:dyDescent="0.2">
      <c r="A117" s="45"/>
      <c r="D117" s="27">
        <v>2</v>
      </c>
      <c r="E117" s="27">
        <f>B118*$P$11</f>
        <v>417.9389143944656</v>
      </c>
      <c r="F117" s="27">
        <f>C118*$P$11</f>
        <v>394.42863122025261</v>
      </c>
      <c r="H117" s="27">
        <f>E117-E116</f>
        <v>206.85865459928095</v>
      </c>
      <c r="I117" s="27">
        <f>F117-F116</f>
        <v>195.22225181608462</v>
      </c>
    </row>
    <row r="118" spans="1:9" ht="15" x14ac:dyDescent="0.25">
      <c r="A118" s="46" t="s">
        <v>1162</v>
      </c>
      <c r="B118" s="27">
        <f>'AEO Coal Prod'!L32</f>
        <v>422.16051959036929</v>
      </c>
      <c r="C118" s="27">
        <f>'AEO Coal Prod'!M32</f>
        <v>398.41275880833598</v>
      </c>
      <c r="D118" s="27">
        <v>3</v>
      </c>
      <c r="E118" s="27">
        <f>B118*$P$12</f>
        <v>422.16051959036929</v>
      </c>
      <c r="F118" s="27">
        <f>C118*$P$12</f>
        <v>398.41275880833598</v>
      </c>
      <c r="H118" s="27">
        <f t="shared" ref="H118:H121" si="45">E118-E117</f>
        <v>4.2216051959036918</v>
      </c>
      <c r="I118" s="27">
        <f t="shared" ref="I118:I121" si="46">F118-F117</f>
        <v>3.9841275880833678</v>
      </c>
    </row>
    <row r="119" spans="1:9" x14ac:dyDescent="0.2">
      <c r="A119" s="45"/>
      <c r="D119" s="27">
        <v>4</v>
      </c>
      <c r="E119" s="27">
        <f>B118*$P$13</f>
        <v>426.38212478627298</v>
      </c>
      <c r="F119" s="27">
        <f>C118*$P$13</f>
        <v>402.39688639641935</v>
      </c>
      <c r="H119" s="27">
        <f t="shared" si="45"/>
        <v>4.2216051959036918</v>
      </c>
      <c r="I119" s="27">
        <f t="shared" si="46"/>
        <v>3.9841275880833678</v>
      </c>
    </row>
    <row r="120" spans="1:9" x14ac:dyDescent="0.2">
      <c r="A120" s="45"/>
      <c r="D120" s="27">
        <v>5</v>
      </c>
      <c r="E120" s="27">
        <f>B118*$P$14</f>
        <v>464.37657154940626</v>
      </c>
      <c r="F120" s="27">
        <f>C118*$P$14</f>
        <v>438.2540346891696</v>
      </c>
      <c r="H120" s="27">
        <f t="shared" si="45"/>
        <v>37.994446763133283</v>
      </c>
      <c r="I120" s="27">
        <f t="shared" si="46"/>
        <v>35.857148292750253</v>
      </c>
    </row>
    <row r="121" spans="1:9" x14ac:dyDescent="0.2">
      <c r="A121" s="45"/>
      <c r="D121" s="27">
        <v>6</v>
      </c>
      <c r="E121" s="27">
        <f>B118*$P$15</f>
        <v>506.59262350844313</v>
      </c>
      <c r="F121" s="27">
        <f>C118*$P$15</f>
        <v>478.09531057000316</v>
      </c>
      <c r="H121" s="27">
        <f t="shared" si="45"/>
        <v>42.216051959036861</v>
      </c>
      <c r="I121" s="27">
        <f t="shared" si="46"/>
        <v>39.841275880833564</v>
      </c>
    </row>
    <row r="122" spans="1:9" x14ac:dyDescent="0.2">
      <c r="A122" s="45"/>
    </row>
    <row r="123" spans="1:9" ht="15" x14ac:dyDescent="0.25">
      <c r="A123" s="46" t="s">
        <v>1163</v>
      </c>
    </row>
    <row r="124" spans="1:9" ht="15" x14ac:dyDescent="0.25">
      <c r="A124" s="46"/>
      <c r="D124" s="27">
        <v>1</v>
      </c>
      <c r="E124" s="27">
        <f>B126*$P$10</f>
        <v>0</v>
      </c>
      <c r="F124" s="27">
        <f>C126*$P$10</f>
        <v>53.668713104607995</v>
      </c>
      <c r="H124" s="27">
        <f>E124</f>
        <v>0</v>
      </c>
      <c r="I124" s="27">
        <f>F124</f>
        <v>53.668713104607995</v>
      </c>
    </row>
    <row r="125" spans="1:9" ht="15" x14ac:dyDescent="0.25">
      <c r="A125" s="46"/>
      <c r="D125" s="27">
        <v>2</v>
      </c>
      <c r="E125" s="27">
        <f>B126*$P$11</f>
        <v>0</v>
      </c>
      <c r="F125" s="27">
        <f>C126*$P$11</f>
        <v>106.26405194712383</v>
      </c>
      <c r="H125" s="27">
        <f>E125-E124</f>
        <v>0</v>
      </c>
      <c r="I125" s="27">
        <f>F125-F124</f>
        <v>52.595338842515837</v>
      </c>
    </row>
    <row r="126" spans="1:9" x14ac:dyDescent="0.2">
      <c r="A126" s="45" t="s">
        <v>1153</v>
      </c>
      <c r="B126" s="27">
        <f>'AEO Coal Prod'!L35</f>
        <v>0</v>
      </c>
      <c r="C126" s="27">
        <f>'AEO Coal Prod'!M35</f>
        <v>107.33742620921599</v>
      </c>
      <c r="D126" s="27">
        <v>3</v>
      </c>
      <c r="E126" s="27">
        <f>B126*$P$12</f>
        <v>0</v>
      </c>
      <c r="F126" s="27">
        <f>C126*$P$12</f>
        <v>107.33742620921599</v>
      </c>
      <c r="H126" s="27">
        <f t="shared" ref="H126:H129" si="47">E126-E125</f>
        <v>0</v>
      </c>
      <c r="I126" s="27">
        <f t="shared" ref="I126:I129" si="48">F126-F125</f>
        <v>1.0733742620921589</v>
      </c>
    </row>
    <row r="127" spans="1:9" x14ac:dyDescent="0.2">
      <c r="A127" s="45"/>
      <c r="D127" s="27">
        <v>4</v>
      </c>
      <c r="E127" s="27">
        <f>B126*$P$13</f>
        <v>0</v>
      </c>
      <c r="F127" s="27">
        <f>C126*$P$13</f>
        <v>108.41080047130815</v>
      </c>
      <c r="H127" s="27">
        <f t="shared" si="47"/>
        <v>0</v>
      </c>
      <c r="I127" s="27">
        <f t="shared" si="48"/>
        <v>1.0733742620921589</v>
      </c>
    </row>
    <row r="128" spans="1:9" x14ac:dyDescent="0.2">
      <c r="A128" s="45"/>
      <c r="D128" s="27">
        <v>5</v>
      </c>
      <c r="E128" s="27">
        <f>B126*$P$14</f>
        <v>0</v>
      </c>
      <c r="F128" s="27">
        <f>C126*$P$14</f>
        <v>118.07116883013759</v>
      </c>
      <c r="H128" s="27">
        <f t="shared" si="47"/>
        <v>0</v>
      </c>
      <c r="I128" s="27">
        <f t="shared" si="48"/>
        <v>9.6603683588294444</v>
      </c>
    </row>
    <row r="129" spans="1:9" x14ac:dyDescent="0.2">
      <c r="A129" s="45"/>
      <c r="D129" s="27">
        <v>6</v>
      </c>
      <c r="E129" s="27">
        <f>B126*$P$15</f>
        <v>0</v>
      </c>
      <c r="F129" s="27">
        <f>C126*$P$15</f>
        <v>128.80491145105918</v>
      </c>
      <c r="H129" s="27">
        <f t="shared" si="47"/>
        <v>0</v>
      </c>
      <c r="I129" s="27">
        <f t="shared" si="48"/>
        <v>10.733742620921589</v>
      </c>
    </row>
    <row r="130" spans="1:9" x14ac:dyDescent="0.2">
      <c r="A130" s="45"/>
    </row>
    <row r="131" spans="1:9" x14ac:dyDescent="0.2">
      <c r="A131" s="45"/>
      <c r="D131" s="27">
        <v>1</v>
      </c>
      <c r="E131" s="27">
        <f>B133*$P$10</f>
        <v>196.59860896894847</v>
      </c>
      <c r="F131" s="27">
        <f>C133*$P$10</f>
        <v>183.7036867036</v>
      </c>
      <c r="H131" s="27">
        <f>E131</f>
        <v>196.59860896894847</v>
      </c>
      <c r="I131" s="27">
        <f>F131</f>
        <v>183.7036867036</v>
      </c>
    </row>
    <row r="132" spans="1:9" x14ac:dyDescent="0.2">
      <c r="A132" s="45"/>
      <c r="D132" s="27">
        <v>2</v>
      </c>
      <c r="E132" s="27">
        <f>B133*$P$11</f>
        <v>389.26524575851795</v>
      </c>
      <c r="F132" s="27">
        <f>C133*$P$11</f>
        <v>363.73329967312799</v>
      </c>
      <c r="H132" s="27">
        <f>E132-E131</f>
        <v>192.66663678956948</v>
      </c>
      <c r="I132" s="27">
        <f>F132-F131</f>
        <v>180.02961296952799</v>
      </c>
    </row>
    <row r="133" spans="1:9" x14ac:dyDescent="0.2">
      <c r="A133" s="45" t="s">
        <v>1164</v>
      </c>
      <c r="B133" s="27">
        <f>'AEO Coal Prod'!L36</f>
        <v>393.19721793789694</v>
      </c>
      <c r="C133" s="27">
        <f>'AEO Coal Prod'!M36</f>
        <v>367.4073734072</v>
      </c>
      <c r="D133" s="27">
        <v>3</v>
      </c>
      <c r="E133" s="27">
        <f>B133*$P$12</f>
        <v>393.19721793789694</v>
      </c>
      <c r="F133" s="27">
        <f>C133*$P$12</f>
        <v>367.4073734072</v>
      </c>
      <c r="H133" s="27">
        <f t="shared" ref="H133:H136" si="49">E133-E132</f>
        <v>3.9319721793789881</v>
      </c>
      <c r="I133" s="27">
        <f t="shared" ref="I133:I136" si="50">F133-F132</f>
        <v>3.6740737340720102</v>
      </c>
    </row>
    <row r="134" spans="1:9" x14ac:dyDescent="0.2">
      <c r="A134" s="45"/>
      <c r="D134" s="27">
        <v>4</v>
      </c>
      <c r="E134" s="27">
        <f>B133*$P$13</f>
        <v>397.12919011727593</v>
      </c>
      <c r="F134" s="27">
        <f>C133*$P$13</f>
        <v>371.08144714127201</v>
      </c>
      <c r="H134" s="27">
        <f t="shared" si="49"/>
        <v>3.9319721793789881</v>
      </c>
      <c r="I134" s="27">
        <f t="shared" si="50"/>
        <v>3.6740737340720102</v>
      </c>
    </row>
    <row r="135" spans="1:9" x14ac:dyDescent="0.2">
      <c r="A135" s="45"/>
      <c r="D135" s="27">
        <v>5</v>
      </c>
      <c r="E135" s="27">
        <f>B133*$P$14</f>
        <v>432.51693973168665</v>
      </c>
      <c r="F135" s="27">
        <f>C133*$P$14</f>
        <v>404.14811074792004</v>
      </c>
      <c r="H135" s="27">
        <f t="shared" si="49"/>
        <v>35.387749614410723</v>
      </c>
      <c r="I135" s="27">
        <f t="shared" si="50"/>
        <v>33.066663606648035</v>
      </c>
    </row>
    <row r="136" spans="1:9" x14ac:dyDescent="0.2">
      <c r="A136" s="45"/>
      <c r="D136" s="27">
        <v>6</v>
      </c>
      <c r="E136" s="27">
        <f>B133*$P$15</f>
        <v>471.8366615254763</v>
      </c>
      <c r="F136" s="27">
        <f>C133*$P$15</f>
        <v>440.88884808863997</v>
      </c>
      <c r="H136" s="27">
        <f t="shared" si="49"/>
        <v>39.319721793789654</v>
      </c>
      <c r="I136" s="27">
        <f t="shared" si="50"/>
        <v>36.740737340719932</v>
      </c>
    </row>
    <row r="137" spans="1:9" x14ac:dyDescent="0.2">
      <c r="A137" s="45"/>
    </row>
    <row r="138" spans="1:9" x14ac:dyDescent="0.2">
      <c r="A138" s="45"/>
      <c r="D138" s="27">
        <v>1</v>
      </c>
      <c r="E138" s="27">
        <f>B140*$P$10</f>
        <v>176.81024371705641</v>
      </c>
      <c r="F138" s="27">
        <f>C140*$P$10</f>
        <v>157.23189645299999</v>
      </c>
      <c r="H138" s="27">
        <f>E138</f>
        <v>176.81024371705641</v>
      </c>
      <c r="I138" s="27">
        <f>F138</f>
        <v>157.23189645299999</v>
      </c>
    </row>
    <row r="139" spans="1:9" x14ac:dyDescent="0.2">
      <c r="A139" s="45"/>
      <c r="D139" s="27">
        <v>2</v>
      </c>
      <c r="E139" s="27">
        <f>B140*$P$11</f>
        <v>350.08428255977168</v>
      </c>
      <c r="F139" s="27">
        <f>C140*$P$11</f>
        <v>311.31915497693996</v>
      </c>
      <c r="H139" s="27">
        <f>E139-E138</f>
        <v>173.27403884271527</v>
      </c>
      <c r="I139" s="27">
        <f>F139-F138</f>
        <v>154.08725852393997</v>
      </c>
    </row>
    <row r="140" spans="1:9" x14ac:dyDescent="0.2">
      <c r="A140" s="45" t="s">
        <v>1165</v>
      </c>
      <c r="B140" s="27">
        <f>'AEO Coal Prod'!L37</f>
        <v>353.62048743411282</v>
      </c>
      <c r="C140" s="27">
        <f>'AEO Coal Prod'!M37</f>
        <v>314.46379290599998</v>
      </c>
      <c r="D140" s="27">
        <v>3</v>
      </c>
      <c r="E140" s="27">
        <f>B140*$P$12</f>
        <v>353.62048743411282</v>
      </c>
      <c r="F140" s="27">
        <f>C140*$P$12</f>
        <v>314.46379290599998</v>
      </c>
      <c r="H140" s="27">
        <f t="shared" ref="H140:H143" si="51">E140-E139</f>
        <v>3.5362048743411378</v>
      </c>
      <c r="I140" s="27">
        <f t="shared" ref="I140:I143" si="52">F140-F139</f>
        <v>3.1446379290600248</v>
      </c>
    </row>
    <row r="141" spans="1:9" x14ac:dyDescent="0.2">
      <c r="A141" s="45"/>
      <c r="D141" s="27">
        <v>4</v>
      </c>
      <c r="E141" s="27">
        <f>B140*$P$13</f>
        <v>357.15669230845396</v>
      </c>
      <c r="F141" s="27">
        <f>C140*$P$13</f>
        <v>317.60843083506001</v>
      </c>
      <c r="H141" s="27">
        <f t="shared" si="51"/>
        <v>3.5362048743411378</v>
      </c>
      <c r="I141" s="27">
        <f t="shared" si="52"/>
        <v>3.1446379290600248</v>
      </c>
    </row>
    <row r="142" spans="1:9" x14ac:dyDescent="0.2">
      <c r="A142" s="45"/>
      <c r="D142" s="27">
        <v>5</v>
      </c>
      <c r="E142" s="27">
        <f>B140*$P$14</f>
        <v>388.98253617752414</v>
      </c>
      <c r="F142" s="27">
        <f>C140*$P$14</f>
        <v>345.9101721966</v>
      </c>
      <c r="H142" s="27">
        <f t="shared" si="51"/>
        <v>31.825843869070184</v>
      </c>
      <c r="I142" s="27">
        <f t="shared" si="52"/>
        <v>28.301741361539996</v>
      </c>
    </row>
    <row r="143" spans="1:9" x14ac:dyDescent="0.2">
      <c r="A143" s="45"/>
      <c r="D143" s="27">
        <v>6</v>
      </c>
      <c r="E143" s="27">
        <f>B140*$P$15</f>
        <v>424.34458492093535</v>
      </c>
      <c r="F143" s="27">
        <f>C140*$P$15</f>
        <v>377.35655148719997</v>
      </c>
      <c r="H143" s="27">
        <f t="shared" si="51"/>
        <v>35.362048743411208</v>
      </c>
      <c r="I143" s="27">
        <f t="shared" si="52"/>
        <v>31.446379290599964</v>
      </c>
    </row>
    <row r="144" spans="1:9" x14ac:dyDescent="0.2">
      <c r="A144" s="45"/>
    </row>
    <row r="145" spans="1:9" ht="15" x14ac:dyDescent="0.25">
      <c r="A145" s="46" t="s">
        <v>1166</v>
      </c>
    </row>
    <row r="146" spans="1:9" ht="15" x14ac:dyDescent="0.25">
      <c r="A146" s="46"/>
      <c r="D146" s="27">
        <v>1</v>
      </c>
      <c r="E146" s="27">
        <f>B148*$P$10</f>
        <v>3433.9444626139666</v>
      </c>
      <c r="F146" s="27">
        <f>C148*$P$10</f>
        <v>3763.7240131486187</v>
      </c>
      <c r="H146" s="27">
        <f>E146</f>
        <v>3433.9444626139666</v>
      </c>
      <c r="I146" s="27">
        <f>F146</f>
        <v>3763.7240131486187</v>
      </c>
    </row>
    <row r="147" spans="1:9" ht="15" x14ac:dyDescent="0.25">
      <c r="A147" s="46"/>
      <c r="D147" s="27">
        <v>2</v>
      </c>
      <c r="E147" s="27">
        <f>B148*$P$11</f>
        <v>6799.2100359756541</v>
      </c>
      <c r="F147" s="27">
        <f>C148*$P$11</f>
        <v>7452.1735460342652</v>
      </c>
      <c r="H147" s="27">
        <f>E147-E146</f>
        <v>3365.2655733616875</v>
      </c>
      <c r="I147" s="27">
        <f>F147-F146</f>
        <v>3688.4495328856465</v>
      </c>
    </row>
    <row r="148" spans="1:9" x14ac:dyDescent="0.2">
      <c r="A148" s="45" t="s">
        <v>1164</v>
      </c>
      <c r="B148" s="27">
        <f>'AEO Coal Prod'!L40</f>
        <v>6867.8889252279332</v>
      </c>
      <c r="C148" s="27">
        <f>'AEO Coal Prod'!M40</f>
        <v>7527.4480262972374</v>
      </c>
      <c r="D148" s="27">
        <v>3</v>
      </c>
      <c r="E148" s="27">
        <f>B148*$P$12</f>
        <v>6867.8889252279332</v>
      </c>
      <c r="F148" s="27">
        <f>C148*$P$12</f>
        <v>7527.4480262972374</v>
      </c>
      <c r="H148" s="27">
        <f t="shared" ref="H148:H151" si="53">E148-E147</f>
        <v>68.678889252279077</v>
      </c>
      <c r="I148" s="27">
        <f t="shared" ref="I148:I151" si="54">F148-F147</f>
        <v>75.274480262972247</v>
      </c>
    </row>
    <row r="149" spans="1:9" x14ac:dyDescent="0.2">
      <c r="A149" s="45"/>
      <c r="D149" s="27">
        <v>4</v>
      </c>
      <c r="E149" s="27">
        <f>B148*$P$13</f>
        <v>6936.5678144802123</v>
      </c>
      <c r="F149" s="27">
        <f>C148*$P$13</f>
        <v>7602.7225065602097</v>
      </c>
      <c r="H149" s="27">
        <f t="shared" si="53"/>
        <v>68.678889252279077</v>
      </c>
      <c r="I149" s="27">
        <f t="shared" si="54"/>
        <v>75.274480262972247</v>
      </c>
    </row>
    <row r="150" spans="1:9" x14ac:dyDescent="0.2">
      <c r="A150" s="45"/>
      <c r="D150" s="27">
        <v>5</v>
      </c>
      <c r="E150" s="27">
        <f>B148*$P$14</f>
        <v>7554.6778177507267</v>
      </c>
      <c r="F150" s="27">
        <f>C148*$P$14</f>
        <v>8280.1928289269617</v>
      </c>
      <c r="H150" s="27">
        <f t="shared" si="53"/>
        <v>618.11000327051443</v>
      </c>
      <c r="I150" s="27">
        <f t="shared" si="54"/>
        <v>677.47032236675204</v>
      </c>
    </row>
    <row r="151" spans="1:9" x14ac:dyDescent="0.2">
      <c r="A151" s="45"/>
      <c r="D151" s="27">
        <v>6</v>
      </c>
      <c r="E151" s="27">
        <f>B148*$P$15</f>
        <v>8241.4667102735202</v>
      </c>
      <c r="F151" s="27">
        <f>C148*$P$15</f>
        <v>9032.9376315566842</v>
      </c>
      <c r="H151" s="27">
        <f t="shared" si="53"/>
        <v>686.7888925227935</v>
      </c>
      <c r="I151" s="27">
        <f t="shared" si="54"/>
        <v>752.74480262972247</v>
      </c>
    </row>
    <row r="152" spans="1:9" x14ac:dyDescent="0.2">
      <c r="A152" s="45"/>
    </row>
    <row r="153" spans="1:9" x14ac:dyDescent="0.2">
      <c r="A153" s="45"/>
      <c r="D153" s="27">
        <v>1</v>
      </c>
      <c r="E153" s="27">
        <f>B155*$P$10</f>
        <v>30.632284239990494</v>
      </c>
      <c r="F153" s="27">
        <f>C155*$P$10</f>
        <v>20.618608074351997</v>
      </c>
      <c r="H153" s="27">
        <f>E153</f>
        <v>30.632284239990494</v>
      </c>
      <c r="I153" s="27">
        <f>F153</f>
        <v>20.618608074351997</v>
      </c>
    </row>
    <row r="154" spans="1:9" x14ac:dyDescent="0.2">
      <c r="A154" s="45"/>
      <c r="D154" s="27">
        <v>2</v>
      </c>
      <c r="E154" s="27">
        <f>B155*$P$11</f>
        <v>60.651922795181179</v>
      </c>
      <c r="F154" s="27">
        <f>C155*$P$11</f>
        <v>40.824843987216951</v>
      </c>
      <c r="H154" s="27">
        <f>E154-E153</f>
        <v>30.019638555190685</v>
      </c>
      <c r="I154" s="27">
        <f>F154-F153</f>
        <v>20.206235912864955</v>
      </c>
    </row>
    <row r="155" spans="1:9" x14ac:dyDescent="0.2">
      <c r="A155" s="45" t="s">
        <v>1165</v>
      </c>
      <c r="B155" s="27">
        <f>'AEO Coal Prod'!L41</f>
        <v>61.264568479980987</v>
      </c>
      <c r="C155" s="27">
        <f>'AEO Coal Prod'!M41</f>
        <v>41.237216148703993</v>
      </c>
      <c r="D155" s="27">
        <v>3</v>
      </c>
      <c r="E155" s="27">
        <f>B155*$P$12</f>
        <v>61.264568479980987</v>
      </c>
      <c r="F155" s="27">
        <f>C155*$P$12</f>
        <v>41.237216148703993</v>
      </c>
      <c r="H155" s="27">
        <f t="shared" ref="H155:H158" si="55">E155-E154</f>
        <v>0.61264568479980852</v>
      </c>
      <c r="I155" s="27">
        <f t="shared" ref="I155:I158" si="56">F155-F154</f>
        <v>0.41237216148704192</v>
      </c>
    </row>
    <row r="156" spans="1:9" x14ac:dyDescent="0.2">
      <c r="A156" s="45"/>
      <c r="D156" s="27">
        <v>4</v>
      </c>
      <c r="E156" s="27">
        <f>B155*$P$13</f>
        <v>61.877214164780796</v>
      </c>
      <c r="F156" s="27">
        <f>C155*$P$13</f>
        <v>41.649588310191035</v>
      </c>
      <c r="H156" s="27">
        <f t="shared" si="55"/>
        <v>0.61264568479980852</v>
      </c>
      <c r="I156" s="27">
        <f t="shared" si="56"/>
        <v>0.41237216148704192</v>
      </c>
    </row>
    <row r="157" spans="1:9" x14ac:dyDescent="0.2">
      <c r="A157" s="45"/>
      <c r="D157" s="27">
        <v>5</v>
      </c>
      <c r="E157" s="27">
        <f>B155*$P$14</f>
        <v>67.391025327979094</v>
      </c>
      <c r="F157" s="27">
        <f>C155*$P$14</f>
        <v>45.360937763574398</v>
      </c>
      <c r="H157" s="27">
        <f t="shared" si="55"/>
        <v>5.513811163198298</v>
      </c>
      <c r="I157" s="27">
        <f t="shared" si="56"/>
        <v>3.7113494533833631</v>
      </c>
    </row>
    <row r="158" spans="1:9" x14ac:dyDescent="0.2">
      <c r="A158" s="45"/>
      <c r="D158" s="27">
        <v>6</v>
      </c>
      <c r="E158" s="27">
        <f>B155*$P$15</f>
        <v>73.517482175977179</v>
      </c>
      <c r="F158" s="27">
        <f>C155*$P$15</f>
        <v>49.484659378444789</v>
      </c>
      <c r="H158" s="27">
        <f t="shared" si="55"/>
        <v>6.1264568479980852</v>
      </c>
      <c r="I158" s="27">
        <f t="shared" si="56"/>
        <v>4.1237216148703908</v>
      </c>
    </row>
    <row r="159" spans="1:9" x14ac:dyDescent="0.2">
      <c r="A159" s="45"/>
    </row>
    <row r="160" spans="1:9" ht="15" x14ac:dyDescent="0.25">
      <c r="A160" s="46" t="s">
        <v>1167</v>
      </c>
    </row>
    <row r="161" spans="1:12" ht="15" x14ac:dyDescent="0.25">
      <c r="A161" s="46"/>
      <c r="D161" s="27">
        <v>1</v>
      </c>
      <c r="E161" s="27">
        <f>B163*$P$10</f>
        <v>39.718269001333027</v>
      </c>
      <c r="F161" s="27">
        <f>C163*$P$10</f>
        <v>66.642078909191994</v>
      </c>
      <c r="H161" s="27">
        <f>E161</f>
        <v>39.718269001333027</v>
      </c>
      <c r="I161" s="27">
        <f>F161</f>
        <v>66.642078909191994</v>
      </c>
      <c r="K161" s="27">
        <f>Types!Z35/(Types!Z35+Types!Z36)</f>
        <v>0.57113655577026756</v>
      </c>
      <c r="L161" s="27">
        <f>1-K161</f>
        <v>0.42886344422973244</v>
      </c>
    </row>
    <row r="162" spans="1:12" ht="15" x14ac:dyDescent="0.25">
      <c r="A162" s="46"/>
      <c r="D162" s="27">
        <v>2</v>
      </c>
      <c r="E162" s="27">
        <f>B163*$P$11</f>
        <v>78.642172622639393</v>
      </c>
      <c r="F162" s="27">
        <f>C163*$P$11</f>
        <v>131.95131624020016</v>
      </c>
      <c r="H162" s="27">
        <f>E162-E161</f>
        <v>38.923903621306366</v>
      </c>
      <c r="I162" s="27">
        <f>F162-F161</f>
        <v>65.309237331008163</v>
      </c>
      <c r="K162" s="27">
        <f>K161</f>
        <v>0.57113655577026756</v>
      </c>
      <c r="L162" s="27">
        <f>L161</f>
        <v>0.42886344422973244</v>
      </c>
    </row>
    <row r="163" spans="1:12" x14ac:dyDescent="0.2">
      <c r="A163" s="45" t="s">
        <v>1164</v>
      </c>
      <c r="B163" s="27">
        <f>'AEO Coal Prod'!L44</f>
        <v>79.436538002666055</v>
      </c>
      <c r="C163" s="27">
        <f>'AEO Coal Prod'!M44</f>
        <v>133.28415781838399</v>
      </c>
      <c r="D163" s="27">
        <v>3</v>
      </c>
      <c r="E163" s="27">
        <f>B163*$P$12</f>
        <v>79.436538002666055</v>
      </c>
      <c r="F163" s="27">
        <f>C163*$P$12</f>
        <v>133.28415781838399</v>
      </c>
      <c r="H163" s="27">
        <f t="shared" ref="H163:H166" si="57">E163-E162</f>
        <v>0.79436538002666168</v>
      </c>
      <c r="I163" s="27">
        <f t="shared" ref="I163:I166" si="58">F163-F162</f>
        <v>1.3328415781838316</v>
      </c>
      <c r="K163" s="27">
        <f t="shared" ref="K163:K166" si="59">K162</f>
        <v>0.57113655577026756</v>
      </c>
      <c r="L163" s="27">
        <f t="shared" ref="L163:L166" si="60">L162</f>
        <v>0.42886344422973244</v>
      </c>
    </row>
    <row r="164" spans="1:12" x14ac:dyDescent="0.2">
      <c r="A164" s="45"/>
      <c r="D164" s="27">
        <v>4</v>
      </c>
      <c r="E164" s="27">
        <f>B163*$P$13</f>
        <v>80.230903382692716</v>
      </c>
      <c r="F164" s="27">
        <f>C163*$P$13</f>
        <v>134.61699939656782</v>
      </c>
      <c r="H164" s="27">
        <f t="shared" si="57"/>
        <v>0.79436538002666168</v>
      </c>
      <c r="I164" s="27">
        <f t="shared" si="58"/>
        <v>1.3328415781838316</v>
      </c>
      <c r="K164" s="27">
        <f t="shared" si="59"/>
        <v>0.57113655577026756</v>
      </c>
      <c r="L164" s="27">
        <f t="shared" si="60"/>
        <v>0.42886344422973244</v>
      </c>
    </row>
    <row r="165" spans="1:12" x14ac:dyDescent="0.2">
      <c r="A165" s="45"/>
      <c r="D165" s="27">
        <v>5</v>
      </c>
      <c r="E165" s="27">
        <f>B163*$P$14</f>
        <v>87.380191802932671</v>
      </c>
      <c r="F165" s="27">
        <f>C163*$P$14</f>
        <v>146.61257360022239</v>
      </c>
      <c r="H165" s="27">
        <f t="shared" si="57"/>
        <v>7.1492884202399551</v>
      </c>
      <c r="I165" s="27">
        <f t="shared" si="58"/>
        <v>11.99557420365457</v>
      </c>
      <c r="K165" s="27">
        <f t="shared" si="59"/>
        <v>0.57113655577026756</v>
      </c>
      <c r="L165" s="27">
        <f t="shared" si="60"/>
        <v>0.42886344422973244</v>
      </c>
    </row>
    <row r="166" spans="1:12" x14ac:dyDescent="0.2">
      <c r="A166" s="45"/>
      <c r="D166" s="27">
        <v>6</v>
      </c>
      <c r="E166" s="27">
        <f>B163*$P$15</f>
        <v>95.32384560319926</v>
      </c>
      <c r="F166" s="27">
        <f>C163*$P$15</f>
        <v>159.94098938206079</v>
      </c>
      <c r="H166" s="27">
        <f t="shared" si="57"/>
        <v>7.9436538002665884</v>
      </c>
      <c r="I166" s="27">
        <f t="shared" si="58"/>
        <v>13.328415781838402</v>
      </c>
      <c r="K166" s="27">
        <f t="shared" si="59"/>
        <v>0.57113655577026756</v>
      </c>
      <c r="L166" s="27">
        <f t="shared" si="60"/>
        <v>0.42886344422973244</v>
      </c>
    </row>
    <row r="167" spans="1:12" x14ac:dyDescent="0.2">
      <c r="A167" s="45"/>
    </row>
    <row r="168" spans="1:12" x14ac:dyDescent="0.2">
      <c r="A168" s="45"/>
      <c r="D168" s="27">
        <v>1</v>
      </c>
      <c r="E168" s="27">
        <f>B170*$P$10</f>
        <v>105.14054865792426</v>
      </c>
      <c r="F168" s="27">
        <f>C170*$P$10</f>
        <v>60.780515368079996</v>
      </c>
      <c r="H168" s="27">
        <f>E168</f>
        <v>105.14054865792426</v>
      </c>
      <c r="I168" s="27">
        <f>F168</f>
        <v>60.780515368079996</v>
      </c>
    </row>
    <row r="169" spans="1:12" x14ac:dyDescent="0.2">
      <c r="A169" s="45"/>
      <c r="D169" s="27">
        <v>2</v>
      </c>
      <c r="E169" s="27">
        <f>B170*$P$11</f>
        <v>208.17828634269003</v>
      </c>
      <c r="F169" s="27">
        <f>C170*$P$11</f>
        <v>120.34542042879839</v>
      </c>
      <c r="H169" s="27">
        <f>E169-E168</f>
        <v>103.03773768476577</v>
      </c>
      <c r="I169" s="27">
        <f>F169-F168</f>
        <v>59.564905060718395</v>
      </c>
    </row>
    <row r="170" spans="1:12" x14ac:dyDescent="0.2">
      <c r="A170" s="45" t="s">
        <v>1165</v>
      </c>
      <c r="B170" s="27">
        <f>'AEO Coal Prod'!L45</f>
        <v>210.28109731584851</v>
      </c>
      <c r="C170" s="27">
        <f>'AEO Coal Prod'!M45</f>
        <v>121.56103073615999</v>
      </c>
      <c r="D170" s="27">
        <v>3</v>
      </c>
      <c r="E170" s="27">
        <f>B170*$P$12</f>
        <v>210.28109731584851</v>
      </c>
      <c r="F170" s="27">
        <f>C170*$P$12</f>
        <v>121.56103073615999</v>
      </c>
      <c r="H170" s="27">
        <f t="shared" ref="H170:H173" si="61">E170-E169</f>
        <v>2.1028109731584834</v>
      </c>
      <c r="I170" s="27">
        <f t="shared" ref="I170:I173" si="62">F170-F169</f>
        <v>1.2156103073616009</v>
      </c>
    </row>
    <row r="171" spans="1:12" x14ac:dyDescent="0.2">
      <c r="A171" s="45"/>
      <c r="D171" s="27">
        <v>4</v>
      </c>
      <c r="E171" s="27">
        <f>B170*$P$13</f>
        <v>212.383908289007</v>
      </c>
      <c r="F171" s="27">
        <f>C170*$P$13</f>
        <v>122.77664104352159</v>
      </c>
      <c r="H171" s="27">
        <f t="shared" si="61"/>
        <v>2.1028109731584834</v>
      </c>
      <c r="I171" s="27">
        <f t="shared" si="62"/>
        <v>1.2156103073616009</v>
      </c>
    </row>
    <row r="172" spans="1:12" x14ac:dyDescent="0.2">
      <c r="A172" s="45"/>
      <c r="D172" s="27">
        <v>5</v>
      </c>
      <c r="E172" s="27">
        <f>B170*$P$14</f>
        <v>231.30920704743338</v>
      </c>
      <c r="F172" s="27">
        <f>C170*$P$14</f>
        <v>133.71713380977602</v>
      </c>
      <c r="H172" s="27">
        <f t="shared" si="61"/>
        <v>18.925298758426379</v>
      </c>
      <c r="I172" s="27">
        <f t="shared" si="62"/>
        <v>10.940492766254422</v>
      </c>
    </row>
    <row r="173" spans="1:12" x14ac:dyDescent="0.2">
      <c r="A173" s="45"/>
      <c r="D173" s="27">
        <v>6</v>
      </c>
      <c r="E173" s="27">
        <f>B170*$P$15</f>
        <v>252.33731677901821</v>
      </c>
      <c r="F173" s="27">
        <f>C170*$P$15</f>
        <v>145.873236883392</v>
      </c>
      <c r="H173" s="27">
        <f t="shared" si="61"/>
        <v>21.028109731584834</v>
      </c>
      <c r="I173" s="27">
        <f t="shared" si="62"/>
        <v>12.156103073615981</v>
      </c>
    </row>
    <row r="174" spans="1:12" x14ac:dyDescent="0.2">
      <c r="A174" s="45"/>
    </row>
    <row r="175" spans="1:12" ht="15" x14ac:dyDescent="0.25">
      <c r="A175" s="46" t="s">
        <v>1168</v>
      </c>
    </row>
    <row r="176" spans="1:12" ht="12.75" customHeight="1" x14ac:dyDescent="0.25">
      <c r="A176" s="46"/>
      <c r="D176" s="27">
        <v>1</v>
      </c>
      <c r="E176" s="27">
        <f>B178*$P$10</f>
        <v>0</v>
      </c>
      <c r="F176" s="27">
        <f>C178*$P$10</f>
        <v>0.24556955927999999</v>
      </c>
      <c r="H176" s="27">
        <f>E176</f>
        <v>0</v>
      </c>
      <c r="I176" s="27">
        <f>F176</f>
        <v>0.24556955927999999</v>
      </c>
    </row>
    <row r="177" spans="1:9" ht="12.75" customHeight="1" x14ac:dyDescent="0.25">
      <c r="A177" s="46"/>
      <c r="D177" s="27">
        <v>2</v>
      </c>
      <c r="E177" s="27">
        <f>B178*$P$11</f>
        <v>0</v>
      </c>
      <c r="F177" s="27">
        <f>C178*$P$11</f>
        <v>0.48622772737439995</v>
      </c>
      <c r="H177" s="27">
        <f>E177-E176</f>
        <v>0</v>
      </c>
      <c r="I177" s="27">
        <f>F177-F176</f>
        <v>0.24065816809439997</v>
      </c>
    </row>
    <row r="178" spans="1:9" ht="12.75" customHeight="1" x14ac:dyDescent="0.2">
      <c r="A178" s="45" t="s">
        <v>1155</v>
      </c>
      <c r="B178" s="27">
        <f>'AEO Coal Prod'!L49</f>
        <v>0</v>
      </c>
      <c r="C178" s="27">
        <f>'AEO Coal Prod'!M49</f>
        <v>0.49113911855999998</v>
      </c>
      <c r="D178" s="27">
        <v>3</v>
      </c>
      <c r="E178" s="27">
        <f>B178*$P$12</f>
        <v>0</v>
      </c>
      <c r="F178" s="27">
        <f>C178*$P$12</f>
        <v>0.49113911855999998</v>
      </c>
      <c r="H178" s="27">
        <f t="shared" ref="H178:H181" si="63">E178-E177</f>
        <v>0</v>
      </c>
      <c r="I178" s="27">
        <f t="shared" ref="I178:I181" si="64">F178-F177</f>
        <v>4.9113911856000225E-3</v>
      </c>
    </row>
    <row r="179" spans="1:9" ht="12.75" customHeight="1" x14ac:dyDescent="0.2">
      <c r="A179" s="45"/>
      <c r="D179" s="27">
        <v>4</v>
      </c>
      <c r="E179" s="27">
        <f>B178*$P$13</f>
        <v>0</v>
      </c>
      <c r="F179" s="27">
        <f>C178*$P$13</f>
        <v>0.4960505097456</v>
      </c>
      <c r="H179" s="27">
        <f t="shared" si="63"/>
        <v>0</v>
      </c>
      <c r="I179" s="27">
        <f t="shared" si="64"/>
        <v>4.9113911856000225E-3</v>
      </c>
    </row>
    <row r="180" spans="1:9" ht="12.75" customHeight="1" x14ac:dyDescent="0.2">
      <c r="A180" s="45"/>
      <c r="D180" s="27">
        <v>5</v>
      </c>
      <c r="E180" s="27">
        <f>B178*$P$14</f>
        <v>0</v>
      </c>
      <c r="F180" s="27">
        <f>C178*$P$14</f>
        <v>0.54025303041600004</v>
      </c>
      <c r="H180" s="27">
        <f t="shared" si="63"/>
        <v>0</v>
      </c>
      <c r="I180" s="27">
        <f t="shared" si="64"/>
        <v>4.4202520670400036E-2</v>
      </c>
    </row>
    <row r="181" spans="1:9" ht="12.75" customHeight="1" x14ac:dyDescent="0.2">
      <c r="A181" s="45"/>
      <c r="D181" s="27">
        <v>6</v>
      </c>
      <c r="E181" s="27">
        <f>B178*$P$15</f>
        <v>0</v>
      </c>
      <c r="F181" s="27">
        <f>C178*$P$15</f>
        <v>0.58936694227199993</v>
      </c>
      <c r="H181" s="27">
        <f t="shared" si="63"/>
        <v>0</v>
      </c>
      <c r="I181" s="27">
        <f t="shared" si="64"/>
        <v>4.9113911855999892E-2</v>
      </c>
    </row>
    <row r="182" spans="1:9" ht="12.75" customHeight="1" x14ac:dyDescent="0.2">
      <c r="A182" s="45"/>
    </row>
    <row r="183" spans="1:9" ht="12.75" customHeight="1" x14ac:dyDescent="0.2">
      <c r="A183" s="45"/>
      <c r="D183" s="27">
        <v>1</v>
      </c>
      <c r="E183" s="27">
        <f>B185*$P$10</f>
        <v>635.30744570854654</v>
      </c>
      <c r="F183" s="27">
        <f>C185*$P$10</f>
        <v>493.48971408467463</v>
      </c>
      <c r="H183" s="27">
        <f>E183</f>
        <v>635.30744570854654</v>
      </c>
      <c r="I183" s="27">
        <f>F183</f>
        <v>493.48971408467463</v>
      </c>
    </row>
    <row r="184" spans="1:9" ht="12.75" customHeight="1" x14ac:dyDescent="0.2">
      <c r="A184" s="45"/>
      <c r="D184" s="27">
        <v>2</v>
      </c>
      <c r="E184" s="27">
        <f>B185*$P$11</f>
        <v>1257.9087425029222</v>
      </c>
      <c r="F184" s="27">
        <f>C185*$P$11</f>
        <v>977.10963388765572</v>
      </c>
      <c r="H184" s="27">
        <f>E184-E183</f>
        <v>622.60129679437568</v>
      </c>
      <c r="I184" s="27">
        <f>F184-F183</f>
        <v>483.61991980298109</v>
      </c>
    </row>
    <row r="185" spans="1:9" x14ac:dyDescent="0.2">
      <c r="A185" s="45" t="s">
        <v>1153</v>
      </c>
      <c r="B185" s="27">
        <f>'AEO Coal Prod'!L50</f>
        <v>1270.6148914170931</v>
      </c>
      <c r="C185" s="27">
        <f>'AEO Coal Prod'!M50</f>
        <v>986.97942816934926</v>
      </c>
      <c r="D185" s="27">
        <v>3</v>
      </c>
      <c r="E185" s="27">
        <f>B185*$P$12</f>
        <v>1270.6148914170931</v>
      </c>
      <c r="F185" s="27">
        <f>C185*$P$12</f>
        <v>986.97942816934926</v>
      </c>
      <c r="H185" s="27">
        <f t="shared" ref="H185:H188" si="65">E185-E184</f>
        <v>12.706148914170853</v>
      </c>
      <c r="I185" s="27">
        <f t="shared" ref="I185:I188" si="66">F185-F184</f>
        <v>9.8697942816935438</v>
      </c>
    </row>
    <row r="186" spans="1:9" x14ac:dyDescent="0.2">
      <c r="A186" s="45"/>
      <c r="D186" s="27">
        <v>4</v>
      </c>
      <c r="E186" s="27">
        <f>B185*$P$13</f>
        <v>1283.3210403312639</v>
      </c>
      <c r="F186" s="27">
        <f>C185*$P$13</f>
        <v>996.84922245104281</v>
      </c>
      <c r="H186" s="27">
        <f t="shared" si="65"/>
        <v>12.706148914170853</v>
      </c>
      <c r="I186" s="27">
        <f t="shared" si="66"/>
        <v>9.8697942816935438</v>
      </c>
    </row>
    <row r="187" spans="1:9" x14ac:dyDescent="0.2">
      <c r="A187" s="45"/>
      <c r="D187" s="27">
        <v>5</v>
      </c>
      <c r="E187" s="27">
        <f>B185*$P$14</f>
        <v>1397.6763805588025</v>
      </c>
      <c r="F187" s="27">
        <f>C185*$P$14</f>
        <v>1085.6773709862844</v>
      </c>
      <c r="H187" s="27">
        <f t="shared" si="65"/>
        <v>114.35534022753859</v>
      </c>
      <c r="I187" s="27">
        <f t="shared" si="66"/>
        <v>88.828148535241553</v>
      </c>
    </row>
    <row r="188" spans="1:9" x14ac:dyDescent="0.2">
      <c r="A188" s="45"/>
      <c r="D188" s="27">
        <v>6</v>
      </c>
      <c r="E188" s="27">
        <f>B185*$P$15</f>
        <v>1524.7378697005117</v>
      </c>
      <c r="F188" s="27">
        <f>C185*$P$15</f>
        <v>1184.3753138032191</v>
      </c>
      <c r="H188" s="27">
        <f t="shared" si="65"/>
        <v>127.06148914170922</v>
      </c>
      <c r="I188" s="27">
        <f t="shared" si="66"/>
        <v>98.697942816934756</v>
      </c>
    </row>
    <row r="189" spans="1:9" x14ac:dyDescent="0.2">
      <c r="A189" s="45"/>
    </row>
    <row r="190" spans="1:9" x14ac:dyDescent="0.2">
      <c r="A190" s="45"/>
      <c r="D190" s="27">
        <v>1</v>
      </c>
      <c r="E190" s="27">
        <f>B192*$P$10</f>
        <v>105.87228150429361</v>
      </c>
      <c r="F190" s="27">
        <f>C192*$P$10</f>
        <v>56.584373021279994</v>
      </c>
      <c r="H190" s="27">
        <f>E190</f>
        <v>105.87228150429361</v>
      </c>
      <c r="I190" s="27">
        <f>F190</f>
        <v>56.584373021279994</v>
      </c>
    </row>
    <row r="191" spans="1:9" x14ac:dyDescent="0.2">
      <c r="A191" s="45"/>
      <c r="D191" s="27">
        <v>2</v>
      </c>
      <c r="E191" s="27">
        <f>B192*$P$11</f>
        <v>209.62711737850134</v>
      </c>
      <c r="F191" s="27">
        <f>C192*$P$11</f>
        <v>112.03705858213439</v>
      </c>
      <c r="H191" s="27">
        <f>E191-E190</f>
        <v>103.75483587420773</v>
      </c>
      <c r="I191" s="27">
        <f>F191-F190</f>
        <v>55.452685560854398</v>
      </c>
    </row>
    <row r="192" spans="1:9" x14ac:dyDescent="0.2">
      <c r="A192" s="45" t="s">
        <v>1164</v>
      </c>
      <c r="B192" s="27">
        <f>'AEO Coal Prod'!L51</f>
        <v>211.74456300858722</v>
      </c>
      <c r="C192" s="27">
        <f>'AEO Coal Prod'!M51</f>
        <v>113.16874604255999</v>
      </c>
      <c r="D192" s="27">
        <v>3</v>
      </c>
      <c r="E192" s="27">
        <f>B192*$P$12</f>
        <v>211.74456300858722</v>
      </c>
      <c r="F192" s="27">
        <f>C192*$P$12</f>
        <v>113.16874604255999</v>
      </c>
      <c r="H192" s="27">
        <f t="shared" ref="H192:H195" si="67">E192-E191</f>
        <v>2.1174456300858822</v>
      </c>
      <c r="I192" s="27">
        <f t="shared" ref="I192:I195" si="68">F192-F191</f>
        <v>1.1316874604255958</v>
      </c>
    </row>
    <row r="193" spans="1:9" x14ac:dyDescent="0.2">
      <c r="A193" s="45"/>
      <c r="D193" s="27">
        <v>4</v>
      </c>
      <c r="E193" s="27">
        <f>B192*$P$13</f>
        <v>213.8620086386731</v>
      </c>
      <c r="F193" s="27">
        <f>C192*$P$13</f>
        <v>114.30043350298558</v>
      </c>
      <c r="H193" s="27">
        <f t="shared" si="67"/>
        <v>2.1174456300858822</v>
      </c>
      <c r="I193" s="27">
        <f t="shared" si="68"/>
        <v>1.1316874604255958</v>
      </c>
    </row>
    <row r="194" spans="1:9" x14ac:dyDescent="0.2">
      <c r="A194" s="45"/>
      <c r="D194" s="27">
        <v>5</v>
      </c>
      <c r="E194" s="27">
        <f>B192*$P$14</f>
        <v>232.91901930944596</v>
      </c>
      <c r="F194" s="27">
        <f>C192*$P$14</f>
        <v>124.485620646816</v>
      </c>
      <c r="H194" s="27">
        <f t="shared" si="67"/>
        <v>19.057010670772854</v>
      </c>
      <c r="I194" s="27">
        <f t="shared" si="68"/>
        <v>10.185187143830419</v>
      </c>
    </row>
    <row r="195" spans="1:9" x14ac:dyDescent="0.2">
      <c r="A195" s="45"/>
      <c r="D195" s="27">
        <v>6</v>
      </c>
      <c r="E195" s="27">
        <f>B192*$P$15</f>
        <v>254.09347561030467</v>
      </c>
      <c r="F195" s="27">
        <f>C192*$P$15</f>
        <v>135.80249525107197</v>
      </c>
      <c r="H195" s="27">
        <f t="shared" si="67"/>
        <v>21.174456300858708</v>
      </c>
      <c r="I195" s="27">
        <f t="shared" si="68"/>
        <v>11.316874604255972</v>
      </c>
    </row>
    <row r="196" spans="1:9" x14ac:dyDescent="0.2">
      <c r="A196" s="45"/>
    </row>
    <row r="197" spans="1:9" ht="15" x14ac:dyDescent="0.25">
      <c r="A197" s="46" t="s">
        <v>1169</v>
      </c>
    </row>
    <row r="198" spans="1:9" ht="15" x14ac:dyDescent="0.25">
      <c r="A198" s="46"/>
      <c r="D198" s="27">
        <v>1</v>
      </c>
      <c r="E198" s="27">
        <f>B200*$P$10</f>
        <v>198.05627634929826</v>
      </c>
      <c r="F198" s="27">
        <f>C200*$P$10</f>
        <v>90.905897550623976</v>
      </c>
      <c r="H198" s="27">
        <f>E198</f>
        <v>198.05627634929826</v>
      </c>
      <c r="I198" s="27">
        <f>F198</f>
        <v>90.905897550623976</v>
      </c>
    </row>
    <row r="199" spans="1:9" ht="15" x14ac:dyDescent="0.25">
      <c r="A199" s="46"/>
      <c r="D199" s="27">
        <v>2</v>
      </c>
      <c r="E199" s="27">
        <f>B200*$P$11</f>
        <v>392.15142717161052</v>
      </c>
      <c r="F199" s="27">
        <f>C200*$P$11</f>
        <v>179.99367715023547</v>
      </c>
      <c r="H199" s="27">
        <f>E199-E198</f>
        <v>194.09515082231226</v>
      </c>
      <c r="I199" s="27">
        <f>F199-F198</f>
        <v>89.087779599611494</v>
      </c>
    </row>
    <row r="200" spans="1:9" x14ac:dyDescent="0.2">
      <c r="A200" s="45" t="s">
        <v>1153</v>
      </c>
      <c r="B200" s="27">
        <f>'AEO Coal Prod'!L54</f>
        <v>396.11255269859652</v>
      </c>
      <c r="C200" s="27">
        <f>'AEO Coal Prod'!M54</f>
        <v>181.81179510124795</v>
      </c>
      <c r="D200" s="27">
        <v>3</v>
      </c>
      <c r="E200" s="27">
        <f>B200*$P$12</f>
        <v>396.11255269859652</v>
      </c>
      <c r="F200" s="27">
        <f>C200*$P$12</f>
        <v>181.81179510124795</v>
      </c>
      <c r="H200" s="27">
        <f t="shared" ref="H200:H203" si="69">E200-E199</f>
        <v>3.9611255269859953</v>
      </c>
      <c r="I200" s="27">
        <f t="shared" ref="I200:I203" si="70">F200-F199</f>
        <v>1.8181179510124821</v>
      </c>
    </row>
    <row r="201" spans="1:9" x14ac:dyDescent="0.2">
      <c r="A201" s="45"/>
      <c r="D201" s="27">
        <v>4</v>
      </c>
      <c r="E201" s="27">
        <f>B200*$P$13</f>
        <v>400.07367822558251</v>
      </c>
      <c r="F201" s="27">
        <f>C200*$P$13</f>
        <v>183.62991305226043</v>
      </c>
      <c r="H201" s="27">
        <f t="shared" si="69"/>
        <v>3.9611255269859953</v>
      </c>
      <c r="I201" s="27">
        <f t="shared" si="70"/>
        <v>1.8181179510124821</v>
      </c>
    </row>
    <row r="202" spans="1:9" x14ac:dyDescent="0.2">
      <c r="A202" s="45"/>
      <c r="D202" s="27">
        <v>5</v>
      </c>
      <c r="E202" s="27">
        <f>B200*$P$14</f>
        <v>435.72380796845619</v>
      </c>
      <c r="F202" s="27">
        <f>C200*$P$14</f>
        <v>199.99297461137277</v>
      </c>
      <c r="H202" s="27">
        <f t="shared" si="69"/>
        <v>35.650129742873673</v>
      </c>
      <c r="I202" s="27">
        <f t="shared" si="70"/>
        <v>16.363061559112339</v>
      </c>
    </row>
    <row r="203" spans="1:9" x14ac:dyDescent="0.2">
      <c r="A203" s="45"/>
      <c r="D203" s="27">
        <v>6</v>
      </c>
      <c r="E203" s="27">
        <f>B200*$P$15</f>
        <v>475.3350632383158</v>
      </c>
      <c r="F203" s="27">
        <f>C200*$P$15</f>
        <v>218.17415412149754</v>
      </c>
      <c r="H203" s="27">
        <f t="shared" si="69"/>
        <v>39.611255269859612</v>
      </c>
      <c r="I203" s="27">
        <f t="shared" si="70"/>
        <v>18.181179510124764</v>
      </c>
    </row>
    <row r="204" spans="1:9" x14ac:dyDescent="0.2">
      <c r="A204" s="45"/>
    </row>
    <row r="205" spans="1:9" x14ac:dyDescent="0.2">
      <c r="A205" s="45"/>
      <c r="D205" s="27">
        <v>1</v>
      </c>
      <c r="E205" s="27">
        <f>B207*$P$10</f>
        <v>79.574273838572097</v>
      </c>
      <c r="F205" s="27">
        <f>C207*$P$10</f>
        <v>40.06881653768</v>
      </c>
      <c r="H205" s="27">
        <f>E205</f>
        <v>79.574273838572097</v>
      </c>
      <c r="I205" s="27">
        <f>F205</f>
        <v>40.06881653768</v>
      </c>
    </row>
    <row r="206" spans="1:9" x14ac:dyDescent="0.2">
      <c r="A206" s="45"/>
      <c r="D206" s="27">
        <v>2</v>
      </c>
      <c r="E206" s="27">
        <f>B207*$P$11</f>
        <v>157.55706220037274</v>
      </c>
      <c r="F206" s="27">
        <f>C207*$P$11</f>
        <v>79.336256744606402</v>
      </c>
      <c r="H206" s="27">
        <f>E206-E205</f>
        <v>77.982788361800644</v>
      </c>
      <c r="I206" s="27">
        <f>F206-F205</f>
        <v>39.267440206926402</v>
      </c>
    </row>
    <row r="207" spans="1:9" x14ac:dyDescent="0.2">
      <c r="A207" s="45" t="s">
        <v>1150</v>
      </c>
      <c r="B207" s="27">
        <f>'AEO Coal Prod'!L55</f>
        <v>159.14854767714419</v>
      </c>
      <c r="C207" s="27">
        <f>'AEO Coal Prod'!M55</f>
        <v>80.13763307536</v>
      </c>
      <c r="D207" s="27">
        <v>3</v>
      </c>
      <c r="E207" s="27">
        <f>B207*$P$12</f>
        <v>159.14854767714419</v>
      </c>
      <c r="F207" s="27">
        <f>C207*$P$12</f>
        <v>80.13763307536</v>
      </c>
      <c r="H207" s="27">
        <f t="shared" ref="H207:H210" si="71">E207-E206</f>
        <v>1.591485476771453</v>
      </c>
      <c r="I207" s="27">
        <f t="shared" ref="I207:I210" si="72">F207-F206</f>
        <v>0.80137633075359815</v>
      </c>
    </row>
    <row r="208" spans="1:9" x14ac:dyDescent="0.2">
      <c r="A208" s="45"/>
      <c r="D208" s="27">
        <v>4</v>
      </c>
      <c r="E208" s="27">
        <f>B207*$P$13</f>
        <v>160.74003315391565</v>
      </c>
      <c r="F208" s="27">
        <f>C207*$P$13</f>
        <v>80.939009406113598</v>
      </c>
      <c r="H208" s="27">
        <f t="shared" si="71"/>
        <v>1.591485476771453</v>
      </c>
      <c r="I208" s="27">
        <f t="shared" si="72"/>
        <v>0.80137633075359815</v>
      </c>
    </row>
    <row r="209" spans="1:9" x14ac:dyDescent="0.2">
      <c r="A209" s="45"/>
      <c r="D209" s="27">
        <v>5</v>
      </c>
      <c r="E209" s="27">
        <f>B207*$P$14</f>
        <v>175.06340244485864</v>
      </c>
      <c r="F209" s="27">
        <f>C207*$P$14</f>
        <v>88.15139638289601</v>
      </c>
      <c r="H209" s="27">
        <f t="shared" si="71"/>
        <v>14.323369290942992</v>
      </c>
      <c r="I209" s="27">
        <f t="shared" si="72"/>
        <v>7.2123869767824118</v>
      </c>
    </row>
    <row r="210" spans="1:9" x14ac:dyDescent="0.2">
      <c r="A210" s="45"/>
      <c r="D210" s="27">
        <v>6</v>
      </c>
      <c r="E210" s="27">
        <f>B207*$P$15</f>
        <v>190.97825721257303</v>
      </c>
      <c r="F210" s="27">
        <f>C207*$P$15</f>
        <v>96.165159690431992</v>
      </c>
      <c r="H210" s="27">
        <f t="shared" si="71"/>
        <v>15.914854767714388</v>
      </c>
      <c r="I210" s="27">
        <f t="shared" si="72"/>
        <v>8.0137633075359815</v>
      </c>
    </row>
    <row r="211" spans="1:9" x14ac:dyDescent="0.2">
      <c r="A211" s="45"/>
    </row>
    <row r="212" spans="1:9" x14ac:dyDescent="0.2">
      <c r="A212" s="45"/>
      <c r="D212" s="27">
        <v>1</v>
      </c>
      <c r="E212" s="27">
        <f>B214*$P$10</f>
        <v>144.64553995999998</v>
      </c>
      <c r="F212" s="27">
        <f>C214*$P$10</f>
        <v>171.20435808734399</v>
      </c>
      <c r="H212" s="27">
        <f>E212</f>
        <v>144.64553995999998</v>
      </c>
      <c r="I212" s="27">
        <f>F212</f>
        <v>171.20435808734399</v>
      </c>
    </row>
    <row r="213" spans="1:9" x14ac:dyDescent="0.2">
      <c r="A213" s="45"/>
      <c r="D213" s="27">
        <v>2</v>
      </c>
      <c r="E213" s="27">
        <f>B214*$P$11</f>
        <v>286.39816912079993</v>
      </c>
      <c r="F213" s="27">
        <f>C214*$P$11</f>
        <v>338.98462901294107</v>
      </c>
      <c r="H213" s="27">
        <f>E213-E212</f>
        <v>141.75262916079996</v>
      </c>
      <c r="I213" s="27">
        <f>F213-F212</f>
        <v>167.78027092559708</v>
      </c>
    </row>
    <row r="214" spans="1:9" x14ac:dyDescent="0.2">
      <c r="A214" s="45" t="s">
        <v>1165</v>
      </c>
      <c r="B214" s="27">
        <f>'AEO Coal Prod'!L56</f>
        <v>289.29107991999996</v>
      </c>
      <c r="C214" s="27">
        <f>'AEO Coal Prod'!M56</f>
        <v>342.40871617468798</v>
      </c>
      <c r="D214" s="27">
        <v>3</v>
      </c>
      <c r="E214" s="27">
        <f>B214*$P$12</f>
        <v>289.29107991999996</v>
      </c>
      <c r="F214" s="27">
        <f>C214*$P$12</f>
        <v>342.40871617468798</v>
      </c>
      <c r="H214" s="27">
        <f t="shared" ref="H214:H217" si="73">E214-E213</f>
        <v>2.892910799200024</v>
      </c>
      <c r="I214" s="27">
        <f t="shared" ref="I214:I217" si="74">F214-F213</f>
        <v>3.4240871617469111</v>
      </c>
    </row>
    <row r="215" spans="1:9" x14ac:dyDescent="0.2">
      <c r="A215" s="45"/>
      <c r="D215" s="27">
        <v>4</v>
      </c>
      <c r="E215" s="27">
        <f>B214*$P$13</f>
        <v>292.18399071919998</v>
      </c>
      <c r="F215" s="27">
        <f>C214*$P$13</f>
        <v>345.83280333643489</v>
      </c>
      <c r="H215" s="27">
        <f t="shared" si="73"/>
        <v>2.892910799200024</v>
      </c>
      <c r="I215" s="27">
        <f t="shared" si="74"/>
        <v>3.4240871617469111</v>
      </c>
    </row>
    <row r="216" spans="1:9" x14ac:dyDescent="0.2">
      <c r="A216" s="45"/>
      <c r="D216" s="27">
        <v>5</v>
      </c>
      <c r="E216" s="27">
        <f>B214*$P$14</f>
        <v>318.22018791199997</v>
      </c>
      <c r="F216" s="27">
        <f>C214*$P$14</f>
        <v>376.64958779215681</v>
      </c>
      <c r="H216" s="27">
        <f t="shared" si="73"/>
        <v>26.036197192799989</v>
      </c>
      <c r="I216" s="27">
        <f t="shared" si="74"/>
        <v>30.816784455721915</v>
      </c>
    </row>
    <row r="217" spans="1:9" x14ac:dyDescent="0.2">
      <c r="A217" s="45"/>
      <c r="D217" s="27">
        <v>6</v>
      </c>
      <c r="E217" s="27">
        <f>B214*$P$15</f>
        <v>347.14929590399993</v>
      </c>
      <c r="F217" s="27">
        <f>C214*$P$15</f>
        <v>410.89045940962558</v>
      </c>
      <c r="H217" s="27">
        <f t="shared" si="73"/>
        <v>28.929107991999956</v>
      </c>
      <c r="I217" s="27">
        <f t="shared" si="74"/>
        <v>34.24087161746877</v>
      </c>
    </row>
    <row r="218" spans="1:9" x14ac:dyDescent="0.2">
      <c r="A218" s="45"/>
    </row>
    <row r="219" spans="1:9" ht="15" x14ac:dyDescent="0.25">
      <c r="A219" s="46" t="s">
        <v>1170</v>
      </c>
    </row>
    <row r="220" spans="1:9" ht="15" x14ac:dyDescent="0.25">
      <c r="A220" s="46"/>
      <c r="D220" s="27">
        <v>1</v>
      </c>
      <c r="E220" s="27">
        <f>B222*$P$10</f>
        <v>56.790708550109933</v>
      </c>
      <c r="F220" s="27">
        <f>C222*$P$10</f>
        <v>18.160350805583999</v>
      </c>
      <c r="H220" s="27">
        <f>E220</f>
        <v>56.790708550109933</v>
      </c>
      <c r="I220" s="27">
        <f>F220</f>
        <v>18.160350805583999</v>
      </c>
    </row>
    <row r="221" spans="1:9" ht="15" x14ac:dyDescent="0.25">
      <c r="A221" s="46"/>
      <c r="D221" s="27">
        <v>2</v>
      </c>
      <c r="E221" s="27">
        <f>B222*$P$11</f>
        <v>112.44560292921767</v>
      </c>
      <c r="F221" s="27">
        <f>C222*$P$11</f>
        <v>35.957494595056318</v>
      </c>
      <c r="H221" s="27">
        <f>E221-E220</f>
        <v>55.654894379107738</v>
      </c>
      <c r="I221" s="27">
        <f>F221-F220</f>
        <v>17.797143789472319</v>
      </c>
    </row>
    <row r="222" spans="1:9" x14ac:dyDescent="0.2">
      <c r="A222" s="45" t="s">
        <v>1164</v>
      </c>
      <c r="B222" s="27">
        <f>'AEO Coal Prod'!L59</f>
        <v>113.58141710021987</v>
      </c>
      <c r="C222" s="27">
        <f>'AEO Coal Prod'!M59</f>
        <v>36.320701611167998</v>
      </c>
      <c r="D222" s="27">
        <v>3</v>
      </c>
      <c r="E222" s="27">
        <f>B222*$P$12</f>
        <v>113.58141710021987</v>
      </c>
      <c r="F222" s="27">
        <f>C222*$P$12</f>
        <v>36.320701611167998</v>
      </c>
      <c r="H222" s="27">
        <f t="shared" ref="H222:H225" si="75">E222-E221</f>
        <v>1.1358141710021954</v>
      </c>
      <c r="I222" s="27">
        <f t="shared" ref="I222:I225" si="76">F222-F221</f>
        <v>0.36320701611168005</v>
      </c>
    </row>
    <row r="223" spans="1:9" x14ac:dyDescent="0.2">
      <c r="A223" s="45"/>
      <c r="D223" s="27">
        <v>4</v>
      </c>
      <c r="E223" s="27">
        <f>B222*$P$13</f>
        <v>114.71723127122206</v>
      </c>
      <c r="F223" s="27">
        <f>C222*$P$13</f>
        <v>36.683908627279678</v>
      </c>
      <c r="H223" s="27">
        <f t="shared" si="75"/>
        <v>1.1358141710021954</v>
      </c>
      <c r="I223" s="27">
        <f t="shared" si="76"/>
        <v>0.36320701611168005</v>
      </c>
    </row>
    <row r="224" spans="1:9" x14ac:dyDescent="0.2">
      <c r="A224" s="45"/>
      <c r="D224" s="27">
        <v>5</v>
      </c>
      <c r="E224" s="27">
        <f>B222*$P$14</f>
        <v>124.93955881024186</v>
      </c>
      <c r="F224" s="27">
        <f>C222*$P$14</f>
        <v>39.952771772284798</v>
      </c>
      <c r="H224" s="27">
        <f t="shared" si="75"/>
        <v>10.222327539019801</v>
      </c>
      <c r="I224" s="27">
        <f t="shared" si="76"/>
        <v>3.2688631450051204</v>
      </c>
    </row>
    <row r="225" spans="1:9" x14ac:dyDescent="0.2">
      <c r="A225" s="45"/>
      <c r="D225" s="27">
        <v>6</v>
      </c>
      <c r="E225" s="27">
        <f>B222*$P$15</f>
        <v>136.29770052026385</v>
      </c>
      <c r="F225" s="27">
        <f>C222*$P$15</f>
        <v>43.584841933401599</v>
      </c>
      <c r="H225" s="27">
        <f t="shared" si="75"/>
        <v>11.358141710021982</v>
      </c>
      <c r="I225" s="27">
        <f t="shared" si="76"/>
        <v>3.6320701611168005</v>
      </c>
    </row>
    <row r="226" spans="1:9" x14ac:dyDescent="0.2">
      <c r="A226" s="45"/>
    </row>
    <row r="227" spans="1:9" ht="15" x14ac:dyDescent="0.25">
      <c r="A227" s="46" t="s">
        <v>1211</v>
      </c>
      <c r="B227" s="25">
        <f>SUM(B9:B222)</f>
        <v>24287.39702919461</v>
      </c>
      <c r="C227" s="25">
        <f>SUM(C9:C222)</f>
        <v>23256.046477385033</v>
      </c>
    </row>
    <row r="228" spans="1:9" x14ac:dyDescent="0.2">
      <c r="A228" s="45"/>
    </row>
    <row r="229" spans="1:9" ht="15" x14ac:dyDescent="0.25">
      <c r="A229" s="50"/>
    </row>
    <row r="230" spans="1:9" x14ac:dyDescent="0.2">
      <c r="A230" s="293"/>
    </row>
    <row r="231" spans="1:9" x14ac:dyDescent="0.2">
      <c r="A231" s="293"/>
    </row>
    <row r="232" spans="1:9" x14ac:dyDescent="0.2">
      <c r="A232" s="293"/>
    </row>
    <row r="233" spans="1:9" x14ac:dyDescent="0.2">
      <c r="A233" s="293"/>
    </row>
    <row r="234" spans="1:9" ht="15" x14ac:dyDescent="0.25">
      <c r="A234" s="50"/>
    </row>
    <row r="235" spans="1:9" x14ac:dyDescent="0.2">
      <c r="A235" s="293"/>
    </row>
    <row r="236" spans="1:9" x14ac:dyDescent="0.2">
      <c r="A236" s="293"/>
    </row>
    <row r="237" spans="1:9" x14ac:dyDescent="0.2">
      <c r="A237" s="293"/>
    </row>
    <row r="238" spans="1:9" ht="15" x14ac:dyDescent="0.25">
      <c r="A238" s="50"/>
    </row>
    <row r="239" spans="1:9" x14ac:dyDescent="0.2">
      <c r="A239" s="293"/>
    </row>
    <row r="240" spans="1:9" x14ac:dyDescent="0.2">
      <c r="A240" s="293"/>
    </row>
    <row r="241" spans="1:1" ht="15" x14ac:dyDescent="0.25">
      <c r="A241" s="50"/>
    </row>
    <row r="242" spans="1:1" x14ac:dyDescent="0.2">
      <c r="A242" s="293"/>
    </row>
    <row r="243" spans="1:1" ht="15" x14ac:dyDescent="0.25">
      <c r="A243" s="50"/>
    </row>
    <row r="244" spans="1:1" x14ac:dyDescent="0.2">
      <c r="A244" s="293"/>
    </row>
  </sheetData>
  <mergeCells count="1">
    <mergeCell ref="O8:P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/>
  <dimension ref="A1:S97"/>
  <sheetViews>
    <sheetView zoomScale="98" zoomScaleNormal="98" workbookViewId="0">
      <selection activeCell="O13" sqref="O13"/>
    </sheetView>
  </sheetViews>
  <sheetFormatPr defaultColWidth="9.140625" defaultRowHeight="12.75" x14ac:dyDescent="0.2"/>
  <cols>
    <col min="1" max="1" width="36.5703125" style="27" bestFit="1" customWidth="1"/>
    <col min="2" max="2" width="11.7109375" style="27" customWidth="1"/>
    <col min="3" max="10" width="12" style="27" bestFit="1" customWidth="1"/>
    <col min="11" max="11" width="9.140625" style="27"/>
    <col min="12" max="19" width="9.5703125" style="27" bestFit="1" customWidth="1"/>
    <col min="20" max="16384" width="9.140625" style="27"/>
  </cols>
  <sheetData>
    <row r="1" spans="1:19" ht="18" x14ac:dyDescent="0.2">
      <c r="A1" s="318" t="s">
        <v>1212</v>
      </c>
      <c r="B1" s="318"/>
      <c r="C1" s="318"/>
      <c r="D1" s="318"/>
      <c r="E1" s="318"/>
      <c r="F1" s="318"/>
      <c r="G1" s="318"/>
      <c r="H1" s="318"/>
      <c r="I1" s="318"/>
    </row>
    <row r="2" spans="1:19" ht="18" x14ac:dyDescent="0.2">
      <c r="A2" s="318" t="s">
        <v>1213</v>
      </c>
      <c r="B2" s="318"/>
      <c r="C2" s="318"/>
      <c r="D2" s="318"/>
      <c r="E2" s="318"/>
      <c r="F2" s="318"/>
      <c r="G2" s="318"/>
      <c r="H2" s="318"/>
      <c r="I2" s="318"/>
      <c r="L2" s="27" t="s">
        <v>1146</v>
      </c>
      <c r="O2" s="27">
        <v>1.0550559999999999E-6</v>
      </c>
    </row>
    <row r="3" spans="1:19" x14ac:dyDescent="0.2">
      <c r="A3" s="319"/>
      <c r="B3" s="319"/>
      <c r="C3" s="319"/>
      <c r="D3" s="319"/>
      <c r="E3" s="319"/>
      <c r="F3" s="319"/>
      <c r="G3" s="319"/>
      <c r="H3" s="319"/>
      <c r="I3" s="319"/>
    </row>
    <row r="4" spans="1:19" ht="15" x14ac:dyDescent="0.25">
      <c r="A4" s="50" t="s">
        <v>1147</v>
      </c>
      <c r="B4" s="52">
        <v>2005</v>
      </c>
      <c r="C4" s="52">
        <v>2011</v>
      </c>
      <c r="D4" s="52">
        <v>2015</v>
      </c>
      <c r="E4" s="52">
        <v>2020</v>
      </c>
      <c r="F4" s="52">
        <v>2025</v>
      </c>
      <c r="G4" s="52">
        <v>2030</v>
      </c>
      <c r="H4" s="52">
        <v>2035</v>
      </c>
      <c r="I4" s="52">
        <v>2040</v>
      </c>
      <c r="J4" s="52"/>
      <c r="L4" s="52">
        <v>2005</v>
      </c>
      <c r="M4" s="52">
        <v>2010</v>
      </c>
      <c r="N4" s="52">
        <v>2015</v>
      </c>
      <c r="O4" s="52">
        <v>2020</v>
      </c>
      <c r="P4" s="52">
        <v>2025</v>
      </c>
      <c r="Q4" s="52">
        <v>2030</v>
      </c>
      <c r="R4" s="52">
        <v>2035</v>
      </c>
      <c r="S4" s="52">
        <v>2040</v>
      </c>
    </row>
    <row r="5" spans="1:19" x14ac:dyDescent="0.2">
      <c r="A5" s="293"/>
      <c r="B5" s="293"/>
    </row>
    <row r="6" spans="1:19" ht="15" x14ac:dyDescent="0.25">
      <c r="A6" s="50" t="s">
        <v>1148</v>
      </c>
      <c r="B6" s="53">
        <v>140.080001831055</v>
      </c>
      <c r="C6" s="50">
        <v>132.85919200000001</v>
      </c>
      <c r="D6" s="50">
        <v>131.98666399999999</v>
      </c>
      <c r="E6" s="50">
        <v>142.57260099999999</v>
      </c>
      <c r="F6" s="50">
        <v>144.04724100000001</v>
      </c>
      <c r="G6" s="50">
        <v>144.38677999999999</v>
      </c>
      <c r="H6" s="50">
        <v>147.50470000000001</v>
      </c>
      <c r="I6" s="50">
        <v>150.511368</v>
      </c>
      <c r="J6" s="50"/>
    </row>
    <row r="7" spans="1:19" x14ac:dyDescent="0.2">
      <c r="A7" s="293" t="s">
        <v>1149</v>
      </c>
      <c r="B7" s="53">
        <v>3.5</v>
      </c>
      <c r="C7" s="293">
        <v>18.2409</v>
      </c>
      <c r="D7" s="293">
        <v>20.279318</v>
      </c>
      <c r="E7" s="293">
        <v>24.468738999999999</v>
      </c>
      <c r="F7" s="293">
        <v>29.815020000000001</v>
      </c>
      <c r="G7" s="293">
        <v>30.548670000000001</v>
      </c>
      <c r="H7" s="293">
        <v>34.042107000000001</v>
      </c>
      <c r="I7" s="293">
        <v>35.919262000000003</v>
      </c>
      <c r="J7" s="293"/>
      <c r="L7" s="54">
        <f>B7*1000000*Types!$R$9*$O$2</f>
        <v>97.117904799999991</v>
      </c>
      <c r="M7" s="54">
        <f>C7*1000000*Types!$R$9*$O$2</f>
        <v>506.14799704751994</v>
      </c>
      <c r="N7" s="54">
        <f>D7*1000000*Types!$R$9*$O$2</f>
        <v>562.7099642665504</v>
      </c>
      <c r="O7" s="54">
        <f>E7*1000000*Types!$R$9*$O$2</f>
        <v>678.95790422229925</v>
      </c>
      <c r="P7" s="54">
        <f>F7*1000000*Types!$R$9*$O$2</f>
        <v>827.3063639914559</v>
      </c>
      <c r="Q7" s="54">
        <f>G7*1000000*Types!$R$9*$O$2</f>
        <v>847.66366423617592</v>
      </c>
      <c r="R7" s="54">
        <f>H7*1000000*Types!$R$9*$O$2</f>
        <v>944.59945909068949</v>
      </c>
      <c r="S7" s="54">
        <f>I7*1000000*Types!$R$9*$O$2</f>
        <v>996.68670497207358</v>
      </c>
    </row>
    <row r="8" spans="1:19" x14ac:dyDescent="0.2">
      <c r="A8" s="293" t="s">
        <v>1150</v>
      </c>
      <c r="B8" s="53">
        <v>75.020004272460895</v>
      </c>
      <c r="C8" s="293">
        <v>36.655399000000003</v>
      </c>
      <c r="D8" s="293">
        <v>20.279160999999998</v>
      </c>
      <c r="E8" s="293">
        <v>25.477747000000001</v>
      </c>
      <c r="F8" s="293">
        <v>24.073778000000001</v>
      </c>
      <c r="G8" s="293">
        <v>25.506648999999999</v>
      </c>
      <c r="H8" s="293">
        <v>24.296150000000001</v>
      </c>
      <c r="I8" s="293">
        <v>24.499877999999999</v>
      </c>
      <c r="J8" s="293"/>
      <c r="L8" s="54">
        <f>B8*1000000*Types!$R$4*$O$2</f>
        <v>1993.7961987613978</v>
      </c>
      <c r="M8" s="54">
        <f>C8*1000000*Types!$R$4*$O$2</f>
        <v>974.18543092659536</v>
      </c>
      <c r="N8" s="54">
        <f>D8*1000000*Types!$R$4*$O$2</f>
        <v>538.95643579312298</v>
      </c>
      <c r="O8" s="54">
        <f>E8*1000000*Types!$R$4*$O$2</f>
        <v>677.11853144017812</v>
      </c>
      <c r="P8" s="54">
        <f>F8*1000000*Types!$R$4*$O$2</f>
        <v>639.80544298429788</v>
      </c>
      <c r="Q8" s="54">
        <f>G8*1000000*Types!$R$4*$O$2</f>
        <v>677.88665586639536</v>
      </c>
      <c r="R8" s="54">
        <f>H8*1000000*Types!$R$4*$O$2</f>
        <v>645.71539263853595</v>
      </c>
      <c r="S8" s="54">
        <f>I8*1000000*Types!$R$4*$O$2</f>
        <v>651.12984330300196</v>
      </c>
    </row>
    <row r="9" spans="1:19" x14ac:dyDescent="0.2">
      <c r="A9" s="293" t="s">
        <v>1151</v>
      </c>
      <c r="B9" s="53">
        <v>61.560001373291001</v>
      </c>
      <c r="C9" s="293">
        <v>77.962897999999996</v>
      </c>
      <c r="D9" s="293">
        <v>91.428177000000005</v>
      </c>
      <c r="E9" s="293">
        <v>92.626121999999995</v>
      </c>
      <c r="F9" s="293">
        <v>90.158439999999999</v>
      </c>
      <c r="G9" s="293">
        <v>88.331458999999995</v>
      </c>
      <c r="H9" s="293">
        <v>89.166435000000007</v>
      </c>
      <c r="I9" s="293">
        <v>90.092231999999996</v>
      </c>
      <c r="J9" s="293"/>
      <c r="L9" s="54">
        <f>B9*1000000*Types!$R$5*$O$2</f>
        <v>1602.2979681155362</v>
      </c>
      <c r="M9" s="54">
        <f>C9*1000000*Types!$R$5*$O$2</f>
        <v>2029.236359114145</v>
      </c>
      <c r="N9" s="54">
        <f>D9*1000000*Types!$R$5*$O$2</f>
        <v>2379.713758407539</v>
      </c>
      <c r="O9" s="54">
        <f>E9*1000000*Types!$R$5*$O$2</f>
        <v>2410.8941482157657</v>
      </c>
      <c r="P9" s="54">
        <f>F9*1000000*Types!$R$5*$O$2</f>
        <v>2346.6647498020288</v>
      </c>
      <c r="Q9" s="54">
        <f>G9*1000000*Types!$R$5*$O$2</f>
        <v>2299.1116653513877</v>
      </c>
      <c r="R9" s="54">
        <f>H9*1000000*Types!$R$5*$O$2</f>
        <v>2320.8446139930311</v>
      </c>
      <c r="S9" s="54">
        <f>I9*1000000*Types!$R$5*$O$2</f>
        <v>2344.9414726495525</v>
      </c>
    </row>
    <row r="10" spans="1:19" x14ac:dyDescent="0.2">
      <c r="A10" s="293"/>
    </row>
    <row r="11" spans="1:19" ht="15" x14ac:dyDescent="0.25">
      <c r="A11" s="50" t="s">
        <v>1152</v>
      </c>
      <c r="B11" s="53">
        <v>235.79000854492199</v>
      </c>
      <c r="C11" s="50">
        <v>184.99139400000001</v>
      </c>
      <c r="D11" s="50">
        <v>113.596176</v>
      </c>
      <c r="E11" s="50">
        <v>102.881638</v>
      </c>
      <c r="F11" s="50">
        <v>98.519622999999996</v>
      </c>
      <c r="G11" s="50">
        <v>93.103806000000006</v>
      </c>
      <c r="H11" s="50">
        <v>90.001525999999998</v>
      </c>
      <c r="I11" s="50">
        <v>80.446883999999997</v>
      </c>
      <c r="J11" s="50"/>
    </row>
    <row r="12" spans="1:19" x14ac:dyDescent="0.2">
      <c r="A12" s="293" t="s">
        <v>1149</v>
      </c>
      <c r="B12" s="53">
        <v>39.220001220703097</v>
      </c>
      <c r="C12" s="293">
        <v>61.667999000000002</v>
      </c>
      <c r="D12" s="293">
        <v>53.806114000000001</v>
      </c>
      <c r="E12" s="293">
        <v>55.274104999999999</v>
      </c>
      <c r="F12" s="293">
        <v>52.964686999999998</v>
      </c>
      <c r="G12" s="293">
        <v>51.386021</v>
      </c>
      <c r="H12" s="293">
        <v>48.573219000000002</v>
      </c>
      <c r="I12" s="293">
        <v>42.623325000000001</v>
      </c>
      <c r="J12" s="293"/>
      <c r="L12" s="54">
        <f>B12*1000000*Types!$R$14*$O$2</f>
        <v>1088.2755270880364</v>
      </c>
      <c r="M12" s="54">
        <f>C12*1000000*Types!$R$14*$O$2</f>
        <v>1711.1619588824271</v>
      </c>
      <c r="N12" s="54">
        <f>D12*1000000*Types!$R$14*$O$2</f>
        <v>1493.0105877456992</v>
      </c>
      <c r="O12" s="54">
        <f>E12*1000000*Types!$R$14*$O$2</f>
        <v>1533.7443620843439</v>
      </c>
      <c r="P12" s="54">
        <f>F12*1000000*Types!$R$14*$O$2</f>
        <v>1469.6626942365137</v>
      </c>
      <c r="Q12" s="54">
        <f>G12*1000000*Types!$R$14*$O$2</f>
        <v>1425.8579130082287</v>
      </c>
      <c r="R12" s="54">
        <f>H12*1000000*Types!$R$14*$O$2</f>
        <v>1347.8083596204431</v>
      </c>
      <c r="S12" s="54">
        <f>I12*1000000*Types!$R$14*$O$2</f>
        <v>1182.71086274556</v>
      </c>
    </row>
    <row r="13" spans="1:19" x14ac:dyDescent="0.2">
      <c r="A13" s="293" t="s">
        <v>1153</v>
      </c>
      <c r="B13" s="53">
        <v>47.130001068115199</v>
      </c>
      <c r="C13" s="293">
        <v>14.016</v>
      </c>
      <c r="D13" s="293">
        <v>5.6233719999999998</v>
      </c>
      <c r="E13" s="293">
        <v>5.4977429999999998</v>
      </c>
      <c r="F13" s="293">
        <v>4.6567590000000001</v>
      </c>
      <c r="G13" s="293">
        <v>5.2276109999999996</v>
      </c>
      <c r="H13" s="293">
        <v>5.0910279999999997</v>
      </c>
      <c r="I13" s="293">
        <v>5.2987209999999996</v>
      </c>
      <c r="J13" s="293"/>
      <c r="L13" s="54">
        <f>B13*1000000*Types!$R$10*$O$2</f>
        <v>1229.1968188590956</v>
      </c>
      <c r="M13" s="54">
        <f>C13*1000000*Types!$R$10*$O$2</f>
        <v>365.55107622911999</v>
      </c>
      <c r="N13" s="54">
        <f>D13*1000000*Types!$R$10*$O$2</f>
        <v>146.66307695752704</v>
      </c>
      <c r="O13" s="54">
        <f>E13*1000000*Types!$R$10*$O$2</f>
        <v>143.38654897838975</v>
      </c>
      <c r="P13" s="54">
        <f>F13*1000000*Types!$R$10*$O$2</f>
        <v>121.45285846101886</v>
      </c>
      <c r="Q13" s="54">
        <f>G13*1000000*Types!$R$10*$O$2</f>
        <v>136.34124052205951</v>
      </c>
      <c r="R13" s="54">
        <f>H13*1000000*Types!$R$10*$O$2</f>
        <v>132.77902144068094</v>
      </c>
      <c r="S13" s="54">
        <f>I13*1000000*Types!$R$10*$O$2</f>
        <v>138.1958593170547</v>
      </c>
    </row>
    <row r="14" spans="1:19" x14ac:dyDescent="0.2">
      <c r="A14" s="293" t="s">
        <v>1150</v>
      </c>
      <c r="B14" s="53">
        <v>149.44000244140599</v>
      </c>
      <c r="C14" s="293">
        <v>109.30740400000001</v>
      </c>
      <c r="D14" s="293">
        <v>54.166694999999997</v>
      </c>
      <c r="E14" s="293">
        <v>42.109794999999998</v>
      </c>
      <c r="F14" s="293">
        <v>40.898173999999997</v>
      </c>
      <c r="G14" s="293">
        <v>36.490177000000003</v>
      </c>
      <c r="H14" s="293">
        <v>36.33728</v>
      </c>
      <c r="I14" s="293">
        <v>32.524841000000002</v>
      </c>
      <c r="J14" s="293"/>
      <c r="L14" s="54">
        <f>B14*1000000*Types!$R$11*$O$2</f>
        <v>3888.0823061821216</v>
      </c>
      <c r="M14" s="54">
        <f>C14*1000000*Types!$R$11*$O$2</f>
        <v>2843.9251638378273</v>
      </c>
      <c r="N14" s="54">
        <f>D14*1000000*Types!$R$11*$O$2</f>
        <v>1409.291789167627</v>
      </c>
      <c r="O14" s="54">
        <f>E14*1000000*Types!$R$11*$O$2</f>
        <v>1095.5992116010032</v>
      </c>
      <c r="P14" s="54">
        <f>F14*1000000*Types!$R$11*$O$2</f>
        <v>1064.075642978567</v>
      </c>
      <c r="Q14" s="54">
        <f>G14*1000000*Types!$R$11*$O$2</f>
        <v>949.38978335992988</v>
      </c>
      <c r="R14" s="54">
        <f>H14*1000000*Types!$R$11*$O$2</f>
        <v>945.41175799418863</v>
      </c>
      <c r="S14" s="54">
        <f>I14*1000000*Types!$R$11*$O$2</f>
        <v>846.22093641272738</v>
      </c>
    </row>
    <row r="15" spans="1:19" x14ac:dyDescent="0.2">
      <c r="A15" s="293"/>
    </row>
    <row r="16" spans="1:19" ht="15" x14ac:dyDescent="0.25">
      <c r="A16" s="50" t="s">
        <v>1154</v>
      </c>
      <c r="B16" s="53">
        <v>21.4600009918213</v>
      </c>
      <c r="C16" s="50">
        <v>19.381001000000001</v>
      </c>
      <c r="D16" s="50">
        <v>16.19932</v>
      </c>
      <c r="E16" s="50">
        <v>15.930906</v>
      </c>
      <c r="F16" s="50">
        <v>16.231911</v>
      </c>
      <c r="G16" s="50">
        <v>15.969571999999999</v>
      </c>
      <c r="H16" s="50">
        <v>15.37926</v>
      </c>
      <c r="I16" s="50">
        <v>16.522559999999999</v>
      </c>
      <c r="J16" s="50"/>
    </row>
    <row r="17" spans="1:19" x14ac:dyDescent="0.2">
      <c r="A17" s="293" t="s">
        <v>1155</v>
      </c>
      <c r="B17" s="53">
        <v>8.0799999237060494</v>
      </c>
      <c r="C17" s="293">
        <v>10.216200000000001</v>
      </c>
      <c r="D17" s="293">
        <v>12.577519000000001</v>
      </c>
      <c r="E17" s="293">
        <v>13.072006</v>
      </c>
      <c r="F17" s="293">
        <v>12.366166</v>
      </c>
      <c r="G17" s="293">
        <v>12.064705</v>
      </c>
      <c r="H17" s="293">
        <v>11.46672</v>
      </c>
      <c r="I17" s="293">
        <v>12.712477</v>
      </c>
      <c r="J17" s="293"/>
      <c r="L17" s="54">
        <f>B17*1000000*Types!$R$19*$O$2</f>
        <v>224.20361810699751</v>
      </c>
      <c r="M17" s="54">
        <f>C17*1000000*Types!$R$19*$O$2</f>
        <v>283.47883971936</v>
      </c>
      <c r="N17" s="54">
        <f>D17*1000000*Types!$R$19*$O$2</f>
        <v>349.00065510348315</v>
      </c>
      <c r="O17" s="54">
        <f>E17*1000000*Types!$R$19*$O$2</f>
        <v>362.72166692943676</v>
      </c>
      <c r="P17" s="54">
        <f>F17*1000000*Types!$R$19*$O$2</f>
        <v>343.13603780828481</v>
      </c>
      <c r="Q17" s="54">
        <f>G17*1000000*Types!$R$19*$O$2</f>
        <v>334.77110618002399</v>
      </c>
      <c r="R17" s="54">
        <f>H17*1000000*Types!$R$19*$O$2</f>
        <v>318.178234665216</v>
      </c>
      <c r="S17" s="54">
        <f>I17*1000000*Types!$R$19*$O$2</f>
        <v>352.74546601662558</v>
      </c>
    </row>
    <row r="18" spans="1:19" x14ac:dyDescent="0.2">
      <c r="A18" s="293" t="s">
        <v>1153</v>
      </c>
      <c r="B18" s="53">
        <v>0.519999980926514</v>
      </c>
      <c r="C18" s="293">
        <v>0.44979999999999998</v>
      </c>
      <c r="D18" s="293">
        <v>0.65655200000000002</v>
      </c>
      <c r="E18" s="293">
        <v>0.49502600000000002</v>
      </c>
      <c r="F18" s="293">
        <v>0.46453800000000001</v>
      </c>
      <c r="G18" s="293">
        <v>0.46197899999999997</v>
      </c>
      <c r="H18" s="293">
        <v>0.45445099999999999</v>
      </c>
      <c r="I18" s="293">
        <v>0.41588000000000003</v>
      </c>
      <c r="J18" s="293"/>
      <c r="L18" s="54">
        <f>B18*1000000*Types!$R$15*$O$2</f>
        <v>14.374082416761789</v>
      </c>
      <c r="M18" s="54">
        <f>C18*1000000*Types!$R$15*$O$2</f>
        <v>12.43358174656</v>
      </c>
      <c r="N18" s="54">
        <f>D18*1000000*Types!$R$15*$O$2</f>
        <v>18.148717125094397</v>
      </c>
      <c r="O18" s="54">
        <f>E18*1000000*Types!$R$15*$O$2</f>
        <v>13.683739968147199</v>
      </c>
      <c r="P18" s="54">
        <f>F18*1000000*Types!$R$15*$O$2</f>
        <v>12.840976428153599</v>
      </c>
      <c r="Q18" s="54">
        <f>G18*1000000*Types!$R$15*$O$2</f>
        <v>12.770239354588798</v>
      </c>
      <c r="R18" s="54">
        <f>H18*1000000*Types!$R$15*$O$2</f>
        <v>12.562146861507198</v>
      </c>
      <c r="S18" s="54">
        <f>I18*1000000*Types!$R$15*$O$2</f>
        <v>11.495949259135999</v>
      </c>
    </row>
    <row r="19" spans="1:19" x14ac:dyDescent="0.2">
      <c r="A19" s="293" t="s">
        <v>1150</v>
      </c>
      <c r="B19" s="53">
        <v>12.8600006103516</v>
      </c>
      <c r="C19" s="293">
        <v>8.7149999999999999</v>
      </c>
      <c r="D19" s="293">
        <v>2.9652479999999999</v>
      </c>
      <c r="E19" s="293">
        <v>2.363874</v>
      </c>
      <c r="F19" s="293">
        <v>3.401208</v>
      </c>
      <c r="G19" s="293">
        <v>3.4428869999999998</v>
      </c>
      <c r="H19" s="293">
        <v>3.4580899999999999</v>
      </c>
      <c r="I19" s="293">
        <v>3.3942030000000001</v>
      </c>
      <c r="J19" s="293"/>
      <c r="L19" s="54">
        <f>B19*1000000*Types!$R$16*$O$2</f>
        <v>331.46674824062347</v>
      </c>
      <c r="M19" s="54">
        <f>C19*1000000*Types!$R$16*$O$2</f>
        <v>224.62928256719999</v>
      </c>
      <c r="N19" s="54">
        <f>D19*1000000*Types!$R$16*$O$2</f>
        <v>76.429320811683837</v>
      </c>
      <c r="O19" s="54">
        <f>E19*1000000*Types!$R$16*$O$2</f>
        <v>60.928895088841912</v>
      </c>
      <c r="P19" s="54">
        <f>F19*1000000*Types!$R$16*$O$2</f>
        <v>87.66619769384063</v>
      </c>
      <c r="Q19" s="54">
        <f>G19*1000000*Types!$R$16*$O$2</f>
        <v>88.740474672396942</v>
      </c>
      <c r="R19" s="54">
        <f>H19*1000000*Types!$R$16*$O$2</f>
        <v>89.132332272267192</v>
      </c>
      <c r="S19" s="54">
        <f>I19*1000000*Types!$R$16*$O$2</f>
        <v>87.485643692190223</v>
      </c>
    </row>
    <row r="20" spans="1:19" x14ac:dyDescent="0.2">
      <c r="A20" s="293"/>
    </row>
    <row r="21" spans="1:19" ht="15" x14ac:dyDescent="0.25">
      <c r="A21" s="50" t="s">
        <v>1156</v>
      </c>
      <c r="B21" s="53">
        <v>96.460006713867202</v>
      </c>
      <c r="C21" s="50">
        <v>119.214508</v>
      </c>
      <c r="D21" s="50">
        <v>160.358994</v>
      </c>
      <c r="E21" s="50">
        <v>176.68649300000001</v>
      </c>
      <c r="F21" s="50">
        <v>186.86386100000001</v>
      </c>
      <c r="G21" s="50">
        <v>205.531113</v>
      </c>
      <c r="H21" s="50">
        <v>218.096497</v>
      </c>
      <c r="I21" s="50">
        <v>227.847534</v>
      </c>
      <c r="J21" s="50"/>
    </row>
    <row r="22" spans="1:19" x14ac:dyDescent="0.2">
      <c r="A22" s="293" t="s">
        <v>1150</v>
      </c>
      <c r="B22" s="53">
        <v>29.25</v>
      </c>
      <c r="C22" s="293">
        <v>10.2173</v>
      </c>
      <c r="D22" s="293">
        <v>8.2524420000000003</v>
      </c>
      <c r="E22" s="293">
        <v>7.5600430000000003</v>
      </c>
      <c r="F22" s="293">
        <v>7.7852249999999996</v>
      </c>
      <c r="G22" s="293">
        <v>8.0989459999999998</v>
      </c>
      <c r="H22" s="293">
        <v>8.3166659999999997</v>
      </c>
      <c r="I22" s="293">
        <v>8.4264449999999993</v>
      </c>
      <c r="J22" s="293"/>
      <c r="L22" s="54">
        <f>B22*1000000*Types!$R$20*$O$2</f>
        <v>694.66733387999989</v>
      </c>
      <c r="M22" s="54">
        <f>C22*1000000*Types!$R$20*$O$2</f>
        <v>242.65383078468801</v>
      </c>
      <c r="N22" s="54">
        <f>D22*1000000*Types!$R$20*$O$2</f>
        <v>195.98980793638754</v>
      </c>
      <c r="O22" s="54">
        <f>E22*1000000*Types!$R$20*$O$2</f>
        <v>179.54580905395406</v>
      </c>
      <c r="P22" s="54">
        <f>F22*1000000*Types!$R$20*$O$2</f>
        <v>184.89372630447599</v>
      </c>
      <c r="Q22" s="54">
        <f>G22*1000000*Types!$R$20*$O$2</f>
        <v>192.34438376266976</v>
      </c>
      <c r="R22" s="54">
        <f>H22*1000000*Types!$R$20*$O$2</f>
        <v>197.51508365779299</v>
      </c>
      <c r="S22" s="54">
        <f>I22*1000000*Types!$R$20*$O$2</f>
        <v>200.12225922175921</v>
      </c>
    </row>
    <row r="23" spans="1:19" x14ac:dyDescent="0.2">
      <c r="A23" s="293" t="s">
        <v>1151</v>
      </c>
      <c r="B23" s="53">
        <v>63.650001525878899</v>
      </c>
      <c r="C23" s="293">
        <v>106.25050400000001</v>
      </c>
      <c r="D23" s="293">
        <v>145.380447</v>
      </c>
      <c r="E23" s="293">
        <v>162.12541200000001</v>
      </c>
      <c r="F23" s="293">
        <v>173.002533</v>
      </c>
      <c r="G23" s="293">
        <v>190.09404000000001</v>
      </c>
      <c r="H23" s="293">
        <v>202.45912200000001</v>
      </c>
      <c r="I23" s="293">
        <v>212.11558500000001</v>
      </c>
      <c r="J23" s="293"/>
      <c r="L23" s="54">
        <f>B23*1000000*Types!$R$21*$O$2</f>
        <v>1527.7606892249446</v>
      </c>
      <c r="M23" s="54">
        <f>C23*1000000*Types!$R$21*$O$2</f>
        <v>2550.2802722720958</v>
      </c>
      <c r="N23" s="54">
        <f>D23*1000000*Types!$R$21*$O$2</f>
        <v>3489.4976682482279</v>
      </c>
      <c r="O23" s="54">
        <f>E23*1000000*Types!$R$21*$O$2</f>
        <v>3891.4190925398875</v>
      </c>
      <c r="P23" s="54">
        <f>F23*1000000*Types!$R$21*$O$2</f>
        <v>4152.4974503932917</v>
      </c>
      <c r="Q23" s="54">
        <f>G23*1000000*Types!$R$21*$O$2</f>
        <v>4562.73675735696</v>
      </c>
      <c r="R23" s="54">
        <f>H23*1000000*Types!$R$21*$O$2</f>
        <v>4859.5299348239278</v>
      </c>
      <c r="S23" s="54">
        <f>I23*1000000*Types!$R$21*$O$2</f>
        <v>5091.3094197365399</v>
      </c>
    </row>
    <row r="24" spans="1:19" x14ac:dyDescent="0.2">
      <c r="A24" s="293" t="s">
        <v>1158</v>
      </c>
      <c r="B24" s="53">
        <v>3.5599999427795401</v>
      </c>
      <c r="C24" s="293">
        <v>2.7467000000000001</v>
      </c>
      <c r="D24" s="293">
        <v>6.7261059999999997</v>
      </c>
      <c r="E24" s="293">
        <v>7.0010310000000002</v>
      </c>
      <c r="F24" s="293">
        <v>6.0761000000000003</v>
      </c>
      <c r="G24" s="293">
        <v>7.3381249999999998</v>
      </c>
      <c r="H24" s="293">
        <v>7.3207100000000001</v>
      </c>
      <c r="I24" s="293">
        <v>7.3055009999999996</v>
      </c>
      <c r="J24" s="293"/>
      <c r="L24" s="54">
        <f>B24*1000000*Types!$R$24*$O$2</f>
        <v>38.912152744158611</v>
      </c>
      <c r="M24" s="54">
        <f>C24*1000000*Types!$R$24*$O$2</f>
        <v>30.022475185471997</v>
      </c>
      <c r="N24" s="54">
        <f>D24*1000000*Types!$R$24*$O$2</f>
        <v>73.518895576456956</v>
      </c>
      <c r="O24" s="54">
        <f>E24*1000000*Types!$R$24*$O$2</f>
        <v>76.523930341944947</v>
      </c>
      <c r="P24" s="54">
        <f>F24*1000000*Types!$R$24*$O$2</f>
        <v>66.41408289017599</v>
      </c>
      <c r="Q24" s="54">
        <f>G24*1000000*Types!$R$24*$O$2</f>
        <v>80.208495911599996</v>
      </c>
      <c r="R24" s="54">
        <f>H24*1000000*Types!$R$24*$O$2</f>
        <v>80.018143341113586</v>
      </c>
      <c r="S24" s="54">
        <f>I24*1000000*Types!$R$24*$O$2</f>
        <v>79.851903189260156</v>
      </c>
    </row>
    <row r="25" spans="1:19" x14ac:dyDescent="0.2">
      <c r="A25" s="293"/>
    </row>
    <row r="26" spans="1:19" ht="30" x14ac:dyDescent="0.25">
      <c r="A26" s="50" t="s">
        <v>1159</v>
      </c>
      <c r="B26" s="53">
        <v>2.6300001144409202</v>
      </c>
      <c r="C26" s="50">
        <v>1.78</v>
      </c>
      <c r="D26" s="50">
        <v>1.133899</v>
      </c>
      <c r="E26" s="50">
        <v>0.69244799999999995</v>
      </c>
      <c r="F26" s="50">
        <v>0.83748900000000004</v>
      </c>
      <c r="G26" s="50">
        <v>0.62982199999999999</v>
      </c>
      <c r="H26" s="50">
        <v>0.55663200000000002</v>
      </c>
      <c r="I26" s="50">
        <v>0.54910300000000001</v>
      </c>
      <c r="J26" s="50"/>
      <c r="L26" s="54">
        <f>B26*1000000*Types!$R$25*$O$2</f>
        <v>58.964444765758564</v>
      </c>
      <c r="M26" s="54">
        <f>C26*1000000*Types!$R$25*$O$2</f>
        <v>39.907493199999998</v>
      </c>
      <c r="N26" s="54">
        <f>D26*1000000*Types!$R$25*$O$2</f>
        <v>25.421947546059997</v>
      </c>
      <c r="O26" s="54">
        <f>E26*1000000*Types!$R$25*$O$2</f>
        <v>15.524642613119999</v>
      </c>
      <c r="P26" s="54">
        <f>F26*1000000*Types!$R$25*$O$2</f>
        <v>18.776453130659998</v>
      </c>
      <c r="Q26" s="54">
        <f>G26*1000000*Types!$R$25*$O$2</f>
        <v>14.120571450679998</v>
      </c>
      <c r="R26" s="54">
        <f>H26*1000000*Types!$R$25*$O$2</f>
        <v>12.479656042079998</v>
      </c>
      <c r="S26" s="54">
        <f>I26*1000000*Types!$R$25*$O$2</f>
        <v>12.310856313819999</v>
      </c>
    </row>
    <row r="27" spans="1:19" x14ac:dyDescent="0.2">
      <c r="A27" s="293"/>
    </row>
    <row r="28" spans="1:19" ht="15" x14ac:dyDescent="0.25">
      <c r="A28" s="50" t="s">
        <v>1160</v>
      </c>
      <c r="B28" s="53">
        <v>50.099998474121101</v>
      </c>
      <c r="C28" s="50">
        <v>49.768303000000003</v>
      </c>
      <c r="D28" s="50">
        <v>45.000435000000003</v>
      </c>
      <c r="E28" s="50">
        <v>50.869812000000003</v>
      </c>
      <c r="F28" s="50">
        <v>56.662525000000002</v>
      </c>
      <c r="G28" s="50">
        <v>60.337494</v>
      </c>
      <c r="H28" s="50">
        <v>60.245583000000003</v>
      </c>
      <c r="I28" s="50">
        <v>60.712029000000001</v>
      </c>
      <c r="J28" s="50"/>
    </row>
    <row r="29" spans="1:19" x14ac:dyDescent="0.2">
      <c r="A29" s="293" t="s">
        <v>1158</v>
      </c>
      <c r="B29" s="53">
        <v>23.319999694824201</v>
      </c>
      <c r="C29" s="293">
        <v>38.936400999999996</v>
      </c>
      <c r="D29" s="293">
        <v>29.886984000000002</v>
      </c>
      <c r="E29" s="293">
        <v>34.220126999999998</v>
      </c>
      <c r="F29" s="293">
        <v>40.014628999999999</v>
      </c>
      <c r="G29" s="293">
        <v>43.743690000000001</v>
      </c>
      <c r="H29" s="293">
        <v>43.71743</v>
      </c>
      <c r="I29" s="293">
        <v>44.233817999999999</v>
      </c>
      <c r="J29" s="293"/>
      <c r="L29" s="54">
        <f>B29*1000000*Types!$R$26*$O$2</f>
        <v>331.16856934938204</v>
      </c>
      <c r="M29" s="54">
        <f>C29*1000000*Types!$R$26*$O$2</f>
        <v>552.93792382191771</v>
      </c>
      <c r="N29" s="54">
        <f>D29*1000000*Types!$R$26*$O$2</f>
        <v>424.42666650825987</v>
      </c>
      <c r="O29" s="54">
        <f>E29*1000000*Types!$R$26*$O$2</f>
        <v>485.96186320102748</v>
      </c>
      <c r="P29" s="54">
        <f>F29*1000000*Types!$R$26*$O$2</f>
        <v>568.24989761545498</v>
      </c>
      <c r="Q29" s="54">
        <f>G29*1000000*Types!$R$26*$O$2</f>
        <v>621.20649335077439</v>
      </c>
      <c r="R29" s="54">
        <f>H29*1000000*Types!$R$26*$O$2</f>
        <v>620.83357367903682</v>
      </c>
      <c r="S29" s="54">
        <f>I29*1000000*Types!$R$26*$O$2</f>
        <v>628.16682742805574</v>
      </c>
    </row>
    <row r="30" spans="1:19" x14ac:dyDescent="0.2">
      <c r="A30" s="293" t="s">
        <v>1161</v>
      </c>
      <c r="B30" s="53">
        <v>26.780000686645501</v>
      </c>
      <c r="C30" s="293">
        <v>10.831899999999999</v>
      </c>
      <c r="D30" s="293">
        <v>15.113448999999999</v>
      </c>
      <c r="E30" s="293">
        <v>16.649687</v>
      </c>
      <c r="F30" s="293">
        <v>16.647895999999999</v>
      </c>
      <c r="G30" s="293">
        <v>16.593803000000001</v>
      </c>
      <c r="H30" s="293">
        <v>16.528151999999999</v>
      </c>
      <c r="I30" s="293">
        <v>16.478209</v>
      </c>
      <c r="J30" s="293"/>
      <c r="L30" s="54">
        <f>B30*1000000*Types!$R$27*$O$2</f>
        <v>338.77026084934897</v>
      </c>
      <c r="M30" s="54">
        <f>C30*1000000*Types!$R$27*$O$2</f>
        <v>137.02485042593599</v>
      </c>
      <c r="N30" s="54">
        <f>D30*1000000*Types!$R$27*$O$2</f>
        <v>191.18696522724653</v>
      </c>
      <c r="O30" s="54">
        <f>E30*1000000*Types!$R$27*$O$2</f>
        <v>210.62056248798925</v>
      </c>
      <c r="P30" s="54">
        <f>F30*1000000*Types!$R$27*$O$2</f>
        <v>210.59790612049022</v>
      </c>
      <c r="Q30" s="54">
        <f>G30*1000000*Types!$R$27*$O$2</f>
        <v>209.91362310143634</v>
      </c>
      <c r="R30" s="54">
        <f>H30*1000000*Types!$R$27*$O$2</f>
        <v>209.08312997877886</v>
      </c>
      <c r="S30" s="54">
        <f>I30*1000000*Types!$R$27*$O$2</f>
        <v>208.45134496370093</v>
      </c>
    </row>
    <row r="31" spans="1:19" x14ac:dyDescent="0.2">
      <c r="A31" s="293"/>
    </row>
    <row r="32" spans="1:19" ht="15" x14ac:dyDescent="0.25">
      <c r="A32" s="50" t="s">
        <v>1162</v>
      </c>
      <c r="B32" s="53">
        <v>30.290000915527301</v>
      </c>
      <c r="C32" s="50">
        <v>28.586099999999998</v>
      </c>
      <c r="D32" s="50">
        <v>29.498982999999999</v>
      </c>
      <c r="E32" s="50">
        <v>30.859964000000002</v>
      </c>
      <c r="F32" s="50">
        <v>30.855098999999999</v>
      </c>
      <c r="G32" s="50">
        <v>31.01277</v>
      </c>
      <c r="H32" s="50">
        <v>30.913713000000001</v>
      </c>
      <c r="I32" s="50">
        <v>31.001588999999999</v>
      </c>
      <c r="J32" s="50"/>
      <c r="L32" s="54">
        <f>B32*1000000*Types!$R$28*$O$2</f>
        <v>422.16051959036929</v>
      </c>
      <c r="M32" s="54">
        <f>C32*1000000*Types!$R$28*$O$2</f>
        <v>398.41275880833598</v>
      </c>
      <c r="N32" s="54">
        <f>D32*1000000*Types!$R$28*$O$2</f>
        <v>411.13587369631404</v>
      </c>
      <c r="O32" s="54">
        <f>E32*1000000*Types!$R$28*$O$2</f>
        <v>430.10426025116863</v>
      </c>
      <c r="P32" s="54">
        <f>F32*1000000*Types!$R$28*$O$2</f>
        <v>430.03645533648626</v>
      </c>
      <c r="Q32" s="54">
        <f>G32*1000000*Types!$R$28*$O$2</f>
        <v>432.23396175023521</v>
      </c>
      <c r="R32" s="54">
        <f>H32*1000000*Types!$R$28*$O$2</f>
        <v>430.85337563847884</v>
      </c>
      <c r="S32" s="54">
        <f>I32*1000000*Types!$R$28*$O$2</f>
        <v>432.0781289134286</v>
      </c>
    </row>
    <row r="33" spans="1:19" x14ac:dyDescent="0.2">
      <c r="A33" s="293"/>
    </row>
    <row r="34" spans="1:19" ht="15" x14ac:dyDescent="0.25">
      <c r="A34" s="50" t="s">
        <v>1163</v>
      </c>
      <c r="B34" s="53">
        <v>40.0200004577637</v>
      </c>
      <c r="C34" s="50">
        <v>41.653599</v>
      </c>
      <c r="D34" s="50">
        <v>50.992362999999997</v>
      </c>
      <c r="E34" s="50">
        <v>55.299286000000002</v>
      </c>
      <c r="F34" s="50">
        <v>57.459915000000002</v>
      </c>
      <c r="G34" s="50">
        <v>56.967728000000001</v>
      </c>
      <c r="H34" s="50">
        <v>59.250511000000003</v>
      </c>
      <c r="I34" s="50">
        <v>60.240067000000003</v>
      </c>
      <c r="J34" s="50"/>
    </row>
    <row r="35" spans="1:19" x14ac:dyDescent="0.2">
      <c r="A35" s="293" t="s">
        <v>1153</v>
      </c>
      <c r="B35" s="53">
        <v>0</v>
      </c>
      <c r="C35" s="293">
        <v>5.1356000000000002</v>
      </c>
      <c r="D35" s="293">
        <v>11.276574</v>
      </c>
      <c r="E35" s="293">
        <v>14.253925000000001</v>
      </c>
      <c r="F35" s="293">
        <v>12.571007</v>
      </c>
      <c r="G35" s="293">
        <v>11.974517000000001</v>
      </c>
      <c r="H35" s="293">
        <v>13.840705</v>
      </c>
      <c r="I35" s="293">
        <v>14.202073</v>
      </c>
      <c r="J35" s="293"/>
      <c r="L35" s="54">
        <f>B35*1000000*Types!$R$29*$O$2</f>
        <v>0</v>
      </c>
      <c r="M35" s="54">
        <f>C35*1000000*Types!$R$29*$O$2</f>
        <v>107.33742620921599</v>
      </c>
      <c r="N35" s="54">
        <f>D35*1000000*Types!$R$29*$O$2</f>
        <v>235.68783192183261</v>
      </c>
      <c r="O35" s="54">
        <f>E35*1000000*Types!$R$29*$O$2</f>
        <v>297.91643096798799</v>
      </c>
      <c r="P35" s="54">
        <f>F35*1000000*Types!$R$29*$O$2</f>
        <v>262.74233511917549</v>
      </c>
      <c r="Q35" s="54">
        <f>G35*1000000*Types!$R$29*$O$2</f>
        <v>250.27530081752909</v>
      </c>
      <c r="R35" s="54">
        <f>H35*1000000*Types!$R$29*$O$2</f>
        <v>289.27986050724877</v>
      </c>
      <c r="S35" s="54">
        <f>I35*1000000*Types!$R$29*$O$2</f>
        <v>296.83268997885324</v>
      </c>
    </row>
    <row r="36" spans="1:19" x14ac:dyDescent="0.2">
      <c r="A36" s="293" t="s">
        <v>1164</v>
      </c>
      <c r="B36" s="53">
        <v>20.590000152587901</v>
      </c>
      <c r="C36" s="293">
        <v>19.2395</v>
      </c>
      <c r="D36" s="293">
        <v>21.108536000000001</v>
      </c>
      <c r="E36" s="293">
        <v>23.140685999999999</v>
      </c>
      <c r="F36" s="293">
        <v>26.852083</v>
      </c>
      <c r="G36" s="293">
        <v>27.790392000000001</v>
      </c>
      <c r="H36" s="293">
        <v>29.186492999999999</v>
      </c>
      <c r="I36" s="293">
        <v>30.687353000000002</v>
      </c>
      <c r="J36" s="293"/>
      <c r="L36" s="54">
        <f>B36*1000000*Types!$R$30*$O$2</f>
        <v>393.19721793789694</v>
      </c>
      <c r="M36" s="54">
        <f>C36*1000000*Types!$R$30*$O$2</f>
        <v>367.4073734072</v>
      </c>
      <c r="N36" s="54">
        <f>D36*1000000*Types!$R$30*$O$2</f>
        <v>403.0994448000896</v>
      </c>
      <c r="O36" s="54">
        <f>E36*1000000*Types!$R$30*$O$2</f>
        <v>441.90642491232961</v>
      </c>
      <c r="P36" s="54">
        <f>F36*1000000*Types!$R$30*$O$2</f>
        <v>512.78116819782872</v>
      </c>
      <c r="Q36" s="54">
        <f>G36*1000000*Types!$R$30*$O$2</f>
        <v>530.69959877733118</v>
      </c>
      <c r="R36" s="54">
        <f>H36*1000000*Types!$R$30*$O$2</f>
        <v>557.36026051080478</v>
      </c>
      <c r="S36" s="54">
        <f>I36*1000000*Types!$R$30*$O$2</f>
        <v>586.02145391250087</v>
      </c>
    </row>
    <row r="37" spans="1:19" x14ac:dyDescent="0.2">
      <c r="A37" s="293" t="s">
        <v>1165</v>
      </c>
      <c r="B37" s="53">
        <v>19.430000305175799</v>
      </c>
      <c r="C37" s="293">
        <v>17.278500000000001</v>
      </c>
      <c r="D37" s="293">
        <v>18.607251999999999</v>
      </c>
      <c r="E37" s="293">
        <v>17.904672999999999</v>
      </c>
      <c r="F37" s="293">
        <v>18.036829000000001</v>
      </c>
      <c r="G37" s="293">
        <v>17.202822000000001</v>
      </c>
      <c r="H37" s="293">
        <v>16.223310000000001</v>
      </c>
      <c r="I37" s="293">
        <v>15.35064</v>
      </c>
      <c r="J37" s="293"/>
      <c r="L37" s="54">
        <f>B37*1000000*Types!$R$31*$O$2</f>
        <v>353.62048743411282</v>
      </c>
      <c r="M37" s="54">
        <f>C37*1000000*Types!$R$31*$O$2</f>
        <v>314.46379290599998</v>
      </c>
      <c r="N37" s="54">
        <f>D37*1000000*Types!$R$31*$O$2</f>
        <v>338.64670194043197</v>
      </c>
      <c r="O37" s="54">
        <f>E37*1000000*Types!$R$31*$O$2</f>
        <v>325.85996367286799</v>
      </c>
      <c r="P37" s="54">
        <f>F37*1000000*Types!$R$31*$O$2</f>
        <v>328.26516534056395</v>
      </c>
      <c r="Q37" s="54">
        <f>G37*1000000*Types!$R$31*$O$2</f>
        <v>313.08647479855199</v>
      </c>
      <c r="R37" s="54">
        <f>H37*1000000*Types!$R$31*$O$2</f>
        <v>295.25963457996005</v>
      </c>
      <c r="S37" s="54">
        <f>I37*1000000*Types!$R$31*$O$2</f>
        <v>279.37728841823997</v>
      </c>
    </row>
    <row r="38" spans="1:19" x14ac:dyDescent="0.2">
      <c r="A38" s="293"/>
    </row>
    <row r="39" spans="1:19" ht="15" x14ac:dyDescent="0.25">
      <c r="A39" s="50" t="s">
        <v>1166</v>
      </c>
      <c r="B39" s="53">
        <v>390.12997436523398</v>
      </c>
      <c r="C39" s="50">
        <v>426.08209199999999</v>
      </c>
      <c r="D39" s="50">
        <v>429.81457499999999</v>
      </c>
      <c r="E39" s="50">
        <v>421.07266199999998</v>
      </c>
      <c r="F39" s="50">
        <v>441.16430700000001</v>
      </c>
      <c r="G39" s="50">
        <v>441.33151199999998</v>
      </c>
      <c r="H39" s="50">
        <v>433.48651100000001</v>
      </c>
      <c r="I39" s="50">
        <v>421.68984999999998</v>
      </c>
      <c r="J39" s="50"/>
    </row>
    <row r="40" spans="1:19" x14ac:dyDescent="0.2">
      <c r="A40" s="293" t="s">
        <v>1164</v>
      </c>
      <c r="B40" s="53">
        <v>386.54998779296898</v>
      </c>
      <c r="C40" s="293">
        <v>423.672394</v>
      </c>
      <c r="D40" s="293">
        <v>424.78198200000003</v>
      </c>
      <c r="E40" s="293">
        <v>416.900757</v>
      </c>
      <c r="F40" s="293">
        <v>437.58386200000001</v>
      </c>
      <c r="G40" s="293">
        <v>438.26355000000001</v>
      </c>
      <c r="H40" s="293">
        <v>430.67437699999999</v>
      </c>
      <c r="I40" s="293">
        <v>419.246735</v>
      </c>
      <c r="J40" s="293"/>
      <c r="L40" s="54">
        <f>B40*1000000*Types!$R$32*$O$2</f>
        <v>6867.8889252279332</v>
      </c>
      <c r="M40" s="54">
        <f>C40*1000000*Types!$R$32*$O$2</f>
        <v>7527.4480262972374</v>
      </c>
      <c r="N40" s="54">
        <f>D40*1000000*Types!$R$32*$O$2</f>
        <v>7547.1622350087046</v>
      </c>
      <c r="O40" s="54">
        <f>E40*1000000*Types!$R$32*$O$2</f>
        <v>7407.1353831032811</v>
      </c>
      <c r="P40" s="54">
        <f>F40*1000000*Types!$R$32*$O$2</f>
        <v>7774.6150681496201</v>
      </c>
      <c r="Q40" s="54">
        <f>G40*1000000*Types!$R$32*$O$2</f>
        <v>7786.6911820681917</v>
      </c>
      <c r="R40" s="54">
        <f>H40*1000000*Types!$R$32*$O$2</f>
        <v>7651.8532598218862</v>
      </c>
      <c r="S40" s="54">
        <f>I40*1000000*Types!$R$32*$O$2</f>
        <v>7448.8167097979731</v>
      </c>
    </row>
    <row r="41" spans="1:19" x14ac:dyDescent="0.2">
      <c r="A41" s="293" t="s">
        <v>1165</v>
      </c>
      <c r="B41" s="53">
        <v>3.5799999237060498</v>
      </c>
      <c r="C41" s="293">
        <v>2.4097</v>
      </c>
      <c r="D41" s="293">
        <v>5.0325800000000003</v>
      </c>
      <c r="E41" s="293">
        <v>4.1719080000000002</v>
      </c>
      <c r="F41" s="293">
        <v>3.5804510000000001</v>
      </c>
      <c r="G41" s="293">
        <v>3.0679720000000001</v>
      </c>
      <c r="H41" s="293">
        <v>2.812144</v>
      </c>
      <c r="I41" s="293">
        <v>2.4431129999999999</v>
      </c>
      <c r="J41" s="293"/>
      <c r="L41" s="54">
        <f>B41*1000000*Types!$R$33*$O$2</f>
        <v>61.264568479980987</v>
      </c>
      <c r="M41" s="54">
        <f>C41*1000000*Types!$R$33*$O$2</f>
        <v>41.237216148703993</v>
      </c>
      <c r="N41" s="54">
        <f>D41*1000000*Types!$R$33*$O$2</f>
        <v>86.122583411065591</v>
      </c>
      <c r="O41" s="54">
        <f>E41*1000000*Types!$R$33*$O$2</f>
        <v>71.393896314274542</v>
      </c>
      <c r="P41" s="54">
        <f>F41*1000000*Types!$R$33*$O$2</f>
        <v>61.272287752352312</v>
      </c>
      <c r="Q41" s="54">
        <f>G41*1000000*Types!$R$33*$O$2</f>
        <v>52.502230361527033</v>
      </c>
      <c r="R41" s="54">
        <f>H41*1000000*Types!$R$33*$O$2</f>
        <v>48.124243669038073</v>
      </c>
      <c r="S41" s="54">
        <f>I41*1000000*Types!$R$33*$O$2</f>
        <v>41.809013095700159</v>
      </c>
    </row>
    <row r="42" spans="1:19" x14ac:dyDescent="0.2">
      <c r="A42" s="293"/>
    </row>
    <row r="43" spans="1:19" ht="15" x14ac:dyDescent="0.25">
      <c r="A43" s="50" t="s">
        <v>1167</v>
      </c>
      <c r="B43" s="53">
        <v>14.189999580383301</v>
      </c>
      <c r="C43" s="50">
        <v>12.591200000000001</v>
      </c>
      <c r="D43" s="50">
        <v>14.299882999999999</v>
      </c>
      <c r="E43" s="50">
        <v>14.080681</v>
      </c>
      <c r="F43" s="50">
        <v>13.725255000000001</v>
      </c>
      <c r="G43" s="50">
        <v>8.7542080000000002</v>
      </c>
      <c r="H43" s="50">
        <v>5.7355660000000004</v>
      </c>
      <c r="I43" s="50">
        <v>5.3807289999999997</v>
      </c>
      <c r="J43" s="50"/>
    </row>
    <row r="44" spans="1:19" x14ac:dyDescent="0.2">
      <c r="A44" s="293" t="s">
        <v>1164</v>
      </c>
      <c r="B44" s="53">
        <v>3.9900000095367401</v>
      </c>
      <c r="C44" s="293">
        <v>6.6947000000000001</v>
      </c>
      <c r="D44" s="293">
        <v>10.646417</v>
      </c>
      <c r="E44" s="293">
        <v>10.644393000000001</v>
      </c>
      <c r="F44" s="293">
        <v>10.647707</v>
      </c>
      <c r="G44" s="293">
        <v>5.552079</v>
      </c>
      <c r="H44" s="293">
        <v>2.5283799999999998</v>
      </c>
      <c r="I44" s="293">
        <v>2.644879</v>
      </c>
      <c r="J44" s="293"/>
      <c r="L44" s="54">
        <f>B44*1000000*Types!$R$35*$O$2</f>
        <v>79.436538002666055</v>
      </c>
      <c r="M44" s="54">
        <f>C44*1000000*Types!$R$35*$O$2</f>
        <v>133.28415781838399</v>
      </c>
      <c r="N44" s="54">
        <f>D44*1000000*Types!$R$35*$O$2</f>
        <v>211.95852295522224</v>
      </c>
      <c r="O44" s="54">
        <f>E44*1000000*Types!$R$35*$O$2</f>
        <v>211.91822732802095</v>
      </c>
      <c r="P44" s="54">
        <f>F44*1000000*Types!$R$35*$O$2</f>
        <v>211.98420544489102</v>
      </c>
      <c r="Q44" s="54">
        <f>G44*1000000*Types!$R$35*$O$2</f>
        <v>110.53582291307087</v>
      </c>
      <c r="R44" s="54">
        <f>H44*1000000*Types!$R$35*$O$2</f>
        <v>50.3372815727136</v>
      </c>
      <c r="S44" s="54">
        <f>I44*1000000*Types!$R$35*$O$2</f>
        <v>52.656649296686879</v>
      </c>
    </row>
    <row r="45" spans="1:19" x14ac:dyDescent="0.2">
      <c r="A45" s="293" t="s">
        <v>1165</v>
      </c>
      <c r="B45" s="53">
        <v>10.199999809265099</v>
      </c>
      <c r="C45" s="293">
        <v>5.8964999999999996</v>
      </c>
      <c r="D45" s="293">
        <v>3.6534659999999999</v>
      </c>
      <c r="E45" s="293">
        <v>3.4362879999999998</v>
      </c>
      <c r="F45" s="293">
        <v>3.0775480000000002</v>
      </c>
      <c r="G45" s="293">
        <v>3.2021280000000001</v>
      </c>
      <c r="H45" s="293">
        <v>3.2071860000000001</v>
      </c>
      <c r="I45" s="293">
        <v>2.7358500000000001</v>
      </c>
      <c r="J45" s="293"/>
      <c r="L45" s="54">
        <f>B45*1000000*Types!$R$37*$O$2</f>
        <v>210.28109731584851</v>
      </c>
      <c r="M45" s="54">
        <f>C45*1000000*Types!$R$37*$O$2</f>
        <v>121.56103073615999</v>
      </c>
      <c r="N45" s="54">
        <f>D45*1000000*Types!$R$37*$O$2</f>
        <v>75.319103318835829</v>
      </c>
      <c r="O45" s="54">
        <f>E45*1000000*Types!$R$37*$O$2</f>
        <v>70.841806357381117</v>
      </c>
      <c r="P45" s="54">
        <f>F45*1000000*Types!$R$37*$O$2</f>
        <v>63.44609633172351</v>
      </c>
      <c r="Q45" s="54">
        <f>G45*1000000*Types!$R$37*$O$2</f>
        <v>66.014411978142718</v>
      </c>
      <c r="R45" s="54">
        <f>H45*1000000*Types!$R$37*$O$2</f>
        <v>66.118686665408632</v>
      </c>
      <c r="S45" s="54">
        <f>I45*1000000*Types!$R$37*$O$2</f>
        <v>56.401720671503995</v>
      </c>
    </row>
    <row r="46" spans="1:19" x14ac:dyDescent="0.2">
      <c r="A46" s="293"/>
    </row>
    <row r="47" spans="1:19" x14ac:dyDescent="0.2">
      <c r="A47" s="293"/>
    </row>
    <row r="48" spans="1:19" ht="15" x14ac:dyDescent="0.25">
      <c r="A48" s="50" t="s">
        <v>1168</v>
      </c>
      <c r="B48" s="53">
        <v>63.029998779296903</v>
      </c>
      <c r="C48" s="50">
        <v>46.537601000000002</v>
      </c>
      <c r="D48" s="50">
        <v>34.564098000000001</v>
      </c>
      <c r="E48" s="50">
        <v>32.716827000000002</v>
      </c>
      <c r="F48" s="50">
        <v>32.583976999999997</v>
      </c>
      <c r="G48" s="50">
        <v>31.556044</v>
      </c>
      <c r="H48" s="50">
        <v>27.079000000000001</v>
      </c>
      <c r="I48" s="50">
        <v>26.471478000000001</v>
      </c>
      <c r="J48" s="50"/>
    </row>
    <row r="49" spans="1:19" x14ac:dyDescent="0.2">
      <c r="A49" s="293" t="s">
        <v>1155</v>
      </c>
      <c r="B49" s="53">
        <v>0</v>
      </c>
      <c r="C49" s="293">
        <v>1.77E-2</v>
      </c>
      <c r="D49" s="293">
        <v>0.19106500000000001</v>
      </c>
      <c r="E49" s="293">
        <v>0.65207400000000004</v>
      </c>
      <c r="F49" s="293">
        <v>0.19922000000000001</v>
      </c>
      <c r="G49" s="293">
        <v>1.7291000000000001E-2</v>
      </c>
      <c r="H49" s="293">
        <v>0.31731999999999999</v>
      </c>
      <c r="I49" s="293">
        <v>0.287383</v>
      </c>
      <c r="J49" s="293"/>
      <c r="L49" s="54">
        <f>B49*1000000*Types!$R$40*$O$2</f>
        <v>0</v>
      </c>
      <c r="M49" s="54">
        <f>C49*1000000*Types!$R$40*$O$2</f>
        <v>0.49113911855999998</v>
      </c>
      <c r="N49" s="54">
        <f>D49*1000000*Types!$R$40*$O$2</f>
        <v>5.3016664230319996</v>
      </c>
      <c r="O49" s="54">
        <f>E49*1000000*Types!$R$40*$O$2</f>
        <v>18.093731615587199</v>
      </c>
      <c r="P49" s="54">
        <f>F49*1000000*Types!$R$40*$O$2</f>
        <v>5.5279511412159996</v>
      </c>
      <c r="Q49" s="54">
        <f>G49*1000000*Types!$R$40*$O$2</f>
        <v>0.47979019768479997</v>
      </c>
      <c r="R49" s="54">
        <f>H49*1000000*Types!$R$40*$O$2</f>
        <v>8.8049867288959991</v>
      </c>
      <c r="S49" s="54">
        <f>I49*1000000*Types!$R$40*$O$2</f>
        <v>7.9742956671823997</v>
      </c>
    </row>
    <row r="50" spans="1:19" x14ac:dyDescent="0.2">
      <c r="A50" s="293" t="s">
        <v>1153</v>
      </c>
      <c r="B50" s="53">
        <v>52.959999084472699</v>
      </c>
      <c r="C50" s="293">
        <v>41.137900999999999</v>
      </c>
      <c r="D50" s="293">
        <v>29.066376000000002</v>
      </c>
      <c r="E50" s="293">
        <v>27.509461999999999</v>
      </c>
      <c r="F50" s="293">
        <v>27.594792999999999</v>
      </c>
      <c r="G50" s="293">
        <v>27.171896</v>
      </c>
      <c r="H50" s="293">
        <v>22.406616</v>
      </c>
      <c r="I50" s="293">
        <v>21.837765000000001</v>
      </c>
      <c r="J50" s="293"/>
      <c r="L50" s="54">
        <f>B50*1000000*Types!$R$38*$O$2</f>
        <v>1270.6148914170931</v>
      </c>
      <c r="M50" s="54">
        <f>C50*1000000*Types!$R$38*$O$2</f>
        <v>986.97942816934926</v>
      </c>
      <c r="N50" s="54">
        <f>D50*1000000*Types!$R$38*$O$2</f>
        <v>697.35972098905336</v>
      </c>
      <c r="O50" s="54">
        <f>E50*1000000*Types!$R$38*$O$2</f>
        <v>660.00628165268927</v>
      </c>
      <c r="P50" s="54">
        <f>F50*1000000*Types!$R$38*$O$2</f>
        <v>662.05354073829778</v>
      </c>
      <c r="Q50" s="54">
        <f>G50*1000000*Types!$R$38*$O$2</f>
        <v>651.9074071464421</v>
      </c>
      <c r="R50" s="54">
        <f>H50*1000000*Types!$R$38*$O$2</f>
        <v>537.57893595227893</v>
      </c>
      <c r="S50" s="54">
        <f>I50*1000000*Types!$R$38*$O$2</f>
        <v>523.93107786896155</v>
      </c>
    </row>
    <row r="51" spans="1:19" x14ac:dyDescent="0.2">
      <c r="A51" s="293" t="s">
        <v>1164</v>
      </c>
      <c r="B51" s="53">
        <v>10.069999694824199</v>
      </c>
      <c r="C51" s="293">
        <v>5.3819999999999997</v>
      </c>
      <c r="D51" s="293">
        <v>5.3066579999999997</v>
      </c>
      <c r="E51" s="293">
        <v>4.5552910000000004</v>
      </c>
      <c r="F51" s="293">
        <v>4.7899630000000002</v>
      </c>
      <c r="G51" s="293">
        <v>4.3668550000000002</v>
      </c>
      <c r="H51" s="293">
        <v>4.3550649999999997</v>
      </c>
      <c r="I51" s="293">
        <v>4.3463279999999997</v>
      </c>
      <c r="J51" s="293"/>
      <c r="L51" s="54">
        <f>B51*1000000*Types!$R$39*$O$2</f>
        <v>211.74456300858722</v>
      </c>
      <c r="M51" s="54">
        <f>C51*1000000*Types!$R$39*$O$2</f>
        <v>113.16874604255999</v>
      </c>
      <c r="N51" s="54">
        <f>D51*1000000*Types!$R$39*$O$2</f>
        <v>111.58450976156062</v>
      </c>
      <c r="O51" s="54">
        <f>E51*1000000*Types!$R$39*$O$2</f>
        <v>95.785315928829263</v>
      </c>
      <c r="P51" s="54">
        <f>F51*1000000*Types!$R$39*$O$2</f>
        <v>100.71982651435503</v>
      </c>
      <c r="Q51" s="54">
        <f>G51*1000000*Types!$R$39*$O$2</f>
        <v>91.823022017778399</v>
      </c>
      <c r="R51" s="54">
        <f>H51*1000000*Types!$R$39*$O$2</f>
        <v>91.5751105506952</v>
      </c>
      <c r="S51" s="54">
        <f>I51*1000000*Types!$R$39*$O$2</f>
        <v>91.391395326954225</v>
      </c>
    </row>
    <row r="52" spans="1:19" x14ac:dyDescent="0.2">
      <c r="A52" s="293"/>
    </row>
    <row r="53" spans="1:19" ht="15" x14ac:dyDescent="0.25">
      <c r="A53" s="50" t="s">
        <v>1169</v>
      </c>
      <c r="B53" s="53">
        <v>40.590000152587898</v>
      </c>
      <c r="C53" s="50">
        <v>30.033300000000001</v>
      </c>
      <c r="D53" s="50">
        <v>33.265372999999997</v>
      </c>
      <c r="E53" s="50">
        <v>31.140871000000001</v>
      </c>
      <c r="F53" s="50">
        <v>32.429355999999999</v>
      </c>
      <c r="G53" s="50">
        <v>34.219841000000002</v>
      </c>
      <c r="H53" s="50">
        <v>34.157241999999997</v>
      </c>
      <c r="I53" s="50">
        <v>34.565533000000002</v>
      </c>
      <c r="J53" s="50"/>
    </row>
    <row r="54" spans="1:19" x14ac:dyDescent="0.2">
      <c r="A54" s="293" t="s">
        <v>1153</v>
      </c>
      <c r="B54" s="53">
        <v>17.430000305175799</v>
      </c>
      <c r="C54" s="293">
        <v>8.0001999999999995</v>
      </c>
      <c r="D54" s="293">
        <v>5.6461629999999996</v>
      </c>
      <c r="E54" s="293">
        <v>7.1414790000000004</v>
      </c>
      <c r="F54" s="293">
        <v>7.69001</v>
      </c>
      <c r="G54" s="293">
        <v>7.4408620000000001</v>
      </c>
      <c r="H54" s="293">
        <v>7.5930739999999997</v>
      </c>
      <c r="I54" s="293">
        <v>7.5474800000000002</v>
      </c>
      <c r="J54" s="293"/>
      <c r="L54" s="54">
        <f>B54*1000000*Types!$R$42*$O$2</f>
        <v>396.11255269859652</v>
      </c>
      <c r="M54" s="54">
        <f>C54*1000000*Types!$R$42*$O$2</f>
        <v>181.81179510124795</v>
      </c>
      <c r="N54" s="54">
        <f>D54*1000000*Types!$R$42*$O$2</f>
        <v>128.3141709537571</v>
      </c>
      <c r="O54" s="54">
        <f>E54*1000000*Types!$R$42*$O$2</f>
        <v>162.29658216892895</v>
      </c>
      <c r="P54" s="54">
        <f>F54*1000000*Types!$R$42*$O$2</f>
        <v>174.76244624466239</v>
      </c>
      <c r="Q54" s="54">
        <f>G54*1000000*Types!$R$42*$O$2</f>
        <v>169.10033215677885</v>
      </c>
      <c r="R54" s="54">
        <f>H54*1000000*Types!$R$42*$O$2</f>
        <v>172.55948779738176</v>
      </c>
      <c r="S54" s="54">
        <f>I54*1000000*Types!$R$42*$O$2</f>
        <v>171.52332282827518</v>
      </c>
    </row>
    <row r="55" spans="1:19" x14ac:dyDescent="0.2">
      <c r="A55" s="293" t="s">
        <v>1150</v>
      </c>
      <c r="B55" s="53">
        <v>7.9099998474121103</v>
      </c>
      <c r="C55" s="293">
        <v>3.9830000000000001</v>
      </c>
      <c r="D55" s="293">
        <v>6.1899829999999998</v>
      </c>
      <c r="E55" s="293">
        <v>1.6383509999999999</v>
      </c>
      <c r="F55" s="293">
        <v>0.805284</v>
      </c>
      <c r="G55" s="293">
        <v>3.1764009999999998</v>
      </c>
      <c r="H55" s="293">
        <v>3.1508639999999999</v>
      </c>
      <c r="I55" s="293">
        <v>2.8241040000000002</v>
      </c>
      <c r="J55" s="293"/>
      <c r="L55" s="54">
        <f>B55*1000000*Types!$R$41*$O$2</f>
        <v>159.14854767714419</v>
      </c>
      <c r="M55" s="54">
        <f>C55*1000000*Types!$R$41*$O$2</f>
        <v>80.13763307536</v>
      </c>
      <c r="N55" s="54">
        <f>D55*1000000*Types!$R$41*$O$2</f>
        <v>124.54194988619535</v>
      </c>
      <c r="O55" s="54">
        <f>E55*1000000*Types!$R$41*$O$2</f>
        <v>32.963487644149915</v>
      </c>
      <c r="P55" s="54">
        <f>F55*1000000*Types!$R$41*$O$2</f>
        <v>16.202247982289279</v>
      </c>
      <c r="Q55" s="54">
        <f>G55*1000000*Types!$R$41*$O$2</f>
        <v>63.908927401005919</v>
      </c>
      <c r="R55" s="54">
        <f>H55*1000000*Types!$R$41*$O$2</f>
        <v>63.395125057082879</v>
      </c>
      <c r="S55" s="54">
        <f>I55*1000000*Types!$R$41*$O$2</f>
        <v>56.820740677543675</v>
      </c>
    </row>
    <row r="56" spans="1:19" x14ac:dyDescent="0.2">
      <c r="A56" s="293" t="s">
        <v>1165</v>
      </c>
      <c r="B56" s="53">
        <v>15.25</v>
      </c>
      <c r="C56" s="293">
        <v>18.0501</v>
      </c>
      <c r="D56" s="293">
        <v>21.429226</v>
      </c>
      <c r="E56" s="293">
        <v>22.361042000000001</v>
      </c>
      <c r="F56" s="293">
        <v>23.934061</v>
      </c>
      <c r="G56" s="293">
        <v>23.602581000000001</v>
      </c>
      <c r="H56" s="293">
        <v>23.413301000000001</v>
      </c>
      <c r="I56" s="293">
        <v>24.193949</v>
      </c>
      <c r="J56" s="293"/>
      <c r="L56" s="54">
        <f>B56*1000000*Types!$R$43*$O$2</f>
        <v>289.29107991999996</v>
      </c>
      <c r="M56" s="54">
        <f>C56*1000000*Types!$R$43*$O$2</f>
        <v>342.40871617468798</v>
      </c>
      <c r="N56" s="54">
        <f>D56*1000000*Types!$R$43*$O$2</f>
        <v>406.51042173047489</v>
      </c>
      <c r="O56" s="54">
        <f>E56*1000000*Types!$R$43*$O$2</f>
        <v>424.18688447976893</v>
      </c>
      <c r="P56" s="54">
        <f>F56*1000000*Types!$R$43*$O$2</f>
        <v>454.0269084302397</v>
      </c>
      <c r="Q56" s="54">
        <f>G56*1000000*Types!$R$43*$O$2</f>
        <v>447.73876369765725</v>
      </c>
      <c r="R56" s="54">
        <f>H56*1000000*Types!$R$43*$O$2</f>
        <v>444.14813972341085</v>
      </c>
      <c r="S56" s="54">
        <f>I56*1000000*Types!$R$43*$O$2</f>
        <v>458.95695958946908</v>
      </c>
    </row>
    <row r="57" spans="1:19" x14ac:dyDescent="0.2">
      <c r="A57" s="293"/>
    </row>
    <row r="58" spans="1:19" ht="15" x14ac:dyDescent="0.25">
      <c r="A58" s="50" t="s">
        <v>1170</v>
      </c>
    </row>
    <row r="59" spans="1:19" x14ac:dyDescent="0.2">
      <c r="A59" s="293" t="s">
        <v>1164</v>
      </c>
      <c r="B59" s="53">
        <v>6.7199997901916504</v>
      </c>
      <c r="C59" s="293">
        <v>2.1488999999999998</v>
      </c>
      <c r="D59" s="293">
        <v>1.7563690000000001</v>
      </c>
      <c r="E59" s="293">
        <v>2.0926230000000001</v>
      </c>
      <c r="F59" s="293">
        <v>2.5104579999999999</v>
      </c>
      <c r="G59" s="293">
        <v>3.0404949999999999</v>
      </c>
      <c r="H59" s="293">
        <v>3.7173959999999999</v>
      </c>
      <c r="I59" s="293">
        <v>4.5838609999999997</v>
      </c>
      <c r="J59" s="293"/>
      <c r="L59" s="54">
        <f>B59*1000000*Types!$R$44*$O$2</f>
        <v>113.58141710021987</v>
      </c>
      <c r="M59" s="54">
        <f>C59*1000000*Types!$R$44*$O$2</f>
        <v>36.320701611167998</v>
      </c>
      <c r="N59" s="54">
        <f>D59*1000000*Types!$R$44*$O$2</f>
        <v>29.686143779657275</v>
      </c>
      <c r="O59" s="54">
        <f>E59*1000000*Types!$R$44*$O$2</f>
        <v>35.369507919245763</v>
      </c>
      <c r="P59" s="54">
        <f>F59*1000000*Types!$R$44*$O$2</f>
        <v>42.431753885880951</v>
      </c>
      <c r="Q59" s="54">
        <f>G59*1000000*Types!$R$44*$O$2</f>
        <v>51.390437733374391</v>
      </c>
      <c r="R59" s="54">
        <f>H59*1000000*Types!$R$44*$O$2</f>
        <v>62.831416485899517</v>
      </c>
      <c r="S59" s="54">
        <f>I59*1000000*Types!$R$44*$O$2</f>
        <v>77.476405420480319</v>
      </c>
    </row>
    <row r="60" spans="1:19" x14ac:dyDescent="0.2">
      <c r="A60" s="293"/>
    </row>
    <row r="61" spans="1:19" ht="15" x14ac:dyDescent="0.25">
      <c r="A61" s="50" t="s">
        <v>1214</v>
      </c>
    </row>
    <row r="62" spans="1:19" x14ac:dyDescent="0.2">
      <c r="A62" s="293"/>
    </row>
    <row r="63" spans="1:19" ht="15" x14ac:dyDescent="0.25">
      <c r="A63" s="50" t="s">
        <v>1172</v>
      </c>
      <c r="B63" s="53">
        <v>50.800003051757798</v>
      </c>
      <c r="C63" s="50">
        <v>90.142798999999997</v>
      </c>
      <c r="D63" s="50">
        <v>86.854018999999994</v>
      </c>
      <c r="E63" s="50">
        <v>93.466926999999998</v>
      </c>
      <c r="F63" s="50">
        <v>95.345093000000006</v>
      </c>
      <c r="G63" s="50">
        <v>94.016684999999995</v>
      </c>
      <c r="H63" s="50">
        <v>94.399367999999996</v>
      </c>
      <c r="I63" s="50">
        <v>91.542450000000002</v>
      </c>
      <c r="J63" s="50"/>
    </row>
    <row r="64" spans="1:19" x14ac:dyDescent="0.2">
      <c r="A64" s="293" t="s">
        <v>1173</v>
      </c>
      <c r="B64" s="53">
        <v>520.35998535156295</v>
      </c>
      <c r="C64" s="293">
        <v>423.61102299999999</v>
      </c>
      <c r="D64" s="293">
        <v>382.06509399999999</v>
      </c>
      <c r="E64" s="293">
        <v>389.49142499999999</v>
      </c>
      <c r="F64" s="293">
        <v>393.93923999999998</v>
      </c>
      <c r="G64" s="293">
        <v>408.04724099999999</v>
      </c>
      <c r="H64" s="293">
        <v>417.12713600000001</v>
      </c>
      <c r="I64" s="293">
        <v>423.72833300000002</v>
      </c>
      <c r="J64" s="293"/>
    </row>
    <row r="65" spans="1:10" x14ac:dyDescent="0.2">
      <c r="A65" s="293" t="s">
        <v>1174</v>
      </c>
      <c r="B65" s="53">
        <v>476.38000488281301</v>
      </c>
      <c r="C65" s="293">
        <v>500.77230800000001</v>
      </c>
      <c r="D65" s="293">
        <v>512.32250999999997</v>
      </c>
      <c r="E65" s="293">
        <v>505.20764200000002</v>
      </c>
      <c r="F65" s="293">
        <v>531.01300000000003</v>
      </c>
      <c r="G65" s="293">
        <v>526.08886700000005</v>
      </c>
      <c r="H65" s="293">
        <v>516.117615</v>
      </c>
      <c r="I65" s="293">
        <v>506.23266599999999</v>
      </c>
      <c r="J65" s="293"/>
    </row>
    <row r="66" spans="1:10" x14ac:dyDescent="0.2">
      <c r="A66" s="293" t="s">
        <v>1175</v>
      </c>
      <c r="B66" s="53">
        <v>83.949996948242202</v>
      </c>
      <c r="C66" s="293">
        <v>81.101096999999996</v>
      </c>
      <c r="D66" s="293">
        <v>81.225525000000005</v>
      </c>
      <c r="E66" s="293">
        <v>88.730804000000006</v>
      </c>
      <c r="F66" s="293">
        <v>93.593718999999993</v>
      </c>
      <c r="G66" s="293">
        <v>98.688393000000005</v>
      </c>
      <c r="H66" s="293">
        <v>98.480002999999996</v>
      </c>
      <c r="I66" s="293">
        <v>99.019112000000007</v>
      </c>
      <c r="J66" s="293"/>
    </row>
    <row r="67" spans="1:10" x14ac:dyDescent="0.2">
      <c r="A67" s="293"/>
    </row>
    <row r="68" spans="1:10" ht="15" x14ac:dyDescent="0.25">
      <c r="A68" s="50" t="s">
        <v>1176</v>
      </c>
      <c r="B68" s="53">
        <v>547.32000732421898</v>
      </c>
      <c r="C68" s="50">
        <v>536.11090100000001</v>
      </c>
      <c r="D68" s="50">
        <v>528.63757299999997</v>
      </c>
      <c r="E68" s="50">
        <v>525.95550500000002</v>
      </c>
      <c r="F68" s="50">
        <v>547.92663600000003</v>
      </c>
      <c r="G68" s="50">
        <v>543.37219200000004</v>
      </c>
      <c r="H68" s="50">
        <v>531.63159199999996</v>
      </c>
      <c r="I68" s="50">
        <v>523.81085199999995</v>
      </c>
      <c r="J68" s="50"/>
    </row>
    <row r="69" spans="1:10" x14ac:dyDescent="0.2">
      <c r="A69" s="293" t="s">
        <v>1177</v>
      </c>
      <c r="B69" s="53">
        <v>429.54998779296898</v>
      </c>
      <c r="C69" s="293">
        <v>362.69097900000003</v>
      </c>
      <c r="D69" s="293">
        <v>280.77355999999997</v>
      </c>
      <c r="E69" s="293">
        <v>278.84768700000001</v>
      </c>
      <c r="F69" s="293">
        <v>285.318085</v>
      </c>
      <c r="G69" s="293">
        <v>287.81985500000002</v>
      </c>
      <c r="H69" s="293">
        <v>285.78216600000002</v>
      </c>
      <c r="I69" s="293">
        <v>277.47653200000002</v>
      </c>
      <c r="J69" s="293"/>
    </row>
    <row r="70" spans="1:10" x14ac:dyDescent="0.2">
      <c r="A70" s="293" t="s">
        <v>1178</v>
      </c>
      <c r="B70" s="53">
        <v>154.61999511718801</v>
      </c>
      <c r="C70" s="293">
        <v>196.82530199999999</v>
      </c>
      <c r="D70" s="293">
        <v>253.055969</v>
      </c>
      <c r="E70" s="293">
        <v>272.093658</v>
      </c>
      <c r="F70" s="293">
        <v>280.64636200000001</v>
      </c>
      <c r="G70" s="293">
        <v>295.64913899999999</v>
      </c>
      <c r="H70" s="293">
        <v>308.71032700000001</v>
      </c>
      <c r="I70" s="293">
        <v>319.23513800000001</v>
      </c>
      <c r="J70" s="293"/>
    </row>
    <row r="71" spans="1:10" x14ac:dyDescent="0.2">
      <c r="A71" s="293"/>
    </row>
    <row r="72" spans="1:10" ht="15" x14ac:dyDescent="0.25">
      <c r="A72" s="50" t="s">
        <v>1179</v>
      </c>
      <c r="B72" s="53">
        <v>368.15002441406301</v>
      </c>
      <c r="C72" s="50">
        <v>345.07046500000001</v>
      </c>
      <c r="D72" s="50">
        <v>326.73928799999999</v>
      </c>
      <c r="E72" s="50">
        <v>349.507721</v>
      </c>
      <c r="F72" s="50">
        <v>363.61056500000001</v>
      </c>
      <c r="G72" s="50">
        <v>375.07669099999998</v>
      </c>
      <c r="H72" s="50">
        <v>383.01263399999999</v>
      </c>
      <c r="I72" s="50">
        <v>387.60964999999999</v>
      </c>
      <c r="J72" s="50"/>
    </row>
    <row r="73" spans="1:10" x14ac:dyDescent="0.2">
      <c r="A73" s="293" t="s">
        <v>1180</v>
      </c>
      <c r="B73" s="53">
        <v>763.33996582031295</v>
      </c>
      <c r="C73" s="293">
        <v>750.55670199999997</v>
      </c>
      <c r="D73" s="293">
        <v>735.72778300000004</v>
      </c>
      <c r="E73" s="293">
        <v>727.38909899999999</v>
      </c>
      <c r="F73" s="293">
        <v>750.28051800000003</v>
      </c>
      <c r="G73" s="293">
        <v>751.76452600000005</v>
      </c>
      <c r="H73" s="293">
        <v>743.11144999999999</v>
      </c>
      <c r="I73" s="293">
        <v>732.91302499999995</v>
      </c>
      <c r="J73" s="293"/>
    </row>
    <row r="74" spans="1:10" x14ac:dyDescent="0.2">
      <c r="A74" s="293"/>
    </row>
    <row r="75" spans="1:10" ht="15" x14ac:dyDescent="0.25">
      <c r="A75" s="50" t="s">
        <v>1215</v>
      </c>
      <c r="B75" s="53">
        <v>1131.48999023438</v>
      </c>
      <c r="C75" s="50">
        <v>1095.627197</v>
      </c>
      <c r="D75" s="50">
        <v>1062.467163</v>
      </c>
      <c r="E75" s="50">
        <v>1076.896851</v>
      </c>
      <c r="F75" s="50">
        <v>1113.890991</v>
      </c>
      <c r="G75" s="50">
        <v>1126.841187</v>
      </c>
      <c r="H75" s="50">
        <v>1126.1240230000001</v>
      </c>
      <c r="I75" s="50">
        <v>1120.5225829999999</v>
      </c>
      <c r="J75" s="50"/>
    </row>
    <row r="76" spans="1:10" x14ac:dyDescent="0.2">
      <c r="A76" s="293"/>
      <c r="B76" s="293"/>
    </row>
    <row r="77" spans="1:10" ht="15" x14ac:dyDescent="0.25">
      <c r="A77" s="50" t="s">
        <v>1182</v>
      </c>
      <c r="B77" s="50"/>
      <c r="C77" s="50">
        <v>13.209</v>
      </c>
      <c r="D77" s="50">
        <v>10.288349999999999</v>
      </c>
      <c r="E77" s="50">
        <v>13.733294000000001</v>
      </c>
      <c r="F77" s="50">
        <v>13.847168999999999</v>
      </c>
      <c r="G77" s="50">
        <v>14.739177</v>
      </c>
      <c r="H77" s="50">
        <v>16.967140000000001</v>
      </c>
      <c r="I77" s="50">
        <v>18.792078</v>
      </c>
      <c r="J77" s="50"/>
    </row>
    <row r="78" spans="1:10" x14ac:dyDescent="0.2">
      <c r="A78" s="293"/>
      <c r="B78" s="293"/>
    </row>
    <row r="79" spans="1:10" x14ac:dyDescent="0.2">
      <c r="A79" s="317" t="s">
        <v>1183</v>
      </c>
      <c r="B79" s="317"/>
      <c r="C79" s="317"/>
      <c r="D79" s="317"/>
      <c r="E79" s="317"/>
      <c r="F79" s="317"/>
      <c r="G79" s="317"/>
      <c r="H79" s="317"/>
      <c r="I79" s="317"/>
    </row>
    <row r="80" spans="1:10" x14ac:dyDescent="0.2">
      <c r="A80" s="317" t="s">
        <v>1184</v>
      </c>
      <c r="B80" s="317"/>
      <c r="C80" s="317"/>
      <c r="D80" s="317"/>
      <c r="E80" s="317"/>
      <c r="F80" s="317"/>
      <c r="G80" s="317"/>
      <c r="H80" s="317"/>
      <c r="I80" s="317"/>
    </row>
    <row r="81" spans="1:9" x14ac:dyDescent="0.2">
      <c r="A81" s="317" t="s">
        <v>1185</v>
      </c>
      <c r="B81" s="317"/>
      <c r="C81" s="317"/>
      <c r="D81" s="317"/>
      <c r="E81" s="317"/>
      <c r="F81" s="317"/>
      <c r="G81" s="317"/>
      <c r="H81" s="317"/>
      <c r="I81" s="317"/>
    </row>
    <row r="82" spans="1:9" x14ac:dyDescent="0.2">
      <c r="A82" s="317" t="s">
        <v>1186</v>
      </c>
      <c r="B82" s="317"/>
      <c r="C82" s="317"/>
      <c r="D82" s="317"/>
      <c r="E82" s="317"/>
      <c r="F82" s="317"/>
      <c r="G82" s="317"/>
      <c r="H82" s="317"/>
      <c r="I82" s="317"/>
    </row>
    <row r="83" spans="1:9" x14ac:dyDescent="0.2">
      <c r="A83" s="317" t="s">
        <v>1187</v>
      </c>
      <c r="B83" s="317"/>
      <c r="C83" s="317"/>
      <c r="D83" s="317"/>
      <c r="E83" s="317"/>
      <c r="F83" s="317"/>
      <c r="G83" s="317"/>
      <c r="H83" s="317"/>
      <c r="I83" s="317"/>
    </row>
    <row r="84" spans="1:9" x14ac:dyDescent="0.2">
      <c r="A84" s="317" t="s">
        <v>1188</v>
      </c>
      <c r="B84" s="317"/>
      <c r="C84" s="317"/>
      <c r="D84" s="317"/>
      <c r="E84" s="317"/>
      <c r="F84" s="317"/>
      <c r="G84" s="317"/>
      <c r="H84" s="317"/>
      <c r="I84" s="317"/>
    </row>
    <row r="85" spans="1:9" x14ac:dyDescent="0.2">
      <c r="A85" s="317" t="s">
        <v>1189</v>
      </c>
      <c r="B85" s="317"/>
      <c r="C85" s="317"/>
      <c r="D85" s="317"/>
      <c r="E85" s="317"/>
      <c r="F85" s="317"/>
      <c r="G85" s="317"/>
      <c r="H85" s="317"/>
      <c r="I85" s="317"/>
    </row>
    <row r="86" spans="1:9" x14ac:dyDescent="0.2">
      <c r="A86" s="317" t="s">
        <v>1190</v>
      </c>
      <c r="B86" s="317"/>
      <c r="C86" s="317"/>
      <c r="D86" s="317"/>
      <c r="E86" s="317"/>
      <c r="F86" s="317"/>
      <c r="G86" s="317"/>
      <c r="H86" s="317"/>
      <c r="I86" s="317"/>
    </row>
    <row r="87" spans="1:9" x14ac:dyDescent="0.2">
      <c r="A87" s="317" t="s">
        <v>1191</v>
      </c>
      <c r="B87" s="317"/>
      <c r="C87" s="317"/>
      <c r="D87" s="317"/>
      <c r="E87" s="317"/>
      <c r="F87" s="317"/>
      <c r="G87" s="317"/>
      <c r="H87" s="317"/>
      <c r="I87" s="317"/>
    </row>
    <row r="88" spans="1:9" x14ac:dyDescent="0.2">
      <c r="A88" s="317" t="s">
        <v>1192</v>
      </c>
      <c r="B88" s="317"/>
      <c r="C88" s="317"/>
      <c r="D88" s="317"/>
      <c r="E88" s="317"/>
      <c r="F88" s="317"/>
      <c r="G88" s="317"/>
      <c r="H88" s="317"/>
      <c r="I88" s="317"/>
    </row>
    <row r="89" spans="1:9" x14ac:dyDescent="0.2">
      <c r="A89" s="317" t="s">
        <v>1193</v>
      </c>
      <c r="B89" s="317"/>
      <c r="C89" s="317"/>
      <c r="D89" s="317"/>
      <c r="E89" s="317"/>
      <c r="F89" s="317"/>
      <c r="G89" s="317"/>
      <c r="H89" s="317"/>
      <c r="I89" s="317"/>
    </row>
    <row r="90" spans="1:9" x14ac:dyDescent="0.2">
      <c r="A90" s="317" t="s">
        <v>1194</v>
      </c>
      <c r="B90" s="317"/>
      <c r="C90" s="317"/>
      <c r="D90" s="317"/>
      <c r="E90" s="317"/>
      <c r="F90" s="317"/>
      <c r="G90" s="317"/>
      <c r="H90" s="317"/>
      <c r="I90" s="317"/>
    </row>
    <row r="91" spans="1:9" x14ac:dyDescent="0.2">
      <c r="A91" s="317" t="s">
        <v>1195</v>
      </c>
      <c r="B91" s="317"/>
      <c r="C91" s="317"/>
      <c r="D91" s="317"/>
      <c r="E91" s="317"/>
      <c r="F91" s="317"/>
      <c r="G91" s="317"/>
      <c r="H91" s="317"/>
      <c r="I91" s="317"/>
    </row>
    <row r="92" spans="1:9" x14ac:dyDescent="0.2">
      <c r="A92" s="317" t="s">
        <v>1196</v>
      </c>
      <c r="B92" s="317"/>
      <c r="C92" s="317"/>
      <c r="D92" s="317"/>
      <c r="E92" s="317"/>
      <c r="F92" s="317"/>
      <c r="G92" s="317"/>
      <c r="H92" s="317"/>
      <c r="I92" s="317"/>
    </row>
    <row r="93" spans="1:9" x14ac:dyDescent="0.2">
      <c r="A93" s="317" t="s">
        <v>1197</v>
      </c>
      <c r="B93" s="317"/>
      <c r="C93" s="317"/>
      <c r="D93" s="317"/>
      <c r="E93" s="317"/>
      <c r="F93" s="317"/>
      <c r="G93" s="317"/>
      <c r="H93" s="317"/>
      <c r="I93" s="317"/>
    </row>
    <row r="94" spans="1:9" x14ac:dyDescent="0.2">
      <c r="A94" s="317" t="s">
        <v>1198</v>
      </c>
      <c r="B94" s="317"/>
      <c r="C94" s="317"/>
      <c r="D94" s="317"/>
      <c r="E94" s="317"/>
      <c r="F94" s="317"/>
      <c r="G94" s="317"/>
      <c r="H94" s="317"/>
      <c r="I94" s="317"/>
    </row>
    <row r="95" spans="1:9" x14ac:dyDescent="0.2">
      <c r="A95" s="317" t="s">
        <v>1199</v>
      </c>
      <c r="B95" s="317"/>
      <c r="C95" s="317"/>
      <c r="D95" s="317"/>
      <c r="E95" s="317"/>
      <c r="F95" s="317"/>
      <c r="G95" s="317"/>
      <c r="H95" s="317"/>
      <c r="I95" s="317"/>
    </row>
    <row r="96" spans="1:9" x14ac:dyDescent="0.2">
      <c r="A96" s="317" t="s">
        <v>1216</v>
      </c>
      <c r="B96" s="317"/>
      <c r="C96" s="317"/>
      <c r="D96" s="317"/>
      <c r="E96" s="317"/>
      <c r="F96" s="317"/>
      <c r="G96" s="317"/>
      <c r="H96" s="317"/>
      <c r="I96" s="317"/>
    </row>
    <row r="97" spans="1:9" x14ac:dyDescent="0.2">
      <c r="A97" s="317" t="s">
        <v>1203</v>
      </c>
      <c r="B97" s="317"/>
      <c r="C97" s="317"/>
      <c r="D97" s="317"/>
      <c r="E97" s="317"/>
      <c r="F97" s="317"/>
      <c r="G97" s="317"/>
      <c r="H97" s="317"/>
      <c r="I97" s="317"/>
    </row>
  </sheetData>
  <mergeCells count="22">
    <mergeCell ref="A94:I94"/>
    <mergeCell ref="A95:I95"/>
    <mergeCell ref="A96:I96"/>
    <mergeCell ref="A97:I97"/>
    <mergeCell ref="A88:I88"/>
    <mergeCell ref="A89:I89"/>
    <mergeCell ref="A90:I90"/>
    <mergeCell ref="A91:I91"/>
    <mergeCell ref="A92:I92"/>
    <mergeCell ref="A93:I93"/>
    <mergeCell ref="A87:I87"/>
    <mergeCell ref="A1:I1"/>
    <mergeCell ref="A2:I2"/>
    <mergeCell ref="A3:I3"/>
    <mergeCell ref="A79:I79"/>
    <mergeCell ref="A80:I80"/>
    <mergeCell ref="A81:I81"/>
    <mergeCell ref="A82:I82"/>
    <mergeCell ref="A83:I83"/>
    <mergeCell ref="A84:I84"/>
    <mergeCell ref="A85:I85"/>
    <mergeCell ref="A86:I86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3"/>
  <dimension ref="A1:AL100"/>
  <sheetViews>
    <sheetView showFormulas="1" zoomScale="85" workbookViewId="0">
      <pane xSplit="1" ySplit="3" topLeftCell="B4" activePane="bottomRight" state="frozen"/>
      <selection pane="topRight"/>
      <selection pane="bottomLeft"/>
      <selection pane="bottomRight" activeCell="C6" sqref="C6"/>
    </sheetView>
  </sheetViews>
  <sheetFormatPr defaultColWidth="9.140625" defaultRowHeight="12.75" x14ac:dyDescent="0.2"/>
  <cols>
    <col min="1" max="1" width="57.85546875" style="56" customWidth="1"/>
    <col min="2" max="2" width="9.140625" style="56"/>
    <col min="3" max="3" width="11" style="57" customWidth="1"/>
    <col min="4" max="5" width="7.5703125" style="57" customWidth="1"/>
    <col min="6" max="6" width="10.7109375" style="57" customWidth="1"/>
    <col min="7" max="7" width="8.7109375" style="58" customWidth="1"/>
    <col min="8" max="8" width="17.85546875" style="58" customWidth="1"/>
    <col min="9" max="9" width="12" style="57" customWidth="1"/>
    <col min="10" max="10" width="10.85546875" style="57" customWidth="1"/>
    <col min="11" max="11" width="12.140625" style="57" customWidth="1"/>
    <col min="12" max="12" width="10.85546875" style="57" customWidth="1"/>
    <col min="13" max="13" width="13.140625" style="57" customWidth="1"/>
    <col min="14" max="14" width="10.85546875" style="57" customWidth="1"/>
    <col min="15" max="15" width="10.7109375" style="56" customWidth="1"/>
    <col min="16" max="16" width="8.140625" style="56" customWidth="1"/>
    <col min="17" max="17" width="11.140625" style="56" customWidth="1"/>
    <col min="18" max="18" width="11.28515625" style="56" customWidth="1"/>
    <col min="19" max="19" width="15.7109375" style="56" customWidth="1"/>
    <col min="20" max="20" width="14.7109375" style="56" customWidth="1"/>
    <col min="21" max="21" width="12.28515625" style="56" customWidth="1"/>
    <col min="22" max="22" width="11" style="56" customWidth="1"/>
    <col min="23" max="23" width="11.5703125" style="56" customWidth="1"/>
    <col min="24" max="24" width="9.85546875" style="56" customWidth="1"/>
    <col min="25" max="25" width="13.5703125" style="56" customWidth="1"/>
    <col min="26" max="26" width="10.5703125" style="56" customWidth="1"/>
    <col min="27" max="27" width="17.140625" style="56" customWidth="1"/>
    <col min="28" max="16384" width="9.140625" style="56"/>
  </cols>
  <sheetData>
    <row r="1" spans="1:38" ht="15.75" customHeight="1" x14ac:dyDescent="0.2">
      <c r="A1" s="55" t="s">
        <v>1254</v>
      </c>
    </row>
    <row r="2" spans="1:38" ht="16.5" customHeight="1" x14ac:dyDescent="0.2">
      <c r="A2" s="216" t="s">
        <v>1255</v>
      </c>
      <c r="B2" s="216" t="s">
        <v>1256</v>
      </c>
    </row>
    <row r="3" spans="1:38" ht="38.25" x14ac:dyDescent="0.2">
      <c r="A3" s="59" t="s">
        <v>1218</v>
      </c>
      <c r="B3" s="300"/>
      <c r="C3" s="301" t="s">
        <v>1257</v>
      </c>
      <c r="D3" s="301" t="s">
        <v>1142</v>
      </c>
      <c r="E3" s="302" t="s">
        <v>1258</v>
      </c>
      <c r="F3" s="301" t="s">
        <v>1143</v>
      </c>
      <c r="G3" s="303" t="s">
        <v>1259</v>
      </c>
      <c r="H3" s="303" t="s">
        <v>1260</v>
      </c>
      <c r="I3" s="301" t="s">
        <v>1261</v>
      </c>
      <c r="J3" s="301"/>
      <c r="K3" s="301" t="s">
        <v>1262</v>
      </c>
      <c r="L3" s="301"/>
      <c r="M3" s="301" t="s">
        <v>1263</v>
      </c>
      <c r="N3" s="301"/>
      <c r="O3" s="301" t="s">
        <v>1264</v>
      </c>
      <c r="P3" s="301" t="s">
        <v>1265</v>
      </c>
      <c r="Q3" s="301" t="s">
        <v>1141</v>
      </c>
      <c r="R3" s="302" t="s">
        <v>1266</v>
      </c>
      <c r="S3" s="302" t="s">
        <v>1267</v>
      </c>
      <c r="T3" s="302" t="s">
        <v>1268</v>
      </c>
      <c r="U3" s="302" t="s">
        <v>1269</v>
      </c>
      <c r="V3" s="302" t="s">
        <v>1270</v>
      </c>
      <c r="W3" s="302" t="s">
        <v>1271</v>
      </c>
      <c r="X3" s="301" t="s">
        <v>1272</v>
      </c>
      <c r="Y3" s="302" t="s">
        <v>1273</v>
      </c>
      <c r="Z3" s="302" t="s">
        <v>1274</v>
      </c>
      <c r="AA3" s="302" t="s">
        <v>1275</v>
      </c>
    </row>
    <row r="4" spans="1:38" x14ac:dyDescent="0.2">
      <c r="A4" s="60" t="str">
        <f t="shared" ref="A4:A44" si="0">CONCATENATE("MIN.COAL.",C4,".",E4,".",RIGHT(Q4,3))</f>
        <v>MIN.COAL.1.NA.BMU</v>
      </c>
      <c r="B4" s="61" t="str">
        <f t="shared" ref="B4:B43" si="1">CONCATENATE(D4,F4)</f>
        <v>12</v>
      </c>
      <c r="C4" s="62">
        <f>BASE_YR_SUPPLY_CURVE!B6</f>
        <v>1</v>
      </c>
      <c r="D4" s="62">
        <f>BASE_YR_SUPPLY_CURVE!C6</f>
        <v>1</v>
      </c>
      <c r="E4" s="62" t="str">
        <f>BASE_YR_SUPPLY_CURVE!D6</f>
        <v>NA</v>
      </c>
      <c r="F4" s="62">
        <f>BASE_YR_SUPPLY_CURVE!G6</f>
        <v>2</v>
      </c>
      <c r="G4" s="63">
        <v>2</v>
      </c>
      <c r="H4" s="63">
        <v>1</v>
      </c>
      <c r="I4" s="62" t="str">
        <f>BASE_YR_SUPPLY_CURVE!K6</f>
        <v>Medium</v>
      </c>
      <c r="J4" s="64" t="str">
        <f t="array" ref="J4">IF(I4="Low","L",IF(I4="Medium","M",IF(I4="High","H","")))</f>
        <v>M</v>
      </c>
      <c r="K4" s="62" t="str">
        <f>BASE_YR_SUPPLY_CURVE!I6</f>
        <v>Deep</v>
      </c>
      <c r="L4" s="64" t="str">
        <f>IF(K4="Deep","U",IF(K4="Surface","S",IF(K4="Underground","U","")))</f>
        <v>U</v>
      </c>
      <c r="M4" s="62" t="str">
        <f>BASE_YR_SUPPLY_CURVE!J6</f>
        <v>Bituminous</v>
      </c>
      <c r="N4" s="64" t="str">
        <f>IF(M4="Bituminous","B",IF(M4="Lignite","L",IF(M4="Premium","P",IF(M4="GOB","L",IF(M4="Subbituminous","S","")))))</f>
        <v>B</v>
      </c>
      <c r="O4" s="62" t="str">
        <f>BASE_YR_SUPPLY_CURVE!H6</f>
        <v>MDB</v>
      </c>
      <c r="P4" s="65" t="str">
        <f t="shared" ref="P4:P44" si="2">CONCATENATE(N4,J4)</f>
        <v>BM</v>
      </c>
      <c r="Q4" s="65" t="str">
        <f t="shared" ref="Q4:Q44" si="3">CONCATENATE("C",E4,P4,L4)</f>
        <v>CNABMU</v>
      </c>
      <c r="R4" s="66">
        <f>BASE_YR_SUPPLY_CURVE!M6</f>
        <v>25.19</v>
      </c>
      <c r="S4" s="67" t="e">
        <f t="array" ref="S4:S43">TRANSPOSE(#REF!)</f>
        <v>#REF!</v>
      </c>
      <c r="T4" s="66">
        <f>BASE_YR_SUPPLY_CURVE!N6</f>
        <v>1.39</v>
      </c>
      <c r="U4" s="66">
        <f>BASE_YR_SUPPLY_CURVE!P6</f>
        <v>11.17</v>
      </c>
      <c r="V4" s="67" t="e">
        <f t="shared" ref="V4:V43" si="4">S4*T4</f>
        <v>#REF!</v>
      </c>
      <c r="W4" s="67" t="e">
        <f t="shared" ref="W4:W43" si="5">S4*U4</f>
        <v>#REF!</v>
      </c>
      <c r="X4" s="68" t="e">
        <f>#REF!</f>
        <v>#REF!</v>
      </c>
      <c r="Y4" s="68" t="e">
        <f>X4*R4*'Conversion Factors'!$B$4*10^6</f>
        <v>#REF!</v>
      </c>
      <c r="Z4" s="66">
        <f>BASE_YR_SUPPLY_CURVE!L6</f>
        <v>23.308397305484046</v>
      </c>
      <c r="AA4" s="66">
        <f>BASE_YR_SUPPLY_CURVE!O6</f>
        <v>204.7</v>
      </c>
      <c r="AB4" s="69"/>
      <c r="AC4" s="69"/>
      <c r="AD4" s="70" t="s">
        <v>1265</v>
      </c>
      <c r="AE4" s="71" t="s">
        <v>1265</v>
      </c>
      <c r="AF4" s="71" t="s">
        <v>1265</v>
      </c>
      <c r="AG4" s="69" t="s">
        <v>1265</v>
      </c>
      <c r="AH4" s="70" t="s">
        <v>1265</v>
      </c>
      <c r="AI4" s="70" t="s">
        <v>1265</v>
      </c>
      <c r="AJ4" s="70" t="s">
        <v>1265</v>
      </c>
      <c r="AK4" s="70" t="s">
        <v>1265</v>
      </c>
      <c r="AL4" s="69" t="s">
        <v>1265</v>
      </c>
    </row>
    <row r="5" spans="1:38" x14ac:dyDescent="0.2">
      <c r="A5" s="60" t="str">
        <f t="shared" si="0"/>
        <v>MIN.COAL.2.NA.BHU</v>
      </c>
      <c r="B5" s="61" t="str">
        <f t="shared" si="1"/>
        <v>13</v>
      </c>
      <c r="C5" s="62">
        <f>BASE_YR_SUPPLY_CURVE!B7</f>
        <v>2</v>
      </c>
      <c r="D5" s="62">
        <f>BASE_YR_SUPPLY_CURVE!C7</f>
        <v>1</v>
      </c>
      <c r="E5" s="62" t="str">
        <f>BASE_YR_SUPPLY_CURVE!D7</f>
        <v>NA</v>
      </c>
      <c r="F5" s="62">
        <f>BASE_YR_SUPPLY_CURVE!G7</f>
        <v>3</v>
      </c>
      <c r="G5" s="63">
        <v>3</v>
      </c>
      <c r="H5" s="63">
        <v>2</v>
      </c>
      <c r="I5" s="62" t="str">
        <f>BASE_YR_SUPPLY_CURVE!K7</f>
        <v>High</v>
      </c>
      <c r="J5" s="64" t="str">
        <f t="array" ref="J5">IF(I5="Low","L",IF(I5="Medium","M",IF(I5="High","H","")))</f>
        <v>H</v>
      </c>
      <c r="K5" s="62" t="str">
        <f>BASE_YR_SUPPLY_CURVE!I7</f>
        <v>Deep</v>
      </c>
      <c r="L5" s="64" t="str">
        <f t="shared" ref="L5:L44" si="6">IF(K5="Deep","U",IF(K5="Surface","S",IF(K5="Underground","U","")))</f>
        <v>U</v>
      </c>
      <c r="M5" s="62" t="str">
        <f>BASE_YR_SUPPLY_CURVE!J7</f>
        <v>Bituminous</v>
      </c>
      <c r="N5" s="64" t="str">
        <f t="shared" ref="N5:N44" si="7">IF(M5="Bituminous","B",IF(M5="Lignite","L",IF(M5="Premium","P",IF(M5="GOB","L",IF(M5="Subbituminous","S","")))))</f>
        <v>B</v>
      </c>
      <c r="O5" s="62" t="str">
        <f>BASE_YR_SUPPLY_CURVE!H7</f>
        <v>HDB</v>
      </c>
      <c r="P5" s="65" t="str">
        <f t="shared" si="2"/>
        <v>BH</v>
      </c>
      <c r="Q5" s="65" t="str">
        <f t="shared" si="3"/>
        <v>CNABHU</v>
      </c>
      <c r="R5" s="66">
        <f>BASE_YR_SUPPLY_CURVE!M7</f>
        <v>24.67</v>
      </c>
      <c r="S5" s="67" t="e">
        <v>#REF!</v>
      </c>
      <c r="T5" s="66">
        <f>BASE_YR_SUPPLY_CURVE!N7</f>
        <v>2.76</v>
      </c>
      <c r="U5" s="66">
        <f>BASE_YR_SUPPLY_CURVE!P7</f>
        <v>11.67</v>
      </c>
      <c r="V5" s="67" t="e">
        <f t="shared" si="4"/>
        <v>#REF!</v>
      </c>
      <c r="W5" s="67" t="e">
        <f t="shared" si="5"/>
        <v>#REF!</v>
      </c>
      <c r="X5" s="68" t="e">
        <f>#REF!</f>
        <v>#REF!</v>
      </c>
      <c r="Y5" s="68" t="e">
        <f>X5*R5*'Conversion Factors'!$B$4*10^6</f>
        <v>#REF!</v>
      </c>
      <c r="Z5" s="66">
        <f>BASE_YR_SUPPLY_CURVE!L7</f>
        <v>57.713579694515964</v>
      </c>
      <c r="AA5" s="66">
        <f>BASE_YR_SUPPLY_CURVE!O7</f>
        <v>204.7</v>
      </c>
      <c r="AC5" s="72"/>
      <c r="AD5" s="72" t="s">
        <v>1276</v>
      </c>
      <c r="AE5" s="72" t="s">
        <v>1277</v>
      </c>
      <c r="AF5" s="72" t="s">
        <v>1278</v>
      </c>
      <c r="AG5" s="72" t="s">
        <v>1279</v>
      </c>
      <c r="AH5" s="72" t="s">
        <v>1280</v>
      </c>
      <c r="AI5" s="72" t="s">
        <v>1281</v>
      </c>
      <c r="AJ5" s="72" t="s">
        <v>1282</v>
      </c>
      <c r="AK5" s="72" t="s">
        <v>1283</v>
      </c>
      <c r="AL5" s="73" t="s">
        <v>1284</v>
      </c>
    </row>
    <row r="6" spans="1:38" x14ac:dyDescent="0.2">
      <c r="A6" s="60" t="str">
        <f t="shared" si="0"/>
        <v>MIN.COAL.4.NA.BMS</v>
      </c>
      <c r="B6" s="61" t="str">
        <f t="shared" si="1"/>
        <v>15</v>
      </c>
      <c r="C6" s="62">
        <f>BASE_YR_SUPPLY_CURVE!B8</f>
        <v>4</v>
      </c>
      <c r="D6" s="62">
        <f>BASE_YR_SUPPLY_CURVE!C8</f>
        <v>1</v>
      </c>
      <c r="E6" s="62" t="str">
        <f>BASE_YR_SUPPLY_CURVE!D8</f>
        <v>NA</v>
      </c>
      <c r="F6" s="62">
        <f>BASE_YR_SUPPLY_CURVE!G8</f>
        <v>5</v>
      </c>
      <c r="G6" s="63">
        <v>14</v>
      </c>
      <c r="H6" s="63">
        <v>3</v>
      </c>
      <c r="I6" s="62" t="str">
        <f>BASE_YR_SUPPLY_CURVE!K8</f>
        <v>Medium</v>
      </c>
      <c r="J6" s="64" t="str">
        <f t="array" ref="J6">IF(I6="Low","L",IF(I6="Medium","M",IF(I6="High","H","")))</f>
        <v>M</v>
      </c>
      <c r="K6" s="62" t="str">
        <f>BASE_YR_SUPPLY_CURVE!I8</f>
        <v>Surface</v>
      </c>
      <c r="L6" s="64" t="str">
        <f t="shared" si="6"/>
        <v>S</v>
      </c>
      <c r="M6" s="62" t="str">
        <f>BASE_YR_SUPPLY_CURVE!J8</f>
        <v>Bituminous</v>
      </c>
      <c r="N6" s="64" t="str">
        <f t="shared" si="7"/>
        <v>B</v>
      </c>
      <c r="O6" s="62" t="str">
        <f>BASE_YR_SUPPLY_CURVE!H8</f>
        <v>MSB</v>
      </c>
      <c r="P6" s="65" t="str">
        <f t="shared" si="2"/>
        <v>BM</v>
      </c>
      <c r="Q6" s="65" t="str">
        <f t="shared" si="3"/>
        <v>CNABMS</v>
      </c>
      <c r="R6" s="66">
        <f>BASE_YR_SUPPLY_CURVE!M8</f>
        <v>25.19</v>
      </c>
      <c r="S6" s="67" t="e">
        <v>#REF!</v>
      </c>
      <c r="T6" s="66">
        <f>BASE_YR_SUPPLY_CURVE!N8</f>
        <v>1.39</v>
      </c>
      <c r="U6" s="66">
        <f>BASE_YR_SUPPLY_CURVE!P8</f>
        <v>11.17</v>
      </c>
      <c r="V6" s="67" t="e">
        <f t="shared" si="4"/>
        <v>#REF!</v>
      </c>
      <c r="W6" s="67" t="e">
        <f t="shared" si="5"/>
        <v>#REF!</v>
      </c>
      <c r="X6" s="68" t="e">
        <f>#REF!</f>
        <v>#REF!</v>
      </c>
      <c r="Y6" s="68" t="e">
        <f>X6*R6*'Conversion Factors'!$B$4*10^6</f>
        <v>#REF!</v>
      </c>
      <c r="Z6" s="66">
        <f>BASE_YR_SUPPLY_CURVE!L8</f>
        <v>8.146427376367896</v>
      </c>
      <c r="AA6" s="66">
        <f>BASE_YR_SUPPLY_CURVE!O8</f>
        <v>204.7</v>
      </c>
      <c r="AC6" s="70" t="s">
        <v>1285</v>
      </c>
      <c r="AD6" s="74" t="e">
        <f t="shared" ref="AD6:AL6" si="8">DSUM($P$3:$W$44,$W$3,AD4:AD5)/DSUM($P$3:$W$44,$S$3,AD4:AD5)</f>
        <v>#REF!</v>
      </c>
      <c r="AE6" s="74" t="e">
        <f t="shared" si="8"/>
        <v>#REF!</v>
      </c>
      <c r="AF6" s="74" t="e">
        <f t="shared" si="8"/>
        <v>#REF!</v>
      </c>
      <c r="AG6" s="74" t="e">
        <f t="shared" si="8"/>
        <v>#REF!</v>
      </c>
      <c r="AH6" s="74" t="e">
        <f t="shared" si="8"/>
        <v>#REF!</v>
      </c>
      <c r="AI6" s="74" t="e">
        <f t="shared" si="8"/>
        <v>#REF!</v>
      </c>
      <c r="AJ6" s="74" t="e">
        <f t="shared" si="8"/>
        <v>#REF!</v>
      </c>
      <c r="AK6" s="74" t="e">
        <f t="shared" si="8"/>
        <v>#REF!</v>
      </c>
      <c r="AL6" s="74" t="e">
        <f t="shared" si="8"/>
        <v>#REF!</v>
      </c>
    </row>
    <row r="7" spans="1:38" x14ac:dyDescent="0.2">
      <c r="A7" s="60" t="str">
        <f t="shared" si="0"/>
        <v>MIN.COAL.5.NA.BHS</v>
      </c>
      <c r="B7" s="61" t="str">
        <f t="shared" si="1"/>
        <v>16</v>
      </c>
      <c r="C7" s="62">
        <f>BASE_YR_SUPPLY_CURVE!B9</f>
        <v>5</v>
      </c>
      <c r="D7" s="62">
        <f>BASE_YR_SUPPLY_CURVE!C9</f>
        <v>1</v>
      </c>
      <c r="E7" s="62" t="str">
        <f>BASE_YR_SUPPLY_CURVE!D9</f>
        <v>NA</v>
      </c>
      <c r="F7" s="62">
        <f>BASE_YR_SUPPLY_CURVE!G9</f>
        <v>6</v>
      </c>
      <c r="G7" s="63">
        <v>8</v>
      </c>
      <c r="H7" s="63">
        <v>1</v>
      </c>
      <c r="I7" s="62" t="str">
        <f>BASE_YR_SUPPLY_CURVE!K9</f>
        <v>High</v>
      </c>
      <c r="J7" s="64" t="str">
        <f t="array" ref="J7">IF(I7="Low","L",IF(I7="Medium","M",IF(I7="High","H","")))</f>
        <v>H</v>
      </c>
      <c r="K7" s="62" t="str">
        <f>BASE_YR_SUPPLY_CURVE!I9</f>
        <v>Surface</v>
      </c>
      <c r="L7" s="64" t="str">
        <f t="shared" si="6"/>
        <v>S</v>
      </c>
      <c r="M7" s="62" t="str">
        <f>BASE_YR_SUPPLY_CURVE!J9</f>
        <v>Bituminous</v>
      </c>
      <c r="N7" s="64" t="str">
        <f t="shared" si="7"/>
        <v>B</v>
      </c>
      <c r="O7" s="62" t="str">
        <f>BASE_YR_SUPPLY_CURVE!H9</f>
        <v>HSB</v>
      </c>
      <c r="P7" s="65" t="str">
        <f t="shared" si="2"/>
        <v>BH</v>
      </c>
      <c r="Q7" s="65" t="str">
        <f t="shared" si="3"/>
        <v>CNABHS</v>
      </c>
      <c r="R7" s="66">
        <f>BASE_YR_SUPPLY_CURVE!M9</f>
        <v>24.67</v>
      </c>
      <c r="S7" s="67" t="e">
        <v>#REF!</v>
      </c>
      <c r="T7" s="66">
        <f>BASE_YR_SUPPLY_CURVE!N9</f>
        <v>2.76</v>
      </c>
      <c r="U7" s="66">
        <f>BASE_YR_SUPPLY_CURVE!P9</f>
        <v>11.67</v>
      </c>
      <c r="V7" s="67" t="e">
        <f t="shared" si="4"/>
        <v>#REF!</v>
      </c>
      <c r="W7" s="67" t="e">
        <f t="shared" si="5"/>
        <v>#REF!</v>
      </c>
      <c r="X7" s="68" t="e">
        <f>#REF!</f>
        <v>#REF!</v>
      </c>
      <c r="Y7" s="68" t="e">
        <f>X7*R7*'Conversion Factors'!$B$4*10^6</f>
        <v>#REF!</v>
      </c>
      <c r="Z7" s="66">
        <f>BASE_YR_SUPPLY_CURVE!L9</f>
        <v>14.062837623632099</v>
      </c>
      <c r="AA7" s="66">
        <f>BASE_YR_SUPPLY_CURVE!O9</f>
        <v>204.7</v>
      </c>
      <c r="AC7" s="72" t="s">
        <v>1286</v>
      </c>
      <c r="AD7" s="75" t="e">
        <f t="shared" ref="AD7:AL7" si="9">DSUM($P$3:$W$44,$V$3,AD4:AD5)/DSUM($P$3:$W$44,$S$3,AD4:AD5)</f>
        <v>#REF!</v>
      </c>
      <c r="AE7" s="75" t="e">
        <f t="shared" si="9"/>
        <v>#REF!</v>
      </c>
      <c r="AF7" s="75" t="e">
        <f t="shared" si="9"/>
        <v>#REF!</v>
      </c>
      <c r="AG7" s="75" t="e">
        <f t="shared" si="9"/>
        <v>#REF!</v>
      </c>
      <c r="AH7" s="75" t="e">
        <f t="shared" si="9"/>
        <v>#REF!</v>
      </c>
      <c r="AI7" s="75" t="e">
        <f t="shared" si="9"/>
        <v>#REF!</v>
      </c>
      <c r="AJ7" s="75" t="e">
        <f t="shared" si="9"/>
        <v>#REF!</v>
      </c>
      <c r="AK7" s="75" t="e">
        <f t="shared" si="9"/>
        <v>#REF!</v>
      </c>
      <c r="AL7" s="75" t="e">
        <f t="shared" si="9"/>
        <v>#REF!</v>
      </c>
    </row>
    <row r="8" spans="1:38" x14ac:dyDescent="0.2">
      <c r="A8" s="60" t="str">
        <f t="shared" si="0"/>
        <v>MIN.COAL.6.NA.LHS</v>
      </c>
      <c r="B8" s="61" t="str">
        <f t="shared" si="1"/>
        <v>18</v>
      </c>
      <c r="C8" s="62">
        <f>BASE_YR_SUPPLY_CURVE!B10</f>
        <v>6</v>
      </c>
      <c r="D8" s="62">
        <f>BASE_YR_SUPPLY_CURVE!C10</f>
        <v>1</v>
      </c>
      <c r="E8" s="62" t="str">
        <f>BASE_YR_SUPPLY_CURVE!D10</f>
        <v>NA</v>
      </c>
      <c r="F8" s="62">
        <f>BASE_YR_SUPPLY_CURVE!G10</f>
        <v>8</v>
      </c>
      <c r="G8" s="63">
        <v>9</v>
      </c>
      <c r="H8" s="63">
        <v>2</v>
      </c>
      <c r="I8" s="62" t="str">
        <f>BASE_YR_SUPPLY_CURVE!K10</f>
        <v>High</v>
      </c>
      <c r="J8" s="64" t="str">
        <f t="array" ref="J8">IF(I8="Low","L",IF(I8="Medium","M",IF(I8="High","H","")))</f>
        <v>H</v>
      </c>
      <c r="K8" s="62" t="str">
        <f>BASE_YR_SUPPLY_CURVE!I10</f>
        <v>Surface</v>
      </c>
      <c r="L8" s="64" t="str">
        <f t="shared" si="6"/>
        <v>S</v>
      </c>
      <c r="M8" s="62" t="str">
        <f>BASE_YR_SUPPLY_CURVE!J10</f>
        <v>GOB</v>
      </c>
      <c r="N8" s="64" t="str">
        <f t="shared" si="7"/>
        <v>L</v>
      </c>
      <c r="O8" s="62" t="str">
        <f>BASE_YR_SUPPLY_CURVE!H10</f>
        <v>HAL</v>
      </c>
      <c r="P8" s="65" t="str">
        <f t="shared" si="2"/>
        <v>LH</v>
      </c>
      <c r="Q8" s="65" t="str">
        <f t="shared" si="3"/>
        <v>CNALHS</v>
      </c>
      <c r="R8" s="66">
        <f>BASE_YR_SUPPLY_CURVE!M10</f>
        <v>11.6</v>
      </c>
      <c r="S8" s="67" t="e">
        <v>#REF!</v>
      </c>
      <c r="T8" s="66">
        <f>BASE_YR_SUPPLY_CURVE!N10</f>
        <v>3.65</v>
      </c>
      <c r="U8" s="66">
        <f>BASE_YR_SUPPLY_CURVE!P10</f>
        <v>63.9</v>
      </c>
      <c r="V8" s="67" t="e">
        <f t="shared" si="4"/>
        <v>#REF!</v>
      </c>
      <c r="W8" s="67" t="e">
        <f t="shared" si="5"/>
        <v>#REF!</v>
      </c>
      <c r="X8" s="68" t="e">
        <f>#REF!</f>
        <v>#REF!</v>
      </c>
      <c r="Y8" s="68" t="e">
        <f>X8*R8*'Conversion Factors'!$B$4*10^6</f>
        <v>#REF!</v>
      </c>
      <c r="Z8" s="66">
        <f>BASE_YR_SUPPLY_CURVE!L10</f>
        <v>11.040236</v>
      </c>
      <c r="AA8" s="66">
        <f>BASE_YR_SUPPLY_CURVE!O10</f>
        <v>204.7</v>
      </c>
    </row>
    <row r="9" spans="1:38" x14ac:dyDescent="0.2">
      <c r="A9" s="60" t="str">
        <f t="shared" si="0"/>
        <v>MIN.COAL.3.NA.PMU</v>
      </c>
      <c r="B9" s="61" t="str">
        <f t="shared" si="1"/>
        <v>17</v>
      </c>
      <c r="C9" s="62">
        <f>BASE_YR_SUPPLY_CURVE!B11</f>
        <v>3</v>
      </c>
      <c r="D9" s="62">
        <f>BASE_YR_SUPPLY_CURVE!C11</f>
        <v>1</v>
      </c>
      <c r="E9" s="62" t="str">
        <f>BASE_YR_SUPPLY_CURVE!D11</f>
        <v>NA</v>
      </c>
      <c r="F9" s="62">
        <f>BASE_YR_SUPPLY_CURVE!G11</f>
        <v>7</v>
      </c>
      <c r="G9" s="63">
        <v>15</v>
      </c>
      <c r="H9" s="63">
        <v>4</v>
      </c>
      <c r="I9" s="62" t="str">
        <f>BASE_YR_SUPPLY_CURVE!K11</f>
        <v>Medium</v>
      </c>
      <c r="J9" s="64" t="str">
        <f t="array" ref="J9">IF(I9="Low","L",IF(I9="Medium","M",IF(I9="High","H","")))</f>
        <v>M</v>
      </c>
      <c r="K9" s="62" t="str">
        <f>BASE_YR_SUPPLY_CURVE!I11</f>
        <v>Underground</v>
      </c>
      <c r="L9" s="64" t="str">
        <f t="shared" si="6"/>
        <v>U</v>
      </c>
      <c r="M9" s="62" t="str">
        <f>BASE_YR_SUPPLY_CURVE!J11</f>
        <v>Premium</v>
      </c>
      <c r="N9" s="64" t="str">
        <f t="shared" si="7"/>
        <v>P</v>
      </c>
      <c r="O9" s="62" t="str">
        <f>BASE_YR_SUPPLY_CURVE!H11</f>
        <v>MUP</v>
      </c>
      <c r="P9" s="65" t="str">
        <f t="shared" si="2"/>
        <v>PM</v>
      </c>
      <c r="Q9" s="65" t="str">
        <f t="shared" si="3"/>
        <v>CNAPMU</v>
      </c>
      <c r="R9" s="66">
        <f>BASE_YR_SUPPLY_CURVE!M11</f>
        <v>26.3</v>
      </c>
      <c r="S9" s="67" t="e">
        <v>#REF!</v>
      </c>
      <c r="T9" s="66">
        <f>BASE_YR_SUPPLY_CURVE!N11</f>
        <v>0.88</v>
      </c>
      <c r="U9" s="66">
        <f>BASE_YR_SUPPLY_CURVE!P11</f>
        <v>0</v>
      </c>
      <c r="V9" s="67" t="e">
        <f t="shared" si="4"/>
        <v>#REF!</v>
      </c>
      <c r="W9" s="67" t="e">
        <f t="shared" si="5"/>
        <v>#REF!</v>
      </c>
      <c r="X9" s="76">
        <v>1000</v>
      </c>
      <c r="Y9" s="68">
        <f>X9*R9*'Conversion Factors'!$B$4*10^6</f>
        <v>27747.9728</v>
      </c>
      <c r="Z9" s="66">
        <f>BASE_YR_SUPPLY_CURVE!L11</f>
        <v>22.386607999999999</v>
      </c>
      <c r="AA9" s="66">
        <f>BASE_YR_SUPPLY_CURVE!O11</f>
        <v>204.7</v>
      </c>
    </row>
    <row r="10" spans="1:38" x14ac:dyDescent="0.2">
      <c r="A10" s="60" t="str">
        <f t="shared" si="0"/>
        <v>MIN.COAL.7.CA.BLU</v>
      </c>
      <c r="B10" s="61" t="str">
        <f t="shared" si="1"/>
        <v>21</v>
      </c>
      <c r="C10" s="62">
        <f>BASE_YR_SUPPLY_CURVE!B12</f>
        <v>7</v>
      </c>
      <c r="D10" s="62">
        <f>BASE_YR_SUPPLY_CURVE!C12</f>
        <v>2</v>
      </c>
      <c r="E10" s="62" t="str">
        <f>BASE_YR_SUPPLY_CURVE!D12</f>
        <v>CA</v>
      </c>
      <c r="F10" s="62">
        <f>BASE_YR_SUPPLY_CURVE!G12</f>
        <v>1</v>
      </c>
      <c r="G10" s="63">
        <v>1</v>
      </c>
      <c r="H10" s="63">
        <v>1</v>
      </c>
      <c r="I10" s="62" t="str">
        <f>BASE_YR_SUPPLY_CURVE!K12</f>
        <v>Low</v>
      </c>
      <c r="J10" s="64" t="str">
        <f t="array" ref="J10">IF(I10="Low","L",IF(I10="Medium","M",IF(I10="High","H","")))</f>
        <v>L</v>
      </c>
      <c r="K10" s="62" t="str">
        <f>BASE_YR_SUPPLY_CURVE!I12</f>
        <v>Deep</v>
      </c>
      <c r="L10" s="64" t="str">
        <f t="shared" si="6"/>
        <v>U</v>
      </c>
      <c r="M10" s="62" t="str">
        <f>BASE_YR_SUPPLY_CURVE!J12</f>
        <v>Bituminous</v>
      </c>
      <c r="N10" s="64" t="str">
        <f t="shared" si="7"/>
        <v>B</v>
      </c>
      <c r="O10" s="62" t="str">
        <f>BASE_YR_SUPPLY_CURVE!H12</f>
        <v>CDB</v>
      </c>
      <c r="P10" s="65" t="str">
        <f t="shared" si="2"/>
        <v>BL</v>
      </c>
      <c r="Q10" s="65" t="str">
        <f t="shared" si="3"/>
        <v>CCABLU</v>
      </c>
      <c r="R10" s="66">
        <f>BASE_YR_SUPPLY_CURVE!M12</f>
        <v>24.72</v>
      </c>
      <c r="S10" s="67" t="e">
        <v>#REF!</v>
      </c>
      <c r="T10" s="66">
        <f>BASE_YR_SUPPLY_CURVE!N12</f>
        <v>0.54</v>
      </c>
      <c r="U10" s="66">
        <f>BASE_YR_SUPPLY_CURVE!P12</f>
        <v>5.61</v>
      </c>
      <c r="V10" s="67" t="e">
        <f t="shared" si="4"/>
        <v>#REF!</v>
      </c>
      <c r="W10" s="67" t="e">
        <f t="shared" si="5"/>
        <v>#REF!</v>
      </c>
      <c r="X10" s="68" t="e">
        <f>#REF!</f>
        <v>#REF!</v>
      </c>
      <c r="Y10" s="68" t="e">
        <f>X10*R10*'Conversion Factors'!$B$4*10^6</f>
        <v>#REF!</v>
      </c>
      <c r="Z10" s="66">
        <f>BASE_YR_SUPPLY_CURVE!L12</f>
        <v>1.9266733419832069</v>
      </c>
      <c r="AA10" s="66">
        <f>BASE_YR_SUPPLY_CURVE!O12</f>
        <v>206.4</v>
      </c>
    </row>
    <row r="11" spans="1:38" x14ac:dyDescent="0.2">
      <c r="A11" s="60" t="str">
        <f t="shared" si="0"/>
        <v>MIN.COAL.8.CA.BMU</v>
      </c>
      <c r="B11" s="61" t="str">
        <f t="shared" si="1"/>
        <v>22</v>
      </c>
      <c r="C11" s="62">
        <f>BASE_YR_SUPPLY_CURVE!B13</f>
        <v>8</v>
      </c>
      <c r="D11" s="62">
        <f>BASE_YR_SUPPLY_CURVE!C13</f>
        <v>2</v>
      </c>
      <c r="E11" s="62" t="str">
        <f>BASE_YR_SUPPLY_CURVE!D13</f>
        <v>CA</v>
      </c>
      <c r="F11" s="62">
        <f>BASE_YR_SUPPLY_CURVE!G13</f>
        <v>2</v>
      </c>
      <c r="G11" s="63">
        <v>2</v>
      </c>
      <c r="H11" s="63">
        <v>2</v>
      </c>
      <c r="I11" s="62" t="str">
        <f>BASE_YR_SUPPLY_CURVE!K13</f>
        <v>Medium</v>
      </c>
      <c r="J11" s="64" t="str">
        <f t="array" ref="J11">IF(I11="Low","L",IF(I11="Medium","M",IF(I11="High","H","")))</f>
        <v>M</v>
      </c>
      <c r="K11" s="62" t="str">
        <f>BASE_YR_SUPPLY_CURVE!I13</f>
        <v>Deep</v>
      </c>
      <c r="L11" s="64" t="str">
        <f t="shared" si="6"/>
        <v>U</v>
      </c>
      <c r="M11" s="62" t="str">
        <f>BASE_YR_SUPPLY_CURVE!J13</f>
        <v>Bituminous</v>
      </c>
      <c r="N11" s="64" t="str">
        <f t="shared" si="7"/>
        <v>B</v>
      </c>
      <c r="O11" s="62" t="str">
        <f>BASE_YR_SUPPLY_CURVE!H13</f>
        <v>MDB</v>
      </c>
      <c r="P11" s="65" t="str">
        <f t="shared" si="2"/>
        <v>BM</v>
      </c>
      <c r="Q11" s="65" t="str">
        <f t="shared" si="3"/>
        <v>CCABMU</v>
      </c>
      <c r="R11" s="66">
        <f>BASE_YR_SUPPLY_CURVE!M13</f>
        <v>24.66</v>
      </c>
      <c r="S11" s="67" t="e">
        <v>#REF!</v>
      </c>
      <c r="T11" s="66">
        <f>BASE_YR_SUPPLY_CURVE!N13</f>
        <v>0.95</v>
      </c>
      <c r="U11" s="66">
        <f>BASE_YR_SUPPLY_CURVE!P13</f>
        <v>7.58</v>
      </c>
      <c r="V11" s="67" t="e">
        <f t="shared" si="4"/>
        <v>#REF!</v>
      </c>
      <c r="W11" s="67" t="e">
        <f t="shared" si="5"/>
        <v>#REF!</v>
      </c>
      <c r="X11" s="68" t="e">
        <f>#REF!</f>
        <v>#REF!</v>
      </c>
      <c r="Y11" s="68" t="e">
        <f>X11*R11*'Conversion Factors'!$B$4*10^6</f>
        <v>#REF!</v>
      </c>
      <c r="Z11" s="66">
        <f>BASE_YR_SUPPLY_CURVE!L13</f>
        <v>21.215742658016801</v>
      </c>
      <c r="AA11" s="66">
        <f>BASE_YR_SUPPLY_CURVE!O13</f>
        <v>206.4</v>
      </c>
    </row>
    <row r="12" spans="1:38" x14ac:dyDescent="0.2">
      <c r="A12" s="60" t="str">
        <f t="shared" si="0"/>
        <v>MIN.COAL.10.CA.BLS</v>
      </c>
      <c r="B12" s="61" t="str">
        <f t="shared" si="1"/>
        <v>24</v>
      </c>
      <c r="C12" s="62">
        <f>BASE_YR_SUPPLY_CURVE!B14</f>
        <v>10</v>
      </c>
      <c r="D12" s="62">
        <f>BASE_YR_SUPPLY_CURVE!C14</f>
        <v>2</v>
      </c>
      <c r="E12" s="62" t="str">
        <f>BASE_YR_SUPPLY_CURVE!D14</f>
        <v>CA</v>
      </c>
      <c r="F12" s="62">
        <f>BASE_YR_SUPPLY_CURVE!G14</f>
        <v>4</v>
      </c>
      <c r="G12" s="63">
        <v>14</v>
      </c>
      <c r="H12" s="63">
        <v>3</v>
      </c>
      <c r="I12" s="62" t="str">
        <f>BASE_YR_SUPPLY_CURVE!K14</f>
        <v>Low</v>
      </c>
      <c r="J12" s="64" t="str">
        <f t="array" ref="J12">IF(I12="Low","L",IF(I12="Medium","M",IF(I12="High","H","")))</f>
        <v>L</v>
      </c>
      <c r="K12" s="62" t="str">
        <f>BASE_YR_SUPPLY_CURVE!I14</f>
        <v>Surface</v>
      </c>
      <c r="L12" s="64" t="str">
        <f t="shared" si="6"/>
        <v>S</v>
      </c>
      <c r="M12" s="62" t="str">
        <f>BASE_YR_SUPPLY_CURVE!J14</f>
        <v>Bituminous</v>
      </c>
      <c r="N12" s="64" t="str">
        <f t="shared" si="7"/>
        <v>B</v>
      </c>
      <c r="O12" s="62" t="str">
        <f>BASE_YR_SUPPLY_CURVE!H14</f>
        <v>CSB</v>
      </c>
      <c r="P12" s="65" t="str">
        <f t="shared" si="2"/>
        <v>BL</v>
      </c>
      <c r="Q12" s="65" t="str">
        <f t="shared" si="3"/>
        <v>CCABLS</v>
      </c>
      <c r="R12" s="66">
        <f>BASE_YR_SUPPLY_CURVE!M14</f>
        <v>24.72</v>
      </c>
      <c r="S12" s="67" t="e">
        <v>#REF!</v>
      </c>
      <c r="T12" s="66">
        <f>BASE_YR_SUPPLY_CURVE!N14</f>
        <v>0.54</v>
      </c>
      <c r="U12" s="66">
        <f>BASE_YR_SUPPLY_CURVE!P14</f>
        <v>5.61</v>
      </c>
      <c r="V12" s="67" t="e">
        <f t="shared" si="4"/>
        <v>#REF!</v>
      </c>
      <c r="W12" s="67" t="e">
        <f t="shared" si="5"/>
        <v>#REF!</v>
      </c>
      <c r="X12" s="68" t="e">
        <f>#REF!</f>
        <v>#REF!</v>
      </c>
      <c r="Y12" s="68" t="e">
        <f>X12*R12*'Conversion Factors'!$B$4*10^6</f>
        <v>#REF!</v>
      </c>
      <c r="Z12" s="66">
        <f>BASE_YR_SUPPLY_CURVE!L14</f>
        <v>8.2573094316669078</v>
      </c>
      <c r="AA12" s="66">
        <f>BASE_YR_SUPPLY_CURVE!O14</f>
        <v>206.4</v>
      </c>
    </row>
    <row r="13" spans="1:38" x14ac:dyDescent="0.2">
      <c r="A13" s="60" t="str">
        <f t="shared" si="0"/>
        <v>MIN.COAL.11.CA.BMS</v>
      </c>
      <c r="B13" s="61" t="str">
        <f t="shared" si="1"/>
        <v>25</v>
      </c>
      <c r="C13" s="62">
        <f>BASE_YR_SUPPLY_CURVE!B15</f>
        <v>11</v>
      </c>
      <c r="D13" s="62">
        <f>BASE_YR_SUPPLY_CURVE!C15</f>
        <v>2</v>
      </c>
      <c r="E13" s="62" t="str">
        <f>BASE_YR_SUPPLY_CURVE!D15</f>
        <v>CA</v>
      </c>
      <c r="F13" s="62">
        <f>BASE_YR_SUPPLY_CURVE!G15</f>
        <v>5</v>
      </c>
      <c r="G13" s="63">
        <v>7</v>
      </c>
      <c r="H13" s="63">
        <v>1</v>
      </c>
      <c r="I13" s="62" t="str">
        <f>BASE_YR_SUPPLY_CURVE!K15</f>
        <v>Medium</v>
      </c>
      <c r="J13" s="64" t="str">
        <f t="array" ref="J13">IF(I13="Low","L",IF(I13="Medium","M",IF(I13="High","H","")))</f>
        <v>M</v>
      </c>
      <c r="K13" s="62" t="str">
        <f>BASE_YR_SUPPLY_CURVE!I15</f>
        <v>Surface</v>
      </c>
      <c r="L13" s="64" t="str">
        <f t="shared" si="6"/>
        <v>S</v>
      </c>
      <c r="M13" s="62" t="str">
        <f>BASE_YR_SUPPLY_CURVE!J15</f>
        <v>Bituminous</v>
      </c>
      <c r="N13" s="64" t="str">
        <f t="shared" si="7"/>
        <v>B</v>
      </c>
      <c r="O13" s="62" t="str">
        <f>BASE_YR_SUPPLY_CURVE!H15</f>
        <v>MSB</v>
      </c>
      <c r="P13" s="65" t="str">
        <f t="shared" si="2"/>
        <v>BM</v>
      </c>
      <c r="Q13" s="65" t="str">
        <f t="shared" si="3"/>
        <v>CCABMS</v>
      </c>
      <c r="R13" s="66">
        <f>BASE_YR_SUPPLY_CURVE!M15</f>
        <v>24.66</v>
      </c>
      <c r="S13" s="67" t="e">
        <v>#REF!</v>
      </c>
      <c r="T13" s="66">
        <f>BASE_YR_SUPPLY_CURVE!N15</f>
        <v>0.95</v>
      </c>
      <c r="U13" s="66">
        <f>BASE_YR_SUPPLY_CURVE!P15</f>
        <v>7.58</v>
      </c>
      <c r="V13" s="67" t="e">
        <f t="shared" si="4"/>
        <v>#REF!</v>
      </c>
      <c r="W13" s="67" t="e">
        <f t="shared" si="5"/>
        <v>#REF!</v>
      </c>
      <c r="X13" s="68" t="e">
        <f>#REF!</f>
        <v>#REF!</v>
      </c>
      <c r="Y13" s="68" t="e">
        <f>X13*R13*'Conversion Factors'!$B$4*10^6</f>
        <v>#REF!</v>
      </c>
      <c r="Z13" s="66">
        <f>BASE_YR_SUPPLY_CURVE!L15</f>
        <v>61.579429568333083</v>
      </c>
      <c r="AA13" s="66">
        <f>BASE_YR_SUPPLY_CURVE!O15</f>
        <v>206.4</v>
      </c>
    </row>
    <row r="14" spans="1:38" x14ac:dyDescent="0.2">
      <c r="A14" s="60" t="str">
        <f t="shared" si="0"/>
        <v>MIN.COAL.9.CA.PMU</v>
      </c>
      <c r="B14" s="61" t="str">
        <f t="shared" si="1"/>
        <v>27</v>
      </c>
      <c r="C14" s="62">
        <f>BASE_YR_SUPPLY_CURVE!B16</f>
        <v>9</v>
      </c>
      <c r="D14" s="62">
        <f>BASE_YR_SUPPLY_CURVE!C16</f>
        <v>2</v>
      </c>
      <c r="E14" s="62" t="str">
        <f>BASE_YR_SUPPLY_CURVE!D16</f>
        <v>CA</v>
      </c>
      <c r="F14" s="62">
        <f>BASE_YR_SUPPLY_CURVE!G16</f>
        <v>7</v>
      </c>
      <c r="G14" s="63">
        <v>8</v>
      </c>
      <c r="H14" s="63">
        <v>2</v>
      </c>
      <c r="I14" s="62" t="str">
        <f>BASE_YR_SUPPLY_CURVE!K16</f>
        <v>Medium</v>
      </c>
      <c r="J14" s="64" t="str">
        <f t="array" ref="J14">IF(I14="Low","L",IF(I14="Medium","M",IF(I14="High","H","")))</f>
        <v>M</v>
      </c>
      <c r="K14" s="62" t="str">
        <f>BASE_YR_SUPPLY_CURVE!I16</f>
        <v>Underground</v>
      </c>
      <c r="L14" s="64" t="str">
        <f t="shared" si="6"/>
        <v>U</v>
      </c>
      <c r="M14" s="62" t="str">
        <f>BASE_YR_SUPPLY_CURVE!J16</f>
        <v>Premium</v>
      </c>
      <c r="N14" s="64" t="str">
        <f t="shared" si="7"/>
        <v>P</v>
      </c>
      <c r="O14" s="62" t="str">
        <f>BASE_YR_SUPPLY_CURVE!H16</f>
        <v>MUP</v>
      </c>
      <c r="P14" s="65" t="str">
        <f t="shared" si="2"/>
        <v>PM</v>
      </c>
      <c r="Q14" s="65" t="str">
        <f t="shared" si="3"/>
        <v>CCAPMU</v>
      </c>
      <c r="R14" s="66">
        <f>BASE_YR_SUPPLY_CURVE!M16</f>
        <v>26.3</v>
      </c>
      <c r="S14" s="67" t="e">
        <v>#REF!</v>
      </c>
      <c r="T14" s="66">
        <f>BASE_YR_SUPPLY_CURVE!N16</f>
        <v>0.62</v>
      </c>
      <c r="U14" s="66">
        <f>BASE_YR_SUPPLY_CURVE!P16</f>
        <v>0</v>
      </c>
      <c r="V14" s="67" t="e">
        <f t="shared" si="4"/>
        <v>#REF!</v>
      </c>
      <c r="W14" s="67" t="e">
        <f t="shared" si="5"/>
        <v>#REF!</v>
      </c>
      <c r="X14" s="68" t="e">
        <f>#REF!</f>
        <v>#REF!</v>
      </c>
      <c r="Y14" s="68" t="e">
        <f>X14*R14*'Conversion Factors'!$B$4*10^6</f>
        <v>#REF!</v>
      </c>
      <c r="Z14" s="66">
        <f>BASE_YR_SUPPLY_CURVE!L16</f>
        <v>54.924837999999994</v>
      </c>
      <c r="AA14" s="66">
        <f>BASE_YR_SUPPLY_CURVE!O16</f>
        <v>206.4</v>
      </c>
    </row>
    <row r="15" spans="1:38" x14ac:dyDescent="0.2">
      <c r="A15" s="60" t="str">
        <f t="shared" si="0"/>
        <v>MIN.COAL.12.SA.BLU</v>
      </c>
      <c r="B15" s="61" t="str">
        <f t="shared" si="1"/>
        <v>31</v>
      </c>
      <c r="C15" s="62">
        <f>BASE_YR_SUPPLY_CURVE!B17</f>
        <v>12</v>
      </c>
      <c r="D15" s="62">
        <f>BASE_YR_SUPPLY_CURVE!C17</f>
        <v>3</v>
      </c>
      <c r="E15" s="62" t="str">
        <f>BASE_YR_SUPPLY_CURVE!D17</f>
        <v>SA</v>
      </c>
      <c r="F15" s="62">
        <f>BASE_YR_SUPPLY_CURVE!G17</f>
        <v>1</v>
      </c>
      <c r="G15" s="63">
        <v>1</v>
      </c>
      <c r="H15" s="63">
        <v>1</v>
      </c>
      <c r="I15" s="62" t="str">
        <f>BASE_YR_SUPPLY_CURVE!K17</f>
        <v>Low</v>
      </c>
      <c r="J15" s="64" t="str">
        <f t="array" ref="J15">IF(I15="Low","L",IF(I15="Medium","M",IF(I15="High","H","")))</f>
        <v>L</v>
      </c>
      <c r="K15" s="62" t="str">
        <f>BASE_YR_SUPPLY_CURVE!I17</f>
        <v>Deep</v>
      </c>
      <c r="L15" s="64" t="str">
        <f t="shared" si="6"/>
        <v>U</v>
      </c>
      <c r="M15" s="62" t="str">
        <f>BASE_YR_SUPPLY_CURVE!J17</f>
        <v>Bituminous</v>
      </c>
      <c r="N15" s="64" t="str">
        <f t="shared" si="7"/>
        <v>B</v>
      </c>
      <c r="O15" s="62" t="str">
        <f>BASE_YR_SUPPLY_CURVE!H17</f>
        <v>CDB</v>
      </c>
      <c r="P15" s="65" t="str">
        <f t="shared" si="2"/>
        <v>BL</v>
      </c>
      <c r="Q15" s="65" t="str">
        <f t="shared" si="3"/>
        <v>CSABLU</v>
      </c>
      <c r="R15" s="66">
        <f>BASE_YR_SUPPLY_CURVE!M17</f>
        <v>26.2</v>
      </c>
      <c r="S15" s="67" t="e">
        <v>#REF!</v>
      </c>
      <c r="T15" s="66">
        <f>BASE_YR_SUPPLY_CURVE!N17</f>
        <v>0.5</v>
      </c>
      <c r="U15" s="66">
        <f>BASE_YR_SUPPLY_CURVE!P17</f>
        <v>3.87</v>
      </c>
      <c r="V15" s="67" t="e">
        <f t="shared" si="4"/>
        <v>#REF!</v>
      </c>
      <c r="W15" s="67" t="e">
        <f t="shared" si="5"/>
        <v>#REF!</v>
      </c>
      <c r="X15" s="68" t="e">
        <f>#REF!</f>
        <v>#REF!</v>
      </c>
      <c r="Y15" s="68" t="e">
        <f>X15*R15*'Conversion Factors'!$B$4*10^6</f>
        <v>#REF!</v>
      </c>
      <c r="Z15" s="66">
        <f>BASE_YR_SUPPLY_CURVE!L17</f>
        <v>0</v>
      </c>
      <c r="AA15" s="66">
        <f>BASE_YR_SUPPLY_CURVE!O17</f>
        <v>204.7</v>
      </c>
    </row>
    <row r="16" spans="1:38" x14ac:dyDescent="0.2">
      <c r="A16" s="60" t="str">
        <f t="shared" si="0"/>
        <v>MIN.COAL.13.SA.BMU</v>
      </c>
      <c r="B16" s="61" t="str">
        <f t="shared" si="1"/>
        <v>32</v>
      </c>
      <c r="C16" s="62">
        <f>BASE_YR_SUPPLY_CURVE!B18</f>
        <v>13</v>
      </c>
      <c r="D16" s="62">
        <f>BASE_YR_SUPPLY_CURVE!C18</f>
        <v>3</v>
      </c>
      <c r="E16" s="62" t="str">
        <f>BASE_YR_SUPPLY_CURVE!D18</f>
        <v>SA</v>
      </c>
      <c r="F16" s="62">
        <f>BASE_YR_SUPPLY_CURVE!G18</f>
        <v>2</v>
      </c>
      <c r="G16" s="63">
        <v>2</v>
      </c>
      <c r="H16" s="63">
        <v>2</v>
      </c>
      <c r="I16" s="62" t="str">
        <f>BASE_YR_SUPPLY_CURVE!K18</f>
        <v>Medium</v>
      </c>
      <c r="J16" s="64" t="str">
        <f t="array" ref="J16">IF(I16="Low","L",IF(I16="Medium","M",IF(I16="High","H","")))</f>
        <v>M</v>
      </c>
      <c r="K16" s="62" t="str">
        <f>BASE_YR_SUPPLY_CURVE!I18</f>
        <v>Deep</v>
      </c>
      <c r="L16" s="64" t="str">
        <f t="shared" si="6"/>
        <v>U</v>
      </c>
      <c r="M16" s="62" t="str">
        <f>BASE_YR_SUPPLY_CURVE!J18</f>
        <v>Bituminous</v>
      </c>
      <c r="N16" s="64" t="str">
        <f t="shared" si="7"/>
        <v>B</v>
      </c>
      <c r="O16" s="62" t="str">
        <f>BASE_YR_SUPPLY_CURVE!H18</f>
        <v>MDB</v>
      </c>
      <c r="P16" s="65" t="str">
        <f t="shared" si="2"/>
        <v>BM</v>
      </c>
      <c r="Q16" s="65" t="str">
        <f t="shared" si="3"/>
        <v>CSABMU</v>
      </c>
      <c r="R16" s="66">
        <f>BASE_YR_SUPPLY_CURVE!M18</f>
        <v>24.43</v>
      </c>
      <c r="S16" s="67" t="e">
        <v>#REF!</v>
      </c>
      <c r="T16" s="66">
        <f>BASE_YR_SUPPLY_CURVE!N18</f>
        <v>1.37</v>
      </c>
      <c r="U16" s="66">
        <f>BASE_YR_SUPPLY_CURVE!P18</f>
        <v>10.15</v>
      </c>
      <c r="V16" s="67" t="e">
        <f t="shared" si="4"/>
        <v>#REF!</v>
      </c>
      <c r="W16" s="67" t="e">
        <f t="shared" si="5"/>
        <v>#REF!</v>
      </c>
      <c r="X16" s="68" t="e">
        <f>#REF!</f>
        <v>#REF!</v>
      </c>
      <c r="Y16" s="68" t="e">
        <f>X16*R16*'Conversion Factors'!$B$4*10^6</f>
        <v>#REF!</v>
      </c>
      <c r="Z16" s="66">
        <f>BASE_YR_SUPPLY_CURVE!L18</f>
        <v>0.33446700000000007</v>
      </c>
      <c r="AA16" s="66">
        <f>BASE_YR_SUPPLY_CURVE!O18</f>
        <v>204.7</v>
      </c>
    </row>
    <row r="17" spans="1:27" x14ac:dyDescent="0.2">
      <c r="A17" s="60" t="str">
        <f t="shared" si="0"/>
        <v>MIN.COAL.15.SA.BLS</v>
      </c>
      <c r="B17" s="61" t="str">
        <f t="shared" si="1"/>
        <v>34</v>
      </c>
      <c r="C17" s="62">
        <f>BASE_YR_SUPPLY_CURVE!B19</f>
        <v>15</v>
      </c>
      <c r="D17" s="62">
        <f>BASE_YR_SUPPLY_CURVE!C19</f>
        <v>3</v>
      </c>
      <c r="E17" s="62" t="str">
        <f>BASE_YR_SUPPLY_CURVE!D19</f>
        <v>SA</v>
      </c>
      <c r="F17" s="62">
        <f>BASE_YR_SUPPLY_CURVE!G19</f>
        <v>4</v>
      </c>
      <c r="G17" s="63">
        <v>13</v>
      </c>
      <c r="H17" s="63">
        <v>3</v>
      </c>
      <c r="I17" s="62" t="str">
        <f>BASE_YR_SUPPLY_CURVE!K19</f>
        <v>Low</v>
      </c>
      <c r="J17" s="64" t="str">
        <f t="array" ref="J17">IF(I17="Low","L",IF(I17="Medium","M",IF(I17="High","H","")))</f>
        <v>L</v>
      </c>
      <c r="K17" s="62" t="str">
        <f>BASE_YR_SUPPLY_CURVE!I19</f>
        <v>Surface</v>
      </c>
      <c r="L17" s="64" t="str">
        <f t="shared" si="6"/>
        <v>S</v>
      </c>
      <c r="M17" s="62" t="str">
        <f>BASE_YR_SUPPLY_CURVE!J19</f>
        <v>Bituminous</v>
      </c>
      <c r="N17" s="64" t="str">
        <f t="shared" si="7"/>
        <v>B</v>
      </c>
      <c r="O17" s="62" t="str">
        <f>BASE_YR_SUPPLY_CURVE!H19</f>
        <v>CSB</v>
      </c>
      <c r="P17" s="65" t="str">
        <f t="shared" si="2"/>
        <v>BL</v>
      </c>
      <c r="Q17" s="65" t="str">
        <f t="shared" si="3"/>
        <v>CSABLS</v>
      </c>
      <c r="R17" s="66">
        <f>BASE_YR_SUPPLY_CURVE!M19</f>
        <v>26.2</v>
      </c>
      <c r="S17" s="67" t="e">
        <v>#REF!</v>
      </c>
      <c r="T17" s="66">
        <f>BASE_YR_SUPPLY_CURVE!N19</f>
        <v>0.5</v>
      </c>
      <c r="U17" s="66">
        <f>BASE_YR_SUPPLY_CURVE!P19</f>
        <v>3.87</v>
      </c>
      <c r="V17" s="67" t="e">
        <f t="shared" si="4"/>
        <v>#REF!</v>
      </c>
      <c r="W17" s="67" t="e">
        <f t="shared" si="5"/>
        <v>#REF!</v>
      </c>
      <c r="X17" s="68" t="e">
        <f>#REF!</f>
        <v>#REF!</v>
      </c>
      <c r="Y17" s="68" t="e">
        <f>X17*R17*'Conversion Factors'!$B$4*10^6</f>
        <v>#REF!</v>
      </c>
      <c r="Z17" s="66">
        <f>BASE_YR_SUPPLY_CURVE!L19</f>
        <v>0.24724857865233357</v>
      </c>
      <c r="AA17" s="66">
        <f>BASE_YR_SUPPLY_CURVE!O19</f>
        <v>204.7</v>
      </c>
    </row>
    <row r="18" spans="1:27" x14ac:dyDescent="0.2">
      <c r="A18" s="60" t="str">
        <f t="shared" si="0"/>
        <v>MIN.COAL.16.SA.BMS</v>
      </c>
      <c r="B18" s="61" t="str">
        <f t="shared" si="1"/>
        <v>35</v>
      </c>
      <c r="C18" s="62">
        <f>BASE_YR_SUPPLY_CURVE!B20</f>
        <v>16</v>
      </c>
      <c r="D18" s="62">
        <f>BASE_YR_SUPPLY_CURVE!C20</f>
        <v>3</v>
      </c>
      <c r="E18" s="62" t="str">
        <f>BASE_YR_SUPPLY_CURVE!D20</f>
        <v>SA</v>
      </c>
      <c r="F18" s="62">
        <f>BASE_YR_SUPPLY_CURVE!G20</f>
        <v>5</v>
      </c>
      <c r="G18" s="63">
        <v>7</v>
      </c>
      <c r="H18" s="63">
        <v>1</v>
      </c>
      <c r="I18" s="62" t="str">
        <f>BASE_YR_SUPPLY_CURVE!K20</f>
        <v>Medium</v>
      </c>
      <c r="J18" s="64" t="str">
        <f t="array" ref="J18">IF(I18="Low","L",IF(I18="Medium","M",IF(I18="High","H","")))</f>
        <v>M</v>
      </c>
      <c r="K18" s="62" t="str">
        <f>BASE_YR_SUPPLY_CURVE!I20</f>
        <v>Surface</v>
      </c>
      <c r="L18" s="64" t="str">
        <f t="shared" si="6"/>
        <v>S</v>
      </c>
      <c r="M18" s="62" t="str">
        <f>BASE_YR_SUPPLY_CURVE!J20</f>
        <v>Bituminous</v>
      </c>
      <c r="N18" s="64" t="str">
        <f t="shared" si="7"/>
        <v>B</v>
      </c>
      <c r="O18" s="62" t="str">
        <f>BASE_YR_SUPPLY_CURVE!H20</f>
        <v>MSB</v>
      </c>
      <c r="P18" s="65" t="str">
        <f t="shared" si="2"/>
        <v>BM</v>
      </c>
      <c r="Q18" s="65" t="str">
        <f t="shared" si="3"/>
        <v>CSABMS</v>
      </c>
      <c r="R18" s="66">
        <f>BASE_YR_SUPPLY_CURVE!M20</f>
        <v>24.43</v>
      </c>
      <c r="S18" s="67" t="e">
        <v>#REF!</v>
      </c>
      <c r="T18" s="66">
        <f>BASE_YR_SUPPLY_CURVE!N20</f>
        <v>1.37</v>
      </c>
      <c r="U18" s="66">
        <f>BASE_YR_SUPPLY_CURVE!P20</f>
        <v>10.15</v>
      </c>
      <c r="V18" s="67" t="e">
        <f t="shared" si="4"/>
        <v>#REF!</v>
      </c>
      <c r="W18" s="67" t="e">
        <f t="shared" si="5"/>
        <v>#REF!</v>
      </c>
      <c r="X18" s="68" t="e">
        <f>#REF!</f>
        <v>#REF!</v>
      </c>
      <c r="Y18" s="68" t="e">
        <f>X18*R18*'Conversion Factors'!$B$4*10^6</f>
        <v>#REF!</v>
      </c>
      <c r="Z18" s="66">
        <f>BASE_YR_SUPPLY_CURVE!L20</f>
        <v>6.637746421347666</v>
      </c>
      <c r="AA18" s="66">
        <f>BASE_YR_SUPPLY_CURVE!O20</f>
        <v>204.7</v>
      </c>
    </row>
    <row r="19" spans="1:27" x14ac:dyDescent="0.2">
      <c r="A19" s="60" t="str">
        <f t="shared" si="0"/>
        <v>MIN.COAL.14.SA.PLU</v>
      </c>
      <c r="B19" s="61" t="str">
        <f t="shared" si="1"/>
        <v>37</v>
      </c>
      <c r="C19" s="62">
        <f>BASE_YR_SUPPLY_CURVE!B21</f>
        <v>14</v>
      </c>
      <c r="D19" s="62">
        <f>BASE_YR_SUPPLY_CURVE!C21</f>
        <v>3</v>
      </c>
      <c r="E19" s="62" t="str">
        <f>BASE_YR_SUPPLY_CURVE!D21</f>
        <v>SA</v>
      </c>
      <c r="F19" s="62">
        <f>BASE_YR_SUPPLY_CURVE!G21</f>
        <v>7</v>
      </c>
      <c r="G19" s="63">
        <v>8</v>
      </c>
      <c r="H19" s="63">
        <v>2</v>
      </c>
      <c r="I19" s="62" t="str">
        <f>BASE_YR_SUPPLY_CURVE!K21</f>
        <v>Low</v>
      </c>
      <c r="J19" s="64" t="str">
        <f t="array" ref="J19">IF(I19="Low","L",IF(I19="Medium","M",IF(I19="High","H","")))</f>
        <v>L</v>
      </c>
      <c r="K19" s="62" t="str">
        <f>BASE_YR_SUPPLY_CURVE!I21</f>
        <v>Underground</v>
      </c>
      <c r="L19" s="64" t="str">
        <f t="shared" si="6"/>
        <v>U</v>
      </c>
      <c r="M19" s="62" t="str">
        <f>BASE_YR_SUPPLY_CURVE!J21</f>
        <v>Premium</v>
      </c>
      <c r="N19" s="64" t="str">
        <f t="shared" si="7"/>
        <v>P</v>
      </c>
      <c r="O19" s="62" t="str">
        <f>BASE_YR_SUPPLY_CURVE!H21</f>
        <v>CUP</v>
      </c>
      <c r="P19" s="65" t="str">
        <f t="shared" si="2"/>
        <v>PL</v>
      </c>
      <c r="Q19" s="65" t="str">
        <f t="shared" si="3"/>
        <v>CSAPLU</v>
      </c>
      <c r="R19" s="66">
        <f>BASE_YR_SUPPLY_CURVE!M21</f>
        <v>26.3</v>
      </c>
      <c r="S19" s="67" t="e">
        <v>#REF!</v>
      </c>
      <c r="T19" s="66">
        <f>BASE_YR_SUPPLY_CURVE!N21</f>
        <v>0.46</v>
      </c>
      <c r="U19" s="66">
        <f>BASE_YR_SUPPLY_CURVE!P21</f>
        <v>0</v>
      </c>
      <c r="V19" s="67" t="e">
        <f t="shared" si="4"/>
        <v>#REF!</v>
      </c>
      <c r="W19" s="67" t="e">
        <f t="shared" si="5"/>
        <v>#REF!</v>
      </c>
      <c r="X19" s="68" t="e">
        <f>#REF!</f>
        <v>#REF!</v>
      </c>
      <c r="Y19" s="68" t="e">
        <f>X19*R19*'Conversion Factors'!$B$4*10^6</f>
        <v>#REF!</v>
      </c>
      <c r="Z19" s="66">
        <f>BASE_YR_SUPPLY_CURVE!L21</f>
        <v>12.235132</v>
      </c>
      <c r="AA19" s="66">
        <f>BASE_YR_SUPPLY_CURVE!O21</f>
        <v>204.7</v>
      </c>
    </row>
    <row r="20" spans="1:27" x14ac:dyDescent="0.2">
      <c r="A20" s="60" t="str">
        <f t="shared" si="0"/>
        <v>MIN.COAL.17.EI.BMU</v>
      </c>
      <c r="B20" s="61" t="str">
        <f t="shared" si="1"/>
        <v>42</v>
      </c>
      <c r="C20" s="62">
        <f>BASE_YR_SUPPLY_CURVE!B22</f>
        <v>17</v>
      </c>
      <c r="D20" s="62">
        <f>BASE_YR_SUPPLY_CURVE!C22</f>
        <v>4</v>
      </c>
      <c r="E20" s="62" t="str">
        <f>BASE_YR_SUPPLY_CURVE!D22</f>
        <v>EI</v>
      </c>
      <c r="F20" s="62">
        <f>BASE_YR_SUPPLY_CURVE!G22</f>
        <v>2</v>
      </c>
      <c r="G20" s="63">
        <v>2</v>
      </c>
      <c r="H20" s="63">
        <v>1</v>
      </c>
      <c r="I20" s="62" t="str">
        <f>BASE_YR_SUPPLY_CURVE!K22</f>
        <v>Medium</v>
      </c>
      <c r="J20" s="64" t="str">
        <f t="array" ref="J20">IF(I20="Low","L",IF(I20="Medium","M",IF(I20="High","H","")))</f>
        <v>M</v>
      </c>
      <c r="K20" s="62" t="str">
        <f>BASE_YR_SUPPLY_CURVE!I22</f>
        <v>Deep</v>
      </c>
      <c r="L20" s="64" t="str">
        <f t="shared" si="6"/>
        <v>U</v>
      </c>
      <c r="M20" s="62" t="str">
        <f>BASE_YR_SUPPLY_CURVE!J22</f>
        <v>Bituminous</v>
      </c>
      <c r="N20" s="64" t="str">
        <f t="shared" si="7"/>
        <v>B</v>
      </c>
      <c r="O20" s="62" t="str">
        <f>BASE_YR_SUPPLY_CURVE!H22</f>
        <v>MDB</v>
      </c>
      <c r="P20" s="65" t="str">
        <f t="shared" si="2"/>
        <v>BM</v>
      </c>
      <c r="Q20" s="65" t="str">
        <f t="shared" si="3"/>
        <v>CEIBMU</v>
      </c>
      <c r="R20" s="66">
        <f>BASE_YR_SUPPLY_CURVE!M22</f>
        <v>22.51</v>
      </c>
      <c r="S20" s="67" t="e">
        <v>#REF!</v>
      </c>
      <c r="T20" s="66">
        <f>BASE_YR_SUPPLY_CURVE!N22</f>
        <v>1.21</v>
      </c>
      <c r="U20" s="66">
        <f>BASE_YR_SUPPLY_CURVE!P22</f>
        <v>5.6</v>
      </c>
      <c r="V20" s="67" t="e">
        <f t="shared" si="4"/>
        <v>#REF!</v>
      </c>
      <c r="W20" s="67" t="e">
        <f t="shared" si="5"/>
        <v>#REF!</v>
      </c>
      <c r="X20" s="68" t="e">
        <f>#REF!</f>
        <v>#REF!</v>
      </c>
      <c r="Y20" s="68" t="e">
        <f>X20*R20*'Conversion Factors'!$B$4*10^6</f>
        <v>#REF!</v>
      </c>
      <c r="Z20" s="66">
        <f>BASE_YR_SUPPLY_CURVE!L22</f>
        <v>5.6488707994117329</v>
      </c>
      <c r="AA20" s="66">
        <f>BASE_YR_SUPPLY_CURVE!O22</f>
        <v>203.1</v>
      </c>
    </row>
    <row r="21" spans="1:27" x14ac:dyDescent="0.2">
      <c r="A21" s="60" t="str">
        <f t="shared" si="0"/>
        <v>MIN.COAL.18.EI.BHU</v>
      </c>
      <c r="B21" s="61" t="str">
        <f t="shared" si="1"/>
        <v>43</v>
      </c>
      <c r="C21" s="62">
        <f>BASE_YR_SUPPLY_CURVE!B23</f>
        <v>18</v>
      </c>
      <c r="D21" s="62">
        <f>BASE_YR_SUPPLY_CURVE!C23</f>
        <v>4</v>
      </c>
      <c r="E21" s="62" t="str">
        <f>BASE_YR_SUPPLY_CURVE!D23</f>
        <v>EI</v>
      </c>
      <c r="F21" s="62">
        <f>BASE_YR_SUPPLY_CURVE!G23</f>
        <v>3</v>
      </c>
      <c r="G21" s="63">
        <v>3</v>
      </c>
      <c r="H21" s="63">
        <v>2</v>
      </c>
      <c r="I21" s="62" t="str">
        <f>BASE_YR_SUPPLY_CURVE!K23</f>
        <v>High</v>
      </c>
      <c r="J21" s="64" t="str">
        <f t="array" ref="J21">IF(I21="Low","L",IF(I21="Medium","M",IF(I21="High","H","")))</f>
        <v>H</v>
      </c>
      <c r="K21" s="62" t="str">
        <f>BASE_YR_SUPPLY_CURVE!I23</f>
        <v>Deep</v>
      </c>
      <c r="L21" s="64" t="str">
        <f t="shared" si="6"/>
        <v>U</v>
      </c>
      <c r="M21" s="62" t="str">
        <f>BASE_YR_SUPPLY_CURVE!J23</f>
        <v>Bituminous</v>
      </c>
      <c r="N21" s="64" t="str">
        <f t="shared" si="7"/>
        <v>B</v>
      </c>
      <c r="O21" s="62" t="str">
        <f>BASE_YR_SUPPLY_CURVE!H23</f>
        <v>HDB</v>
      </c>
      <c r="P21" s="65" t="str">
        <f t="shared" si="2"/>
        <v>BH</v>
      </c>
      <c r="Q21" s="65" t="str">
        <f t="shared" si="3"/>
        <v>CEIBHU</v>
      </c>
      <c r="R21" s="66">
        <f>BASE_YR_SUPPLY_CURVE!M23</f>
        <v>22.75</v>
      </c>
      <c r="S21" s="67" t="e">
        <v>#REF!</v>
      </c>
      <c r="T21" s="66">
        <f>BASE_YR_SUPPLY_CURVE!N23</f>
        <v>2.66</v>
      </c>
      <c r="U21" s="66">
        <f>BASE_YR_SUPPLY_CURVE!P23</f>
        <v>6.35</v>
      </c>
      <c r="V21" s="67" t="e">
        <f t="shared" si="4"/>
        <v>#REF!</v>
      </c>
      <c r="W21" s="67" t="e">
        <f t="shared" si="5"/>
        <v>#REF!</v>
      </c>
      <c r="X21" s="68" t="e">
        <f>#REF!</f>
        <v>#REF!</v>
      </c>
      <c r="Y21" s="68" t="e">
        <f>X21*R21*'Conversion Factors'!$B$4*10^6</f>
        <v>#REF!</v>
      </c>
      <c r="Z21" s="66">
        <f>BASE_YR_SUPPLY_CURVE!L23</f>
        <v>86.850196200588272</v>
      </c>
      <c r="AA21" s="66">
        <f>BASE_YR_SUPPLY_CURVE!O23</f>
        <v>203.1</v>
      </c>
    </row>
    <row r="22" spans="1:27" x14ac:dyDescent="0.2">
      <c r="A22" s="60" t="str">
        <f t="shared" si="0"/>
        <v>MIN.COAL.19.EI.BMS</v>
      </c>
      <c r="B22" s="61" t="str">
        <f t="shared" si="1"/>
        <v>45</v>
      </c>
      <c r="C22" s="62">
        <f>BASE_YR_SUPPLY_CURVE!B24</f>
        <v>19</v>
      </c>
      <c r="D22" s="62">
        <f>BASE_YR_SUPPLY_CURVE!C24</f>
        <v>4</v>
      </c>
      <c r="E22" s="62" t="str">
        <f>BASE_YR_SUPPLY_CURVE!D24</f>
        <v>EI</v>
      </c>
      <c r="F22" s="62">
        <f>BASE_YR_SUPPLY_CURVE!G24</f>
        <v>5</v>
      </c>
      <c r="G22" s="63">
        <v>8</v>
      </c>
      <c r="H22" s="63">
        <v>1</v>
      </c>
      <c r="I22" s="62" t="str">
        <f>BASE_YR_SUPPLY_CURVE!K24</f>
        <v>Medium</v>
      </c>
      <c r="J22" s="64" t="str">
        <f t="array" ref="J22">IF(I22="Low","L",IF(I22="Medium","M",IF(I22="High","H","")))</f>
        <v>M</v>
      </c>
      <c r="K22" s="62" t="str">
        <f>BASE_YR_SUPPLY_CURVE!I24</f>
        <v>Surface</v>
      </c>
      <c r="L22" s="64" t="str">
        <f t="shared" si="6"/>
        <v>S</v>
      </c>
      <c r="M22" s="62" t="str">
        <f>BASE_YR_SUPPLY_CURVE!J24</f>
        <v>Bituminous</v>
      </c>
      <c r="N22" s="64" t="str">
        <f t="shared" si="7"/>
        <v>B</v>
      </c>
      <c r="O22" s="62" t="str">
        <f>BASE_YR_SUPPLY_CURVE!H24</f>
        <v>MSB</v>
      </c>
      <c r="P22" s="65" t="str">
        <f t="shared" si="2"/>
        <v>BM</v>
      </c>
      <c r="Q22" s="65" t="str">
        <f t="shared" si="3"/>
        <v>CEIBMS</v>
      </c>
      <c r="R22" s="66">
        <f>BASE_YR_SUPPLY_CURVE!M24</f>
        <v>22.51</v>
      </c>
      <c r="S22" s="67" t="e">
        <v>#REF!</v>
      </c>
      <c r="T22" s="66">
        <f>BASE_YR_SUPPLY_CURVE!N24</f>
        <v>1.21</v>
      </c>
      <c r="U22" s="66">
        <f>BASE_YR_SUPPLY_CURVE!P24</f>
        <v>5.6</v>
      </c>
      <c r="V22" s="67" t="e">
        <f t="shared" si="4"/>
        <v>#REF!</v>
      </c>
      <c r="W22" s="67" t="e">
        <f t="shared" si="5"/>
        <v>#REF!</v>
      </c>
      <c r="X22" s="68" t="e">
        <f>#REF!</f>
        <v>#REF!</v>
      </c>
      <c r="Y22" s="68" t="e">
        <f>X22*R22*'Conversion Factors'!$B$4*10^6</f>
        <v>#REF!</v>
      </c>
      <c r="Z22" s="66">
        <f>BASE_YR_SUPPLY_CURVE!L24</f>
        <v>1.8671240852953881</v>
      </c>
      <c r="AA22" s="66">
        <f>BASE_YR_SUPPLY_CURVE!O24</f>
        <v>203.1</v>
      </c>
    </row>
    <row r="23" spans="1:27" x14ac:dyDescent="0.2">
      <c r="A23" s="60" t="str">
        <f t="shared" si="0"/>
        <v>MIN.COAL.20.EI.BHS</v>
      </c>
      <c r="B23" s="61" t="str">
        <f t="shared" si="1"/>
        <v>46</v>
      </c>
      <c r="C23" s="62">
        <f>BASE_YR_SUPPLY_CURVE!B25</f>
        <v>20</v>
      </c>
      <c r="D23" s="62">
        <f>BASE_YR_SUPPLY_CURVE!C25</f>
        <v>4</v>
      </c>
      <c r="E23" s="62" t="str">
        <f>BASE_YR_SUPPLY_CURVE!D25</f>
        <v>EI</v>
      </c>
      <c r="F23" s="62">
        <f>BASE_YR_SUPPLY_CURVE!G25</f>
        <v>6</v>
      </c>
      <c r="G23" s="63">
        <v>9</v>
      </c>
      <c r="H23" s="63">
        <v>2</v>
      </c>
      <c r="I23" s="62" t="str">
        <f>BASE_YR_SUPPLY_CURVE!K25</f>
        <v>High</v>
      </c>
      <c r="J23" s="64" t="str">
        <f t="array" ref="J23">IF(I23="Low","L",IF(I23="Medium","M",IF(I23="High","H","")))</f>
        <v>H</v>
      </c>
      <c r="K23" s="62" t="str">
        <f>BASE_YR_SUPPLY_CURVE!I25</f>
        <v>Surface</v>
      </c>
      <c r="L23" s="64" t="str">
        <f t="shared" si="6"/>
        <v>S</v>
      </c>
      <c r="M23" s="62" t="str">
        <f>BASE_YR_SUPPLY_CURVE!J25</f>
        <v>Bituminous</v>
      </c>
      <c r="N23" s="64" t="str">
        <f t="shared" si="7"/>
        <v>B</v>
      </c>
      <c r="O23" s="62" t="str">
        <f>BASE_YR_SUPPLY_CURVE!H25</f>
        <v>HSB</v>
      </c>
      <c r="P23" s="65" t="str">
        <f t="shared" si="2"/>
        <v>BH</v>
      </c>
      <c r="Q23" s="65" t="str">
        <f t="shared" si="3"/>
        <v>CEIBHS</v>
      </c>
      <c r="R23" s="66">
        <f>BASE_YR_SUPPLY_CURVE!M25</f>
        <v>22.75</v>
      </c>
      <c r="S23" s="67" t="e">
        <v>#REF!</v>
      </c>
      <c r="T23" s="66">
        <f>BASE_YR_SUPPLY_CURVE!N25</f>
        <v>2.66</v>
      </c>
      <c r="U23" s="66">
        <f>BASE_YR_SUPPLY_CURVE!P25</f>
        <v>6.35</v>
      </c>
      <c r="V23" s="67" t="e">
        <f t="shared" si="4"/>
        <v>#REF!</v>
      </c>
      <c r="W23" s="67" t="e">
        <f t="shared" si="5"/>
        <v>#REF!</v>
      </c>
      <c r="X23" s="68" t="e">
        <f>#REF!</f>
        <v>#REF!</v>
      </c>
      <c r="Y23" s="68" t="e">
        <f>X23*R23*'Conversion Factors'!$B$4*10^6</f>
        <v>#REF!</v>
      </c>
      <c r="Z23" s="66">
        <f>BASE_YR_SUPPLY_CURVE!L25</f>
        <v>33.180163914704615</v>
      </c>
      <c r="AA23" s="66">
        <f>BASE_YR_SUPPLY_CURVE!O25</f>
        <v>203.1</v>
      </c>
    </row>
    <row r="24" spans="1:27" x14ac:dyDescent="0.2">
      <c r="A24" s="60" t="str">
        <f t="shared" si="0"/>
        <v>MIN.COAL.21.EI.LMS</v>
      </c>
      <c r="B24" s="61" t="str">
        <f t="shared" si="1"/>
        <v>48</v>
      </c>
      <c r="C24" s="62">
        <f>BASE_YR_SUPPLY_CURVE!B26</f>
        <v>21</v>
      </c>
      <c r="D24" s="62">
        <f>BASE_YR_SUPPLY_CURVE!C26</f>
        <v>4</v>
      </c>
      <c r="E24" s="62" t="str">
        <f>BASE_YR_SUPPLY_CURVE!D26</f>
        <v>EI</v>
      </c>
      <c r="F24" s="62">
        <f>BASE_YR_SUPPLY_CURVE!G26</f>
        <v>8</v>
      </c>
      <c r="G24" s="63">
        <v>11</v>
      </c>
      <c r="H24" s="63">
        <v>3</v>
      </c>
      <c r="I24" s="62" t="str">
        <f>BASE_YR_SUPPLY_CURVE!K26</f>
        <v>Medium</v>
      </c>
      <c r="J24" s="64" t="str">
        <f t="array" ref="J24">IF(I24="Low","L",IF(I24="Medium","M",IF(I24="High","H","")))</f>
        <v>M</v>
      </c>
      <c r="K24" s="62" t="str">
        <f>BASE_YR_SUPPLY_CURVE!I26</f>
        <v>Surface</v>
      </c>
      <c r="L24" s="64" t="str">
        <f t="shared" si="6"/>
        <v>S</v>
      </c>
      <c r="M24" s="62" t="str">
        <f>BASE_YR_SUPPLY_CURVE!J26</f>
        <v>Lignite</v>
      </c>
      <c r="N24" s="64" t="str">
        <f t="shared" si="7"/>
        <v>L</v>
      </c>
      <c r="O24" s="62" t="str">
        <f>BASE_YR_SUPPLY_CURVE!H26</f>
        <v>MAL</v>
      </c>
      <c r="P24" s="65" t="str">
        <f t="shared" si="2"/>
        <v>LM</v>
      </c>
      <c r="Q24" s="65" t="str">
        <f t="shared" si="3"/>
        <v>CEILMS</v>
      </c>
      <c r="R24" s="66">
        <f>BASE_YR_SUPPLY_CURVE!M26</f>
        <v>10.36</v>
      </c>
      <c r="S24" s="67" t="e">
        <v>#REF!</v>
      </c>
      <c r="T24" s="66">
        <f>BASE_YR_SUPPLY_CURVE!N26</f>
        <v>0.96</v>
      </c>
      <c r="U24" s="66">
        <f>BASE_YR_SUPPLY_CURVE!P26</f>
        <v>14.11</v>
      </c>
      <c r="V24" s="67" t="e">
        <f t="shared" si="4"/>
        <v>#REF!</v>
      </c>
      <c r="W24" s="67" t="e">
        <f t="shared" si="5"/>
        <v>#REF!</v>
      </c>
      <c r="X24" s="68" t="e">
        <f>#REF!</f>
        <v>#REF!</v>
      </c>
      <c r="Y24" s="68" t="e">
        <f>X24*R24*'Conversion Factors'!$B$4*10^6</f>
        <v>#REF!</v>
      </c>
      <c r="Z24" s="66">
        <f>BASE_YR_SUPPLY_CURVE!L26</f>
        <v>2.9528180000000002</v>
      </c>
      <c r="AA24" s="66">
        <f>BASE_YR_SUPPLY_CURVE!O26</f>
        <v>216.5</v>
      </c>
    </row>
    <row r="25" spans="1:27" x14ac:dyDescent="0.2">
      <c r="A25" s="60" t="str">
        <f t="shared" si="0"/>
        <v>MIN.COAL.22.WI.BHS</v>
      </c>
      <c r="B25" s="61" t="str">
        <f t="shared" si="1"/>
        <v>56</v>
      </c>
      <c r="C25" s="62">
        <f>BASE_YR_SUPPLY_CURVE!B27</f>
        <v>22</v>
      </c>
      <c r="D25" s="62">
        <f>BASE_YR_SUPPLY_CURVE!C27</f>
        <v>5</v>
      </c>
      <c r="E25" s="62" t="str">
        <f>BASE_YR_SUPPLY_CURVE!D27</f>
        <v>WI</v>
      </c>
      <c r="F25" s="62">
        <f>BASE_YR_SUPPLY_CURVE!G27</f>
        <v>6</v>
      </c>
      <c r="G25" s="63">
        <v>9</v>
      </c>
      <c r="H25" s="63">
        <v>1</v>
      </c>
      <c r="I25" s="62" t="str">
        <f>BASE_YR_SUPPLY_CURVE!K27</f>
        <v>High</v>
      </c>
      <c r="J25" s="64" t="str">
        <f t="array" ref="J25">IF(I25="Low","L",IF(I25="Medium","M",IF(I25="High","H","")))</f>
        <v>H</v>
      </c>
      <c r="K25" s="62" t="str">
        <f>BASE_YR_SUPPLY_CURVE!I27</f>
        <v>Surface</v>
      </c>
      <c r="L25" s="64" t="str">
        <f t="shared" si="6"/>
        <v>S</v>
      </c>
      <c r="M25" s="62" t="str">
        <f>BASE_YR_SUPPLY_CURVE!J27</f>
        <v>Bituminous</v>
      </c>
      <c r="N25" s="64" t="str">
        <f t="shared" si="7"/>
        <v>B</v>
      </c>
      <c r="O25" s="62" t="str">
        <f>BASE_YR_SUPPLY_CURVE!H27</f>
        <v>HSB</v>
      </c>
      <c r="P25" s="65" t="str">
        <f t="shared" si="2"/>
        <v>BH</v>
      </c>
      <c r="Q25" s="65" t="str">
        <f t="shared" si="3"/>
        <v>CWIBHS</v>
      </c>
      <c r="R25" s="66">
        <f>BASE_YR_SUPPLY_CURVE!M27</f>
        <v>21.25</v>
      </c>
      <c r="S25" s="67" t="e">
        <v>#REF!</v>
      </c>
      <c r="T25" s="66">
        <f>BASE_YR_SUPPLY_CURVE!N27</f>
        <v>1.44</v>
      </c>
      <c r="U25" s="66">
        <f>BASE_YR_SUPPLY_CURVE!P27</f>
        <v>21.55</v>
      </c>
      <c r="V25" s="67" t="e">
        <f t="shared" si="4"/>
        <v>#REF!</v>
      </c>
      <c r="W25" s="67" t="e">
        <f t="shared" si="5"/>
        <v>#REF!</v>
      </c>
      <c r="X25" s="68" t="e">
        <f>#REF!</f>
        <v>#REF!</v>
      </c>
      <c r="Y25" s="68" t="e">
        <f>X25*R25*'Conversion Factors'!$B$4*10^6</f>
        <v>#REF!</v>
      </c>
      <c r="Z25" s="66">
        <f>BASE_YR_SUPPLY_CURVE!L27</f>
        <v>1.589545</v>
      </c>
      <c r="AA25" s="66">
        <f>BASE_YR_SUPPLY_CURVE!O27</f>
        <v>202.8</v>
      </c>
    </row>
    <row r="26" spans="1:27" x14ac:dyDescent="0.2">
      <c r="A26" s="60" t="str">
        <f t="shared" si="0"/>
        <v>MIN.COAL.23.GL.LMS</v>
      </c>
      <c r="B26" s="61" t="str">
        <f t="shared" si="1"/>
        <v>65</v>
      </c>
      <c r="C26" s="62">
        <f>BASE_YR_SUPPLY_CURVE!B28</f>
        <v>23</v>
      </c>
      <c r="D26" s="62">
        <f>BASE_YR_SUPPLY_CURVE!C28</f>
        <v>6</v>
      </c>
      <c r="E26" s="62" t="str">
        <f>BASE_YR_SUPPLY_CURVE!D28</f>
        <v>GL</v>
      </c>
      <c r="F26" s="62">
        <f>BASE_YR_SUPPLY_CURVE!G28</f>
        <v>5</v>
      </c>
      <c r="G26" s="63">
        <v>11</v>
      </c>
      <c r="H26" s="63">
        <v>1</v>
      </c>
      <c r="I26" s="62" t="str">
        <f>BASE_YR_SUPPLY_CURVE!K28</f>
        <v>Medium</v>
      </c>
      <c r="J26" s="64" t="str">
        <f t="array" ref="J26">IF(I26="Low","L",IF(I26="Medium","M",IF(I26="High","H","")))</f>
        <v>M</v>
      </c>
      <c r="K26" s="62" t="str">
        <f>BASE_YR_SUPPLY_CURVE!I28</f>
        <v>Surface</v>
      </c>
      <c r="L26" s="64" t="str">
        <f t="shared" si="6"/>
        <v>S</v>
      </c>
      <c r="M26" s="62" t="str">
        <f>BASE_YR_SUPPLY_CURVE!J28</f>
        <v>Lignite</v>
      </c>
      <c r="N26" s="64" t="str">
        <f t="shared" si="7"/>
        <v>L</v>
      </c>
      <c r="O26" s="62" t="str">
        <f>BASE_YR_SUPPLY_CURVE!H28</f>
        <v>MSL</v>
      </c>
      <c r="P26" s="65" t="str">
        <f t="shared" si="2"/>
        <v>LM</v>
      </c>
      <c r="Q26" s="65" t="str">
        <f t="shared" si="3"/>
        <v>CGLLMS</v>
      </c>
      <c r="R26" s="66">
        <f>BASE_YR_SUPPLY_CURVE!M28</f>
        <v>13.46</v>
      </c>
      <c r="S26" s="67" t="e">
        <v>#REF!</v>
      </c>
      <c r="T26" s="66">
        <f>BASE_YR_SUPPLY_CURVE!N28</f>
        <v>1.26</v>
      </c>
      <c r="U26" s="66">
        <f>BASE_YR_SUPPLY_CURVE!P28</f>
        <v>14.11</v>
      </c>
      <c r="V26" s="67" t="e">
        <f t="shared" si="4"/>
        <v>#REF!</v>
      </c>
      <c r="W26" s="67" t="e">
        <f t="shared" si="5"/>
        <v>#REF!</v>
      </c>
      <c r="X26" s="68" t="e">
        <f>#REF!</f>
        <v>#REF!</v>
      </c>
      <c r="Y26" s="68" t="e">
        <f>X26*R26*'Conversion Factors'!$B$4*10^6</f>
        <v>#REF!</v>
      </c>
      <c r="Z26" s="66">
        <f>BASE_YR_SUPPLY_CURVE!L28</f>
        <v>36.791523800204267</v>
      </c>
      <c r="AA26" s="66">
        <f>BASE_YR_SUPPLY_CURVE!O28</f>
        <v>212.6</v>
      </c>
    </row>
    <row r="27" spans="1:27" x14ac:dyDescent="0.2">
      <c r="A27" s="60" t="str">
        <f t="shared" si="0"/>
        <v>MIN.COAL.24.GL.LHS</v>
      </c>
      <c r="B27" s="61" t="str">
        <f t="shared" si="1"/>
        <v>66</v>
      </c>
      <c r="C27" s="62">
        <f>BASE_YR_SUPPLY_CURVE!B29</f>
        <v>24</v>
      </c>
      <c r="D27" s="62">
        <f>BASE_YR_SUPPLY_CURVE!C29</f>
        <v>6</v>
      </c>
      <c r="E27" s="62" t="str">
        <f>BASE_YR_SUPPLY_CURVE!D29</f>
        <v>GL</v>
      </c>
      <c r="F27" s="62">
        <f>BASE_YR_SUPPLY_CURVE!G29</f>
        <v>6</v>
      </c>
      <c r="G27" s="63">
        <v>12</v>
      </c>
      <c r="H27" s="63">
        <v>2</v>
      </c>
      <c r="I27" s="62" t="str">
        <f>BASE_YR_SUPPLY_CURVE!K29</f>
        <v>High</v>
      </c>
      <c r="J27" s="64" t="str">
        <f t="array" ref="J27">IF(I27="Low","L",IF(I27="Medium","M",IF(I27="High","H","")))</f>
        <v>H</v>
      </c>
      <c r="K27" s="62" t="str">
        <f>BASE_YR_SUPPLY_CURVE!I29</f>
        <v>Surface</v>
      </c>
      <c r="L27" s="64" t="str">
        <f t="shared" si="6"/>
        <v>S</v>
      </c>
      <c r="M27" s="62" t="str">
        <f>BASE_YR_SUPPLY_CURVE!J29</f>
        <v>Lignite</v>
      </c>
      <c r="N27" s="64" t="str">
        <f t="shared" si="7"/>
        <v>L</v>
      </c>
      <c r="O27" s="62" t="str">
        <f>BASE_YR_SUPPLY_CURVE!H29</f>
        <v>HSL</v>
      </c>
      <c r="P27" s="65" t="str">
        <f t="shared" si="2"/>
        <v>LH</v>
      </c>
      <c r="Q27" s="65" t="str">
        <f t="shared" si="3"/>
        <v>CGLLHS</v>
      </c>
      <c r="R27" s="66">
        <f>BASE_YR_SUPPLY_CURVE!M29</f>
        <v>11.99</v>
      </c>
      <c r="S27" s="67" t="e">
        <v>#REF!</v>
      </c>
      <c r="T27" s="66">
        <f>BASE_YR_SUPPLY_CURVE!N29</f>
        <v>2.65</v>
      </c>
      <c r="U27" s="66">
        <f>BASE_YR_SUPPLY_CURVE!P29</f>
        <v>15.28</v>
      </c>
      <c r="V27" s="67" t="e">
        <f t="shared" si="4"/>
        <v>#REF!</v>
      </c>
      <c r="W27" s="67" t="e">
        <f t="shared" si="5"/>
        <v>#REF!</v>
      </c>
      <c r="X27" s="68" t="e">
        <f>#REF!</f>
        <v>#REF!</v>
      </c>
      <c r="Y27" s="68" t="e">
        <f>X27*R27*'Conversion Factors'!$B$4*10^6</f>
        <v>#REF!</v>
      </c>
      <c r="Z27" s="66">
        <f>BASE_YR_SUPPLY_CURVE!L29</f>
        <v>11.357830199795734</v>
      </c>
      <c r="AA27" s="66">
        <f>BASE_YR_SUPPLY_CURVE!O29</f>
        <v>212.6</v>
      </c>
    </row>
    <row r="28" spans="1:27" x14ac:dyDescent="0.2">
      <c r="A28" s="60" t="str">
        <f t="shared" si="0"/>
        <v>MIN.COAL.25.DL.LMS</v>
      </c>
      <c r="B28" s="61" t="str">
        <f t="shared" si="1"/>
        <v>75</v>
      </c>
      <c r="C28" s="62">
        <f>BASE_YR_SUPPLY_CURVE!B30</f>
        <v>25</v>
      </c>
      <c r="D28" s="62">
        <f>BASE_YR_SUPPLY_CURVE!C30</f>
        <v>7</v>
      </c>
      <c r="E28" s="62" t="str">
        <f>BASE_YR_SUPPLY_CURVE!D30</f>
        <v>DL</v>
      </c>
      <c r="F28" s="62">
        <f>BASE_YR_SUPPLY_CURVE!G30</f>
        <v>5</v>
      </c>
      <c r="G28" s="63">
        <v>11</v>
      </c>
      <c r="H28" s="63">
        <v>1</v>
      </c>
      <c r="I28" s="62" t="str">
        <f>BASE_YR_SUPPLY_CURVE!K30</f>
        <v>Medium</v>
      </c>
      <c r="J28" s="64" t="str">
        <f t="array" ref="J28">IF(I28="Low","L",IF(I28="Medium","M",IF(I28="High","H","")))</f>
        <v>M</v>
      </c>
      <c r="K28" s="62" t="str">
        <f>BASE_YR_SUPPLY_CURVE!I30</f>
        <v>Surface</v>
      </c>
      <c r="L28" s="64" t="str">
        <f t="shared" si="6"/>
        <v>S</v>
      </c>
      <c r="M28" s="62" t="str">
        <f>BASE_YR_SUPPLY_CURVE!J30</f>
        <v>Lignite</v>
      </c>
      <c r="N28" s="64" t="str">
        <f t="shared" si="7"/>
        <v>L</v>
      </c>
      <c r="O28" s="62" t="str">
        <f>BASE_YR_SUPPLY_CURVE!H30</f>
        <v>MSL</v>
      </c>
      <c r="P28" s="65" t="str">
        <f t="shared" si="2"/>
        <v>LM</v>
      </c>
      <c r="Q28" s="65" t="str">
        <f t="shared" si="3"/>
        <v>CDLLMS</v>
      </c>
      <c r="R28" s="66">
        <f>BASE_YR_SUPPLY_CURVE!M30</f>
        <v>13.21</v>
      </c>
      <c r="S28" s="67" t="e">
        <v>#REF!</v>
      </c>
      <c r="T28" s="66">
        <f>BASE_YR_SUPPLY_CURVE!N30</f>
        <v>1.29</v>
      </c>
      <c r="U28" s="66">
        <f>BASE_YR_SUPPLY_CURVE!P30</f>
        <v>8.3800000000000008</v>
      </c>
      <c r="V28" s="67" t="e">
        <f t="shared" si="4"/>
        <v>#REF!</v>
      </c>
      <c r="W28" s="67" t="e">
        <f t="shared" si="5"/>
        <v>#REF!</v>
      </c>
      <c r="X28" s="68" t="e">
        <f>#REF!</f>
        <v>#REF!</v>
      </c>
      <c r="Y28" s="68" t="e">
        <f>X28*R28*'Conversion Factors'!$B$4*10^6</f>
        <v>#REF!</v>
      </c>
      <c r="Z28" s="66">
        <f>BASE_YR_SUPPLY_CURVE!L30</f>
        <v>27.825119999999998</v>
      </c>
      <c r="AA28" s="66">
        <f>BASE_YR_SUPPLY_CURVE!O30</f>
        <v>219.3</v>
      </c>
    </row>
    <row r="29" spans="1:27" x14ac:dyDescent="0.2">
      <c r="A29" s="60" t="str">
        <f t="shared" si="0"/>
        <v>MIN.COAL.26.WM.BLU</v>
      </c>
      <c r="B29" s="61" t="str">
        <f t="shared" si="1"/>
        <v>81</v>
      </c>
      <c r="C29" s="62">
        <f>BASE_YR_SUPPLY_CURVE!B31</f>
        <v>26</v>
      </c>
      <c r="D29" s="62">
        <f>BASE_YR_SUPPLY_CURVE!C31</f>
        <v>8</v>
      </c>
      <c r="E29" s="62" t="str">
        <f>BASE_YR_SUPPLY_CURVE!D31</f>
        <v>WM</v>
      </c>
      <c r="F29" s="62">
        <f>BASE_YR_SUPPLY_CURVE!G31</f>
        <v>1</v>
      </c>
      <c r="G29" s="63">
        <v>1</v>
      </c>
      <c r="H29" s="63">
        <v>1</v>
      </c>
      <c r="I29" s="62" t="str">
        <f>BASE_YR_SUPPLY_CURVE!K31</f>
        <v>Low</v>
      </c>
      <c r="J29" s="64" t="str">
        <f t="array" ref="J29">IF(I29="Low","L",IF(I29="Medium","M",IF(I29="High","H","")))</f>
        <v>L</v>
      </c>
      <c r="K29" s="62" t="str">
        <f>BASE_YR_SUPPLY_CURVE!I31</f>
        <v>Deep</v>
      </c>
      <c r="L29" s="64" t="str">
        <f t="shared" si="6"/>
        <v>U</v>
      </c>
      <c r="M29" s="62" t="str">
        <f>BASE_YR_SUPPLY_CURVE!J31</f>
        <v>Bituminous</v>
      </c>
      <c r="N29" s="64" t="str">
        <f t="shared" si="7"/>
        <v>B</v>
      </c>
      <c r="O29" s="62" t="str">
        <f>BASE_YR_SUPPLY_CURVE!H31</f>
        <v>CDB</v>
      </c>
      <c r="P29" s="65" t="str">
        <f t="shared" si="2"/>
        <v>BL</v>
      </c>
      <c r="Q29" s="65" t="str">
        <f t="shared" si="3"/>
        <v>CWMBLU</v>
      </c>
      <c r="R29" s="66">
        <f>BASE_YR_SUPPLY_CURVE!M31</f>
        <v>19.809999999999999</v>
      </c>
      <c r="S29" s="67" t="e">
        <v>#REF!</v>
      </c>
      <c r="T29" s="66">
        <f>BASE_YR_SUPPLY_CURVE!N31</f>
        <v>0.5</v>
      </c>
      <c r="U29" s="66">
        <f>BASE_YR_SUPPLY_CURVE!P31</f>
        <v>5.0599999999999996</v>
      </c>
      <c r="V29" s="67" t="e">
        <f t="shared" si="4"/>
        <v>#REF!</v>
      </c>
      <c r="W29" s="67" t="e">
        <f t="shared" si="5"/>
        <v>#REF!</v>
      </c>
      <c r="X29" s="68" t="e">
        <f>#REF!</f>
        <v>#REF!</v>
      </c>
      <c r="Y29" s="68" t="e">
        <f>X29*R29*'Conversion Factors'!$B$4*10^6</f>
        <v>#REF!</v>
      </c>
      <c r="Z29" s="66">
        <f>BASE_YR_SUPPLY_CURVE!L31</f>
        <v>5.7076330000000004</v>
      </c>
      <c r="AA29" s="66">
        <f>BASE_YR_SUPPLY_CURVE!O31</f>
        <v>215.5</v>
      </c>
    </row>
    <row r="30" spans="1:27" x14ac:dyDescent="0.2">
      <c r="A30" s="60" t="str">
        <f t="shared" si="0"/>
        <v>MIN.COAL.27.WM.SLS</v>
      </c>
      <c r="B30" s="61" t="str">
        <f t="shared" si="1"/>
        <v>84</v>
      </c>
      <c r="C30" s="62">
        <f>BASE_YR_SUPPLY_CURVE!B32</f>
        <v>27</v>
      </c>
      <c r="D30" s="62">
        <f>BASE_YR_SUPPLY_CURVE!C32</f>
        <v>8</v>
      </c>
      <c r="E30" s="62" t="str">
        <f>BASE_YR_SUPPLY_CURVE!D32</f>
        <v>WM</v>
      </c>
      <c r="F30" s="62">
        <f>BASE_YR_SUPPLY_CURVE!G32</f>
        <v>4</v>
      </c>
      <c r="G30" s="63">
        <v>7</v>
      </c>
      <c r="H30" s="63">
        <v>1</v>
      </c>
      <c r="I30" s="62" t="str">
        <f>BASE_YR_SUPPLY_CURVE!K32</f>
        <v>Low</v>
      </c>
      <c r="J30" s="64" t="str">
        <f t="array" ref="J30">IF(I30="Low","L",IF(I30="Medium","M",IF(I30="High","H","")))</f>
        <v>L</v>
      </c>
      <c r="K30" s="62" t="str">
        <f>BASE_YR_SUPPLY_CURVE!I32</f>
        <v>Surface</v>
      </c>
      <c r="L30" s="64" t="str">
        <f t="shared" si="6"/>
        <v>S</v>
      </c>
      <c r="M30" s="62" t="str">
        <f>BASE_YR_SUPPLY_CURVE!J32</f>
        <v>Subbituminous</v>
      </c>
      <c r="N30" s="64" t="str">
        <f t="shared" si="7"/>
        <v>S</v>
      </c>
      <c r="O30" s="62" t="str">
        <f>BASE_YR_SUPPLY_CURVE!H32</f>
        <v>CSS</v>
      </c>
      <c r="P30" s="65" t="str">
        <f t="shared" si="2"/>
        <v>SL</v>
      </c>
      <c r="Q30" s="65" t="str">
        <f t="shared" si="3"/>
        <v>CWMSLS</v>
      </c>
      <c r="R30" s="66">
        <f>BASE_YR_SUPPLY_CURVE!M32</f>
        <v>18.100000000000001</v>
      </c>
      <c r="S30" s="67" t="e">
        <v>#REF!</v>
      </c>
      <c r="T30" s="66">
        <f>BASE_YR_SUPPLY_CURVE!N32</f>
        <v>0.38</v>
      </c>
      <c r="U30" s="66">
        <f>BASE_YR_SUPPLY_CURVE!P32</f>
        <v>5.0599999999999996</v>
      </c>
      <c r="V30" s="67" t="e">
        <f t="shared" si="4"/>
        <v>#REF!</v>
      </c>
      <c r="W30" s="67" t="e">
        <f t="shared" si="5"/>
        <v>#REF!</v>
      </c>
      <c r="X30" s="68" t="e">
        <f>#REF!</f>
        <v>#REF!</v>
      </c>
      <c r="Y30" s="68" t="e">
        <f>X30*R30*'Conversion Factors'!$B$4*10^6</f>
        <v>#REF!</v>
      </c>
      <c r="Z30" s="66">
        <f>BASE_YR_SUPPLY_CURVE!L32</f>
        <v>14.684640055287908</v>
      </c>
      <c r="AA30" s="66">
        <f>BASE_YR_SUPPLY_CURVE!O32</f>
        <v>215.5</v>
      </c>
    </row>
    <row r="31" spans="1:27" x14ac:dyDescent="0.2">
      <c r="A31" s="60" t="str">
        <f t="shared" si="0"/>
        <v>MIN.COAL.28.WM.SMS</v>
      </c>
      <c r="B31" s="61" t="str">
        <f t="shared" si="1"/>
        <v>85</v>
      </c>
      <c r="C31" s="62">
        <f>BASE_YR_SUPPLY_CURVE!B33</f>
        <v>28</v>
      </c>
      <c r="D31" s="62">
        <f>BASE_YR_SUPPLY_CURVE!C33</f>
        <v>8</v>
      </c>
      <c r="E31" s="62" t="str">
        <f>BASE_YR_SUPPLY_CURVE!D33</f>
        <v>WM</v>
      </c>
      <c r="F31" s="62">
        <f>BASE_YR_SUPPLY_CURVE!G33</f>
        <v>5</v>
      </c>
      <c r="G31" s="63">
        <v>8</v>
      </c>
      <c r="H31" s="63">
        <v>2</v>
      </c>
      <c r="I31" s="62" t="str">
        <f>BASE_YR_SUPPLY_CURVE!K33</f>
        <v>Medium</v>
      </c>
      <c r="J31" s="64" t="str">
        <f t="array" ref="J31">IF(I31="Low","L",IF(I31="Medium","M",IF(I31="High","H","")))</f>
        <v>M</v>
      </c>
      <c r="K31" s="62" t="str">
        <f>BASE_YR_SUPPLY_CURVE!I33</f>
        <v>Surface</v>
      </c>
      <c r="L31" s="64" t="str">
        <f t="shared" si="6"/>
        <v>S</v>
      </c>
      <c r="M31" s="62" t="str">
        <f>BASE_YR_SUPPLY_CURVE!J33</f>
        <v>Subbituminous</v>
      </c>
      <c r="N31" s="64" t="str">
        <f t="shared" si="7"/>
        <v>S</v>
      </c>
      <c r="O31" s="62" t="str">
        <f>BASE_YR_SUPPLY_CURVE!H33</f>
        <v>MSS</v>
      </c>
      <c r="P31" s="65" t="str">
        <f t="shared" si="2"/>
        <v>SM</v>
      </c>
      <c r="Q31" s="65" t="str">
        <f t="shared" si="3"/>
        <v>CWMSMS</v>
      </c>
      <c r="R31" s="66">
        <f>BASE_YR_SUPPLY_CURVE!M33</f>
        <v>17.25</v>
      </c>
      <c r="S31" s="67" t="e">
        <v>#REF!</v>
      </c>
      <c r="T31" s="66">
        <f>BASE_YR_SUPPLY_CURVE!N33</f>
        <v>0.77</v>
      </c>
      <c r="U31" s="66">
        <f>BASE_YR_SUPPLY_CURVE!P33</f>
        <v>5.47</v>
      </c>
      <c r="V31" s="67" t="e">
        <f t="shared" si="4"/>
        <v>#REF!</v>
      </c>
      <c r="W31" s="67" t="e">
        <f t="shared" si="5"/>
        <v>#REF!</v>
      </c>
      <c r="X31" s="68" t="e">
        <f>#REF!</f>
        <v>#REF!</v>
      </c>
      <c r="Y31" s="68" t="e">
        <f>X31*R31*'Conversion Factors'!$B$4*10^6</f>
        <v>#REF!</v>
      </c>
      <c r="Z31" s="66">
        <f>BASE_YR_SUPPLY_CURVE!L33</f>
        <v>16.005254944712096</v>
      </c>
      <c r="AA31" s="66">
        <f>BASE_YR_SUPPLY_CURVE!O33</f>
        <v>215.5</v>
      </c>
    </row>
    <row r="32" spans="1:27" x14ac:dyDescent="0.2">
      <c r="A32" s="60" t="str">
        <f t="shared" si="0"/>
        <v>MIN.COAL.29.NW.SLS</v>
      </c>
      <c r="B32" s="61" t="str">
        <f t="shared" si="1"/>
        <v>94</v>
      </c>
      <c r="C32" s="62">
        <f>BASE_YR_SUPPLY_CURVE!B34</f>
        <v>29</v>
      </c>
      <c r="D32" s="62">
        <f>BASE_YR_SUPPLY_CURVE!C34</f>
        <v>9</v>
      </c>
      <c r="E32" s="62" t="str">
        <f>BASE_YR_SUPPLY_CURVE!D34</f>
        <v>NW</v>
      </c>
      <c r="F32" s="62">
        <f>BASE_YR_SUPPLY_CURVE!G34</f>
        <v>4</v>
      </c>
      <c r="G32" s="63">
        <v>7</v>
      </c>
      <c r="H32" s="63">
        <v>1</v>
      </c>
      <c r="I32" s="62" t="str">
        <f>BASE_YR_SUPPLY_CURVE!K34</f>
        <v>Low</v>
      </c>
      <c r="J32" s="64" t="str">
        <f t="array" ref="J32">IF(I32="Low","L",IF(I32="Medium","M",IF(I32="High","H","")))</f>
        <v>L</v>
      </c>
      <c r="K32" s="62" t="str">
        <f>BASE_YR_SUPPLY_CURVE!I34</f>
        <v>Surface</v>
      </c>
      <c r="L32" s="64" t="str">
        <f t="shared" si="6"/>
        <v>S</v>
      </c>
      <c r="M32" s="62" t="str">
        <f>BASE_YR_SUPPLY_CURVE!J34</f>
        <v>Subbituminous</v>
      </c>
      <c r="N32" s="64" t="str">
        <f t="shared" si="7"/>
        <v>S</v>
      </c>
      <c r="O32" s="62" t="str">
        <f>BASE_YR_SUPPLY_CURVE!H34</f>
        <v>CSS</v>
      </c>
      <c r="P32" s="65" t="str">
        <f t="shared" si="2"/>
        <v>SL</v>
      </c>
      <c r="Q32" s="65" t="str">
        <f t="shared" si="3"/>
        <v>CNWSLS</v>
      </c>
      <c r="R32" s="66">
        <f>BASE_YR_SUPPLY_CURVE!M34</f>
        <v>16.84</v>
      </c>
      <c r="S32" s="67" t="e">
        <v>#REF!</v>
      </c>
      <c r="T32" s="66">
        <f>BASE_YR_SUPPLY_CURVE!N34</f>
        <v>0.38</v>
      </c>
      <c r="U32" s="66">
        <f>BASE_YR_SUPPLY_CURVE!P34</f>
        <v>7.08</v>
      </c>
      <c r="V32" s="67" t="e">
        <f t="shared" si="4"/>
        <v>#REF!</v>
      </c>
      <c r="W32" s="67" t="e">
        <f t="shared" si="5"/>
        <v>#REF!</v>
      </c>
      <c r="X32" s="68" t="e">
        <f>#REF!</f>
        <v>#REF!</v>
      </c>
      <c r="Y32" s="68" t="e">
        <f>X32*R32*'Conversion Factors'!$B$4*10^6</f>
        <v>#REF!</v>
      </c>
      <c r="Z32" s="66">
        <f>BASE_YR_SUPPLY_CURVE!L34</f>
        <v>150.89489197555599</v>
      </c>
      <c r="AA32" s="66">
        <f>BASE_YR_SUPPLY_CURVE!O34</f>
        <v>214.3</v>
      </c>
    </row>
    <row r="33" spans="1:27" x14ac:dyDescent="0.2">
      <c r="A33" s="60" t="str">
        <f t="shared" si="0"/>
        <v>MIN.COAL.30.NW.SMS</v>
      </c>
      <c r="B33" s="61" t="str">
        <f t="shared" si="1"/>
        <v>95</v>
      </c>
      <c r="C33" s="62">
        <f>BASE_YR_SUPPLY_CURVE!B35</f>
        <v>30</v>
      </c>
      <c r="D33" s="62">
        <f>BASE_YR_SUPPLY_CURVE!C35</f>
        <v>9</v>
      </c>
      <c r="E33" s="62" t="str">
        <f>BASE_YR_SUPPLY_CURVE!D35</f>
        <v>NW</v>
      </c>
      <c r="F33" s="62">
        <f>BASE_YR_SUPPLY_CURVE!G35</f>
        <v>5</v>
      </c>
      <c r="G33" s="63">
        <v>8</v>
      </c>
      <c r="H33" s="63">
        <v>2</v>
      </c>
      <c r="I33" s="62" t="str">
        <f>BASE_YR_SUPPLY_CURVE!K35</f>
        <v>Medium</v>
      </c>
      <c r="J33" s="64" t="str">
        <f t="array" ref="J33">IF(I33="Low","L",IF(I33="Medium","M",IF(I33="High","H","")))</f>
        <v>M</v>
      </c>
      <c r="K33" s="62" t="str">
        <f>BASE_YR_SUPPLY_CURVE!I35</f>
        <v>Surface</v>
      </c>
      <c r="L33" s="64" t="str">
        <f t="shared" si="6"/>
        <v>S</v>
      </c>
      <c r="M33" s="62" t="str">
        <f>BASE_YR_SUPPLY_CURVE!J35</f>
        <v>Subbituminous</v>
      </c>
      <c r="N33" s="64" t="str">
        <f t="shared" si="7"/>
        <v>S</v>
      </c>
      <c r="O33" s="62" t="str">
        <f>BASE_YR_SUPPLY_CURVE!H35</f>
        <v>MSS</v>
      </c>
      <c r="P33" s="65" t="str">
        <f t="shared" si="2"/>
        <v>SM</v>
      </c>
      <c r="Q33" s="65" t="str">
        <f t="shared" si="3"/>
        <v>CNWSMS</v>
      </c>
      <c r="R33" s="66">
        <f>BASE_YR_SUPPLY_CURVE!M35</f>
        <v>16.22</v>
      </c>
      <c r="S33" s="67" t="e">
        <v>#REF!</v>
      </c>
      <c r="T33" s="66">
        <f>BASE_YR_SUPPLY_CURVE!N35</f>
        <v>0.68</v>
      </c>
      <c r="U33" s="66">
        <f>BASE_YR_SUPPLY_CURVE!P35</f>
        <v>7.55</v>
      </c>
      <c r="V33" s="67" t="e">
        <f t="shared" si="4"/>
        <v>#REF!</v>
      </c>
      <c r="W33" s="67" t="e">
        <f t="shared" si="5"/>
        <v>#REF!</v>
      </c>
      <c r="X33" s="68" t="e">
        <f>#REF!</f>
        <v>#REF!</v>
      </c>
      <c r="Y33" s="68" t="e">
        <f>X33*R33*'Conversion Factors'!$B$4*10^6</f>
        <v>#REF!</v>
      </c>
      <c r="Z33" s="66">
        <f>BASE_YR_SUPPLY_CURVE!L35</f>
        <v>2.4428080244440187</v>
      </c>
      <c r="AA33" s="66">
        <f>BASE_YR_SUPPLY_CURVE!O35</f>
        <v>214.3</v>
      </c>
    </row>
    <row r="34" spans="1:27" x14ac:dyDescent="0.2">
      <c r="A34" s="60" t="str">
        <f t="shared" si="0"/>
        <v>MIN.COAL.31.SW.SLS</v>
      </c>
      <c r="B34" s="61" t="str">
        <f t="shared" si="1"/>
        <v>104</v>
      </c>
      <c r="C34" s="62">
        <f>BASE_YR_SUPPLY_CURVE!B36</f>
        <v>31</v>
      </c>
      <c r="D34" s="62">
        <f>BASE_YR_SUPPLY_CURVE!C36</f>
        <v>10</v>
      </c>
      <c r="E34" s="62" t="str">
        <f>BASE_YR_SUPPLY_CURVE!D36</f>
        <v>SW</v>
      </c>
      <c r="F34" s="62">
        <f>BASE_YR_SUPPLY_CURVE!G36</f>
        <v>4</v>
      </c>
      <c r="G34" s="63">
        <v>7</v>
      </c>
      <c r="H34" s="63">
        <v>1</v>
      </c>
      <c r="I34" s="62" t="str">
        <f>BASE_YR_SUPPLY_CURVE!K36</f>
        <v>Low</v>
      </c>
      <c r="J34" s="64" t="str">
        <f t="array" ref="J34">IF(I34="Low","L",IF(I34="Medium","M",IF(I34="High","H","")))</f>
        <v>L</v>
      </c>
      <c r="K34" s="62" t="str">
        <f>BASE_YR_SUPPLY_CURVE!I36</f>
        <v>Surface</v>
      </c>
      <c r="L34" s="64" t="str">
        <f t="shared" si="6"/>
        <v>S</v>
      </c>
      <c r="M34" s="62" t="str">
        <f>BASE_YR_SUPPLY_CURVE!J36</f>
        <v>Subbituminous</v>
      </c>
      <c r="N34" s="64" t="str">
        <f t="shared" si="7"/>
        <v>S</v>
      </c>
      <c r="O34" s="62" t="str">
        <f>BASE_YR_SUPPLY_CURVE!H36</f>
        <v>CSS</v>
      </c>
      <c r="P34" s="65" t="str">
        <f t="shared" si="2"/>
        <v>SL</v>
      </c>
      <c r="Q34" s="65" t="str">
        <f t="shared" si="3"/>
        <v>CSWSLS</v>
      </c>
      <c r="R34" s="66">
        <f>BASE_YR_SUPPLY_CURVE!M36</f>
        <v>17.63</v>
      </c>
      <c r="S34" s="67" t="e">
        <v>#REF!</v>
      </c>
      <c r="T34" s="66">
        <f>BASE_YR_SUPPLY_CURVE!N36</f>
        <v>0.28000000000000003</v>
      </c>
      <c r="U34" s="66">
        <f>BASE_YR_SUPPLY_CURVE!P36</f>
        <v>5.22</v>
      </c>
      <c r="V34" s="67" t="e">
        <f t="shared" si="4"/>
        <v>#REF!</v>
      </c>
      <c r="W34" s="67" t="e">
        <f t="shared" si="5"/>
        <v>#REF!</v>
      </c>
      <c r="X34" s="68" t="e">
        <f>#REF!</f>
        <v>#REF!</v>
      </c>
      <c r="Y34" s="68" t="e">
        <f>X34*R34*'Conversion Factors'!$B$4*10^6</f>
        <v>#REF!</v>
      </c>
      <c r="Z34" s="66">
        <f>BASE_YR_SUPPLY_CURVE!L36</f>
        <v>235.038421</v>
      </c>
      <c r="AA34" s="66">
        <f>BASE_YR_SUPPLY_CURVE!O36</f>
        <v>214.3</v>
      </c>
    </row>
    <row r="35" spans="1:27" x14ac:dyDescent="0.2">
      <c r="A35" s="60" t="str">
        <f t="shared" si="0"/>
        <v>MIN.COAL.32.WW.SLU</v>
      </c>
      <c r="B35" s="61" t="str">
        <f t="shared" si="1"/>
        <v>111</v>
      </c>
      <c r="C35" s="62">
        <f>BASE_YR_SUPPLY_CURVE!B37</f>
        <v>32</v>
      </c>
      <c r="D35" s="62">
        <f>BASE_YR_SUPPLY_CURVE!C37</f>
        <v>11</v>
      </c>
      <c r="E35" s="62" t="str">
        <f>BASE_YR_SUPPLY_CURVE!D37</f>
        <v>WW</v>
      </c>
      <c r="F35" s="62">
        <f>BASE_YR_SUPPLY_CURVE!G37</f>
        <v>1</v>
      </c>
      <c r="G35" s="63">
        <v>1</v>
      </c>
      <c r="H35" s="63">
        <v>1</v>
      </c>
      <c r="I35" s="62" t="str">
        <f>BASE_YR_SUPPLY_CURVE!K37</f>
        <v>Low</v>
      </c>
      <c r="J35" s="64" t="str">
        <f t="array" ref="J35">IF(I35="Low","L",IF(I35="Medium","M",IF(I35="High","H","")))</f>
        <v>L</v>
      </c>
      <c r="K35" s="62" t="str">
        <f>BASE_YR_SUPPLY_CURVE!I37</f>
        <v>Deep</v>
      </c>
      <c r="L35" s="64" t="str">
        <f t="shared" si="6"/>
        <v>U</v>
      </c>
      <c r="M35" s="62" t="str">
        <f>BASE_YR_SUPPLY_CURVE!J37</f>
        <v>Subbituminous</v>
      </c>
      <c r="N35" s="64" t="str">
        <f t="shared" si="7"/>
        <v>S</v>
      </c>
      <c r="O35" s="62" t="str">
        <f>BASE_YR_SUPPLY_CURVE!H37</f>
        <v>CDS</v>
      </c>
      <c r="P35" s="65" t="str">
        <f t="shared" si="2"/>
        <v>SL</v>
      </c>
      <c r="Q35" s="65" t="str">
        <f t="shared" si="3"/>
        <v>CWWSLU</v>
      </c>
      <c r="R35" s="66">
        <f>BASE_YR_SUPPLY_CURVE!M37</f>
        <v>18.87</v>
      </c>
      <c r="S35" s="67" t="e">
        <v>#REF!</v>
      </c>
      <c r="T35" s="66">
        <f>BASE_YR_SUPPLY_CURVE!N37</f>
        <v>0.63</v>
      </c>
      <c r="U35" s="66">
        <f>BASE_YR_SUPPLY_CURVE!P37</f>
        <v>2.19</v>
      </c>
      <c r="V35" s="67" t="e">
        <f t="shared" si="4"/>
        <v>#REF!</v>
      </c>
      <c r="W35" s="67" t="e">
        <f t="shared" si="5"/>
        <v>#REF!</v>
      </c>
      <c r="X35" s="68" t="e">
        <f>#REF!</f>
        <v>#REF!</v>
      </c>
      <c r="Y35" s="68" t="e">
        <f>X35*R35*'Conversion Factors'!$B$4*10^6</f>
        <v>#REF!</v>
      </c>
      <c r="Z35" s="66">
        <f>BASE_YR_SUPPLY_CURVE!L37</f>
        <v>4.6365569999999998</v>
      </c>
      <c r="AA35" s="66">
        <f>BASE_YR_SUPPLY_CURVE!O37</f>
        <v>214.3</v>
      </c>
    </row>
    <row r="36" spans="1:27" x14ac:dyDescent="0.2">
      <c r="A36" s="60" t="str">
        <f t="shared" si="0"/>
        <v>MIN.COAL.33.WW.SLS</v>
      </c>
      <c r="B36" s="61" t="str">
        <f t="shared" si="1"/>
        <v>114</v>
      </c>
      <c r="C36" s="62">
        <f>BASE_YR_SUPPLY_CURVE!B38</f>
        <v>33</v>
      </c>
      <c r="D36" s="62">
        <f>BASE_YR_SUPPLY_CURVE!C38</f>
        <v>11</v>
      </c>
      <c r="E36" s="62" t="str">
        <f>BASE_YR_SUPPLY_CURVE!D38</f>
        <v>WW</v>
      </c>
      <c r="F36" s="62">
        <f>BASE_YR_SUPPLY_CURVE!G38</f>
        <v>4</v>
      </c>
      <c r="G36" s="63">
        <v>7</v>
      </c>
      <c r="H36" s="63">
        <v>1</v>
      </c>
      <c r="I36" s="62" t="str">
        <f>BASE_YR_SUPPLY_CURVE!K38</f>
        <v>Low</v>
      </c>
      <c r="J36" s="64" t="str">
        <f t="array" ref="J36">IF(I36="Low","L",IF(I36="Medium","M",IF(I36="High","H","")))</f>
        <v>L</v>
      </c>
      <c r="K36" s="62" t="str">
        <f>BASE_YR_SUPPLY_CURVE!I38</f>
        <v>Surface</v>
      </c>
      <c r="L36" s="64" t="str">
        <f t="shared" si="6"/>
        <v>S</v>
      </c>
      <c r="M36" s="62" t="str">
        <f>BASE_YR_SUPPLY_CURVE!J38</f>
        <v>Subbituminous</v>
      </c>
      <c r="N36" s="64" t="str">
        <f t="shared" si="7"/>
        <v>S</v>
      </c>
      <c r="O36" s="62" t="str">
        <f>BASE_YR_SUPPLY_CURVE!H38</f>
        <v>CSS</v>
      </c>
      <c r="P36" s="65" t="str">
        <f t="shared" si="2"/>
        <v>SL</v>
      </c>
      <c r="Q36" s="65" t="str">
        <f t="shared" si="3"/>
        <v>CWWSLS</v>
      </c>
      <c r="R36" s="66">
        <f>BASE_YR_SUPPLY_CURVE!M38</f>
        <v>19.02</v>
      </c>
      <c r="S36" s="67" t="e">
        <v>#REF!</v>
      </c>
      <c r="T36" s="66">
        <f>BASE_YR_SUPPLY_CURVE!N38</f>
        <v>0.49</v>
      </c>
      <c r="U36" s="66">
        <f>BASE_YR_SUPPLY_CURVE!P38</f>
        <v>4.0599999999999996</v>
      </c>
      <c r="V36" s="67" t="e">
        <f t="shared" si="4"/>
        <v>#REF!</v>
      </c>
      <c r="W36" s="67" t="e">
        <f t="shared" si="5"/>
        <v>#REF!</v>
      </c>
      <c r="X36" s="68" t="e">
        <f>#REF!</f>
        <v>#REF!</v>
      </c>
      <c r="Y36" s="68" t="e">
        <f>X36*R36*'Conversion Factors'!$B$4*10^6</f>
        <v>#REF!</v>
      </c>
      <c r="Z36" s="66">
        <f>BASE_YR_SUPPLY_CURVE!L38</f>
        <v>3.4815663334764788</v>
      </c>
      <c r="AA36" s="66">
        <f>BASE_YR_SUPPLY_CURVE!O38</f>
        <v>214.3</v>
      </c>
    </row>
    <row r="37" spans="1:27" x14ac:dyDescent="0.2">
      <c r="A37" s="60" t="str">
        <f t="shared" si="0"/>
        <v>MIN.COAL.34.WW.SMS</v>
      </c>
      <c r="B37" s="61" t="str">
        <f t="shared" si="1"/>
        <v>115</v>
      </c>
      <c r="C37" s="62">
        <f>BASE_YR_SUPPLY_CURVE!B39</f>
        <v>34</v>
      </c>
      <c r="D37" s="62">
        <f>BASE_YR_SUPPLY_CURVE!C39</f>
        <v>11</v>
      </c>
      <c r="E37" s="62" t="str">
        <f>BASE_YR_SUPPLY_CURVE!D39</f>
        <v>WW</v>
      </c>
      <c r="F37" s="62">
        <f>BASE_YR_SUPPLY_CURVE!G39</f>
        <v>5</v>
      </c>
      <c r="G37" s="63">
        <v>8</v>
      </c>
      <c r="H37" s="63">
        <v>2</v>
      </c>
      <c r="I37" s="62" t="str">
        <f>BASE_YR_SUPPLY_CURVE!K39</f>
        <v>Medium</v>
      </c>
      <c r="J37" s="64" t="str">
        <f t="array" ref="J37">IF(I37="Low","L",IF(I37="Medium","M",IF(I37="High","H","")))</f>
        <v>M</v>
      </c>
      <c r="K37" s="62" t="str">
        <f>BASE_YR_SUPPLY_CURVE!I39</f>
        <v>Surface</v>
      </c>
      <c r="L37" s="64" t="str">
        <f t="shared" si="6"/>
        <v>S</v>
      </c>
      <c r="M37" s="62" t="str">
        <f>BASE_YR_SUPPLY_CURVE!J39</f>
        <v>Subbituminous</v>
      </c>
      <c r="N37" s="64" t="str">
        <f t="shared" si="7"/>
        <v>S</v>
      </c>
      <c r="O37" s="62" t="str">
        <f>BASE_YR_SUPPLY_CURVE!H39</f>
        <v>MSS</v>
      </c>
      <c r="P37" s="65" t="str">
        <f t="shared" si="2"/>
        <v>SM</v>
      </c>
      <c r="Q37" s="65" t="str">
        <f t="shared" si="3"/>
        <v>CWWSMS</v>
      </c>
      <c r="R37" s="66">
        <f>BASE_YR_SUPPLY_CURVE!M39</f>
        <v>19.54</v>
      </c>
      <c r="S37" s="67" t="e">
        <v>#REF!</v>
      </c>
      <c r="T37" s="66">
        <f>BASE_YR_SUPPLY_CURVE!N39</f>
        <v>0.79</v>
      </c>
      <c r="U37" s="66">
        <f>BASE_YR_SUPPLY_CURVE!P39</f>
        <v>4.3499999999999996</v>
      </c>
      <c r="V37" s="67" t="e">
        <f t="shared" si="4"/>
        <v>#REF!</v>
      </c>
      <c r="W37" s="67" t="e">
        <f t="shared" si="5"/>
        <v>#REF!</v>
      </c>
      <c r="X37" s="68" t="e">
        <f>#REF!</f>
        <v>#REF!</v>
      </c>
      <c r="Y37" s="68" t="e">
        <f>X37*R37*'Conversion Factors'!$B$4*10^6</f>
        <v>#REF!</v>
      </c>
      <c r="Z37" s="66">
        <f>BASE_YR_SUPPLY_CURVE!L39</f>
        <v>4.9473666665235214</v>
      </c>
      <c r="AA37" s="66">
        <f>BASE_YR_SUPPLY_CURVE!O39</f>
        <v>214.3</v>
      </c>
    </row>
    <row r="38" spans="1:27" x14ac:dyDescent="0.2">
      <c r="A38" s="60" t="str">
        <f t="shared" si="0"/>
        <v>MIN.COAL.35.RM.BLU</v>
      </c>
      <c r="B38" s="61" t="str">
        <f t="shared" si="1"/>
        <v>121</v>
      </c>
      <c r="C38" s="62">
        <f>BASE_YR_SUPPLY_CURVE!B40</f>
        <v>35</v>
      </c>
      <c r="D38" s="62">
        <f>BASE_YR_SUPPLY_CURVE!C40</f>
        <v>12</v>
      </c>
      <c r="E38" s="62" t="str">
        <f>BASE_YR_SUPPLY_CURVE!D40</f>
        <v>RM</v>
      </c>
      <c r="F38" s="62">
        <f>BASE_YR_SUPPLY_CURVE!G40</f>
        <v>1</v>
      </c>
      <c r="G38" s="63">
        <v>1</v>
      </c>
      <c r="H38" s="63">
        <v>1</v>
      </c>
      <c r="I38" s="62" t="str">
        <f>BASE_YR_SUPPLY_CURVE!K40</f>
        <v>Low</v>
      </c>
      <c r="J38" s="64" t="str">
        <f t="array" ref="J38">IF(I38="Low","L",IF(I38="Medium","M",IF(I38="High","H","")))</f>
        <v>L</v>
      </c>
      <c r="K38" s="62" t="str">
        <f>BASE_YR_SUPPLY_CURVE!I40</f>
        <v>Deep</v>
      </c>
      <c r="L38" s="64" t="str">
        <f t="shared" si="6"/>
        <v>U</v>
      </c>
      <c r="M38" s="62" t="str">
        <f>BASE_YR_SUPPLY_CURVE!J40</f>
        <v>Bituminous</v>
      </c>
      <c r="N38" s="64" t="str">
        <f t="shared" si="7"/>
        <v>B</v>
      </c>
      <c r="O38" s="62" t="str">
        <f>BASE_YR_SUPPLY_CURVE!H40</f>
        <v>CDB</v>
      </c>
      <c r="P38" s="65" t="str">
        <f t="shared" si="2"/>
        <v>BL</v>
      </c>
      <c r="Q38" s="65" t="str">
        <f t="shared" si="3"/>
        <v>CRMBLU</v>
      </c>
      <c r="R38" s="66">
        <f>BASE_YR_SUPPLY_CURVE!M40</f>
        <v>22.74</v>
      </c>
      <c r="S38" s="67" t="e">
        <v>#REF!</v>
      </c>
      <c r="T38" s="66">
        <f>BASE_YR_SUPPLY_CURVE!N40</f>
        <v>0.51</v>
      </c>
      <c r="U38" s="66">
        <f>BASE_YR_SUPPLY_CURVE!P40</f>
        <v>3.82</v>
      </c>
      <c r="V38" s="67" t="e">
        <f t="shared" si="4"/>
        <v>#REF!</v>
      </c>
      <c r="W38" s="67" t="e">
        <f t="shared" si="5"/>
        <v>#REF!</v>
      </c>
      <c r="X38" s="68" t="e">
        <f>#REF!</f>
        <v>#REF!</v>
      </c>
      <c r="Y38" s="68" t="e">
        <f>X38*R38*'Conversion Factors'!$B$4*10^6</f>
        <v>#REF!</v>
      </c>
      <c r="Z38" s="66">
        <f>BASE_YR_SUPPLY_CURVE!L40</f>
        <v>40.040606000000004</v>
      </c>
      <c r="AA38" s="66">
        <f>BASE_YR_SUPPLY_CURVE!O40</f>
        <v>209.6</v>
      </c>
    </row>
    <row r="39" spans="1:27" x14ac:dyDescent="0.2">
      <c r="A39" s="60" t="str">
        <f t="shared" si="0"/>
        <v>MIN.COAL.37.RM.SLS</v>
      </c>
      <c r="B39" s="61" t="str">
        <f t="shared" si="1"/>
        <v>124</v>
      </c>
      <c r="C39" s="62">
        <f>BASE_YR_SUPPLY_CURVE!B41</f>
        <v>37</v>
      </c>
      <c r="D39" s="62">
        <f>BASE_YR_SUPPLY_CURVE!C41</f>
        <v>12</v>
      </c>
      <c r="E39" s="62" t="str">
        <f>BASE_YR_SUPPLY_CURVE!D41</f>
        <v>RM</v>
      </c>
      <c r="F39" s="62">
        <f>BASE_YR_SUPPLY_CURVE!G41</f>
        <v>4</v>
      </c>
      <c r="G39" s="63">
        <v>13</v>
      </c>
      <c r="H39" s="63">
        <v>2</v>
      </c>
      <c r="I39" s="62" t="str">
        <f>BASE_YR_SUPPLY_CURVE!K41</f>
        <v>Low</v>
      </c>
      <c r="J39" s="64" t="str">
        <f t="array" ref="J39">IF(I39="Low","L",IF(I39="Medium","M",IF(I39="High","H","")))</f>
        <v>L</v>
      </c>
      <c r="K39" s="62" t="str">
        <f>BASE_YR_SUPPLY_CURVE!I41</f>
        <v>Surface</v>
      </c>
      <c r="L39" s="64" t="str">
        <f t="shared" si="6"/>
        <v>S</v>
      </c>
      <c r="M39" s="62" t="str">
        <f>BASE_YR_SUPPLY_CURVE!J41</f>
        <v>Subbituminous</v>
      </c>
      <c r="N39" s="64" t="str">
        <f t="shared" si="7"/>
        <v>S</v>
      </c>
      <c r="O39" s="62" t="str">
        <f>BASE_YR_SUPPLY_CURVE!H41</f>
        <v>CSS</v>
      </c>
      <c r="P39" s="65" t="str">
        <f t="shared" si="2"/>
        <v>SL</v>
      </c>
      <c r="Q39" s="65" t="str">
        <f t="shared" si="3"/>
        <v>CRMSLS</v>
      </c>
      <c r="R39" s="66">
        <f>BASE_YR_SUPPLY_CURVE!M41</f>
        <v>19.93</v>
      </c>
      <c r="S39" s="67" t="e">
        <v>#REF!</v>
      </c>
      <c r="T39" s="66">
        <f>BASE_YR_SUPPLY_CURVE!N41</f>
        <v>0.51</v>
      </c>
      <c r="U39" s="66">
        <f>BASE_YR_SUPPLY_CURVE!P41</f>
        <v>2.04</v>
      </c>
      <c r="V39" s="67" t="e">
        <f t="shared" si="4"/>
        <v>#REF!</v>
      </c>
      <c r="W39" s="67" t="e">
        <f t="shared" si="5"/>
        <v>#REF!</v>
      </c>
      <c r="X39" s="68" t="e">
        <f>#REF!</f>
        <v>#REF!</v>
      </c>
      <c r="Y39" s="68" t="e">
        <f>X39*R39*'Conversion Factors'!$B$4*10^6</f>
        <v>#REF!</v>
      </c>
      <c r="Z39" s="66">
        <f>BASE_YR_SUPPLY_CURVE!L41</f>
        <v>5.4901350000000004</v>
      </c>
      <c r="AA39" s="66">
        <f>BASE_YR_SUPPLY_CURVE!O41</f>
        <v>212.8</v>
      </c>
    </row>
    <row r="40" spans="1:27" x14ac:dyDescent="0.2">
      <c r="A40" s="60" t="str">
        <f t="shared" si="0"/>
        <v>MIN.COAL.36.RM.PLU</v>
      </c>
      <c r="B40" s="61" t="str">
        <f t="shared" si="1"/>
        <v>127</v>
      </c>
      <c r="C40" s="62">
        <f>BASE_YR_SUPPLY_CURVE!B42</f>
        <v>36</v>
      </c>
      <c r="D40" s="62">
        <f>BASE_YR_SUPPLY_CURVE!C42</f>
        <v>12</v>
      </c>
      <c r="E40" s="62" t="str">
        <f>BASE_YR_SUPPLY_CURVE!D42</f>
        <v>RM</v>
      </c>
      <c r="F40" s="62">
        <f>BASE_YR_SUPPLY_CURVE!G42</f>
        <v>7</v>
      </c>
      <c r="G40" s="63">
        <v>7</v>
      </c>
      <c r="H40" s="63">
        <v>1</v>
      </c>
      <c r="I40" s="62" t="str">
        <f>BASE_YR_SUPPLY_CURVE!K42</f>
        <v>Low</v>
      </c>
      <c r="J40" s="64" t="str">
        <f t="array" ref="J40">IF(I40="Low","L",IF(I40="Medium","M",IF(I40="High","H","")))</f>
        <v>L</v>
      </c>
      <c r="K40" s="62" t="str">
        <f>BASE_YR_SUPPLY_CURVE!I42</f>
        <v>Underground</v>
      </c>
      <c r="L40" s="64" t="str">
        <f t="shared" si="6"/>
        <v>U</v>
      </c>
      <c r="M40" s="62" t="str">
        <f>BASE_YR_SUPPLY_CURVE!J42</f>
        <v>Premium</v>
      </c>
      <c r="N40" s="64" t="str">
        <f t="shared" si="7"/>
        <v>P</v>
      </c>
      <c r="O40" s="62" t="str">
        <f>BASE_YR_SUPPLY_CURVE!H42</f>
        <v>CUP</v>
      </c>
      <c r="P40" s="65" t="str">
        <f t="shared" si="2"/>
        <v>PL</v>
      </c>
      <c r="Q40" s="65" t="str">
        <f t="shared" si="3"/>
        <v>CRMPLU</v>
      </c>
      <c r="R40" s="66">
        <f>BASE_YR_SUPPLY_CURVE!M42</f>
        <v>26.3</v>
      </c>
      <c r="S40" s="67" t="e">
        <v>#REF!</v>
      </c>
      <c r="T40" s="66">
        <f>BASE_YR_SUPPLY_CURVE!N42</f>
        <v>0.43</v>
      </c>
      <c r="U40" s="66">
        <f>BASE_YR_SUPPLY_CURVE!P42</f>
        <v>0</v>
      </c>
      <c r="V40" s="67" t="e">
        <f t="shared" si="4"/>
        <v>#REF!</v>
      </c>
      <c r="W40" s="67" t="e">
        <f t="shared" si="5"/>
        <v>#REF!</v>
      </c>
      <c r="X40" s="68" t="e">
        <f>#REF!</f>
        <v>#REF!</v>
      </c>
      <c r="Y40" s="68" t="e">
        <f>X40*R40*'Conversion Factors'!$B$4*10^6</f>
        <v>#REF!</v>
      </c>
      <c r="Z40" s="66">
        <f>BASE_YR_SUPPLY_CURVE!L42</f>
        <v>5.1271999999999998E-2</v>
      </c>
      <c r="AA40" s="66">
        <f>BASE_YR_SUPPLY_CURVE!O42</f>
        <v>209.6</v>
      </c>
    </row>
    <row r="41" spans="1:27" x14ac:dyDescent="0.2">
      <c r="A41" s="60" t="str">
        <f t="shared" si="0"/>
        <v>MIN.COAL.38.ZN.BMU</v>
      </c>
      <c r="B41" s="61" t="str">
        <f t="shared" si="1"/>
        <v>132</v>
      </c>
      <c r="C41" s="62">
        <f>BASE_YR_SUPPLY_CURVE!B43</f>
        <v>38</v>
      </c>
      <c r="D41" s="62">
        <f>BASE_YR_SUPPLY_CURVE!C43</f>
        <v>13</v>
      </c>
      <c r="E41" s="62" t="str">
        <f>BASE_YR_SUPPLY_CURVE!D43</f>
        <v>ZN</v>
      </c>
      <c r="F41" s="62">
        <f>BASE_YR_SUPPLY_CURVE!G43</f>
        <v>2</v>
      </c>
      <c r="G41" s="63">
        <v>2</v>
      </c>
      <c r="H41" s="63">
        <v>2</v>
      </c>
      <c r="I41" s="62" t="str">
        <f>BASE_YR_SUPPLY_CURVE!K43</f>
        <v>Medium</v>
      </c>
      <c r="J41" s="64" t="str">
        <f t="array" ref="J41">IF(I41="Low","L",IF(I41="Medium","M",IF(I41="High","H","")))</f>
        <v>M</v>
      </c>
      <c r="K41" s="62" t="str">
        <f>BASE_YR_SUPPLY_CURVE!I43</f>
        <v>Deep</v>
      </c>
      <c r="L41" s="64" t="str">
        <f t="shared" si="6"/>
        <v>U</v>
      </c>
      <c r="M41" s="62" t="str">
        <f>BASE_YR_SUPPLY_CURVE!J43</f>
        <v>Bituminous</v>
      </c>
      <c r="N41" s="64" t="str">
        <f t="shared" si="7"/>
        <v>B</v>
      </c>
      <c r="O41" s="62" t="str">
        <f>BASE_YR_SUPPLY_CURVE!H43</f>
        <v>MDB</v>
      </c>
      <c r="P41" s="65" t="str">
        <f t="shared" si="2"/>
        <v>BM</v>
      </c>
      <c r="Q41" s="65" t="str">
        <f t="shared" si="3"/>
        <v>CZNBMU</v>
      </c>
      <c r="R41" s="66">
        <f>BASE_YR_SUPPLY_CURVE!M43</f>
        <v>19.07</v>
      </c>
      <c r="S41" s="67" t="e">
        <v>#REF!</v>
      </c>
      <c r="T41" s="66">
        <f>BASE_YR_SUPPLY_CURVE!N43</f>
        <v>0.79</v>
      </c>
      <c r="U41" s="66">
        <f>BASE_YR_SUPPLY_CURVE!P43</f>
        <v>7.18</v>
      </c>
      <c r="V41" s="67" t="e">
        <f t="shared" si="4"/>
        <v>#REF!</v>
      </c>
      <c r="W41" s="67" t="e">
        <f t="shared" si="5"/>
        <v>#REF!</v>
      </c>
      <c r="X41" s="68" t="e">
        <f>#REF!</f>
        <v>#REF!</v>
      </c>
      <c r="Y41" s="68" t="e">
        <f>X41*R41*'Conversion Factors'!$B$4*10^6</f>
        <v>#REF!</v>
      </c>
      <c r="Z41" s="66">
        <f>BASE_YR_SUPPLY_CURVE!L43</f>
        <v>4.960375</v>
      </c>
      <c r="AA41" s="66">
        <f>BASE_YR_SUPPLY_CURVE!O43</f>
        <v>207.1</v>
      </c>
    </row>
    <row r="42" spans="1:27" x14ac:dyDescent="0.2">
      <c r="A42" s="60" t="str">
        <f t="shared" si="0"/>
        <v>MIN.COAL.39.ZN.BLS</v>
      </c>
      <c r="B42" s="61" t="str">
        <f t="shared" si="1"/>
        <v>134</v>
      </c>
      <c r="C42" s="62">
        <f>BASE_YR_SUPPLY_CURVE!B44</f>
        <v>39</v>
      </c>
      <c r="D42" s="62">
        <f>BASE_YR_SUPPLY_CURVE!C44</f>
        <v>13</v>
      </c>
      <c r="E42" s="62" t="str">
        <f>BASE_YR_SUPPLY_CURVE!D44</f>
        <v>ZN</v>
      </c>
      <c r="F42" s="62">
        <f>BASE_YR_SUPPLY_CURVE!G44</f>
        <v>4</v>
      </c>
      <c r="G42" s="63">
        <v>7</v>
      </c>
      <c r="H42" s="63">
        <v>1</v>
      </c>
      <c r="I42" s="62" t="str">
        <f>BASE_YR_SUPPLY_CURVE!K44</f>
        <v>Low</v>
      </c>
      <c r="J42" s="64" t="str">
        <f t="array" ref="J42">IF(I42="Low","L",IF(I42="Medium","M",IF(I42="High","H","")))</f>
        <v>L</v>
      </c>
      <c r="K42" s="62" t="str">
        <f>BASE_YR_SUPPLY_CURVE!I44</f>
        <v>Surface</v>
      </c>
      <c r="L42" s="64" t="str">
        <f t="shared" si="6"/>
        <v>S</v>
      </c>
      <c r="M42" s="62" t="str">
        <f>BASE_YR_SUPPLY_CURVE!J44</f>
        <v>Bituminous</v>
      </c>
      <c r="N42" s="64" t="str">
        <f t="shared" si="7"/>
        <v>B</v>
      </c>
      <c r="O42" s="62" t="str">
        <f>BASE_YR_SUPPLY_CURVE!H44</f>
        <v>CSB</v>
      </c>
      <c r="P42" s="65" t="str">
        <f t="shared" si="2"/>
        <v>BL</v>
      </c>
      <c r="Q42" s="65" t="str">
        <f t="shared" si="3"/>
        <v>CZNBLS</v>
      </c>
      <c r="R42" s="66">
        <f>BASE_YR_SUPPLY_CURVE!M44</f>
        <v>21.54</v>
      </c>
      <c r="S42" s="67" t="e">
        <v>#REF!</v>
      </c>
      <c r="T42" s="66">
        <f>BASE_YR_SUPPLY_CURVE!N44</f>
        <v>0.56000000000000005</v>
      </c>
      <c r="U42" s="66">
        <f>BASE_YR_SUPPLY_CURVE!P44</f>
        <v>4.66</v>
      </c>
      <c r="V42" s="67" t="e">
        <f t="shared" si="4"/>
        <v>#REF!</v>
      </c>
      <c r="W42" s="67" t="e">
        <f t="shared" si="5"/>
        <v>#REF!</v>
      </c>
      <c r="X42" s="68" t="e">
        <f>#REF!</f>
        <v>#REF!</v>
      </c>
      <c r="Y42" s="68" t="e">
        <f>X42*R42*'Conversion Factors'!$B$4*10^6</f>
        <v>#REF!</v>
      </c>
      <c r="Z42" s="66">
        <f>BASE_YR_SUPPLY_CURVE!L44</f>
        <v>7.5628197366512522</v>
      </c>
      <c r="AA42" s="66">
        <f>BASE_YR_SUPPLY_CURVE!O44</f>
        <v>207.1</v>
      </c>
    </row>
    <row r="43" spans="1:27" x14ac:dyDescent="0.2">
      <c r="A43" s="60" t="str">
        <f t="shared" si="0"/>
        <v>MIN.COAL.40.ZN.SMS</v>
      </c>
      <c r="B43" s="61" t="str">
        <f t="shared" si="1"/>
        <v>135</v>
      </c>
      <c r="C43" s="62">
        <f>BASE_YR_SUPPLY_CURVE!B45</f>
        <v>40</v>
      </c>
      <c r="D43" s="62">
        <f>BASE_YR_SUPPLY_CURVE!C45</f>
        <v>13</v>
      </c>
      <c r="E43" s="62" t="str">
        <f>BASE_YR_SUPPLY_CURVE!D45</f>
        <v>ZN</v>
      </c>
      <c r="F43" s="62">
        <f>BASE_YR_SUPPLY_CURVE!G45</f>
        <v>5</v>
      </c>
      <c r="G43" s="63">
        <v>8</v>
      </c>
      <c r="H43" s="63">
        <v>2</v>
      </c>
      <c r="I43" s="62" t="str">
        <f>BASE_YR_SUPPLY_CURVE!K45</f>
        <v>Medium</v>
      </c>
      <c r="J43" s="64" t="str">
        <f t="array" ref="J43">IF(I43="Low","L",IF(I43="Medium","M",IF(I43="High","H","")))</f>
        <v>M</v>
      </c>
      <c r="K43" s="62" t="str">
        <f>BASE_YR_SUPPLY_CURVE!I45</f>
        <v>Surface</v>
      </c>
      <c r="L43" s="64" t="str">
        <f t="shared" si="6"/>
        <v>S</v>
      </c>
      <c r="M43" s="62" t="str">
        <f>BASE_YR_SUPPLY_CURVE!J45</f>
        <v>Subbituminous</v>
      </c>
      <c r="N43" s="64" t="str">
        <f t="shared" si="7"/>
        <v>S</v>
      </c>
      <c r="O43" s="62" t="str">
        <f>BASE_YR_SUPPLY_CURVE!H45</f>
        <v>MSS</v>
      </c>
      <c r="P43" s="65" t="str">
        <f t="shared" si="2"/>
        <v>SM</v>
      </c>
      <c r="Q43" s="65" t="str">
        <f t="shared" si="3"/>
        <v>CZNSMS</v>
      </c>
      <c r="R43" s="66">
        <f>BASE_YR_SUPPLY_CURVE!M45</f>
        <v>17.98</v>
      </c>
      <c r="S43" s="67" t="e">
        <v>#REF!</v>
      </c>
      <c r="T43" s="66">
        <f>BASE_YR_SUPPLY_CURVE!N45</f>
        <v>0.91</v>
      </c>
      <c r="U43" s="66">
        <f>BASE_YR_SUPPLY_CURVE!P45</f>
        <v>7.18</v>
      </c>
      <c r="V43" s="67" t="e">
        <f t="shared" si="4"/>
        <v>#REF!</v>
      </c>
      <c r="W43" s="67" t="e">
        <f t="shared" si="5"/>
        <v>#REF!</v>
      </c>
      <c r="X43" s="68" t="e">
        <f>#REF!</f>
        <v>#REF!</v>
      </c>
      <c r="Y43" s="68" t="e">
        <f>X43*R43*'Conversion Factors'!$B$4*10^6</f>
        <v>#REF!</v>
      </c>
      <c r="Z43" s="66">
        <f>BASE_YR_SUPPLY_CURVE!L45</f>
        <v>17.422356263348746</v>
      </c>
      <c r="AA43" s="66">
        <f>BASE_YR_SUPPLY_CURVE!O45</f>
        <v>209.2</v>
      </c>
    </row>
    <row r="44" spans="1:27" x14ac:dyDescent="0.2">
      <c r="A44" s="60" t="str">
        <f t="shared" si="0"/>
        <v>MIN.COAL.41.PC.SLS</v>
      </c>
      <c r="B44" s="61" t="str">
        <f t="shared" ref="B44" si="10">CONCATENATE(D44,F44)</f>
        <v>144</v>
      </c>
      <c r="C44" s="62">
        <f>BASE_YR_SUPPLY_CURVE!B46</f>
        <v>41</v>
      </c>
      <c r="D44" s="62">
        <f>BASE_YR_SUPPLY_CURVE!C46</f>
        <v>14</v>
      </c>
      <c r="E44" s="62" t="str">
        <f>BASE_YR_SUPPLY_CURVE!D46</f>
        <v>PC</v>
      </c>
      <c r="F44" s="62">
        <f>BASE_YR_SUPPLY_CURVE!G46</f>
        <v>4</v>
      </c>
      <c r="G44" s="63">
        <v>7</v>
      </c>
      <c r="H44" s="63">
        <v>1</v>
      </c>
      <c r="I44" s="62" t="str">
        <f>BASE_YR_SUPPLY_CURVE!K46</f>
        <v>Low</v>
      </c>
      <c r="J44" s="64" t="str">
        <f t="array" ref="J44">IF(I44="Low","L",IF(I44="Medium","M",IF(I44="High","H","")))</f>
        <v>L</v>
      </c>
      <c r="K44" s="62" t="str">
        <f>BASE_YR_SUPPLY_CURVE!I46</f>
        <v>Surface</v>
      </c>
      <c r="L44" s="64" t="str">
        <f t="shared" si="6"/>
        <v>S</v>
      </c>
      <c r="M44" s="62" t="str">
        <f>BASE_YR_SUPPLY_CURVE!J46</f>
        <v>Subbituminous</v>
      </c>
      <c r="N44" s="64" t="str">
        <f t="shared" si="7"/>
        <v>S</v>
      </c>
      <c r="O44" s="62" t="str">
        <f>BASE_YR_SUPPLY_CURVE!H46</f>
        <v>CSS</v>
      </c>
      <c r="P44" s="65" t="str">
        <f t="shared" si="2"/>
        <v>SL</v>
      </c>
      <c r="Q44" s="65" t="str">
        <f t="shared" si="3"/>
        <v>CPCSLS</v>
      </c>
      <c r="R44" s="66">
        <f>BASE_YR_SUPPLY_CURVE!M46</f>
        <v>16.02</v>
      </c>
      <c r="S44" s="67" t="e">
        <f t="array" ref="S44">TRANSPOSE(#REF!)</f>
        <v>#REF!</v>
      </c>
      <c r="T44" s="66">
        <f>BASE_YR_SUPPLY_CURVE!N46</f>
        <v>0.28999999999999998</v>
      </c>
      <c r="U44" s="66">
        <f>BASE_YR_SUPPLY_CURVE!P46</f>
        <v>6.99</v>
      </c>
      <c r="V44" s="67" t="e">
        <f t="shared" ref="V44" si="11">S44*T44</f>
        <v>#REF!</v>
      </c>
      <c r="W44" s="67" t="e">
        <f t="shared" ref="W44" si="12">S44*U44</f>
        <v>#REF!</v>
      </c>
      <c r="X44" s="68" t="e">
        <f>#REF!</f>
        <v>#REF!</v>
      </c>
      <c r="Y44" s="68" t="e">
        <f>X44*R44*'Conversion Factors'!$B$4*10^6</f>
        <v>#REF!</v>
      </c>
      <c r="Z44" s="66">
        <f>BASE_YR_SUPPLY_CURVE!L46</f>
        <v>2.0520860000000001</v>
      </c>
      <c r="AA44" s="66">
        <f>BASE_YR_SUPPLY_CURVE!O46</f>
        <v>216.1</v>
      </c>
    </row>
    <row r="45" spans="1:27" x14ac:dyDescent="0.2">
      <c r="A45" s="60"/>
      <c r="B45" s="61"/>
      <c r="C45" s="62"/>
      <c r="D45" s="62"/>
      <c r="E45" s="62"/>
      <c r="F45" s="62"/>
      <c r="G45" s="63"/>
      <c r="H45" s="63"/>
      <c r="I45" s="62"/>
      <c r="J45" s="62"/>
      <c r="K45" s="62"/>
      <c r="L45" s="62"/>
      <c r="M45" s="62"/>
      <c r="N45" s="62"/>
      <c r="O45" s="62"/>
      <c r="P45" s="65"/>
      <c r="Q45" s="65"/>
      <c r="R45" s="66"/>
      <c r="S45" s="67"/>
      <c r="T45" s="66"/>
      <c r="U45" s="66"/>
      <c r="V45" s="67"/>
      <c r="W45" s="67"/>
      <c r="X45" s="68"/>
      <c r="Y45" s="68"/>
      <c r="Z45" s="66"/>
      <c r="AA45" s="66"/>
    </row>
    <row r="57" spans="1:26" s="51" customFormat="1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</row>
    <row r="58" spans="1:26" s="27" customFormat="1" x14ac:dyDescent="0.2">
      <c r="A58" s="56"/>
      <c r="B58" s="56"/>
      <c r="C58" s="57"/>
      <c r="D58" s="57"/>
      <c r="E58" s="57"/>
      <c r="F58" s="57"/>
      <c r="G58" s="58"/>
      <c r="H58" s="58"/>
      <c r="I58" s="57"/>
      <c r="J58" s="57"/>
      <c r="K58" s="57"/>
      <c r="L58" s="57"/>
      <c r="M58" s="57"/>
      <c r="N58" s="57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s="27" customFormat="1" x14ac:dyDescent="0.2">
      <c r="A59" s="56"/>
      <c r="B59" s="56"/>
      <c r="C59" s="57"/>
      <c r="D59" s="57"/>
      <c r="E59" s="57"/>
      <c r="F59" s="57"/>
      <c r="G59" s="58"/>
      <c r="H59" s="58"/>
      <c r="I59" s="57"/>
      <c r="J59" s="57"/>
      <c r="K59" s="57"/>
      <c r="L59" s="57"/>
      <c r="M59" s="57"/>
      <c r="N59" s="57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s="27" customFormat="1" x14ac:dyDescent="0.2">
      <c r="A60" s="56"/>
      <c r="B60" s="56"/>
      <c r="C60" s="57"/>
      <c r="D60" s="57"/>
      <c r="E60" s="57"/>
      <c r="F60" s="57"/>
      <c r="G60" s="58"/>
      <c r="H60" s="58"/>
      <c r="I60" s="57"/>
      <c r="J60" s="57"/>
      <c r="K60" s="57"/>
      <c r="L60" s="57"/>
      <c r="M60" s="57"/>
      <c r="N60" s="57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s="27" customFormat="1" x14ac:dyDescent="0.2">
      <c r="A61" s="56"/>
      <c r="B61" s="56"/>
      <c r="C61" s="57"/>
      <c r="D61" s="57"/>
      <c r="E61" s="57"/>
      <c r="F61" s="57"/>
      <c r="G61" s="58"/>
      <c r="H61" s="58"/>
      <c r="I61" s="57"/>
      <c r="J61" s="57"/>
      <c r="K61" s="57"/>
      <c r="L61" s="57"/>
      <c r="M61" s="57"/>
      <c r="N61" s="57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s="27" customFormat="1" x14ac:dyDescent="0.2">
      <c r="A62" s="56"/>
      <c r="B62" s="56"/>
      <c r="C62" s="57"/>
      <c r="D62" s="57"/>
      <c r="E62" s="57"/>
      <c r="F62" s="57"/>
      <c r="G62" s="58"/>
      <c r="H62" s="58"/>
      <c r="I62" s="57"/>
      <c r="J62" s="57"/>
      <c r="K62" s="57"/>
      <c r="L62" s="57"/>
      <c r="M62" s="57"/>
      <c r="N62" s="57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s="27" customFormat="1" x14ac:dyDescent="0.2">
      <c r="A63" s="56"/>
      <c r="B63" s="56"/>
      <c r="C63" s="57"/>
      <c r="D63" s="57"/>
      <c r="E63" s="57"/>
      <c r="F63" s="57"/>
      <c r="G63" s="58"/>
      <c r="H63" s="58"/>
      <c r="I63" s="57"/>
      <c r="J63" s="57"/>
      <c r="K63" s="57"/>
      <c r="L63" s="57"/>
      <c r="M63" s="57"/>
      <c r="N63" s="57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s="27" customFormat="1" x14ac:dyDescent="0.2">
      <c r="A64" s="56"/>
      <c r="B64" s="56"/>
      <c r="C64" s="57"/>
      <c r="D64" s="57"/>
      <c r="E64" s="57"/>
      <c r="F64" s="57"/>
      <c r="G64" s="58"/>
      <c r="H64" s="58"/>
      <c r="I64" s="57"/>
      <c r="J64" s="57"/>
      <c r="K64" s="57"/>
      <c r="L64" s="57"/>
      <c r="M64" s="57"/>
      <c r="N64" s="57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s="27" customFormat="1" x14ac:dyDescent="0.2">
      <c r="A65" s="56"/>
      <c r="B65" s="56"/>
      <c r="C65" s="57"/>
      <c r="D65" s="57"/>
      <c r="E65" s="57"/>
      <c r="F65" s="57"/>
      <c r="G65" s="58"/>
      <c r="H65" s="58"/>
      <c r="I65" s="57"/>
      <c r="J65" s="57"/>
      <c r="K65" s="57"/>
      <c r="L65" s="57"/>
      <c r="M65" s="57"/>
      <c r="N65" s="57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s="27" customFormat="1" x14ac:dyDescent="0.2">
      <c r="A66" s="56"/>
      <c r="B66" s="56"/>
      <c r="C66" s="57"/>
      <c r="D66" s="57"/>
      <c r="E66" s="57"/>
      <c r="F66" s="57"/>
      <c r="G66" s="58"/>
      <c r="H66" s="58"/>
      <c r="I66" s="57"/>
      <c r="J66" s="57"/>
      <c r="K66" s="57"/>
      <c r="L66" s="57"/>
      <c r="M66" s="57"/>
      <c r="N66" s="57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s="27" customFormat="1" x14ac:dyDescent="0.2">
      <c r="A67" s="56"/>
      <c r="B67" s="56"/>
      <c r="C67" s="57"/>
      <c r="D67" s="57"/>
      <c r="E67" s="57"/>
      <c r="F67" s="57"/>
      <c r="G67" s="58"/>
      <c r="H67" s="58"/>
      <c r="I67" s="57"/>
      <c r="J67" s="57"/>
      <c r="K67" s="57"/>
      <c r="L67" s="57"/>
      <c r="M67" s="57"/>
      <c r="N67" s="57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s="27" customFormat="1" x14ac:dyDescent="0.2">
      <c r="A68" s="56"/>
      <c r="B68" s="56"/>
      <c r="C68" s="57"/>
      <c r="D68" s="57"/>
      <c r="E68" s="57"/>
      <c r="F68" s="57"/>
      <c r="G68" s="58"/>
      <c r="H68" s="58"/>
      <c r="I68" s="57"/>
      <c r="J68" s="57"/>
      <c r="K68" s="57"/>
      <c r="L68" s="57"/>
      <c r="M68" s="57"/>
      <c r="N68" s="57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s="27" customFormat="1" x14ac:dyDescent="0.2">
      <c r="A69" s="56"/>
      <c r="B69" s="56"/>
      <c r="C69" s="57"/>
      <c r="D69" s="57"/>
      <c r="E69" s="57"/>
      <c r="F69" s="57"/>
      <c r="G69" s="58"/>
      <c r="H69" s="58"/>
      <c r="I69" s="57"/>
      <c r="J69" s="57"/>
      <c r="K69" s="57"/>
      <c r="L69" s="57"/>
      <c r="M69" s="57"/>
      <c r="N69" s="57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s="27" customFormat="1" x14ac:dyDescent="0.2">
      <c r="A70" s="56"/>
      <c r="B70" s="56"/>
      <c r="C70" s="57"/>
      <c r="D70" s="57"/>
      <c r="E70" s="57"/>
      <c r="F70" s="57"/>
      <c r="G70" s="58"/>
      <c r="H70" s="58"/>
      <c r="I70" s="57"/>
      <c r="J70" s="57"/>
      <c r="K70" s="57"/>
      <c r="L70" s="57"/>
      <c r="M70" s="57"/>
      <c r="N70" s="57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s="27" customFormat="1" x14ac:dyDescent="0.2">
      <c r="A71" s="56"/>
      <c r="B71" s="56"/>
      <c r="C71" s="57"/>
      <c r="D71" s="57"/>
      <c r="E71" s="57"/>
      <c r="F71" s="57"/>
      <c r="G71" s="58"/>
      <c r="H71" s="58"/>
      <c r="I71" s="57"/>
      <c r="J71" s="57"/>
      <c r="K71" s="57"/>
      <c r="L71" s="57"/>
      <c r="M71" s="57"/>
      <c r="N71" s="57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s="27" customFormat="1" x14ac:dyDescent="0.2">
      <c r="A72" s="56"/>
      <c r="B72" s="56"/>
      <c r="C72" s="57"/>
      <c r="D72" s="57"/>
      <c r="E72" s="57"/>
      <c r="F72" s="57"/>
      <c r="G72" s="58"/>
      <c r="H72" s="58"/>
      <c r="I72" s="57"/>
      <c r="J72" s="57"/>
      <c r="K72" s="57"/>
      <c r="L72" s="57"/>
      <c r="M72" s="57"/>
      <c r="N72" s="57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s="27" customFormat="1" x14ac:dyDescent="0.2">
      <c r="A73" s="56"/>
      <c r="B73" s="56"/>
      <c r="C73" s="57"/>
      <c r="D73" s="57"/>
      <c r="E73" s="57"/>
      <c r="F73" s="57"/>
      <c r="G73" s="58"/>
      <c r="H73" s="58"/>
      <c r="I73" s="57"/>
      <c r="J73" s="57"/>
      <c r="K73" s="57"/>
      <c r="L73" s="57"/>
      <c r="M73" s="57"/>
      <c r="N73" s="57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s="27" customFormat="1" x14ac:dyDescent="0.2">
      <c r="A74" s="56"/>
      <c r="B74" s="56"/>
      <c r="C74" s="57"/>
      <c r="D74" s="57"/>
      <c r="E74" s="57"/>
      <c r="F74" s="57"/>
      <c r="G74" s="58"/>
      <c r="H74" s="58"/>
      <c r="I74" s="57"/>
      <c r="J74" s="57"/>
      <c r="K74" s="57"/>
      <c r="L74" s="57"/>
      <c r="M74" s="57"/>
      <c r="N74" s="57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s="27" customFormat="1" x14ac:dyDescent="0.2">
      <c r="A75" s="56"/>
      <c r="B75" s="56"/>
      <c r="C75" s="57"/>
      <c r="D75" s="57"/>
      <c r="E75" s="57"/>
      <c r="F75" s="57"/>
      <c r="G75" s="58"/>
      <c r="H75" s="58"/>
      <c r="I75" s="57"/>
      <c r="J75" s="57"/>
      <c r="K75" s="57"/>
      <c r="L75" s="57"/>
      <c r="M75" s="57"/>
      <c r="N75" s="57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s="27" customFormat="1" x14ac:dyDescent="0.2">
      <c r="A76" s="56"/>
      <c r="B76" s="56"/>
      <c r="C76" s="57"/>
      <c r="D76" s="57"/>
      <c r="E76" s="57"/>
      <c r="F76" s="57"/>
      <c r="G76" s="58"/>
      <c r="H76" s="58"/>
      <c r="I76" s="57"/>
      <c r="J76" s="57"/>
      <c r="K76" s="57"/>
      <c r="L76" s="57"/>
      <c r="M76" s="57"/>
      <c r="N76" s="57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s="27" customFormat="1" x14ac:dyDescent="0.2">
      <c r="A77" s="56"/>
      <c r="B77" s="56"/>
      <c r="C77" s="57"/>
      <c r="D77" s="57"/>
      <c r="E77" s="57"/>
      <c r="F77" s="57"/>
      <c r="G77" s="58"/>
      <c r="H77" s="58"/>
      <c r="I77" s="57"/>
      <c r="J77" s="57"/>
      <c r="K77" s="57"/>
      <c r="L77" s="57"/>
      <c r="M77" s="57"/>
      <c r="N77" s="57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s="27" customFormat="1" x14ac:dyDescent="0.2">
      <c r="A78" s="56"/>
      <c r="B78" s="56"/>
      <c r="C78" s="57"/>
      <c r="D78" s="57"/>
      <c r="E78" s="57"/>
      <c r="F78" s="57"/>
      <c r="G78" s="58"/>
      <c r="H78" s="58"/>
      <c r="I78" s="57"/>
      <c r="J78" s="57"/>
      <c r="K78" s="57"/>
      <c r="L78" s="57"/>
      <c r="M78" s="57"/>
      <c r="N78" s="57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s="27" customFormat="1" x14ac:dyDescent="0.2">
      <c r="A79" s="56"/>
      <c r="B79" s="56"/>
      <c r="C79" s="57"/>
      <c r="D79" s="57"/>
      <c r="E79" s="57"/>
      <c r="F79" s="57"/>
      <c r="G79" s="58"/>
      <c r="H79" s="58"/>
      <c r="I79" s="57"/>
      <c r="J79" s="57"/>
      <c r="K79" s="57"/>
      <c r="L79" s="57"/>
      <c r="M79" s="57"/>
      <c r="N79" s="57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s="27" customFormat="1" x14ac:dyDescent="0.2">
      <c r="A80" s="56"/>
      <c r="B80" s="56"/>
      <c r="C80" s="57"/>
      <c r="D80" s="57"/>
      <c r="E80" s="57"/>
      <c r="F80" s="57"/>
      <c r="G80" s="58"/>
      <c r="H80" s="58"/>
      <c r="I80" s="57"/>
      <c r="J80" s="57"/>
      <c r="K80" s="57"/>
      <c r="L80" s="57"/>
      <c r="M80" s="57"/>
      <c r="N80" s="57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s="27" customFormat="1" x14ac:dyDescent="0.2">
      <c r="A81" s="56"/>
      <c r="B81" s="56"/>
      <c r="C81" s="57"/>
      <c r="D81" s="57"/>
      <c r="E81" s="57"/>
      <c r="F81" s="57"/>
      <c r="G81" s="58"/>
      <c r="H81" s="58"/>
      <c r="I81" s="57"/>
      <c r="J81" s="57"/>
      <c r="K81" s="57"/>
      <c r="L81" s="57"/>
      <c r="M81" s="57"/>
      <c r="N81" s="57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s="27" customFormat="1" x14ac:dyDescent="0.2">
      <c r="A82" s="56"/>
      <c r="B82" s="56"/>
      <c r="C82" s="57"/>
      <c r="D82" s="57"/>
      <c r="E82" s="57"/>
      <c r="F82" s="57"/>
      <c r="G82" s="58"/>
      <c r="H82" s="58"/>
      <c r="I82" s="57"/>
      <c r="J82" s="57"/>
      <c r="K82" s="57"/>
      <c r="L82" s="57"/>
      <c r="M82" s="57"/>
      <c r="N82" s="57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s="27" customFormat="1" x14ac:dyDescent="0.2">
      <c r="A83" s="56"/>
      <c r="B83" s="56"/>
      <c r="C83" s="57"/>
      <c r="D83" s="57"/>
      <c r="E83" s="57"/>
      <c r="F83" s="57"/>
      <c r="G83" s="58"/>
      <c r="H83" s="58"/>
      <c r="I83" s="57"/>
      <c r="J83" s="57"/>
      <c r="K83" s="57"/>
      <c r="L83" s="57"/>
      <c r="M83" s="57"/>
      <c r="N83" s="57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s="27" customFormat="1" x14ac:dyDescent="0.2">
      <c r="A84" s="56"/>
      <c r="B84" s="56"/>
      <c r="C84" s="57"/>
      <c r="D84" s="57"/>
      <c r="E84" s="57"/>
      <c r="F84" s="57"/>
      <c r="G84" s="58"/>
      <c r="H84" s="58"/>
      <c r="I84" s="57"/>
      <c r="J84" s="57"/>
      <c r="K84" s="57"/>
      <c r="L84" s="57"/>
      <c r="M84" s="57"/>
      <c r="N84" s="57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s="27" customFormat="1" x14ac:dyDescent="0.2">
      <c r="A85" s="56"/>
      <c r="B85" s="56"/>
      <c r="C85" s="57"/>
      <c r="D85" s="57"/>
      <c r="E85" s="57"/>
      <c r="F85" s="57"/>
      <c r="G85" s="58"/>
      <c r="H85" s="58"/>
      <c r="I85" s="57"/>
      <c r="J85" s="57"/>
      <c r="K85" s="57"/>
      <c r="L85" s="57"/>
      <c r="M85" s="57"/>
      <c r="N85" s="57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s="27" customFormat="1" x14ac:dyDescent="0.2">
      <c r="A86" s="56"/>
      <c r="B86" s="56"/>
      <c r="C86" s="57"/>
      <c r="D86" s="57"/>
      <c r="E86" s="57"/>
      <c r="F86" s="57"/>
      <c r="G86" s="58"/>
      <c r="H86" s="58"/>
      <c r="I86" s="57"/>
      <c r="J86" s="57"/>
      <c r="K86" s="57"/>
      <c r="L86" s="57"/>
      <c r="M86" s="57"/>
      <c r="N86" s="57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s="27" customFormat="1" x14ac:dyDescent="0.2">
      <c r="A87" s="56"/>
      <c r="B87" s="56"/>
      <c r="C87" s="57"/>
      <c r="D87" s="57"/>
      <c r="E87" s="57"/>
      <c r="F87" s="57"/>
      <c r="G87" s="58"/>
      <c r="H87" s="58"/>
      <c r="I87" s="57"/>
      <c r="J87" s="57"/>
      <c r="K87" s="57"/>
      <c r="L87" s="57"/>
      <c r="M87" s="57"/>
      <c r="N87" s="57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s="27" customFormat="1" x14ac:dyDescent="0.2">
      <c r="A88" s="56"/>
      <c r="B88" s="56"/>
      <c r="C88" s="57"/>
      <c r="D88" s="57"/>
      <c r="E88" s="57"/>
      <c r="F88" s="57"/>
      <c r="G88" s="58"/>
      <c r="H88" s="58"/>
      <c r="I88" s="57"/>
      <c r="J88" s="57"/>
      <c r="K88" s="57"/>
      <c r="L88" s="57"/>
      <c r="M88" s="57"/>
      <c r="N88" s="57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s="27" customFormat="1" x14ac:dyDescent="0.2">
      <c r="A89" s="56"/>
      <c r="B89" s="56"/>
      <c r="C89" s="57"/>
      <c r="D89" s="57"/>
      <c r="E89" s="57"/>
      <c r="F89" s="57"/>
      <c r="G89" s="58"/>
      <c r="H89" s="58"/>
      <c r="I89" s="57"/>
      <c r="J89" s="57"/>
      <c r="K89" s="57"/>
      <c r="L89" s="57"/>
      <c r="M89" s="57"/>
      <c r="N89" s="57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s="27" customFormat="1" x14ac:dyDescent="0.2">
      <c r="A90" s="56"/>
      <c r="B90" s="56"/>
      <c r="C90" s="57"/>
      <c r="D90" s="57"/>
      <c r="E90" s="57"/>
      <c r="F90" s="57"/>
      <c r="G90" s="58"/>
      <c r="H90" s="58"/>
      <c r="I90" s="57"/>
      <c r="J90" s="57"/>
      <c r="K90" s="57"/>
      <c r="L90" s="57"/>
      <c r="M90" s="57"/>
      <c r="N90" s="57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s="27" customFormat="1" x14ac:dyDescent="0.2">
      <c r="A91" s="56"/>
      <c r="B91" s="56"/>
      <c r="C91" s="57"/>
      <c r="D91" s="57"/>
      <c r="E91" s="57"/>
      <c r="F91" s="57"/>
      <c r="G91" s="58"/>
      <c r="H91" s="58"/>
      <c r="I91" s="57"/>
      <c r="J91" s="57"/>
      <c r="K91" s="57"/>
      <c r="L91" s="57"/>
      <c r="M91" s="57"/>
      <c r="N91" s="57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s="27" customFormat="1" x14ac:dyDescent="0.2">
      <c r="A92" s="56"/>
      <c r="B92" s="56"/>
      <c r="C92" s="57"/>
      <c r="D92" s="57"/>
      <c r="E92" s="57"/>
      <c r="F92" s="57"/>
      <c r="G92" s="58"/>
      <c r="H92" s="58"/>
      <c r="I92" s="57"/>
      <c r="J92" s="57"/>
      <c r="K92" s="57"/>
      <c r="L92" s="57"/>
      <c r="M92" s="57"/>
      <c r="N92" s="57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s="27" customFormat="1" x14ac:dyDescent="0.2">
      <c r="A93" s="56"/>
      <c r="B93" s="56"/>
      <c r="C93" s="57"/>
      <c r="D93" s="57"/>
      <c r="E93" s="57"/>
      <c r="F93" s="57"/>
      <c r="G93" s="58"/>
      <c r="H93" s="58"/>
      <c r="I93" s="57"/>
      <c r="J93" s="57"/>
      <c r="K93" s="57"/>
      <c r="L93" s="57"/>
      <c r="M93" s="57"/>
      <c r="N93" s="57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s="27" customFormat="1" x14ac:dyDescent="0.2">
      <c r="A94" s="56"/>
      <c r="B94" s="56"/>
      <c r="C94" s="57"/>
      <c r="D94" s="57"/>
      <c r="E94" s="57"/>
      <c r="F94" s="57"/>
      <c r="G94" s="58"/>
      <c r="H94" s="58"/>
      <c r="I94" s="57"/>
      <c r="J94" s="57"/>
      <c r="K94" s="57"/>
      <c r="L94" s="57"/>
      <c r="M94" s="57"/>
      <c r="N94" s="57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s="27" customFormat="1" x14ac:dyDescent="0.2">
      <c r="A95" s="56"/>
      <c r="B95" s="56"/>
      <c r="C95" s="57"/>
      <c r="D95" s="57"/>
      <c r="E95" s="57"/>
      <c r="F95" s="57"/>
      <c r="G95" s="58"/>
      <c r="H95" s="58"/>
      <c r="I95" s="57"/>
      <c r="J95" s="57"/>
      <c r="K95" s="57"/>
      <c r="L95" s="57"/>
      <c r="M95" s="57"/>
      <c r="N95" s="57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s="27" customFormat="1" x14ac:dyDescent="0.2">
      <c r="A96" s="56"/>
      <c r="B96" s="56"/>
      <c r="C96" s="57"/>
      <c r="D96" s="57"/>
      <c r="E96" s="57"/>
      <c r="F96" s="57"/>
      <c r="G96" s="58"/>
      <c r="H96" s="58"/>
      <c r="I96" s="57"/>
      <c r="J96" s="57"/>
      <c r="K96" s="57"/>
      <c r="L96" s="57"/>
      <c r="M96" s="57"/>
      <c r="N96" s="57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s="27" customFormat="1" x14ac:dyDescent="0.2">
      <c r="A97" s="56"/>
      <c r="B97" s="56"/>
      <c r="C97" s="57"/>
      <c r="D97" s="57"/>
      <c r="E97" s="57"/>
      <c r="F97" s="57"/>
      <c r="G97" s="58"/>
      <c r="H97" s="58"/>
      <c r="I97" s="57"/>
      <c r="J97" s="57"/>
      <c r="K97" s="57"/>
      <c r="L97" s="57"/>
      <c r="M97" s="57"/>
      <c r="N97" s="57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s="27" customFormat="1" x14ac:dyDescent="0.2">
      <c r="A98" s="56"/>
      <c r="B98" s="56"/>
      <c r="C98" s="57"/>
      <c r="D98" s="57"/>
      <c r="E98" s="57"/>
      <c r="F98" s="57"/>
      <c r="G98" s="58"/>
      <c r="H98" s="58"/>
      <c r="I98" s="57"/>
      <c r="J98" s="57"/>
      <c r="K98" s="57"/>
      <c r="L98" s="57"/>
      <c r="M98" s="57"/>
      <c r="N98" s="57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100" spans="1:26" x14ac:dyDescent="0.2">
      <c r="O100" s="57"/>
    </row>
  </sheetData>
  <phoneticPr fontId="34" type="noConversion"/>
  <pageMargins left="0.25" right="0.25" top="1" bottom="1" header="0.5" footer="0.5"/>
  <pageSetup scale="50" orientation="landscape" r:id="rId1"/>
  <headerFooter alignWithMargins="0">
    <oddHeader>&amp;A</oddHeader>
    <oddFooter>Page 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pageSetUpPr fitToPage="1"/>
  </sheetPr>
  <dimension ref="A1:V96"/>
  <sheetViews>
    <sheetView workbookViewId="0">
      <selection activeCell="M29" sqref="M29"/>
    </sheetView>
  </sheetViews>
  <sheetFormatPr defaultRowHeight="12.75" x14ac:dyDescent="0.2"/>
  <cols>
    <col min="1" max="1" width="17.42578125" customWidth="1"/>
    <col min="2" max="2" width="22.140625" bestFit="1" customWidth="1"/>
    <col min="3" max="4" width="18.28515625" bestFit="1" customWidth="1"/>
    <col min="5" max="5" width="21.7109375" bestFit="1" customWidth="1"/>
    <col min="6" max="6" width="27.28515625" bestFit="1" customWidth="1"/>
    <col min="7" max="7" width="21.7109375" bestFit="1" customWidth="1"/>
    <col min="8" max="8" width="8.7109375" bestFit="1" customWidth="1"/>
    <col min="9" max="9" width="19" bestFit="1" customWidth="1"/>
    <col min="10" max="10" width="19.5703125" bestFit="1" customWidth="1"/>
    <col min="11" max="11" width="25.5703125" bestFit="1" customWidth="1"/>
    <col min="12" max="12" width="11.5703125" customWidth="1"/>
    <col min="13" max="13" width="11.42578125" bestFit="1" customWidth="1"/>
    <col min="14" max="14" width="11" bestFit="1" customWidth="1"/>
    <col min="15" max="15" width="15.42578125" bestFit="1" customWidth="1"/>
    <col min="16" max="16" width="12" bestFit="1" customWidth="1"/>
  </cols>
  <sheetData>
    <row r="1" spans="1:16" ht="18" x14ac:dyDescent="0.25">
      <c r="A1" s="15" t="s">
        <v>1217</v>
      </c>
    </row>
    <row r="2" spans="1:16" ht="12.75" customHeight="1" x14ac:dyDescent="0.25">
      <c r="A2" s="15"/>
    </row>
    <row r="3" spans="1:16" ht="12.75" customHeight="1" x14ac:dyDescent="0.25">
      <c r="A3" s="16" t="s">
        <v>1287</v>
      </c>
    </row>
    <row r="5" spans="1:16" x14ac:dyDescent="0.2">
      <c r="A5" s="20" t="s">
        <v>1288</v>
      </c>
      <c r="B5" s="20" t="s">
        <v>1289</v>
      </c>
      <c r="C5" s="20" t="s">
        <v>1290</v>
      </c>
      <c r="D5" s="20" t="s">
        <v>1291</v>
      </c>
      <c r="E5" s="20" t="s">
        <v>1292</v>
      </c>
      <c r="F5" s="20" t="s">
        <v>1293</v>
      </c>
      <c r="G5" s="20" t="s">
        <v>1294</v>
      </c>
      <c r="H5" s="20" t="s">
        <v>1295</v>
      </c>
      <c r="I5" s="20" t="s">
        <v>1296</v>
      </c>
      <c r="J5" s="20" t="s">
        <v>1297</v>
      </c>
      <c r="K5" s="20" t="s">
        <v>1298</v>
      </c>
      <c r="L5" s="20" t="s">
        <v>1299</v>
      </c>
      <c r="M5" s="20" t="s">
        <v>1300</v>
      </c>
      <c r="N5" s="20" t="s">
        <v>1301</v>
      </c>
      <c r="O5" s="20" t="s">
        <v>1302</v>
      </c>
      <c r="P5" s="20" t="s">
        <v>1303</v>
      </c>
    </row>
    <row r="6" spans="1:16" x14ac:dyDescent="0.2">
      <c r="A6" s="21" t="s">
        <v>1219</v>
      </c>
      <c r="B6" s="22">
        <v>1</v>
      </c>
      <c r="C6" s="22">
        <v>1</v>
      </c>
      <c r="D6" s="21" t="s">
        <v>1127</v>
      </c>
      <c r="E6" s="21" t="s">
        <v>1220</v>
      </c>
      <c r="F6" s="21" t="s">
        <v>1221</v>
      </c>
      <c r="G6" s="22">
        <v>2</v>
      </c>
      <c r="H6" s="21" t="s">
        <v>1304</v>
      </c>
      <c r="I6" s="21" t="s">
        <v>1305</v>
      </c>
      <c r="J6" s="21" t="s">
        <v>1222</v>
      </c>
      <c r="K6" s="21" t="s">
        <v>1306</v>
      </c>
      <c r="L6" s="23">
        <v>23.308397305484046</v>
      </c>
      <c r="M6" s="23">
        <v>25.19</v>
      </c>
      <c r="N6" s="23">
        <v>1.39</v>
      </c>
      <c r="O6" s="24">
        <v>204.7</v>
      </c>
      <c r="P6" s="23">
        <v>11.17</v>
      </c>
    </row>
    <row r="7" spans="1:16" x14ac:dyDescent="0.2">
      <c r="A7" s="21" t="s">
        <v>1219</v>
      </c>
      <c r="B7" s="22">
        <v>2</v>
      </c>
      <c r="C7" s="22">
        <v>1</v>
      </c>
      <c r="D7" s="21" t="s">
        <v>1127</v>
      </c>
      <c r="E7" s="21" t="s">
        <v>1220</v>
      </c>
      <c r="F7" s="21" t="s">
        <v>1221</v>
      </c>
      <c r="G7" s="22">
        <v>3</v>
      </c>
      <c r="H7" s="21" t="s">
        <v>1307</v>
      </c>
      <c r="I7" s="21" t="s">
        <v>1305</v>
      </c>
      <c r="J7" s="21" t="s">
        <v>1222</v>
      </c>
      <c r="K7" s="21" t="s">
        <v>1308</v>
      </c>
      <c r="L7" s="23">
        <v>57.713579694515964</v>
      </c>
      <c r="M7" s="23">
        <v>24.67</v>
      </c>
      <c r="N7" s="23">
        <v>2.76</v>
      </c>
      <c r="O7" s="24">
        <v>204.7</v>
      </c>
      <c r="P7" s="23">
        <v>11.67</v>
      </c>
    </row>
    <row r="8" spans="1:16" x14ac:dyDescent="0.2">
      <c r="A8" s="21" t="s">
        <v>1219</v>
      </c>
      <c r="B8" s="22">
        <v>4</v>
      </c>
      <c r="C8" s="22">
        <v>1</v>
      </c>
      <c r="D8" s="21" t="s">
        <v>1127</v>
      </c>
      <c r="E8" s="21" t="s">
        <v>1220</v>
      </c>
      <c r="F8" s="21" t="s">
        <v>1221</v>
      </c>
      <c r="G8" s="22">
        <v>5</v>
      </c>
      <c r="H8" s="21" t="s">
        <v>1309</v>
      </c>
      <c r="I8" s="21" t="s">
        <v>1125</v>
      </c>
      <c r="J8" s="21" t="s">
        <v>1222</v>
      </c>
      <c r="K8" s="21" t="s">
        <v>1306</v>
      </c>
      <c r="L8" s="23">
        <v>8.146427376367896</v>
      </c>
      <c r="M8" s="23">
        <v>25.19</v>
      </c>
      <c r="N8" s="23">
        <v>1.39</v>
      </c>
      <c r="O8" s="24">
        <v>204.7</v>
      </c>
      <c r="P8" s="23">
        <v>11.17</v>
      </c>
    </row>
    <row r="9" spans="1:16" x14ac:dyDescent="0.2">
      <c r="A9" s="21" t="s">
        <v>1219</v>
      </c>
      <c r="B9" s="22">
        <v>5</v>
      </c>
      <c r="C9" s="22">
        <v>1</v>
      </c>
      <c r="D9" s="21" t="s">
        <v>1127</v>
      </c>
      <c r="E9" s="21" t="s">
        <v>1220</v>
      </c>
      <c r="F9" s="21" t="s">
        <v>1221</v>
      </c>
      <c r="G9" s="22">
        <v>6</v>
      </c>
      <c r="H9" s="21" t="s">
        <v>1310</v>
      </c>
      <c r="I9" s="21" t="s">
        <v>1125</v>
      </c>
      <c r="J9" s="21" t="s">
        <v>1222</v>
      </c>
      <c r="K9" s="21" t="s">
        <v>1308</v>
      </c>
      <c r="L9" s="23">
        <v>14.062837623632099</v>
      </c>
      <c r="M9" s="23">
        <v>24.67</v>
      </c>
      <c r="N9" s="23">
        <v>2.76</v>
      </c>
      <c r="O9" s="24">
        <v>204.7</v>
      </c>
      <c r="P9" s="23">
        <v>11.67</v>
      </c>
    </row>
    <row r="10" spans="1:16" x14ac:dyDescent="0.2">
      <c r="A10" s="21" t="s">
        <v>1219</v>
      </c>
      <c r="B10" s="22">
        <v>6</v>
      </c>
      <c r="C10" s="22">
        <v>1</v>
      </c>
      <c r="D10" s="21" t="s">
        <v>1127</v>
      </c>
      <c r="E10" s="21" t="s">
        <v>1220</v>
      </c>
      <c r="F10" s="21" t="s">
        <v>1221</v>
      </c>
      <c r="G10" s="22">
        <v>8</v>
      </c>
      <c r="H10" s="21" t="s">
        <v>1311</v>
      </c>
      <c r="I10" s="21" t="s">
        <v>1125</v>
      </c>
      <c r="J10" s="21" t="s">
        <v>1224</v>
      </c>
      <c r="K10" s="21" t="s">
        <v>1308</v>
      </c>
      <c r="L10" s="23">
        <v>11.040236</v>
      </c>
      <c r="M10" s="23">
        <v>11.6</v>
      </c>
      <c r="N10" s="23">
        <v>3.65</v>
      </c>
      <c r="O10" s="24">
        <v>204.7</v>
      </c>
      <c r="P10" s="23">
        <v>63.9</v>
      </c>
    </row>
    <row r="11" spans="1:16" x14ac:dyDescent="0.2">
      <c r="A11" s="21" t="s">
        <v>1219</v>
      </c>
      <c r="B11" s="22">
        <v>3</v>
      </c>
      <c r="C11" s="22">
        <v>1</v>
      </c>
      <c r="D11" s="21" t="s">
        <v>1127</v>
      </c>
      <c r="E11" s="21" t="s">
        <v>1220</v>
      </c>
      <c r="F11" s="21" t="s">
        <v>1221</v>
      </c>
      <c r="G11" s="22">
        <v>7</v>
      </c>
      <c r="H11" s="21" t="s">
        <v>1312</v>
      </c>
      <c r="I11" s="21" t="s">
        <v>1126</v>
      </c>
      <c r="J11" s="21" t="s">
        <v>1223</v>
      </c>
      <c r="K11" s="21" t="s">
        <v>1306</v>
      </c>
      <c r="L11" s="23">
        <v>22.386607999999999</v>
      </c>
      <c r="M11" s="23">
        <v>26.3</v>
      </c>
      <c r="N11" s="23">
        <v>0.88</v>
      </c>
      <c r="O11" s="24">
        <v>204.7</v>
      </c>
      <c r="P11" s="23">
        <v>0</v>
      </c>
    </row>
    <row r="12" spans="1:16" x14ac:dyDescent="0.2">
      <c r="A12" s="21" t="s">
        <v>1219</v>
      </c>
      <c r="B12" s="22">
        <v>7</v>
      </c>
      <c r="C12" s="22">
        <v>2</v>
      </c>
      <c r="D12" s="21" t="s">
        <v>1128</v>
      </c>
      <c r="E12" s="21" t="s">
        <v>1225</v>
      </c>
      <c r="F12" s="21" t="s">
        <v>1226</v>
      </c>
      <c r="G12" s="22">
        <v>1</v>
      </c>
      <c r="H12" s="21" t="s">
        <v>1313</v>
      </c>
      <c r="I12" s="21" t="s">
        <v>1305</v>
      </c>
      <c r="J12" s="21" t="s">
        <v>1222</v>
      </c>
      <c r="K12" s="21" t="s">
        <v>1314</v>
      </c>
      <c r="L12" s="23">
        <v>1.9266733419832069</v>
      </c>
      <c r="M12" s="23">
        <v>24.72</v>
      </c>
      <c r="N12" s="23">
        <v>0.54</v>
      </c>
      <c r="O12" s="24">
        <v>206.4</v>
      </c>
      <c r="P12" s="23">
        <v>5.61</v>
      </c>
    </row>
    <row r="13" spans="1:16" x14ac:dyDescent="0.2">
      <c r="A13" s="21" t="s">
        <v>1219</v>
      </c>
      <c r="B13" s="22">
        <v>8</v>
      </c>
      <c r="C13" s="22">
        <v>2</v>
      </c>
      <c r="D13" s="21" t="s">
        <v>1128</v>
      </c>
      <c r="E13" s="21" t="s">
        <v>1225</v>
      </c>
      <c r="F13" s="21" t="s">
        <v>1226</v>
      </c>
      <c r="G13" s="22">
        <v>2</v>
      </c>
      <c r="H13" s="21" t="s">
        <v>1304</v>
      </c>
      <c r="I13" s="21" t="s">
        <v>1305</v>
      </c>
      <c r="J13" s="21" t="s">
        <v>1222</v>
      </c>
      <c r="K13" s="21" t="s">
        <v>1306</v>
      </c>
      <c r="L13" s="23">
        <v>21.215742658016801</v>
      </c>
      <c r="M13" s="23">
        <v>24.66</v>
      </c>
      <c r="N13" s="23">
        <v>0.95</v>
      </c>
      <c r="O13" s="24">
        <v>206.4</v>
      </c>
      <c r="P13" s="23">
        <v>7.58</v>
      </c>
    </row>
    <row r="14" spans="1:16" x14ac:dyDescent="0.2">
      <c r="A14" s="21" t="s">
        <v>1219</v>
      </c>
      <c r="B14" s="22">
        <v>10</v>
      </c>
      <c r="C14" s="22">
        <v>2</v>
      </c>
      <c r="D14" s="21" t="s">
        <v>1128</v>
      </c>
      <c r="E14" s="21" t="s">
        <v>1225</v>
      </c>
      <c r="F14" s="21" t="s">
        <v>1226</v>
      </c>
      <c r="G14" s="22">
        <v>4</v>
      </c>
      <c r="H14" s="21" t="s">
        <v>1315</v>
      </c>
      <c r="I14" s="21" t="s">
        <v>1125</v>
      </c>
      <c r="J14" s="21" t="s">
        <v>1222</v>
      </c>
      <c r="K14" s="21" t="s">
        <v>1314</v>
      </c>
      <c r="L14" s="23">
        <v>8.2573094316669078</v>
      </c>
      <c r="M14" s="23">
        <v>24.72</v>
      </c>
      <c r="N14" s="23">
        <v>0.54</v>
      </c>
      <c r="O14" s="24">
        <v>206.4</v>
      </c>
      <c r="P14" s="23">
        <v>5.61</v>
      </c>
    </row>
    <row r="15" spans="1:16" x14ac:dyDescent="0.2">
      <c r="A15" s="21" t="s">
        <v>1219</v>
      </c>
      <c r="B15" s="22">
        <v>11</v>
      </c>
      <c r="C15" s="22">
        <v>2</v>
      </c>
      <c r="D15" s="21" t="s">
        <v>1128</v>
      </c>
      <c r="E15" s="21" t="s">
        <v>1225</v>
      </c>
      <c r="F15" s="21" t="s">
        <v>1226</v>
      </c>
      <c r="G15" s="22">
        <v>5</v>
      </c>
      <c r="H15" s="21" t="s">
        <v>1309</v>
      </c>
      <c r="I15" s="21" t="s">
        <v>1125</v>
      </c>
      <c r="J15" s="21" t="s">
        <v>1222</v>
      </c>
      <c r="K15" s="21" t="s">
        <v>1306</v>
      </c>
      <c r="L15" s="23">
        <v>61.579429568333083</v>
      </c>
      <c r="M15" s="23">
        <v>24.66</v>
      </c>
      <c r="N15" s="23">
        <v>0.95</v>
      </c>
      <c r="O15" s="24">
        <v>206.4</v>
      </c>
      <c r="P15" s="23">
        <v>7.58</v>
      </c>
    </row>
    <row r="16" spans="1:16" x14ac:dyDescent="0.2">
      <c r="A16" s="21" t="s">
        <v>1219</v>
      </c>
      <c r="B16" s="22">
        <v>9</v>
      </c>
      <c r="C16" s="22">
        <v>2</v>
      </c>
      <c r="D16" s="21" t="s">
        <v>1128</v>
      </c>
      <c r="E16" s="21" t="s">
        <v>1225</v>
      </c>
      <c r="F16" s="21" t="s">
        <v>1226</v>
      </c>
      <c r="G16" s="22">
        <v>7</v>
      </c>
      <c r="H16" s="21" t="s">
        <v>1312</v>
      </c>
      <c r="I16" s="21" t="s">
        <v>1126</v>
      </c>
      <c r="J16" s="21" t="s">
        <v>1223</v>
      </c>
      <c r="K16" s="21" t="s">
        <v>1306</v>
      </c>
      <c r="L16" s="23">
        <v>54.924837999999994</v>
      </c>
      <c r="M16" s="23">
        <v>26.3</v>
      </c>
      <c r="N16" s="23">
        <v>0.62</v>
      </c>
      <c r="O16" s="24">
        <v>206.4</v>
      </c>
      <c r="P16" s="23">
        <v>0</v>
      </c>
    </row>
    <row r="17" spans="1:16" x14ac:dyDescent="0.2">
      <c r="A17" s="21" t="s">
        <v>1219</v>
      </c>
      <c r="B17" s="22">
        <v>12</v>
      </c>
      <c r="C17" s="22">
        <v>3</v>
      </c>
      <c r="D17" s="21" t="s">
        <v>1129</v>
      </c>
      <c r="E17" s="21" t="s">
        <v>1227</v>
      </c>
      <c r="F17" s="21" t="s">
        <v>1228</v>
      </c>
      <c r="G17" s="22">
        <v>1</v>
      </c>
      <c r="H17" s="21" t="s">
        <v>1313</v>
      </c>
      <c r="I17" s="21" t="s">
        <v>1305</v>
      </c>
      <c r="J17" s="21" t="s">
        <v>1222</v>
      </c>
      <c r="K17" s="21" t="s">
        <v>1314</v>
      </c>
      <c r="L17" s="23">
        <v>0</v>
      </c>
      <c r="M17" s="23">
        <v>26.2</v>
      </c>
      <c r="N17" s="23">
        <v>0.5</v>
      </c>
      <c r="O17" s="24">
        <v>204.7</v>
      </c>
      <c r="P17" s="23">
        <v>3.87</v>
      </c>
    </row>
    <row r="18" spans="1:16" x14ac:dyDescent="0.2">
      <c r="A18" s="21" t="s">
        <v>1219</v>
      </c>
      <c r="B18" s="22">
        <v>13</v>
      </c>
      <c r="C18" s="22">
        <v>3</v>
      </c>
      <c r="D18" s="21" t="s">
        <v>1129</v>
      </c>
      <c r="E18" s="21" t="s">
        <v>1227</v>
      </c>
      <c r="F18" s="21" t="s">
        <v>1228</v>
      </c>
      <c r="G18" s="22">
        <v>2</v>
      </c>
      <c r="H18" s="21" t="s">
        <v>1304</v>
      </c>
      <c r="I18" s="21" t="s">
        <v>1305</v>
      </c>
      <c r="J18" s="21" t="s">
        <v>1222</v>
      </c>
      <c r="K18" s="21" t="s">
        <v>1306</v>
      </c>
      <c r="L18" s="23">
        <v>0.33446700000000007</v>
      </c>
      <c r="M18" s="23">
        <v>24.43</v>
      </c>
      <c r="N18" s="23">
        <v>1.37</v>
      </c>
      <c r="O18" s="24">
        <v>204.7</v>
      </c>
      <c r="P18" s="23">
        <v>10.15</v>
      </c>
    </row>
    <row r="19" spans="1:16" x14ac:dyDescent="0.2">
      <c r="A19" s="21" t="s">
        <v>1219</v>
      </c>
      <c r="B19" s="22">
        <v>15</v>
      </c>
      <c r="C19" s="22">
        <v>3</v>
      </c>
      <c r="D19" s="21" t="s">
        <v>1129</v>
      </c>
      <c r="E19" s="21" t="s">
        <v>1227</v>
      </c>
      <c r="F19" s="21" t="s">
        <v>1228</v>
      </c>
      <c r="G19" s="22">
        <v>4</v>
      </c>
      <c r="H19" s="21" t="s">
        <v>1315</v>
      </c>
      <c r="I19" s="21" t="s">
        <v>1125</v>
      </c>
      <c r="J19" s="21" t="s">
        <v>1222</v>
      </c>
      <c r="K19" s="21" t="s">
        <v>1314</v>
      </c>
      <c r="L19" s="23">
        <v>0.24724857865233357</v>
      </c>
      <c r="M19" s="23">
        <v>26.2</v>
      </c>
      <c r="N19" s="23">
        <v>0.5</v>
      </c>
      <c r="O19" s="24">
        <v>204.7</v>
      </c>
      <c r="P19" s="23">
        <v>3.87</v>
      </c>
    </row>
    <row r="20" spans="1:16" x14ac:dyDescent="0.2">
      <c r="A20" s="21" t="s">
        <v>1219</v>
      </c>
      <c r="B20" s="22">
        <v>16</v>
      </c>
      <c r="C20" s="22">
        <v>3</v>
      </c>
      <c r="D20" s="21" t="s">
        <v>1129</v>
      </c>
      <c r="E20" s="21" t="s">
        <v>1227</v>
      </c>
      <c r="F20" s="21" t="s">
        <v>1228</v>
      </c>
      <c r="G20" s="22">
        <v>5</v>
      </c>
      <c r="H20" s="21" t="s">
        <v>1309</v>
      </c>
      <c r="I20" s="21" t="s">
        <v>1125</v>
      </c>
      <c r="J20" s="21" t="s">
        <v>1222</v>
      </c>
      <c r="K20" s="21" t="s">
        <v>1306</v>
      </c>
      <c r="L20" s="23">
        <v>6.637746421347666</v>
      </c>
      <c r="M20" s="23">
        <v>24.43</v>
      </c>
      <c r="N20" s="23">
        <v>1.37</v>
      </c>
      <c r="O20" s="24">
        <v>204.7</v>
      </c>
      <c r="P20" s="23">
        <v>10.15</v>
      </c>
    </row>
    <row r="21" spans="1:16" x14ac:dyDescent="0.2">
      <c r="A21" s="21" t="s">
        <v>1219</v>
      </c>
      <c r="B21" s="22">
        <v>14</v>
      </c>
      <c r="C21" s="22">
        <v>3</v>
      </c>
      <c r="D21" s="21" t="s">
        <v>1129</v>
      </c>
      <c r="E21" s="21" t="s">
        <v>1227</v>
      </c>
      <c r="F21" s="21" t="s">
        <v>1228</v>
      </c>
      <c r="G21" s="22">
        <v>7</v>
      </c>
      <c r="H21" s="21" t="s">
        <v>1316</v>
      </c>
      <c r="I21" s="21" t="s">
        <v>1126</v>
      </c>
      <c r="J21" s="21" t="s">
        <v>1223</v>
      </c>
      <c r="K21" s="21" t="s">
        <v>1314</v>
      </c>
      <c r="L21" s="23">
        <v>12.235132</v>
      </c>
      <c r="M21" s="23">
        <v>26.3</v>
      </c>
      <c r="N21" s="23">
        <v>0.46</v>
      </c>
      <c r="O21" s="24">
        <v>204.7</v>
      </c>
      <c r="P21" s="23">
        <v>0</v>
      </c>
    </row>
    <row r="22" spans="1:16" x14ac:dyDescent="0.2">
      <c r="A22" s="21" t="s">
        <v>1219</v>
      </c>
      <c r="B22" s="22">
        <v>17</v>
      </c>
      <c r="C22" s="22">
        <v>4</v>
      </c>
      <c r="D22" s="21" t="s">
        <v>1130</v>
      </c>
      <c r="E22" s="21" t="s">
        <v>1229</v>
      </c>
      <c r="F22" s="21" t="s">
        <v>1230</v>
      </c>
      <c r="G22" s="22">
        <v>2</v>
      </c>
      <c r="H22" s="21" t="s">
        <v>1304</v>
      </c>
      <c r="I22" s="21" t="s">
        <v>1305</v>
      </c>
      <c r="J22" s="21" t="s">
        <v>1222</v>
      </c>
      <c r="K22" s="21" t="s">
        <v>1306</v>
      </c>
      <c r="L22" s="23">
        <v>5.6488707994117329</v>
      </c>
      <c r="M22" s="23">
        <v>22.51</v>
      </c>
      <c r="N22" s="23">
        <v>1.21</v>
      </c>
      <c r="O22" s="24">
        <v>203.1</v>
      </c>
      <c r="P22" s="23">
        <v>5.6</v>
      </c>
    </row>
    <row r="23" spans="1:16" x14ac:dyDescent="0.2">
      <c r="A23" s="21" t="s">
        <v>1219</v>
      </c>
      <c r="B23" s="22">
        <v>18</v>
      </c>
      <c r="C23" s="22">
        <v>4</v>
      </c>
      <c r="D23" s="21" t="s">
        <v>1130</v>
      </c>
      <c r="E23" s="21" t="s">
        <v>1229</v>
      </c>
      <c r="F23" s="21" t="s">
        <v>1230</v>
      </c>
      <c r="G23" s="22">
        <v>3</v>
      </c>
      <c r="H23" s="21" t="s">
        <v>1307</v>
      </c>
      <c r="I23" s="21" t="s">
        <v>1305</v>
      </c>
      <c r="J23" s="21" t="s">
        <v>1222</v>
      </c>
      <c r="K23" s="21" t="s">
        <v>1308</v>
      </c>
      <c r="L23" s="23">
        <v>86.850196200588272</v>
      </c>
      <c r="M23" s="23">
        <v>22.75</v>
      </c>
      <c r="N23" s="23">
        <v>2.66</v>
      </c>
      <c r="O23" s="24">
        <v>203.1</v>
      </c>
      <c r="P23" s="23">
        <v>6.35</v>
      </c>
    </row>
    <row r="24" spans="1:16" x14ac:dyDescent="0.2">
      <c r="A24" s="21" t="s">
        <v>1219</v>
      </c>
      <c r="B24" s="22">
        <v>19</v>
      </c>
      <c r="C24" s="22">
        <v>4</v>
      </c>
      <c r="D24" s="21" t="s">
        <v>1130</v>
      </c>
      <c r="E24" s="21" t="s">
        <v>1229</v>
      </c>
      <c r="F24" s="21" t="s">
        <v>1230</v>
      </c>
      <c r="G24" s="22">
        <v>5</v>
      </c>
      <c r="H24" s="21" t="s">
        <v>1309</v>
      </c>
      <c r="I24" s="21" t="s">
        <v>1125</v>
      </c>
      <c r="J24" s="21" t="s">
        <v>1222</v>
      </c>
      <c r="K24" s="21" t="s">
        <v>1306</v>
      </c>
      <c r="L24" s="23">
        <v>1.8671240852953881</v>
      </c>
      <c r="M24" s="23">
        <v>22.51</v>
      </c>
      <c r="N24" s="23">
        <v>1.21</v>
      </c>
      <c r="O24" s="24">
        <v>203.1</v>
      </c>
      <c r="P24" s="23">
        <v>5.6</v>
      </c>
    </row>
    <row r="25" spans="1:16" x14ac:dyDescent="0.2">
      <c r="A25" s="21" t="s">
        <v>1219</v>
      </c>
      <c r="B25" s="22">
        <v>20</v>
      </c>
      <c r="C25" s="22">
        <v>4</v>
      </c>
      <c r="D25" s="21" t="s">
        <v>1130</v>
      </c>
      <c r="E25" s="21" t="s">
        <v>1229</v>
      </c>
      <c r="F25" s="21" t="s">
        <v>1230</v>
      </c>
      <c r="G25" s="22">
        <v>6</v>
      </c>
      <c r="H25" s="21" t="s">
        <v>1310</v>
      </c>
      <c r="I25" s="21" t="s">
        <v>1125</v>
      </c>
      <c r="J25" s="21" t="s">
        <v>1222</v>
      </c>
      <c r="K25" s="21" t="s">
        <v>1308</v>
      </c>
      <c r="L25" s="23">
        <v>33.180163914704615</v>
      </c>
      <c r="M25" s="23">
        <v>22.75</v>
      </c>
      <c r="N25" s="23">
        <v>2.66</v>
      </c>
      <c r="O25" s="24">
        <v>203.1</v>
      </c>
      <c r="P25" s="23">
        <v>6.35</v>
      </c>
    </row>
    <row r="26" spans="1:16" x14ac:dyDescent="0.2">
      <c r="A26" s="21" t="s">
        <v>1219</v>
      </c>
      <c r="B26" s="22">
        <v>21</v>
      </c>
      <c r="C26" s="22">
        <v>4</v>
      </c>
      <c r="D26" s="21" t="s">
        <v>1130</v>
      </c>
      <c r="E26" s="21" t="s">
        <v>1229</v>
      </c>
      <c r="F26" s="21" t="s">
        <v>1230</v>
      </c>
      <c r="G26" s="22">
        <v>8</v>
      </c>
      <c r="H26" s="21" t="s">
        <v>1317</v>
      </c>
      <c r="I26" s="21" t="s">
        <v>1125</v>
      </c>
      <c r="J26" s="21" t="s">
        <v>1231</v>
      </c>
      <c r="K26" s="21" t="s">
        <v>1306</v>
      </c>
      <c r="L26" s="23">
        <v>2.9528180000000002</v>
      </c>
      <c r="M26" s="23">
        <v>10.36</v>
      </c>
      <c r="N26" s="23">
        <v>0.96</v>
      </c>
      <c r="O26" s="24">
        <v>216.5</v>
      </c>
      <c r="P26" s="23">
        <v>14.11</v>
      </c>
    </row>
    <row r="27" spans="1:16" x14ac:dyDescent="0.2">
      <c r="A27" s="21" t="s">
        <v>1219</v>
      </c>
      <c r="B27" s="22">
        <v>22</v>
      </c>
      <c r="C27" s="22">
        <v>5</v>
      </c>
      <c r="D27" s="21" t="s">
        <v>1134</v>
      </c>
      <c r="E27" s="21" t="s">
        <v>1232</v>
      </c>
      <c r="F27" s="21" t="s">
        <v>1233</v>
      </c>
      <c r="G27" s="22">
        <v>6</v>
      </c>
      <c r="H27" s="21" t="s">
        <v>1310</v>
      </c>
      <c r="I27" s="21" t="s">
        <v>1125</v>
      </c>
      <c r="J27" s="21" t="s">
        <v>1222</v>
      </c>
      <c r="K27" s="21" t="s">
        <v>1308</v>
      </c>
      <c r="L27" s="23">
        <v>1.589545</v>
      </c>
      <c r="M27" s="23">
        <v>21.25</v>
      </c>
      <c r="N27" s="23">
        <v>1.44</v>
      </c>
      <c r="O27" s="24">
        <v>202.8</v>
      </c>
      <c r="P27" s="23">
        <v>21.55</v>
      </c>
    </row>
    <row r="28" spans="1:16" x14ac:dyDescent="0.2">
      <c r="A28" s="21" t="s">
        <v>1219</v>
      </c>
      <c r="B28" s="22">
        <v>23</v>
      </c>
      <c r="C28" s="22">
        <v>6</v>
      </c>
      <c r="D28" s="21" t="s">
        <v>1131</v>
      </c>
      <c r="E28" s="21" t="s">
        <v>1234</v>
      </c>
      <c r="F28" s="21" t="s">
        <v>1235</v>
      </c>
      <c r="G28" s="22">
        <v>5</v>
      </c>
      <c r="H28" s="21" t="s">
        <v>1318</v>
      </c>
      <c r="I28" s="21" t="s">
        <v>1125</v>
      </c>
      <c r="J28" s="21" t="s">
        <v>1231</v>
      </c>
      <c r="K28" s="21" t="s">
        <v>1306</v>
      </c>
      <c r="L28" s="23">
        <v>36.791523800204267</v>
      </c>
      <c r="M28" s="23">
        <v>13.46</v>
      </c>
      <c r="N28" s="23">
        <v>1.26</v>
      </c>
      <c r="O28" s="24">
        <v>212.6</v>
      </c>
      <c r="P28" s="23">
        <v>14.11</v>
      </c>
    </row>
    <row r="29" spans="1:16" x14ac:dyDescent="0.2">
      <c r="A29" s="21" t="s">
        <v>1219</v>
      </c>
      <c r="B29" s="22">
        <v>24</v>
      </c>
      <c r="C29" s="22">
        <v>6</v>
      </c>
      <c r="D29" s="21" t="s">
        <v>1131</v>
      </c>
      <c r="E29" s="21" t="s">
        <v>1234</v>
      </c>
      <c r="F29" s="21" t="s">
        <v>1235</v>
      </c>
      <c r="G29" s="22">
        <v>6</v>
      </c>
      <c r="H29" s="21" t="s">
        <v>1319</v>
      </c>
      <c r="I29" s="21" t="s">
        <v>1125</v>
      </c>
      <c r="J29" s="21" t="s">
        <v>1231</v>
      </c>
      <c r="K29" s="21" t="s">
        <v>1308</v>
      </c>
      <c r="L29" s="23">
        <v>11.357830199795734</v>
      </c>
      <c r="M29" s="23">
        <v>11.99</v>
      </c>
      <c r="N29" s="23">
        <v>2.65</v>
      </c>
      <c r="O29" s="24">
        <v>212.6</v>
      </c>
      <c r="P29" s="23">
        <v>15.28</v>
      </c>
    </row>
    <row r="30" spans="1:16" x14ac:dyDescent="0.2">
      <c r="A30" s="21" t="s">
        <v>1219</v>
      </c>
      <c r="B30" s="22">
        <v>25</v>
      </c>
      <c r="C30" s="22">
        <v>7</v>
      </c>
      <c r="D30" s="21" t="s">
        <v>1132</v>
      </c>
      <c r="E30" s="21" t="s">
        <v>1236</v>
      </c>
      <c r="F30" s="21" t="s">
        <v>1237</v>
      </c>
      <c r="G30" s="22">
        <v>5</v>
      </c>
      <c r="H30" s="21" t="s">
        <v>1318</v>
      </c>
      <c r="I30" s="21" t="s">
        <v>1125</v>
      </c>
      <c r="J30" s="21" t="s">
        <v>1231</v>
      </c>
      <c r="K30" s="21" t="s">
        <v>1306</v>
      </c>
      <c r="L30" s="23">
        <v>27.825119999999998</v>
      </c>
      <c r="M30" s="23">
        <v>13.21</v>
      </c>
      <c r="N30" s="23">
        <v>1.29</v>
      </c>
      <c r="O30" s="24">
        <v>219.3</v>
      </c>
      <c r="P30" s="23">
        <v>8.3800000000000008</v>
      </c>
    </row>
    <row r="31" spans="1:16" x14ac:dyDescent="0.2">
      <c r="A31" s="21" t="s">
        <v>1219</v>
      </c>
      <c r="B31" s="22">
        <v>26</v>
      </c>
      <c r="C31" s="22">
        <v>8</v>
      </c>
      <c r="D31" s="21" t="s">
        <v>1135</v>
      </c>
      <c r="E31" s="21" t="s">
        <v>1238</v>
      </c>
      <c r="F31" s="21" t="s">
        <v>1239</v>
      </c>
      <c r="G31" s="22">
        <v>1</v>
      </c>
      <c r="H31" s="21" t="s">
        <v>1313</v>
      </c>
      <c r="I31" s="21" t="s">
        <v>1305</v>
      </c>
      <c r="J31" s="21" t="s">
        <v>1222</v>
      </c>
      <c r="K31" s="21" t="s">
        <v>1314</v>
      </c>
      <c r="L31" s="23">
        <v>5.7076330000000004</v>
      </c>
      <c r="M31" s="23">
        <v>19.809999999999999</v>
      </c>
      <c r="N31" s="23">
        <v>0.5</v>
      </c>
      <c r="O31" s="24">
        <v>215.5</v>
      </c>
      <c r="P31" s="23">
        <v>5.0599999999999996</v>
      </c>
    </row>
    <row r="32" spans="1:16" x14ac:dyDescent="0.2">
      <c r="A32" s="21" t="s">
        <v>1219</v>
      </c>
      <c r="B32" s="22">
        <v>27</v>
      </c>
      <c r="C32" s="22">
        <v>8</v>
      </c>
      <c r="D32" s="21" t="s">
        <v>1135</v>
      </c>
      <c r="E32" s="21" t="s">
        <v>1238</v>
      </c>
      <c r="F32" s="21" t="s">
        <v>1239</v>
      </c>
      <c r="G32" s="22">
        <v>4</v>
      </c>
      <c r="H32" s="21" t="s">
        <v>1320</v>
      </c>
      <c r="I32" s="21" t="s">
        <v>1125</v>
      </c>
      <c r="J32" s="21" t="s">
        <v>1240</v>
      </c>
      <c r="K32" s="21" t="s">
        <v>1314</v>
      </c>
      <c r="L32" s="23">
        <v>14.684640055287908</v>
      </c>
      <c r="M32" s="23">
        <v>18.100000000000001</v>
      </c>
      <c r="N32" s="23">
        <v>0.38</v>
      </c>
      <c r="O32" s="24">
        <v>215.5</v>
      </c>
      <c r="P32" s="23">
        <v>5.0599999999999996</v>
      </c>
    </row>
    <row r="33" spans="1:16" x14ac:dyDescent="0.2">
      <c r="A33" s="21" t="s">
        <v>1219</v>
      </c>
      <c r="B33" s="22">
        <v>28</v>
      </c>
      <c r="C33" s="22">
        <v>8</v>
      </c>
      <c r="D33" s="21" t="s">
        <v>1135</v>
      </c>
      <c r="E33" s="21" t="s">
        <v>1238</v>
      </c>
      <c r="F33" s="21" t="s">
        <v>1239</v>
      </c>
      <c r="G33" s="22">
        <v>5</v>
      </c>
      <c r="H33" s="21" t="s">
        <v>1321</v>
      </c>
      <c r="I33" s="21" t="s">
        <v>1125</v>
      </c>
      <c r="J33" s="21" t="s">
        <v>1240</v>
      </c>
      <c r="K33" s="21" t="s">
        <v>1306</v>
      </c>
      <c r="L33" s="23">
        <v>16.005254944712096</v>
      </c>
      <c r="M33" s="23">
        <v>17.25</v>
      </c>
      <c r="N33" s="23">
        <v>0.77</v>
      </c>
      <c r="O33" s="24">
        <v>215.5</v>
      </c>
      <c r="P33" s="23">
        <v>5.47</v>
      </c>
    </row>
    <row r="34" spans="1:16" x14ac:dyDescent="0.2">
      <c r="A34" s="21" t="s">
        <v>1219</v>
      </c>
      <c r="B34" s="22">
        <v>29</v>
      </c>
      <c r="C34" s="22">
        <v>9</v>
      </c>
      <c r="D34" s="21" t="s">
        <v>1241</v>
      </c>
      <c r="E34" s="21" t="s">
        <v>1242</v>
      </c>
      <c r="F34" s="21" t="s">
        <v>1243</v>
      </c>
      <c r="G34" s="22">
        <v>4</v>
      </c>
      <c r="H34" s="21" t="s">
        <v>1320</v>
      </c>
      <c r="I34" s="21" t="s">
        <v>1125</v>
      </c>
      <c r="J34" s="21" t="s">
        <v>1240</v>
      </c>
      <c r="K34" s="21" t="s">
        <v>1314</v>
      </c>
      <c r="L34" s="23">
        <v>150.89489197555599</v>
      </c>
      <c r="M34" s="23">
        <v>16.84</v>
      </c>
      <c r="N34" s="23">
        <v>0.38</v>
      </c>
      <c r="O34" s="24">
        <v>214.3</v>
      </c>
      <c r="P34" s="23">
        <v>7.08</v>
      </c>
    </row>
    <row r="35" spans="1:16" x14ac:dyDescent="0.2">
      <c r="A35" s="21" t="s">
        <v>1219</v>
      </c>
      <c r="B35" s="22">
        <v>30</v>
      </c>
      <c r="C35" s="22">
        <v>9</v>
      </c>
      <c r="D35" s="21" t="s">
        <v>1241</v>
      </c>
      <c r="E35" s="21" t="s">
        <v>1242</v>
      </c>
      <c r="F35" s="21" t="s">
        <v>1243</v>
      </c>
      <c r="G35" s="22">
        <v>5</v>
      </c>
      <c r="H35" s="21" t="s">
        <v>1321</v>
      </c>
      <c r="I35" s="21" t="s">
        <v>1125</v>
      </c>
      <c r="J35" s="21" t="s">
        <v>1240</v>
      </c>
      <c r="K35" s="21" t="s">
        <v>1306</v>
      </c>
      <c r="L35" s="23">
        <v>2.4428080244440187</v>
      </c>
      <c r="M35" s="23">
        <v>16.22</v>
      </c>
      <c r="N35" s="23">
        <v>0.68</v>
      </c>
      <c r="O35" s="24">
        <v>214.3</v>
      </c>
      <c r="P35" s="23">
        <v>7.55</v>
      </c>
    </row>
    <row r="36" spans="1:16" x14ac:dyDescent="0.2">
      <c r="A36" s="21" t="s">
        <v>1219</v>
      </c>
      <c r="B36" s="22">
        <v>31</v>
      </c>
      <c r="C36" s="22">
        <v>10</v>
      </c>
      <c r="D36" s="21" t="s">
        <v>1133</v>
      </c>
      <c r="E36" s="21" t="s">
        <v>1244</v>
      </c>
      <c r="F36" s="21" t="s">
        <v>1245</v>
      </c>
      <c r="G36" s="22">
        <v>4</v>
      </c>
      <c r="H36" s="21" t="s">
        <v>1320</v>
      </c>
      <c r="I36" s="21" t="s">
        <v>1125</v>
      </c>
      <c r="J36" s="21" t="s">
        <v>1240</v>
      </c>
      <c r="K36" s="21" t="s">
        <v>1314</v>
      </c>
      <c r="L36" s="23">
        <v>235.038421</v>
      </c>
      <c r="M36" s="23">
        <v>17.63</v>
      </c>
      <c r="N36" s="23">
        <v>0.28000000000000003</v>
      </c>
      <c r="O36" s="24">
        <v>214.3</v>
      </c>
      <c r="P36" s="23">
        <v>5.22</v>
      </c>
    </row>
    <row r="37" spans="1:16" x14ac:dyDescent="0.2">
      <c r="A37" s="21" t="s">
        <v>1219</v>
      </c>
      <c r="B37" s="22">
        <v>32</v>
      </c>
      <c r="C37" s="22">
        <v>11</v>
      </c>
      <c r="D37" s="21" t="s">
        <v>1136</v>
      </c>
      <c r="E37" s="21" t="s">
        <v>1246</v>
      </c>
      <c r="F37" s="21" t="s">
        <v>1247</v>
      </c>
      <c r="G37" s="22">
        <v>1</v>
      </c>
      <c r="H37" s="21" t="s">
        <v>1322</v>
      </c>
      <c r="I37" s="21" t="s">
        <v>1305</v>
      </c>
      <c r="J37" s="21" t="s">
        <v>1240</v>
      </c>
      <c r="K37" s="21" t="s">
        <v>1314</v>
      </c>
      <c r="L37" s="23">
        <v>4.6365569999999998</v>
      </c>
      <c r="M37" s="23">
        <v>18.87</v>
      </c>
      <c r="N37" s="23">
        <v>0.63</v>
      </c>
      <c r="O37" s="24">
        <v>214.3</v>
      </c>
      <c r="P37" s="23">
        <v>2.19</v>
      </c>
    </row>
    <row r="38" spans="1:16" x14ac:dyDescent="0.2">
      <c r="A38" s="21" t="s">
        <v>1219</v>
      </c>
      <c r="B38" s="22">
        <v>33</v>
      </c>
      <c r="C38" s="22">
        <v>11</v>
      </c>
      <c r="D38" s="21" t="s">
        <v>1136</v>
      </c>
      <c r="E38" s="21" t="s">
        <v>1246</v>
      </c>
      <c r="F38" s="21" t="s">
        <v>1247</v>
      </c>
      <c r="G38" s="22">
        <v>4</v>
      </c>
      <c r="H38" s="21" t="s">
        <v>1320</v>
      </c>
      <c r="I38" s="21" t="s">
        <v>1125</v>
      </c>
      <c r="J38" s="21" t="s">
        <v>1240</v>
      </c>
      <c r="K38" s="21" t="s">
        <v>1314</v>
      </c>
      <c r="L38" s="23">
        <v>3.4815663334764788</v>
      </c>
      <c r="M38" s="23">
        <v>19.02</v>
      </c>
      <c r="N38" s="23">
        <v>0.49</v>
      </c>
      <c r="O38" s="24">
        <v>214.3</v>
      </c>
      <c r="P38" s="23">
        <v>4.0599999999999996</v>
      </c>
    </row>
    <row r="39" spans="1:16" x14ac:dyDescent="0.2">
      <c r="A39" s="21" t="s">
        <v>1219</v>
      </c>
      <c r="B39" s="22">
        <v>34</v>
      </c>
      <c r="C39" s="22">
        <v>11</v>
      </c>
      <c r="D39" s="21" t="s">
        <v>1136</v>
      </c>
      <c r="E39" s="21" t="s">
        <v>1246</v>
      </c>
      <c r="F39" s="21" t="s">
        <v>1247</v>
      </c>
      <c r="G39" s="22">
        <v>5</v>
      </c>
      <c r="H39" s="21" t="s">
        <v>1321</v>
      </c>
      <c r="I39" s="21" t="s">
        <v>1125</v>
      </c>
      <c r="J39" s="21" t="s">
        <v>1240</v>
      </c>
      <c r="K39" s="21" t="s">
        <v>1306</v>
      </c>
      <c r="L39" s="23">
        <v>4.9473666665235214</v>
      </c>
      <c r="M39" s="23">
        <v>19.54</v>
      </c>
      <c r="N39" s="23">
        <v>0.79</v>
      </c>
      <c r="O39" s="24">
        <v>214.3</v>
      </c>
      <c r="P39" s="23">
        <v>4.3499999999999996</v>
      </c>
    </row>
    <row r="40" spans="1:16" x14ac:dyDescent="0.2">
      <c r="A40" s="21" t="s">
        <v>1219</v>
      </c>
      <c r="B40" s="22">
        <v>35</v>
      </c>
      <c r="C40" s="22">
        <v>12</v>
      </c>
      <c r="D40" s="21" t="s">
        <v>1137</v>
      </c>
      <c r="E40" s="21" t="s">
        <v>1248</v>
      </c>
      <c r="F40" s="21" t="s">
        <v>1249</v>
      </c>
      <c r="G40" s="22">
        <v>1</v>
      </c>
      <c r="H40" s="21" t="s">
        <v>1313</v>
      </c>
      <c r="I40" s="21" t="s">
        <v>1305</v>
      </c>
      <c r="J40" s="21" t="s">
        <v>1222</v>
      </c>
      <c r="K40" s="21" t="s">
        <v>1314</v>
      </c>
      <c r="L40" s="23">
        <v>40.040606000000004</v>
      </c>
      <c r="M40" s="23">
        <v>22.74</v>
      </c>
      <c r="N40" s="23">
        <v>0.51</v>
      </c>
      <c r="O40" s="24">
        <v>209.6</v>
      </c>
      <c r="P40" s="23">
        <v>3.82</v>
      </c>
    </row>
    <row r="41" spans="1:16" x14ac:dyDescent="0.2">
      <c r="A41" s="21" t="s">
        <v>1219</v>
      </c>
      <c r="B41" s="22">
        <v>37</v>
      </c>
      <c r="C41" s="22">
        <v>12</v>
      </c>
      <c r="D41" s="21" t="s">
        <v>1137</v>
      </c>
      <c r="E41" s="21" t="s">
        <v>1248</v>
      </c>
      <c r="F41" s="21" t="s">
        <v>1249</v>
      </c>
      <c r="G41" s="22">
        <v>4</v>
      </c>
      <c r="H41" s="21" t="s">
        <v>1320</v>
      </c>
      <c r="I41" s="21" t="s">
        <v>1125</v>
      </c>
      <c r="J41" s="21" t="s">
        <v>1240</v>
      </c>
      <c r="K41" s="21" t="s">
        <v>1314</v>
      </c>
      <c r="L41" s="23">
        <v>5.4901350000000004</v>
      </c>
      <c r="M41" s="23">
        <v>19.93</v>
      </c>
      <c r="N41" s="23">
        <v>0.51</v>
      </c>
      <c r="O41" s="24">
        <v>212.8</v>
      </c>
      <c r="P41" s="23">
        <v>2.04</v>
      </c>
    </row>
    <row r="42" spans="1:16" x14ac:dyDescent="0.2">
      <c r="A42" s="21" t="s">
        <v>1219</v>
      </c>
      <c r="B42" s="22">
        <v>36</v>
      </c>
      <c r="C42" s="22">
        <v>12</v>
      </c>
      <c r="D42" s="21" t="s">
        <v>1137</v>
      </c>
      <c r="E42" s="21" t="s">
        <v>1248</v>
      </c>
      <c r="F42" s="21" t="s">
        <v>1249</v>
      </c>
      <c r="G42" s="22">
        <v>7</v>
      </c>
      <c r="H42" s="21" t="s">
        <v>1316</v>
      </c>
      <c r="I42" s="21" t="s">
        <v>1126</v>
      </c>
      <c r="J42" s="21" t="s">
        <v>1223</v>
      </c>
      <c r="K42" s="21" t="s">
        <v>1314</v>
      </c>
      <c r="L42" s="23">
        <v>5.1271999999999998E-2</v>
      </c>
      <c r="M42" s="23">
        <v>26.3</v>
      </c>
      <c r="N42" s="23">
        <v>0.43</v>
      </c>
      <c r="O42" s="24">
        <v>209.6</v>
      </c>
      <c r="P42" s="23">
        <v>0</v>
      </c>
    </row>
    <row r="43" spans="1:16" x14ac:dyDescent="0.2">
      <c r="A43" s="21" t="s">
        <v>1219</v>
      </c>
      <c r="B43" s="22">
        <v>38</v>
      </c>
      <c r="C43" s="22">
        <v>13</v>
      </c>
      <c r="D43" s="21" t="s">
        <v>1138</v>
      </c>
      <c r="E43" s="21" t="s">
        <v>1250</v>
      </c>
      <c r="F43" s="21" t="s">
        <v>1251</v>
      </c>
      <c r="G43" s="22">
        <v>2</v>
      </c>
      <c r="H43" s="21" t="s">
        <v>1304</v>
      </c>
      <c r="I43" s="21" t="s">
        <v>1305</v>
      </c>
      <c r="J43" s="21" t="s">
        <v>1222</v>
      </c>
      <c r="K43" s="21" t="s">
        <v>1306</v>
      </c>
      <c r="L43" s="23">
        <v>4.960375</v>
      </c>
      <c r="M43" s="23">
        <v>19.07</v>
      </c>
      <c r="N43" s="23">
        <v>0.79</v>
      </c>
      <c r="O43" s="24">
        <v>207.1</v>
      </c>
      <c r="P43" s="23">
        <v>7.18</v>
      </c>
    </row>
    <row r="44" spans="1:16" x14ac:dyDescent="0.2">
      <c r="A44" s="21" t="s">
        <v>1219</v>
      </c>
      <c r="B44" s="22">
        <v>39</v>
      </c>
      <c r="C44" s="22">
        <v>13</v>
      </c>
      <c r="D44" s="21" t="s">
        <v>1138</v>
      </c>
      <c r="E44" s="21" t="s">
        <v>1250</v>
      </c>
      <c r="F44" s="21" t="s">
        <v>1251</v>
      </c>
      <c r="G44" s="22">
        <v>4</v>
      </c>
      <c r="H44" s="21" t="s">
        <v>1315</v>
      </c>
      <c r="I44" s="21" t="s">
        <v>1125</v>
      </c>
      <c r="J44" s="21" t="s">
        <v>1222</v>
      </c>
      <c r="K44" s="21" t="s">
        <v>1314</v>
      </c>
      <c r="L44" s="23">
        <v>7.5628197366512522</v>
      </c>
      <c r="M44" s="23">
        <v>21.54</v>
      </c>
      <c r="N44" s="23">
        <v>0.56000000000000005</v>
      </c>
      <c r="O44" s="24">
        <v>207.1</v>
      </c>
      <c r="P44" s="23">
        <v>4.66</v>
      </c>
    </row>
    <row r="45" spans="1:16" x14ac:dyDescent="0.2">
      <c r="A45" s="21" t="s">
        <v>1219</v>
      </c>
      <c r="B45" s="22">
        <v>40</v>
      </c>
      <c r="C45" s="22">
        <v>13</v>
      </c>
      <c r="D45" s="21" t="s">
        <v>1138</v>
      </c>
      <c r="E45" s="21" t="s">
        <v>1250</v>
      </c>
      <c r="F45" s="21" t="s">
        <v>1251</v>
      </c>
      <c r="G45" s="22">
        <v>5</v>
      </c>
      <c r="H45" s="21" t="s">
        <v>1321</v>
      </c>
      <c r="I45" s="21" t="s">
        <v>1125</v>
      </c>
      <c r="J45" s="21" t="s">
        <v>1240</v>
      </c>
      <c r="K45" s="21" t="s">
        <v>1306</v>
      </c>
      <c r="L45" s="23">
        <v>17.422356263348746</v>
      </c>
      <c r="M45" s="23">
        <v>17.98</v>
      </c>
      <c r="N45" s="23">
        <v>0.91</v>
      </c>
      <c r="O45" s="24">
        <v>209.2</v>
      </c>
      <c r="P45" s="23">
        <v>7.18</v>
      </c>
    </row>
    <row r="46" spans="1:16" x14ac:dyDescent="0.2">
      <c r="A46" s="21" t="s">
        <v>1219</v>
      </c>
      <c r="B46" s="22">
        <v>41</v>
      </c>
      <c r="C46" s="22">
        <v>14</v>
      </c>
      <c r="D46" s="21" t="s">
        <v>1139</v>
      </c>
      <c r="E46" s="21" t="s">
        <v>1252</v>
      </c>
      <c r="F46" s="21" t="s">
        <v>1253</v>
      </c>
      <c r="G46" s="22">
        <v>4</v>
      </c>
      <c r="H46" s="21" t="s">
        <v>1320</v>
      </c>
      <c r="I46" s="21" t="s">
        <v>1125</v>
      </c>
      <c r="J46" s="21" t="s">
        <v>1240</v>
      </c>
      <c r="K46" s="21" t="s">
        <v>1314</v>
      </c>
      <c r="L46" s="23">
        <v>2.0520860000000001</v>
      </c>
      <c r="M46" s="23">
        <v>16.02</v>
      </c>
      <c r="N46" s="23">
        <v>0.28999999999999998</v>
      </c>
      <c r="O46" s="24">
        <v>216.1</v>
      </c>
      <c r="P46" s="23">
        <v>6.99</v>
      </c>
    </row>
    <row r="47" spans="1:16" x14ac:dyDescent="0.2">
      <c r="L47" s="17"/>
    </row>
    <row r="54" spans="1:2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96" spans="1:22" x14ac:dyDescent="0.2">
      <c r="A96" s="13"/>
      <c r="B96" s="13"/>
      <c r="C96" s="14"/>
      <c r="D96" s="14"/>
      <c r="E96" s="14"/>
      <c r="F96" s="18"/>
      <c r="G96" s="18"/>
      <c r="H96" s="14"/>
      <c r="I96" s="14"/>
      <c r="J96" s="14"/>
      <c r="K96" s="14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</sheetData>
  <pageMargins left="0.7" right="0.7" top="0.75" bottom="0.75" header="0.3" footer="0.3"/>
  <pageSetup scale="3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2:BK492"/>
  <sheetViews>
    <sheetView showFormulas="1" zoomScale="80" zoomScaleNormal="80" workbookViewId="0">
      <selection activeCell="H12" sqref="H12"/>
    </sheetView>
  </sheetViews>
  <sheetFormatPr defaultColWidth="9.140625" defaultRowHeight="12.75" x14ac:dyDescent="0.2"/>
  <cols>
    <col min="1" max="1" width="38.42578125" style="112" customWidth="1"/>
    <col min="2" max="2" width="20.42578125" style="112" customWidth="1"/>
    <col min="3" max="3" width="15.85546875" style="112" customWidth="1"/>
    <col min="4" max="4" width="21.7109375" style="112" customWidth="1"/>
    <col min="5" max="5" width="28" style="112" customWidth="1"/>
    <col min="6" max="6" width="11.85546875" style="112" customWidth="1"/>
    <col min="7" max="7" width="13" style="112" customWidth="1"/>
    <col min="8" max="8" width="12.7109375" style="112" customWidth="1"/>
    <col min="9" max="9" width="14.5703125" style="112" customWidth="1"/>
    <col min="10" max="10" width="12.5703125" style="112" customWidth="1"/>
    <col min="11" max="11" width="14" style="112" customWidth="1"/>
    <col min="12" max="12" width="16.28515625" style="112" customWidth="1"/>
    <col min="13" max="16" width="12.5703125" style="112" bestFit="1" customWidth="1"/>
    <col min="17" max="17" width="12.85546875" style="112" bestFit="1" customWidth="1"/>
    <col min="18" max="19" width="11.85546875" style="112" bestFit="1" customWidth="1"/>
    <col min="20" max="20" width="12.5703125" style="112" bestFit="1" customWidth="1"/>
    <col min="21" max="21" width="11.85546875" style="112" bestFit="1" customWidth="1"/>
    <col min="22" max="22" width="12.140625" style="112" bestFit="1" customWidth="1"/>
    <col min="23" max="23" width="11.85546875" style="112" bestFit="1" customWidth="1"/>
    <col min="24" max="24" width="12.5703125" style="112" bestFit="1" customWidth="1"/>
    <col min="25" max="25" width="11.85546875" style="112" bestFit="1" customWidth="1"/>
    <col min="26" max="26" width="12.5703125" style="112" bestFit="1" customWidth="1"/>
    <col min="27" max="27" width="12.140625" style="112" bestFit="1" customWidth="1"/>
    <col min="28" max="28" width="11.85546875" style="112" bestFit="1" customWidth="1"/>
    <col min="29" max="29" width="12.5703125" style="112" bestFit="1" customWidth="1"/>
    <col min="30" max="30" width="11.85546875" style="112" bestFit="1" customWidth="1"/>
    <col min="31" max="31" width="12.5703125" style="112" bestFit="1" customWidth="1"/>
    <col min="32" max="32" width="12.85546875" style="112" bestFit="1" customWidth="1"/>
    <col min="33" max="34" width="11.85546875" style="112" bestFit="1" customWidth="1"/>
    <col min="35" max="36" width="9.140625" style="112"/>
    <col min="37" max="37" width="9.7109375" style="112" bestFit="1" customWidth="1"/>
    <col min="38" max="16384" width="9.140625" style="112"/>
  </cols>
  <sheetData>
    <row r="2" spans="1:12" ht="10.5" customHeight="1" x14ac:dyDescent="0.2"/>
    <row r="3" spans="1:12" ht="28.5" customHeight="1" x14ac:dyDescent="0.2">
      <c r="B3" s="321" t="s">
        <v>1324</v>
      </c>
      <c r="C3" s="322"/>
      <c r="E3" s="113"/>
      <c r="F3" s="114"/>
      <c r="G3" s="114" t="s">
        <v>1325</v>
      </c>
      <c r="H3" s="114" t="s">
        <v>1326</v>
      </c>
      <c r="I3" s="115"/>
    </row>
    <row r="4" spans="1:12" x14ac:dyDescent="0.2">
      <c r="B4" s="116">
        <v>2.2174340451946435</v>
      </c>
      <c r="C4" s="117">
        <v>75.964669846839271</v>
      </c>
      <c r="E4" s="118" t="s">
        <v>1327</v>
      </c>
      <c r="F4" s="119">
        <v>0</v>
      </c>
      <c r="G4" s="120">
        <f t="shared" ref="G4:H7" si="0">B4</f>
        <v>2.2174340451946435</v>
      </c>
      <c r="H4" s="120">
        <f t="shared" si="0"/>
        <v>75.964669846839271</v>
      </c>
      <c r="I4" s="121" t="str">
        <f t="shared" ref="I4:I12" si="1">CONCATENATE(E4," ",F4)</f>
        <v>Step 0</v>
      </c>
    </row>
    <row r="5" spans="1:12" x14ac:dyDescent="0.2">
      <c r="B5" s="122">
        <v>2.6994353146363834</v>
      </c>
      <c r="C5" s="123">
        <v>59.11284637696</v>
      </c>
      <c r="E5" s="118" t="s">
        <v>1327</v>
      </c>
      <c r="F5" s="119">
        <f>F4+1</f>
        <v>1</v>
      </c>
      <c r="G5" s="120">
        <f t="shared" si="0"/>
        <v>2.6994353146363834</v>
      </c>
      <c r="H5" s="120">
        <f t="shared" si="0"/>
        <v>59.11284637696</v>
      </c>
      <c r="I5" s="121" t="str">
        <f t="shared" si="1"/>
        <v>Step 1</v>
      </c>
    </row>
    <row r="6" spans="1:12" x14ac:dyDescent="0.2">
      <c r="B6" s="122">
        <v>4.8811673072869457</v>
      </c>
      <c r="C6" s="123">
        <v>78.342773450687886</v>
      </c>
      <c r="E6" s="118" t="s">
        <v>1327</v>
      </c>
      <c r="F6" s="119">
        <f>F5+1</f>
        <v>2</v>
      </c>
      <c r="G6" s="120">
        <f t="shared" si="0"/>
        <v>4.8811673072869457</v>
      </c>
      <c r="H6" s="120">
        <f t="shared" si="0"/>
        <v>78.342773450687886</v>
      </c>
      <c r="I6" s="121" t="str">
        <f t="shared" si="1"/>
        <v>Step 2</v>
      </c>
    </row>
    <row r="7" spans="1:12" x14ac:dyDescent="0.2">
      <c r="B7" s="122">
        <v>5.9536845760660428</v>
      </c>
      <c r="C7" s="123">
        <v>81.419895113608248</v>
      </c>
      <c r="E7" s="118" t="s">
        <v>1327</v>
      </c>
      <c r="F7" s="119">
        <f>F6+1</f>
        <v>3</v>
      </c>
      <c r="G7" s="120">
        <f t="shared" si="0"/>
        <v>5.9536845760660428</v>
      </c>
      <c r="H7" s="120">
        <f t="shared" si="0"/>
        <v>81.419895113608248</v>
      </c>
      <c r="I7" s="121" t="str">
        <f t="shared" si="1"/>
        <v>Step 3</v>
      </c>
    </row>
    <row r="8" spans="1:12" x14ac:dyDescent="0.2">
      <c r="B8" s="122">
        <v>6.3149210587640328</v>
      </c>
      <c r="C8" s="123">
        <v>97.02311488972434</v>
      </c>
      <c r="E8" s="118" t="s">
        <v>1327</v>
      </c>
      <c r="F8" s="119">
        <f>F7+1</f>
        <v>4</v>
      </c>
      <c r="G8" s="120">
        <f>((B8*C8)+(C9*B9))/(C8+C9)</f>
        <v>6.3700473749826951</v>
      </c>
      <c r="H8" s="120">
        <f>SUM(C8:C9)</f>
        <v>204.61525731300003</v>
      </c>
      <c r="I8" s="121" t="str">
        <f t="shared" si="1"/>
        <v>Step 4</v>
      </c>
    </row>
    <row r="9" spans="1:12" x14ac:dyDescent="0.2">
      <c r="B9" s="122">
        <v>6.4197585043594954</v>
      </c>
      <c r="C9" s="123">
        <v>107.59214242327569</v>
      </c>
      <c r="E9" s="118" t="s">
        <v>1327</v>
      </c>
      <c r="F9" s="119">
        <v>5</v>
      </c>
      <c r="G9" s="120">
        <f>((B10*C10)+(C11*B11))/(C10+C11)</f>
        <v>6.4921281151064232</v>
      </c>
      <c r="H9" s="120">
        <f>SUM(C10:C11)</f>
        <v>195.27735667404394</v>
      </c>
      <c r="I9" s="121" t="str">
        <f t="shared" si="1"/>
        <v>Step 5</v>
      </c>
    </row>
    <row r="10" spans="1:12" x14ac:dyDescent="0.2">
      <c r="B10" s="122">
        <v>6.4383996330293769</v>
      </c>
      <c r="C10" s="123">
        <v>75.964869908516945</v>
      </c>
      <c r="E10" s="118" t="s">
        <v>1327</v>
      </c>
      <c r="F10" s="119">
        <v>6</v>
      </c>
      <c r="G10" s="120">
        <f t="shared" ref="G10:H12" si="2">B12</f>
        <v>6.6346836806200828</v>
      </c>
      <c r="H10" s="120">
        <f t="shared" si="2"/>
        <v>132.30956441196824</v>
      </c>
      <c r="I10" s="121" t="str">
        <f t="shared" si="1"/>
        <v>Step 6</v>
      </c>
    </row>
    <row r="11" spans="1:12" x14ac:dyDescent="0.2">
      <c r="B11" s="122">
        <v>6.5263364135168462</v>
      </c>
      <c r="C11" s="123">
        <v>119.312486765527</v>
      </c>
      <c r="E11" s="118" t="s">
        <v>1327</v>
      </c>
      <c r="F11" s="119">
        <v>7</v>
      </c>
      <c r="G11" s="120">
        <f t="shared" si="2"/>
        <v>6.7448296797446146</v>
      </c>
      <c r="H11" s="120">
        <f t="shared" si="2"/>
        <v>146.72245386425669</v>
      </c>
      <c r="I11" s="121" t="str">
        <f t="shared" si="1"/>
        <v>Step 7</v>
      </c>
    </row>
    <row r="12" spans="1:12" x14ac:dyDescent="0.2">
      <c r="B12" s="122">
        <v>6.6346836806200828</v>
      </c>
      <c r="C12" s="123">
        <v>132.30956441196824</v>
      </c>
      <c r="E12" s="124" t="s">
        <v>1327</v>
      </c>
      <c r="F12" s="125">
        <v>8</v>
      </c>
      <c r="G12" s="126">
        <f t="shared" si="2"/>
        <v>6.8568042726208844</v>
      </c>
      <c r="H12" s="126">
        <f t="shared" si="2"/>
        <v>162.70538387474002</v>
      </c>
      <c r="I12" s="127" t="str">
        <f t="shared" si="1"/>
        <v>Step 8</v>
      </c>
    </row>
    <row r="13" spans="1:12" x14ac:dyDescent="0.2">
      <c r="B13" s="122">
        <v>6.7448296797446146</v>
      </c>
      <c r="C13" s="123">
        <v>146.72245386425669</v>
      </c>
    </row>
    <row r="14" spans="1:12" x14ac:dyDescent="0.2">
      <c r="B14" s="128">
        <v>6.8568042726208844</v>
      </c>
      <c r="C14" s="129">
        <v>162.70538387474002</v>
      </c>
    </row>
    <row r="15" spans="1:12" x14ac:dyDescent="0.2">
      <c r="A15" s="77" t="s">
        <v>1328</v>
      </c>
    </row>
    <row r="16" spans="1:12" x14ac:dyDescent="0.2">
      <c r="A16" s="295" t="s">
        <v>1329</v>
      </c>
      <c r="B16" s="130">
        <v>75.964669846839271</v>
      </c>
      <c r="C16" s="130">
        <v>59.11284637696</v>
      </c>
      <c r="D16" s="130">
        <v>78.342773450687886</v>
      </c>
      <c r="E16" s="130">
        <v>81.419895113608248</v>
      </c>
      <c r="F16" s="130">
        <v>97.02311488972434</v>
      </c>
      <c r="G16" s="130">
        <v>107.59214242327569</v>
      </c>
      <c r="H16" s="130">
        <v>75.964869908516945</v>
      </c>
      <c r="I16" s="130">
        <v>119.312486765527</v>
      </c>
      <c r="J16" s="130">
        <v>132.30956441196824</v>
      </c>
      <c r="K16" s="130">
        <v>146.72245386425669</v>
      </c>
      <c r="L16" s="131">
        <v>162.70538387474002</v>
      </c>
    </row>
    <row r="17" spans="1:31" x14ac:dyDescent="0.2">
      <c r="A17" s="132" t="s">
        <v>1330</v>
      </c>
      <c r="B17" s="133">
        <v>2.2174340451946435</v>
      </c>
      <c r="C17" s="133">
        <v>2.6994353146363834</v>
      </c>
      <c r="D17" s="133">
        <v>4.8811673072869457</v>
      </c>
      <c r="E17" s="133">
        <v>5.9536845760660428</v>
      </c>
      <c r="F17" s="133">
        <v>6.3149210587640328</v>
      </c>
      <c r="G17" s="133">
        <v>6.4197585043594954</v>
      </c>
      <c r="H17" s="133">
        <v>6.4383996330293769</v>
      </c>
      <c r="I17" s="133">
        <v>6.5263364135168462</v>
      </c>
      <c r="J17" s="133">
        <v>6.6346836806200828</v>
      </c>
      <c r="K17" s="133">
        <v>6.7448296797446146</v>
      </c>
      <c r="L17" s="134">
        <v>6.8568042726208844</v>
      </c>
    </row>
    <row r="18" spans="1:31" x14ac:dyDescent="0.2">
      <c r="A18" s="113" t="s">
        <v>1331</v>
      </c>
      <c r="B18" s="135">
        <f t="shared" ref="B18:L18" si="3">B16/$C140</f>
        <v>8.1997077344874301E-6</v>
      </c>
      <c r="C18" s="135">
        <f t="shared" si="3"/>
        <v>6.3807038801326914E-6</v>
      </c>
      <c r="D18" s="135">
        <f t="shared" si="3"/>
        <v>8.4564027817140622E-6</v>
      </c>
      <c r="E18" s="135">
        <f t="shared" si="3"/>
        <v>8.7885505860852125E-6</v>
      </c>
      <c r="F18" s="135">
        <f t="shared" si="3"/>
        <v>1.0472778821909629E-5</v>
      </c>
      <c r="G18" s="135">
        <f t="shared" si="3"/>
        <v>1.1613610961213364E-5</v>
      </c>
      <c r="H18" s="135">
        <f t="shared" si="3"/>
        <v>8.1997293293589561E-6</v>
      </c>
      <c r="I18" s="135">
        <f t="shared" si="3"/>
        <v>1.2878717468590789E-5</v>
      </c>
      <c r="J18" s="135">
        <f t="shared" si="3"/>
        <v>1.4281635934742619E-5</v>
      </c>
      <c r="K18" s="135">
        <f t="shared" si="3"/>
        <v>1.5837378641931639E-5</v>
      </c>
      <c r="L18" s="136">
        <f t="shared" si="3"/>
        <v>1.7562593206688739E-5</v>
      </c>
    </row>
    <row r="22" spans="1:31" x14ac:dyDescent="0.2">
      <c r="A22" s="78" t="s">
        <v>1332</v>
      </c>
      <c r="B22" s="78">
        <v>2000</v>
      </c>
      <c r="C22" s="78">
        <f t="shared" ref="C22:L22" si="4">B22+5</f>
        <v>2005</v>
      </c>
      <c r="D22" s="78">
        <f t="shared" si="4"/>
        <v>2010</v>
      </c>
      <c r="E22" s="78">
        <f t="shared" si="4"/>
        <v>2015</v>
      </c>
      <c r="F22" s="78">
        <f t="shared" si="4"/>
        <v>2020</v>
      </c>
      <c r="G22" s="78">
        <f t="shared" si="4"/>
        <v>2025</v>
      </c>
      <c r="H22" s="78">
        <f t="shared" si="4"/>
        <v>2030</v>
      </c>
      <c r="I22" s="78">
        <f t="shared" si="4"/>
        <v>2035</v>
      </c>
      <c r="J22" s="78">
        <f t="shared" si="4"/>
        <v>2040</v>
      </c>
      <c r="K22" s="78">
        <f t="shared" si="4"/>
        <v>2045</v>
      </c>
      <c r="L22" s="78">
        <f t="shared" si="4"/>
        <v>2050</v>
      </c>
    </row>
    <row r="23" spans="1:31" x14ac:dyDescent="0.2">
      <c r="A23" s="295" t="s">
        <v>1329</v>
      </c>
      <c r="B23" s="137">
        <f>G193</f>
        <v>59.589562879999995</v>
      </c>
      <c r="C23" s="137">
        <f>L193</f>
        <v>76.577288152055729</v>
      </c>
      <c r="D23" s="137">
        <f>Q193</f>
        <v>78.454110218429022</v>
      </c>
      <c r="E23" s="137">
        <f>V193</f>
        <v>40.595863802914309</v>
      </c>
      <c r="F23" s="137">
        <f>AA193</f>
        <v>62.45517508140663</v>
      </c>
      <c r="G23" s="137">
        <f>AF193</f>
        <v>125.95126974750337</v>
      </c>
      <c r="H23" s="137">
        <f>AK193</f>
        <v>163.42437479634739</v>
      </c>
      <c r="I23" s="137">
        <f t="shared" ref="I23:L24" si="5">H23*(1+((H23-G23)/G23))</f>
        <v>212.04650283493015</v>
      </c>
      <c r="J23" s="137">
        <f t="shared" si="5"/>
        <v>275.13471855441355</v>
      </c>
      <c r="K23" s="137">
        <f t="shared" si="5"/>
        <v>356.99298192597473</v>
      </c>
      <c r="L23" s="138">
        <f t="shared" si="5"/>
        <v>463.20576993700865</v>
      </c>
    </row>
    <row r="24" spans="1:31" x14ac:dyDescent="0.2">
      <c r="A24" s="132" t="s">
        <v>1330</v>
      </c>
      <c r="B24" s="139">
        <f>G186</f>
        <v>2.3678884182655824</v>
      </c>
      <c r="C24" s="139">
        <f>L186</f>
        <v>0.95248209794683847</v>
      </c>
      <c r="D24" s="139">
        <f>Q186</f>
        <v>5.8358053556344593</v>
      </c>
      <c r="E24" s="139">
        <f>V186</f>
        <v>6.9656900857062114</v>
      </c>
      <c r="F24" s="139">
        <f>AA186</f>
        <v>8.6334716170781363</v>
      </c>
      <c r="G24" s="139">
        <f>AF186</f>
        <v>9.7876103976264393</v>
      </c>
      <c r="H24" s="139">
        <f>AK186</f>
        <v>10.827285776476838</v>
      </c>
      <c r="I24" s="133">
        <f t="shared" si="5"/>
        <v>11.977399234641249</v>
      </c>
      <c r="J24" s="133">
        <f t="shared" si="5"/>
        <v>13.249681904366021</v>
      </c>
      <c r="K24" s="133">
        <f t="shared" si="5"/>
        <v>14.657111041196972</v>
      </c>
      <c r="L24" s="134">
        <f t="shared" si="5"/>
        <v>16.214042391703554</v>
      </c>
    </row>
    <row r="25" spans="1:31" s="140" customFormat="1" ht="13.5" thickBot="1" x14ac:dyDescent="0.25"/>
    <row r="27" spans="1:31" x14ac:dyDescent="0.2">
      <c r="A27" s="79" t="s">
        <v>1333</v>
      </c>
      <c r="B27" s="141"/>
      <c r="C27" s="79" t="s">
        <v>1334</v>
      </c>
      <c r="D27" s="80"/>
      <c r="E27" s="79"/>
      <c r="F27" s="80"/>
    </row>
    <row r="28" spans="1:31" x14ac:dyDescent="0.2">
      <c r="A28" s="79" t="s">
        <v>1335</v>
      </c>
      <c r="B28" s="141"/>
      <c r="C28" s="79" t="s">
        <v>1336</v>
      </c>
      <c r="D28" s="79" t="s">
        <v>1337</v>
      </c>
      <c r="E28" s="141"/>
      <c r="F28" s="80"/>
    </row>
    <row r="29" spans="1:31" x14ac:dyDescent="0.2">
      <c r="A29" s="79" t="s">
        <v>1338</v>
      </c>
      <c r="B29" s="141"/>
      <c r="C29" s="79" t="s">
        <v>1339</v>
      </c>
      <c r="D29" s="80"/>
      <c r="E29" s="80"/>
      <c r="F29" s="80"/>
    </row>
    <row r="30" spans="1:31" x14ac:dyDescent="0.2">
      <c r="A30" s="79" t="s">
        <v>1340</v>
      </c>
      <c r="B30" s="79"/>
      <c r="C30" s="81">
        <v>40148</v>
      </c>
      <c r="D30" s="80"/>
      <c r="E30" s="79"/>
      <c r="F30" s="80"/>
    </row>
    <row r="31" spans="1:31" x14ac:dyDescent="0.2">
      <c r="A31" s="82"/>
      <c r="B31" s="82"/>
      <c r="C31" s="83"/>
      <c r="D31" s="84"/>
      <c r="E31" s="82"/>
      <c r="F31" s="80"/>
    </row>
    <row r="32" spans="1:31" x14ac:dyDescent="0.2">
      <c r="A32" s="85" t="s">
        <v>1341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</row>
    <row r="33" spans="1:35" x14ac:dyDescent="0.2">
      <c r="A33" s="85" t="s">
        <v>1342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</row>
    <row r="34" spans="1:35" x14ac:dyDescent="0.2">
      <c r="A34" s="85" t="s">
        <v>1343</v>
      </c>
      <c r="B34" s="368" t="s">
        <v>1344</v>
      </c>
      <c r="C34" s="368"/>
      <c r="D34" s="344" t="s">
        <v>1345</v>
      </c>
      <c r="E34" s="344"/>
      <c r="F34" s="344" t="s">
        <v>1346</v>
      </c>
      <c r="G34" s="344"/>
      <c r="H34" s="86" t="s">
        <v>1343</v>
      </c>
      <c r="I34" s="86" t="s">
        <v>1343</v>
      </c>
      <c r="J34" s="86" t="s">
        <v>1343</v>
      </c>
      <c r="K34" s="86" t="s">
        <v>1343</v>
      </c>
      <c r="L34" s="86" t="s">
        <v>1343</v>
      </c>
      <c r="M34" s="86" t="s">
        <v>1343</v>
      </c>
      <c r="N34" s="86" t="s">
        <v>1343</v>
      </c>
      <c r="O34" s="86" t="s">
        <v>1343</v>
      </c>
      <c r="P34" s="86" t="s">
        <v>1343</v>
      </c>
      <c r="Q34" s="86" t="s">
        <v>1343</v>
      </c>
      <c r="R34" s="86" t="s">
        <v>1343</v>
      </c>
      <c r="S34" s="86" t="s">
        <v>1343</v>
      </c>
      <c r="T34" s="86" t="s">
        <v>1343</v>
      </c>
      <c r="U34" s="86" t="s">
        <v>1343</v>
      </c>
      <c r="V34" s="86" t="s">
        <v>1343</v>
      </c>
      <c r="W34" s="86" t="s">
        <v>1343</v>
      </c>
      <c r="X34" s="86" t="s">
        <v>1343</v>
      </c>
      <c r="Y34" s="86" t="s">
        <v>1343</v>
      </c>
      <c r="Z34" s="86" t="s">
        <v>1343</v>
      </c>
      <c r="AA34" s="86" t="s">
        <v>1343</v>
      </c>
      <c r="AB34" s="86" t="s">
        <v>1343</v>
      </c>
      <c r="AC34" s="86" t="s">
        <v>1343</v>
      </c>
      <c r="AD34" s="86" t="s">
        <v>1343</v>
      </c>
      <c r="AE34" s="86" t="s">
        <v>1343</v>
      </c>
      <c r="AF34" s="86" t="s">
        <v>1343</v>
      </c>
      <c r="AG34" s="86" t="s">
        <v>1343</v>
      </c>
      <c r="AH34" s="86" t="s">
        <v>1343</v>
      </c>
      <c r="AI34" s="86" t="s">
        <v>1347</v>
      </c>
    </row>
    <row r="35" spans="1:35" x14ac:dyDescent="0.2">
      <c r="A35" s="87" t="s">
        <v>1348</v>
      </c>
      <c r="B35" s="88" t="s">
        <v>1349</v>
      </c>
      <c r="C35" s="88" t="s">
        <v>1350</v>
      </c>
      <c r="D35" s="143" t="s">
        <v>1351</v>
      </c>
      <c r="E35" s="143" t="s">
        <v>1352</v>
      </c>
      <c r="F35" s="85">
        <v>2007</v>
      </c>
      <c r="G35" s="85">
        <v>2008</v>
      </c>
      <c r="H35" s="85">
        <v>2009</v>
      </c>
      <c r="I35" s="85">
        <v>2010</v>
      </c>
      <c r="J35" s="85">
        <v>2011</v>
      </c>
      <c r="K35" s="85">
        <v>2012</v>
      </c>
      <c r="L35" s="85">
        <v>2013</v>
      </c>
      <c r="M35" s="85">
        <v>2014</v>
      </c>
      <c r="N35" s="85">
        <v>2015</v>
      </c>
      <c r="O35" s="85">
        <v>2016</v>
      </c>
      <c r="P35" s="85">
        <v>2017</v>
      </c>
      <c r="Q35" s="85">
        <v>2018</v>
      </c>
      <c r="R35" s="85">
        <v>2019</v>
      </c>
      <c r="S35" s="85">
        <v>2020</v>
      </c>
      <c r="T35" s="85">
        <v>2021</v>
      </c>
      <c r="U35" s="85">
        <v>2022</v>
      </c>
      <c r="V35" s="85">
        <v>2023</v>
      </c>
      <c r="W35" s="85">
        <v>2024</v>
      </c>
      <c r="X35" s="85">
        <v>2025</v>
      </c>
      <c r="Y35" s="85">
        <v>2026</v>
      </c>
      <c r="Z35" s="85">
        <v>2027</v>
      </c>
      <c r="AA35" s="85">
        <v>2028</v>
      </c>
      <c r="AB35" s="85">
        <v>2029</v>
      </c>
      <c r="AC35" s="85">
        <v>2030</v>
      </c>
      <c r="AD35" s="85">
        <v>2031</v>
      </c>
      <c r="AE35" s="85">
        <v>2032</v>
      </c>
      <c r="AF35" s="85">
        <v>2033</v>
      </c>
      <c r="AG35" s="85">
        <v>2034</v>
      </c>
      <c r="AH35" s="85">
        <v>2035</v>
      </c>
      <c r="AI35" s="85">
        <v>2035</v>
      </c>
    </row>
    <row r="36" spans="1:35" x14ac:dyDescent="0.2">
      <c r="A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</row>
    <row r="37" spans="1:35" x14ac:dyDescent="0.2">
      <c r="A37" s="85" t="s">
        <v>1353</v>
      </c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</row>
    <row r="38" spans="1:35" x14ac:dyDescent="0.2">
      <c r="A38" s="142" t="s">
        <v>1354</v>
      </c>
      <c r="B38" s="144">
        <v>388.38000488281301</v>
      </c>
      <c r="C38" s="144">
        <v>403.17001342773398</v>
      </c>
      <c r="D38" s="144">
        <v>397.33001708984398</v>
      </c>
      <c r="E38" s="144">
        <v>391.88998413085898</v>
      </c>
      <c r="F38" s="145">
        <v>378.48937999999998</v>
      </c>
      <c r="G38" s="145">
        <v>391.21661399999999</v>
      </c>
      <c r="H38" s="145">
        <v>343</v>
      </c>
      <c r="I38" s="145">
        <v>336</v>
      </c>
      <c r="J38" s="145">
        <v>342</v>
      </c>
      <c r="K38" s="145">
        <v>319</v>
      </c>
      <c r="L38" s="145">
        <v>326</v>
      </c>
      <c r="M38" s="145">
        <v>313</v>
      </c>
      <c r="N38" s="145">
        <v>297</v>
      </c>
      <c r="O38" s="145">
        <v>289</v>
      </c>
      <c r="P38" s="145">
        <v>279</v>
      </c>
      <c r="Q38" s="145">
        <v>279</v>
      </c>
      <c r="R38" s="145">
        <v>273</v>
      </c>
      <c r="S38" s="145">
        <v>265</v>
      </c>
      <c r="T38" s="145">
        <v>267</v>
      </c>
      <c r="U38" s="145">
        <v>270</v>
      </c>
      <c r="V38" s="145">
        <v>265</v>
      </c>
      <c r="W38" s="145">
        <v>260</v>
      </c>
      <c r="X38" s="145">
        <v>276</v>
      </c>
      <c r="Y38" s="145">
        <v>279</v>
      </c>
      <c r="Z38" s="145">
        <v>272</v>
      </c>
      <c r="AA38" s="145">
        <v>269</v>
      </c>
      <c r="AB38" s="145">
        <v>264</v>
      </c>
      <c r="AC38" s="145">
        <v>259</v>
      </c>
      <c r="AD38" s="145">
        <v>269</v>
      </c>
      <c r="AE38" s="145">
        <v>274</v>
      </c>
      <c r="AF38" s="145">
        <v>267</v>
      </c>
      <c r="AG38" s="145">
        <v>265</v>
      </c>
      <c r="AH38" s="145">
        <v>264</v>
      </c>
      <c r="AI38" s="146">
        <v>-0.01</v>
      </c>
    </row>
    <row r="39" spans="1:35" x14ac:dyDescent="0.2">
      <c r="A39" s="142" t="s">
        <v>1355</v>
      </c>
      <c r="B39" s="144">
        <v>146.29000854492199</v>
      </c>
      <c r="C39" s="144">
        <v>146.25999450683599</v>
      </c>
      <c r="D39" s="144">
        <v>149.19000244140599</v>
      </c>
      <c r="E39" s="144">
        <v>151.40998840332</v>
      </c>
      <c r="F39" s="145">
        <v>147.13420099999999</v>
      </c>
      <c r="G39" s="145">
        <v>146.99449200000001</v>
      </c>
      <c r="H39" s="145">
        <v>147</v>
      </c>
      <c r="I39" s="145">
        <v>156</v>
      </c>
      <c r="J39" s="145">
        <v>160</v>
      </c>
      <c r="K39" s="145">
        <v>147</v>
      </c>
      <c r="L39" s="145">
        <v>151</v>
      </c>
      <c r="M39" s="145">
        <v>155</v>
      </c>
      <c r="N39" s="145">
        <v>157</v>
      </c>
      <c r="O39" s="145">
        <v>158</v>
      </c>
      <c r="P39" s="145">
        <v>163</v>
      </c>
      <c r="Q39" s="145">
        <v>164</v>
      </c>
      <c r="R39" s="145">
        <v>165</v>
      </c>
      <c r="S39" s="145">
        <v>162</v>
      </c>
      <c r="T39" s="145">
        <v>167</v>
      </c>
      <c r="U39" s="145">
        <v>159</v>
      </c>
      <c r="V39" s="145">
        <v>160</v>
      </c>
      <c r="W39" s="145">
        <v>159</v>
      </c>
      <c r="X39" s="145">
        <v>153</v>
      </c>
      <c r="Y39" s="145">
        <v>155</v>
      </c>
      <c r="Z39" s="145">
        <v>155</v>
      </c>
      <c r="AA39" s="145">
        <v>156</v>
      </c>
      <c r="AB39" s="145">
        <v>158</v>
      </c>
      <c r="AC39" s="145">
        <v>161</v>
      </c>
      <c r="AD39" s="145">
        <v>161</v>
      </c>
      <c r="AE39" s="145">
        <v>165</v>
      </c>
      <c r="AF39" s="145">
        <v>168</v>
      </c>
      <c r="AG39" s="145">
        <v>171</v>
      </c>
      <c r="AH39" s="145">
        <v>171</v>
      </c>
      <c r="AI39" s="146">
        <v>4.0000000000000001E-3</v>
      </c>
    </row>
    <row r="40" spans="1:35" x14ac:dyDescent="0.2">
      <c r="A40" s="142" t="s">
        <v>1356</v>
      </c>
      <c r="B40" s="144">
        <v>548.70001220703102</v>
      </c>
      <c r="C40" s="144">
        <v>575.17999267578102</v>
      </c>
      <c r="D40" s="144">
        <v>584.969970703125</v>
      </c>
      <c r="E40" s="144">
        <v>619.44000244140602</v>
      </c>
      <c r="F40" s="145">
        <v>621.012024</v>
      </c>
      <c r="G40" s="145">
        <v>633.59747300000004</v>
      </c>
      <c r="H40" s="145">
        <v>585</v>
      </c>
      <c r="I40" s="145">
        <v>592</v>
      </c>
      <c r="J40" s="145">
        <v>591</v>
      </c>
      <c r="K40" s="145">
        <v>577</v>
      </c>
      <c r="L40" s="145">
        <v>555</v>
      </c>
      <c r="M40" s="145">
        <v>551</v>
      </c>
      <c r="N40" s="145">
        <v>552</v>
      </c>
      <c r="O40" s="145">
        <v>585</v>
      </c>
      <c r="P40" s="145">
        <v>605</v>
      </c>
      <c r="Q40" s="145">
        <v>614</v>
      </c>
      <c r="R40" s="145">
        <v>629</v>
      </c>
      <c r="S40" s="145">
        <v>630</v>
      </c>
      <c r="T40" s="145">
        <v>640</v>
      </c>
      <c r="U40" s="145">
        <v>652</v>
      </c>
      <c r="V40" s="145">
        <v>668</v>
      </c>
      <c r="W40" s="145">
        <v>680</v>
      </c>
      <c r="X40" s="145">
        <v>699</v>
      </c>
      <c r="Y40" s="145">
        <v>707</v>
      </c>
      <c r="Z40" s="145">
        <v>719</v>
      </c>
      <c r="AA40" s="145">
        <v>722</v>
      </c>
      <c r="AB40" s="145">
        <v>725</v>
      </c>
      <c r="AC40" s="145">
        <v>731</v>
      </c>
      <c r="AD40" s="145">
        <v>739</v>
      </c>
      <c r="AE40" s="145">
        <v>745</v>
      </c>
      <c r="AF40" s="145">
        <v>747</v>
      </c>
      <c r="AG40" s="145">
        <v>745</v>
      </c>
      <c r="AH40" s="145">
        <v>752</v>
      </c>
      <c r="AI40" s="146">
        <v>0.01</v>
      </c>
    </row>
    <row r="41" spans="1:35" x14ac:dyDescent="0.2">
      <c r="A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</row>
    <row r="42" spans="1:35" x14ac:dyDescent="0.2">
      <c r="A42" s="142" t="s">
        <v>1357</v>
      </c>
      <c r="B42" s="144">
        <v>480.86001586914102</v>
      </c>
      <c r="C42" s="144">
        <v>497.30996704101602</v>
      </c>
      <c r="D42" s="144">
        <v>493.78994750976602</v>
      </c>
      <c r="E42" s="144">
        <v>490.79998779296898</v>
      </c>
      <c r="F42" s="145">
        <v>478.161407</v>
      </c>
      <c r="G42" s="145">
        <v>493.341949</v>
      </c>
      <c r="H42" s="145">
        <v>450</v>
      </c>
      <c r="I42" s="145">
        <v>446</v>
      </c>
      <c r="J42" s="145">
        <v>460</v>
      </c>
      <c r="K42" s="145">
        <v>427</v>
      </c>
      <c r="L42" s="145">
        <v>439</v>
      </c>
      <c r="M42" s="145">
        <v>425</v>
      </c>
      <c r="N42" s="145">
        <v>411</v>
      </c>
      <c r="O42" s="145">
        <v>404</v>
      </c>
      <c r="P42" s="145">
        <v>399</v>
      </c>
      <c r="Q42" s="145">
        <v>399</v>
      </c>
      <c r="R42" s="145">
        <v>394</v>
      </c>
      <c r="S42" s="145">
        <v>384</v>
      </c>
      <c r="T42" s="145">
        <v>391</v>
      </c>
      <c r="U42" s="145">
        <v>386</v>
      </c>
      <c r="V42" s="145">
        <v>381</v>
      </c>
      <c r="W42" s="145">
        <v>376</v>
      </c>
      <c r="X42" s="145">
        <v>386</v>
      </c>
      <c r="Y42" s="145">
        <v>391</v>
      </c>
      <c r="Z42" s="145">
        <v>384</v>
      </c>
      <c r="AA42" s="145">
        <v>382</v>
      </c>
      <c r="AB42" s="145">
        <v>380</v>
      </c>
      <c r="AC42" s="145">
        <v>377</v>
      </c>
      <c r="AD42" s="145">
        <v>388</v>
      </c>
      <c r="AE42" s="145">
        <v>396</v>
      </c>
      <c r="AF42" s="145">
        <v>392</v>
      </c>
      <c r="AG42" s="145">
        <v>393</v>
      </c>
      <c r="AH42" s="145">
        <v>393</v>
      </c>
      <c r="AI42" s="146">
        <v>-5.0000000000000001E-3</v>
      </c>
    </row>
    <row r="43" spans="1:35" x14ac:dyDescent="0.2">
      <c r="A43" s="142" t="s">
        <v>1358</v>
      </c>
      <c r="B43" s="144">
        <v>602.510009765625</v>
      </c>
      <c r="C43" s="144">
        <v>627.300048828125</v>
      </c>
      <c r="D43" s="144">
        <v>637.699951171875</v>
      </c>
      <c r="E43" s="144">
        <v>671.94000244140602</v>
      </c>
      <c r="F43" s="145">
        <v>668.47430399999996</v>
      </c>
      <c r="G43" s="145">
        <v>678.46661400000005</v>
      </c>
      <c r="H43" s="145">
        <v>625</v>
      </c>
      <c r="I43" s="145">
        <v>638</v>
      </c>
      <c r="J43" s="145">
        <v>633</v>
      </c>
      <c r="K43" s="145">
        <v>616</v>
      </c>
      <c r="L43" s="145">
        <v>594</v>
      </c>
      <c r="M43" s="145">
        <v>594</v>
      </c>
      <c r="N43" s="145">
        <v>595</v>
      </c>
      <c r="O43" s="145">
        <v>628</v>
      </c>
      <c r="P43" s="145">
        <v>649</v>
      </c>
      <c r="Q43" s="145">
        <v>658</v>
      </c>
      <c r="R43" s="145">
        <v>672</v>
      </c>
      <c r="S43" s="145">
        <v>674</v>
      </c>
      <c r="T43" s="145">
        <v>684</v>
      </c>
      <c r="U43" s="145">
        <v>695</v>
      </c>
      <c r="V43" s="145">
        <v>711</v>
      </c>
      <c r="W43" s="145">
        <v>723</v>
      </c>
      <c r="X43" s="145">
        <v>743</v>
      </c>
      <c r="Y43" s="145">
        <v>750</v>
      </c>
      <c r="Z43" s="145">
        <v>762</v>
      </c>
      <c r="AA43" s="145">
        <v>765</v>
      </c>
      <c r="AB43" s="145">
        <v>768</v>
      </c>
      <c r="AC43" s="145">
        <v>773</v>
      </c>
      <c r="AD43" s="145">
        <v>781</v>
      </c>
      <c r="AE43" s="145">
        <v>787</v>
      </c>
      <c r="AF43" s="145">
        <v>790</v>
      </c>
      <c r="AG43" s="145">
        <v>788</v>
      </c>
      <c r="AH43" s="145">
        <v>795</v>
      </c>
      <c r="AI43" s="146">
        <v>8.9999999999999993E-3</v>
      </c>
    </row>
    <row r="44" spans="1:35" x14ac:dyDescent="0.2">
      <c r="A44" s="85" t="s">
        <v>1359</v>
      </c>
      <c r="B44" s="144">
        <v>1083.3701171875</v>
      </c>
      <c r="C44" s="144">
        <v>1124.60998535156</v>
      </c>
      <c r="D44" s="144">
        <v>1131.48986816406</v>
      </c>
      <c r="E44" s="144">
        <v>1162.74011230469</v>
      </c>
      <c r="F44" s="89">
        <v>1146.6354980000001</v>
      </c>
      <c r="G44" s="89">
        <v>1171.8085940000001</v>
      </c>
      <c r="H44" s="89">
        <v>1075</v>
      </c>
      <c r="I44" s="89">
        <v>1084</v>
      </c>
      <c r="J44" s="89">
        <v>1093</v>
      </c>
      <c r="K44" s="89">
        <v>1043</v>
      </c>
      <c r="L44" s="89">
        <v>1033</v>
      </c>
      <c r="M44" s="89">
        <v>1019</v>
      </c>
      <c r="N44" s="89">
        <v>1006</v>
      </c>
      <c r="O44" s="89">
        <v>1032</v>
      </c>
      <c r="P44" s="89">
        <v>1048</v>
      </c>
      <c r="Q44" s="89">
        <v>1057</v>
      </c>
      <c r="R44" s="89">
        <v>1067</v>
      </c>
      <c r="S44" s="89">
        <v>1058</v>
      </c>
      <c r="T44" s="89">
        <v>1074</v>
      </c>
      <c r="U44" s="89">
        <v>1081</v>
      </c>
      <c r="V44" s="89">
        <v>1092</v>
      </c>
      <c r="W44" s="89">
        <v>1100</v>
      </c>
      <c r="X44" s="89">
        <v>1129</v>
      </c>
      <c r="Y44" s="89">
        <v>1140</v>
      </c>
      <c r="Z44" s="89">
        <v>1146</v>
      </c>
      <c r="AA44" s="89">
        <v>1147</v>
      </c>
      <c r="AB44" s="89">
        <v>1147</v>
      </c>
      <c r="AC44" s="89">
        <v>1150</v>
      </c>
      <c r="AD44" s="89">
        <v>1169</v>
      </c>
      <c r="AE44" s="89">
        <v>1184</v>
      </c>
      <c r="AF44" s="89">
        <v>1182</v>
      </c>
      <c r="AG44" s="89">
        <v>1181</v>
      </c>
      <c r="AH44" s="89">
        <v>1188</v>
      </c>
      <c r="AI44" s="90">
        <v>4.0000000000000001E-3</v>
      </c>
    </row>
    <row r="45" spans="1:35" x14ac:dyDescent="0.2">
      <c r="A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</row>
    <row r="46" spans="1:35" x14ac:dyDescent="0.2">
      <c r="A46" s="85" t="s">
        <v>1360</v>
      </c>
      <c r="B46" s="144"/>
      <c r="C46" s="144"/>
      <c r="D46" s="144">
        <v>13.3500003814697</v>
      </c>
      <c r="E46" s="144">
        <v>13.5600004196166</v>
      </c>
      <c r="F46" s="89">
        <v>14.0869</v>
      </c>
      <c r="G46" s="89">
        <v>13.743399999999999</v>
      </c>
      <c r="H46" s="89">
        <v>14</v>
      </c>
      <c r="I46" s="89">
        <v>14</v>
      </c>
      <c r="J46" s="89">
        <v>12</v>
      </c>
      <c r="K46" s="89">
        <v>13</v>
      </c>
      <c r="L46" s="89">
        <v>16</v>
      </c>
      <c r="M46" s="89">
        <v>15</v>
      </c>
      <c r="N46" s="89">
        <v>14</v>
      </c>
      <c r="O46" s="89">
        <v>13</v>
      </c>
      <c r="P46" s="89">
        <v>12</v>
      </c>
      <c r="Q46" s="89">
        <v>12</v>
      </c>
      <c r="R46" s="89">
        <v>12</v>
      </c>
      <c r="S46" s="89">
        <v>13</v>
      </c>
      <c r="T46" s="89">
        <v>14</v>
      </c>
      <c r="U46" s="89">
        <v>15</v>
      </c>
      <c r="V46" s="89">
        <v>15</v>
      </c>
      <c r="W46" s="89">
        <v>15</v>
      </c>
      <c r="X46" s="89">
        <v>15</v>
      </c>
      <c r="Y46" s="89">
        <v>15</v>
      </c>
      <c r="Z46" s="89">
        <v>16</v>
      </c>
      <c r="AA46" s="89">
        <v>16</v>
      </c>
      <c r="AB46" s="89">
        <v>16</v>
      </c>
      <c r="AC46" s="89">
        <v>16</v>
      </c>
      <c r="AD46" s="89">
        <v>16</v>
      </c>
      <c r="AE46" s="89">
        <v>16</v>
      </c>
      <c r="AF46" s="89">
        <v>15</v>
      </c>
      <c r="AG46" s="89">
        <v>16</v>
      </c>
      <c r="AH46" s="89">
        <v>16</v>
      </c>
      <c r="AI46" s="90">
        <v>7.0000000000000001E-3</v>
      </c>
    </row>
    <row r="47" spans="1:35" x14ac:dyDescent="0.2">
      <c r="A47" s="142"/>
      <c r="B47" s="144"/>
      <c r="C47" s="144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</row>
    <row r="48" spans="1:35" x14ac:dyDescent="0.2">
      <c r="A48" s="85" t="s">
        <v>1361</v>
      </c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</row>
    <row r="49" spans="1:36" x14ac:dyDescent="0.2">
      <c r="A49" s="142" t="s">
        <v>1362</v>
      </c>
      <c r="B49" s="144">
        <v>24.852998733520501</v>
      </c>
      <c r="C49" s="144">
        <v>27.277999877929702</v>
      </c>
      <c r="D49" s="144">
        <v>28.790000915527301</v>
      </c>
      <c r="E49" s="144">
        <v>34.299999237060497</v>
      </c>
      <c r="F49" s="145">
        <v>34.400002000000001</v>
      </c>
      <c r="G49" s="145">
        <v>32.25</v>
      </c>
      <c r="H49" s="145">
        <v>21</v>
      </c>
      <c r="I49" s="145">
        <v>18</v>
      </c>
      <c r="J49" s="145">
        <v>13</v>
      </c>
      <c r="K49" s="145">
        <v>17</v>
      </c>
      <c r="L49" s="145">
        <v>15</v>
      </c>
      <c r="M49" s="145">
        <v>15</v>
      </c>
      <c r="N49" s="145">
        <v>13</v>
      </c>
      <c r="O49" s="145">
        <v>15</v>
      </c>
      <c r="P49" s="145">
        <v>27</v>
      </c>
      <c r="Q49" s="145">
        <v>30</v>
      </c>
      <c r="R49" s="145">
        <v>35</v>
      </c>
      <c r="S49" s="145">
        <v>41</v>
      </c>
      <c r="T49" s="145">
        <v>42</v>
      </c>
      <c r="U49" s="145">
        <v>46</v>
      </c>
      <c r="V49" s="145">
        <v>53</v>
      </c>
      <c r="W49" s="145">
        <v>60</v>
      </c>
      <c r="X49" s="145">
        <v>58</v>
      </c>
      <c r="Y49" s="145">
        <v>56</v>
      </c>
      <c r="Z49" s="145">
        <v>63</v>
      </c>
      <c r="AA49" s="145">
        <v>66</v>
      </c>
      <c r="AB49" s="145">
        <v>71</v>
      </c>
      <c r="AC49" s="145">
        <v>76</v>
      </c>
      <c r="AD49" s="145">
        <v>68</v>
      </c>
      <c r="AE49" s="145">
        <v>62</v>
      </c>
      <c r="AF49" s="145">
        <v>73</v>
      </c>
      <c r="AG49" s="145">
        <v>82</v>
      </c>
      <c r="AH49" s="145">
        <v>85</v>
      </c>
      <c r="AI49" s="146">
        <v>6.4000000000000001E-2</v>
      </c>
    </row>
    <row r="50" spans="1:36" x14ac:dyDescent="0.2">
      <c r="A50" s="142" t="s">
        <v>1363</v>
      </c>
      <c r="B50" s="144">
        <v>43.010002136230497</v>
      </c>
      <c r="C50" s="144">
        <v>48</v>
      </c>
      <c r="D50" s="144">
        <v>49.939998626708999</v>
      </c>
      <c r="E50" s="144">
        <v>49.5699977111816</v>
      </c>
      <c r="F50" s="145">
        <v>59.159996</v>
      </c>
      <c r="G50" s="145">
        <v>81.519997000000004</v>
      </c>
      <c r="H50" s="145">
        <v>59</v>
      </c>
      <c r="I50" s="145">
        <v>82</v>
      </c>
      <c r="J50" s="145">
        <v>106</v>
      </c>
      <c r="K50" s="145">
        <v>97</v>
      </c>
      <c r="L50" s="145">
        <v>103</v>
      </c>
      <c r="M50" s="145">
        <v>110</v>
      </c>
      <c r="N50" s="145">
        <v>110</v>
      </c>
      <c r="O50" s="145">
        <v>108</v>
      </c>
      <c r="P50" s="145">
        <v>103</v>
      </c>
      <c r="Q50" s="145">
        <v>104</v>
      </c>
      <c r="R50" s="145">
        <v>105</v>
      </c>
      <c r="S50" s="145">
        <v>97</v>
      </c>
      <c r="T50" s="145">
        <v>106</v>
      </c>
      <c r="U50" s="145">
        <v>106</v>
      </c>
      <c r="V50" s="145">
        <v>107</v>
      </c>
      <c r="W50" s="145">
        <v>109</v>
      </c>
      <c r="X50" s="145">
        <v>115</v>
      </c>
      <c r="Y50" s="145">
        <v>116</v>
      </c>
      <c r="Z50" s="145">
        <v>117</v>
      </c>
      <c r="AA50" s="145">
        <v>119</v>
      </c>
      <c r="AB50" s="145">
        <v>120</v>
      </c>
      <c r="AC50" s="145">
        <v>121</v>
      </c>
      <c r="AD50" s="145">
        <v>124</v>
      </c>
      <c r="AE50" s="145">
        <v>126</v>
      </c>
      <c r="AF50" s="145">
        <v>129</v>
      </c>
      <c r="AG50" s="145">
        <v>131</v>
      </c>
      <c r="AH50" s="145">
        <v>134</v>
      </c>
      <c r="AI50" s="146">
        <v>0.02</v>
      </c>
    </row>
    <row r="51" spans="1:36" x14ac:dyDescent="0.2">
      <c r="A51" s="85" t="s">
        <v>1359</v>
      </c>
      <c r="B51" s="144">
        <v>-18.15700340271</v>
      </c>
      <c r="C51" s="144">
        <v>-20.722000122070298</v>
      </c>
      <c r="D51" s="144">
        <v>-21.149997711181602</v>
      </c>
      <c r="E51" s="144">
        <v>-15.349998474121101</v>
      </c>
      <c r="F51" s="89">
        <v>-24.759995</v>
      </c>
      <c r="G51" s="89">
        <v>-49.269996999999996</v>
      </c>
      <c r="H51" s="89">
        <v>-38</v>
      </c>
      <c r="I51" s="89">
        <v>-64</v>
      </c>
      <c r="J51" s="89">
        <v>-93</v>
      </c>
      <c r="K51" s="89">
        <v>-80</v>
      </c>
      <c r="L51" s="89">
        <v>-88</v>
      </c>
      <c r="M51" s="89">
        <v>-95</v>
      </c>
      <c r="N51" s="89">
        <v>-97</v>
      </c>
      <c r="O51" s="89">
        <v>-93</v>
      </c>
      <c r="P51" s="89">
        <v>-76</v>
      </c>
      <c r="Q51" s="89">
        <v>-74</v>
      </c>
      <c r="R51" s="89">
        <v>-70</v>
      </c>
      <c r="S51" s="89">
        <v>-56</v>
      </c>
      <c r="T51" s="89">
        <v>-65</v>
      </c>
      <c r="U51" s="89">
        <v>-60</v>
      </c>
      <c r="V51" s="89">
        <v>-53</v>
      </c>
      <c r="W51" s="89">
        <v>-50</v>
      </c>
      <c r="X51" s="89">
        <v>-57</v>
      </c>
      <c r="Y51" s="89">
        <v>-60</v>
      </c>
      <c r="Z51" s="89">
        <v>-54</v>
      </c>
      <c r="AA51" s="89">
        <v>-53</v>
      </c>
      <c r="AB51" s="89">
        <v>-49</v>
      </c>
      <c r="AC51" s="89">
        <v>-45</v>
      </c>
      <c r="AD51" s="89">
        <v>-55</v>
      </c>
      <c r="AE51" s="89">
        <v>-64</v>
      </c>
      <c r="AF51" s="89">
        <v>-56</v>
      </c>
      <c r="AG51" s="89">
        <v>-50</v>
      </c>
      <c r="AH51" s="89">
        <v>-49</v>
      </c>
      <c r="AI51" s="91">
        <v>-0.01</v>
      </c>
    </row>
    <row r="52" spans="1:36" s="185" customFormat="1" x14ac:dyDescent="0.2">
      <c r="A52" s="182"/>
      <c r="B52" s="182" t="e">
        <f t="shared" ref="B52:AH52" si="6">(B49-A49)/A49</f>
        <v>#VALUE!</v>
      </c>
      <c r="C52" s="183">
        <f>(C49-B49)/B49</f>
        <v>9.7573784572663219E-2</v>
      </c>
      <c r="D52" s="183">
        <f>(D49-C49)/C49</f>
        <v>5.5429321957763518E-2</v>
      </c>
      <c r="E52" s="183">
        <f t="shared" si="6"/>
        <v>0.19138583349476349</v>
      </c>
      <c r="F52" s="183">
        <f t="shared" si="6"/>
        <v>2.9155325120664263E-3</v>
      </c>
      <c r="G52" s="183">
        <f t="shared" si="6"/>
        <v>-6.2500054505810795E-2</v>
      </c>
      <c r="H52" s="183">
        <f t="shared" si="6"/>
        <v>-0.34883720930232559</v>
      </c>
      <c r="I52" s="183">
        <f t="shared" si="6"/>
        <v>-0.14285714285714285</v>
      </c>
      <c r="J52" s="183">
        <f t="shared" si="6"/>
        <v>-0.27777777777777779</v>
      </c>
      <c r="K52" s="183">
        <f t="shared" si="6"/>
        <v>0.30769230769230771</v>
      </c>
      <c r="L52" s="183">
        <f t="shared" si="6"/>
        <v>-0.11764705882352941</v>
      </c>
      <c r="M52" s="183">
        <f t="shared" si="6"/>
        <v>0</v>
      </c>
      <c r="N52" s="183">
        <f t="shared" si="6"/>
        <v>-0.13333333333333333</v>
      </c>
      <c r="O52" s="183">
        <f t="shared" si="6"/>
        <v>0.15384615384615385</v>
      </c>
      <c r="P52" s="183">
        <f t="shared" si="6"/>
        <v>0.8</v>
      </c>
      <c r="Q52" s="183">
        <f t="shared" si="6"/>
        <v>0.1111111111111111</v>
      </c>
      <c r="R52" s="183">
        <f t="shared" si="6"/>
        <v>0.16666666666666666</v>
      </c>
      <c r="S52" s="183">
        <f t="shared" si="6"/>
        <v>0.17142857142857143</v>
      </c>
      <c r="T52" s="183">
        <f t="shared" si="6"/>
        <v>2.4390243902439025E-2</v>
      </c>
      <c r="U52" s="183">
        <f t="shared" si="6"/>
        <v>9.5238095238095233E-2</v>
      </c>
      <c r="V52" s="183">
        <f t="shared" si="6"/>
        <v>0.15217391304347827</v>
      </c>
      <c r="W52" s="183">
        <f t="shared" si="6"/>
        <v>0.13207547169811321</v>
      </c>
      <c r="X52" s="183">
        <f t="shared" si="6"/>
        <v>-3.3333333333333333E-2</v>
      </c>
      <c r="Y52" s="183">
        <f t="shared" si="6"/>
        <v>-3.4482758620689655E-2</v>
      </c>
      <c r="Z52" s="183">
        <f t="shared" si="6"/>
        <v>0.125</v>
      </c>
      <c r="AA52" s="183">
        <f t="shared" si="6"/>
        <v>4.7619047619047616E-2</v>
      </c>
      <c r="AB52" s="183">
        <f t="shared" si="6"/>
        <v>7.575757575757576E-2</v>
      </c>
      <c r="AC52" s="183">
        <f t="shared" si="6"/>
        <v>7.0422535211267609E-2</v>
      </c>
      <c r="AD52" s="183">
        <f t="shared" si="6"/>
        <v>-0.10526315789473684</v>
      </c>
      <c r="AE52" s="183">
        <f t="shared" si="6"/>
        <v>-8.8235294117647065E-2</v>
      </c>
      <c r="AF52" s="183">
        <f t="shared" si="6"/>
        <v>0.17741935483870969</v>
      </c>
      <c r="AG52" s="183">
        <f t="shared" si="6"/>
        <v>0.12328767123287671</v>
      </c>
      <c r="AH52" s="183">
        <f t="shared" si="6"/>
        <v>3.6585365853658534E-2</v>
      </c>
      <c r="AI52" s="183"/>
      <c r="AJ52" s="184"/>
    </row>
    <row r="53" spans="1:36" x14ac:dyDescent="0.2">
      <c r="A53" s="85" t="s">
        <v>1364</v>
      </c>
      <c r="B53" s="144">
        <v>1065.21313476563</v>
      </c>
      <c r="C53" s="144">
        <v>1103.88793945313</v>
      </c>
      <c r="D53" s="144">
        <v>1123.68981933594</v>
      </c>
      <c r="E53" s="144">
        <v>1160.95007324219</v>
      </c>
      <c r="F53" s="89">
        <v>1135.9624020000001</v>
      </c>
      <c r="G53" s="89">
        <v>1136.281982</v>
      </c>
      <c r="H53" s="89">
        <v>1050</v>
      </c>
      <c r="I53" s="89">
        <v>1034</v>
      </c>
      <c r="J53" s="89">
        <v>1012</v>
      </c>
      <c r="K53" s="89">
        <v>976</v>
      </c>
      <c r="L53" s="89">
        <v>961</v>
      </c>
      <c r="M53" s="89">
        <v>939</v>
      </c>
      <c r="N53" s="89">
        <v>923</v>
      </c>
      <c r="O53" s="89">
        <v>953</v>
      </c>
      <c r="P53" s="89">
        <v>984</v>
      </c>
      <c r="Q53" s="89">
        <v>995</v>
      </c>
      <c r="R53" s="89">
        <v>1009</v>
      </c>
      <c r="S53" s="89">
        <v>1015</v>
      </c>
      <c r="T53" s="89">
        <v>1023</v>
      </c>
      <c r="U53" s="89">
        <v>1036</v>
      </c>
      <c r="V53" s="89">
        <v>1055</v>
      </c>
      <c r="W53" s="89">
        <v>1065</v>
      </c>
      <c r="X53" s="89">
        <v>1087</v>
      </c>
      <c r="Y53" s="89">
        <v>1095</v>
      </c>
      <c r="Z53" s="89">
        <v>1108</v>
      </c>
      <c r="AA53" s="89">
        <v>1110</v>
      </c>
      <c r="AB53" s="89">
        <v>1114</v>
      </c>
      <c r="AC53" s="89">
        <v>1122</v>
      </c>
      <c r="AD53" s="89">
        <v>1129</v>
      </c>
      <c r="AE53" s="89">
        <v>1135</v>
      </c>
      <c r="AF53" s="89">
        <v>1141</v>
      </c>
      <c r="AG53" s="89">
        <v>1147</v>
      </c>
      <c r="AH53" s="89">
        <v>1155</v>
      </c>
      <c r="AI53" s="90">
        <v>4.0000000000000001E-3</v>
      </c>
    </row>
    <row r="54" spans="1:36" x14ac:dyDescent="0.2">
      <c r="A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</row>
    <row r="55" spans="1:36" x14ac:dyDescent="0.2">
      <c r="A55" s="85" t="s">
        <v>1365</v>
      </c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</row>
    <row r="56" spans="1:36" x14ac:dyDescent="0.2">
      <c r="A56" s="142" t="s">
        <v>1366</v>
      </c>
      <c r="B56" s="144">
        <v>4.2399997711181596</v>
      </c>
      <c r="C56" s="144">
        <v>4.2400002479553196</v>
      </c>
      <c r="D56" s="144">
        <v>4.2199997901917001</v>
      </c>
      <c r="E56" s="144">
        <v>4.2199997901917001</v>
      </c>
      <c r="F56" s="145">
        <v>3.53</v>
      </c>
      <c r="G56" s="145">
        <v>3.51</v>
      </c>
      <c r="H56" s="145">
        <v>3</v>
      </c>
      <c r="I56" s="145">
        <v>3</v>
      </c>
      <c r="J56" s="145">
        <v>3</v>
      </c>
      <c r="K56" s="145">
        <v>3</v>
      </c>
      <c r="L56" s="145">
        <v>3</v>
      </c>
      <c r="M56" s="145">
        <v>3</v>
      </c>
      <c r="N56" s="145">
        <v>3</v>
      </c>
      <c r="O56" s="145">
        <v>3</v>
      </c>
      <c r="P56" s="145">
        <v>3</v>
      </c>
      <c r="Q56" s="145">
        <v>3</v>
      </c>
      <c r="R56" s="145">
        <v>3</v>
      </c>
      <c r="S56" s="145">
        <v>3</v>
      </c>
      <c r="T56" s="145">
        <v>3</v>
      </c>
      <c r="U56" s="145">
        <v>3</v>
      </c>
      <c r="V56" s="145">
        <v>3</v>
      </c>
      <c r="W56" s="145">
        <v>3</v>
      </c>
      <c r="X56" s="145">
        <v>3</v>
      </c>
      <c r="Y56" s="145">
        <v>3</v>
      </c>
      <c r="Z56" s="145">
        <v>3</v>
      </c>
      <c r="AA56" s="145">
        <v>3</v>
      </c>
      <c r="AB56" s="145">
        <v>3</v>
      </c>
      <c r="AC56" s="145">
        <v>3</v>
      </c>
      <c r="AD56" s="145">
        <v>3</v>
      </c>
      <c r="AE56" s="145">
        <v>3</v>
      </c>
      <c r="AF56" s="145">
        <v>3</v>
      </c>
      <c r="AG56" s="145">
        <v>3</v>
      </c>
      <c r="AH56" s="145">
        <v>3</v>
      </c>
      <c r="AI56" s="146">
        <v>-3.0000000000000001E-3</v>
      </c>
    </row>
    <row r="57" spans="1:36" x14ac:dyDescent="0.2">
      <c r="A57" s="142" t="s">
        <v>1367</v>
      </c>
      <c r="B57" s="144">
        <v>24.250003814697301</v>
      </c>
      <c r="C57" s="144">
        <v>23.670001983642599</v>
      </c>
      <c r="D57" s="144">
        <v>23.430004119873001</v>
      </c>
      <c r="E57" s="144">
        <v>22.9600009918213</v>
      </c>
      <c r="F57" s="145">
        <v>22.719999000000001</v>
      </c>
      <c r="G57" s="145">
        <v>22.070001999999999</v>
      </c>
      <c r="H57" s="145">
        <v>15</v>
      </c>
      <c r="I57" s="145">
        <v>21</v>
      </c>
      <c r="J57" s="145">
        <v>24</v>
      </c>
      <c r="K57" s="145">
        <v>23</v>
      </c>
      <c r="L57" s="145">
        <v>22</v>
      </c>
      <c r="M57" s="145">
        <v>21</v>
      </c>
      <c r="N57" s="145">
        <v>21</v>
      </c>
      <c r="O57" s="145">
        <v>20</v>
      </c>
      <c r="P57" s="145">
        <v>20</v>
      </c>
      <c r="Q57" s="145">
        <v>20</v>
      </c>
      <c r="R57" s="145">
        <v>19</v>
      </c>
      <c r="S57" s="145">
        <v>20</v>
      </c>
      <c r="T57" s="145">
        <v>20</v>
      </c>
      <c r="U57" s="145">
        <v>19</v>
      </c>
      <c r="V57" s="145">
        <v>19</v>
      </c>
      <c r="W57" s="145">
        <v>19</v>
      </c>
      <c r="X57" s="145">
        <v>19</v>
      </c>
      <c r="Y57" s="145">
        <v>18</v>
      </c>
      <c r="Z57" s="145">
        <v>18</v>
      </c>
      <c r="AA57" s="145">
        <v>18</v>
      </c>
      <c r="AB57" s="145">
        <v>18</v>
      </c>
      <c r="AC57" s="145">
        <v>17</v>
      </c>
      <c r="AD57" s="145">
        <v>17</v>
      </c>
      <c r="AE57" s="145">
        <v>17</v>
      </c>
      <c r="AF57" s="145">
        <v>17</v>
      </c>
      <c r="AG57" s="145">
        <v>16</v>
      </c>
      <c r="AH57" s="145">
        <v>16</v>
      </c>
      <c r="AI57" s="146">
        <v>-0.01</v>
      </c>
    </row>
    <row r="58" spans="1:36" x14ac:dyDescent="0.2">
      <c r="A58" s="142" t="s">
        <v>1368</v>
      </c>
      <c r="B58" s="144">
        <v>61.219303131103501</v>
      </c>
      <c r="C58" s="144">
        <v>61.203327178955099</v>
      </c>
      <c r="D58" s="144">
        <v>60.298881530761697</v>
      </c>
      <c r="E58" s="144">
        <v>60.515041351318402</v>
      </c>
      <c r="F58" s="145">
        <v>56.620002999999997</v>
      </c>
      <c r="G58" s="145">
        <v>54.540005000000001</v>
      </c>
      <c r="H58" s="145">
        <v>45</v>
      </c>
      <c r="I58" s="145">
        <v>51</v>
      </c>
      <c r="J58" s="145">
        <v>50</v>
      </c>
      <c r="K58" s="145">
        <v>47</v>
      </c>
      <c r="L58" s="145">
        <v>48</v>
      </c>
      <c r="M58" s="145">
        <v>48</v>
      </c>
      <c r="N58" s="145">
        <v>48</v>
      </c>
      <c r="O58" s="145">
        <v>48</v>
      </c>
      <c r="P58" s="145">
        <v>49</v>
      </c>
      <c r="Q58" s="145">
        <v>49</v>
      </c>
      <c r="R58" s="145">
        <v>49</v>
      </c>
      <c r="S58" s="145">
        <v>49</v>
      </c>
      <c r="T58" s="145">
        <v>49</v>
      </c>
      <c r="U58" s="145">
        <v>49</v>
      </c>
      <c r="V58" s="145">
        <v>49</v>
      </c>
      <c r="W58" s="145">
        <v>49</v>
      </c>
      <c r="X58" s="145">
        <v>48</v>
      </c>
      <c r="Y58" s="145">
        <v>48</v>
      </c>
      <c r="Z58" s="145">
        <v>48</v>
      </c>
      <c r="AA58" s="145">
        <v>48</v>
      </c>
      <c r="AB58" s="145">
        <v>48</v>
      </c>
      <c r="AC58" s="145">
        <v>48</v>
      </c>
      <c r="AD58" s="145">
        <v>48</v>
      </c>
      <c r="AE58" s="145">
        <v>48</v>
      </c>
      <c r="AF58" s="145">
        <v>48</v>
      </c>
      <c r="AG58" s="145">
        <v>48</v>
      </c>
      <c r="AH58" s="145">
        <v>48</v>
      </c>
      <c r="AI58" s="146">
        <v>-3.0000000000000001E-3</v>
      </c>
    </row>
    <row r="59" spans="1:36" x14ac:dyDescent="0.2">
      <c r="A59" s="142" t="s">
        <v>1369</v>
      </c>
      <c r="B59" s="144">
        <v>0</v>
      </c>
      <c r="C59" s="144">
        <v>0</v>
      </c>
      <c r="D59" s="144">
        <v>0</v>
      </c>
      <c r="E59" s="144">
        <v>0</v>
      </c>
      <c r="F59" s="145">
        <v>0</v>
      </c>
      <c r="G59" s="145">
        <v>0</v>
      </c>
      <c r="H59" s="145">
        <v>0</v>
      </c>
      <c r="I59" s="145">
        <v>0</v>
      </c>
      <c r="J59" s="145">
        <v>0</v>
      </c>
      <c r="K59" s="145">
        <v>0</v>
      </c>
      <c r="L59" s="145">
        <v>0</v>
      </c>
      <c r="M59" s="145">
        <v>0</v>
      </c>
      <c r="N59" s="145">
        <v>0</v>
      </c>
      <c r="O59" s="145">
        <v>9</v>
      </c>
      <c r="P59" s="145">
        <v>11</v>
      </c>
      <c r="Q59" s="145">
        <v>11</v>
      </c>
      <c r="R59" s="145">
        <v>12</v>
      </c>
      <c r="S59" s="145">
        <v>13</v>
      </c>
      <c r="T59" s="145">
        <v>14</v>
      </c>
      <c r="U59" s="145">
        <v>16</v>
      </c>
      <c r="V59" s="145">
        <v>17</v>
      </c>
      <c r="W59" s="145">
        <v>18</v>
      </c>
      <c r="X59" s="145">
        <v>21</v>
      </c>
      <c r="Y59" s="145">
        <v>22</v>
      </c>
      <c r="Z59" s="145">
        <v>23</v>
      </c>
      <c r="AA59" s="145">
        <v>25</v>
      </c>
      <c r="AB59" s="145">
        <v>26</v>
      </c>
      <c r="AC59" s="145">
        <v>27</v>
      </c>
      <c r="AD59" s="145">
        <v>29</v>
      </c>
      <c r="AE59" s="145">
        <v>31</v>
      </c>
      <c r="AF59" s="145">
        <v>32</v>
      </c>
      <c r="AG59" s="145">
        <v>33</v>
      </c>
      <c r="AH59" s="145">
        <v>35</v>
      </c>
      <c r="AI59" s="91" t="s">
        <v>1370</v>
      </c>
    </row>
    <row r="60" spans="1:36" x14ac:dyDescent="0.2">
      <c r="A60" s="142" t="s">
        <v>1371</v>
      </c>
      <c r="B60" s="144">
        <v>0</v>
      </c>
      <c r="C60" s="144">
        <v>0</v>
      </c>
      <c r="D60" s="144">
        <v>0</v>
      </c>
      <c r="E60" s="144">
        <v>0</v>
      </c>
      <c r="F60" s="145">
        <v>0</v>
      </c>
      <c r="G60" s="145">
        <v>0</v>
      </c>
      <c r="H60" s="145">
        <v>0</v>
      </c>
      <c r="I60" s="145">
        <v>0</v>
      </c>
      <c r="J60" s="145">
        <v>0</v>
      </c>
      <c r="K60" s="145">
        <v>0</v>
      </c>
      <c r="L60" s="145">
        <v>0</v>
      </c>
      <c r="M60" s="145">
        <v>0</v>
      </c>
      <c r="N60" s="145">
        <v>0</v>
      </c>
      <c r="O60" s="145">
        <v>9</v>
      </c>
      <c r="P60" s="145">
        <v>10</v>
      </c>
      <c r="Q60" s="145">
        <v>10</v>
      </c>
      <c r="R60" s="145">
        <v>12</v>
      </c>
      <c r="S60" s="145">
        <v>12</v>
      </c>
      <c r="T60" s="145">
        <v>13</v>
      </c>
      <c r="U60" s="145">
        <v>15</v>
      </c>
      <c r="V60" s="145">
        <v>15</v>
      </c>
      <c r="W60" s="145">
        <v>17</v>
      </c>
      <c r="X60" s="145">
        <v>20</v>
      </c>
      <c r="Y60" s="145">
        <v>21</v>
      </c>
      <c r="Z60" s="145">
        <v>22</v>
      </c>
      <c r="AA60" s="145">
        <v>23</v>
      </c>
      <c r="AB60" s="145">
        <v>24</v>
      </c>
      <c r="AC60" s="145">
        <v>26</v>
      </c>
      <c r="AD60" s="145">
        <v>27</v>
      </c>
      <c r="AE60" s="145">
        <v>29</v>
      </c>
      <c r="AF60" s="145">
        <v>30</v>
      </c>
      <c r="AG60" s="145">
        <v>31</v>
      </c>
      <c r="AH60" s="145">
        <v>33</v>
      </c>
      <c r="AI60" s="91" t="s">
        <v>1370</v>
      </c>
    </row>
    <row r="61" spans="1:36" x14ac:dyDescent="0.2">
      <c r="A61" s="142" t="s">
        <v>1372</v>
      </c>
      <c r="B61" s="144">
        <v>1005.12005615234</v>
      </c>
      <c r="C61" s="144">
        <v>1015.13006591797</v>
      </c>
      <c r="D61" s="144">
        <v>1037.48999023438</v>
      </c>
      <c r="E61" s="144">
        <v>1026.45007324219</v>
      </c>
      <c r="F61" s="145">
        <v>1045.1401370000001</v>
      </c>
      <c r="G61" s="145">
        <v>1041.599976</v>
      </c>
      <c r="H61" s="145">
        <v>934</v>
      </c>
      <c r="I61" s="145">
        <v>976</v>
      </c>
      <c r="J61" s="145">
        <v>962</v>
      </c>
      <c r="K61" s="145">
        <v>906</v>
      </c>
      <c r="L61" s="145">
        <v>888</v>
      </c>
      <c r="M61" s="145">
        <v>867</v>
      </c>
      <c r="N61" s="145">
        <v>851</v>
      </c>
      <c r="O61" s="145">
        <v>864</v>
      </c>
      <c r="P61" s="145">
        <v>892</v>
      </c>
      <c r="Q61" s="145">
        <v>903</v>
      </c>
      <c r="R61" s="145">
        <v>914</v>
      </c>
      <c r="S61" s="145">
        <v>918</v>
      </c>
      <c r="T61" s="145">
        <v>924</v>
      </c>
      <c r="U61" s="145">
        <v>934</v>
      </c>
      <c r="V61" s="145">
        <v>952</v>
      </c>
      <c r="W61" s="145">
        <v>960</v>
      </c>
      <c r="X61" s="145">
        <v>976</v>
      </c>
      <c r="Y61" s="145">
        <v>982</v>
      </c>
      <c r="Z61" s="145">
        <v>993</v>
      </c>
      <c r="AA61" s="145">
        <v>993</v>
      </c>
      <c r="AB61" s="145">
        <v>995</v>
      </c>
      <c r="AC61" s="145">
        <v>1000</v>
      </c>
      <c r="AD61" s="145">
        <v>1005</v>
      </c>
      <c r="AE61" s="145">
        <v>1008</v>
      </c>
      <c r="AF61" s="145">
        <v>1012</v>
      </c>
      <c r="AG61" s="145">
        <v>1015</v>
      </c>
      <c r="AH61" s="145">
        <v>1021</v>
      </c>
      <c r="AI61" s="146">
        <v>2E-3</v>
      </c>
    </row>
    <row r="62" spans="1:36" x14ac:dyDescent="0.2">
      <c r="A62" s="85" t="s">
        <v>1359</v>
      </c>
      <c r="B62" s="144">
        <v>1094.82934570313</v>
      </c>
      <c r="C62" s="144">
        <v>1104.24340820313</v>
      </c>
      <c r="D62" s="144">
        <v>1125.43884277344</v>
      </c>
      <c r="E62" s="144">
        <v>1114.14514160156</v>
      </c>
      <c r="F62" s="89">
        <v>1128.0101320000001</v>
      </c>
      <c r="G62" s="89">
        <v>1121.719971</v>
      </c>
      <c r="H62" s="89">
        <v>997</v>
      </c>
      <c r="I62" s="89">
        <v>1051</v>
      </c>
      <c r="J62" s="89">
        <v>1039</v>
      </c>
      <c r="K62" s="89">
        <v>979</v>
      </c>
      <c r="L62" s="89">
        <v>961</v>
      </c>
      <c r="M62" s="89">
        <v>940</v>
      </c>
      <c r="N62" s="89">
        <v>923</v>
      </c>
      <c r="O62" s="89">
        <v>953</v>
      </c>
      <c r="P62" s="89">
        <v>984</v>
      </c>
      <c r="Q62" s="89">
        <v>995</v>
      </c>
      <c r="R62" s="89">
        <v>1009</v>
      </c>
      <c r="S62" s="89">
        <v>1014</v>
      </c>
      <c r="T62" s="89">
        <v>1023</v>
      </c>
      <c r="U62" s="89">
        <v>1035</v>
      </c>
      <c r="V62" s="89">
        <v>1054</v>
      </c>
      <c r="W62" s="89">
        <v>1065</v>
      </c>
      <c r="X62" s="89">
        <v>1087</v>
      </c>
      <c r="Y62" s="89">
        <v>1095</v>
      </c>
      <c r="Z62" s="89">
        <v>1108</v>
      </c>
      <c r="AA62" s="89">
        <v>1110</v>
      </c>
      <c r="AB62" s="89">
        <v>1114</v>
      </c>
      <c r="AC62" s="89">
        <v>1121</v>
      </c>
      <c r="AD62" s="89">
        <v>1129</v>
      </c>
      <c r="AE62" s="89">
        <v>1135</v>
      </c>
      <c r="AF62" s="89">
        <v>1141</v>
      </c>
      <c r="AG62" s="89">
        <v>1147</v>
      </c>
      <c r="AH62" s="89">
        <v>1155</v>
      </c>
      <c r="AI62" s="90">
        <v>4.0000000000000001E-3</v>
      </c>
    </row>
    <row r="63" spans="1:36" x14ac:dyDescent="0.2">
      <c r="A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</row>
    <row r="64" spans="1:36" x14ac:dyDescent="0.2">
      <c r="A64" s="85" t="s">
        <v>1373</v>
      </c>
      <c r="B64" s="144">
        <v>-29.6162109375</v>
      </c>
      <c r="C64" s="144">
        <v>-0.35546875</v>
      </c>
      <c r="D64" s="144">
        <v>-1.7490234375</v>
      </c>
      <c r="E64" s="144">
        <v>46.804931640625</v>
      </c>
      <c r="F64" s="89">
        <v>7.9522709999999996</v>
      </c>
      <c r="G64" s="89">
        <v>14.562011999999999</v>
      </c>
      <c r="H64" s="89">
        <v>53</v>
      </c>
      <c r="I64" s="89">
        <v>-17</v>
      </c>
      <c r="J64" s="89">
        <v>-26</v>
      </c>
      <c r="K64" s="89">
        <v>-3</v>
      </c>
      <c r="L64" s="89">
        <v>0</v>
      </c>
      <c r="M64" s="89">
        <v>0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0</v>
      </c>
      <c r="AF64" s="89">
        <v>0</v>
      </c>
      <c r="AG64" s="89">
        <v>0</v>
      </c>
      <c r="AH64" s="89">
        <v>0</v>
      </c>
      <c r="AI64" s="91" t="s">
        <v>1374</v>
      </c>
    </row>
    <row r="65" spans="1:35" x14ac:dyDescent="0.2">
      <c r="A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</row>
    <row r="66" spans="1:35" x14ac:dyDescent="0.2">
      <c r="A66" s="85" t="s">
        <v>1375</v>
      </c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</row>
    <row r="67" spans="1:35" x14ac:dyDescent="0.2">
      <c r="A67" s="142" t="s">
        <v>1376</v>
      </c>
      <c r="B67" s="147">
        <v>18.400978088378899</v>
      </c>
      <c r="C67" s="147">
        <v>20.069999694824201</v>
      </c>
      <c r="D67" s="147">
        <v>24.075799942016602</v>
      </c>
      <c r="E67" s="147">
        <v>24.629997253418001</v>
      </c>
      <c r="F67" s="148">
        <v>26.397732000000001</v>
      </c>
      <c r="G67" s="148">
        <v>31.26</v>
      </c>
      <c r="H67" s="148">
        <v>33.619999999999997</v>
      </c>
      <c r="I67" s="148">
        <v>35.61</v>
      </c>
      <c r="J67" s="148">
        <v>38.64</v>
      </c>
      <c r="K67" s="148">
        <v>38.29</v>
      </c>
      <c r="L67" s="148">
        <v>39.409999999999997</v>
      </c>
      <c r="M67" s="148">
        <v>40.74</v>
      </c>
      <c r="N67" s="148">
        <v>41.78</v>
      </c>
      <c r="O67" s="148">
        <v>40.81</v>
      </c>
      <c r="P67" s="148">
        <v>40.31</v>
      </c>
      <c r="Q67" s="148">
        <v>40.58</v>
      </c>
      <c r="R67" s="148">
        <v>40.56</v>
      </c>
      <c r="S67" s="148">
        <v>40.909999999999997</v>
      </c>
      <c r="T67" s="148">
        <v>41.55</v>
      </c>
      <c r="U67" s="148">
        <v>42.04</v>
      </c>
      <c r="V67" s="148">
        <v>42.56</v>
      </c>
      <c r="W67" s="148">
        <v>43.14</v>
      </c>
      <c r="X67" s="148">
        <v>43.87</v>
      </c>
      <c r="Y67" s="148">
        <v>44.5</v>
      </c>
      <c r="Z67" s="148">
        <v>44.78</v>
      </c>
      <c r="AA67" s="148">
        <v>45.37</v>
      </c>
      <c r="AB67" s="148">
        <v>45.8</v>
      </c>
      <c r="AC67" s="148">
        <v>46.27</v>
      </c>
      <c r="AD67" s="148">
        <v>46.9</v>
      </c>
      <c r="AE67" s="148">
        <v>47.56</v>
      </c>
      <c r="AF67" s="148">
        <v>48.07</v>
      </c>
      <c r="AG67" s="148">
        <v>48.73</v>
      </c>
      <c r="AH67" s="148">
        <v>49.24</v>
      </c>
      <c r="AI67" s="146">
        <v>1.2999999999999999E-2</v>
      </c>
    </row>
    <row r="68" spans="1:35" x14ac:dyDescent="0.2">
      <c r="A68" s="142" t="s">
        <v>1377</v>
      </c>
      <c r="B68" s="147">
        <v>0.892852783203125</v>
      </c>
      <c r="C68" s="147">
        <v>0.980000019073486</v>
      </c>
      <c r="D68" s="147">
        <v>1.1831593513489</v>
      </c>
      <c r="E68" s="147">
        <v>1.2109999656677</v>
      </c>
      <c r="F68" s="148">
        <v>1.2984169999999999</v>
      </c>
      <c r="G68" s="148">
        <v>1.546</v>
      </c>
      <c r="H68" s="148">
        <v>1.68</v>
      </c>
      <c r="I68" s="148">
        <v>1.76</v>
      </c>
      <c r="J68" s="148">
        <v>1.89</v>
      </c>
      <c r="K68" s="148">
        <v>1.89</v>
      </c>
      <c r="L68" s="148">
        <v>1.93</v>
      </c>
      <c r="M68" s="148">
        <v>2.0099999999999998</v>
      </c>
      <c r="N68" s="148">
        <v>2.0699999999999998</v>
      </c>
      <c r="O68" s="148">
        <v>2.0299999999999998</v>
      </c>
      <c r="P68" s="148">
        <v>2.02</v>
      </c>
      <c r="Q68" s="148">
        <v>2.0299999999999998</v>
      </c>
      <c r="R68" s="148">
        <v>2.04</v>
      </c>
      <c r="S68" s="148">
        <v>2.06</v>
      </c>
      <c r="T68" s="148">
        <v>2.09</v>
      </c>
      <c r="U68" s="148">
        <v>2.12</v>
      </c>
      <c r="V68" s="148">
        <v>2.15</v>
      </c>
      <c r="W68" s="148">
        <v>2.1800000000000002</v>
      </c>
      <c r="X68" s="148">
        <v>2.2200000000000002</v>
      </c>
      <c r="Y68" s="148">
        <v>2.25</v>
      </c>
      <c r="Z68" s="148">
        <v>2.27</v>
      </c>
      <c r="AA68" s="148">
        <v>2.2999999999999998</v>
      </c>
      <c r="AB68" s="148">
        <v>2.33</v>
      </c>
      <c r="AC68" s="148">
        <v>2.36</v>
      </c>
      <c r="AD68" s="148">
        <v>2.38</v>
      </c>
      <c r="AE68" s="148">
        <v>2.42</v>
      </c>
      <c r="AF68" s="148">
        <v>2.4500000000000002</v>
      </c>
      <c r="AG68" s="148">
        <v>2.48</v>
      </c>
      <c r="AH68" s="148">
        <v>2.5099999999999998</v>
      </c>
      <c r="AI68" s="146">
        <v>1.4E-2</v>
      </c>
    </row>
    <row r="69" spans="1:35" x14ac:dyDescent="0.2">
      <c r="A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</row>
    <row r="70" spans="1:35" x14ac:dyDescent="0.2">
      <c r="A70" s="85" t="s">
        <v>1378</v>
      </c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</row>
    <row r="71" spans="1:35" x14ac:dyDescent="0.2">
      <c r="A71" s="85" t="s">
        <v>1379</v>
      </c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</row>
    <row r="72" spans="1:35" x14ac:dyDescent="0.2">
      <c r="A72" s="142" t="s">
        <v>1367</v>
      </c>
      <c r="B72" s="147">
        <v>51.9599418640137</v>
      </c>
      <c r="C72" s="147">
        <v>61.499984741210902</v>
      </c>
      <c r="D72" s="147">
        <v>86.431480407714801</v>
      </c>
      <c r="E72" s="147">
        <v>92.8699951171875</v>
      </c>
      <c r="F72" s="148">
        <v>97.094994</v>
      </c>
      <c r="G72" s="148">
        <v>118.089989</v>
      </c>
      <c r="H72" s="148">
        <v>144.66</v>
      </c>
      <c r="I72" s="148">
        <v>153.59</v>
      </c>
      <c r="J72" s="148">
        <v>165.16</v>
      </c>
      <c r="K72" s="148">
        <v>174.99</v>
      </c>
      <c r="L72" s="148">
        <v>173.6</v>
      </c>
      <c r="M72" s="148">
        <v>182.09</v>
      </c>
      <c r="N72" s="148">
        <v>187.81</v>
      </c>
      <c r="O72" s="148">
        <v>189.59</v>
      </c>
      <c r="P72" s="148">
        <v>194.41</v>
      </c>
      <c r="Q72" s="148">
        <v>193.53</v>
      </c>
      <c r="R72" s="148">
        <v>194.85</v>
      </c>
      <c r="S72" s="148">
        <v>197.38</v>
      </c>
      <c r="T72" s="148">
        <v>199.94</v>
      </c>
      <c r="U72" s="148">
        <v>203.13</v>
      </c>
      <c r="V72" s="148">
        <v>205.82</v>
      </c>
      <c r="W72" s="148">
        <v>208.64</v>
      </c>
      <c r="X72" s="148">
        <v>211.55</v>
      </c>
      <c r="Y72" s="148">
        <v>214.4</v>
      </c>
      <c r="Z72" s="148">
        <v>216.92</v>
      </c>
      <c r="AA72" s="148">
        <v>219.47</v>
      </c>
      <c r="AB72" s="148">
        <v>221.7</v>
      </c>
      <c r="AC72" s="148">
        <v>224.61</v>
      </c>
      <c r="AD72" s="148">
        <v>226.58</v>
      </c>
      <c r="AE72" s="148">
        <v>229.07</v>
      </c>
      <c r="AF72" s="148">
        <v>231.53</v>
      </c>
      <c r="AG72" s="148">
        <v>234.1</v>
      </c>
      <c r="AH72" s="148">
        <v>236.79</v>
      </c>
      <c r="AI72" s="146">
        <v>1.7000000000000001E-2</v>
      </c>
    </row>
    <row r="73" spans="1:35" x14ac:dyDescent="0.2">
      <c r="A73" s="142" t="s">
        <v>1368</v>
      </c>
      <c r="B73" s="147">
        <v>36.222198486328097</v>
      </c>
      <c r="C73" s="147">
        <v>39.526596069335902</v>
      </c>
      <c r="D73" s="147">
        <v>49.132122039794901</v>
      </c>
      <c r="E73" s="147">
        <v>51.669826507568402</v>
      </c>
      <c r="F73" s="148">
        <v>55.635097999999999</v>
      </c>
      <c r="G73" s="148">
        <v>63.436988999999997</v>
      </c>
      <c r="H73" s="148">
        <v>65.61</v>
      </c>
      <c r="I73" s="148">
        <v>64.23</v>
      </c>
      <c r="J73" s="148">
        <v>66.349999999999994</v>
      </c>
      <c r="K73" s="148">
        <v>69.069999999999993</v>
      </c>
      <c r="L73" s="148">
        <v>67.099999999999994</v>
      </c>
      <c r="M73" s="148">
        <v>68.739999999999995</v>
      </c>
      <c r="N73" s="148">
        <v>69.900000000000006</v>
      </c>
      <c r="O73" s="148">
        <v>69.53</v>
      </c>
      <c r="P73" s="148">
        <v>70.41</v>
      </c>
      <c r="Q73" s="148">
        <v>70.42</v>
      </c>
      <c r="R73" s="148">
        <v>70.5</v>
      </c>
      <c r="S73" s="148">
        <v>70.78</v>
      </c>
      <c r="T73" s="148">
        <v>71.040000000000006</v>
      </c>
      <c r="U73" s="148">
        <v>71.48</v>
      </c>
      <c r="V73" s="148">
        <v>71.91</v>
      </c>
      <c r="W73" s="148">
        <v>72.349999999999994</v>
      </c>
      <c r="X73" s="148">
        <v>72.72</v>
      </c>
      <c r="Y73" s="148">
        <v>73.39</v>
      </c>
      <c r="Z73" s="148">
        <v>73.86</v>
      </c>
      <c r="AA73" s="148">
        <v>74.349999999999994</v>
      </c>
      <c r="AB73" s="148">
        <v>74.56</v>
      </c>
      <c r="AC73" s="148">
        <v>75.12</v>
      </c>
      <c r="AD73" s="148">
        <v>75.53</v>
      </c>
      <c r="AE73" s="148">
        <v>76.37</v>
      </c>
      <c r="AF73" s="148">
        <v>76.89</v>
      </c>
      <c r="AG73" s="148">
        <v>77.209999999999994</v>
      </c>
      <c r="AH73" s="148">
        <v>77.790000000000006</v>
      </c>
      <c r="AI73" s="146">
        <v>8.0000000000000002E-3</v>
      </c>
    </row>
    <row r="74" spans="1:35" x14ac:dyDescent="0.2">
      <c r="A74" s="142" t="s">
        <v>1380</v>
      </c>
      <c r="B74" s="147">
        <v>0</v>
      </c>
      <c r="C74" s="147">
        <v>0</v>
      </c>
      <c r="D74" s="147">
        <v>0</v>
      </c>
      <c r="E74" s="147">
        <v>0</v>
      </c>
      <c r="F74" s="91" t="s">
        <v>1370</v>
      </c>
      <c r="G74" s="91" t="s">
        <v>1370</v>
      </c>
      <c r="H74" s="91">
        <v>0</v>
      </c>
      <c r="I74" s="91">
        <v>0</v>
      </c>
      <c r="J74" s="148">
        <v>0</v>
      </c>
      <c r="K74" s="148">
        <v>0</v>
      </c>
      <c r="L74" s="148">
        <v>0</v>
      </c>
      <c r="M74" s="148">
        <v>0</v>
      </c>
      <c r="N74" s="148">
        <v>18.55</v>
      </c>
      <c r="O74" s="148">
        <v>33.590000000000003</v>
      </c>
      <c r="P74" s="148">
        <v>36.49</v>
      </c>
      <c r="Q74" s="148">
        <v>38.909999999999997</v>
      </c>
      <c r="R74" s="148">
        <v>38.409999999999997</v>
      </c>
      <c r="S74" s="148">
        <v>39.26</v>
      </c>
      <c r="T74" s="148">
        <v>39.799999999999997</v>
      </c>
      <c r="U74" s="148">
        <v>39.659999999999997</v>
      </c>
      <c r="V74" s="148">
        <v>40.619999999999997</v>
      </c>
      <c r="W74" s="148">
        <v>40.35</v>
      </c>
      <c r="X74" s="148">
        <v>36.25</v>
      </c>
      <c r="Y74" s="148">
        <v>36.56</v>
      </c>
      <c r="Z74" s="148">
        <v>37.24</v>
      </c>
      <c r="AA74" s="148">
        <v>37.89</v>
      </c>
      <c r="AB74" s="148">
        <v>38.229999999999997</v>
      </c>
      <c r="AC74" s="148">
        <v>38.619999999999997</v>
      </c>
      <c r="AD74" s="148">
        <v>38.69</v>
      </c>
      <c r="AE74" s="148">
        <v>39</v>
      </c>
      <c r="AF74" s="148">
        <v>39.56</v>
      </c>
      <c r="AG74" s="148">
        <v>40</v>
      </c>
      <c r="AH74" s="148">
        <v>40.5</v>
      </c>
      <c r="AI74" s="91" t="s">
        <v>1370</v>
      </c>
    </row>
    <row r="75" spans="1:35" x14ac:dyDescent="0.2">
      <c r="A75" s="85" t="s">
        <v>1381</v>
      </c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</row>
    <row r="76" spans="1:35" x14ac:dyDescent="0.2">
      <c r="A76" s="142" t="s">
        <v>1382</v>
      </c>
      <c r="B76" s="147">
        <v>26.988285064697301</v>
      </c>
      <c r="C76" s="147">
        <v>27.4348030090332</v>
      </c>
      <c r="D76" s="147">
        <v>32.008228302002003</v>
      </c>
      <c r="E76" s="147">
        <v>33.849998474121101</v>
      </c>
      <c r="F76" s="148">
        <v>36.079628</v>
      </c>
      <c r="G76" s="148">
        <v>40.709999000000003</v>
      </c>
      <c r="H76" s="148">
        <v>43.83</v>
      </c>
      <c r="I76" s="148">
        <v>44.14</v>
      </c>
      <c r="J76" s="148">
        <v>46.02</v>
      </c>
      <c r="K76" s="148">
        <v>46.41</v>
      </c>
      <c r="L76" s="148">
        <v>46.2</v>
      </c>
      <c r="M76" s="148">
        <v>46.02</v>
      </c>
      <c r="N76" s="148">
        <v>45.46</v>
      </c>
      <c r="O76" s="148">
        <v>45.37</v>
      </c>
      <c r="P76" s="148">
        <v>46.34</v>
      </c>
      <c r="Q76" s="148">
        <v>46.66</v>
      </c>
      <c r="R76" s="148">
        <v>46.78</v>
      </c>
      <c r="S76" s="148">
        <v>47.26</v>
      </c>
      <c r="T76" s="148">
        <v>47.61</v>
      </c>
      <c r="U76" s="148">
        <v>48.1</v>
      </c>
      <c r="V76" s="148">
        <v>48.25</v>
      </c>
      <c r="W76" s="148">
        <v>48.65</v>
      </c>
      <c r="X76" s="148">
        <v>49.22</v>
      </c>
      <c r="Y76" s="148">
        <v>49.81</v>
      </c>
      <c r="Z76" s="148">
        <v>50.23</v>
      </c>
      <c r="AA76" s="148">
        <v>50.74</v>
      </c>
      <c r="AB76" s="148">
        <v>51.11</v>
      </c>
      <c r="AC76" s="148">
        <v>51.68</v>
      </c>
      <c r="AD76" s="148">
        <v>52.07</v>
      </c>
      <c r="AE76" s="148">
        <v>52.6</v>
      </c>
      <c r="AF76" s="148">
        <v>53.18</v>
      </c>
      <c r="AG76" s="148">
        <v>53.75</v>
      </c>
      <c r="AH76" s="148">
        <v>54.19</v>
      </c>
      <c r="AI76" s="146">
        <v>8.0000000000000002E-3</v>
      </c>
    </row>
    <row r="77" spans="1:35" x14ac:dyDescent="0.2">
      <c r="A77" s="142" t="s">
        <v>1383</v>
      </c>
      <c r="B77" s="147">
        <v>1.3269499540328999</v>
      </c>
      <c r="C77" s="147">
        <v>1.36099553108215</v>
      </c>
      <c r="D77" s="147">
        <v>1.5885487794876001</v>
      </c>
      <c r="E77" s="147">
        <v>1.6900000572205001</v>
      </c>
      <c r="F77" s="148">
        <v>1.7993809999999999</v>
      </c>
      <c r="G77" s="148">
        <v>2.0499999999999998</v>
      </c>
      <c r="H77" s="148">
        <v>2.2200000000000002</v>
      </c>
      <c r="I77" s="148">
        <v>2.25</v>
      </c>
      <c r="J77" s="148">
        <v>2.35</v>
      </c>
      <c r="K77" s="148">
        <v>2.38</v>
      </c>
      <c r="L77" s="148">
        <v>2.36</v>
      </c>
      <c r="M77" s="148">
        <v>2.37</v>
      </c>
      <c r="N77" s="148">
        <v>2.36</v>
      </c>
      <c r="O77" s="148">
        <v>2.35</v>
      </c>
      <c r="P77" s="148">
        <v>2.41</v>
      </c>
      <c r="Q77" s="148">
        <v>2.4300000000000002</v>
      </c>
      <c r="R77" s="148">
        <v>2.44</v>
      </c>
      <c r="S77" s="148">
        <v>2.46</v>
      </c>
      <c r="T77" s="148">
        <v>2.4900000000000002</v>
      </c>
      <c r="U77" s="148">
        <v>2.5099999999999998</v>
      </c>
      <c r="V77" s="148">
        <v>2.52</v>
      </c>
      <c r="W77" s="148">
        <v>2.5499999999999998</v>
      </c>
      <c r="X77" s="148">
        <v>2.56</v>
      </c>
      <c r="Y77" s="148">
        <v>2.6</v>
      </c>
      <c r="Z77" s="148">
        <v>2.63</v>
      </c>
      <c r="AA77" s="148">
        <v>2.65</v>
      </c>
      <c r="AB77" s="148">
        <v>2.67</v>
      </c>
      <c r="AC77" s="148">
        <v>2.7</v>
      </c>
      <c r="AD77" s="148">
        <v>2.72</v>
      </c>
      <c r="AE77" s="148">
        <v>2.75</v>
      </c>
      <c r="AF77" s="148">
        <v>2.78</v>
      </c>
      <c r="AG77" s="148">
        <v>2.8</v>
      </c>
      <c r="AH77" s="148">
        <v>2.83</v>
      </c>
      <c r="AI77" s="146">
        <v>8.9999999999999993E-3</v>
      </c>
    </row>
    <row r="78" spans="1:35" x14ac:dyDescent="0.2">
      <c r="A78" s="85" t="s">
        <v>1384</v>
      </c>
      <c r="B78" s="147">
        <v>28.056789398193398</v>
      </c>
      <c r="C78" s="147">
        <v>28.8083400726318</v>
      </c>
      <c r="D78" s="147">
        <v>24.083633422851602</v>
      </c>
      <c r="E78" s="147">
        <v>36.063495407104398</v>
      </c>
      <c r="F78" s="92">
        <v>38.308453</v>
      </c>
      <c r="G78" s="92">
        <v>43.361401000000001</v>
      </c>
      <c r="H78" s="92">
        <v>46.41</v>
      </c>
      <c r="I78" s="92">
        <v>47.28</v>
      </c>
      <c r="J78" s="92">
        <v>49.73</v>
      </c>
      <c r="K78" s="92">
        <v>50.51</v>
      </c>
      <c r="L78" s="92">
        <v>50.13</v>
      </c>
      <c r="M78" s="92">
        <v>50.29</v>
      </c>
      <c r="N78" s="92">
        <v>49.9</v>
      </c>
      <c r="O78" s="92">
        <v>49.36</v>
      </c>
      <c r="P78" s="92">
        <v>50.29</v>
      </c>
      <c r="Q78" s="92">
        <v>50.55</v>
      </c>
      <c r="R78" s="92">
        <v>50.6</v>
      </c>
      <c r="S78" s="92">
        <v>51.09</v>
      </c>
      <c r="T78" s="92">
        <v>51.45</v>
      </c>
      <c r="U78" s="92">
        <v>51.88</v>
      </c>
      <c r="V78" s="92">
        <v>51.99</v>
      </c>
      <c r="W78" s="92">
        <v>52.31</v>
      </c>
      <c r="X78" s="92">
        <v>52.56</v>
      </c>
      <c r="Y78" s="92">
        <v>53.09</v>
      </c>
      <c r="Z78" s="92">
        <v>53.45</v>
      </c>
      <c r="AA78" s="92">
        <v>53.92</v>
      </c>
      <c r="AB78" s="92">
        <v>54.25</v>
      </c>
      <c r="AC78" s="92">
        <v>54.75</v>
      </c>
      <c r="AD78" s="92">
        <v>55.05</v>
      </c>
      <c r="AE78" s="92">
        <v>55.53</v>
      </c>
      <c r="AF78" s="92">
        <v>56.06</v>
      </c>
      <c r="AG78" s="92">
        <v>56.54</v>
      </c>
      <c r="AH78" s="92">
        <v>56.93</v>
      </c>
      <c r="AI78" s="90">
        <v>7.0000000000000001E-3</v>
      </c>
    </row>
    <row r="79" spans="1:35" x14ac:dyDescent="0.2">
      <c r="A79" s="142" t="s">
        <v>1385</v>
      </c>
      <c r="B79" s="147">
        <v>40.845447540283203</v>
      </c>
      <c r="C79" s="147">
        <v>54.109996795654297</v>
      </c>
      <c r="D79" s="147">
        <v>69.215339660644503</v>
      </c>
      <c r="E79" s="147">
        <v>70.930000305175795</v>
      </c>
      <c r="F79" s="148">
        <v>71.819999999999993</v>
      </c>
      <c r="G79" s="148">
        <v>97.68</v>
      </c>
      <c r="H79" s="148">
        <v>102.61</v>
      </c>
      <c r="I79" s="148">
        <v>120.41</v>
      </c>
      <c r="J79" s="148">
        <v>122.79</v>
      </c>
      <c r="K79" s="148">
        <v>128.28</v>
      </c>
      <c r="L79" s="148">
        <v>129.76</v>
      </c>
      <c r="M79" s="148">
        <v>136.9</v>
      </c>
      <c r="N79" s="148">
        <v>140.11000000000001</v>
      </c>
      <c r="O79" s="148">
        <v>140.32</v>
      </c>
      <c r="P79" s="148">
        <v>141.71</v>
      </c>
      <c r="Q79" s="148">
        <v>142.62</v>
      </c>
      <c r="R79" s="148">
        <v>144.29</v>
      </c>
      <c r="S79" s="148">
        <v>152.76</v>
      </c>
      <c r="T79" s="148">
        <v>150.65</v>
      </c>
      <c r="U79" s="148">
        <v>155.41999999999999</v>
      </c>
      <c r="V79" s="148">
        <v>159.58000000000001</v>
      </c>
      <c r="W79" s="148">
        <v>162.52000000000001</v>
      </c>
      <c r="X79" s="148">
        <v>163.24</v>
      </c>
      <c r="Y79" s="148">
        <v>164.82</v>
      </c>
      <c r="Z79" s="148">
        <v>165.91</v>
      </c>
      <c r="AA79" s="148">
        <v>166.9</v>
      </c>
      <c r="AB79" s="148">
        <v>167.42</v>
      </c>
      <c r="AC79" s="148">
        <v>168.43</v>
      </c>
      <c r="AD79" s="148">
        <v>169.14</v>
      </c>
      <c r="AE79" s="148">
        <v>170.17</v>
      </c>
      <c r="AF79" s="148">
        <v>171.09</v>
      </c>
      <c r="AG79" s="148">
        <v>172.02</v>
      </c>
      <c r="AH79" s="148">
        <v>172.97</v>
      </c>
      <c r="AI79" s="146">
        <v>1.4999999999999999E-2</v>
      </c>
    </row>
    <row r="80" spans="1:35" x14ac:dyDescent="0.2">
      <c r="A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</row>
    <row r="81" spans="1:35" x14ac:dyDescent="0.2">
      <c r="A81" s="85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</row>
    <row r="82" spans="1:35" x14ac:dyDescent="0.2">
      <c r="A82" s="142" t="s">
        <v>1375</v>
      </c>
      <c r="F82" s="148">
        <v>25.819997999999998</v>
      </c>
      <c r="G82" s="148">
        <v>31.26</v>
      </c>
      <c r="H82" s="148">
        <v>33.24</v>
      </c>
      <c r="I82" s="148">
        <v>35.61</v>
      </c>
      <c r="J82" s="148">
        <v>39.409999999999997</v>
      </c>
      <c r="K82" s="148">
        <v>39.43</v>
      </c>
      <c r="L82" s="148">
        <v>40.99</v>
      </c>
      <c r="M82" s="148">
        <v>43.1</v>
      </c>
      <c r="N82" s="148">
        <v>45.03</v>
      </c>
      <c r="O82" s="148">
        <v>44.86</v>
      </c>
      <c r="P82" s="148">
        <v>45.16</v>
      </c>
      <c r="Q82" s="148">
        <v>46.34</v>
      </c>
      <c r="R82" s="148">
        <v>47.23</v>
      </c>
      <c r="S82" s="148">
        <v>48.62</v>
      </c>
      <c r="T82" s="148">
        <v>50.37</v>
      </c>
      <c r="U82" s="148">
        <v>52.01</v>
      </c>
      <c r="V82" s="148">
        <v>53.73</v>
      </c>
      <c r="W82" s="148">
        <v>55.59</v>
      </c>
      <c r="X82" s="148">
        <v>57.67</v>
      </c>
      <c r="Y82" s="148">
        <v>59.68</v>
      </c>
      <c r="Z82" s="148">
        <v>61.25</v>
      </c>
      <c r="AA82" s="148">
        <v>63.27</v>
      </c>
      <c r="AB82" s="148">
        <v>65.12</v>
      </c>
      <c r="AC82" s="148">
        <v>67.06</v>
      </c>
      <c r="AD82" s="148">
        <v>69.260000000000005</v>
      </c>
      <c r="AE82" s="148">
        <v>71.540000000000006</v>
      </c>
      <c r="AF82" s="148">
        <v>73.64</v>
      </c>
      <c r="AG82" s="148">
        <v>76.010000000000005</v>
      </c>
      <c r="AH82" s="148">
        <v>78.16</v>
      </c>
      <c r="AI82" s="146">
        <v>3.2000000000000001E-2</v>
      </c>
    </row>
    <row r="83" spans="1:35" x14ac:dyDescent="0.2">
      <c r="A83" s="142" t="s">
        <v>1386</v>
      </c>
      <c r="F83" s="148">
        <v>1.27</v>
      </c>
      <c r="G83" s="148">
        <v>1.546</v>
      </c>
      <c r="H83" s="148">
        <v>1.66</v>
      </c>
      <c r="I83" s="148">
        <v>1.76</v>
      </c>
      <c r="J83" s="148">
        <v>1.93</v>
      </c>
      <c r="K83" s="148">
        <v>1.95</v>
      </c>
      <c r="L83" s="148">
        <v>2.0099999999999998</v>
      </c>
      <c r="M83" s="148">
        <v>2.12</v>
      </c>
      <c r="N83" s="148">
        <v>2.23</v>
      </c>
      <c r="O83" s="148">
        <v>2.23</v>
      </c>
      <c r="P83" s="148">
        <v>2.2599999999999998</v>
      </c>
      <c r="Q83" s="148">
        <v>2.3199999999999998</v>
      </c>
      <c r="R83" s="148">
        <v>2.37</v>
      </c>
      <c r="S83" s="148">
        <v>2.4500000000000002</v>
      </c>
      <c r="T83" s="148">
        <v>2.5299999999999998</v>
      </c>
      <c r="U83" s="148">
        <v>2.62</v>
      </c>
      <c r="V83" s="148">
        <v>2.71</v>
      </c>
      <c r="W83" s="148">
        <v>2.81</v>
      </c>
      <c r="X83" s="148">
        <v>2.92</v>
      </c>
      <c r="Y83" s="148">
        <v>3.02</v>
      </c>
      <c r="Z83" s="148">
        <v>3.11</v>
      </c>
      <c r="AA83" s="148">
        <v>3.21</v>
      </c>
      <c r="AB83" s="148">
        <v>3.31</v>
      </c>
      <c r="AC83" s="148">
        <v>3.42</v>
      </c>
      <c r="AD83" s="148">
        <v>3.52</v>
      </c>
      <c r="AE83" s="148">
        <v>3.64</v>
      </c>
      <c r="AF83" s="148">
        <v>3.75</v>
      </c>
      <c r="AG83" s="148">
        <v>3.87</v>
      </c>
      <c r="AH83" s="148">
        <v>3.98</v>
      </c>
      <c r="AI83" s="146">
        <v>3.3000000000000002E-2</v>
      </c>
    </row>
    <row r="84" spans="1:35" x14ac:dyDescent="0.2">
      <c r="A84" s="142" t="s">
        <v>1387</v>
      </c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</row>
    <row r="85" spans="1:35" x14ac:dyDescent="0.2">
      <c r="A85" s="85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</row>
    <row r="86" spans="1:35" x14ac:dyDescent="0.2">
      <c r="A86" s="85" t="s">
        <v>1378</v>
      </c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</row>
    <row r="87" spans="1:35" x14ac:dyDescent="0.2">
      <c r="A87" s="142" t="s">
        <v>1388</v>
      </c>
      <c r="F87" s="148">
        <v>94.970000999999996</v>
      </c>
      <c r="G87" s="148">
        <v>118.089989</v>
      </c>
      <c r="H87" s="148">
        <v>143.01</v>
      </c>
      <c r="I87" s="148">
        <v>153.59</v>
      </c>
      <c r="J87" s="148">
        <v>168.45</v>
      </c>
      <c r="K87" s="148">
        <v>180.18</v>
      </c>
      <c r="L87" s="148">
        <v>180.58</v>
      </c>
      <c r="M87" s="148">
        <v>192.64</v>
      </c>
      <c r="N87" s="148">
        <v>202.42</v>
      </c>
      <c r="O87" s="148">
        <v>208.37</v>
      </c>
      <c r="P87" s="148">
        <v>217.77</v>
      </c>
      <c r="Q87" s="148">
        <v>220.98</v>
      </c>
      <c r="R87" s="148">
        <v>226.91</v>
      </c>
      <c r="S87" s="148">
        <v>234.55</v>
      </c>
      <c r="T87" s="148">
        <v>242.4</v>
      </c>
      <c r="U87" s="148">
        <v>251.32</v>
      </c>
      <c r="V87" s="148">
        <v>259.82</v>
      </c>
      <c r="W87" s="148">
        <v>268.81</v>
      </c>
      <c r="X87" s="148">
        <v>278.08</v>
      </c>
      <c r="Y87" s="148">
        <v>287.52999999999997</v>
      </c>
      <c r="Z87" s="148">
        <v>296.70999999999998</v>
      </c>
      <c r="AA87" s="148">
        <v>306.08</v>
      </c>
      <c r="AB87" s="148">
        <v>315.22000000000003</v>
      </c>
      <c r="AC87" s="148">
        <v>325.52999999999997</v>
      </c>
      <c r="AD87" s="148">
        <v>334.59</v>
      </c>
      <c r="AE87" s="148">
        <v>344.6</v>
      </c>
      <c r="AF87" s="148">
        <v>354.64</v>
      </c>
      <c r="AG87" s="148">
        <v>365.12</v>
      </c>
      <c r="AH87" s="148">
        <v>375.87</v>
      </c>
      <c r="AI87" s="146">
        <v>3.5999999999999997E-2</v>
      </c>
    </row>
    <row r="88" spans="1:35" x14ac:dyDescent="0.2">
      <c r="A88" s="142" t="s">
        <v>1367</v>
      </c>
      <c r="F88" s="148">
        <v>54.417484000000002</v>
      </c>
      <c r="G88" s="148">
        <v>63.436988999999997</v>
      </c>
      <c r="H88" s="148">
        <v>64.86</v>
      </c>
      <c r="I88" s="148">
        <v>64.23</v>
      </c>
      <c r="J88" s="148">
        <v>67.67</v>
      </c>
      <c r="K88" s="148">
        <v>71.12</v>
      </c>
      <c r="L88" s="148">
        <v>69.8</v>
      </c>
      <c r="M88" s="148">
        <v>72.72</v>
      </c>
      <c r="N88" s="148">
        <v>75.33</v>
      </c>
      <c r="O88" s="148">
        <v>76.42</v>
      </c>
      <c r="P88" s="148">
        <v>78.88</v>
      </c>
      <c r="Q88" s="148">
        <v>80.41</v>
      </c>
      <c r="R88" s="148">
        <v>82.1</v>
      </c>
      <c r="S88" s="148">
        <v>84.1</v>
      </c>
      <c r="T88" s="148">
        <v>86.13</v>
      </c>
      <c r="U88" s="148">
        <v>88.44</v>
      </c>
      <c r="V88" s="148">
        <v>90.78</v>
      </c>
      <c r="W88" s="148">
        <v>93.21</v>
      </c>
      <c r="X88" s="148">
        <v>95.58</v>
      </c>
      <c r="Y88" s="148">
        <v>98.42</v>
      </c>
      <c r="Z88" s="148">
        <v>101.02</v>
      </c>
      <c r="AA88" s="148">
        <v>103.69</v>
      </c>
      <c r="AB88" s="148">
        <v>106.01</v>
      </c>
      <c r="AC88" s="148">
        <v>108.88</v>
      </c>
      <c r="AD88" s="148">
        <v>111.54</v>
      </c>
      <c r="AE88" s="148">
        <v>114.89</v>
      </c>
      <c r="AF88" s="148">
        <v>117.77</v>
      </c>
      <c r="AG88" s="148">
        <v>120.42</v>
      </c>
      <c r="AH88" s="148">
        <v>123.48</v>
      </c>
      <c r="AI88" s="146">
        <v>2.5999999999999999E-2</v>
      </c>
    </row>
    <row r="89" spans="1:35" x14ac:dyDescent="0.2">
      <c r="A89" s="142" t="s">
        <v>1368</v>
      </c>
      <c r="F89" s="91" t="s">
        <v>1370</v>
      </c>
      <c r="G89" s="91" t="s">
        <v>1370</v>
      </c>
      <c r="H89" s="91">
        <v>0</v>
      </c>
      <c r="I89" s="91">
        <v>0</v>
      </c>
      <c r="J89" s="148">
        <v>0</v>
      </c>
      <c r="K89" s="148">
        <v>0</v>
      </c>
      <c r="L89" s="148">
        <v>0</v>
      </c>
      <c r="M89" s="148">
        <v>0</v>
      </c>
      <c r="N89" s="148">
        <v>20</v>
      </c>
      <c r="O89" s="148">
        <v>36.92</v>
      </c>
      <c r="P89" s="148">
        <v>40.869999999999997</v>
      </c>
      <c r="Q89" s="148">
        <v>44.43</v>
      </c>
      <c r="R89" s="148">
        <v>44.73</v>
      </c>
      <c r="S89" s="148">
        <v>46.65</v>
      </c>
      <c r="T89" s="148">
        <v>48.26</v>
      </c>
      <c r="U89" s="148">
        <v>49.07</v>
      </c>
      <c r="V89" s="148">
        <v>51.27</v>
      </c>
      <c r="W89" s="148">
        <v>51.99</v>
      </c>
      <c r="X89" s="148">
        <v>47.64</v>
      </c>
      <c r="Y89" s="148">
        <v>49.03</v>
      </c>
      <c r="Z89" s="148">
        <v>50.93</v>
      </c>
      <c r="AA89" s="148">
        <v>52.84</v>
      </c>
      <c r="AB89" s="148">
        <v>54.35</v>
      </c>
      <c r="AC89" s="148">
        <v>55.97</v>
      </c>
      <c r="AD89" s="148">
        <v>57.13</v>
      </c>
      <c r="AE89" s="148">
        <v>58.67</v>
      </c>
      <c r="AF89" s="148">
        <v>60.6</v>
      </c>
      <c r="AG89" s="148">
        <v>62.38</v>
      </c>
      <c r="AH89" s="148">
        <v>64.28</v>
      </c>
      <c r="AI89" s="91" t="s">
        <v>1370</v>
      </c>
    </row>
    <row r="90" spans="1:35" x14ac:dyDescent="0.2">
      <c r="A90" s="85" t="s">
        <v>1380</v>
      </c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</row>
    <row r="91" spans="1:35" x14ac:dyDescent="0.2">
      <c r="A91" s="142" t="s">
        <v>1381</v>
      </c>
      <c r="F91" s="148">
        <v>35.289997</v>
      </c>
      <c r="G91" s="148">
        <v>40.709999000000003</v>
      </c>
      <c r="H91" s="148">
        <v>43.33</v>
      </c>
      <c r="I91" s="148">
        <v>44.14</v>
      </c>
      <c r="J91" s="148">
        <v>46.94</v>
      </c>
      <c r="K91" s="148">
        <v>47.78</v>
      </c>
      <c r="L91" s="148">
        <v>48.06</v>
      </c>
      <c r="M91" s="148">
        <v>48.69</v>
      </c>
      <c r="N91" s="148">
        <v>48.99</v>
      </c>
      <c r="O91" s="148">
        <v>49.86</v>
      </c>
      <c r="P91" s="148">
        <v>51.91</v>
      </c>
      <c r="Q91" s="148">
        <v>53.28</v>
      </c>
      <c r="R91" s="148">
        <v>54.48</v>
      </c>
      <c r="S91" s="148">
        <v>56.16</v>
      </c>
      <c r="T91" s="148">
        <v>57.72</v>
      </c>
      <c r="U91" s="148">
        <v>59.51</v>
      </c>
      <c r="V91" s="148">
        <v>60.91</v>
      </c>
      <c r="W91" s="148">
        <v>62.68</v>
      </c>
      <c r="X91" s="148">
        <v>64.69</v>
      </c>
      <c r="Y91" s="148">
        <v>66.8</v>
      </c>
      <c r="Z91" s="148">
        <v>68.709999999999994</v>
      </c>
      <c r="AA91" s="148">
        <v>70.760000000000005</v>
      </c>
      <c r="AB91" s="148">
        <v>72.67</v>
      </c>
      <c r="AC91" s="148">
        <v>74.900000000000006</v>
      </c>
      <c r="AD91" s="148">
        <v>76.89</v>
      </c>
      <c r="AE91" s="148">
        <v>79.12</v>
      </c>
      <c r="AF91" s="148">
        <v>81.459999999999994</v>
      </c>
      <c r="AG91" s="148">
        <v>83.83</v>
      </c>
      <c r="AH91" s="148">
        <v>86.02</v>
      </c>
      <c r="AI91" s="146">
        <v>2.7E-2</v>
      </c>
    </row>
    <row r="92" spans="1:35" x14ac:dyDescent="0.2">
      <c r="A92" s="142" t="s">
        <v>1389</v>
      </c>
      <c r="F92" s="148">
        <v>1.76</v>
      </c>
      <c r="G92" s="148">
        <v>2.0499999999999998</v>
      </c>
      <c r="H92" s="148">
        <v>2.19</v>
      </c>
      <c r="I92" s="148">
        <v>2.25</v>
      </c>
      <c r="J92" s="148">
        <v>2.39</v>
      </c>
      <c r="K92" s="148">
        <v>2.4500000000000002</v>
      </c>
      <c r="L92" s="148">
        <v>2.46</v>
      </c>
      <c r="M92" s="148">
        <v>2.5099999999999998</v>
      </c>
      <c r="N92" s="148">
        <v>2.54</v>
      </c>
      <c r="O92" s="148">
        <v>2.59</v>
      </c>
      <c r="P92" s="148">
        <v>2.7</v>
      </c>
      <c r="Q92" s="148">
        <v>2.77</v>
      </c>
      <c r="R92" s="148">
        <v>2.84</v>
      </c>
      <c r="S92" s="148">
        <v>2.93</v>
      </c>
      <c r="T92" s="148">
        <v>3.01</v>
      </c>
      <c r="U92" s="148">
        <v>3.11</v>
      </c>
      <c r="V92" s="148">
        <v>3.19</v>
      </c>
      <c r="W92" s="148">
        <v>3.28</v>
      </c>
      <c r="X92" s="148">
        <v>3.37</v>
      </c>
      <c r="Y92" s="148">
        <v>3.48</v>
      </c>
      <c r="Z92" s="148">
        <v>3.59</v>
      </c>
      <c r="AA92" s="148">
        <v>3.7</v>
      </c>
      <c r="AB92" s="148">
        <v>3.8</v>
      </c>
      <c r="AC92" s="148">
        <v>3.92</v>
      </c>
      <c r="AD92" s="148">
        <v>4.0199999999999996</v>
      </c>
      <c r="AE92" s="148">
        <v>4.13</v>
      </c>
      <c r="AF92" s="148">
        <v>4.25</v>
      </c>
      <c r="AG92" s="148">
        <v>4.37</v>
      </c>
      <c r="AH92" s="148">
        <v>4.49</v>
      </c>
      <c r="AI92" s="146">
        <v>2.8000000000000001E-2</v>
      </c>
    </row>
    <row r="93" spans="1:35" x14ac:dyDescent="0.2">
      <c r="A93" s="142" t="s">
        <v>1390</v>
      </c>
      <c r="F93" s="148">
        <v>37.470042999999997</v>
      </c>
      <c r="G93" s="148">
        <v>43.361401000000001</v>
      </c>
      <c r="H93" s="148">
        <v>45.88</v>
      </c>
      <c r="I93" s="148">
        <v>47.28</v>
      </c>
      <c r="J93" s="148">
        <v>50.72</v>
      </c>
      <c r="K93" s="148">
        <v>52.01</v>
      </c>
      <c r="L93" s="148">
        <v>52.15</v>
      </c>
      <c r="M93" s="148">
        <v>53.2</v>
      </c>
      <c r="N93" s="148">
        <v>53.79</v>
      </c>
      <c r="O93" s="148">
        <v>54.26</v>
      </c>
      <c r="P93" s="148">
        <v>56.34</v>
      </c>
      <c r="Q93" s="148">
        <v>57.73</v>
      </c>
      <c r="R93" s="148">
        <v>58.93</v>
      </c>
      <c r="S93" s="148">
        <v>60.72</v>
      </c>
      <c r="T93" s="148">
        <v>62.37</v>
      </c>
      <c r="U93" s="148">
        <v>64.19</v>
      </c>
      <c r="V93" s="148">
        <v>65.63</v>
      </c>
      <c r="W93" s="148">
        <v>67.39</v>
      </c>
      <c r="X93" s="148">
        <v>69.09</v>
      </c>
      <c r="Y93" s="148">
        <v>71.19</v>
      </c>
      <c r="Z93" s="148">
        <v>73.11</v>
      </c>
      <c r="AA93" s="148">
        <v>75.2</v>
      </c>
      <c r="AB93" s="148">
        <v>77.13</v>
      </c>
      <c r="AC93" s="148">
        <v>79.349999999999994</v>
      </c>
      <c r="AD93" s="148">
        <v>81.3</v>
      </c>
      <c r="AE93" s="148">
        <v>83.53</v>
      </c>
      <c r="AF93" s="148">
        <v>85.86</v>
      </c>
      <c r="AG93" s="148">
        <v>88.19</v>
      </c>
      <c r="AH93" s="148">
        <v>90.37</v>
      </c>
      <c r="AI93" s="146">
        <v>2.5999999999999999E-2</v>
      </c>
    </row>
    <row r="94" spans="1:35" x14ac:dyDescent="0.2">
      <c r="A94" s="142" t="s">
        <v>1384</v>
      </c>
      <c r="F94" s="148">
        <v>70.25</v>
      </c>
      <c r="G94" s="148">
        <v>97.68</v>
      </c>
      <c r="H94" s="148">
        <v>101.44</v>
      </c>
      <c r="I94" s="148">
        <v>120.41</v>
      </c>
      <c r="J94" s="148">
        <v>125.24</v>
      </c>
      <c r="K94" s="148">
        <v>132.09</v>
      </c>
      <c r="L94" s="148">
        <v>134.97999999999999</v>
      </c>
      <c r="M94" s="148">
        <v>144.83000000000001</v>
      </c>
      <c r="N94" s="148">
        <v>151.01</v>
      </c>
      <c r="O94" s="148">
        <v>154.22</v>
      </c>
      <c r="P94" s="148">
        <v>158.75</v>
      </c>
      <c r="Q94" s="148">
        <v>162.85</v>
      </c>
      <c r="R94" s="148">
        <v>168.03</v>
      </c>
      <c r="S94" s="148">
        <v>181.53</v>
      </c>
      <c r="T94" s="148">
        <v>182.64</v>
      </c>
      <c r="U94" s="148">
        <v>192.28</v>
      </c>
      <c r="V94" s="148">
        <v>201.45</v>
      </c>
      <c r="W94" s="148">
        <v>209.39</v>
      </c>
      <c r="X94" s="148">
        <v>214.57</v>
      </c>
      <c r="Y94" s="148">
        <v>221.04</v>
      </c>
      <c r="Z94" s="148">
        <v>226.93</v>
      </c>
      <c r="AA94" s="148">
        <v>232.75</v>
      </c>
      <c r="AB94" s="148">
        <v>238.03</v>
      </c>
      <c r="AC94" s="148">
        <v>244.11</v>
      </c>
      <c r="AD94" s="148">
        <v>249.77</v>
      </c>
      <c r="AE94" s="148">
        <v>255.99</v>
      </c>
      <c r="AF94" s="148">
        <v>262.06</v>
      </c>
      <c r="AG94" s="148">
        <v>268.3</v>
      </c>
      <c r="AH94" s="148">
        <v>274.56</v>
      </c>
      <c r="AI94" s="146">
        <v>3.4000000000000002E-2</v>
      </c>
    </row>
    <row r="95" spans="1:35" x14ac:dyDescent="0.2">
      <c r="A95" s="142" t="s">
        <v>1385</v>
      </c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</row>
    <row r="96" spans="1:35" x14ac:dyDescent="0.2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</row>
    <row r="97" spans="1:31" ht="12.75" customHeight="1" x14ac:dyDescent="0.2">
      <c r="A97" s="345" t="s">
        <v>1391</v>
      </c>
      <c r="B97" s="345"/>
      <c r="C97" s="345"/>
      <c r="D97" s="345"/>
      <c r="E97" s="345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  <c r="AA97" s="345"/>
      <c r="AB97" s="345"/>
      <c r="AC97" s="345"/>
      <c r="AD97" s="142"/>
      <c r="AE97" s="142"/>
    </row>
    <row r="98" spans="1:31" ht="12.75" customHeight="1" x14ac:dyDescent="0.2">
      <c r="A98" s="320" t="s">
        <v>1392</v>
      </c>
      <c r="B98" s="320"/>
      <c r="C98" s="320"/>
      <c r="D98" s="320"/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  <c r="AD98" s="142"/>
      <c r="AE98" s="142"/>
    </row>
    <row r="99" spans="1:31" ht="12.75" customHeight="1" x14ac:dyDescent="0.2">
      <c r="A99" s="320" t="s">
        <v>1393</v>
      </c>
      <c r="B99" s="320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320"/>
      <c r="P99" s="320"/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  <c r="AC99" s="320"/>
      <c r="AD99" s="142"/>
      <c r="AE99" s="142"/>
    </row>
    <row r="100" spans="1:31" ht="12.75" customHeight="1" x14ac:dyDescent="0.2">
      <c r="A100" s="320" t="s">
        <v>1394</v>
      </c>
      <c r="B100" s="320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  <c r="AD100" s="142"/>
      <c r="AE100" s="142"/>
    </row>
    <row r="101" spans="1:31" ht="12.75" customHeight="1" x14ac:dyDescent="0.2">
      <c r="A101" s="320" t="s">
        <v>1395</v>
      </c>
      <c r="B101" s="320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  <c r="M101" s="320"/>
      <c r="N101" s="320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20"/>
      <c r="AD101" s="142"/>
      <c r="AE101" s="142"/>
    </row>
    <row r="102" spans="1:31" ht="12.75" customHeight="1" x14ac:dyDescent="0.2">
      <c r="A102" s="320" t="s">
        <v>1396</v>
      </c>
      <c r="B102" s="320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142"/>
      <c r="AE102" s="142"/>
    </row>
    <row r="103" spans="1:31" ht="12.75" customHeight="1" x14ac:dyDescent="0.2">
      <c r="A103" s="320" t="s">
        <v>1397</v>
      </c>
      <c r="B103" s="320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  <c r="AC103" s="320"/>
      <c r="AD103" s="142"/>
      <c r="AE103" s="142"/>
    </row>
    <row r="104" spans="1:31" ht="12.75" customHeight="1" x14ac:dyDescent="0.2">
      <c r="A104" s="320" t="s">
        <v>1398</v>
      </c>
      <c r="B104" s="320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  <c r="AD104" s="142"/>
      <c r="AE104" s="142"/>
    </row>
    <row r="105" spans="1:31" ht="12.75" customHeight="1" x14ac:dyDescent="0.2">
      <c r="A105" s="320" t="s">
        <v>1399</v>
      </c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20"/>
      <c r="AD105" s="142"/>
      <c r="AE105" s="142"/>
    </row>
    <row r="106" spans="1:31" ht="12.75" customHeight="1" x14ac:dyDescent="0.2">
      <c r="A106" s="320" t="s">
        <v>1400</v>
      </c>
      <c r="B106" s="320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142"/>
      <c r="AE106" s="142"/>
    </row>
    <row r="107" spans="1:31" ht="12.75" customHeight="1" x14ac:dyDescent="0.2">
      <c r="A107" s="320" t="s">
        <v>1401</v>
      </c>
      <c r="B107" s="320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142"/>
      <c r="AE107" s="142"/>
    </row>
    <row r="108" spans="1:31" ht="12.75" customHeight="1" x14ac:dyDescent="0.2">
      <c r="A108" s="320" t="s">
        <v>1402</v>
      </c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  <c r="AD108" s="142"/>
      <c r="AE108" s="142"/>
    </row>
    <row r="109" spans="1:31" ht="12.75" customHeight="1" x14ac:dyDescent="0.2">
      <c r="A109" s="320" t="s">
        <v>1403</v>
      </c>
      <c r="B109" s="320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  <c r="AC109" s="320"/>
      <c r="AD109" s="142"/>
      <c r="AE109" s="142"/>
    </row>
    <row r="110" spans="1:31" x14ac:dyDescent="0.2">
      <c r="A110" s="320" t="s">
        <v>1404</v>
      </c>
      <c r="B110" s="320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142"/>
      <c r="AE110" s="142"/>
    </row>
    <row r="111" spans="1:31" x14ac:dyDescent="0.2">
      <c r="A111" s="320" t="s">
        <v>1405</v>
      </c>
      <c r="B111" s="320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20"/>
      <c r="AD111" s="142"/>
      <c r="AE111" s="142"/>
    </row>
    <row r="112" spans="1:31" x14ac:dyDescent="0.2">
      <c r="A112" s="320" t="s">
        <v>1406</v>
      </c>
      <c r="B112" s="320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142"/>
      <c r="AE112" s="142"/>
    </row>
    <row r="113" spans="1:31" ht="12.75" customHeight="1" x14ac:dyDescent="0.2">
      <c r="A113" s="320" t="s">
        <v>1407</v>
      </c>
      <c r="B113" s="320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20"/>
      <c r="AD113" s="142"/>
      <c r="AE113" s="142"/>
    </row>
    <row r="114" spans="1:31" ht="12.75" customHeight="1" x14ac:dyDescent="0.2">
      <c r="A114" s="320" t="s">
        <v>1408</v>
      </c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142"/>
      <c r="AE114" s="142"/>
    </row>
    <row r="115" spans="1:31" ht="12.75" customHeight="1" x14ac:dyDescent="0.2">
      <c r="A115" s="320" t="s">
        <v>1409</v>
      </c>
      <c r="B115" s="320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  <c r="AC115" s="320"/>
      <c r="AD115" s="142"/>
      <c r="AE115" s="142"/>
    </row>
    <row r="116" spans="1:31" ht="12.75" customHeight="1" x14ac:dyDescent="0.2">
      <c r="A116" s="320" t="s">
        <v>1410</v>
      </c>
      <c r="B116" s="320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142"/>
      <c r="AE116" s="142"/>
    </row>
    <row r="117" spans="1:31" ht="12.75" customHeight="1" x14ac:dyDescent="0.2">
      <c r="A117" s="320" t="s">
        <v>1411</v>
      </c>
      <c r="B117" s="320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  <c r="AC117" s="320"/>
      <c r="AD117" s="142"/>
      <c r="AE117" s="142"/>
    </row>
    <row r="118" spans="1:31" ht="12.75" customHeight="1" x14ac:dyDescent="0.2">
      <c r="A118" s="320" t="s">
        <v>1412</v>
      </c>
      <c r="B118" s="320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  <c r="AD118" s="142"/>
      <c r="AE118" s="142"/>
    </row>
    <row r="119" spans="1:31" ht="12.75" customHeight="1" x14ac:dyDescent="0.2">
      <c r="A119" s="320" t="s">
        <v>1413</v>
      </c>
      <c r="B119" s="320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320"/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320"/>
      <c r="AB119" s="320"/>
      <c r="AC119" s="320"/>
      <c r="AD119" s="142"/>
      <c r="AE119" s="142"/>
    </row>
    <row r="120" spans="1:31" ht="12.75" customHeight="1" x14ac:dyDescent="0.2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</row>
    <row r="121" spans="1:31" ht="12.75" customHeight="1" x14ac:dyDescent="0.2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</row>
    <row r="122" spans="1:31" s="140" customFormat="1" ht="13.5" customHeight="1" thickBot="1" x14ac:dyDescent="0.25"/>
    <row r="124" spans="1:31" ht="12.75" customHeight="1" x14ac:dyDescent="0.2">
      <c r="A124" s="112" t="s">
        <v>1414</v>
      </c>
    </row>
    <row r="125" spans="1:31" ht="12.75" customHeight="1" x14ac:dyDescent="0.2">
      <c r="A125" s="93" t="s">
        <v>1415</v>
      </c>
    </row>
    <row r="127" spans="1:31" x14ac:dyDescent="0.2">
      <c r="A127" s="112" t="s">
        <v>1416</v>
      </c>
    </row>
    <row r="128" spans="1:31" x14ac:dyDescent="0.2">
      <c r="A128" s="112" t="s">
        <v>1417</v>
      </c>
    </row>
    <row r="130" spans="1:5" x14ac:dyDescent="0.2">
      <c r="A130" s="149" t="s">
        <v>1418</v>
      </c>
    </row>
    <row r="132" spans="1:5" x14ac:dyDescent="0.2">
      <c r="A132" s="78" t="s">
        <v>1419</v>
      </c>
    </row>
    <row r="133" spans="1:5" x14ac:dyDescent="0.2">
      <c r="A133" s="112" t="s">
        <v>1420</v>
      </c>
    </row>
    <row r="134" spans="1:5" x14ac:dyDescent="0.2">
      <c r="C134" s="94" t="s">
        <v>1421</v>
      </c>
      <c r="D134" s="94" t="s">
        <v>1422</v>
      </c>
    </row>
    <row r="135" spans="1:5" x14ac:dyDescent="0.2">
      <c r="A135" s="78" t="s">
        <v>1423</v>
      </c>
      <c r="B135" s="78"/>
      <c r="C135" s="94" t="s">
        <v>1424</v>
      </c>
      <c r="D135" s="94" t="s">
        <v>1425</v>
      </c>
      <c r="E135" s="94" t="s">
        <v>1426</v>
      </c>
    </row>
    <row r="136" spans="1:5" x14ac:dyDescent="0.2">
      <c r="A136" s="78"/>
      <c r="B136" s="78"/>
    </row>
    <row r="137" spans="1:5" x14ac:dyDescent="0.2">
      <c r="A137" s="95" t="s">
        <v>1427</v>
      </c>
      <c r="C137" s="96">
        <v>473236.45024320402</v>
      </c>
      <c r="D137" s="96">
        <v>457186.08392446587</v>
      </c>
      <c r="E137" s="96">
        <v>930422.5341676696</v>
      </c>
    </row>
    <row r="138" spans="1:5" x14ac:dyDescent="0.2">
      <c r="A138" s="150" t="s">
        <v>1428</v>
      </c>
      <c r="C138" s="151">
        <v>122001.4702</v>
      </c>
      <c r="D138" s="151">
        <v>141779.53</v>
      </c>
      <c r="E138" s="151">
        <v>263781.00020000001</v>
      </c>
    </row>
    <row r="139" spans="1:5" x14ac:dyDescent="0.2">
      <c r="A139" s="150" t="s">
        <v>1429</v>
      </c>
      <c r="C139" s="152">
        <f>C137-C138</f>
        <v>351234.98004320404</v>
      </c>
      <c r="D139" s="152">
        <f>D137-D138</f>
        <v>315406.5539244659</v>
      </c>
      <c r="E139" s="152">
        <f>E137-E138</f>
        <v>666641.53396766959</v>
      </c>
    </row>
    <row r="140" spans="1:5" x14ac:dyDescent="0.2">
      <c r="A140" s="150" t="s">
        <v>1430</v>
      </c>
      <c r="C140" s="112">
        <f>C139*1000000*'Conversion Factors'!B6*'Conversion Factors'!B4</f>
        <v>9264314.3276115656</v>
      </c>
    </row>
    <row r="141" spans="1:5" x14ac:dyDescent="0.2">
      <c r="A141" s="150"/>
    </row>
    <row r="142" spans="1:5" x14ac:dyDescent="0.2">
      <c r="A142" s="95" t="s">
        <v>1427</v>
      </c>
      <c r="C142" s="112">
        <f>C137/E137</f>
        <v>0.5086253103989451</v>
      </c>
      <c r="D142" s="112">
        <f>D137/E137</f>
        <v>0.49137468960105524</v>
      </c>
    </row>
    <row r="143" spans="1:5" x14ac:dyDescent="0.2">
      <c r="A143" s="150" t="s">
        <v>1428</v>
      </c>
      <c r="C143" s="112">
        <f>C138/E138</f>
        <v>0.46251045415514347</v>
      </c>
      <c r="D143" s="112">
        <f>D138/E138</f>
        <v>0.53748954584485642</v>
      </c>
    </row>
    <row r="144" spans="1:5" x14ac:dyDescent="0.2">
      <c r="A144" s="112" t="s">
        <v>1429</v>
      </c>
      <c r="C144" s="112">
        <f>C139/E139</f>
        <v>0.52687233265042566</v>
      </c>
      <c r="D144" s="112">
        <f>D139/E139</f>
        <v>0.4731276673495749</v>
      </c>
    </row>
    <row r="145" spans="1:15" s="140" customFormat="1" ht="13.5" thickBot="1" x14ac:dyDescent="0.25"/>
    <row r="147" spans="1:15" x14ac:dyDescent="0.2">
      <c r="A147" s="78" t="s">
        <v>1431</v>
      </c>
    </row>
    <row r="149" spans="1:15" x14ac:dyDescent="0.2">
      <c r="A149" s="365" t="s">
        <v>1432</v>
      </c>
      <c r="B149" s="366"/>
      <c r="C149" s="366"/>
      <c r="D149" s="366"/>
      <c r="E149" s="366"/>
      <c r="F149" s="366"/>
      <c r="G149" s="367"/>
      <c r="I149" s="333" t="s">
        <v>1433</v>
      </c>
      <c r="J149" s="334"/>
      <c r="K149" s="334"/>
      <c r="L149" s="334"/>
      <c r="M149" s="334"/>
      <c r="N149" s="334"/>
      <c r="O149" s="335"/>
    </row>
    <row r="150" spans="1:15" ht="63.75" x14ac:dyDescent="0.2">
      <c r="A150" s="186" t="s">
        <v>15</v>
      </c>
      <c r="B150" s="186" t="s">
        <v>1434</v>
      </c>
      <c r="C150" s="186" t="s">
        <v>1435</v>
      </c>
      <c r="D150" s="186" t="s">
        <v>1436</v>
      </c>
      <c r="E150" s="186" t="s">
        <v>1437</v>
      </c>
      <c r="F150" s="187" t="s">
        <v>1438</v>
      </c>
      <c r="G150" s="188" t="s">
        <v>1439</v>
      </c>
      <c r="I150" s="189" t="s">
        <v>15</v>
      </c>
      <c r="J150" s="189" t="s">
        <v>1440</v>
      </c>
      <c r="K150" s="189" t="s">
        <v>1441</v>
      </c>
      <c r="L150" s="189" t="s">
        <v>1442</v>
      </c>
      <c r="M150" s="189" t="s">
        <v>1443</v>
      </c>
      <c r="N150" s="189" t="s">
        <v>1444</v>
      </c>
      <c r="O150" s="189" t="s">
        <v>1445</v>
      </c>
    </row>
    <row r="151" spans="1:15" x14ac:dyDescent="0.2">
      <c r="A151" s="190">
        <v>1995</v>
      </c>
      <c r="B151" s="191" t="s">
        <v>1446</v>
      </c>
      <c r="C151" s="192">
        <v>47.19</v>
      </c>
      <c r="D151" s="192">
        <v>43.12</v>
      </c>
      <c r="E151" s="193">
        <v>79.900000000000006</v>
      </c>
      <c r="F151" s="194">
        <v>82.6</v>
      </c>
      <c r="G151" s="297">
        <f t="shared" ref="G151:G176" si="7">F151/E151</f>
        <v>1.0337922403003754</v>
      </c>
      <c r="I151" s="195">
        <v>1991</v>
      </c>
      <c r="J151" s="196">
        <v>20237</v>
      </c>
      <c r="K151" s="196">
        <v>48637</v>
      </c>
      <c r="L151" s="196">
        <v>24442</v>
      </c>
      <c r="M151" s="196">
        <v>24046</v>
      </c>
      <c r="N151" s="197">
        <v>787</v>
      </c>
      <c r="O151" s="198">
        <v>1183</v>
      </c>
    </row>
    <row r="152" spans="1:15" x14ac:dyDescent="0.2">
      <c r="A152" s="199"/>
      <c r="B152" s="191" t="s">
        <v>1447</v>
      </c>
      <c r="C152" s="192">
        <v>47.57</v>
      </c>
      <c r="D152" s="192">
        <v>43.61</v>
      </c>
      <c r="E152" s="193">
        <v>61.64</v>
      </c>
      <c r="F152" s="194">
        <v>86.56</v>
      </c>
      <c r="G152" s="297">
        <f t="shared" si="7"/>
        <v>1.4042829331602855</v>
      </c>
      <c r="I152" s="195">
        <v>1992</v>
      </c>
      <c r="J152" s="196">
        <v>21873</v>
      </c>
      <c r="K152" s="196">
        <v>52224</v>
      </c>
      <c r="L152" s="196">
        <v>24812</v>
      </c>
      <c r="M152" s="196">
        <v>23410</v>
      </c>
      <c r="N152" s="197">
        <v>696</v>
      </c>
      <c r="O152" s="198">
        <v>2098</v>
      </c>
    </row>
    <row r="153" spans="1:15" x14ac:dyDescent="0.2">
      <c r="A153" s="199"/>
      <c r="B153" s="191" t="s">
        <v>1448</v>
      </c>
      <c r="C153" s="192">
        <v>47.02</v>
      </c>
      <c r="D153" s="192">
        <v>45.11</v>
      </c>
      <c r="E153" s="193">
        <v>69.84</v>
      </c>
      <c r="F153" s="194">
        <v>86.22</v>
      </c>
      <c r="G153" s="297">
        <f t="shared" si="7"/>
        <v>1.2345360824742266</v>
      </c>
      <c r="I153" s="195">
        <v>1993</v>
      </c>
      <c r="J153" s="196">
        <v>25644</v>
      </c>
      <c r="K153" s="196">
        <v>53082</v>
      </c>
      <c r="L153" s="196">
        <v>24275</v>
      </c>
      <c r="M153" s="196">
        <v>23182</v>
      </c>
      <c r="N153" s="200">
        <v>1062</v>
      </c>
      <c r="O153" s="198">
        <v>2155</v>
      </c>
    </row>
    <row r="154" spans="1:15" x14ac:dyDescent="0.2">
      <c r="A154" s="201"/>
      <c r="B154" s="191" t="s">
        <v>1449</v>
      </c>
      <c r="C154" s="192">
        <v>47.56</v>
      </c>
      <c r="D154" s="192">
        <v>44.97</v>
      </c>
      <c r="E154" s="193">
        <v>62.27</v>
      </c>
      <c r="F154" s="194">
        <v>85.02</v>
      </c>
      <c r="G154" s="297">
        <f t="shared" si="7"/>
        <v>1.3653444676409185</v>
      </c>
      <c r="I154" s="195">
        <v>1994</v>
      </c>
      <c r="J154" s="196">
        <v>38136</v>
      </c>
      <c r="K154" s="196">
        <v>54426</v>
      </c>
      <c r="L154" s="196">
        <v>25038</v>
      </c>
      <c r="M154" s="196">
        <v>22686</v>
      </c>
      <c r="N154" s="197">
        <v>986</v>
      </c>
      <c r="O154" s="198">
        <v>3338</v>
      </c>
    </row>
    <row r="155" spans="1:15" x14ac:dyDescent="0.2">
      <c r="A155" s="190">
        <v>1996</v>
      </c>
      <c r="B155" s="191" t="s">
        <v>1446</v>
      </c>
      <c r="C155" s="192">
        <v>47.45</v>
      </c>
      <c r="D155" s="192">
        <v>46.25</v>
      </c>
      <c r="E155" s="193">
        <v>63.7</v>
      </c>
      <c r="F155" s="194">
        <v>90.6</v>
      </c>
      <c r="G155" s="297">
        <f t="shared" si="7"/>
        <v>1.4222919937205649</v>
      </c>
      <c r="I155" s="195">
        <v>1995</v>
      </c>
      <c r="J155" s="196">
        <v>33244</v>
      </c>
      <c r="K155" s="196">
        <v>56097</v>
      </c>
      <c r="L155" s="196">
        <v>25941</v>
      </c>
      <c r="M155" s="196">
        <v>23479</v>
      </c>
      <c r="N155" s="200">
        <v>1358</v>
      </c>
      <c r="O155" s="198">
        <v>3820</v>
      </c>
    </row>
    <row r="156" spans="1:15" x14ac:dyDescent="0.2">
      <c r="A156" s="199"/>
      <c r="B156" s="191" t="s">
        <v>1447</v>
      </c>
      <c r="C156" s="192">
        <v>48.39</v>
      </c>
      <c r="D156" s="192">
        <v>45.61</v>
      </c>
      <c r="E156" s="193">
        <v>52.15</v>
      </c>
      <c r="F156" s="194">
        <v>93.79</v>
      </c>
      <c r="G156" s="297">
        <f t="shared" si="7"/>
        <v>1.7984659635666349</v>
      </c>
      <c r="I156" s="195">
        <v>1996</v>
      </c>
      <c r="J156" s="196">
        <v>38328</v>
      </c>
      <c r="K156" s="196">
        <v>54485</v>
      </c>
      <c r="L156" s="196">
        <v>23995</v>
      </c>
      <c r="M156" s="196">
        <v>23075</v>
      </c>
      <c r="N156" s="200">
        <v>1622</v>
      </c>
      <c r="O156" s="198">
        <v>2542</v>
      </c>
    </row>
    <row r="157" spans="1:15" x14ac:dyDescent="0.2">
      <c r="A157" s="199"/>
      <c r="B157" s="191" t="s">
        <v>1448</v>
      </c>
      <c r="C157" s="192">
        <v>46.02</v>
      </c>
      <c r="D157" s="192">
        <v>44.94</v>
      </c>
      <c r="E157" s="193">
        <v>53.33</v>
      </c>
      <c r="F157" s="194">
        <v>105.7</v>
      </c>
      <c r="G157" s="297">
        <f t="shared" si="7"/>
        <v>1.9819988749296833</v>
      </c>
      <c r="I157" s="195">
        <v>1997</v>
      </c>
      <c r="J157" s="196">
        <v>41048</v>
      </c>
      <c r="K157" s="196">
        <v>54679</v>
      </c>
      <c r="L157" s="196">
        <v>23989</v>
      </c>
      <c r="M157" s="196">
        <v>22116</v>
      </c>
      <c r="N157" s="200">
        <v>1266</v>
      </c>
      <c r="O157" s="198">
        <v>3139</v>
      </c>
    </row>
    <row r="158" spans="1:15" x14ac:dyDescent="0.2">
      <c r="A158" s="201"/>
      <c r="B158" s="191" t="s">
        <v>1449</v>
      </c>
      <c r="C158" s="192">
        <v>47.33</v>
      </c>
      <c r="D158" s="192">
        <v>44.89</v>
      </c>
      <c r="E158" s="193">
        <v>54.58</v>
      </c>
      <c r="F158" s="194">
        <v>99.51</v>
      </c>
      <c r="G158" s="297">
        <f t="shared" si="7"/>
        <v>1.82319530963723</v>
      </c>
      <c r="I158" s="195">
        <v>1998</v>
      </c>
      <c r="J158" s="196">
        <v>54303</v>
      </c>
      <c r="K158" s="196">
        <v>53164</v>
      </c>
      <c r="L158" s="196">
        <v>22746</v>
      </c>
      <c r="M158" s="196">
        <v>20041</v>
      </c>
      <c r="N158" s="200">
        <v>1129</v>
      </c>
      <c r="O158" s="198">
        <v>3834</v>
      </c>
    </row>
    <row r="159" spans="1:15" x14ac:dyDescent="0.2">
      <c r="A159" s="190">
        <v>1997</v>
      </c>
      <c r="B159" s="191" t="s">
        <v>1446</v>
      </c>
      <c r="C159" s="192">
        <v>48.16</v>
      </c>
      <c r="D159" s="192">
        <v>46.57</v>
      </c>
      <c r="E159" s="193">
        <v>104.39</v>
      </c>
      <c r="F159" s="194">
        <v>96.41</v>
      </c>
      <c r="G159" s="297">
        <f t="shared" si="7"/>
        <v>0.92355589615863587</v>
      </c>
      <c r="I159" s="195">
        <v>1999</v>
      </c>
      <c r="J159" s="196">
        <v>49346</v>
      </c>
      <c r="K159" s="196">
        <v>51002</v>
      </c>
      <c r="L159" s="196">
        <v>22342</v>
      </c>
      <c r="M159" s="196">
        <v>20016</v>
      </c>
      <c r="N159" s="197">
        <v>898</v>
      </c>
      <c r="O159" s="198">
        <v>3224</v>
      </c>
    </row>
    <row r="160" spans="1:15" x14ac:dyDescent="0.2">
      <c r="A160" s="199"/>
      <c r="B160" s="191" t="s">
        <v>1447</v>
      </c>
      <c r="C160" s="192">
        <v>48.24</v>
      </c>
      <c r="D160" s="192">
        <v>45.46</v>
      </c>
      <c r="E160" s="193">
        <v>59.62</v>
      </c>
      <c r="F160" s="194">
        <v>80.040000000000006</v>
      </c>
      <c r="G160" s="297">
        <f t="shared" si="7"/>
        <v>1.3425025159342505</v>
      </c>
      <c r="I160" s="195">
        <v>2000</v>
      </c>
      <c r="J160" s="196">
        <v>52202</v>
      </c>
      <c r="K160" s="196">
        <v>52787</v>
      </c>
      <c r="L160" s="196">
        <v>23443</v>
      </c>
      <c r="M160" s="196">
        <v>20808</v>
      </c>
      <c r="N160" s="200">
        <v>1146</v>
      </c>
      <c r="O160" s="198">
        <v>3781</v>
      </c>
    </row>
    <row r="161" spans="1:15" x14ac:dyDescent="0.2">
      <c r="A161" s="199"/>
      <c r="B161" s="191" t="s">
        <v>1448</v>
      </c>
      <c r="C161" s="192">
        <v>46.71</v>
      </c>
      <c r="D161" s="192">
        <v>44.54</v>
      </c>
      <c r="E161" s="193">
        <v>61.47</v>
      </c>
      <c r="F161" s="194">
        <v>71.44</v>
      </c>
      <c r="G161" s="297">
        <f t="shared" si="7"/>
        <v>1.1621929396453554</v>
      </c>
      <c r="I161" s="336" t="s">
        <v>1450</v>
      </c>
      <c r="J161" s="337"/>
      <c r="K161" s="337"/>
      <c r="L161" s="337"/>
      <c r="M161" s="337"/>
      <c r="N161" s="337"/>
      <c r="O161" s="338"/>
    </row>
    <row r="162" spans="1:15" ht="19.5" customHeight="1" x14ac:dyDescent="0.2">
      <c r="A162" s="201"/>
      <c r="B162" s="191" t="s">
        <v>1449</v>
      </c>
      <c r="C162" s="192">
        <v>47.4</v>
      </c>
      <c r="D162" s="192">
        <v>44.94</v>
      </c>
      <c r="E162" s="193">
        <v>66.56</v>
      </c>
      <c r="F162" s="194">
        <v>80.44</v>
      </c>
      <c r="G162" s="297">
        <f t="shared" si="7"/>
        <v>1.2085336538461537</v>
      </c>
      <c r="I162" s="339" t="s">
        <v>1451</v>
      </c>
      <c r="J162" s="340"/>
      <c r="K162" s="340"/>
      <c r="L162" s="340"/>
      <c r="M162" s="340"/>
      <c r="N162" s="340"/>
      <c r="O162" s="341"/>
    </row>
    <row r="163" spans="1:15" x14ac:dyDescent="0.2">
      <c r="A163" s="190">
        <v>1998</v>
      </c>
      <c r="B163" s="191" t="s">
        <v>1446</v>
      </c>
      <c r="C163" s="192">
        <v>45.79</v>
      </c>
      <c r="D163" s="192">
        <v>45.92</v>
      </c>
      <c r="E163" s="193">
        <v>114.56</v>
      </c>
      <c r="F163" s="194">
        <v>71.180000000000007</v>
      </c>
      <c r="G163" s="297">
        <f t="shared" si="7"/>
        <v>0.62133379888268159</v>
      </c>
    </row>
    <row r="164" spans="1:15" x14ac:dyDescent="0.2">
      <c r="A164" s="199"/>
      <c r="B164" s="191" t="s">
        <v>1447</v>
      </c>
      <c r="C164" s="192">
        <v>45.84</v>
      </c>
      <c r="D164" s="192">
        <v>44.63</v>
      </c>
      <c r="E164" s="193">
        <v>88.81</v>
      </c>
      <c r="F164" s="194">
        <v>78.069999999999993</v>
      </c>
      <c r="G164" s="297">
        <f t="shared" si="7"/>
        <v>0.87906767255939633</v>
      </c>
    </row>
    <row r="165" spans="1:15" x14ac:dyDescent="0.2">
      <c r="A165" s="199"/>
      <c r="B165" s="191" t="s">
        <v>1448</v>
      </c>
      <c r="C165" s="192">
        <v>46.43</v>
      </c>
      <c r="D165" s="192">
        <v>43.76</v>
      </c>
      <c r="E165" s="193">
        <v>95.15</v>
      </c>
      <c r="F165" s="194">
        <v>76.650000000000006</v>
      </c>
      <c r="G165" s="297">
        <f t="shared" si="7"/>
        <v>0.80557015239096164</v>
      </c>
    </row>
    <row r="166" spans="1:15" x14ac:dyDescent="0.2">
      <c r="A166" s="201"/>
      <c r="B166" s="191" t="s">
        <v>1449</v>
      </c>
      <c r="C166" s="192">
        <v>46.17</v>
      </c>
      <c r="D166" s="192">
        <v>43.31</v>
      </c>
      <c r="E166" s="193">
        <v>78.8</v>
      </c>
      <c r="F166" s="194">
        <v>66.2</v>
      </c>
      <c r="G166" s="297">
        <f t="shared" si="7"/>
        <v>0.84010152284263961</v>
      </c>
    </row>
    <row r="167" spans="1:15" x14ac:dyDescent="0.2">
      <c r="A167" s="190">
        <v>1999</v>
      </c>
      <c r="B167" s="191" t="s">
        <v>1446</v>
      </c>
      <c r="C167" s="192">
        <v>46.56</v>
      </c>
      <c r="D167" s="192">
        <v>44.84</v>
      </c>
      <c r="E167" s="193">
        <v>112.29</v>
      </c>
      <c r="F167" s="194">
        <v>71.62</v>
      </c>
      <c r="G167" s="297">
        <f t="shared" si="7"/>
        <v>0.63781280612699265</v>
      </c>
    </row>
    <row r="168" spans="1:15" x14ac:dyDescent="0.2">
      <c r="A168" s="199"/>
      <c r="B168" s="191" t="s">
        <v>1447</v>
      </c>
      <c r="C168" s="192">
        <v>46.37</v>
      </c>
      <c r="D168" s="192">
        <v>41.87</v>
      </c>
      <c r="E168" s="193">
        <v>97.02</v>
      </c>
      <c r="F168" s="194">
        <v>73.09</v>
      </c>
      <c r="G168" s="297">
        <f t="shared" si="7"/>
        <v>0.75334982477839629</v>
      </c>
    </row>
    <row r="169" spans="1:15" x14ac:dyDescent="0.2">
      <c r="A169" s="199"/>
      <c r="B169" s="191" t="s">
        <v>1448</v>
      </c>
      <c r="C169" s="192">
        <v>44.92</v>
      </c>
      <c r="D169" s="192">
        <v>40.25</v>
      </c>
      <c r="E169" s="193">
        <v>88.12</v>
      </c>
      <c r="F169" s="194">
        <v>66.2</v>
      </c>
      <c r="G169" s="297">
        <f t="shared" si="7"/>
        <v>0.7512482977757603</v>
      </c>
    </row>
    <row r="170" spans="1:15" x14ac:dyDescent="0.2">
      <c r="A170" s="201"/>
      <c r="B170" s="191" t="s">
        <v>1449</v>
      </c>
      <c r="C170" s="192">
        <v>45.57</v>
      </c>
      <c r="D170" s="192">
        <v>40.159999999999997</v>
      </c>
      <c r="E170" s="193">
        <v>90.51</v>
      </c>
      <c r="F170" s="194">
        <v>69.59</v>
      </c>
      <c r="G170" s="297">
        <f t="shared" si="7"/>
        <v>0.76886531874930941</v>
      </c>
    </row>
    <row r="171" spans="1:15" x14ac:dyDescent="0.2">
      <c r="A171" s="190">
        <v>2000</v>
      </c>
      <c r="B171" s="191" t="s">
        <v>1446</v>
      </c>
      <c r="C171" s="192">
        <v>44.45</v>
      </c>
      <c r="D171" s="192">
        <v>40.590000000000003</v>
      </c>
      <c r="E171" s="193">
        <v>114.7</v>
      </c>
      <c r="F171" s="194">
        <v>67.37</v>
      </c>
      <c r="G171" s="297">
        <f t="shared" si="7"/>
        <v>0.58735832606800353</v>
      </c>
    </row>
    <row r="172" spans="1:15" x14ac:dyDescent="0.2">
      <c r="A172" s="199"/>
      <c r="B172" s="191" t="s">
        <v>1447</v>
      </c>
      <c r="C172" s="192">
        <v>44.39</v>
      </c>
      <c r="D172" s="192">
        <v>38.200000000000003</v>
      </c>
      <c r="E172" s="193">
        <v>95.07</v>
      </c>
      <c r="F172" s="194">
        <v>64.260000000000005</v>
      </c>
      <c r="G172" s="297">
        <f t="shared" si="7"/>
        <v>0.6759230041022406</v>
      </c>
    </row>
    <row r="173" spans="1:15" x14ac:dyDescent="0.2">
      <c r="A173" s="199"/>
      <c r="B173" s="191" t="s">
        <v>1448</v>
      </c>
      <c r="C173" s="192">
        <v>44.39</v>
      </c>
      <c r="D173" s="192">
        <v>39.31</v>
      </c>
      <c r="E173" s="193">
        <v>94.63</v>
      </c>
      <c r="F173" s="194">
        <v>65.930000000000007</v>
      </c>
      <c r="G173" s="297">
        <f t="shared" si="7"/>
        <v>0.69671351579837271</v>
      </c>
    </row>
    <row r="174" spans="1:15" x14ac:dyDescent="0.2">
      <c r="A174" s="201"/>
      <c r="B174" s="191" t="s">
        <v>1449</v>
      </c>
      <c r="C174" s="192">
        <v>44.3</v>
      </c>
      <c r="D174" s="192">
        <v>37.64</v>
      </c>
      <c r="E174" s="193">
        <v>71</v>
      </c>
      <c r="F174" s="194">
        <v>66.349999999999994</v>
      </c>
      <c r="G174" s="297">
        <f t="shared" si="7"/>
        <v>0.93450704225352099</v>
      </c>
    </row>
    <row r="175" spans="1:15" x14ac:dyDescent="0.2">
      <c r="A175" s="190">
        <v>2001</v>
      </c>
      <c r="B175" s="191" t="s">
        <v>1446</v>
      </c>
      <c r="C175" s="192">
        <v>45.29</v>
      </c>
      <c r="D175" s="192">
        <v>39.15</v>
      </c>
      <c r="E175" s="193">
        <v>96.23</v>
      </c>
      <c r="F175" s="194">
        <v>69.22</v>
      </c>
      <c r="G175" s="297">
        <f t="shared" si="7"/>
        <v>0.719318299906474</v>
      </c>
    </row>
    <row r="176" spans="1:15" x14ac:dyDescent="0.2">
      <c r="A176" s="201"/>
      <c r="B176" s="191" t="s">
        <v>1447</v>
      </c>
      <c r="C176" s="192">
        <v>45.65</v>
      </c>
      <c r="D176" s="192">
        <v>39.82</v>
      </c>
      <c r="E176" s="193">
        <v>92.22</v>
      </c>
      <c r="F176" s="194">
        <v>72.47</v>
      </c>
      <c r="G176" s="297">
        <f t="shared" si="7"/>
        <v>0.78583821296898715</v>
      </c>
    </row>
    <row r="177" spans="1:39" x14ac:dyDescent="0.2">
      <c r="A177" s="323" t="s">
        <v>1452</v>
      </c>
      <c r="B177" s="324"/>
      <c r="C177" s="324"/>
      <c r="D177" s="324"/>
      <c r="E177" s="324"/>
      <c r="F177" s="325"/>
    </row>
    <row r="178" spans="1:39" x14ac:dyDescent="0.2">
      <c r="A178" s="179" t="s">
        <v>1140</v>
      </c>
      <c r="B178" s="179"/>
      <c r="C178" s="179"/>
      <c r="D178" s="179"/>
      <c r="E178" s="179"/>
      <c r="F178" s="179"/>
      <c r="G178" s="202">
        <f>AVERAGE(G151:G176)</f>
        <v>1.0445269487006941</v>
      </c>
    </row>
    <row r="179" spans="1:39" ht="13.5" thickBot="1" x14ac:dyDescent="0.25"/>
    <row r="180" spans="1:39" x14ac:dyDescent="0.2">
      <c r="A180" s="153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5"/>
    </row>
    <row r="181" spans="1:39" x14ac:dyDescent="0.2">
      <c r="A181" s="156"/>
      <c r="M181" s="157"/>
    </row>
    <row r="182" spans="1:39" x14ac:dyDescent="0.2">
      <c r="A182" s="156"/>
      <c r="B182" s="112">
        <v>1995</v>
      </c>
      <c r="C182" s="112">
        <v>1996</v>
      </c>
      <c r="D182" s="112">
        <v>1997</v>
      </c>
      <c r="E182" s="112">
        <v>1998</v>
      </c>
      <c r="F182" s="112">
        <v>1999</v>
      </c>
      <c r="G182" s="112">
        <v>2000</v>
      </c>
      <c r="H182" s="112">
        <v>2001</v>
      </c>
      <c r="I182" s="112">
        <v>2002</v>
      </c>
      <c r="J182" s="112">
        <v>2003</v>
      </c>
      <c r="K182" s="112">
        <v>2004</v>
      </c>
      <c r="L182" s="112">
        <v>2005</v>
      </c>
      <c r="M182" s="157">
        <v>2006</v>
      </c>
      <c r="N182" s="112">
        <f t="shared" ref="N182:AK182" si="8">M182+1</f>
        <v>2007</v>
      </c>
      <c r="O182" s="112">
        <f t="shared" si="8"/>
        <v>2008</v>
      </c>
      <c r="P182" s="112">
        <f t="shared" si="8"/>
        <v>2009</v>
      </c>
      <c r="Q182" s="112">
        <f t="shared" si="8"/>
        <v>2010</v>
      </c>
      <c r="R182" s="112">
        <f t="shared" si="8"/>
        <v>2011</v>
      </c>
      <c r="S182" s="112">
        <f t="shared" si="8"/>
        <v>2012</v>
      </c>
      <c r="T182" s="112">
        <f t="shared" si="8"/>
        <v>2013</v>
      </c>
      <c r="U182" s="112">
        <f t="shared" si="8"/>
        <v>2014</v>
      </c>
      <c r="V182" s="112">
        <f t="shared" si="8"/>
        <v>2015</v>
      </c>
      <c r="W182" s="112">
        <f t="shared" si="8"/>
        <v>2016</v>
      </c>
      <c r="X182" s="112">
        <f t="shared" si="8"/>
        <v>2017</v>
      </c>
      <c r="Y182" s="112">
        <f t="shared" si="8"/>
        <v>2018</v>
      </c>
      <c r="Z182" s="112">
        <f t="shared" si="8"/>
        <v>2019</v>
      </c>
      <c r="AA182" s="112">
        <f t="shared" si="8"/>
        <v>2020</v>
      </c>
      <c r="AB182" s="112">
        <f t="shared" si="8"/>
        <v>2021</v>
      </c>
      <c r="AC182" s="112">
        <f t="shared" si="8"/>
        <v>2022</v>
      </c>
      <c r="AD182" s="112">
        <f t="shared" si="8"/>
        <v>2023</v>
      </c>
      <c r="AE182" s="112">
        <f t="shared" si="8"/>
        <v>2024</v>
      </c>
      <c r="AF182" s="112">
        <f t="shared" si="8"/>
        <v>2025</v>
      </c>
      <c r="AG182" s="112">
        <f t="shared" si="8"/>
        <v>2026</v>
      </c>
      <c r="AH182" s="112">
        <f t="shared" si="8"/>
        <v>2027</v>
      </c>
      <c r="AI182" s="112">
        <f t="shared" si="8"/>
        <v>2028</v>
      </c>
      <c r="AJ182" s="112">
        <f t="shared" si="8"/>
        <v>2029</v>
      </c>
      <c r="AK182" s="112">
        <f t="shared" si="8"/>
        <v>2030</v>
      </c>
    </row>
    <row r="183" spans="1:39" x14ac:dyDescent="0.2">
      <c r="A183" s="156" t="s">
        <v>1453</v>
      </c>
      <c r="B183" s="158">
        <f>AVERAGE(F151:F154)</f>
        <v>85.1</v>
      </c>
      <c r="C183" s="158">
        <f>AVERAGE(F155:F158)</f>
        <v>97.399999999999991</v>
      </c>
      <c r="D183" s="158">
        <f>AVERAGE(F159:F162)</f>
        <v>82.082499999999996</v>
      </c>
      <c r="E183" s="158">
        <f>AVERAGE(F163:F166)</f>
        <v>73.025000000000006</v>
      </c>
      <c r="F183" s="158">
        <f>AVERAGE(F167:F170)</f>
        <v>70.125</v>
      </c>
      <c r="G183" s="158">
        <f>AVERAGE(F171:F174)</f>
        <v>65.977499999999992</v>
      </c>
      <c r="H183" s="158">
        <f>AVERAGE(F175:F176)</f>
        <v>70.844999999999999</v>
      </c>
      <c r="M183" s="157"/>
    </row>
    <row r="184" spans="1:39" x14ac:dyDescent="0.2">
      <c r="A184" s="156" t="s">
        <v>1454</v>
      </c>
      <c r="B184" s="158">
        <f>B183/'Conversion Factors'!$B$6</f>
        <v>3.4039999999999999</v>
      </c>
      <c r="C184" s="158">
        <f>C183/'Conversion Factors'!$B$6</f>
        <v>3.8959999999999995</v>
      </c>
      <c r="D184" s="158">
        <f>D183/'Conversion Factors'!$B$6</f>
        <v>3.2832999999999997</v>
      </c>
      <c r="E184" s="158">
        <f>E183/'Conversion Factors'!$B$6</f>
        <v>2.9210000000000003</v>
      </c>
      <c r="F184" s="158">
        <f>F183/'Conversion Factors'!$B$6</f>
        <v>2.8050000000000002</v>
      </c>
      <c r="G184" s="158">
        <f>G183/'Conversion Factors'!$B$6</f>
        <v>2.6390999999999996</v>
      </c>
      <c r="H184" s="158">
        <f>H183/'Conversion Factors'!$B$6</f>
        <v>2.8338000000000001</v>
      </c>
      <c r="M184" s="157"/>
    </row>
    <row r="185" spans="1:39" x14ac:dyDescent="0.2">
      <c r="A185" s="156" t="s">
        <v>1455</v>
      </c>
      <c r="B185" s="158">
        <f>B184/'Conversion Factors'!$B$4/1000000*'Conversion Factors'!C27</f>
        <v>3.9359853745011506</v>
      </c>
      <c r="C185" s="158">
        <f>C184/'Conversion Factors'!$B$4/1000000*'Conversion Factors'!C28</f>
        <v>4.4240874198315394</v>
      </c>
      <c r="D185" s="158">
        <f>D184/'Conversion Factors'!$B$4/1000000*'Conversion Factors'!C29</f>
        <v>3.6656551398617307</v>
      </c>
      <c r="E185" s="158">
        <f>E184/'Conversion Factors'!$B$4/1000000*'Conversion Factors'!C30</f>
        <v>3.2261329250501465</v>
      </c>
      <c r="F185" s="158">
        <f>F184/'Conversion Factors'!$B$4/1000000*'Conversion Factors'!C31</f>
        <v>3.0544107637107309</v>
      </c>
      <c r="G185" s="158">
        <f>G184/'Conversion Factors'!$B$4/1000000*'Conversion Factors'!C32</f>
        <v>2.8098911763624974</v>
      </c>
      <c r="H185" s="158">
        <f>H184/'Conversion Factors'!$B$4/1000000*'Conversion Factors'!C33</f>
        <v>2.9496551641249917</v>
      </c>
      <c r="I185" s="158">
        <f>I198*$H$207</f>
        <v>1.2964175793280805E-2</v>
      </c>
      <c r="J185" s="158">
        <f>J198*$H$207</f>
        <v>3.7316490322620039E-3</v>
      </c>
      <c r="K185" s="158">
        <f>K198*$H$207</f>
        <v>3.5842133075541043E-3</v>
      </c>
      <c r="L185" s="158">
        <f>L198*$H$207</f>
        <v>5.6279774914360205E-3</v>
      </c>
      <c r="M185" s="158">
        <f>M198*$H$207</f>
        <v>5.4042819091205865E-3</v>
      </c>
      <c r="N185" s="158">
        <f t="shared" ref="N185:AK185" si="9">N203</f>
        <v>5.1186905629125565</v>
      </c>
      <c r="O185" s="158">
        <f t="shared" si="9"/>
        <v>5.3986572696831638</v>
      </c>
      <c r="P185" s="158">
        <f t="shared" si="9"/>
        <v>5.5167746102039024</v>
      </c>
      <c r="Q185" s="158">
        <f t="shared" si="9"/>
        <v>5.9193544732244128</v>
      </c>
      <c r="R185" s="158">
        <f t="shared" si="9"/>
        <v>6.171937575099208</v>
      </c>
      <c r="S185" s="158">
        <f t="shared" si="9"/>
        <v>6.3031336522866042</v>
      </c>
      <c r="T185" s="158">
        <f t="shared" si="9"/>
        <v>6.4882795182239557</v>
      </c>
      <c r="U185" s="158">
        <f t="shared" si="9"/>
        <v>6.6558508317654885</v>
      </c>
      <c r="V185" s="158">
        <f t="shared" si="9"/>
        <v>6.8675628815569842</v>
      </c>
      <c r="W185" s="158">
        <f t="shared" si="9"/>
        <v>7.419322084681542</v>
      </c>
      <c r="X185" s="158">
        <f t="shared" si="9"/>
        <v>7.4646889524940043</v>
      </c>
      <c r="Y185" s="158">
        <f t="shared" si="9"/>
        <v>7.8586858945770217</v>
      </c>
      <c r="Z185" s="158">
        <f t="shared" si="9"/>
        <v>8.2334734421808875</v>
      </c>
      <c r="AA185" s="158">
        <f t="shared" si="9"/>
        <v>8.5579895957222938</v>
      </c>
      <c r="AB185" s="158">
        <f t="shared" si="9"/>
        <v>8.7697016455137895</v>
      </c>
      <c r="AC185" s="158">
        <f t="shared" si="9"/>
        <v>9.0341373524927437</v>
      </c>
      <c r="AD185" s="158">
        <f t="shared" si="9"/>
        <v>9.2748678492633836</v>
      </c>
      <c r="AE185" s="158">
        <f t="shared" si="9"/>
        <v>9.5127373723881927</v>
      </c>
      <c r="AF185" s="158">
        <f t="shared" si="9"/>
        <v>9.7285365273880213</v>
      </c>
      <c r="AG185" s="158">
        <f t="shared" si="9"/>
        <v>9.9770325240544881</v>
      </c>
      <c r="AH185" s="158">
        <f t="shared" si="9"/>
        <v>10.208362678845969</v>
      </c>
      <c r="AI185" s="158">
        <f t="shared" si="9"/>
        <v>10.462580622804097</v>
      </c>
      <c r="AJ185" s="158">
        <f t="shared" si="9"/>
        <v>10.710667908949732</v>
      </c>
      <c r="AK185" s="158">
        <f t="shared" si="9"/>
        <v>10.965703273949526</v>
      </c>
      <c r="AL185" s="158">
        <f>AK185</f>
        <v>10.965703273949526</v>
      </c>
      <c r="AM185" s="158">
        <f>AK185</f>
        <v>10.965703273949526</v>
      </c>
    </row>
    <row r="186" spans="1:39" s="78" customFormat="1" x14ac:dyDescent="0.2">
      <c r="A186" s="203" t="s">
        <v>1456</v>
      </c>
      <c r="B186" s="204"/>
      <c r="C186" s="204"/>
      <c r="D186" s="204"/>
      <c r="E186" s="204"/>
      <c r="F186" s="204"/>
      <c r="G186" s="204">
        <f>((E185*E192)+(F185*F192)+(G185*G192)+(H185*H192)+(I185*I192))/(E192+F192+G192+H192+I192)</f>
        <v>2.3678884182655824</v>
      </c>
      <c r="H186" s="204"/>
      <c r="L186" s="204">
        <f>((J185*J192)+(K185*K192)+(L185*L192)+(M185*M192)+(N185*N192))/(J192+K192+L192+M192+N192)</f>
        <v>0.95248209794683847</v>
      </c>
      <c r="M186" s="205"/>
      <c r="Q186" s="204">
        <f>((O185*O192)+(P185*P192)+(Q185*Q192)+(R185*R192)+(S185*S192))/(O192+P192+Q192+R192+S192)</f>
        <v>5.8358053556344593</v>
      </c>
      <c r="V186" s="204">
        <f>((T185*T192)+(U185*U192)+(V185*V192)+(W185*W192)+(X185*X192))/(T192+U192+V192+W192+X192)</f>
        <v>6.9656900857062114</v>
      </c>
      <c r="AA186" s="204">
        <f>((Y185*Y192)+(Z185*Z192)+(AA185*AA192)+(AB185*AB192)+(AC185*AC192))/(Y192+Z192+AA192+AB192+AC192)</f>
        <v>8.6334716170781363</v>
      </c>
      <c r="AF186" s="204">
        <f>((AD185*AD192)+(AE185*AE192)+(AF185*AF192)+(AG185*AG192)+(AH185*AH192))/(AD192+AE192+AF192+AG192+AH192)</f>
        <v>9.7876103976264393</v>
      </c>
      <c r="AK186" s="204">
        <f>((AI185*AI192)+(AJ185*AJ192)+(AK185*AK192)+(AL185*AL192)+(AM185*AM192))/(AI192+AJ192+AK192+AL192+AM192)</f>
        <v>10.827285776476838</v>
      </c>
    </row>
    <row r="187" spans="1:39" x14ac:dyDescent="0.2">
      <c r="A187" s="156"/>
      <c r="B187" s="158"/>
      <c r="C187" s="158"/>
      <c r="D187" s="158"/>
      <c r="E187" s="158"/>
      <c r="F187" s="158"/>
      <c r="G187" s="158"/>
      <c r="H187" s="158"/>
      <c r="M187" s="157"/>
    </row>
    <row r="188" spans="1:39" x14ac:dyDescent="0.2">
      <c r="A188" s="156"/>
      <c r="B188" s="158"/>
      <c r="C188" s="158"/>
      <c r="D188" s="158"/>
      <c r="E188" s="158"/>
      <c r="F188" s="158"/>
      <c r="G188" s="158"/>
      <c r="H188" s="158"/>
      <c r="M188" s="157"/>
    </row>
    <row r="189" spans="1:39" x14ac:dyDescent="0.2">
      <c r="A189" s="156" t="s">
        <v>1457</v>
      </c>
      <c r="B189" s="120">
        <f>O155</f>
        <v>3820</v>
      </c>
      <c r="C189" s="120">
        <f>O156</f>
        <v>2542</v>
      </c>
      <c r="D189" s="120">
        <f>O157</f>
        <v>3139</v>
      </c>
      <c r="E189" s="120">
        <f>O158</f>
        <v>3834</v>
      </c>
      <c r="F189" s="120">
        <f>O159</f>
        <v>3224</v>
      </c>
      <c r="G189" s="120">
        <f>O160</f>
        <v>3781</v>
      </c>
      <c r="H189" s="120">
        <f>C430</f>
        <v>2526</v>
      </c>
      <c r="I189" s="120">
        <f>C431</f>
        <v>3242</v>
      </c>
      <c r="J189" s="120">
        <f>C432</f>
        <v>2759</v>
      </c>
      <c r="K189" s="120">
        <f>C433</f>
        <v>6873</v>
      </c>
      <c r="L189" s="120">
        <f>C434</f>
        <v>3529</v>
      </c>
      <c r="M189" s="159">
        <f>C435</f>
        <v>4068</v>
      </c>
    </row>
    <row r="190" spans="1:39" x14ac:dyDescent="0.2">
      <c r="A190" s="156" t="s">
        <v>1458</v>
      </c>
      <c r="B190" s="120">
        <f>N155</f>
        <v>1358</v>
      </c>
      <c r="C190" s="120">
        <f>N156</f>
        <v>1622</v>
      </c>
      <c r="D190" s="120">
        <f>N157</f>
        <v>1266</v>
      </c>
      <c r="E190" s="120">
        <f>N158</f>
        <v>1129</v>
      </c>
      <c r="F190" s="120">
        <f>N159</f>
        <v>898</v>
      </c>
      <c r="G190" s="120">
        <f>N160</f>
        <v>1146</v>
      </c>
      <c r="H190" s="120">
        <f>D430</f>
        <v>1346</v>
      </c>
      <c r="I190" s="120">
        <f>D431</f>
        <v>792</v>
      </c>
      <c r="J190" s="120">
        <f>D432</f>
        <v>722</v>
      </c>
      <c r="K190" s="120">
        <f>D433</f>
        <v>1319</v>
      </c>
      <c r="L190" s="120">
        <f>D434</f>
        <v>1747</v>
      </c>
      <c r="M190" s="159">
        <f>D435</f>
        <v>1616</v>
      </c>
    </row>
    <row r="191" spans="1:39" x14ac:dyDescent="0.2">
      <c r="A191" s="156" t="s">
        <v>1459</v>
      </c>
      <c r="B191" s="120">
        <f t="shared" ref="B191:M191" si="10">B189-B190</f>
        <v>2462</v>
      </c>
      <c r="C191" s="120">
        <f t="shared" si="10"/>
        <v>920</v>
      </c>
      <c r="D191" s="120">
        <f t="shared" si="10"/>
        <v>1873</v>
      </c>
      <c r="E191" s="120">
        <f t="shared" si="10"/>
        <v>2705</v>
      </c>
      <c r="F191" s="120">
        <f t="shared" si="10"/>
        <v>2326</v>
      </c>
      <c r="G191" s="120">
        <f t="shared" si="10"/>
        <v>2635</v>
      </c>
      <c r="H191" s="120">
        <f t="shared" si="10"/>
        <v>1180</v>
      </c>
      <c r="I191" s="120">
        <f t="shared" si="10"/>
        <v>2450</v>
      </c>
      <c r="J191" s="120">
        <f t="shared" si="10"/>
        <v>2037</v>
      </c>
      <c r="K191" s="120">
        <f t="shared" si="10"/>
        <v>5554</v>
      </c>
      <c r="L191" s="120">
        <f t="shared" si="10"/>
        <v>1782</v>
      </c>
      <c r="M191" s="120">
        <f t="shared" si="10"/>
        <v>2452</v>
      </c>
    </row>
    <row r="192" spans="1:39" x14ac:dyDescent="0.2">
      <c r="A192" s="156" t="s">
        <v>1460</v>
      </c>
      <c r="B192" s="160">
        <f>B191*1000*'Conversion Factors'!$B$6*'Conversion Factors'!$B$4</f>
        <v>64.938696799999988</v>
      </c>
      <c r="C192" s="160">
        <f>C191*1000*'Conversion Factors'!$B$6*'Conversion Factors'!$B$4</f>
        <v>24.266287999999999</v>
      </c>
      <c r="D192" s="160">
        <f>D191*1000*'Conversion Factors'!$B$6*'Conversion Factors'!$B$4</f>
        <v>49.402997199999994</v>
      </c>
      <c r="E192" s="160">
        <f>E191*1000*'Conversion Factors'!$B$6*'Conversion Factors'!$B$4</f>
        <v>71.348161999999988</v>
      </c>
      <c r="F192" s="160">
        <f>F191*1000*'Conversion Factors'!$B$6*'Conversion Factors'!$B$4</f>
        <v>61.351506399999998</v>
      </c>
      <c r="G192" s="160">
        <f>G191*1000*'Conversion Factors'!$B$6*'Conversion Factors'!$B$4</f>
        <v>69.501813999999996</v>
      </c>
      <c r="H192" s="160">
        <f>H191*1000*'Conversion Factors'!$B$6*'Conversion Factors'!$B$4</f>
        <v>31.124151999999999</v>
      </c>
      <c r="I192" s="160">
        <f>I191*1000*'Conversion Factors'!$B$6*'Conversion Factors'!$B$4</f>
        <v>64.62218</v>
      </c>
      <c r="J192" s="160">
        <f>J191*1000*'Conversion Factors'!$B$6*'Conversion Factors'!$B$4</f>
        <v>53.728726799999997</v>
      </c>
      <c r="K192" s="160">
        <f>K191*1000*'Conversion Factors'!$B$6*'Conversion Factors'!$B$4</f>
        <v>146.49452559999997</v>
      </c>
      <c r="L192" s="160">
        <f>L191*1000*'Conversion Factors'!$B$6*'Conversion Factors'!$B$4</f>
        <v>47.002744799999995</v>
      </c>
      <c r="M192" s="160">
        <f>M191*1000*'Conversion Factors'!$B$6*'Conversion Factors'!$B$4</f>
        <v>64.674932799999993</v>
      </c>
      <c r="N192" s="160">
        <f t="shared" ref="N192:AM192" si="11">M192*(1+C52)</f>
        <v>70.985510760278657</v>
      </c>
      <c r="O192" s="160">
        <f t="shared" si="11"/>
        <v>74.920189490546434</v>
      </c>
      <c r="P192" s="160">
        <f t="shared" si="11"/>
        <v>89.258852401780288</v>
      </c>
      <c r="Q192" s="160">
        <f t="shared" si="11"/>
        <v>89.519089487947411</v>
      </c>
      <c r="R192" s="160">
        <f t="shared" si="11"/>
        <v>83.924141515640144</v>
      </c>
      <c r="S192" s="160">
        <f t="shared" si="11"/>
        <v>54.648278196230798</v>
      </c>
      <c r="T192" s="160">
        <f t="shared" si="11"/>
        <v>46.841381311054974</v>
      </c>
      <c r="U192" s="160">
        <f t="shared" si="11"/>
        <v>33.829886502428593</v>
      </c>
      <c r="V192" s="160">
        <f t="shared" si="11"/>
        <v>44.239082349329699</v>
      </c>
      <c r="W192" s="160">
        <f t="shared" si="11"/>
        <v>39.034484425879143</v>
      </c>
      <c r="X192" s="160">
        <f t="shared" si="11"/>
        <v>39.034484425879143</v>
      </c>
      <c r="Y192" s="160">
        <f t="shared" si="11"/>
        <v>33.829886502428593</v>
      </c>
      <c r="Z192" s="160">
        <f t="shared" si="11"/>
        <v>39.034484425879143</v>
      </c>
      <c r="AA192" s="160">
        <f t="shared" si="11"/>
        <v>70.262071966582454</v>
      </c>
      <c r="AB192" s="160">
        <f t="shared" si="11"/>
        <v>78.068968851758285</v>
      </c>
      <c r="AC192" s="160">
        <f t="shared" si="11"/>
        <v>91.080463660384666</v>
      </c>
      <c r="AD192" s="160">
        <f t="shared" si="11"/>
        <v>106.69425743073633</v>
      </c>
      <c r="AE192" s="160">
        <f t="shared" si="11"/>
        <v>109.29655639246161</v>
      </c>
      <c r="AF192" s="160">
        <f t="shared" si="11"/>
        <v>119.70575223936272</v>
      </c>
      <c r="AG192" s="160">
        <f t="shared" si="11"/>
        <v>137.92184497143967</v>
      </c>
      <c r="AH192" s="160">
        <f t="shared" si="11"/>
        <v>156.1379377035166</v>
      </c>
      <c r="AI192" s="160">
        <f t="shared" si="11"/>
        <v>150.93333978006604</v>
      </c>
      <c r="AJ192" s="160">
        <f t="shared" si="11"/>
        <v>145.7287418566155</v>
      </c>
      <c r="AK192" s="160">
        <f t="shared" si="11"/>
        <v>163.94483458869243</v>
      </c>
      <c r="AL192" s="160">
        <f t="shared" si="11"/>
        <v>171.75173147386826</v>
      </c>
      <c r="AM192" s="160">
        <f t="shared" si="11"/>
        <v>184.76322628249463</v>
      </c>
    </row>
    <row r="193" spans="1:37" s="78" customFormat="1" x14ac:dyDescent="0.2">
      <c r="A193" s="203" t="s">
        <v>1456</v>
      </c>
      <c r="B193" s="206"/>
      <c r="C193" s="206"/>
      <c r="D193" s="206"/>
      <c r="E193" s="206"/>
      <c r="F193" s="206"/>
      <c r="G193" s="206">
        <f>AVERAGE(E192:I192)</f>
        <v>59.589562879999995</v>
      </c>
      <c r="H193" s="206"/>
      <c r="I193" s="206"/>
      <c r="J193" s="206"/>
      <c r="K193" s="206"/>
      <c r="L193" s="206">
        <f>AVERAGE(J192:N192)</f>
        <v>76.577288152055729</v>
      </c>
      <c r="M193" s="207"/>
      <c r="Q193" s="206">
        <f>AVERAGE(O192:S192)</f>
        <v>78.454110218429022</v>
      </c>
      <c r="V193" s="206">
        <f>AVERAGE(T192:X192)</f>
        <v>40.595863802914309</v>
      </c>
      <c r="AA193" s="206">
        <f>AVERAGE(Y192:AC192)</f>
        <v>62.45517508140663</v>
      </c>
      <c r="AF193" s="206">
        <f>AVERAGE(AD192:AH192)</f>
        <v>125.95126974750337</v>
      </c>
      <c r="AK193" s="206">
        <f>AVERAGE(AI192:AM192)</f>
        <v>163.42437479634739</v>
      </c>
    </row>
    <row r="194" spans="1:37" x14ac:dyDescent="0.2">
      <c r="A194" s="156"/>
      <c r="M194" s="157"/>
    </row>
    <row r="195" spans="1:37" x14ac:dyDescent="0.2">
      <c r="A195" s="156" t="s">
        <v>1461</v>
      </c>
      <c r="E195" s="120">
        <f>C312</f>
        <v>53.860328750000008</v>
      </c>
      <c r="F195" s="120">
        <f>D312</f>
        <v>47.770241249999998</v>
      </c>
      <c r="G195" s="120">
        <f>E312</f>
        <v>46.279338750000001</v>
      </c>
      <c r="H195" s="120">
        <f>F312</f>
        <v>51.233941250000001</v>
      </c>
      <c r="M195" s="157"/>
    </row>
    <row r="196" spans="1:37" x14ac:dyDescent="0.2">
      <c r="A196" s="156" t="s">
        <v>1462</v>
      </c>
      <c r="E196" s="112">
        <f>E195*'Conversion Factors'!$B$44</f>
        <v>5655.4422394075009</v>
      </c>
      <c r="F196" s="112">
        <f>F195*'Conversion Factors'!$B$44</f>
        <v>5015.9708717324993</v>
      </c>
      <c r="G196" s="112">
        <f>G195*'Conversion Factors'!$B$44</f>
        <v>4859.4231274274998</v>
      </c>
      <c r="H196" s="112">
        <f>H195*'Conversion Factors'!$B$44</f>
        <v>5379.6662991325002</v>
      </c>
      <c r="M196" s="157"/>
    </row>
    <row r="197" spans="1:37" x14ac:dyDescent="0.2">
      <c r="A197" s="156" t="s">
        <v>1463</v>
      </c>
      <c r="E197" s="158">
        <f>E196/'Conversion Factors'!$B$6</f>
        <v>226.21768957630005</v>
      </c>
      <c r="F197" s="158">
        <f>F196/'Conversion Factors'!$B$6</f>
        <v>200.63883486929998</v>
      </c>
      <c r="G197" s="158">
        <f>G196/'Conversion Factors'!$B$6</f>
        <v>194.37692509709998</v>
      </c>
      <c r="H197" s="158">
        <f>H196/'Conversion Factors'!$B$6</f>
        <v>215.1866519653</v>
      </c>
    </row>
    <row r="198" spans="1:37" x14ac:dyDescent="0.2">
      <c r="A198" s="156" t="s">
        <v>1464</v>
      </c>
      <c r="E198" s="158">
        <f>E197/'Conversion Factors'!$B$4/1000000*'Conversion Factors'!C30</f>
        <v>249.84879718277125</v>
      </c>
      <c r="F198" s="158">
        <f>F197/'Conversion Factors'!$B$4/1000000*'Conversion Factors'!C31</f>
        <v>218.47893648597852</v>
      </c>
      <c r="G198" s="158">
        <f>G197/'Conversion Factors'!$B$4/1000000*'Conversion Factors'!C32</f>
        <v>206.95616184260371</v>
      </c>
      <c r="H198" s="158">
        <f>H197/'Conversion Factors'!$B$4/1000000*'Conversion Factors'!C33</f>
        <v>223.98419762164391</v>
      </c>
      <c r="I198" s="158">
        <f>C272/'Conversion Factors'!$B$6/'Conversion Factors'!$B$4/1000000</f>
        <v>0.96677332767170665</v>
      </c>
      <c r="J198" s="158">
        <f>D272/'Conversion Factors'!$B$6/'Conversion Factors'!$B$4/1000000</f>
        <v>0.27827906765138533</v>
      </c>
      <c r="K198" s="158">
        <f>E272/'Conversion Factors'!$B$6/'Conversion Factors'!$B$4/1000000</f>
        <v>0.26728439059158943</v>
      </c>
      <c r="L198" s="158">
        <f>F272/'Conversion Factors'!$B$6/'Conversion Factors'!$B$4/1000000</f>
        <v>0.4196933622480703</v>
      </c>
      <c r="M198" s="158">
        <f>G272/'Conversion Factors'!$B$6/'Conversion Factors'!$B$4/1000000</f>
        <v>0.40301178326079379</v>
      </c>
      <c r="N198" s="147"/>
    </row>
    <row r="199" spans="1:37" x14ac:dyDescent="0.2">
      <c r="A199" s="156"/>
      <c r="E199" s="158"/>
      <c r="F199" s="158"/>
      <c r="G199" s="158"/>
      <c r="H199" s="161"/>
      <c r="M199" s="157"/>
    </row>
    <row r="200" spans="1:37" x14ac:dyDescent="0.2">
      <c r="A200" s="156" t="s">
        <v>1465</v>
      </c>
      <c r="E200" s="158"/>
      <c r="F200" s="158"/>
      <c r="G200" s="158">
        <f>C275</f>
        <v>32.56</v>
      </c>
      <c r="H200" s="161"/>
      <c r="J200" s="147">
        <f t="shared" ref="J200:AK200" si="12">F94*$G$178</f>
        <v>73.378018146223752</v>
      </c>
      <c r="K200" s="147">
        <f t="shared" si="12"/>
        <v>102.02939234908381</v>
      </c>
      <c r="L200" s="147">
        <f t="shared" si="12"/>
        <v>105.95681367619841</v>
      </c>
      <c r="M200" s="147">
        <f t="shared" si="12"/>
        <v>125.77148989305057</v>
      </c>
      <c r="N200" s="147">
        <f t="shared" si="12"/>
        <v>130.81655505527493</v>
      </c>
      <c r="O200" s="147">
        <f t="shared" si="12"/>
        <v>137.97156465387468</v>
      </c>
      <c r="P200" s="147">
        <f t="shared" si="12"/>
        <v>140.99024753561969</v>
      </c>
      <c r="Q200" s="147">
        <f t="shared" si="12"/>
        <v>151.27883798032153</v>
      </c>
      <c r="R200" s="147">
        <f t="shared" si="12"/>
        <v>157.73401452329179</v>
      </c>
      <c r="S200" s="147">
        <f t="shared" si="12"/>
        <v>161.08694602862104</v>
      </c>
      <c r="T200" s="147">
        <f t="shared" si="12"/>
        <v>165.81865310623519</v>
      </c>
      <c r="U200" s="147">
        <f t="shared" si="12"/>
        <v>170.10121359590804</v>
      </c>
      <c r="V200" s="147">
        <f t="shared" si="12"/>
        <v>175.51186319017762</v>
      </c>
      <c r="W200" s="147">
        <f t="shared" si="12"/>
        <v>189.61297699763699</v>
      </c>
      <c r="X200" s="147">
        <f t="shared" si="12"/>
        <v>190.77240191069475</v>
      </c>
      <c r="Y200" s="147">
        <f t="shared" si="12"/>
        <v>200.84164169616946</v>
      </c>
      <c r="Z200" s="147">
        <f t="shared" si="12"/>
        <v>210.41995381575481</v>
      </c>
      <c r="AA200" s="147">
        <f t="shared" si="12"/>
        <v>218.7134977884383</v>
      </c>
      <c r="AB200" s="147">
        <f t="shared" si="12"/>
        <v>224.12414738270792</v>
      </c>
      <c r="AC200" s="147">
        <f t="shared" si="12"/>
        <v>230.8822367408014</v>
      </c>
      <c r="AD200" s="147">
        <f t="shared" si="12"/>
        <v>237.0345004686485</v>
      </c>
      <c r="AE200" s="147">
        <f t="shared" si="12"/>
        <v>243.11364731008655</v>
      </c>
      <c r="AF200" s="147">
        <f t="shared" si="12"/>
        <v>248.62874959922621</v>
      </c>
      <c r="AG200" s="147">
        <f t="shared" si="12"/>
        <v>254.97947344732646</v>
      </c>
      <c r="AH200" s="147">
        <f t="shared" si="12"/>
        <v>260.89149597697235</v>
      </c>
      <c r="AI200" s="147">
        <f t="shared" si="12"/>
        <v>267.3884535978907</v>
      </c>
      <c r="AJ200" s="147">
        <f t="shared" si="12"/>
        <v>273.72873217650391</v>
      </c>
      <c r="AK200" s="147">
        <f t="shared" si="12"/>
        <v>280.24658033639622</v>
      </c>
    </row>
    <row r="201" spans="1:37" x14ac:dyDescent="0.2">
      <c r="A201" s="156" t="s">
        <v>1466</v>
      </c>
      <c r="E201" s="158"/>
      <c r="F201" s="158"/>
      <c r="G201" s="158"/>
      <c r="H201" s="161"/>
      <c r="J201" s="112">
        <f>J200*'Conversion Factors'!$C$36</f>
        <v>75.731693076440209</v>
      </c>
      <c r="K201" s="112">
        <f>K200*'Conversion Factors'!$C$36</f>
        <v>105.30208939084243</v>
      </c>
      <c r="L201" s="112">
        <f>L200*'Conversion Factors'!$C$36</f>
        <v>109.35548677116149</v>
      </c>
      <c r="M201" s="112">
        <f>M200*'Conversion Factors'!$C$36</f>
        <v>129.80573897984578</v>
      </c>
      <c r="N201" s="112">
        <f>N200*'Conversion Factors'!$C$36</f>
        <v>135.01262976360672</v>
      </c>
      <c r="O201" s="112">
        <f>O200*'Conversion Factors'!$C$36</f>
        <v>142.39714360807099</v>
      </c>
      <c r="P201" s="112">
        <f>P200*'Conversion Factors'!$C$36</f>
        <v>145.51265382858222</v>
      </c>
      <c r="Q201" s="112">
        <f>Q200*'Conversion Factors'!$C$36</f>
        <v>156.13126132755639</v>
      </c>
      <c r="R201" s="112">
        <f>R200*'Conversion Factors'!$C$36</f>
        <v>162.79349425584675</v>
      </c>
      <c r="S201" s="112">
        <f>S200*'Conversion Factors'!$C$36</f>
        <v>166.25397446617237</v>
      </c>
      <c r="T201" s="112">
        <f>T200*'Conversion Factors'!$C$36</f>
        <v>171.13745588448234</v>
      </c>
      <c r="U201" s="112">
        <f>U200*'Conversion Factors'!$C$36</f>
        <v>175.55738387897921</v>
      </c>
      <c r="V201" s="112">
        <f>V200*'Conversion Factors'!$C$36</f>
        <v>181.14158558909963</v>
      </c>
      <c r="W201" s="112">
        <f>W200*'Conversion Factors'!$C$36</f>
        <v>195.69500703439419</v>
      </c>
      <c r="X201" s="112">
        <f>X200*'Conversion Factors'!$C$36</f>
        <v>196.89162168656284</v>
      </c>
      <c r="Y201" s="112">
        <f>Y200*'Conversion Factors'!$C$36</f>
        <v>207.28384262972133</v>
      </c>
      <c r="Z201" s="112">
        <f>Z200*'Conversion Factors'!$C$36</f>
        <v>217.16938890033992</v>
      </c>
      <c r="AA201" s="112">
        <f>AA200*'Conversion Factors'!$C$36</f>
        <v>225.72895677260945</v>
      </c>
      <c r="AB201" s="112">
        <f>AB200*'Conversion Factors'!$C$36</f>
        <v>231.3131584827299</v>
      </c>
      <c r="AC201" s="112">
        <f>AC200*'Conversion Factors'!$C$36</f>
        <v>238.28802046428959</v>
      </c>
      <c r="AD201" s="112">
        <f>AD200*'Conversion Factors'!$C$36</f>
        <v>244.63762433931069</v>
      </c>
      <c r="AE201" s="112">
        <f>AE200*'Conversion Factors'!$C$36</f>
        <v>250.91176602905992</v>
      </c>
      <c r="AF201" s="112">
        <f>AF200*'Conversion Factors'!$C$36</f>
        <v>256.60377086099737</v>
      </c>
      <c r="AG201" s="112">
        <f>AG200*'Conversion Factors'!$C$36</f>
        <v>263.15820066747079</v>
      </c>
      <c r="AH201" s="112">
        <f>AH200*'Conversion Factors'!$C$36</f>
        <v>269.25985736231274</v>
      </c>
      <c r="AI201" s="112">
        <f>AI200*'Conversion Factors'!$C$36</f>
        <v>275.96521153932997</v>
      </c>
      <c r="AJ201" s="112">
        <f>AJ200*'Conversion Factors'!$C$36</f>
        <v>282.50886103362171</v>
      </c>
      <c r="AK201" s="112">
        <f>AK200*'Conversion Factors'!$C$36</f>
        <v>289.23577583500224</v>
      </c>
    </row>
    <row r="202" spans="1:37" x14ac:dyDescent="0.2">
      <c r="A202" s="156" t="s">
        <v>1467</v>
      </c>
      <c r="E202" s="158"/>
      <c r="F202" s="158"/>
      <c r="G202" s="158"/>
      <c r="H202" s="161"/>
      <c r="J202" s="158">
        <f>J201/'Conversion Factors'!$B$6</f>
        <v>3.0292677230576084</v>
      </c>
      <c r="K202" s="158">
        <f>K201/'Conversion Factors'!$B$6</f>
        <v>4.212083575633697</v>
      </c>
      <c r="L202" s="158">
        <f>L201/'Conversion Factors'!$B$6</f>
        <v>4.3742194708464597</v>
      </c>
      <c r="M202" s="158">
        <f>M201/'Conversion Factors'!$B$6</f>
        <v>5.192229559193831</v>
      </c>
      <c r="N202" s="158">
        <f>N201/'Conversion Factors'!$B$6</f>
        <v>5.4005051905442691</v>
      </c>
      <c r="O202" s="158">
        <f>O201/'Conversion Factors'!$B$6</f>
        <v>5.6958857443228395</v>
      </c>
      <c r="P202" s="158">
        <f>P201/'Conversion Factors'!$B$6</f>
        <v>5.8205061531432882</v>
      </c>
      <c r="Q202" s="158">
        <f>Q201/'Conversion Factors'!$B$6</f>
        <v>6.2452504531022557</v>
      </c>
      <c r="R202" s="158">
        <f>R201/'Conversion Factors'!$B$6</f>
        <v>6.51173977023387</v>
      </c>
      <c r="S202" s="158">
        <f>S201/'Conversion Factors'!$B$6</f>
        <v>6.6501589786468944</v>
      </c>
      <c r="T202" s="158">
        <f>T201/'Conversion Factors'!$B$6</f>
        <v>6.845498235379293</v>
      </c>
      <c r="U202" s="158">
        <f>U201/'Conversion Factors'!$B$6</f>
        <v>7.0222953551591685</v>
      </c>
      <c r="V202" s="158">
        <f>V201/'Conversion Factors'!$B$6</f>
        <v>7.2456634235639852</v>
      </c>
      <c r="W202" s="158">
        <f>W201/'Conversion Factors'!$B$6</f>
        <v>7.8278002813757679</v>
      </c>
      <c r="X202" s="158">
        <f>X201/'Conversion Factors'!$B$6</f>
        <v>7.8756648674625138</v>
      </c>
      <c r="Y202" s="158">
        <f>Y201/'Conversion Factors'!$B$6</f>
        <v>8.291353705188854</v>
      </c>
      <c r="Z202" s="158">
        <f>Z201/'Conversion Factors'!$B$6</f>
        <v>8.6867755560135969</v>
      </c>
      <c r="AA202" s="158">
        <f>AA201/'Conversion Factors'!$B$6</f>
        <v>9.0291582709043787</v>
      </c>
      <c r="AB202" s="158">
        <f>AB201/'Conversion Factors'!$B$6</f>
        <v>9.2525263393091954</v>
      </c>
      <c r="AC202" s="158">
        <f>AC201/'Conversion Factors'!$B$6</f>
        <v>9.5315208185715843</v>
      </c>
      <c r="AD202" s="158">
        <f>AD201/'Conversion Factors'!$B$6</f>
        <v>9.7855049735724275</v>
      </c>
      <c r="AE202" s="158">
        <f>AE201/'Conversion Factors'!$B$6</f>
        <v>10.036470641162397</v>
      </c>
      <c r="AF202" s="158">
        <f>AF201/'Conversion Factors'!$B$6</f>
        <v>10.264150834439896</v>
      </c>
      <c r="AG202" s="158">
        <f>AG201/'Conversion Factors'!$B$6</f>
        <v>10.526328026698831</v>
      </c>
      <c r="AH202" s="158">
        <f>AH201/'Conversion Factors'!$B$6</f>
        <v>10.77039429449251</v>
      </c>
      <c r="AI202" s="158">
        <f>AI201/'Conversion Factors'!$B$6</f>
        <v>11.038608461573199</v>
      </c>
      <c r="AJ202" s="158">
        <f>AJ201/'Conversion Factors'!$B$6</f>
        <v>11.300354441344869</v>
      </c>
      <c r="AK202" s="158">
        <f>AK201/'Conversion Factors'!$B$6</f>
        <v>11.56943103340009</v>
      </c>
    </row>
    <row r="203" spans="1:37" x14ac:dyDescent="0.2">
      <c r="A203" s="156" t="s">
        <v>1468</v>
      </c>
      <c r="E203" s="158"/>
      <c r="F203" s="158"/>
      <c r="G203" s="158"/>
      <c r="H203" s="161"/>
      <c r="J203" s="158">
        <f>J202/'Conversion Factors'!$B$4/1000000</f>
        <v>2.8711914088518604</v>
      </c>
      <c r="K203" s="158">
        <f>K202/'Conversion Factors'!$B$4/1000000</f>
        <v>3.9922843674967936</v>
      </c>
      <c r="L203" s="158">
        <f>L202/'Conversion Factors'!$B$4/1000000</f>
        <v>4.1459595233300037</v>
      </c>
      <c r="M203" s="158">
        <f>M202/'Conversion Factors'!$B$4/1000000</f>
        <v>4.9212833813502135</v>
      </c>
      <c r="N203" s="158">
        <f>N202/'Conversion Factors'!$B$4/1000000</f>
        <v>5.1186905629125565</v>
      </c>
      <c r="O203" s="158">
        <f>O202/'Conversion Factors'!$B$4/1000000</f>
        <v>5.3986572696831638</v>
      </c>
      <c r="P203" s="158">
        <f>P202/'Conversion Factors'!$B$4/1000000</f>
        <v>5.5167746102039024</v>
      </c>
      <c r="Q203" s="158">
        <f>Q202/'Conversion Factors'!$B$4/1000000</f>
        <v>5.9193544732244128</v>
      </c>
      <c r="R203" s="158">
        <f>R202/'Conversion Factors'!$B$4/1000000</f>
        <v>6.171937575099208</v>
      </c>
      <c r="S203" s="158">
        <f>S202/'Conversion Factors'!$B$4/1000000</f>
        <v>6.3031336522866042</v>
      </c>
      <c r="T203" s="158">
        <f>T202/'Conversion Factors'!$B$4/1000000</f>
        <v>6.4882795182239557</v>
      </c>
      <c r="U203" s="158">
        <f>U202/'Conversion Factors'!$B$4/1000000</f>
        <v>6.6558508317654885</v>
      </c>
      <c r="V203" s="158">
        <f>V202/'Conversion Factors'!$B$4/1000000</f>
        <v>6.8675628815569842</v>
      </c>
      <c r="W203" s="158">
        <f>W202/'Conversion Factors'!$B$4/1000000</f>
        <v>7.419322084681542</v>
      </c>
      <c r="X203" s="158">
        <f>X202/'Conversion Factors'!$B$4/1000000</f>
        <v>7.4646889524940043</v>
      </c>
      <c r="Y203" s="158">
        <f>Y202/'Conversion Factors'!$B$4/1000000</f>
        <v>7.8586858945770217</v>
      </c>
      <c r="Z203" s="158">
        <f>Z202/'Conversion Factors'!$B$4/1000000</f>
        <v>8.2334734421808875</v>
      </c>
      <c r="AA203" s="158">
        <f>AA202/'Conversion Factors'!$B$4/1000000</f>
        <v>8.5579895957222938</v>
      </c>
      <c r="AB203" s="158">
        <f>AB202/'Conversion Factors'!$B$4/1000000</f>
        <v>8.7697016455137895</v>
      </c>
      <c r="AC203" s="158">
        <f>AC202/'Conversion Factors'!$B$4/1000000</f>
        <v>9.0341373524927437</v>
      </c>
      <c r="AD203" s="158">
        <f>AD202/'Conversion Factors'!$B$4/1000000</f>
        <v>9.2748678492633836</v>
      </c>
      <c r="AE203" s="158">
        <f>AE202/'Conversion Factors'!$B$4/1000000</f>
        <v>9.5127373723881927</v>
      </c>
      <c r="AF203" s="158">
        <f>AF202/'Conversion Factors'!$B$4/1000000</f>
        <v>9.7285365273880213</v>
      </c>
      <c r="AG203" s="158">
        <f>AG202/'Conversion Factors'!$B$4/1000000</f>
        <v>9.9770325240544881</v>
      </c>
      <c r="AH203" s="158">
        <f>AH202/'Conversion Factors'!$B$4/1000000</f>
        <v>10.208362678845969</v>
      </c>
      <c r="AI203" s="158">
        <f>AI202/'Conversion Factors'!$B$4/1000000</f>
        <v>10.462580622804097</v>
      </c>
      <c r="AJ203" s="158">
        <f>AJ202/'Conversion Factors'!$B$4/1000000</f>
        <v>10.710667908949732</v>
      </c>
      <c r="AK203" s="158">
        <f>AK202/'Conversion Factors'!$B$4/1000000</f>
        <v>10.965703273949526</v>
      </c>
    </row>
    <row r="204" spans="1:37" x14ac:dyDescent="0.2">
      <c r="A204" s="156"/>
      <c r="E204" s="158"/>
      <c r="F204" s="158"/>
      <c r="G204" s="158"/>
      <c r="H204" s="161"/>
      <c r="M204" s="157"/>
    </row>
    <row r="205" spans="1:37" x14ac:dyDescent="0.2">
      <c r="A205" s="156"/>
      <c r="M205" s="157"/>
    </row>
    <row r="206" spans="1:37" x14ac:dyDescent="0.2">
      <c r="A206" s="156" t="s">
        <v>1469</v>
      </c>
      <c r="E206" s="112">
        <f>E185/E198</f>
        <v>1.2912341229684375E-2</v>
      </c>
      <c r="F206" s="112">
        <f>F185/F198</f>
        <v>1.398034434274517E-2</v>
      </c>
      <c r="G206" s="112">
        <f>G185/G198</f>
        <v>1.3577228874680731E-2</v>
      </c>
      <c r="H206" s="112">
        <f>H185/H198</f>
        <v>1.3169032438206088E-2</v>
      </c>
      <c r="M206" s="157"/>
    </row>
    <row r="207" spans="1:37" ht="13.5" thickBot="1" x14ac:dyDescent="0.25">
      <c r="A207" s="162" t="s">
        <v>1470</v>
      </c>
      <c r="B207" s="140"/>
      <c r="C207" s="140"/>
      <c r="D207" s="140"/>
      <c r="E207" s="140"/>
      <c r="F207" s="140"/>
      <c r="G207" s="140"/>
      <c r="H207" s="140">
        <f>AVERAGE(E206:H206)</f>
        <v>1.340973672132909E-2</v>
      </c>
      <c r="I207" s="140"/>
      <c r="J207" s="140"/>
      <c r="K207" s="140"/>
      <c r="L207" s="140"/>
      <c r="M207" s="163"/>
    </row>
    <row r="208" spans="1:37" s="140" customFormat="1" ht="13.5" thickBot="1" x14ac:dyDescent="0.25"/>
    <row r="210" spans="1:11" x14ac:dyDescent="0.2">
      <c r="A210" s="141" t="s">
        <v>1471</v>
      </c>
    </row>
    <row r="211" spans="1:11" x14ac:dyDescent="0.2">
      <c r="A211" s="141" t="s">
        <v>1472</v>
      </c>
    </row>
    <row r="212" spans="1:11" x14ac:dyDescent="0.2">
      <c r="A212" s="141" t="s">
        <v>1473</v>
      </c>
    </row>
    <row r="213" spans="1:11" x14ac:dyDescent="0.2">
      <c r="A213" s="141" t="s">
        <v>1474</v>
      </c>
      <c r="B213" s="149" t="s">
        <v>1475</v>
      </c>
    </row>
    <row r="214" spans="1:11" x14ac:dyDescent="0.2">
      <c r="A214" s="141"/>
    </row>
    <row r="215" spans="1:11" ht="15.75" customHeight="1" x14ac:dyDescent="0.2">
      <c r="A215" s="350" t="s">
        <v>1476</v>
      </c>
      <c r="B215" s="351"/>
      <c r="C215" s="351"/>
      <c r="D215" s="351"/>
      <c r="E215" s="351"/>
      <c r="F215" s="351"/>
      <c r="G215" s="351"/>
      <c r="H215" s="351"/>
      <c r="I215" s="351"/>
      <c r="J215" s="351"/>
      <c r="K215" s="352"/>
    </row>
    <row r="216" spans="1:11" ht="12.75" customHeight="1" x14ac:dyDescent="0.2">
      <c r="A216" s="360" t="s">
        <v>1477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2"/>
    </row>
    <row r="217" spans="1:11" x14ac:dyDescent="0.2">
      <c r="A217" s="348" t="s">
        <v>15</v>
      </c>
      <c r="B217" s="342" t="s">
        <v>1478</v>
      </c>
      <c r="C217" s="343"/>
      <c r="D217" s="342" t="s">
        <v>1479</v>
      </c>
      <c r="E217" s="343"/>
      <c r="F217" s="342" t="s">
        <v>1480</v>
      </c>
      <c r="G217" s="343"/>
      <c r="H217" s="342" t="s">
        <v>1481</v>
      </c>
      <c r="I217" s="343"/>
      <c r="J217" s="342" t="s">
        <v>1323</v>
      </c>
      <c r="K217" s="343"/>
    </row>
    <row r="218" spans="1:11" ht="14.25" x14ac:dyDescent="0.2">
      <c r="A218" s="349"/>
      <c r="B218" s="208" t="s">
        <v>1482</v>
      </c>
      <c r="C218" s="208" t="s">
        <v>1483</v>
      </c>
      <c r="D218" s="208" t="s">
        <v>1482</v>
      </c>
      <c r="E218" s="208" t="s">
        <v>1483</v>
      </c>
      <c r="F218" s="208" t="s">
        <v>1482</v>
      </c>
      <c r="G218" s="208" t="s">
        <v>1483</v>
      </c>
      <c r="H218" s="208" t="s">
        <v>1482</v>
      </c>
      <c r="I218" s="208" t="s">
        <v>1483</v>
      </c>
      <c r="J218" s="208" t="s">
        <v>1482</v>
      </c>
      <c r="K218" s="208" t="s">
        <v>1483</v>
      </c>
    </row>
    <row r="219" spans="1:11" ht="14.25" x14ac:dyDescent="0.2">
      <c r="A219" s="209">
        <v>1949</v>
      </c>
      <c r="B219" s="210" t="s">
        <v>1484</v>
      </c>
      <c r="C219" s="210" t="s">
        <v>1485</v>
      </c>
      <c r="D219" s="211" t="s">
        <v>1486</v>
      </c>
      <c r="E219" s="211" t="s">
        <v>1486</v>
      </c>
      <c r="F219" s="211">
        <v>2.37</v>
      </c>
      <c r="G219" s="211">
        <v>14.49</v>
      </c>
      <c r="H219" s="211">
        <v>8.9</v>
      </c>
      <c r="I219" s="211">
        <v>54.43</v>
      </c>
      <c r="J219" s="211">
        <v>5.24</v>
      </c>
      <c r="K219" s="211">
        <v>32.049999999999997</v>
      </c>
    </row>
    <row r="220" spans="1:11" ht="14.25" x14ac:dyDescent="0.2">
      <c r="A220" s="209">
        <v>1950</v>
      </c>
      <c r="B220" s="210" t="s">
        <v>1487</v>
      </c>
      <c r="C220" s="210" t="s">
        <v>1488</v>
      </c>
      <c r="D220" s="211" t="s">
        <v>1486</v>
      </c>
      <c r="E220" s="211" t="s">
        <v>1486</v>
      </c>
      <c r="F220" s="211">
        <v>2.41</v>
      </c>
      <c r="G220" s="211">
        <v>14.58</v>
      </c>
      <c r="H220" s="211">
        <v>9.34</v>
      </c>
      <c r="I220" s="211">
        <v>56.5</v>
      </c>
      <c r="J220" s="211">
        <v>5.19</v>
      </c>
      <c r="K220" s="211">
        <v>31.4</v>
      </c>
    </row>
    <row r="221" spans="1:11" ht="14.25" x14ac:dyDescent="0.2">
      <c r="A221" s="209">
        <v>1951</v>
      </c>
      <c r="B221" s="210" t="s">
        <v>1489</v>
      </c>
      <c r="C221" s="210" t="s">
        <v>1490</v>
      </c>
      <c r="D221" s="211" t="s">
        <v>1486</v>
      </c>
      <c r="E221" s="211" t="s">
        <v>1486</v>
      </c>
      <c r="F221" s="211">
        <v>2.44</v>
      </c>
      <c r="G221" s="211">
        <v>13.77</v>
      </c>
      <c r="H221" s="211">
        <v>9.94</v>
      </c>
      <c r="I221" s="211">
        <v>56.1</v>
      </c>
      <c r="J221" s="211">
        <v>5.29</v>
      </c>
      <c r="K221" s="211">
        <v>29.86</v>
      </c>
    </row>
    <row r="222" spans="1:11" ht="14.25" x14ac:dyDescent="0.2">
      <c r="A222" s="209">
        <v>1952</v>
      </c>
      <c r="B222" s="210" t="s">
        <v>1491</v>
      </c>
      <c r="C222" s="210" t="s">
        <v>1492</v>
      </c>
      <c r="D222" s="211" t="s">
        <v>1486</v>
      </c>
      <c r="E222" s="211" t="s">
        <v>1486</v>
      </c>
      <c r="F222" s="211">
        <v>2.39</v>
      </c>
      <c r="G222" s="211">
        <v>13.26</v>
      </c>
      <c r="H222" s="211">
        <v>9.58</v>
      </c>
      <c r="I222" s="211">
        <v>53.16</v>
      </c>
      <c r="J222" s="211">
        <v>5.27</v>
      </c>
      <c r="K222" s="211">
        <v>29.24</v>
      </c>
    </row>
    <row r="223" spans="1:11" ht="14.25" x14ac:dyDescent="0.2">
      <c r="A223" s="209">
        <v>1953</v>
      </c>
      <c r="B223" s="210" t="s">
        <v>1489</v>
      </c>
      <c r="C223" s="210" t="s">
        <v>1493</v>
      </c>
      <c r="D223" s="211" t="s">
        <v>1486</v>
      </c>
      <c r="E223" s="211" t="s">
        <v>1486</v>
      </c>
      <c r="F223" s="211">
        <v>2.38</v>
      </c>
      <c r="G223" s="211">
        <v>13.05</v>
      </c>
      <c r="H223" s="211">
        <v>9.8699999999999992</v>
      </c>
      <c r="I223" s="211">
        <v>54.1</v>
      </c>
      <c r="J223" s="211">
        <v>5.23</v>
      </c>
      <c r="K223" s="211">
        <v>28.67</v>
      </c>
    </row>
    <row r="224" spans="1:11" ht="14.25" x14ac:dyDescent="0.2">
      <c r="A224" s="209">
        <v>1954</v>
      </c>
      <c r="B224" s="210" t="s">
        <v>1494</v>
      </c>
      <c r="C224" s="210" t="s">
        <v>1495</v>
      </c>
      <c r="D224" s="211" t="s">
        <v>1486</v>
      </c>
      <c r="E224" s="211" t="s">
        <v>1486</v>
      </c>
      <c r="F224" s="211">
        <v>2.4300000000000002</v>
      </c>
      <c r="G224" s="211">
        <v>13.19</v>
      </c>
      <c r="H224" s="211">
        <v>8.76</v>
      </c>
      <c r="I224" s="211">
        <v>47.56</v>
      </c>
      <c r="J224" s="211">
        <v>4.8099999999999996</v>
      </c>
      <c r="K224" s="211">
        <v>26.12</v>
      </c>
    </row>
    <row r="225" spans="1:11" ht="14.25" x14ac:dyDescent="0.2">
      <c r="A225" s="209">
        <v>1955</v>
      </c>
      <c r="B225" s="210" t="s">
        <v>1496</v>
      </c>
      <c r="C225" s="210" t="s">
        <v>1497</v>
      </c>
      <c r="D225" s="211" t="s">
        <v>1486</v>
      </c>
      <c r="E225" s="211" t="s">
        <v>1486</v>
      </c>
      <c r="F225" s="211">
        <v>2.38</v>
      </c>
      <c r="G225" s="211">
        <v>12.7</v>
      </c>
      <c r="H225" s="211">
        <v>8</v>
      </c>
      <c r="I225" s="211">
        <v>42.68</v>
      </c>
      <c r="J225" s="211">
        <v>4.6900000000000004</v>
      </c>
      <c r="K225" s="211">
        <v>25.02</v>
      </c>
    </row>
    <row r="226" spans="1:11" ht="14.25" x14ac:dyDescent="0.2">
      <c r="A226" s="209">
        <v>1956</v>
      </c>
      <c r="B226" s="210" t="s">
        <v>1498</v>
      </c>
      <c r="C226" s="210" t="s">
        <v>1499</v>
      </c>
      <c r="D226" s="211" t="s">
        <v>1486</v>
      </c>
      <c r="E226" s="211" t="s">
        <v>1486</v>
      </c>
      <c r="F226" s="211">
        <v>2.39</v>
      </c>
      <c r="G226" s="211">
        <v>12.32</v>
      </c>
      <c r="H226" s="211">
        <v>8.33</v>
      </c>
      <c r="I226" s="211">
        <v>42.95</v>
      </c>
      <c r="J226" s="211">
        <v>5.01</v>
      </c>
      <c r="K226" s="211">
        <v>25.83</v>
      </c>
    </row>
    <row r="227" spans="1:11" ht="14.25" x14ac:dyDescent="0.2">
      <c r="A227" s="209">
        <v>1957</v>
      </c>
      <c r="B227" s="210" t="s">
        <v>1500</v>
      </c>
      <c r="C227" s="210" t="s">
        <v>1501</v>
      </c>
      <c r="D227" s="211" t="s">
        <v>1486</v>
      </c>
      <c r="E227" s="211" t="s">
        <v>1486</v>
      </c>
      <c r="F227" s="211">
        <v>2.35</v>
      </c>
      <c r="G227" s="211">
        <v>11.73</v>
      </c>
      <c r="H227" s="211">
        <v>9.11</v>
      </c>
      <c r="I227" s="211">
        <v>45.46</v>
      </c>
      <c r="J227" s="211">
        <v>5.28</v>
      </c>
      <c r="K227" s="211">
        <v>26.35</v>
      </c>
    </row>
    <row r="228" spans="1:11" ht="14.25" x14ac:dyDescent="0.2">
      <c r="A228" s="209">
        <v>1958</v>
      </c>
      <c r="B228" s="210" t="s">
        <v>1502</v>
      </c>
      <c r="C228" s="210" t="s">
        <v>1503</v>
      </c>
      <c r="D228" s="211" t="s">
        <v>1486</v>
      </c>
      <c r="E228" s="211" t="s">
        <v>1486</v>
      </c>
      <c r="F228" s="211">
        <v>2.35</v>
      </c>
      <c r="G228" s="211">
        <v>11.46</v>
      </c>
      <c r="H228" s="211">
        <v>9.14</v>
      </c>
      <c r="I228" s="211">
        <v>44.59</v>
      </c>
      <c r="J228" s="211">
        <v>5.07</v>
      </c>
      <c r="K228" s="211">
        <v>24.73</v>
      </c>
    </row>
    <row r="229" spans="1:11" ht="14.25" x14ac:dyDescent="0.2">
      <c r="A229" s="209">
        <v>1959</v>
      </c>
      <c r="B229" s="210" t="s">
        <v>1504</v>
      </c>
      <c r="C229" s="210" t="s">
        <v>1505</v>
      </c>
      <c r="D229" s="211" t="s">
        <v>1486</v>
      </c>
      <c r="E229" s="211" t="s">
        <v>1486</v>
      </c>
      <c r="F229" s="211">
        <v>2.25</v>
      </c>
      <c r="G229" s="211">
        <v>10.84</v>
      </c>
      <c r="H229" s="211">
        <v>8.5500000000000007</v>
      </c>
      <c r="I229" s="211">
        <v>41.2</v>
      </c>
      <c r="J229" s="211">
        <v>4.95</v>
      </c>
      <c r="K229" s="211">
        <v>23.85</v>
      </c>
    </row>
    <row r="230" spans="1:11" ht="14.25" x14ac:dyDescent="0.2">
      <c r="A230" s="209">
        <v>1960</v>
      </c>
      <c r="B230" s="210" t="s">
        <v>1506</v>
      </c>
      <c r="C230" s="210" t="s">
        <v>1507</v>
      </c>
      <c r="D230" s="211" t="s">
        <v>1486</v>
      </c>
      <c r="E230" s="211" t="s">
        <v>1486</v>
      </c>
      <c r="F230" s="211">
        <v>2.29</v>
      </c>
      <c r="G230" s="211">
        <v>10.88</v>
      </c>
      <c r="H230" s="211">
        <v>8.01</v>
      </c>
      <c r="I230" s="211">
        <v>38.07</v>
      </c>
      <c r="J230" s="211">
        <v>4.83</v>
      </c>
      <c r="K230" s="211">
        <v>22.96</v>
      </c>
    </row>
    <row r="231" spans="1:11" ht="14.25" x14ac:dyDescent="0.2">
      <c r="A231" s="209">
        <v>1961</v>
      </c>
      <c r="B231" s="210" t="s">
        <v>1508</v>
      </c>
      <c r="C231" s="210" t="s">
        <v>1509</v>
      </c>
      <c r="D231" s="211" t="s">
        <v>1486</v>
      </c>
      <c r="E231" s="211" t="s">
        <v>1486</v>
      </c>
      <c r="F231" s="211">
        <v>2.2400000000000002</v>
      </c>
      <c r="G231" s="211">
        <v>10.53</v>
      </c>
      <c r="H231" s="211">
        <v>8.26</v>
      </c>
      <c r="I231" s="211">
        <v>38.82</v>
      </c>
      <c r="J231" s="211">
        <v>4.7300000000000004</v>
      </c>
      <c r="K231" s="211">
        <v>22.23</v>
      </c>
    </row>
    <row r="232" spans="1:11" ht="14.25" x14ac:dyDescent="0.2">
      <c r="A232" s="209">
        <v>1962</v>
      </c>
      <c r="B232" s="210" t="s">
        <v>1510</v>
      </c>
      <c r="C232" s="210" t="s">
        <v>1511</v>
      </c>
      <c r="D232" s="211" t="s">
        <v>1486</v>
      </c>
      <c r="E232" s="211" t="s">
        <v>1486</v>
      </c>
      <c r="F232" s="211">
        <v>2.23</v>
      </c>
      <c r="G232" s="211">
        <v>10.34</v>
      </c>
      <c r="H232" s="211">
        <v>7.99</v>
      </c>
      <c r="I232" s="211">
        <v>37.04</v>
      </c>
      <c r="J232" s="211">
        <v>4.62</v>
      </c>
      <c r="K232" s="211">
        <v>21.42</v>
      </c>
    </row>
    <row r="233" spans="1:11" ht="14.25" x14ac:dyDescent="0.2">
      <c r="A233" s="209">
        <v>1963</v>
      </c>
      <c r="B233" s="210" t="s">
        <v>1512</v>
      </c>
      <c r="C233" s="210" t="s">
        <v>1513</v>
      </c>
      <c r="D233" s="211" t="s">
        <v>1486</v>
      </c>
      <c r="E233" s="211" t="s">
        <v>1486</v>
      </c>
      <c r="F233" s="211">
        <v>2.17</v>
      </c>
      <c r="G233" s="211">
        <v>9.9600000000000009</v>
      </c>
      <c r="H233" s="211">
        <v>8.64</v>
      </c>
      <c r="I233" s="211">
        <v>39.64</v>
      </c>
      <c r="J233" s="211">
        <v>4.55</v>
      </c>
      <c r="K233" s="211">
        <v>20.87</v>
      </c>
    </row>
    <row r="234" spans="1:11" ht="14.25" x14ac:dyDescent="0.2">
      <c r="A234" s="209">
        <v>1964</v>
      </c>
      <c r="B234" s="210" t="s">
        <v>1514</v>
      </c>
      <c r="C234" s="210" t="s">
        <v>1515</v>
      </c>
      <c r="D234" s="211" t="s">
        <v>1486</v>
      </c>
      <c r="E234" s="211" t="s">
        <v>1486</v>
      </c>
      <c r="F234" s="211">
        <v>2.14</v>
      </c>
      <c r="G234" s="211">
        <v>9.67</v>
      </c>
      <c r="H234" s="211">
        <v>8.93</v>
      </c>
      <c r="I234" s="211">
        <v>40.35</v>
      </c>
      <c r="J234" s="211">
        <v>4.5999999999999996</v>
      </c>
      <c r="K234" s="211">
        <v>20.79</v>
      </c>
    </row>
    <row r="235" spans="1:11" ht="14.25" x14ac:dyDescent="0.2">
      <c r="A235" s="209">
        <v>1965</v>
      </c>
      <c r="B235" s="210" t="s">
        <v>1516</v>
      </c>
      <c r="C235" s="210" t="s">
        <v>1517</v>
      </c>
      <c r="D235" s="211" t="s">
        <v>1486</v>
      </c>
      <c r="E235" s="211" t="s">
        <v>1486</v>
      </c>
      <c r="F235" s="211">
        <v>2.13</v>
      </c>
      <c r="G235" s="211">
        <v>9.4499999999999993</v>
      </c>
      <c r="H235" s="211">
        <v>8.51</v>
      </c>
      <c r="I235" s="211">
        <v>37.76</v>
      </c>
      <c r="J235" s="211">
        <v>4.55</v>
      </c>
      <c r="K235" s="211">
        <v>20.190000000000001</v>
      </c>
    </row>
    <row r="236" spans="1:11" ht="14.25" x14ac:dyDescent="0.2">
      <c r="A236" s="209">
        <v>1966</v>
      </c>
      <c r="B236" s="210" t="s">
        <v>1518</v>
      </c>
      <c r="C236" s="210" t="s">
        <v>1519</v>
      </c>
      <c r="D236" s="211" t="s">
        <v>1486</v>
      </c>
      <c r="E236" s="211" t="s">
        <v>1486</v>
      </c>
      <c r="F236" s="211">
        <v>1.98</v>
      </c>
      <c r="G236" s="211">
        <v>8.5399999999999991</v>
      </c>
      <c r="H236" s="211">
        <v>8.08</v>
      </c>
      <c r="I236" s="211">
        <v>34.86</v>
      </c>
      <c r="J236" s="211">
        <v>4.62</v>
      </c>
      <c r="K236" s="211">
        <v>19.93</v>
      </c>
    </row>
    <row r="237" spans="1:11" ht="14.25" x14ac:dyDescent="0.2">
      <c r="A237" s="209">
        <v>1967</v>
      </c>
      <c r="B237" s="210" t="s">
        <v>1520</v>
      </c>
      <c r="C237" s="210" t="s">
        <v>1521</v>
      </c>
      <c r="D237" s="211" t="s">
        <v>1486</v>
      </c>
      <c r="E237" s="211" t="s">
        <v>1486</v>
      </c>
      <c r="F237" s="211">
        <v>1.92</v>
      </c>
      <c r="G237" s="211">
        <v>8.0399999999999991</v>
      </c>
      <c r="H237" s="211">
        <v>8.15</v>
      </c>
      <c r="I237" s="211">
        <v>34.11</v>
      </c>
      <c r="J237" s="211">
        <v>4.6900000000000004</v>
      </c>
      <c r="K237" s="211">
        <v>19.63</v>
      </c>
    </row>
    <row r="238" spans="1:11" ht="14.25" x14ac:dyDescent="0.2">
      <c r="A238" s="209">
        <v>1968</v>
      </c>
      <c r="B238" s="210" t="s">
        <v>1522</v>
      </c>
      <c r="C238" s="210" t="s">
        <v>1523</v>
      </c>
      <c r="D238" s="211" t="s">
        <v>1486</v>
      </c>
      <c r="E238" s="211" t="s">
        <v>1486</v>
      </c>
      <c r="F238" s="211">
        <v>1.79</v>
      </c>
      <c r="G238" s="211">
        <v>7.19</v>
      </c>
      <c r="H238" s="211">
        <v>8.7799999999999994</v>
      </c>
      <c r="I238" s="211">
        <v>35.24</v>
      </c>
      <c r="J238" s="211">
        <v>4.75</v>
      </c>
      <c r="K238" s="211">
        <v>19.07</v>
      </c>
    </row>
    <row r="239" spans="1:11" ht="14.25" x14ac:dyDescent="0.2">
      <c r="A239" s="209">
        <v>1969</v>
      </c>
      <c r="B239" s="210" t="s">
        <v>1524</v>
      </c>
      <c r="C239" s="210" t="s">
        <v>1525</v>
      </c>
      <c r="D239" s="211" t="s">
        <v>1486</v>
      </c>
      <c r="E239" s="211" t="s">
        <v>1486</v>
      </c>
      <c r="F239" s="211">
        <v>1.86</v>
      </c>
      <c r="G239" s="211">
        <v>7.11</v>
      </c>
      <c r="H239" s="211">
        <v>9.91</v>
      </c>
      <c r="I239" s="211">
        <v>37.9</v>
      </c>
      <c r="J239" s="211">
        <v>5.08</v>
      </c>
      <c r="K239" s="211">
        <v>19.43</v>
      </c>
    </row>
    <row r="240" spans="1:11" ht="14.25" x14ac:dyDescent="0.2">
      <c r="A240" s="209">
        <v>1970</v>
      </c>
      <c r="B240" s="210" t="s">
        <v>1526</v>
      </c>
      <c r="C240" s="210" t="s">
        <v>1527</v>
      </c>
      <c r="D240" s="211" t="s">
        <v>1486</v>
      </c>
      <c r="E240" s="211" t="s">
        <v>1486</v>
      </c>
      <c r="F240" s="211">
        <v>1.86</v>
      </c>
      <c r="G240" s="211">
        <v>6.76</v>
      </c>
      <c r="H240" s="211">
        <v>11.03</v>
      </c>
      <c r="I240" s="211">
        <v>40.06</v>
      </c>
      <c r="J240" s="211">
        <v>6.34</v>
      </c>
      <c r="K240" s="211">
        <v>23.03</v>
      </c>
    </row>
    <row r="241" spans="1:11" ht="14.25" x14ac:dyDescent="0.2">
      <c r="A241" s="209">
        <v>1971</v>
      </c>
      <c r="B241" s="210" t="s">
        <v>1528</v>
      </c>
      <c r="C241" s="210" t="s">
        <v>1529</v>
      </c>
      <c r="D241" s="211" t="s">
        <v>1486</v>
      </c>
      <c r="E241" s="211" t="s">
        <v>1486</v>
      </c>
      <c r="F241" s="211">
        <v>1.93</v>
      </c>
      <c r="G241" s="211">
        <v>6.68</v>
      </c>
      <c r="H241" s="211">
        <v>12.08</v>
      </c>
      <c r="I241" s="211">
        <v>41.78</v>
      </c>
      <c r="J241" s="211">
        <v>7.15</v>
      </c>
      <c r="K241" s="211">
        <v>24.73</v>
      </c>
    </row>
    <row r="242" spans="1:11" ht="14.25" x14ac:dyDescent="0.2">
      <c r="A242" s="209">
        <v>1972</v>
      </c>
      <c r="B242" s="210" t="s">
        <v>1530</v>
      </c>
      <c r="C242" s="210" t="s">
        <v>1531</v>
      </c>
      <c r="D242" s="211" t="s">
        <v>1486</v>
      </c>
      <c r="E242" s="211" t="s">
        <v>1486</v>
      </c>
      <c r="F242" s="211">
        <v>2.04</v>
      </c>
      <c r="G242" s="211">
        <v>6.76</v>
      </c>
      <c r="H242" s="211">
        <v>12.4</v>
      </c>
      <c r="I242" s="211">
        <v>41.11</v>
      </c>
      <c r="J242" s="211">
        <v>7.72</v>
      </c>
      <c r="K242" s="211">
        <v>25.59</v>
      </c>
    </row>
    <row r="243" spans="1:11" ht="14.25" x14ac:dyDescent="0.2">
      <c r="A243" s="209">
        <v>1973</v>
      </c>
      <c r="B243" s="210" t="s">
        <v>1532</v>
      </c>
      <c r="C243" s="210" t="s">
        <v>1533</v>
      </c>
      <c r="D243" s="211" t="s">
        <v>1486</v>
      </c>
      <c r="E243" s="211" t="s">
        <v>1486</v>
      </c>
      <c r="F243" s="211">
        <v>2.09</v>
      </c>
      <c r="G243" s="211">
        <v>6.56</v>
      </c>
      <c r="H243" s="211">
        <v>13.65</v>
      </c>
      <c r="I243" s="211">
        <v>42.86</v>
      </c>
      <c r="J243" s="211">
        <v>8.59</v>
      </c>
      <c r="K243" s="211">
        <v>26.97</v>
      </c>
    </row>
    <row r="244" spans="1:11" ht="14.25" x14ac:dyDescent="0.2">
      <c r="A244" s="209">
        <v>1974</v>
      </c>
      <c r="B244" s="210" t="s">
        <v>1534</v>
      </c>
      <c r="C244" s="210" t="s">
        <v>1535</v>
      </c>
      <c r="D244" s="211" t="s">
        <v>1486</v>
      </c>
      <c r="E244" s="211" t="s">
        <v>1486</v>
      </c>
      <c r="F244" s="211">
        <v>2.19</v>
      </c>
      <c r="G244" s="211">
        <v>6.31</v>
      </c>
      <c r="H244" s="211">
        <v>22.19</v>
      </c>
      <c r="I244" s="211">
        <v>63.9</v>
      </c>
      <c r="J244" s="211">
        <v>15.82</v>
      </c>
      <c r="K244" s="211">
        <v>45.56</v>
      </c>
    </row>
    <row r="245" spans="1:11" ht="14.25" x14ac:dyDescent="0.2">
      <c r="A245" s="209">
        <v>1975</v>
      </c>
      <c r="B245" s="210" t="s">
        <v>1536</v>
      </c>
      <c r="C245" s="210" t="s">
        <v>1537</v>
      </c>
      <c r="D245" s="211" t="s">
        <v>1486</v>
      </c>
      <c r="E245" s="211" t="s">
        <v>1486</v>
      </c>
      <c r="F245" s="211">
        <v>3.17</v>
      </c>
      <c r="G245" s="211">
        <v>8.34</v>
      </c>
      <c r="H245" s="211">
        <v>32.26</v>
      </c>
      <c r="I245" s="211">
        <v>84.89</v>
      </c>
      <c r="J245" s="211">
        <v>19.350000000000001</v>
      </c>
      <c r="K245" s="211">
        <v>50.92</v>
      </c>
    </row>
    <row r="246" spans="1:11" ht="14.25" x14ac:dyDescent="0.2">
      <c r="A246" s="209">
        <v>1976</v>
      </c>
      <c r="B246" s="210" t="s">
        <v>1538</v>
      </c>
      <c r="C246" s="210" t="s">
        <v>1539</v>
      </c>
      <c r="D246" s="211" t="s">
        <v>1486</v>
      </c>
      <c r="E246" s="211" t="s">
        <v>1486</v>
      </c>
      <c r="F246" s="211">
        <v>3.74</v>
      </c>
      <c r="G246" s="211">
        <v>9.3000000000000007</v>
      </c>
      <c r="H246" s="211">
        <v>33.92</v>
      </c>
      <c r="I246" s="211">
        <v>84.39</v>
      </c>
      <c r="J246" s="211">
        <v>19.559999999999999</v>
      </c>
      <c r="K246" s="211">
        <v>48.66</v>
      </c>
    </row>
    <row r="247" spans="1:11" ht="14.25" x14ac:dyDescent="0.2">
      <c r="A247" s="209">
        <v>1977</v>
      </c>
      <c r="B247" s="210" t="s">
        <v>1540</v>
      </c>
      <c r="C247" s="210" t="s">
        <v>1541</v>
      </c>
      <c r="D247" s="211" t="s">
        <v>1486</v>
      </c>
      <c r="E247" s="211" t="s">
        <v>1486</v>
      </c>
      <c r="F247" s="211">
        <v>4.03</v>
      </c>
      <c r="G247" s="211">
        <v>9.43</v>
      </c>
      <c r="H247" s="211">
        <v>34.86</v>
      </c>
      <c r="I247" s="211">
        <v>81.540000000000006</v>
      </c>
      <c r="J247" s="211">
        <v>19.95</v>
      </c>
      <c r="K247" s="211">
        <v>46.66</v>
      </c>
    </row>
    <row r="248" spans="1:11" ht="14.25" x14ac:dyDescent="0.2">
      <c r="A248" s="209">
        <v>1978</v>
      </c>
      <c r="B248" s="210" t="s">
        <v>1542</v>
      </c>
      <c r="C248" s="210" t="s">
        <v>1543</v>
      </c>
      <c r="D248" s="211" t="s">
        <v>1486</v>
      </c>
      <c r="E248" s="211" t="s">
        <v>1486</v>
      </c>
      <c r="F248" s="211">
        <v>5.68</v>
      </c>
      <c r="G248" s="211">
        <v>12.41</v>
      </c>
      <c r="H248" s="211">
        <v>35.25</v>
      </c>
      <c r="I248" s="211">
        <v>77.040000000000006</v>
      </c>
      <c r="J248" s="211">
        <v>21.86</v>
      </c>
      <c r="K248" s="211">
        <v>47.77</v>
      </c>
    </row>
    <row r="249" spans="1:11" x14ac:dyDescent="0.2">
      <c r="A249" s="209">
        <v>1979</v>
      </c>
      <c r="B249" s="211">
        <v>27.31</v>
      </c>
      <c r="C249" s="211">
        <v>55.12</v>
      </c>
      <c r="D249" s="211">
        <v>9.5500000000000007</v>
      </c>
      <c r="E249" s="211">
        <v>19.27</v>
      </c>
      <c r="F249" s="211">
        <v>6.48</v>
      </c>
      <c r="G249" s="211">
        <v>13.08</v>
      </c>
      <c r="H249" s="211">
        <v>41.06</v>
      </c>
      <c r="I249" s="211">
        <v>82.87</v>
      </c>
      <c r="J249" s="211">
        <v>23.75</v>
      </c>
      <c r="K249" s="211">
        <v>47.93</v>
      </c>
    </row>
    <row r="250" spans="1:11" x14ac:dyDescent="0.2">
      <c r="A250" s="209">
        <v>1980</v>
      </c>
      <c r="B250" s="211">
        <v>29.17</v>
      </c>
      <c r="C250" s="211">
        <v>53.98</v>
      </c>
      <c r="D250" s="211">
        <v>11.08</v>
      </c>
      <c r="E250" s="211">
        <v>20.5</v>
      </c>
      <c r="F250" s="211">
        <v>7.6</v>
      </c>
      <c r="G250" s="211">
        <v>14.06</v>
      </c>
      <c r="H250" s="211">
        <v>42.51</v>
      </c>
      <c r="I250" s="211">
        <v>78.66</v>
      </c>
      <c r="J250" s="211">
        <v>24.65</v>
      </c>
      <c r="K250" s="211">
        <v>45.61</v>
      </c>
    </row>
    <row r="251" spans="1:11" x14ac:dyDescent="0.2">
      <c r="A251" s="209">
        <v>1981</v>
      </c>
      <c r="B251" s="211">
        <v>31.51</v>
      </c>
      <c r="C251" s="211">
        <v>53.3</v>
      </c>
      <c r="D251" s="211">
        <v>12.18</v>
      </c>
      <c r="E251" s="211">
        <v>20.6</v>
      </c>
      <c r="F251" s="211">
        <v>8.85</v>
      </c>
      <c r="G251" s="211">
        <v>14.97</v>
      </c>
      <c r="H251" s="211">
        <v>44.28</v>
      </c>
      <c r="I251" s="211">
        <v>74.900000000000006</v>
      </c>
      <c r="J251" s="211">
        <v>26.4</v>
      </c>
      <c r="K251" s="211">
        <v>44.66</v>
      </c>
    </row>
    <row r="252" spans="1:11" x14ac:dyDescent="0.2">
      <c r="A252" s="209">
        <v>1982</v>
      </c>
      <c r="B252" s="211">
        <v>32.15</v>
      </c>
      <c r="C252" s="211">
        <v>51.25</v>
      </c>
      <c r="D252" s="211">
        <v>13.37</v>
      </c>
      <c r="E252" s="211">
        <v>21.31</v>
      </c>
      <c r="F252" s="211">
        <v>9.7899999999999991</v>
      </c>
      <c r="G252" s="211">
        <v>15.61</v>
      </c>
      <c r="H252" s="211">
        <v>49.85</v>
      </c>
      <c r="I252" s="211">
        <v>79.47</v>
      </c>
      <c r="J252" s="211">
        <v>27.25</v>
      </c>
      <c r="K252" s="211">
        <v>43.44</v>
      </c>
    </row>
    <row r="253" spans="1:11" x14ac:dyDescent="0.2">
      <c r="A253" s="209">
        <v>1983</v>
      </c>
      <c r="B253" s="211">
        <v>31.11</v>
      </c>
      <c r="C253" s="211">
        <v>47.71</v>
      </c>
      <c r="D253" s="211">
        <v>13.03</v>
      </c>
      <c r="E253" s="211">
        <v>19.98</v>
      </c>
      <c r="F253" s="211">
        <v>9.91</v>
      </c>
      <c r="G253" s="211">
        <v>15.2</v>
      </c>
      <c r="H253" s="211">
        <v>52.29</v>
      </c>
      <c r="I253" s="211">
        <v>80.19</v>
      </c>
      <c r="J253" s="211">
        <v>25.98</v>
      </c>
      <c r="K253" s="211">
        <v>39.840000000000003</v>
      </c>
    </row>
    <row r="254" spans="1:11" x14ac:dyDescent="0.2">
      <c r="A254" s="209">
        <v>1984</v>
      </c>
      <c r="B254" s="211">
        <v>30.63</v>
      </c>
      <c r="C254" s="211">
        <v>45.27</v>
      </c>
      <c r="D254" s="211">
        <v>12.41</v>
      </c>
      <c r="E254" s="211">
        <v>18.34</v>
      </c>
      <c r="F254" s="211">
        <v>10.45</v>
      </c>
      <c r="G254" s="211">
        <v>15.45</v>
      </c>
      <c r="H254" s="211">
        <v>48.22</v>
      </c>
      <c r="I254" s="211">
        <v>71.27</v>
      </c>
      <c r="J254" s="211">
        <v>25.61</v>
      </c>
      <c r="K254" s="211">
        <v>37.85</v>
      </c>
    </row>
    <row r="255" spans="1:11" x14ac:dyDescent="0.2">
      <c r="A255" s="209">
        <v>1985</v>
      </c>
      <c r="B255" s="211">
        <v>30.78</v>
      </c>
      <c r="C255" s="211">
        <v>44.15</v>
      </c>
      <c r="D255" s="211">
        <v>12.57</v>
      </c>
      <c r="E255" s="211">
        <v>18.03</v>
      </c>
      <c r="F255" s="211">
        <v>10.68</v>
      </c>
      <c r="G255" s="211">
        <v>15.32</v>
      </c>
      <c r="H255" s="211">
        <v>45.8</v>
      </c>
      <c r="I255" s="211">
        <v>65.7</v>
      </c>
      <c r="J255" s="211">
        <v>25.2</v>
      </c>
      <c r="K255" s="211">
        <v>36.15</v>
      </c>
    </row>
    <row r="256" spans="1:11" x14ac:dyDescent="0.2">
      <c r="A256" s="209">
        <v>1986</v>
      </c>
      <c r="B256" s="211">
        <v>28.84</v>
      </c>
      <c r="C256" s="211">
        <v>40.479999999999997</v>
      </c>
      <c r="D256" s="211">
        <v>12.26</v>
      </c>
      <c r="E256" s="211">
        <v>17.21</v>
      </c>
      <c r="F256" s="211">
        <v>10.64</v>
      </c>
      <c r="G256" s="211">
        <v>14.93</v>
      </c>
      <c r="H256" s="211">
        <v>44.12</v>
      </c>
      <c r="I256" s="211">
        <v>61.92</v>
      </c>
      <c r="J256" s="211">
        <v>23.79</v>
      </c>
      <c r="K256" s="211">
        <v>33.39</v>
      </c>
    </row>
    <row r="257" spans="1:11" x14ac:dyDescent="0.2">
      <c r="A257" s="209">
        <v>1987</v>
      </c>
      <c r="B257" s="211">
        <v>28.19</v>
      </c>
      <c r="C257" s="211">
        <v>38.51</v>
      </c>
      <c r="D257" s="211">
        <v>11.32</v>
      </c>
      <c r="E257" s="211">
        <v>15.47</v>
      </c>
      <c r="F257" s="211">
        <v>10.85</v>
      </c>
      <c r="G257" s="211">
        <v>14.82</v>
      </c>
      <c r="H257" s="211">
        <v>43.65</v>
      </c>
      <c r="I257" s="211">
        <v>59.63</v>
      </c>
      <c r="J257" s="211">
        <v>23.07</v>
      </c>
      <c r="K257" s="211">
        <v>31.52</v>
      </c>
    </row>
    <row r="258" spans="1:11" x14ac:dyDescent="0.2">
      <c r="A258" s="209">
        <v>1988</v>
      </c>
      <c r="B258" s="211">
        <v>27.66</v>
      </c>
      <c r="C258" s="211">
        <v>36.54</v>
      </c>
      <c r="D258" s="211">
        <v>10.45</v>
      </c>
      <c r="E258" s="211">
        <v>13.81</v>
      </c>
      <c r="F258" s="211">
        <v>10.06</v>
      </c>
      <c r="G258" s="211">
        <v>13.29</v>
      </c>
      <c r="H258" s="211">
        <v>44.16</v>
      </c>
      <c r="I258" s="211">
        <v>58.34</v>
      </c>
      <c r="J258" s="211">
        <v>22.07</v>
      </c>
      <c r="K258" s="211">
        <v>29.16</v>
      </c>
    </row>
    <row r="259" spans="1:11" x14ac:dyDescent="0.2">
      <c r="A259" s="209">
        <v>1989</v>
      </c>
      <c r="B259" s="211">
        <v>27.4</v>
      </c>
      <c r="C259" s="211">
        <v>34.880000000000003</v>
      </c>
      <c r="D259" s="211">
        <v>10.16</v>
      </c>
      <c r="E259" s="211">
        <v>12.93</v>
      </c>
      <c r="F259" s="211">
        <v>9.91</v>
      </c>
      <c r="G259" s="211">
        <v>12.62</v>
      </c>
      <c r="H259" s="211">
        <v>42.93</v>
      </c>
      <c r="I259" s="211">
        <v>54.65</v>
      </c>
      <c r="J259" s="211">
        <v>21.82</v>
      </c>
      <c r="K259" s="211">
        <v>27.78</v>
      </c>
    </row>
    <row r="260" spans="1:11" x14ac:dyDescent="0.2">
      <c r="A260" s="209">
        <v>1990</v>
      </c>
      <c r="B260" s="211">
        <v>27.43</v>
      </c>
      <c r="C260" s="211">
        <v>33.619999999999997</v>
      </c>
      <c r="D260" s="211">
        <v>9.6999999999999993</v>
      </c>
      <c r="E260" s="211">
        <v>11.89</v>
      </c>
      <c r="F260" s="211">
        <v>10.130000000000001</v>
      </c>
      <c r="G260" s="211">
        <v>12.42</v>
      </c>
      <c r="H260" s="211">
        <v>39.4</v>
      </c>
      <c r="I260" s="211">
        <v>48.29</v>
      </c>
      <c r="J260" s="211">
        <v>21.76</v>
      </c>
      <c r="K260" s="211">
        <v>26.67</v>
      </c>
    </row>
    <row r="261" spans="1:11" x14ac:dyDescent="0.2">
      <c r="A261" s="209">
        <v>1991</v>
      </c>
      <c r="B261" s="211">
        <v>27.49</v>
      </c>
      <c r="C261" s="211">
        <v>32.549999999999997</v>
      </c>
      <c r="D261" s="211">
        <v>9.68</v>
      </c>
      <c r="E261" s="211">
        <v>11.46</v>
      </c>
      <c r="F261" s="211">
        <v>10.89</v>
      </c>
      <c r="G261" s="211">
        <v>12.9</v>
      </c>
      <c r="H261" s="211">
        <v>36.340000000000003</v>
      </c>
      <c r="I261" s="211">
        <v>43.03</v>
      </c>
      <c r="J261" s="211">
        <v>21.49</v>
      </c>
      <c r="K261" s="211">
        <v>25.45</v>
      </c>
    </row>
    <row r="262" spans="1:11" x14ac:dyDescent="0.2">
      <c r="A262" s="209">
        <v>1992</v>
      </c>
      <c r="B262" s="211">
        <v>26.78</v>
      </c>
      <c r="C262" s="211">
        <v>31</v>
      </c>
      <c r="D262" s="211">
        <v>9.68</v>
      </c>
      <c r="E262" s="211">
        <v>11.21</v>
      </c>
      <c r="F262" s="211">
        <v>10.81</v>
      </c>
      <c r="G262" s="211">
        <v>12.51</v>
      </c>
      <c r="H262" s="211">
        <v>34.24</v>
      </c>
      <c r="I262" s="211">
        <v>39.64</v>
      </c>
      <c r="J262" s="211">
        <v>21.03</v>
      </c>
      <c r="K262" s="211">
        <v>24.34</v>
      </c>
    </row>
    <row r="263" spans="1:11" x14ac:dyDescent="0.2">
      <c r="A263" s="209">
        <v>1993</v>
      </c>
      <c r="B263" s="211">
        <v>26.15</v>
      </c>
      <c r="C263" s="211">
        <v>29.59</v>
      </c>
      <c r="D263" s="211">
        <v>9.33</v>
      </c>
      <c r="E263" s="211">
        <v>10.56</v>
      </c>
      <c r="F263" s="211">
        <v>11.11</v>
      </c>
      <c r="G263" s="211">
        <v>12.57</v>
      </c>
      <c r="H263" s="211">
        <v>32.94</v>
      </c>
      <c r="I263" s="211">
        <v>37.270000000000003</v>
      </c>
      <c r="J263" s="211">
        <v>19.850000000000001</v>
      </c>
      <c r="K263" s="211">
        <v>22.46</v>
      </c>
    </row>
    <row r="264" spans="1:11" x14ac:dyDescent="0.2">
      <c r="A264" s="209">
        <v>1994</v>
      </c>
      <c r="B264" s="211">
        <v>25.68</v>
      </c>
      <c r="C264" s="211">
        <v>28.45</v>
      </c>
      <c r="D264" s="211">
        <v>8.3699999999999992</v>
      </c>
      <c r="E264" s="211">
        <v>9.27</v>
      </c>
      <c r="F264" s="211">
        <v>10.77</v>
      </c>
      <c r="G264" s="211">
        <v>11.93</v>
      </c>
      <c r="H264" s="211">
        <v>36.07</v>
      </c>
      <c r="I264" s="211">
        <v>39.96</v>
      </c>
      <c r="J264" s="211">
        <v>19.41</v>
      </c>
      <c r="K264" s="211">
        <v>21.5</v>
      </c>
    </row>
    <row r="265" spans="1:11" x14ac:dyDescent="0.2">
      <c r="A265" s="209">
        <v>1995</v>
      </c>
      <c r="B265" s="211">
        <v>25.56</v>
      </c>
      <c r="C265" s="211">
        <v>27.75</v>
      </c>
      <c r="D265" s="211">
        <v>8.1</v>
      </c>
      <c r="E265" s="211">
        <v>8.7899999999999991</v>
      </c>
      <c r="F265" s="211">
        <v>10.83</v>
      </c>
      <c r="G265" s="211">
        <v>11.76</v>
      </c>
      <c r="H265" s="211">
        <v>39.78</v>
      </c>
      <c r="I265" s="211">
        <v>43.19</v>
      </c>
      <c r="J265" s="211">
        <v>18.829999999999998</v>
      </c>
      <c r="K265" s="211">
        <v>20.440000000000001</v>
      </c>
    </row>
    <row r="266" spans="1:11" x14ac:dyDescent="0.2">
      <c r="A266" s="209">
        <v>1996</v>
      </c>
      <c r="B266" s="211">
        <v>25.17</v>
      </c>
      <c r="C266" s="211">
        <v>26.82</v>
      </c>
      <c r="D266" s="211">
        <v>7.87</v>
      </c>
      <c r="E266" s="211">
        <v>8.39</v>
      </c>
      <c r="F266" s="211">
        <v>10.92</v>
      </c>
      <c r="G266" s="211">
        <v>11.64</v>
      </c>
      <c r="H266" s="211">
        <v>36.78</v>
      </c>
      <c r="I266" s="211">
        <v>39.19</v>
      </c>
      <c r="J266" s="211">
        <v>18.5</v>
      </c>
      <c r="K266" s="211">
        <v>19.71</v>
      </c>
    </row>
    <row r="267" spans="1:11" x14ac:dyDescent="0.2">
      <c r="A267" s="209">
        <v>1997</v>
      </c>
      <c r="B267" s="211">
        <v>24.64</v>
      </c>
      <c r="C267" s="211">
        <v>25.82</v>
      </c>
      <c r="D267" s="211">
        <v>7.42</v>
      </c>
      <c r="E267" s="211">
        <v>7.78</v>
      </c>
      <c r="F267" s="211">
        <v>10.91</v>
      </c>
      <c r="G267" s="211">
        <v>11.43</v>
      </c>
      <c r="H267" s="211">
        <v>35.119999999999997</v>
      </c>
      <c r="I267" s="211">
        <v>36.81</v>
      </c>
      <c r="J267" s="211">
        <v>18.14</v>
      </c>
      <c r="K267" s="211">
        <v>19.010000000000002</v>
      </c>
    </row>
    <row r="268" spans="1:11" x14ac:dyDescent="0.2">
      <c r="A268" s="209">
        <v>1998</v>
      </c>
      <c r="B268" s="211">
        <v>24.87</v>
      </c>
      <c r="C268" s="211">
        <v>25.78</v>
      </c>
      <c r="D268" s="211">
        <v>6.96</v>
      </c>
      <c r="E268" s="211">
        <v>7.21</v>
      </c>
      <c r="F268" s="211">
        <v>11.08</v>
      </c>
      <c r="G268" s="211">
        <v>11.49</v>
      </c>
      <c r="H268" s="211">
        <v>42.91</v>
      </c>
      <c r="I268" s="211">
        <v>44.48</v>
      </c>
      <c r="J268" s="211">
        <v>17.670000000000002</v>
      </c>
      <c r="K268" s="211">
        <v>18.32</v>
      </c>
    </row>
    <row r="269" spans="1:11" x14ac:dyDescent="0.2">
      <c r="A269" s="209">
        <v>1999</v>
      </c>
      <c r="B269" s="211">
        <v>23.92</v>
      </c>
      <c r="C269" s="211">
        <v>24.44</v>
      </c>
      <c r="D269" s="211">
        <v>6.87</v>
      </c>
      <c r="E269" s="211">
        <v>7.02</v>
      </c>
      <c r="F269" s="211">
        <v>11.04</v>
      </c>
      <c r="G269" s="211">
        <v>11.28</v>
      </c>
      <c r="H269" s="211">
        <v>35.130000000000003</v>
      </c>
      <c r="I269" s="211">
        <v>35.9</v>
      </c>
      <c r="J269" s="211">
        <v>16.63</v>
      </c>
      <c r="K269" s="211">
        <v>16.989999999999998</v>
      </c>
    </row>
    <row r="270" spans="1:11" x14ac:dyDescent="0.2">
      <c r="A270" s="209">
        <v>2000</v>
      </c>
      <c r="B270" s="211">
        <v>24.15</v>
      </c>
      <c r="C270" s="211">
        <v>24.15</v>
      </c>
      <c r="D270" s="211">
        <v>7.12</v>
      </c>
      <c r="E270" s="211">
        <v>7.12</v>
      </c>
      <c r="F270" s="211">
        <v>11.41</v>
      </c>
      <c r="G270" s="211">
        <v>11.41</v>
      </c>
      <c r="H270" s="211">
        <v>40.9</v>
      </c>
      <c r="I270" s="211">
        <v>40.9</v>
      </c>
      <c r="J270" s="211">
        <v>16.78</v>
      </c>
      <c r="K270" s="211">
        <v>16.78</v>
      </c>
    </row>
    <row r="271" spans="1:11" x14ac:dyDescent="0.2">
      <c r="A271" s="209">
        <v>2001</v>
      </c>
      <c r="B271" s="211">
        <v>25.36</v>
      </c>
      <c r="C271" s="211">
        <v>24.77</v>
      </c>
      <c r="D271" s="211">
        <v>6.67</v>
      </c>
      <c r="E271" s="211">
        <v>6.51</v>
      </c>
      <c r="F271" s="211">
        <v>11.52</v>
      </c>
      <c r="G271" s="211">
        <v>11.25</v>
      </c>
      <c r="H271" s="211">
        <v>47.67</v>
      </c>
      <c r="I271" s="211">
        <v>46.55</v>
      </c>
      <c r="J271" s="211">
        <v>17.38</v>
      </c>
      <c r="K271" s="211">
        <v>16.97</v>
      </c>
    </row>
    <row r="272" spans="1:11" x14ac:dyDescent="0.2">
      <c r="A272" s="209">
        <v>2002</v>
      </c>
      <c r="B272" s="211">
        <v>26.57</v>
      </c>
      <c r="C272" s="211">
        <v>25.5</v>
      </c>
      <c r="D272" s="211">
        <v>7.34</v>
      </c>
      <c r="E272" s="211">
        <v>7.05</v>
      </c>
      <c r="F272" s="211">
        <v>11.07</v>
      </c>
      <c r="G272" s="211">
        <v>10.63</v>
      </c>
      <c r="H272" s="211">
        <v>47.78</v>
      </c>
      <c r="I272" s="211">
        <v>45.86</v>
      </c>
      <c r="J272" s="211">
        <v>17.98</v>
      </c>
      <c r="K272" s="211">
        <v>17.260000000000002</v>
      </c>
    </row>
    <row r="273" spans="1:11" x14ac:dyDescent="0.2">
      <c r="A273" s="209">
        <v>2003</v>
      </c>
      <c r="B273" s="211">
        <v>26.73</v>
      </c>
      <c r="C273" s="211">
        <v>25.12</v>
      </c>
      <c r="D273" s="211">
        <v>7.73</v>
      </c>
      <c r="E273" s="211">
        <v>7.26</v>
      </c>
      <c r="F273" s="211">
        <v>11.2</v>
      </c>
      <c r="G273" s="211">
        <v>10.53</v>
      </c>
      <c r="H273" s="211">
        <v>49.87</v>
      </c>
      <c r="I273" s="211">
        <v>46.87</v>
      </c>
      <c r="J273" s="211">
        <v>17.850000000000001</v>
      </c>
      <c r="K273" s="211">
        <v>16.78</v>
      </c>
    </row>
    <row r="274" spans="1:11" x14ac:dyDescent="0.2">
      <c r="A274" s="209">
        <v>2004</v>
      </c>
      <c r="B274" s="211">
        <v>30.56</v>
      </c>
      <c r="C274" s="211">
        <v>27.92</v>
      </c>
      <c r="D274" s="211">
        <v>8.1199999999999992</v>
      </c>
      <c r="E274" s="211">
        <v>7.42</v>
      </c>
      <c r="F274" s="211">
        <v>12.27</v>
      </c>
      <c r="G274" s="211">
        <v>11.21</v>
      </c>
      <c r="H274" s="211">
        <v>39.770000000000003</v>
      </c>
      <c r="I274" s="211">
        <v>36.33</v>
      </c>
      <c r="J274" s="211">
        <v>19.93</v>
      </c>
      <c r="K274" s="211">
        <v>18.21</v>
      </c>
    </row>
    <row r="275" spans="1:11" ht="14.25" x14ac:dyDescent="0.2">
      <c r="A275" s="209">
        <v>2005</v>
      </c>
      <c r="B275" s="211">
        <v>36.799999999999997</v>
      </c>
      <c r="C275" s="210">
        <v>32.56</v>
      </c>
      <c r="D275" s="211">
        <v>8.68</v>
      </c>
      <c r="E275" s="211">
        <v>7.68</v>
      </c>
      <c r="F275" s="211">
        <v>13.49</v>
      </c>
      <c r="G275" s="210" t="s">
        <v>1544</v>
      </c>
      <c r="H275" s="211">
        <v>41</v>
      </c>
      <c r="I275" s="210" t="s">
        <v>1545</v>
      </c>
      <c r="J275" s="211">
        <v>23.59</v>
      </c>
      <c r="K275" s="210" t="s">
        <v>1546</v>
      </c>
    </row>
    <row r="276" spans="1:11" ht="14.25" x14ac:dyDescent="0.2">
      <c r="A276" s="209">
        <v>2006</v>
      </c>
      <c r="B276" s="211">
        <v>39.32</v>
      </c>
      <c r="C276" s="210">
        <v>33.700000000000003</v>
      </c>
      <c r="D276" s="211">
        <v>9.9499999999999993</v>
      </c>
      <c r="E276" s="210" t="s">
        <v>1547</v>
      </c>
      <c r="F276" s="211">
        <v>14</v>
      </c>
      <c r="G276" s="210" t="s">
        <v>1548</v>
      </c>
      <c r="H276" s="211">
        <v>43.61</v>
      </c>
      <c r="I276" s="210" t="s">
        <v>1549</v>
      </c>
      <c r="J276" s="211">
        <v>25.16</v>
      </c>
      <c r="K276" s="210" t="s">
        <v>1550</v>
      </c>
    </row>
    <row r="277" spans="1:11" ht="14.25" x14ac:dyDescent="0.2">
      <c r="A277" s="209">
        <v>2007</v>
      </c>
      <c r="B277" s="210" t="s">
        <v>1551</v>
      </c>
      <c r="C277" s="210" t="s">
        <v>1552</v>
      </c>
      <c r="D277" s="210" t="s">
        <v>1553</v>
      </c>
      <c r="E277" s="210" t="s">
        <v>1554</v>
      </c>
      <c r="F277" s="211">
        <v>14.89</v>
      </c>
      <c r="G277" s="210" t="s">
        <v>1555</v>
      </c>
      <c r="H277" s="210" t="s">
        <v>1556</v>
      </c>
      <c r="I277" s="210" t="s">
        <v>1557</v>
      </c>
      <c r="J277" s="210" t="s">
        <v>1558</v>
      </c>
      <c r="K277" s="210" t="s">
        <v>1559</v>
      </c>
    </row>
    <row r="278" spans="1:11" ht="14.25" x14ac:dyDescent="0.2">
      <c r="A278" s="209" t="s">
        <v>1560</v>
      </c>
      <c r="B278" s="211">
        <v>51.45</v>
      </c>
      <c r="C278" s="211">
        <v>42.03</v>
      </c>
      <c r="D278" s="211">
        <v>11.74</v>
      </c>
      <c r="E278" s="211">
        <v>9.59</v>
      </c>
      <c r="F278" s="211">
        <v>16.399999999999999</v>
      </c>
      <c r="G278" s="211">
        <v>13.4</v>
      </c>
      <c r="H278" s="211">
        <v>51.02</v>
      </c>
      <c r="I278" s="211">
        <v>41.68</v>
      </c>
      <c r="J278" s="211">
        <v>32.590000000000003</v>
      </c>
      <c r="K278" s="211">
        <v>26.62</v>
      </c>
    </row>
    <row r="279" spans="1:11" ht="14.25" x14ac:dyDescent="0.2">
      <c r="A279" s="326" t="s">
        <v>1561</v>
      </c>
      <c r="B279" s="327"/>
      <c r="C279" s="327"/>
      <c r="D279" s="327"/>
      <c r="E279" s="327"/>
      <c r="F279" s="330" t="s">
        <v>1562</v>
      </c>
      <c r="G279" s="330"/>
      <c r="H279" s="330"/>
      <c r="I279" s="330"/>
      <c r="J279" s="330"/>
      <c r="K279" s="331"/>
    </row>
    <row r="280" spans="1:11" x14ac:dyDescent="0.2">
      <c r="A280" s="328" t="s">
        <v>1563</v>
      </c>
      <c r="B280" s="329"/>
      <c r="C280" s="329"/>
      <c r="D280" s="329"/>
      <c r="E280" s="329"/>
      <c r="F280" s="329"/>
      <c r="G280" s="329"/>
      <c r="H280" s="329"/>
      <c r="I280" s="329"/>
      <c r="J280" s="329"/>
      <c r="K280" s="332"/>
    </row>
    <row r="281" spans="1:11" ht="18" customHeight="1" x14ac:dyDescent="0.2">
      <c r="A281" s="355" t="s">
        <v>1564</v>
      </c>
      <c r="B281" s="356"/>
      <c r="C281" s="356"/>
      <c r="D281" s="356"/>
      <c r="E281" s="356"/>
      <c r="F281" s="329" t="s">
        <v>1565</v>
      </c>
      <c r="G281" s="329"/>
      <c r="H281" s="329"/>
      <c r="I281" s="329"/>
      <c r="J281" s="329"/>
      <c r="K281" s="332"/>
    </row>
    <row r="282" spans="1:11" ht="18" customHeight="1" x14ac:dyDescent="0.2">
      <c r="A282" s="355"/>
      <c r="B282" s="356"/>
      <c r="C282" s="356"/>
      <c r="D282" s="356"/>
      <c r="E282" s="356"/>
      <c r="F282" s="329" t="s">
        <v>1566</v>
      </c>
      <c r="G282" s="329"/>
      <c r="H282" s="329"/>
      <c r="I282" s="329"/>
      <c r="J282" s="329"/>
      <c r="K282" s="332"/>
    </row>
    <row r="283" spans="1:11" ht="14.25" x14ac:dyDescent="0.2">
      <c r="A283" s="355" t="s">
        <v>1567</v>
      </c>
      <c r="B283" s="356"/>
      <c r="C283" s="356"/>
      <c r="D283" s="356"/>
      <c r="E283" s="356"/>
      <c r="F283" s="329" t="s">
        <v>1568</v>
      </c>
      <c r="G283" s="329"/>
      <c r="H283" s="329"/>
      <c r="I283" s="329"/>
      <c r="J283" s="329"/>
      <c r="K283" s="332"/>
    </row>
    <row r="284" spans="1:11" x14ac:dyDescent="0.2">
      <c r="A284" s="328" t="s">
        <v>1569</v>
      </c>
      <c r="B284" s="329"/>
      <c r="C284" s="329"/>
      <c r="D284" s="329"/>
      <c r="E284" s="329"/>
      <c r="F284" s="329"/>
      <c r="G284" s="329"/>
      <c r="H284" s="329"/>
      <c r="I284" s="329"/>
      <c r="J284" s="329"/>
      <c r="K284" s="332"/>
    </row>
    <row r="285" spans="1:11" ht="18" customHeight="1" x14ac:dyDescent="0.2">
      <c r="A285" s="355" t="s">
        <v>1570</v>
      </c>
      <c r="B285" s="356"/>
      <c r="C285" s="356"/>
      <c r="D285" s="356"/>
      <c r="E285" s="356"/>
      <c r="F285" s="329" t="s">
        <v>1571</v>
      </c>
      <c r="G285" s="329"/>
      <c r="H285" s="329"/>
      <c r="I285" s="329"/>
      <c r="J285" s="329"/>
      <c r="K285" s="332"/>
    </row>
    <row r="286" spans="1:11" ht="18" customHeight="1" x14ac:dyDescent="0.2">
      <c r="A286" s="355"/>
      <c r="B286" s="356"/>
      <c r="C286" s="356"/>
      <c r="D286" s="356"/>
      <c r="E286" s="356"/>
      <c r="F286" s="329" t="s">
        <v>1572</v>
      </c>
      <c r="G286" s="329"/>
      <c r="H286" s="329"/>
      <c r="I286" s="329"/>
      <c r="J286" s="329"/>
      <c r="K286" s="332"/>
    </row>
    <row r="287" spans="1:11" ht="18" customHeight="1" x14ac:dyDescent="0.2">
      <c r="A287" s="355"/>
      <c r="B287" s="356"/>
      <c r="C287" s="356"/>
      <c r="D287" s="356"/>
      <c r="E287" s="356"/>
      <c r="F287" s="346" t="s">
        <v>1573</v>
      </c>
      <c r="G287" s="346"/>
      <c r="H287" s="346"/>
      <c r="I287" s="346"/>
      <c r="J287" s="346"/>
      <c r="K287" s="347"/>
    </row>
    <row r="288" spans="1:11" ht="18" customHeight="1" x14ac:dyDescent="0.2">
      <c r="A288" s="355"/>
      <c r="B288" s="356"/>
      <c r="C288" s="356"/>
      <c r="D288" s="356"/>
      <c r="E288" s="356"/>
      <c r="F288" s="346" t="s">
        <v>1574</v>
      </c>
      <c r="G288" s="346"/>
      <c r="H288" s="346"/>
      <c r="I288" s="346"/>
      <c r="J288" s="346"/>
      <c r="K288" s="347"/>
    </row>
    <row r="289" spans="1:63" x14ac:dyDescent="0.2">
      <c r="A289" s="355"/>
      <c r="B289" s="356"/>
      <c r="C289" s="356"/>
      <c r="D289" s="356"/>
      <c r="E289" s="356"/>
      <c r="F289" s="346" t="s">
        <v>1575</v>
      </c>
      <c r="G289" s="346"/>
      <c r="H289" s="346"/>
      <c r="I289" s="346"/>
      <c r="J289" s="346"/>
      <c r="K289" s="347"/>
    </row>
    <row r="290" spans="1:63" ht="18" customHeight="1" x14ac:dyDescent="0.2">
      <c r="A290" s="355"/>
      <c r="B290" s="356"/>
      <c r="C290" s="356"/>
      <c r="D290" s="356"/>
      <c r="E290" s="356"/>
      <c r="F290" s="329" t="s">
        <v>1576</v>
      </c>
      <c r="G290" s="329"/>
      <c r="H290" s="329"/>
      <c r="I290" s="329"/>
      <c r="J290" s="329"/>
      <c r="K290" s="332"/>
    </row>
    <row r="291" spans="1:63" ht="18" customHeight="1" x14ac:dyDescent="0.2">
      <c r="A291" s="355"/>
      <c r="B291" s="356"/>
      <c r="C291" s="356"/>
      <c r="D291" s="356"/>
      <c r="E291" s="356"/>
      <c r="F291" s="346" t="s">
        <v>1577</v>
      </c>
      <c r="G291" s="346"/>
      <c r="H291" s="346"/>
      <c r="I291" s="346"/>
      <c r="J291" s="346"/>
      <c r="K291" s="347"/>
    </row>
    <row r="292" spans="1:63" ht="18" customHeight="1" x14ac:dyDescent="0.2">
      <c r="A292" s="355"/>
      <c r="B292" s="356"/>
      <c r="C292" s="356"/>
      <c r="D292" s="356"/>
      <c r="E292" s="356"/>
      <c r="F292" s="329" t="s">
        <v>1578</v>
      </c>
      <c r="G292" s="329"/>
      <c r="H292" s="329"/>
      <c r="I292" s="329"/>
      <c r="J292" s="329"/>
      <c r="K292" s="332"/>
    </row>
    <row r="293" spans="1:63" x14ac:dyDescent="0.2">
      <c r="A293" s="357"/>
      <c r="B293" s="358"/>
      <c r="C293" s="358"/>
      <c r="D293" s="358"/>
      <c r="E293" s="358"/>
      <c r="F293" s="363" t="s">
        <v>1579</v>
      </c>
      <c r="G293" s="363"/>
      <c r="H293" s="363"/>
      <c r="I293" s="363"/>
      <c r="J293" s="363"/>
      <c r="K293" s="364"/>
    </row>
    <row r="294" spans="1:63" s="140" customFormat="1" ht="13.5" thickBot="1" x14ac:dyDescent="0.25"/>
    <row r="296" spans="1:63" x14ac:dyDescent="0.2">
      <c r="A296" s="353" t="s">
        <v>1414</v>
      </c>
      <c r="B296" s="354"/>
      <c r="C296" s="296"/>
      <c r="D296" s="296"/>
      <c r="E296" s="296"/>
      <c r="F296" s="296"/>
      <c r="G296" s="296"/>
      <c r="H296" s="296"/>
      <c r="I296" s="296"/>
      <c r="J296" s="296"/>
      <c r="K296" s="296"/>
      <c r="L296" s="164"/>
    </row>
    <row r="297" spans="1:63" x14ac:dyDescent="0.2">
      <c r="A297" s="150"/>
      <c r="L297" s="121"/>
    </row>
    <row r="298" spans="1:63" x14ac:dyDescent="0.2">
      <c r="A298" s="150" t="s">
        <v>1580</v>
      </c>
      <c r="L298" s="121"/>
    </row>
    <row r="299" spans="1:63" x14ac:dyDescent="0.2">
      <c r="A299" s="150" t="s">
        <v>1581</v>
      </c>
      <c r="L299" s="121"/>
    </row>
    <row r="300" spans="1:63" x14ac:dyDescent="0.2">
      <c r="A300" s="150"/>
      <c r="L300" s="121"/>
    </row>
    <row r="301" spans="1:63" x14ac:dyDescent="0.2">
      <c r="A301" s="97" t="s">
        <v>1582</v>
      </c>
      <c r="B301" s="98"/>
      <c r="C301" s="98"/>
      <c r="D301" s="98"/>
      <c r="E301" s="98"/>
      <c r="F301" s="98"/>
      <c r="G301" s="98"/>
      <c r="H301" s="98"/>
      <c r="I301" s="165"/>
      <c r="J301" s="165"/>
      <c r="L301" s="121"/>
    </row>
    <row r="302" spans="1:63" ht="14.25" x14ac:dyDescent="0.2">
      <c r="A302" s="166" t="s">
        <v>1583</v>
      </c>
      <c r="B302" s="167"/>
      <c r="C302" s="167" t="s">
        <v>1584</v>
      </c>
      <c r="D302" s="167"/>
      <c r="L302" s="121"/>
    </row>
    <row r="303" spans="1:63" x14ac:dyDescent="0.2">
      <c r="A303" s="150"/>
      <c r="B303" s="99" t="s">
        <v>1423</v>
      </c>
      <c r="C303" s="100">
        <v>1998</v>
      </c>
      <c r="D303" s="100">
        <v>1999</v>
      </c>
      <c r="E303" s="100">
        <v>2000</v>
      </c>
      <c r="F303" s="100">
        <v>2001</v>
      </c>
      <c r="G303" s="100">
        <v>2002</v>
      </c>
      <c r="H303" s="101">
        <v>2003</v>
      </c>
      <c r="I303" s="101">
        <v>2004</v>
      </c>
      <c r="J303" s="101">
        <v>2005</v>
      </c>
      <c r="K303" s="101">
        <v>2006</v>
      </c>
      <c r="L303" s="102">
        <v>2007</v>
      </c>
      <c r="M303" s="165"/>
      <c r="N303" s="165"/>
      <c r="O303" s="165"/>
    </row>
    <row r="304" spans="1:63" x14ac:dyDescent="0.2">
      <c r="A304" s="150"/>
      <c r="B304" s="168" t="s">
        <v>1585</v>
      </c>
      <c r="C304" s="120">
        <v>52.849589999999999</v>
      </c>
      <c r="D304" s="120">
        <v>45.692590000000003</v>
      </c>
      <c r="E304" s="120">
        <v>44.048900000000003</v>
      </c>
      <c r="F304" s="120">
        <v>48.668030000000002</v>
      </c>
      <c r="G304" s="120">
        <v>46.5899</v>
      </c>
      <c r="H304" s="120">
        <v>49.24756</v>
      </c>
      <c r="I304" s="120">
        <v>78.98075</v>
      </c>
      <c r="J304" s="169">
        <v>108.67549</v>
      </c>
      <c r="K304" s="170">
        <v>126.85</v>
      </c>
      <c r="L304" s="171" t="s">
        <v>1127</v>
      </c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  <c r="AN304" s="172"/>
      <c r="AO304" s="172"/>
      <c r="AP304" s="172"/>
      <c r="AQ304" s="172"/>
      <c r="AR304" s="172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</row>
    <row r="305" spans="1:63" x14ac:dyDescent="0.2">
      <c r="A305" s="150"/>
      <c r="B305" s="168" t="s">
        <v>1586</v>
      </c>
      <c r="C305" s="120">
        <v>55.604080000000003</v>
      </c>
      <c r="D305" s="120">
        <v>49.411850000000001</v>
      </c>
      <c r="E305" s="120">
        <v>47.258380000000002</v>
      </c>
      <c r="F305" s="120">
        <v>52.473700000000001</v>
      </c>
      <c r="G305" s="120">
        <v>60.262160000000002</v>
      </c>
      <c r="H305" s="120">
        <v>62.053840000000001</v>
      </c>
      <c r="I305" s="120">
        <v>75.457040000000006</v>
      </c>
      <c r="J305" s="169">
        <v>109.69368</v>
      </c>
      <c r="K305" s="170">
        <v>133.47999999999999</v>
      </c>
      <c r="L305" s="171" t="s">
        <v>1127</v>
      </c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/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  <c r="AN305" s="172"/>
      <c r="AO305" s="172"/>
      <c r="AP305" s="172"/>
      <c r="AQ305" s="172"/>
      <c r="AR305" s="172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</row>
    <row r="306" spans="1:63" x14ac:dyDescent="0.2">
      <c r="A306" s="150"/>
      <c r="B306" s="168" t="s">
        <v>1587</v>
      </c>
      <c r="C306" s="120">
        <v>53.940460000000002</v>
      </c>
      <c r="D306" s="120">
        <v>45.255830000000003</v>
      </c>
      <c r="E306" s="120">
        <v>46.098739999999999</v>
      </c>
      <c r="F306" s="120">
        <v>51.299109999999999</v>
      </c>
      <c r="G306" s="120">
        <v>59.529089999999997</v>
      </c>
      <c r="H306" s="120">
        <v>64.00264</v>
      </c>
      <c r="I306" s="120">
        <v>74.737639999999999</v>
      </c>
      <c r="J306" s="169">
        <v>113.47739</v>
      </c>
      <c r="K306" s="170">
        <v>135.72</v>
      </c>
      <c r="L306" s="171" t="s">
        <v>1127</v>
      </c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/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  <c r="AN306" s="172"/>
      <c r="AO306" s="172"/>
      <c r="AP306" s="172"/>
      <c r="AQ306" s="172"/>
      <c r="AR306" s="172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</row>
    <row r="307" spans="1:63" x14ac:dyDescent="0.2">
      <c r="A307" s="150"/>
      <c r="B307" s="168" t="s">
        <v>1588</v>
      </c>
      <c r="C307" s="120">
        <v>56.310560000000002</v>
      </c>
      <c r="D307" s="120">
        <v>50.283850000000001</v>
      </c>
      <c r="E307" s="120">
        <v>50.546469999999999</v>
      </c>
      <c r="F307" s="120">
        <v>55.475340000000003</v>
      </c>
      <c r="G307" s="120">
        <v>57.672969999999999</v>
      </c>
      <c r="H307" s="120">
        <v>60.386049999999997</v>
      </c>
      <c r="I307" s="120">
        <v>77.239590000000007</v>
      </c>
      <c r="J307" s="169">
        <v>103.01916</v>
      </c>
      <c r="K307" s="170">
        <v>112.05</v>
      </c>
      <c r="L307" s="171" t="s">
        <v>1127</v>
      </c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/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  <c r="AN307" s="172"/>
      <c r="AO307" s="172"/>
      <c r="AP307" s="172"/>
      <c r="AQ307" s="172"/>
      <c r="AR307" s="172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</row>
    <row r="308" spans="1:63" x14ac:dyDescent="0.2">
      <c r="A308" s="150"/>
      <c r="B308" s="168" t="s">
        <v>1589</v>
      </c>
      <c r="C308" s="120">
        <v>50.978490000000001</v>
      </c>
      <c r="D308" s="120">
        <v>42.954949999999997</v>
      </c>
      <c r="E308" s="120">
        <v>39.461350000000003</v>
      </c>
      <c r="F308" s="120">
        <v>41.12771</v>
      </c>
      <c r="G308" s="120">
        <v>42.136800000000001</v>
      </c>
      <c r="H308" s="120">
        <v>41.730229999999999</v>
      </c>
      <c r="I308" s="120">
        <v>61.400700000000001</v>
      </c>
      <c r="J308" s="169">
        <v>88.796400000000006</v>
      </c>
      <c r="K308" s="170">
        <v>93.1</v>
      </c>
      <c r="L308" s="171" t="s">
        <v>1127</v>
      </c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/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  <c r="AN308" s="172"/>
      <c r="AO308" s="172"/>
      <c r="AP308" s="172"/>
      <c r="AQ308" s="172"/>
      <c r="AR308" s="172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</row>
    <row r="309" spans="1:63" x14ac:dyDescent="0.2">
      <c r="A309" s="150"/>
      <c r="B309" s="168" t="s">
        <v>1590</v>
      </c>
      <c r="C309" s="120">
        <v>47.186160000000001</v>
      </c>
      <c r="D309" s="120">
        <v>47.438429999999997</v>
      </c>
      <c r="E309" s="120">
        <v>46.869509999999998</v>
      </c>
      <c r="F309" s="120">
        <v>55.369109999999999</v>
      </c>
      <c r="G309" s="120">
        <v>55.552190000000003</v>
      </c>
      <c r="H309" s="120">
        <v>63.00215</v>
      </c>
      <c r="I309" s="120">
        <v>78.992379999999997</v>
      </c>
      <c r="J309" s="169">
        <v>104.05603000000001</v>
      </c>
      <c r="K309" s="170">
        <v>125.7</v>
      </c>
      <c r="L309" s="171" t="s">
        <v>1127</v>
      </c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/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  <c r="AN309" s="172"/>
      <c r="AO309" s="172"/>
      <c r="AP309" s="172"/>
      <c r="AQ309" s="172"/>
      <c r="AR309" s="172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</row>
    <row r="310" spans="1:63" x14ac:dyDescent="0.2">
      <c r="A310" s="150"/>
      <c r="B310" s="168" t="s">
        <v>1591</v>
      </c>
      <c r="C310" s="120">
        <v>56.819139999999997</v>
      </c>
      <c r="D310" s="120">
        <v>51.716259999999998</v>
      </c>
      <c r="E310" s="120">
        <v>49.106430000000003</v>
      </c>
      <c r="F310" s="120">
        <v>52.317230000000002</v>
      </c>
      <c r="G310" s="120">
        <v>57.103450000000002</v>
      </c>
      <c r="H310" s="120">
        <v>60.442039999999999</v>
      </c>
      <c r="I310" s="120">
        <v>79.301349999999999</v>
      </c>
      <c r="J310" s="169">
        <v>116.50261999999999</v>
      </c>
      <c r="K310" s="170">
        <v>134.81</v>
      </c>
      <c r="L310" s="171" t="s">
        <v>1127</v>
      </c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/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  <c r="AN310" s="172"/>
      <c r="AO310" s="172"/>
      <c r="AP310" s="172"/>
      <c r="AQ310" s="172"/>
      <c r="AR310" s="172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</row>
    <row r="311" spans="1:63" x14ac:dyDescent="0.2">
      <c r="A311" s="150"/>
      <c r="B311" s="168" t="s">
        <v>1592</v>
      </c>
      <c r="C311" s="120">
        <v>57.19415</v>
      </c>
      <c r="D311" s="120">
        <v>49.408169999999998</v>
      </c>
      <c r="E311" s="120">
        <v>46.844929999999998</v>
      </c>
      <c r="F311" s="120">
        <v>53.141300000000001</v>
      </c>
      <c r="G311" s="120">
        <v>56.812489999999997</v>
      </c>
      <c r="H311" s="120">
        <v>57.336280000000002</v>
      </c>
      <c r="I311" s="120">
        <v>77.729389999999995</v>
      </c>
      <c r="J311" s="169">
        <v>116.04642</v>
      </c>
      <c r="K311" s="170">
        <v>128.51</v>
      </c>
      <c r="L311" s="171" t="s">
        <v>1127</v>
      </c>
    </row>
    <row r="312" spans="1:63" x14ac:dyDescent="0.2">
      <c r="A312" s="150"/>
      <c r="B312" s="168" t="s">
        <v>1140</v>
      </c>
      <c r="C312" s="120">
        <f t="shared" ref="C312:K312" si="13">AVERAGE(C304:C311)</f>
        <v>53.860328750000008</v>
      </c>
      <c r="D312" s="120">
        <f t="shared" si="13"/>
        <v>47.770241249999998</v>
      </c>
      <c r="E312" s="120">
        <f t="shared" si="13"/>
        <v>46.279338750000001</v>
      </c>
      <c r="F312" s="120">
        <f t="shared" si="13"/>
        <v>51.233941250000001</v>
      </c>
      <c r="G312" s="120">
        <f t="shared" si="13"/>
        <v>54.457381249999997</v>
      </c>
      <c r="H312" s="120">
        <f t="shared" si="13"/>
        <v>57.275098749999998</v>
      </c>
      <c r="I312" s="120">
        <f t="shared" si="13"/>
        <v>75.479855000000001</v>
      </c>
      <c r="J312" s="120">
        <f t="shared" si="13"/>
        <v>107.53339874999999</v>
      </c>
      <c r="K312" s="120">
        <f t="shared" si="13"/>
        <v>123.7775</v>
      </c>
      <c r="L312" s="121"/>
    </row>
    <row r="313" spans="1:63" x14ac:dyDescent="0.2">
      <c r="A313" s="150"/>
      <c r="B313" s="168"/>
      <c r="C313" s="120"/>
      <c r="D313" s="120"/>
      <c r="E313" s="120"/>
      <c r="F313" s="120"/>
      <c r="G313" s="120"/>
      <c r="H313" s="120"/>
      <c r="I313" s="120"/>
      <c r="J313" s="120"/>
      <c r="L313" s="121"/>
    </row>
    <row r="314" spans="1:63" x14ac:dyDescent="0.2">
      <c r="A314" s="150"/>
      <c r="B314" s="168"/>
      <c r="C314" s="120"/>
      <c r="D314" s="120"/>
      <c r="E314" s="120"/>
      <c r="F314" s="120"/>
      <c r="G314" s="120"/>
      <c r="H314" s="120"/>
      <c r="I314" s="120"/>
      <c r="J314" s="120"/>
      <c r="L314" s="121"/>
    </row>
    <row r="315" spans="1:63" x14ac:dyDescent="0.2">
      <c r="A315" s="150"/>
      <c r="B315" s="168"/>
      <c r="C315" s="120"/>
      <c r="D315" s="120"/>
      <c r="E315" s="120"/>
      <c r="F315" s="120"/>
      <c r="G315" s="120"/>
      <c r="H315" s="120"/>
      <c r="I315" s="120"/>
      <c r="J315" s="120"/>
      <c r="L315" s="121"/>
    </row>
    <row r="316" spans="1:63" ht="14.25" x14ac:dyDescent="0.2">
      <c r="A316" s="103" t="s">
        <v>1593</v>
      </c>
      <c r="B316" s="104"/>
      <c r="C316" s="104"/>
      <c r="D316" s="104"/>
      <c r="E316" s="104"/>
      <c r="F316" s="104"/>
      <c r="G316" s="104"/>
      <c r="H316" s="104"/>
      <c r="I316" s="104"/>
      <c r="L316" s="121"/>
    </row>
    <row r="317" spans="1:63" ht="14.25" x14ac:dyDescent="0.2">
      <c r="A317" s="103" t="s">
        <v>1594</v>
      </c>
      <c r="B317" s="104"/>
      <c r="C317" s="104"/>
      <c r="D317" s="104"/>
      <c r="E317" s="104"/>
      <c r="F317" s="104"/>
      <c r="G317" s="104"/>
      <c r="H317" s="104"/>
      <c r="I317" s="104"/>
      <c r="J317" s="104"/>
      <c r="L317" s="121"/>
      <c r="P317" s="173"/>
    </row>
    <row r="318" spans="1:63" x14ac:dyDescent="0.2">
      <c r="A318" s="150" t="s">
        <v>1595</v>
      </c>
      <c r="L318" s="121"/>
      <c r="P318" s="173"/>
    </row>
    <row r="319" spans="1:63" x14ac:dyDescent="0.2">
      <c r="A319" s="150" t="s">
        <v>1596</v>
      </c>
      <c r="L319" s="121"/>
      <c r="P319" s="173"/>
    </row>
    <row r="320" spans="1:63" x14ac:dyDescent="0.2">
      <c r="A320" s="174" t="s">
        <v>1597</v>
      </c>
      <c r="L320" s="121"/>
    </row>
    <row r="321" spans="1:12" x14ac:dyDescent="0.2">
      <c r="A321" s="150" t="s">
        <v>1598</v>
      </c>
      <c r="L321" s="121"/>
    </row>
    <row r="322" spans="1:12" x14ac:dyDescent="0.2">
      <c r="A322" s="150" t="s">
        <v>1599</v>
      </c>
      <c r="L322" s="121"/>
    </row>
    <row r="323" spans="1:12" x14ac:dyDescent="0.2">
      <c r="A323" s="150" t="s">
        <v>1600</v>
      </c>
      <c r="L323" s="121"/>
    </row>
    <row r="324" spans="1:12" ht="12" customHeight="1" x14ac:dyDescent="0.2">
      <c r="A324" s="132" t="s">
        <v>1601</v>
      </c>
      <c r="B324" s="175"/>
      <c r="C324" s="175"/>
      <c r="D324" s="176" t="s">
        <v>1602</v>
      </c>
      <c r="E324" s="176"/>
      <c r="F324" s="176"/>
      <c r="G324" s="176"/>
      <c r="H324" s="175"/>
      <c r="I324" s="175"/>
      <c r="J324" s="175"/>
      <c r="K324" s="175"/>
      <c r="L324" s="127"/>
    </row>
    <row r="325" spans="1:12" s="140" customFormat="1" ht="13.5" thickBot="1" x14ac:dyDescent="0.25">
      <c r="A325" s="177"/>
    </row>
    <row r="327" spans="1:12" x14ac:dyDescent="0.2">
      <c r="A327" s="212" t="s">
        <v>1603</v>
      </c>
      <c r="F327" s="100"/>
    </row>
    <row r="328" spans="1:12" x14ac:dyDescent="0.2">
      <c r="A328" s="212" t="s">
        <v>1604</v>
      </c>
      <c r="F328" s="100"/>
    </row>
    <row r="329" spans="1:12" x14ac:dyDescent="0.2">
      <c r="A329" s="212" t="s">
        <v>1605</v>
      </c>
      <c r="F329" s="100"/>
    </row>
    <row r="331" spans="1:12" x14ac:dyDescent="0.2">
      <c r="A331" s="78" t="s">
        <v>1606</v>
      </c>
    </row>
    <row r="332" spans="1:12" x14ac:dyDescent="0.2">
      <c r="A332" s="78"/>
      <c r="B332" s="78"/>
      <c r="C332" s="78"/>
      <c r="D332" s="78"/>
      <c r="E332" s="78"/>
      <c r="F332" s="78"/>
      <c r="G332" s="78"/>
      <c r="H332" s="94" t="s">
        <v>1140</v>
      </c>
    </row>
    <row r="333" spans="1:12" x14ac:dyDescent="0.2">
      <c r="A333" s="78"/>
      <c r="B333" s="78"/>
      <c r="C333" s="78"/>
      <c r="D333" s="78"/>
      <c r="E333" s="78"/>
      <c r="F333" s="78"/>
      <c r="G333" s="78"/>
      <c r="H333" s="94" t="s">
        <v>1607</v>
      </c>
    </row>
    <row r="334" spans="1:12" x14ac:dyDescent="0.2">
      <c r="A334" s="78"/>
      <c r="B334" s="78"/>
      <c r="C334" s="78"/>
      <c r="D334" s="78"/>
      <c r="E334" s="78"/>
      <c r="F334" s="78"/>
      <c r="G334" s="78"/>
      <c r="H334" s="105" t="s">
        <v>1608</v>
      </c>
    </row>
    <row r="335" spans="1:12" x14ac:dyDescent="0.2">
      <c r="A335" s="78"/>
      <c r="B335" s="78">
        <v>2006</v>
      </c>
      <c r="C335" s="78">
        <v>2010</v>
      </c>
      <c r="D335" s="78">
        <v>2015</v>
      </c>
      <c r="E335" s="78">
        <v>2020</v>
      </c>
      <c r="F335" s="78">
        <v>2025</v>
      </c>
      <c r="G335" s="78">
        <v>2030</v>
      </c>
      <c r="H335" s="94" t="s">
        <v>1609</v>
      </c>
    </row>
    <row r="336" spans="1:12" x14ac:dyDescent="0.2">
      <c r="A336" s="78" t="s">
        <v>1610</v>
      </c>
      <c r="B336" s="152">
        <f t="shared" ref="B336:G336" si="14">SUM(B337:B339)</f>
        <v>1198.7399988801071</v>
      </c>
      <c r="C336" s="152">
        <f t="shared" si="14"/>
        <v>1228.6769751022034</v>
      </c>
      <c r="D336" s="152">
        <f t="shared" si="14"/>
        <v>1281.9958597100094</v>
      </c>
      <c r="E336" s="152">
        <f t="shared" si="14"/>
        <v>1311.079445744768</v>
      </c>
      <c r="F336" s="152">
        <f t="shared" si="14"/>
        <v>1350.8448064253682</v>
      </c>
      <c r="G336" s="152">
        <f t="shared" si="14"/>
        <v>1467.7358496586376</v>
      </c>
      <c r="H336" s="178">
        <f t="shared" ref="H336:H344" si="15">((G336/B336)^(1/24))-1</f>
        <v>8.4710938191978613E-3</v>
      </c>
    </row>
    <row r="337" spans="1:8" x14ac:dyDescent="0.2">
      <c r="A337" s="112" t="s">
        <v>1611</v>
      </c>
      <c r="B337" s="152">
        <v>1112.3000489999999</v>
      </c>
      <c r="C337" s="152">
        <v>1140.128784</v>
      </c>
      <c r="D337" s="152">
        <v>1192.135254</v>
      </c>
      <c r="E337" s="152">
        <v>1217.7193600000001</v>
      </c>
      <c r="F337" s="152">
        <v>1252.3330080000001</v>
      </c>
      <c r="G337" s="152">
        <v>1363.143677</v>
      </c>
      <c r="H337" s="178">
        <f t="shared" si="15"/>
        <v>8.5094837233081755E-3</v>
      </c>
    </row>
    <row r="338" spans="1:8" x14ac:dyDescent="0.2">
      <c r="A338" s="112" t="s">
        <v>1612</v>
      </c>
      <c r="B338" s="152">
        <v>65.380291356324634</v>
      </c>
      <c r="C338" s="152">
        <v>67.436275361240504</v>
      </c>
      <c r="D338" s="152">
        <v>68.121603362879128</v>
      </c>
      <c r="E338" s="152">
        <v>70.314652968122715</v>
      </c>
      <c r="F338" s="152">
        <v>73.010276441234637</v>
      </c>
      <c r="G338" s="152">
        <v>74.335243911069313</v>
      </c>
      <c r="H338" s="178">
        <f t="shared" si="15"/>
        <v>5.3628424863514379E-3</v>
      </c>
    </row>
    <row r="339" spans="1:8" x14ac:dyDescent="0.2">
      <c r="A339" s="112" t="s">
        <v>1613</v>
      </c>
      <c r="B339" s="152">
        <v>21.059658523782396</v>
      </c>
      <c r="C339" s="152">
        <v>21.111915740962996</v>
      </c>
      <c r="D339" s="152">
        <v>21.73900234713021</v>
      </c>
      <c r="E339" s="152">
        <v>23.045432776645249</v>
      </c>
      <c r="F339" s="152">
        <v>25.501521984133518</v>
      </c>
      <c r="G339" s="152">
        <v>30.256928747568249</v>
      </c>
      <c r="H339" s="178">
        <f t="shared" si="15"/>
        <v>1.5213139209224291E-2</v>
      </c>
    </row>
    <row r="340" spans="1:8" x14ac:dyDescent="0.2">
      <c r="A340" s="78" t="s">
        <v>1614</v>
      </c>
      <c r="B340" s="152">
        <v>902.19885763064553</v>
      </c>
      <c r="C340" s="152">
        <v>891.25399318141478</v>
      </c>
      <c r="D340" s="152">
        <v>873.26337224299186</v>
      </c>
      <c r="E340" s="152">
        <v>847.67975159291518</v>
      </c>
      <c r="F340" s="152">
        <v>831.46767112749228</v>
      </c>
      <c r="G340" s="152">
        <v>824.14829302706926</v>
      </c>
      <c r="H340" s="178">
        <f t="shared" si="15"/>
        <v>-3.7630883443749985E-3</v>
      </c>
    </row>
    <row r="341" spans="1:8" x14ac:dyDescent="0.2">
      <c r="A341" s="78" t="s">
        <v>1615</v>
      </c>
      <c r="B341" s="152">
        <f t="shared" ref="B341:G341" si="16">SUM(B342:B344)</f>
        <v>451.6059408850266</v>
      </c>
      <c r="C341" s="152">
        <f t="shared" si="16"/>
        <v>457.42215453345852</v>
      </c>
      <c r="D341" s="152">
        <f t="shared" si="16"/>
        <v>459.74947216698069</v>
      </c>
      <c r="E341" s="152">
        <f t="shared" si="16"/>
        <v>458.39478452272704</v>
      </c>
      <c r="F341" s="152">
        <f t="shared" si="16"/>
        <v>465.45561120694163</v>
      </c>
      <c r="G341" s="152">
        <f t="shared" si="16"/>
        <v>476.62057590065143</v>
      </c>
      <c r="H341" s="178">
        <f t="shared" si="15"/>
        <v>2.2488059719603104E-3</v>
      </c>
    </row>
    <row r="342" spans="1:8" x14ac:dyDescent="0.2">
      <c r="A342" s="112" t="s">
        <v>1616</v>
      </c>
      <c r="B342" s="152">
        <v>197.64332445201097</v>
      </c>
      <c r="C342" s="152">
        <v>192.56021323312416</v>
      </c>
      <c r="D342" s="152">
        <v>190.33902177613163</v>
      </c>
      <c r="E342" s="152">
        <v>184.95690401495733</v>
      </c>
      <c r="F342" s="152">
        <v>178.42147530495998</v>
      </c>
      <c r="G342" s="152">
        <v>172.4413444592108</v>
      </c>
      <c r="H342" s="178">
        <f t="shared" si="15"/>
        <v>-5.6674982936615326E-3</v>
      </c>
    </row>
    <row r="343" spans="1:8" x14ac:dyDescent="0.2">
      <c r="A343" s="112" t="s">
        <v>1617</v>
      </c>
      <c r="B343" s="152">
        <v>94.113139253781569</v>
      </c>
      <c r="C343" s="152">
        <v>100.31653353416628</v>
      </c>
      <c r="D343" s="152">
        <v>103.80063169164262</v>
      </c>
      <c r="E343" s="152">
        <v>106.137526797267</v>
      </c>
      <c r="F343" s="152">
        <v>114.97523919671916</v>
      </c>
      <c r="G343" s="152">
        <v>125.04513265186419</v>
      </c>
      <c r="H343" s="178">
        <f t="shared" si="15"/>
        <v>1.1911089796186491E-2</v>
      </c>
    </row>
    <row r="344" spans="1:8" x14ac:dyDescent="0.2">
      <c r="A344" s="112" t="s">
        <v>1618</v>
      </c>
      <c r="B344" s="152">
        <v>159.84947717923407</v>
      </c>
      <c r="C344" s="152">
        <v>164.5454077661681</v>
      </c>
      <c r="D344" s="152">
        <v>165.60981869920647</v>
      </c>
      <c r="E344" s="152">
        <v>167.30035371050272</v>
      </c>
      <c r="F344" s="152">
        <v>172.05889670526253</v>
      </c>
      <c r="G344" s="152">
        <v>179.13409878957646</v>
      </c>
      <c r="H344" s="178">
        <f t="shared" si="15"/>
        <v>4.7571995400015332E-3</v>
      </c>
    </row>
    <row r="345" spans="1:8" x14ac:dyDescent="0.2">
      <c r="B345" s="152"/>
      <c r="C345" s="152"/>
      <c r="D345" s="152"/>
      <c r="E345" s="152"/>
      <c r="F345" s="152"/>
      <c r="G345" s="152"/>
      <c r="H345" s="178"/>
    </row>
    <row r="346" spans="1:8" x14ac:dyDescent="0.2">
      <c r="A346" s="78" t="s">
        <v>1619</v>
      </c>
      <c r="B346" s="152">
        <f t="shared" ref="B346:G346" si="17">B336+B340+B341</f>
        <v>2552.5447973957794</v>
      </c>
      <c r="C346" s="152">
        <f t="shared" si="17"/>
        <v>2577.3531228170768</v>
      </c>
      <c r="D346" s="152">
        <f t="shared" si="17"/>
        <v>2615.0087041199822</v>
      </c>
      <c r="E346" s="152">
        <f t="shared" si="17"/>
        <v>2617.1539818604101</v>
      </c>
      <c r="F346" s="152">
        <f t="shared" si="17"/>
        <v>2647.7680887598021</v>
      </c>
      <c r="G346" s="152">
        <f t="shared" si="17"/>
        <v>2768.5047185863586</v>
      </c>
      <c r="H346" s="178">
        <f>((G346/B346)^(1/24))-1</f>
        <v>3.3897547834329522E-3</v>
      </c>
    </row>
    <row r="347" spans="1:8" x14ac:dyDescent="0.2">
      <c r="B347" s="152"/>
      <c r="C347" s="152"/>
      <c r="D347" s="152"/>
      <c r="E347" s="152"/>
      <c r="F347" s="152"/>
      <c r="G347" s="152"/>
      <c r="H347" s="178"/>
    </row>
    <row r="348" spans="1:8" x14ac:dyDescent="0.2">
      <c r="A348" s="78" t="s">
        <v>1620</v>
      </c>
      <c r="B348" s="152">
        <f t="shared" ref="B348:G348" si="18">SUM(B349:B350)</f>
        <v>557.22723277850787</v>
      </c>
      <c r="C348" s="152">
        <f t="shared" si="18"/>
        <v>585.36472181605825</v>
      </c>
      <c r="D348" s="152">
        <f t="shared" si="18"/>
        <v>597.9514059471685</v>
      </c>
      <c r="E348" s="152">
        <f t="shared" si="18"/>
        <v>590.17744907639883</v>
      </c>
      <c r="F348" s="152">
        <f t="shared" si="18"/>
        <v>583.22304885456424</v>
      </c>
      <c r="G348" s="152">
        <f t="shared" si="18"/>
        <v>593.5863811572674</v>
      </c>
      <c r="H348" s="178">
        <f t="shared" ref="H348:H359" si="19">((G348/B348)^(1/24))-1</f>
        <v>2.6372060658126362E-3</v>
      </c>
    </row>
    <row r="349" spans="1:8" x14ac:dyDescent="0.2">
      <c r="A349" s="112" t="s">
        <v>1621</v>
      </c>
      <c r="B349" s="152">
        <v>246.44485296103468</v>
      </c>
      <c r="C349" s="152">
        <v>269.22274167598437</v>
      </c>
      <c r="D349" s="152">
        <v>280.69284240655281</v>
      </c>
      <c r="E349" s="152">
        <v>278.20404696501441</v>
      </c>
      <c r="F349" s="152">
        <v>274.52495805143582</v>
      </c>
      <c r="G349" s="152">
        <v>281.01746789892741</v>
      </c>
      <c r="H349" s="178">
        <f t="shared" si="19"/>
        <v>5.4849283799749404E-3</v>
      </c>
    </row>
    <row r="350" spans="1:8" x14ac:dyDescent="0.2">
      <c r="A350" s="112" t="s">
        <v>1622</v>
      </c>
      <c r="B350" s="152">
        <v>310.78237981747316</v>
      </c>
      <c r="C350" s="152">
        <v>316.14198014007388</v>
      </c>
      <c r="D350" s="152">
        <v>317.25856354061568</v>
      </c>
      <c r="E350" s="152">
        <v>311.97340211138442</v>
      </c>
      <c r="F350" s="152">
        <v>308.69809080312842</v>
      </c>
      <c r="G350" s="152">
        <v>312.56891325834005</v>
      </c>
      <c r="H350" s="178">
        <f t="shared" si="19"/>
        <v>2.3886366501812972E-4</v>
      </c>
    </row>
    <row r="351" spans="1:8" x14ac:dyDescent="0.2">
      <c r="A351" s="78" t="s">
        <v>1623</v>
      </c>
      <c r="B351" s="152">
        <f t="shared" ref="B351:G351" si="20">SUM(B352:B354)</f>
        <v>3371.6649983184243</v>
      </c>
      <c r="C351" s="152">
        <f t="shared" si="20"/>
        <v>3971.5394506957241</v>
      </c>
      <c r="D351" s="152">
        <f t="shared" si="20"/>
        <v>4431.4326764000525</v>
      </c>
      <c r="E351" s="152">
        <f t="shared" si="20"/>
        <v>4970.3706232734748</v>
      </c>
      <c r="F351" s="152">
        <f t="shared" si="20"/>
        <v>5606.5748409926255</v>
      </c>
      <c r="G351" s="152">
        <f t="shared" si="20"/>
        <v>6192.8491814107711</v>
      </c>
      <c r="H351" s="178">
        <f t="shared" si="19"/>
        <v>2.5656461219770721E-2</v>
      </c>
    </row>
    <row r="352" spans="1:8" x14ac:dyDescent="0.2">
      <c r="A352" s="112" t="s">
        <v>1624</v>
      </c>
      <c r="B352" s="152">
        <v>2584.2455235411285</v>
      </c>
      <c r="C352" s="152">
        <v>3114.3357079037223</v>
      </c>
      <c r="D352" s="152">
        <v>3491.2048467534705</v>
      </c>
      <c r="E352" s="152">
        <v>3950.0733198468834</v>
      </c>
      <c r="F352" s="152">
        <v>4474.1041954404118</v>
      </c>
      <c r="G352" s="152">
        <v>4881.96520864997</v>
      </c>
      <c r="H352" s="178">
        <f t="shared" si="19"/>
        <v>2.6859135409054158E-2</v>
      </c>
    </row>
    <row r="353" spans="1:8" x14ac:dyDescent="0.2">
      <c r="A353" s="112" t="s">
        <v>1625</v>
      </c>
      <c r="B353" s="152">
        <v>550.71585753154761</v>
      </c>
      <c r="C353" s="152">
        <v>600.20724547098746</v>
      </c>
      <c r="D353" s="152">
        <v>656.82726307820963</v>
      </c>
      <c r="E353" s="152">
        <v>705.73433711045425</v>
      </c>
      <c r="F353" s="152">
        <v>753.06376359327157</v>
      </c>
      <c r="G353" s="152">
        <v>827.44692397923018</v>
      </c>
      <c r="H353" s="178">
        <f t="shared" si="19"/>
        <v>1.7108280851718449E-2</v>
      </c>
    </row>
    <row r="354" spans="1:8" x14ac:dyDescent="0.2">
      <c r="A354" s="112" t="s">
        <v>1626</v>
      </c>
      <c r="B354" s="152">
        <v>236.70361724574815</v>
      </c>
      <c r="C354" s="152">
        <v>256.99649732101432</v>
      </c>
      <c r="D354" s="152">
        <v>283.40056656837214</v>
      </c>
      <c r="E354" s="152">
        <v>314.56296631613714</v>
      </c>
      <c r="F354" s="152">
        <v>379.4068819589416</v>
      </c>
      <c r="G354" s="152">
        <v>483.43704878157035</v>
      </c>
      <c r="H354" s="178">
        <f t="shared" si="19"/>
        <v>3.0201773380965857E-2</v>
      </c>
    </row>
    <row r="355" spans="1:8" x14ac:dyDescent="0.2">
      <c r="A355" s="78" t="s">
        <v>1627</v>
      </c>
      <c r="B355" s="152">
        <v>15.801633338833829</v>
      </c>
      <c r="C355" s="152">
        <v>16.098178736613555</v>
      </c>
      <c r="D355" s="152">
        <v>16.437087762647526</v>
      </c>
      <c r="E355" s="152">
        <v>16.903087673444233</v>
      </c>
      <c r="F355" s="152">
        <v>18.173996521071619</v>
      </c>
      <c r="G355" s="152">
        <v>20.758177844580636</v>
      </c>
      <c r="H355" s="178">
        <f t="shared" si="19"/>
        <v>1.1432649342038248E-2</v>
      </c>
    </row>
    <row r="356" spans="1:8" x14ac:dyDescent="0.2">
      <c r="A356" s="78" t="s">
        <v>1628</v>
      </c>
      <c r="B356" s="152">
        <v>207.82559494224267</v>
      </c>
      <c r="C356" s="152">
        <v>211.7647077062631</v>
      </c>
      <c r="D356" s="152">
        <v>219.2440357392133</v>
      </c>
      <c r="E356" s="152">
        <v>227.27184782791315</v>
      </c>
      <c r="F356" s="152">
        <v>241.08367359542785</v>
      </c>
      <c r="G356" s="152">
        <v>263.77096862871008</v>
      </c>
      <c r="H356" s="178">
        <f t="shared" si="19"/>
        <v>9.9820726987940311E-3</v>
      </c>
    </row>
    <row r="357" spans="1:8" x14ac:dyDescent="0.2">
      <c r="A357" s="78" t="s">
        <v>1629</v>
      </c>
      <c r="B357" s="152">
        <f t="shared" ref="B357:G357" si="21">SUM(B358:B359)</f>
        <v>38.73020565712801</v>
      </c>
      <c r="C357" s="152">
        <f t="shared" si="21"/>
        <v>44.920515110972346</v>
      </c>
      <c r="D357" s="152">
        <f t="shared" si="21"/>
        <v>50.415459223055699</v>
      </c>
      <c r="E357" s="152">
        <f t="shared" si="21"/>
        <v>56.432177068617435</v>
      </c>
      <c r="F357" s="152">
        <f t="shared" si="21"/>
        <v>65.259675212762033</v>
      </c>
      <c r="G357" s="152">
        <f t="shared" si="21"/>
        <v>77.359091708628782</v>
      </c>
      <c r="H357" s="178">
        <f t="shared" si="19"/>
        <v>2.9246103713514993E-2</v>
      </c>
    </row>
    <row r="358" spans="1:8" x14ac:dyDescent="0.2">
      <c r="A358" s="112" t="s">
        <v>1630</v>
      </c>
      <c r="B358" s="152">
        <v>23.656704086830366</v>
      </c>
      <c r="C358" s="152">
        <v>28.967392759384122</v>
      </c>
      <c r="D358" s="152">
        <v>33.902578192464382</v>
      </c>
      <c r="E358" s="152">
        <v>39.159623545093346</v>
      </c>
      <c r="F358" s="152">
        <v>46.34782841501459</v>
      </c>
      <c r="G358" s="152">
        <v>54.608899683431545</v>
      </c>
      <c r="H358" s="178">
        <f t="shared" si="19"/>
        <v>3.5470863044080314E-2</v>
      </c>
    </row>
    <row r="359" spans="1:8" x14ac:dyDescent="0.2">
      <c r="A359" s="112" t="s">
        <v>1631</v>
      </c>
      <c r="B359" s="152">
        <v>15.073501570297644</v>
      </c>
      <c r="C359" s="152">
        <v>15.953122351588222</v>
      </c>
      <c r="D359" s="152">
        <v>16.512881030591316</v>
      </c>
      <c r="E359" s="152">
        <v>17.272553523524088</v>
      </c>
      <c r="F359" s="152">
        <v>18.91184679774744</v>
      </c>
      <c r="G359" s="152">
        <v>22.750192025197236</v>
      </c>
      <c r="H359" s="178">
        <f t="shared" si="19"/>
        <v>1.7299399583645014E-2</v>
      </c>
    </row>
    <row r="360" spans="1:8" x14ac:dyDescent="0.2">
      <c r="B360" s="152"/>
      <c r="C360" s="152"/>
      <c r="D360" s="152"/>
      <c r="E360" s="152"/>
      <c r="F360" s="152"/>
      <c r="G360" s="152"/>
      <c r="H360" s="178"/>
    </row>
    <row r="361" spans="1:8" x14ac:dyDescent="0.2">
      <c r="A361" s="78" t="s">
        <v>1632</v>
      </c>
      <c r="B361" s="152">
        <f t="shared" ref="B361:G361" si="22">B348+B351+B355+B356+B357</f>
        <v>4191.2496650351359</v>
      </c>
      <c r="C361" s="152">
        <f t="shared" si="22"/>
        <v>4829.6875740656315</v>
      </c>
      <c r="D361" s="152">
        <f t="shared" si="22"/>
        <v>5315.4806650721384</v>
      </c>
      <c r="E361" s="152">
        <f t="shared" si="22"/>
        <v>5861.1551849198486</v>
      </c>
      <c r="F361" s="152">
        <f t="shared" si="22"/>
        <v>6514.315235176452</v>
      </c>
      <c r="G361" s="152">
        <f t="shared" si="22"/>
        <v>7148.3238007499576</v>
      </c>
      <c r="H361" s="178">
        <f>((G361/B361)^(1/24))-1</f>
        <v>2.2494220439320367E-2</v>
      </c>
    </row>
    <row r="362" spans="1:8" x14ac:dyDescent="0.2">
      <c r="A362" s="78"/>
      <c r="B362" s="152"/>
      <c r="C362" s="152"/>
      <c r="D362" s="152"/>
      <c r="E362" s="152"/>
      <c r="F362" s="152"/>
      <c r="G362" s="152"/>
      <c r="H362" s="178"/>
    </row>
    <row r="363" spans="1:8" x14ac:dyDescent="0.2">
      <c r="A363" s="78" t="s">
        <v>1633</v>
      </c>
      <c r="B363" s="152">
        <f t="shared" ref="B363:G363" si="23">B346+B361</f>
        <v>6743.7944624309148</v>
      </c>
      <c r="C363" s="152">
        <f t="shared" si="23"/>
        <v>7407.0406968827083</v>
      </c>
      <c r="D363" s="152">
        <f t="shared" si="23"/>
        <v>7930.4893691921206</v>
      </c>
      <c r="E363" s="152">
        <f t="shared" si="23"/>
        <v>8478.3091667802582</v>
      </c>
      <c r="F363" s="152">
        <f t="shared" si="23"/>
        <v>9162.0833239362546</v>
      </c>
      <c r="G363" s="152">
        <f t="shared" si="23"/>
        <v>9916.8285193363154</v>
      </c>
      <c r="H363" s="178">
        <f>((G363/B363)^(1/24))-1</f>
        <v>1.6196870831757471E-2</v>
      </c>
    </row>
    <row r="368" spans="1:8" s="140" customFormat="1" ht="13.5" thickBot="1" x14ac:dyDescent="0.25"/>
    <row r="370" spans="1:7" x14ac:dyDescent="0.2">
      <c r="A370" s="213" t="s">
        <v>1471</v>
      </c>
    </row>
    <row r="371" spans="1:7" x14ac:dyDescent="0.2">
      <c r="A371" s="213" t="s">
        <v>1472</v>
      </c>
    </row>
    <row r="372" spans="1:7" x14ac:dyDescent="0.2">
      <c r="A372" s="213" t="s">
        <v>1473</v>
      </c>
      <c r="B372" s="149" t="s">
        <v>1475</v>
      </c>
    </row>
    <row r="374" spans="1:7" x14ac:dyDescent="0.2">
      <c r="A374" s="350" t="s">
        <v>1634</v>
      </c>
      <c r="B374" s="351"/>
      <c r="C374" s="351"/>
      <c r="D374" s="351"/>
      <c r="E374" s="351"/>
      <c r="F374" s="351"/>
      <c r="G374" s="352"/>
    </row>
    <row r="375" spans="1:7" x14ac:dyDescent="0.2">
      <c r="A375" s="360" t="s">
        <v>1635</v>
      </c>
      <c r="B375" s="361"/>
      <c r="C375" s="361"/>
      <c r="D375" s="361"/>
      <c r="E375" s="361"/>
      <c r="F375" s="361"/>
      <c r="G375" s="362"/>
    </row>
    <row r="376" spans="1:7" x14ac:dyDescent="0.2">
      <c r="A376" s="348" t="s">
        <v>15</v>
      </c>
      <c r="B376" s="348" t="s">
        <v>1636</v>
      </c>
      <c r="C376" s="342" t="s">
        <v>1637</v>
      </c>
      <c r="D376" s="359"/>
      <c r="E376" s="343"/>
      <c r="F376" s="348" t="s">
        <v>1638</v>
      </c>
      <c r="G376" s="348" t="s">
        <v>1639</v>
      </c>
    </row>
    <row r="377" spans="1:7" ht="14.25" x14ac:dyDescent="0.2">
      <c r="A377" s="349"/>
      <c r="B377" s="349"/>
      <c r="C377" s="208" t="s">
        <v>1640</v>
      </c>
      <c r="D377" s="208" t="s">
        <v>1641</v>
      </c>
      <c r="E377" s="208" t="s">
        <v>1642</v>
      </c>
      <c r="F377" s="349"/>
      <c r="G377" s="349"/>
    </row>
    <row r="378" spans="1:7" x14ac:dyDescent="0.2">
      <c r="A378" s="209">
        <v>1949</v>
      </c>
      <c r="B378" s="214">
        <v>63637</v>
      </c>
      <c r="C378" s="211">
        <v>279</v>
      </c>
      <c r="D378" s="211">
        <v>548</v>
      </c>
      <c r="E378" s="211">
        <v>-269</v>
      </c>
      <c r="F378" s="211">
        <v>176</v>
      </c>
      <c r="G378" s="214">
        <v>63192</v>
      </c>
    </row>
    <row r="379" spans="1:7" x14ac:dyDescent="0.2">
      <c r="A379" s="209">
        <v>1950</v>
      </c>
      <c r="B379" s="214">
        <v>72718</v>
      </c>
      <c r="C379" s="211">
        <v>438</v>
      </c>
      <c r="D379" s="211">
        <v>398</v>
      </c>
      <c r="E379" s="211">
        <v>40</v>
      </c>
      <c r="F379" s="211">
        <v>-659</v>
      </c>
      <c r="G379" s="214">
        <v>73417</v>
      </c>
    </row>
    <row r="380" spans="1:7" x14ac:dyDescent="0.2">
      <c r="A380" s="209">
        <v>1951</v>
      </c>
      <c r="B380" s="214">
        <v>79331</v>
      </c>
      <c r="C380" s="211">
        <v>162</v>
      </c>
      <c r="D380" s="214">
        <v>1027</v>
      </c>
      <c r="E380" s="211">
        <v>-865</v>
      </c>
      <c r="F380" s="211">
        <v>372</v>
      </c>
      <c r="G380" s="214">
        <v>78094</v>
      </c>
    </row>
    <row r="381" spans="1:7" x14ac:dyDescent="0.2">
      <c r="A381" s="209">
        <v>1952</v>
      </c>
      <c r="B381" s="214">
        <v>68254</v>
      </c>
      <c r="C381" s="211">
        <v>313</v>
      </c>
      <c r="D381" s="211">
        <v>792</v>
      </c>
      <c r="E381" s="211">
        <v>-479</v>
      </c>
      <c r="F381" s="211">
        <v>419</v>
      </c>
      <c r="G381" s="214">
        <v>67356</v>
      </c>
    </row>
    <row r="382" spans="1:7" x14ac:dyDescent="0.2">
      <c r="A382" s="209">
        <v>1953</v>
      </c>
      <c r="B382" s="214">
        <v>78837</v>
      </c>
      <c r="C382" s="211">
        <v>157</v>
      </c>
      <c r="D382" s="211">
        <v>520</v>
      </c>
      <c r="E382" s="211">
        <v>-363</v>
      </c>
      <c r="F382" s="211">
        <v>778</v>
      </c>
      <c r="G382" s="214">
        <v>77696</v>
      </c>
    </row>
    <row r="383" spans="1:7" x14ac:dyDescent="0.2">
      <c r="A383" s="209">
        <v>1954</v>
      </c>
      <c r="B383" s="214">
        <v>59662</v>
      </c>
      <c r="C383" s="211">
        <v>116</v>
      </c>
      <c r="D383" s="211">
        <v>388</v>
      </c>
      <c r="E383" s="211">
        <v>-272</v>
      </c>
      <c r="F383" s="211">
        <v>269</v>
      </c>
      <c r="G383" s="214">
        <v>59121</v>
      </c>
    </row>
    <row r="384" spans="1:7" x14ac:dyDescent="0.2">
      <c r="A384" s="209">
        <v>1955</v>
      </c>
      <c r="B384" s="214">
        <v>75302</v>
      </c>
      <c r="C384" s="211">
        <v>126</v>
      </c>
      <c r="D384" s="211">
        <v>531</v>
      </c>
      <c r="E384" s="211">
        <v>-405</v>
      </c>
      <c r="F384" s="214">
        <v>-1248</v>
      </c>
      <c r="G384" s="214">
        <v>76145</v>
      </c>
    </row>
    <row r="385" spans="1:7" x14ac:dyDescent="0.2">
      <c r="A385" s="209">
        <v>1956</v>
      </c>
      <c r="B385" s="214">
        <v>74483</v>
      </c>
      <c r="C385" s="211">
        <v>131</v>
      </c>
      <c r="D385" s="211">
        <v>656</v>
      </c>
      <c r="E385" s="211">
        <v>-525</v>
      </c>
      <c r="F385" s="211">
        <v>634</v>
      </c>
      <c r="G385" s="214">
        <v>73324</v>
      </c>
    </row>
    <row r="386" spans="1:7" x14ac:dyDescent="0.2">
      <c r="A386" s="209">
        <v>1957</v>
      </c>
      <c r="B386" s="214">
        <v>75951</v>
      </c>
      <c r="C386" s="211">
        <v>118</v>
      </c>
      <c r="D386" s="211">
        <v>822</v>
      </c>
      <c r="E386" s="211">
        <v>-704</v>
      </c>
      <c r="F386" s="211">
        <v>814</v>
      </c>
      <c r="G386" s="214">
        <v>74433</v>
      </c>
    </row>
    <row r="387" spans="1:7" x14ac:dyDescent="0.2">
      <c r="A387" s="209">
        <v>1958</v>
      </c>
      <c r="B387" s="214">
        <v>53604</v>
      </c>
      <c r="C387" s="211">
        <v>122</v>
      </c>
      <c r="D387" s="211">
        <v>393</v>
      </c>
      <c r="E387" s="211">
        <v>-271</v>
      </c>
      <c r="F387" s="211">
        <v>675</v>
      </c>
      <c r="G387" s="214">
        <v>52658</v>
      </c>
    </row>
    <row r="388" spans="1:7" x14ac:dyDescent="0.2">
      <c r="A388" s="209">
        <v>1959</v>
      </c>
      <c r="B388" s="214">
        <v>55864</v>
      </c>
      <c r="C388" s="211">
        <v>123</v>
      </c>
      <c r="D388" s="211">
        <v>460</v>
      </c>
      <c r="E388" s="211">
        <v>-337</v>
      </c>
      <c r="F388" s="211">
        <v>859</v>
      </c>
      <c r="G388" s="214">
        <v>54668</v>
      </c>
    </row>
    <row r="389" spans="1:7" x14ac:dyDescent="0.2">
      <c r="A389" s="209">
        <v>1960</v>
      </c>
      <c r="B389" s="214">
        <v>57229</v>
      </c>
      <c r="C389" s="211">
        <v>126</v>
      </c>
      <c r="D389" s="211">
        <v>353</v>
      </c>
      <c r="E389" s="211">
        <v>-227</v>
      </c>
      <c r="F389" s="211">
        <v>56</v>
      </c>
      <c r="G389" s="214">
        <v>56946</v>
      </c>
    </row>
    <row r="390" spans="1:7" x14ac:dyDescent="0.2">
      <c r="A390" s="209">
        <v>1961</v>
      </c>
      <c r="B390" s="214">
        <v>51711</v>
      </c>
      <c r="C390" s="211">
        <v>127</v>
      </c>
      <c r="D390" s="211">
        <v>445</v>
      </c>
      <c r="E390" s="211">
        <v>-318</v>
      </c>
      <c r="F390" s="211">
        <v>-696</v>
      </c>
      <c r="G390" s="214">
        <v>52089</v>
      </c>
    </row>
    <row r="391" spans="1:7" x14ac:dyDescent="0.2">
      <c r="A391" s="209">
        <v>1962</v>
      </c>
      <c r="B391" s="214">
        <v>51910</v>
      </c>
      <c r="C391" s="211">
        <v>142</v>
      </c>
      <c r="D391" s="211">
        <v>364</v>
      </c>
      <c r="E391" s="211">
        <v>-222</v>
      </c>
      <c r="F391" s="211">
        <v>-135</v>
      </c>
      <c r="G391" s="214">
        <v>51823</v>
      </c>
    </row>
    <row r="392" spans="1:7" x14ac:dyDescent="0.2">
      <c r="A392" s="209">
        <v>1963</v>
      </c>
      <c r="B392" s="214">
        <v>54278</v>
      </c>
      <c r="C392" s="211">
        <v>153</v>
      </c>
      <c r="D392" s="211">
        <v>451</v>
      </c>
      <c r="E392" s="211">
        <v>-298</v>
      </c>
      <c r="F392" s="214">
        <v>-1022</v>
      </c>
      <c r="G392" s="214">
        <v>55002</v>
      </c>
    </row>
    <row r="393" spans="1:7" x14ac:dyDescent="0.2">
      <c r="A393" s="209">
        <v>1964</v>
      </c>
      <c r="B393" s="214">
        <v>62145</v>
      </c>
      <c r="C393" s="211">
        <v>103</v>
      </c>
      <c r="D393" s="211">
        <v>524</v>
      </c>
      <c r="E393" s="211">
        <v>-421</v>
      </c>
      <c r="F393" s="211">
        <v>-913</v>
      </c>
      <c r="G393" s="214">
        <v>62637</v>
      </c>
    </row>
    <row r="394" spans="1:7" x14ac:dyDescent="0.2">
      <c r="A394" s="209">
        <v>1965</v>
      </c>
      <c r="B394" s="214">
        <v>66854</v>
      </c>
      <c r="C394" s="211">
        <v>90</v>
      </c>
      <c r="D394" s="211">
        <v>834</v>
      </c>
      <c r="E394" s="211">
        <v>-744</v>
      </c>
      <c r="F394" s="211">
        <v>731</v>
      </c>
      <c r="G394" s="214">
        <v>65379</v>
      </c>
    </row>
    <row r="395" spans="1:7" x14ac:dyDescent="0.2">
      <c r="A395" s="209">
        <v>1966</v>
      </c>
      <c r="B395" s="214">
        <v>67402</v>
      </c>
      <c r="C395" s="211">
        <v>96</v>
      </c>
      <c r="D395" s="214">
        <v>1102</v>
      </c>
      <c r="E395" s="214">
        <v>-1006</v>
      </c>
      <c r="F395" s="211">
        <v>376</v>
      </c>
      <c r="G395" s="214">
        <v>66020</v>
      </c>
    </row>
    <row r="396" spans="1:7" x14ac:dyDescent="0.2">
      <c r="A396" s="209">
        <v>1967</v>
      </c>
      <c r="B396" s="214">
        <v>64580</v>
      </c>
      <c r="C396" s="211">
        <v>92</v>
      </c>
      <c r="D396" s="211">
        <v>710</v>
      </c>
      <c r="E396" s="211">
        <v>-618</v>
      </c>
      <c r="F396" s="214">
        <v>2390</v>
      </c>
      <c r="G396" s="214">
        <v>61572</v>
      </c>
    </row>
    <row r="397" spans="1:7" x14ac:dyDescent="0.2">
      <c r="A397" s="209">
        <v>1968</v>
      </c>
      <c r="B397" s="214">
        <v>63653</v>
      </c>
      <c r="C397" s="211">
        <v>94</v>
      </c>
      <c r="D397" s="211">
        <v>792</v>
      </c>
      <c r="E397" s="211">
        <v>-698</v>
      </c>
      <c r="F397" s="211">
        <v>517</v>
      </c>
      <c r="G397" s="214">
        <v>62438</v>
      </c>
    </row>
    <row r="398" spans="1:7" x14ac:dyDescent="0.2">
      <c r="A398" s="209">
        <v>1969</v>
      </c>
      <c r="B398" s="214">
        <v>64757</v>
      </c>
      <c r="C398" s="211">
        <v>173</v>
      </c>
      <c r="D398" s="214">
        <v>1629</v>
      </c>
      <c r="E398" s="214">
        <v>-1456</v>
      </c>
      <c r="F398" s="214">
        <v>-2865</v>
      </c>
      <c r="G398" s="214">
        <v>66166</v>
      </c>
    </row>
    <row r="399" spans="1:7" x14ac:dyDescent="0.2">
      <c r="A399" s="209">
        <v>1970</v>
      </c>
      <c r="B399" s="214">
        <v>66525</v>
      </c>
      <c r="C399" s="211">
        <v>153</v>
      </c>
      <c r="D399" s="214">
        <v>2478</v>
      </c>
      <c r="E399" s="214">
        <v>-2325</v>
      </c>
      <c r="F399" s="211">
        <v>993</v>
      </c>
      <c r="G399" s="214">
        <v>63207</v>
      </c>
    </row>
    <row r="400" spans="1:7" x14ac:dyDescent="0.2">
      <c r="A400" s="209">
        <v>1971</v>
      </c>
      <c r="B400" s="214">
        <v>57436</v>
      </c>
      <c r="C400" s="211">
        <v>174</v>
      </c>
      <c r="D400" s="214">
        <v>1509</v>
      </c>
      <c r="E400" s="214">
        <v>-1335</v>
      </c>
      <c r="F400" s="211">
        <v>-588</v>
      </c>
      <c r="G400" s="214">
        <v>56689</v>
      </c>
    </row>
    <row r="401" spans="1:7" x14ac:dyDescent="0.2">
      <c r="A401" s="209">
        <v>1972</v>
      </c>
      <c r="B401" s="214">
        <v>60507</v>
      </c>
      <c r="C401" s="211">
        <v>185</v>
      </c>
      <c r="D401" s="214">
        <v>1232</v>
      </c>
      <c r="E401" s="214">
        <v>-1047</v>
      </c>
      <c r="F401" s="211">
        <v>-586</v>
      </c>
      <c r="G401" s="214">
        <v>60046</v>
      </c>
    </row>
    <row r="402" spans="1:7" x14ac:dyDescent="0.2">
      <c r="A402" s="209">
        <v>1973</v>
      </c>
      <c r="B402" s="214">
        <v>64325</v>
      </c>
      <c r="C402" s="214">
        <v>1094</v>
      </c>
      <c r="D402" s="214">
        <v>1395</v>
      </c>
      <c r="E402" s="211">
        <v>-301</v>
      </c>
      <c r="F402" s="214">
        <v>-1741</v>
      </c>
      <c r="G402" s="214">
        <v>65765</v>
      </c>
    </row>
    <row r="403" spans="1:7" x14ac:dyDescent="0.2">
      <c r="A403" s="209">
        <v>1974</v>
      </c>
      <c r="B403" s="214">
        <v>61581</v>
      </c>
      <c r="C403" s="214">
        <v>3540</v>
      </c>
      <c r="D403" s="214">
        <v>1278</v>
      </c>
      <c r="E403" s="214">
        <v>2262</v>
      </c>
      <c r="F403" s="211">
        <v>-249</v>
      </c>
      <c r="G403" s="214">
        <v>64092</v>
      </c>
    </row>
    <row r="404" spans="1:7" x14ac:dyDescent="0.2">
      <c r="A404" s="209">
        <v>1975</v>
      </c>
      <c r="B404" s="214">
        <v>57207</v>
      </c>
      <c r="C404" s="214">
        <v>1819</v>
      </c>
      <c r="D404" s="214">
        <v>1273</v>
      </c>
      <c r="E404" s="211">
        <v>546</v>
      </c>
      <c r="F404" s="214">
        <v>4061</v>
      </c>
      <c r="G404" s="214">
        <v>53692</v>
      </c>
    </row>
    <row r="405" spans="1:7" x14ac:dyDescent="0.2">
      <c r="A405" s="209">
        <v>1976</v>
      </c>
      <c r="B405" s="214">
        <v>58333</v>
      </c>
      <c r="C405" s="214">
        <v>1311</v>
      </c>
      <c r="D405" s="214">
        <v>1315</v>
      </c>
      <c r="E405" s="211">
        <v>-4</v>
      </c>
      <c r="F405" s="214">
        <v>1495</v>
      </c>
      <c r="G405" s="214">
        <v>56834</v>
      </c>
    </row>
    <row r="406" spans="1:7" x14ac:dyDescent="0.2">
      <c r="A406" s="209">
        <v>1977</v>
      </c>
      <c r="B406" s="214">
        <v>53509</v>
      </c>
      <c r="C406" s="214">
        <v>1829</v>
      </c>
      <c r="D406" s="214">
        <v>1241</v>
      </c>
      <c r="E406" s="211">
        <v>588</v>
      </c>
      <c r="F406" s="211">
        <v>-47</v>
      </c>
      <c r="G406" s="214">
        <v>54144</v>
      </c>
    </row>
    <row r="407" spans="1:7" x14ac:dyDescent="0.2">
      <c r="A407" s="209">
        <v>1978</v>
      </c>
      <c r="B407" s="214">
        <v>49009</v>
      </c>
      <c r="C407" s="214">
        <v>5722</v>
      </c>
      <c r="D407" s="211">
        <v>693</v>
      </c>
      <c r="E407" s="214">
        <v>5029</v>
      </c>
      <c r="F407" s="214">
        <v>-2910</v>
      </c>
      <c r="G407" s="214">
        <v>56948</v>
      </c>
    </row>
    <row r="408" spans="1:7" x14ac:dyDescent="0.2">
      <c r="A408" s="209">
        <v>1979</v>
      </c>
      <c r="B408" s="214">
        <v>52943</v>
      </c>
      <c r="C408" s="214">
        <v>3974</v>
      </c>
      <c r="D408" s="214">
        <v>1440</v>
      </c>
      <c r="E408" s="214">
        <v>2534</v>
      </c>
      <c r="F408" s="214">
        <v>1651</v>
      </c>
      <c r="G408" s="214">
        <v>53826</v>
      </c>
    </row>
    <row r="409" spans="1:7" x14ac:dyDescent="0.2">
      <c r="A409" s="209">
        <v>1980</v>
      </c>
      <c r="B409" s="214">
        <v>46132</v>
      </c>
      <c r="C409" s="211">
        <v>659</v>
      </c>
      <c r="D409" s="214">
        <v>2071</v>
      </c>
      <c r="E409" s="214">
        <v>-1412</v>
      </c>
      <c r="F409" s="214">
        <v>3442</v>
      </c>
      <c r="G409" s="214">
        <v>41278</v>
      </c>
    </row>
    <row r="410" spans="1:7" x14ac:dyDescent="0.2">
      <c r="A410" s="209">
        <v>1981</v>
      </c>
      <c r="B410" s="214">
        <v>42786</v>
      </c>
      <c r="C410" s="211">
        <v>527</v>
      </c>
      <c r="D410" s="214">
        <v>1170</v>
      </c>
      <c r="E410" s="211">
        <v>-643</v>
      </c>
      <c r="F410" s="214">
        <v>-1903</v>
      </c>
      <c r="G410" s="214">
        <v>44046</v>
      </c>
    </row>
    <row r="411" spans="1:7" x14ac:dyDescent="0.2">
      <c r="A411" s="209">
        <v>1982</v>
      </c>
      <c r="B411" s="214">
        <v>28115</v>
      </c>
      <c r="C411" s="211">
        <v>120</v>
      </c>
      <c r="D411" s="211">
        <v>993</v>
      </c>
      <c r="E411" s="211">
        <v>-873</v>
      </c>
      <c r="F411" s="214">
        <v>1466</v>
      </c>
      <c r="G411" s="214">
        <v>25776</v>
      </c>
    </row>
    <row r="412" spans="1:7" x14ac:dyDescent="0.2">
      <c r="A412" s="209">
        <v>1983</v>
      </c>
      <c r="B412" s="214">
        <v>25808</v>
      </c>
      <c r="C412" s="211">
        <v>35</v>
      </c>
      <c r="D412" s="211">
        <v>665</v>
      </c>
      <c r="E412" s="211">
        <v>-630</v>
      </c>
      <c r="F412" s="214">
        <v>-4672</v>
      </c>
      <c r="G412" s="214">
        <v>29850</v>
      </c>
    </row>
    <row r="413" spans="1:7" x14ac:dyDescent="0.2">
      <c r="A413" s="209">
        <v>1984</v>
      </c>
      <c r="B413" s="214">
        <v>30399</v>
      </c>
      <c r="C413" s="211">
        <v>582</v>
      </c>
      <c r="D413" s="214">
        <v>1045</v>
      </c>
      <c r="E413" s="211">
        <v>-463</v>
      </c>
      <c r="F413" s="211">
        <v>199</v>
      </c>
      <c r="G413" s="214">
        <v>29737</v>
      </c>
    </row>
    <row r="414" spans="1:7" x14ac:dyDescent="0.2">
      <c r="A414" s="209">
        <v>1985</v>
      </c>
      <c r="B414" s="214">
        <v>28438</v>
      </c>
      <c r="C414" s="211">
        <v>578</v>
      </c>
      <c r="D414" s="214">
        <v>1122</v>
      </c>
      <c r="E414" s="211">
        <v>-544</v>
      </c>
      <c r="F414" s="214">
        <v>-1163</v>
      </c>
      <c r="G414" s="214">
        <v>29057</v>
      </c>
    </row>
    <row r="415" spans="1:7" x14ac:dyDescent="0.2">
      <c r="A415" s="209">
        <v>1986</v>
      </c>
      <c r="B415" s="214">
        <v>24917</v>
      </c>
      <c r="C415" s="211">
        <v>329</v>
      </c>
      <c r="D415" s="214">
        <v>1004</v>
      </c>
      <c r="E415" s="211">
        <v>-675</v>
      </c>
      <c r="F415" s="211">
        <v>-486</v>
      </c>
      <c r="G415" s="214">
        <v>24728</v>
      </c>
    </row>
    <row r="416" spans="1:7" x14ac:dyDescent="0.2">
      <c r="A416" s="209">
        <v>1987</v>
      </c>
      <c r="B416" s="214">
        <v>26304</v>
      </c>
      <c r="C416" s="211">
        <v>922</v>
      </c>
      <c r="D416" s="211">
        <v>574</v>
      </c>
      <c r="E416" s="211">
        <v>348</v>
      </c>
      <c r="F416" s="214">
        <v>-1002</v>
      </c>
      <c r="G416" s="214">
        <v>27654</v>
      </c>
    </row>
    <row r="417" spans="1:7" x14ac:dyDescent="0.2">
      <c r="A417" s="209">
        <v>1988</v>
      </c>
      <c r="B417" s="214">
        <v>28945</v>
      </c>
      <c r="C417" s="214">
        <v>2688</v>
      </c>
      <c r="D417" s="214">
        <v>1093</v>
      </c>
      <c r="E417" s="214">
        <v>1595</v>
      </c>
      <c r="F417" s="211">
        <v>519</v>
      </c>
      <c r="G417" s="214">
        <v>30021</v>
      </c>
    </row>
    <row r="418" spans="1:7" x14ac:dyDescent="0.2">
      <c r="A418" s="209">
        <v>1989</v>
      </c>
      <c r="B418" s="214">
        <v>28045</v>
      </c>
      <c r="C418" s="214">
        <v>2311</v>
      </c>
      <c r="D418" s="214">
        <v>1085</v>
      </c>
      <c r="E418" s="214">
        <v>1226</v>
      </c>
      <c r="F418" s="211">
        <v>337</v>
      </c>
      <c r="G418" s="214">
        <v>28934</v>
      </c>
    </row>
    <row r="419" spans="1:7" x14ac:dyDescent="0.2">
      <c r="A419" s="209">
        <v>1990</v>
      </c>
      <c r="B419" s="214">
        <v>27617</v>
      </c>
      <c r="C419" s="211">
        <v>765</v>
      </c>
      <c r="D419" s="211">
        <v>572</v>
      </c>
      <c r="E419" s="211">
        <v>193</v>
      </c>
      <c r="F419" s="211">
        <v>-1</v>
      </c>
      <c r="G419" s="214">
        <v>27811</v>
      </c>
    </row>
    <row r="420" spans="1:7" x14ac:dyDescent="0.2">
      <c r="A420" s="209">
        <v>1991</v>
      </c>
      <c r="B420" s="214">
        <v>24046</v>
      </c>
      <c r="C420" s="214">
        <v>1183</v>
      </c>
      <c r="D420" s="211">
        <v>792</v>
      </c>
      <c r="E420" s="211">
        <v>391</v>
      </c>
      <c r="F420" s="211">
        <v>189</v>
      </c>
      <c r="G420" s="214">
        <v>24248</v>
      </c>
    </row>
    <row r="421" spans="1:7" x14ac:dyDescent="0.2">
      <c r="A421" s="209">
        <v>1992</v>
      </c>
      <c r="B421" s="214">
        <v>23410</v>
      </c>
      <c r="C421" s="214">
        <v>2098</v>
      </c>
      <c r="D421" s="211">
        <v>702</v>
      </c>
      <c r="E421" s="214">
        <v>1396</v>
      </c>
      <c r="F421" s="211">
        <v>-224</v>
      </c>
      <c r="G421" s="214">
        <v>25030</v>
      </c>
    </row>
    <row r="422" spans="1:7" x14ac:dyDescent="0.2">
      <c r="A422" s="209">
        <v>1993</v>
      </c>
      <c r="B422" s="214">
        <v>23182</v>
      </c>
      <c r="C422" s="214">
        <v>2155</v>
      </c>
      <c r="D422" s="214">
        <v>1062</v>
      </c>
      <c r="E422" s="214">
        <v>1093</v>
      </c>
      <c r="F422" s="211">
        <v>-422</v>
      </c>
      <c r="G422" s="214">
        <v>24697</v>
      </c>
    </row>
    <row r="423" spans="1:7" x14ac:dyDescent="0.2">
      <c r="A423" s="209">
        <v>1994</v>
      </c>
      <c r="B423" s="214">
        <v>22686</v>
      </c>
      <c r="C423" s="214">
        <v>3338</v>
      </c>
      <c r="D423" s="211">
        <v>986</v>
      </c>
      <c r="E423" s="214">
        <v>2352</v>
      </c>
      <c r="F423" s="211">
        <v>-525</v>
      </c>
      <c r="G423" s="214">
        <v>25563</v>
      </c>
    </row>
    <row r="424" spans="1:7" x14ac:dyDescent="0.2">
      <c r="A424" s="209">
        <v>1995</v>
      </c>
      <c r="B424" s="214">
        <v>23749</v>
      </c>
      <c r="C424" s="214">
        <v>3820</v>
      </c>
      <c r="D424" s="214">
        <v>1358</v>
      </c>
      <c r="E424" s="214">
        <v>2462</v>
      </c>
      <c r="F424" s="211">
        <v>366</v>
      </c>
      <c r="G424" s="214">
        <v>25845</v>
      </c>
    </row>
    <row r="425" spans="1:7" x14ac:dyDescent="0.2">
      <c r="A425" s="209">
        <v>1996</v>
      </c>
      <c r="B425" s="214">
        <v>23075</v>
      </c>
      <c r="C425" s="214">
        <v>2542</v>
      </c>
      <c r="D425" s="214">
        <v>1622</v>
      </c>
      <c r="E425" s="211">
        <v>920</v>
      </c>
      <c r="F425" s="211">
        <v>21</v>
      </c>
      <c r="G425" s="214">
        <v>23974</v>
      </c>
    </row>
    <row r="426" spans="1:7" x14ac:dyDescent="0.2">
      <c r="A426" s="209">
        <v>1997</v>
      </c>
      <c r="B426" s="214">
        <v>22116</v>
      </c>
      <c r="C426" s="214">
        <v>3139</v>
      </c>
      <c r="D426" s="214">
        <v>1266</v>
      </c>
      <c r="E426" s="214">
        <v>1873</v>
      </c>
      <c r="F426" s="211">
        <v>-29</v>
      </c>
      <c r="G426" s="214">
        <v>24018</v>
      </c>
    </row>
    <row r="427" spans="1:7" x14ac:dyDescent="0.2">
      <c r="A427" s="209">
        <v>1998</v>
      </c>
      <c r="B427" s="214">
        <v>20041</v>
      </c>
      <c r="C427" s="214">
        <v>3834</v>
      </c>
      <c r="D427" s="214">
        <v>1129</v>
      </c>
      <c r="E427" s="214">
        <v>2705</v>
      </c>
      <c r="F427" s="211">
        <v>-362</v>
      </c>
      <c r="G427" s="214">
        <v>23108</v>
      </c>
    </row>
    <row r="428" spans="1:7" x14ac:dyDescent="0.2">
      <c r="A428" s="209">
        <v>1999</v>
      </c>
      <c r="B428" s="214">
        <v>20016</v>
      </c>
      <c r="C428" s="214">
        <v>3224</v>
      </c>
      <c r="D428" s="211">
        <v>898</v>
      </c>
      <c r="E428" s="214">
        <v>2326</v>
      </c>
      <c r="F428" s="211">
        <v>-80</v>
      </c>
      <c r="G428" s="214">
        <v>22422</v>
      </c>
    </row>
    <row r="429" spans="1:7" x14ac:dyDescent="0.2">
      <c r="A429" s="209">
        <v>2000</v>
      </c>
      <c r="B429" s="214">
        <v>20808</v>
      </c>
      <c r="C429" s="214">
        <v>3781</v>
      </c>
      <c r="D429" s="200">
        <v>1146</v>
      </c>
      <c r="E429" s="200">
        <v>2635</v>
      </c>
      <c r="F429" s="211">
        <v>201</v>
      </c>
      <c r="G429" s="214">
        <v>23242</v>
      </c>
    </row>
    <row r="430" spans="1:7" x14ac:dyDescent="0.2">
      <c r="A430" s="209">
        <v>2001</v>
      </c>
      <c r="B430" s="214">
        <v>18949</v>
      </c>
      <c r="C430" s="214">
        <v>2526</v>
      </c>
      <c r="D430" s="200">
        <v>1346</v>
      </c>
      <c r="E430" s="200">
        <v>1180</v>
      </c>
      <c r="F430" s="211">
        <v>-73</v>
      </c>
      <c r="G430" s="214">
        <v>20202</v>
      </c>
    </row>
    <row r="431" spans="1:7" x14ac:dyDescent="0.2">
      <c r="A431" s="209">
        <v>2002</v>
      </c>
      <c r="B431" s="214">
        <v>16778</v>
      </c>
      <c r="C431" s="214">
        <v>3242</v>
      </c>
      <c r="D431" s="197">
        <v>792</v>
      </c>
      <c r="E431" s="200">
        <v>2450</v>
      </c>
      <c r="F431" s="211">
        <v>-375</v>
      </c>
      <c r="G431" s="214">
        <v>19603</v>
      </c>
    </row>
    <row r="432" spans="1:7" x14ac:dyDescent="0.2">
      <c r="A432" s="209">
        <v>2003</v>
      </c>
      <c r="B432" s="214">
        <v>17173</v>
      </c>
      <c r="C432" s="214">
        <v>2759</v>
      </c>
      <c r="D432" s="197">
        <v>722</v>
      </c>
      <c r="E432" s="200">
        <v>2037</v>
      </c>
      <c r="F432" s="211">
        <v>-227</v>
      </c>
      <c r="G432" s="214">
        <v>19437</v>
      </c>
    </row>
    <row r="433" spans="1:7" x14ac:dyDescent="0.2">
      <c r="A433" s="209">
        <v>2004</v>
      </c>
      <c r="B433" s="214">
        <v>16909</v>
      </c>
      <c r="C433" s="214">
        <v>6873</v>
      </c>
      <c r="D433" s="200">
        <v>1319</v>
      </c>
      <c r="E433" s="200">
        <v>5554</v>
      </c>
      <c r="F433" s="211">
        <v>-28</v>
      </c>
      <c r="G433" s="214">
        <v>22491</v>
      </c>
    </row>
    <row r="434" spans="1:7" x14ac:dyDescent="0.2">
      <c r="A434" s="209">
        <v>2005</v>
      </c>
      <c r="B434" s="214">
        <v>16719</v>
      </c>
      <c r="C434" s="214">
        <v>3529</v>
      </c>
      <c r="D434" s="200">
        <v>1747</v>
      </c>
      <c r="E434" s="200">
        <v>1782</v>
      </c>
      <c r="F434" s="211">
        <v>263</v>
      </c>
      <c r="G434" s="214">
        <v>18238</v>
      </c>
    </row>
    <row r="435" spans="1:7" x14ac:dyDescent="0.2">
      <c r="A435" s="209">
        <v>2006</v>
      </c>
      <c r="B435" s="214">
        <v>16404</v>
      </c>
      <c r="C435" s="214">
        <v>4068</v>
      </c>
      <c r="D435" s="200">
        <v>1616</v>
      </c>
      <c r="E435" s="200">
        <v>2452</v>
      </c>
      <c r="F435" s="211">
        <v>71</v>
      </c>
      <c r="G435" s="214">
        <v>18785</v>
      </c>
    </row>
    <row r="436" spans="1:7" x14ac:dyDescent="0.2">
      <c r="A436" s="209">
        <v>2007</v>
      </c>
      <c r="B436" s="214">
        <v>16201</v>
      </c>
      <c r="C436" s="214">
        <v>2460</v>
      </c>
      <c r="D436" s="200">
        <v>1444</v>
      </c>
      <c r="E436" s="200">
        <v>1016</v>
      </c>
      <c r="F436" s="211">
        <v>-52</v>
      </c>
      <c r="G436" s="214">
        <v>17269</v>
      </c>
    </row>
    <row r="437" spans="1:7" ht="14.25" x14ac:dyDescent="0.2">
      <c r="A437" s="209" t="s">
        <v>1643</v>
      </c>
      <c r="B437" s="214">
        <v>15646</v>
      </c>
      <c r="C437" s="214">
        <v>3603</v>
      </c>
      <c r="D437" s="200">
        <v>1959</v>
      </c>
      <c r="E437" s="200">
        <v>1644</v>
      </c>
      <c r="F437" s="211">
        <v>284</v>
      </c>
      <c r="G437" s="214">
        <v>17006</v>
      </c>
    </row>
    <row r="438" spans="1:7" ht="14.25" x14ac:dyDescent="0.2">
      <c r="A438" s="326" t="s">
        <v>1644</v>
      </c>
      <c r="B438" s="327"/>
      <c r="C438" s="327"/>
      <c r="D438" s="330" t="s">
        <v>1645</v>
      </c>
      <c r="E438" s="330"/>
      <c r="F438" s="330"/>
      <c r="G438" s="331"/>
    </row>
    <row r="439" spans="1:7" ht="14.25" x14ac:dyDescent="0.2">
      <c r="A439" s="355" t="s">
        <v>1646</v>
      </c>
      <c r="B439" s="356"/>
      <c r="C439" s="356"/>
      <c r="D439" s="329" t="s">
        <v>1568</v>
      </c>
      <c r="E439" s="329"/>
      <c r="F439" s="329"/>
      <c r="G439" s="332"/>
    </row>
    <row r="440" spans="1:7" x14ac:dyDescent="0.2">
      <c r="A440" s="328" t="s">
        <v>1647</v>
      </c>
      <c r="B440" s="329"/>
      <c r="C440" s="329"/>
      <c r="D440" s="329"/>
      <c r="E440" s="329"/>
      <c r="F440" s="329"/>
      <c r="G440" s="332"/>
    </row>
    <row r="441" spans="1:7" x14ac:dyDescent="0.2">
      <c r="A441" s="355" t="s">
        <v>1648</v>
      </c>
      <c r="B441" s="356"/>
      <c r="C441" s="356"/>
      <c r="D441" s="329" t="s">
        <v>1649</v>
      </c>
      <c r="E441" s="329"/>
      <c r="F441" s="329"/>
      <c r="G441" s="332"/>
    </row>
    <row r="442" spans="1:7" x14ac:dyDescent="0.2">
      <c r="A442" s="355"/>
      <c r="B442" s="356"/>
      <c r="C442" s="356"/>
      <c r="D442" s="329" t="s">
        <v>1650</v>
      </c>
      <c r="E442" s="329"/>
      <c r="F442" s="329"/>
      <c r="G442" s="332"/>
    </row>
    <row r="443" spans="1:7" x14ac:dyDescent="0.2">
      <c r="A443" s="355"/>
      <c r="B443" s="356"/>
      <c r="C443" s="356"/>
      <c r="D443" s="329" t="s">
        <v>1651</v>
      </c>
      <c r="E443" s="329"/>
      <c r="F443" s="329"/>
      <c r="G443" s="332"/>
    </row>
    <row r="444" spans="1:7" x14ac:dyDescent="0.2">
      <c r="A444" s="355"/>
      <c r="B444" s="356"/>
      <c r="C444" s="356"/>
      <c r="D444" s="329" t="s">
        <v>1652</v>
      </c>
      <c r="E444" s="329"/>
      <c r="F444" s="329"/>
      <c r="G444" s="332"/>
    </row>
    <row r="445" spans="1:7" x14ac:dyDescent="0.2">
      <c r="A445" s="329" t="s">
        <v>1653</v>
      </c>
      <c r="B445" s="329"/>
      <c r="C445" s="329"/>
      <c r="G445" s="121"/>
    </row>
    <row r="446" spans="1:7" x14ac:dyDescent="0.2">
      <c r="A446" s="175"/>
      <c r="B446" s="175"/>
      <c r="C446" s="175"/>
      <c r="D446" s="340"/>
      <c r="E446" s="340"/>
      <c r="F446" s="340"/>
      <c r="G446" s="341"/>
    </row>
    <row r="447" spans="1:7" x14ac:dyDescent="0.2">
      <c r="A447" s="294"/>
      <c r="B447" s="294"/>
      <c r="C447" s="294"/>
      <c r="D447" s="179"/>
      <c r="E447" s="179"/>
      <c r="F447" s="179"/>
      <c r="G447" s="179"/>
    </row>
    <row r="448" spans="1:7" s="140" customFormat="1" ht="13.5" thickBot="1" x14ac:dyDescent="0.25">
      <c r="A448" s="215"/>
      <c r="B448" s="215"/>
      <c r="C448" s="215"/>
      <c r="D448" s="180"/>
      <c r="E448" s="180"/>
      <c r="F448" s="180"/>
      <c r="G448" s="180"/>
    </row>
    <row r="449" spans="1:7" x14ac:dyDescent="0.2">
      <c r="A449" s="294"/>
      <c r="B449" s="294"/>
      <c r="C449" s="294"/>
      <c r="D449" s="179"/>
      <c r="E449" s="179"/>
      <c r="F449" s="179"/>
      <c r="G449" s="179"/>
    </row>
    <row r="450" spans="1:7" x14ac:dyDescent="0.2">
      <c r="A450" s="294"/>
      <c r="B450" s="294"/>
      <c r="C450" s="294"/>
      <c r="D450" s="179"/>
      <c r="E450" s="179"/>
      <c r="F450" s="179"/>
      <c r="G450" s="179"/>
    </row>
    <row r="451" spans="1:7" x14ac:dyDescent="0.2">
      <c r="A451" s="78"/>
    </row>
    <row r="452" spans="1:7" x14ac:dyDescent="0.2">
      <c r="A452" s="212"/>
      <c r="F452" s="100"/>
    </row>
    <row r="453" spans="1:7" x14ac:dyDescent="0.2">
      <c r="A453" s="212"/>
      <c r="F453" s="100"/>
    </row>
    <row r="454" spans="1:7" x14ac:dyDescent="0.2">
      <c r="A454" s="212"/>
      <c r="F454" s="100"/>
    </row>
    <row r="455" spans="1:7" x14ac:dyDescent="0.2">
      <c r="F455" s="100"/>
    </row>
    <row r="456" spans="1:7" x14ac:dyDescent="0.2">
      <c r="A456" s="100"/>
      <c r="B456" s="108"/>
      <c r="C456" s="108"/>
      <c r="D456" s="100"/>
      <c r="E456" s="109"/>
    </row>
    <row r="457" spans="1:7" x14ac:dyDescent="0.2">
      <c r="A457" s="110"/>
      <c r="B457" s="181"/>
      <c r="C457" s="181"/>
      <c r="D457" s="181"/>
      <c r="E457" s="181"/>
    </row>
    <row r="458" spans="1:7" x14ac:dyDescent="0.2">
      <c r="A458" s="111"/>
      <c r="B458" s="181"/>
      <c r="C458" s="181"/>
      <c r="D458" s="181"/>
      <c r="E458" s="181"/>
    </row>
    <row r="459" spans="1:7" x14ac:dyDescent="0.2">
      <c r="A459" s="110"/>
      <c r="B459" s="181"/>
      <c r="C459" s="181"/>
      <c r="D459" s="181"/>
      <c r="E459" s="181"/>
    </row>
    <row r="460" spans="1:7" x14ac:dyDescent="0.2">
      <c r="A460" s="111"/>
      <c r="B460" s="181"/>
      <c r="C460" s="181"/>
      <c r="D460" s="181"/>
      <c r="E460" s="181"/>
    </row>
    <row r="461" spans="1:7" x14ac:dyDescent="0.2">
      <c r="A461" s="110"/>
      <c r="B461" s="181"/>
      <c r="C461" s="181"/>
      <c r="D461" s="181"/>
      <c r="E461" s="181"/>
    </row>
    <row r="462" spans="1:7" x14ac:dyDescent="0.2">
      <c r="A462" s="111"/>
      <c r="B462" s="181"/>
      <c r="C462" s="181"/>
      <c r="D462" s="181"/>
      <c r="E462" s="181"/>
    </row>
    <row r="463" spans="1:7" x14ac:dyDescent="0.2">
      <c r="A463" s="110"/>
      <c r="B463" s="181"/>
      <c r="C463" s="181"/>
      <c r="D463" s="181"/>
      <c r="E463" s="181"/>
    </row>
    <row r="464" spans="1:7" x14ac:dyDescent="0.2">
      <c r="A464" s="111"/>
      <c r="B464" s="181"/>
      <c r="C464" s="181"/>
      <c r="D464" s="181"/>
      <c r="E464" s="181"/>
    </row>
    <row r="465" spans="1:5" x14ac:dyDescent="0.2">
      <c r="A465" s="110"/>
      <c r="B465" s="181"/>
      <c r="C465" s="181"/>
      <c r="D465" s="181"/>
      <c r="E465" s="181"/>
    </row>
    <row r="466" spans="1:5" x14ac:dyDescent="0.2">
      <c r="A466" s="111"/>
      <c r="B466" s="181"/>
      <c r="C466" s="181"/>
      <c r="D466" s="181"/>
      <c r="E466" s="181"/>
    </row>
    <row r="467" spans="1:5" x14ac:dyDescent="0.2">
      <c r="A467" s="110"/>
      <c r="B467" s="181"/>
      <c r="C467" s="181"/>
      <c r="D467" s="181"/>
      <c r="E467" s="181"/>
    </row>
    <row r="468" spans="1:5" x14ac:dyDescent="0.2">
      <c r="A468" s="111"/>
      <c r="B468" s="181"/>
      <c r="C468" s="181"/>
      <c r="D468" s="181"/>
      <c r="E468" s="181"/>
    </row>
    <row r="469" spans="1:5" x14ac:dyDescent="0.2">
      <c r="A469" s="110"/>
      <c r="B469" s="181"/>
      <c r="C469" s="181"/>
      <c r="D469" s="181"/>
      <c r="E469" s="181"/>
    </row>
    <row r="470" spans="1:5" x14ac:dyDescent="0.2">
      <c r="A470" s="111"/>
      <c r="B470" s="181"/>
      <c r="C470" s="181"/>
      <c r="D470" s="181"/>
      <c r="E470" s="181"/>
    </row>
    <row r="471" spans="1:5" x14ac:dyDescent="0.2">
      <c r="A471" s="110"/>
      <c r="B471" s="181"/>
      <c r="C471" s="181"/>
      <c r="D471" s="181"/>
      <c r="E471" s="181"/>
    </row>
    <row r="472" spans="1:5" x14ac:dyDescent="0.2">
      <c r="A472" s="111"/>
      <c r="B472" s="181"/>
      <c r="C472" s="181"/>
      <c r="D472" s="181"/>
      <c r="E472" s="181"/>
    </row>
    <row r="473" spans="1:5" x14ac:dyDescent="0.2">
      <c r="A473" s="110"/>
      <c r="B473" s="181"/>
      <c r="C473" s="181"/>
      <c r="D473" s="181"/>
      <c r="E473" s="181"/>
    </row>
    <row r="474" spans="1:5" x14ac:dyDescent="0.2">
      <c r="A474" s="111"/>
      <c r="B474" s="181"/>
      <c r="C474" s="181"/>
      <c r="D474" s="181"/>
      <c r="E474" s="181"/>
    </row>
    <row r="475" spans="1:5" x14ac:dyDescent="0.2">
      <c r="A475" s="110"/>
      <c r="B475" s="181"/>
      <c r="C475" s="181"/>
      <c r="D475" s="181"/>
      <c r="E475" s="181"/>
    </row>
    <row r="476" spans="1:5" x14ac:dyDescent="0.2">
      <c r="A476" s="111"/>
      <c r="B476" s="181"/>
      <c r="C476" s="181"/>
      <c r="D476" s="181"/>
      <c r="E476" s="181"/>
    </row>
    <row r="477" spans="1:5" x14ac:dyDescent="0.2">
      <c r="A477" s="110"/>
      <c r="B477" s="181"/>
      <c r="C477" s="181"/>
      <c r="D477" s="181"/>
      <c r="E477" s="181"/>
    </row>
    <row r="478" spans="1:5" x14ac:dyDescent="0.2">
      <c r="A478" s="111"/>
      <c r="B478" s="181"/>
      <c r="C478" s="181"/>
      <c r="D478" s="181"/>
      <c r="E478" s="181"/>
    </row>
    <row r="479" spans="1:5" x14ac:dyDescent="0.2">
      <c r="A479" s="110"/>
      <c r="B479" s="181"/>
      <c r="C479" s="181"/>
      <c r="D479" s="181"/>
      <c r="E479" s="181"/>
    </row>
    <row r="480" spans="1:5" x14ac:dyDescent="0.2">
      <c r="A480" s="111"/>
      <c r="B480" s="181"/>
      <c r="C480" s="181"/>
      <c r="D480" s="181"/>
      <c r="E480" s="181"/>
    </row>
    <row r="481" spans="1:5" x14ac:dyDescent="0.2">
      <c r="A481" s="110"/>
      <c r="B481" s="181"/>
      <c r="C481" s="181"/>
      <c r="D481" s="181"/>
      <c r="E481" s="181"/>
    </row>
    <row r="482" spans="1:5" x14ac:dyDescent="0.2">
      <c r="A482" s="111"/>
      <c r="B482" s="181"/>
      <c r="C482" s="181"/>
      <c r="D482" s="181"/>
      <c r="E482" s="181"/>
    </row>
    <row r="483" spans="1:5" x14ac:dyDescent="0.2">
      <c r="A483" s="110"/>
      <c r="B483" s="181"/>
      <c r="C483" s="181"/>
      <c r="D483" s="181"/>
      <c r="E483" s="181"/>
    </row>
    <row r="484" spans="1:5" x14ac:dyDescent="0.2">
      <c r="A484" s="111"/>
      <c r="B484" s="181"/>
      <c r="C484" s="181"/>
      <c r="D484" s="181"/>
      <c r="E484" s="181"/>
    </row>
    <row r="485" spans="1:5" x14ac:dyDescent="0.2">
      <c r="A485" s="110"/>
      <c r="B485" s="181"/>
      <c r="C485" s="181"/>
      <c r="D485" s="181"/>
      <c r="E485" s="181"/>
    </row>
    <row r="486" spans="1:5" x14ac:dyDescent="0.2">
      <c r="A486" s="111"/>
      <c r="B486" s="181"/>
      <c r="C486" s="181"/>
      <c r="D486" s="181"/>
      <c r="E486" s="181"/>
    </row>
    <row r="487" spans="1:5" x14ac:dyDescent="0.2">
      <c r="A487" s="110"/>
      <c r="B487" s="181"/>
      <c r="C487" s="181"/>
      <c r="D487" s="181"/>
      <c r="E487" s="181"/>
    </row>
    <row r="488" spans="1:5" x14ac:dyDescent="0.2">
      <c r="A488" s="111"/>
      <c r="B488" s="181"/>
      <c r="C488" s="181"/>
      <c r="D488" s="181"/>
      <c r="E488" s="181"/>
    </row>
    <row r="489" spans="1:5" x14ac:dyDescent="0.2">
      <c r="A489" s="110"/>
      <c r="B489" s="181"/>
      <c r="C489" s="181"/>
      <c r="D489" s="181"/>
      <c r="E489" s="181"/>
    </row>
    <row r="490" spans="1:5" x14ac:dyDescent="0.2">
      <c r="A490" s="111"/>
      <c r="B490" s="181"/>
      <c r="C490" s="181"/>
      <c r="D490" s="181"/>
      <c r="E490" s="181"/>
    </row>
    <row r="491" spans="1:5" x14ac:dyDescent="0.2">
      <c r="A491" s="110"/>
      <c r="B491" s="181"/>
      <c r="C491" s="181"/>
      <c r="D491" s="181"/>
      <c r="E491" s="181"/>
    </row>
    <row r="492" spans="1:5" x14ac:dyDescent="0.2">
      <c r="A492" s="111"/>
      <c r="B492" s="181"/>
      <c r="C492" s="181"/>
      <c r="D492" s="181"/>
      <c r="E492" s="181"/>
    </row>
  </sheetData>
  <mergeCells count="79">
    <mergeCell ref="A445:C445"/>
    <mergeCell ref="D446:G446"/>
    <mergeCell ref="A149:G149"/>
    <mergeCell ref="B34:C34"/>
    <mergeCell ref="D34:E34"/>
    <mergeCell ref="A441:C444"/>
    <mergeCell ref="D441:G441"/>
    <mergeCell ref="D442:G442"/>
    <mergeCell ref="D443:G443"/>
    <mergeCell ref="D444:G444"/>
    <mergeCell ref="A439:C439"/>
    <mergeCell ref="D439:G440"/>
    <mergeCell ref="A440:C440"/>
    <mergeCell ref="A375:G375"/>
    <mergeCell ref="A376:A377"/>
    <mergeCell ref="B376:B377"/>
    <mergeCell ref="C376:E376"/>
    <mergeCell ref="F376:F377"/>
    <mergeCell ref="A215:K215"/>
    <mergeCell ref="A216:K216"/>
    <mergeCell ref="A217:A218"/>
    <mergeCell ref="F291:K291"/>
    <mergeCell ref="F293:K293"/>
    <mergeCell ref="A281:E282"/>
    <mergeCell ref="F281:K281"/>
    <mergeCell ref="F282:K282"/>
    <mergeCell ref="A438:C438"/>
    <mergeCell ref="D438:G438"/>
    <mergeCell ref="F283:K284"/>
    <mergeCell ref="A284:E284"/>
    <mergeCell ref="F287:K287"/>
    <mergeCell ref="G376:G377"/>
    <mergeCell ref="A374:G374"/>
    <mergeCell ref="A296:B296"/>
    <mergeCell ref="A283:E283"/>
    <mergeCell ref="F288:K288"/>
    <mergeCell ref="F289:K289"/>
    <mergeCell ref="F292:K292"/>
    <mergeCell ref="A285:E293"/>
    <mergeCell ref="F285:K285"/>
    <mergeCell ref="F286:K286"/>
    <mergeCell ref="F290:K290"/>
    <mergeCell ref="B3:C3"/>
    <mergeCell ref="A177:F177"/>
    <mergeCell ref="A279:E279"/>
    <mergeCell ref="A280:E280"/>
    <mergeCell ref="F279:K280"/>
    <mergeCell ref="I149:O149"/>
    <mergeCell ref="I161:O161"/>
    <mergeCell ref="I162:O162"/>
    <mergeCell ref="F217:G217"/>
    <mergeCell ref="J217:K217"/>
    <mergeCell ref="B217:C217"/>
    <mergeCell ref="D217:E217"/>
    <mergeCell ref="H217:I217"/>
    <mergeCell ref="F34:G34"/>
    <mergeCell ref="A97:AC97"/>
    <mergeCell ref="A98:AC98"/>
    <mergeCell ref="A99:AC99"/>
    <mergeCell ref="A100:AC100"/>
    <mergeCell ref="A101:AC101"/>
    <mergeCell ref="A102:AC102"/>
    <mergeCell ref="A103:AC103"/>
    <mergeCell ref="A104:AC104"/>
    <mergeCell ref="A105:AC105"/>
    <mergeCell ref="A106:AC106"/>
    <mergeCell ref="A107:AC107"/>
    <mergeCell ref="A108:AC108"/>
    <mergeCell ref="A109:AC109"/>
    <mergeCell ref="A110:AC110"/>
    <mergeCell ref="A111:AC111"/>
    <mergeCell ref="A112:AC112"/>
    <mergeCell ref="A118:AC118"/>
    <mergeCell ref="A119:AC119"/>
    <mergeCell ref="A113:AC113"/>
    <mergeCell ref="A114:AC114"/>
    <mergeCell ref="A115:AC115"/>
    <mergeCell ref="A116:AC116"/>
    <mergeCell ref="A117:AC117"/>
  </mergeCells>
  <phoneticPr fontId="34" type="noConversion"/>
  <hyperlinks>
    <hyperlink ref="A130" r:id="rId1" xr:uid="{00000000-0004-0000-1400-000000000000}"/>
    <hyperlink ref="B213" r:id="rId2" xr:uid="{00000000-0004-0000-1400-000001000000}"/>
    <hyperlink ref="D324" r:id="rId3" xr:uid="{00000000-0004-0000-1400-000002000000}"/>
    <hyperlink ref="B372" r:id="rId4" xr:uid="{00000000-0004-0000-1400-000003000000}"/>
  </hyperlinks>
  <pageMargins left="0.25" right="0.25" top="0.5" bottom="0.5" header="0.5" footer="0.5"/>
  <pageSetup scale="55" fitToHeight="0" orientation="landscape" r:id="rId5"/>
  <headerFooter alignWithMargins="0"/>
  <drawing r:id="rId6"/>
  <legacy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>
    <pageSetUpPr fitToPage="1"/>
  </sheetPr>
  <dimension ref="A1:Y2274"/>
  <sheetViews>
    <sheetView zoomScaleNormal="100" workbookViewId="0">
      <selection activeCell="F35" sqref="F35"/>
    </sheetView>
  </sheetViews>
  <sheetFormatPr defaultColWidth="9.140625" defaultRowHeight="12.75" x14ac:dyDescent="0.2"/>
  <cols>
    <col min="1" max="1" width="18.5703125" style="112" customWidth="1"/>
    <col min="2" max="2" width="19.28515625" style="112" bestFit="1" customWidth="1"/>
    <col min="3" max="3" width="17.42578125" style="112" customWidth="1"/>
    <col min="4" max="4" width="19.85546875" style="112" bestFit="1" customWidth="1"/>
    <col min="5" max="5" width="15.28515625" style="112" customWidth="1"/>
    <col min="6" max="6" width="14.7109375" style="112" customWidth="1"/>
    <col min="7" max="7" width="12.7109375" style="112" customWidth="1"/>
    <col min="8" max="8" width="8.140625" style="112" customWidth="1"/>
    <col min="9" max="9" width="8.28515625" style="112" customWidth="1"/>
    <col min="10" max="10" width="8.140625" style="112" customWidth="1"/>
    <col min="11" max="11" width="8.7109375" style="112" customWidth="1"/>
    <col min="12" max="12" width="9" style="112" customWidth="1"/>
    <col min="13" max="13" width="9.42578125" style="112" customWidth="1"/>
    <col min="14" max="14" width="8.5703125" style="112" customWidth="1"/>
    <col min="15" max="15" width="8.7109375" style="112" customWidth="1"/>
    <col min="16" max="16" width="11.42578125" style="112" customWidth="1"/>
    <col min="17" max="17" width="10.42578125" style="112" customWidth="1"/>
    <col min="18" max="18" width="12" style="112" customWidth="1"/>
    <col min="19" max="21" width="9.140625" style="112"/>
    <col min="22" max="22" width="15.7109375" style="26" bestFit="1" customWidth="1"/>
    <col min="23" max="23" width="7.7109375" style="26" bestFit="1" customWidth="1"/>
    <col min="24" max="24" width="15.7109375" style="26" bestFit="1" customWidth="1"/>
    <col min="25" max="25" width="12.5703125" style="26" bestFit="1" customWidth="1"/>
    <col min="26" max="16384" width="9.140625" style="112"/>
  </cols>
  <sheetData>
    <row r="1" spans="1:25" x14ac:dyDescent="0.2">
      <c r="A1" s="55" t="s">
        <v>1654</v>
      </c>
      <c r="C1" s="55"/>
      <c r="F1" s="216" t="s">
        <v>1655</v>
      </c>
      <c r="H1" s="216" t="s">
        <v>1255</v>
      </c>
      <c r="V1" s="217"/>
      <c r="W1" s="217" t="s">
        <v>1656</v>
      </c>
      <c r="X1" s="217" t="s">
        <v>1657</v>
      </c>
      <c r="Y1" s="217" t="s">
        <v>1658</v>
      </c>
    </row>
    <row r="2" spans="1:25" x14ac:dyDescent="0.2">
      <c r="A2" s="55"/>
      <c r="C2" s="55"/>
      <c r="F2" s="216"/>
      <c r="H2" s="216"/>
      <c r="V2" s="217"/>
      <c r="W2" s="217"/>
      <c r="X2" s="217"/>
      <c r="Y2" s="217"/>
    </row>
    <row r="3" spans="1:25" x14ac:dyDescent="0.2">
      <c r="A3" s="231" t="s">
        <v>1288</v>
      </c>
      <c r="B3" s="231" t="s">
        <v>1659</v>
      </c>
      <c r="C3" s="231" t="s">
        <v>1660</v>
      </c>
      <c r="D3" s="231" t="s">
        <v>1661</v>
      </c>
      <c r="E3" s="218"/>
      <c r="H3" s="93">
        <v>2005</v>
      </c>
      <c r="I3" s="93">
        <f t="shared" ref="I3:R3" si="0">H3+5</f>
        <v>2010</v>
      </c>
      <c r="J3" s="93">
        <f t="shared" si="0"/>
        <v>2015</v>
      </c>
      <c r="K3" s="93">
        <f t="shared" si="0"/>
        <v>2020</v>
      </c>
      <c r="L3" s="93">
        <f t="shared" si="0"/>
        <v>2025</v>
      </c>
      <c r="M3" s="93">
        <f t="shared" si="0"/>
        <v>2030</v>
      </c>
      <c r="N3" s="93">
        <f t="shared" si="0"/>
        <v>2035</v>
      </c>
      <c r="O3" s="93">
        <f t="shared" si="0"/>
        <v>2040</v>
      </c>
      <c r="P3" s="93">
        <f t="shared" si="0"/>
        <v>2045</v>
      </c>
      <c r="Q3" s="93">
        <f t="shared" si="0"/>
        <v>2050</v>
      </c>
      <c r="R3" s="93">
        <f t="shared" si="0"/>
        <v>2055</v>
      </c>
      <c r="V3" s="219"/>
    </row>
    <row r="4" spans="1:25" x14ac:dyDescent="0.2">
      <c r="A4" s="220" t="s">
        <v>1219</v>
      </c>
      <c r="B4" s="221">
        <v>2012</v>
      </c>
      <c r="C4" s="222">
        <v>1</v>
      </c>
      <c r="D4" s="222">
        <v>1</v>
      </c>
      <c r="G4" s="112" t="s">
        <v>1662</v>
      </c>
      <c r="H4" s="223">
        <f>1</f>
        <v>1</v>
      </c>
      <c r="I4" s="223">
        <f>1</f>
        <v>1</v>
      </c>
      <c r="J4" s="223">
        <f>C7</f>
        <v>1.0435779139228718</v>
      </c>
      <c r="K4" s="223">
        <f>C12</f>
        <v>1.0223887448488611</v>
      </c>
      <c r="L4" s="223">
        <f>C17</f>
        <v>1.0120924225764467</v>
      </c>
      <c r="M4" s="223">
        <f>C22</f>
        <v>1.0086019868627922</v>
      </c>
      <c r="N4" s="223">
        <f>C27</f>
        <v>1.0073636340149223</v>
      </c>
      <c r="O4" s="223">
        <f>C32</f>
        <v>1.0082538583568164</v>
      </c>
      <c r="P4" s="223">
        <v>1</v>
      </c>
      <c r="Q4" s="223">
        <v>1</v>
      </c>
      <c r="R4" s="223">
        <v>1</v>
      </c>
      <c r="V4" s="219"/>
    </row>
    <row r="5" spans="1:25" x14ac:dyDescent="0.2">
      <c r="A5" s="220" t="s">
        <v>1219</v>
      </c>
      <c r="B5" s="221">
        <v>2013</v>
      </c>
      <c r="C5" s="222">
        <v>1.0633192402433835</v>
      </c>
      <c r="D5" s="222">
        <v>0.95931286480962963</v>
      </c>
      <c r="G5" s="112" t="s">
        <v>1663</v>
      </c>
      <c r="H5" s="223">
        <f>1</f>
        <v>1</v>
      </c>
      <c r="I5" s="223">
        <f>1</f>
        <v>1</v>
      </c>
      <c r="J5" s="223">
        <f>D7</f>
        <v>1.0065427538304512</v>
      </c>
      <c r="K5" s="223">
        <f>D12</f>
        <v>1.0051271893264859</v>
      </c>
      <c r="L5" s="223">
        <f>D17</f>
        <v>1.0139636089586039</v>
      </c>
      <c r="M5" s="223">
        <f>D22</f>
        <v>1.0117132458632985</v>
      </c>
      <c r="N5" s="223">
        <f>D27</f>
        <v>1.0036120512325153</v>
      </c>
      <c r="O5" s="223">
        <f>D32</f>
        <v>0.99643945699799497</v>
      </c>
      <c r="P5" s="223">
        <v>1</v>
      </c>
      <c r="Q5" s="223">
        <v>1</v>
      </c>
      <c r="R5" s="223">
        <v>1</v>
      </c>
      <c r="V5" s="219"/>
    </row>
    <row r="6" spans="1:25" x14ac:dyDescent="0.2">
      <c r="A6" s="220" t="s">
        <v>1219</v>
      </c>
      <c r="B6" s="221">
        <v>2014</v>
      </c>
      <c r="C6" s="222">
        <v>1.0134760844027964</v>
      </c>
      <c r="D6" s="222">
        <v>0.9983433934614423</v>
      </c>
      <c r="V6" s="219"/>
    </row>
    <row r="7" spans="1:25" x14ac:dyDescent="0.2">
      <c r="A7" s="220" t="s">
        <v>1219</v>
      </c>
      <c r="B7" s="221">
        <v>2015</v>
      </c>
      <c r="C7" s="222">
        <v>1.0435779139228718</v>
      </c>
      <c r="D7" s="222">
        <v>1.0065427538304512</v>
      </c>
      <c r="V7" s="219"/>
    </row>
    <row r="8" spans="1:25" x14ac:dyDescent="0.2">
      <c r="A8" s="220" t="s">
        <v>1219</v>
      </c>
      <c r="B8" s="221">
        <v>2016</v>
      </c>
      <c r="C8" s="222">
        <v>1.0241496306561169</v>
      </c>
      <c r="D8" s="222">
        <v>1.0068927014953459</v>
      </c>
      <c r="V8" s="219"/>
    </row>
    <row r="9" spans="1:25" x14ac:dyDescent="0.2">
      <c r="A9" s="220" t="s">
        <v>1219</v>
      </c>
      <c r="B9" s="221">
        <v>2017</v>
      </c>
      <c r="C9" s="222">
        <v>1.0024145790694174</v>
      </c>
      <c r="D9" s="222">
        <v>0.98878147545740236</v>
      </c>
      <c r="E9" s="224"/>
      <c r="V9" s="219"/>
    </row>
    <row r="10" spans="1:25" x14ac:dyDescent="0.2">
      <c r="A10" s="220" t="s">
        <v>1219</v>
      </c>
      <c r="B10" s="221">
        <v>2018</v>
      </c>
      <c r="C10" s="222">
        <v>1.0077910434183521</v>
      </c>
      <c r="D10" s="222">
        <v>0.99643153087023073</v>
      </c>
      <c r="G10" s="112" t="s">
        <v>1664</v>
      </c>
      <c r="V10" s="219"/>
    </row>
    <row r="11" spans="1:25" x14ac:dyDescent="0.2">
      <c r="A11" s="220" t="s">
        <v>1219</v>
      </c>
      <c r="B11" s="221">
        <v>2019</v>
      </c>
      <c r="C11" s="222">
        <v>1.0121689841992596</v>
      </c>
      <c r="D11" s="222">
        <v>1.0022217974226686</v>
      </c>
      <c r="G11" s="225" t="s">
        <v>1665</v>
      </c>
      <c r="V11" s="219"/>
    </row>
    <row r="12" spans="1:25" x14ac:dyDescent="0.2">
      <c r="A12" s="220" t="s">
        <v>1219</v>
      </c>
      <c r="B12" s="221">
        <v>2020</v>
      </c>
      <c r="C12" s="222">
        <v>1.0223887448488611</v>
      </c>
      <c r="D12" s="222">
        <v>1.0051271893264859</v>
      </c>
      <c r="G12" s="225" t="s">
        <v>1666</v>
      </c>
      <c r="V12" s="219"/>
    </row>
    <row r="13" spans="1:25" x14ac:dyDescent="0.2">
      <c r="A13" s="220" t="s">
        <v>1219</v>
      </c>
      <c r="B13" s="221">
        <v>2021</v>
      </c>
      <c r="C13" s="222">
        <v>1.0159540722390004</v>
      </c>
      <c r="D13" s="222">
        <v>1.0057456205728801</v>
      </c>
      <c r="G13" s="225" t="s">
        <v>1667</v>
      </c>
      <c r="V13" s="219"/>
    </row>
    <row r="14" spans="1:25" x14ac:dyDescent="0.2">
      <c r="A14" s="220" t="s">
        <v>1219</v>
      </c>
      <c r="B14" s="221">
        <v>2022</v>
      </c>
      <c r="C14" s="222">
        <v>1.0136777558404881</v>
      </c>
      <c r="D14" s="222">
        <v>1.0081193764651066</v>
      </c>
      <c r="E14" s="224"/>
      <c r="G14" s="225" t="s">
        <v>1668</v>
      </c>
      <c r="V14" s="219"/>
    </row>
    <row r="15" spans="1:25" x14ac:dyDescent="0.2">
      <c r="A15" s="220" t="s">
        <v>1219</v>
      </c>
      <c r="B15" s="221">
        <v>2023</v>
      </c>
      <c r="C15" s="222">
        <v>1.0139508304373543</v>
      </c>
      <c r="D15" s="222">
        <v>1.0124306103775826</v>
      </c>
      <c r="G15" s="225" t="s">
        <v>1669</v>
      </c>
      <c r="V15" s="219"/>
    </row>
    <row r="16" spans="1:25" x14ac:dyDescent="0.2">
      <c r="A16" s="220" t="s">
        <v>1219</v>
      </c>
      <c r="B16" s="221">
        <v>2024</v>
      </c>
      <c r="C16" s="222">
        <v>1.0130507640794206</v>
      </c>
      <c r="D16" s="222">
        <v>1.0125149677255383</v>
      </c>
      <c r="G16" s="225" t="s">
        <v>1670</v>
      </c>
      <c r="V16" s="219"/>
    </row>
    <row r="17" spans="1:22" x14ac:dyDescent="0.2">
      <c r="A17" s="220" t="s">
        <v>1219</v>
      </c>
      <c r="B17" s="221">
        <v>2025</v>
      </c>
      <c r="C17" s="222">
        <v>1.0120924225764467</v>
      </c>
      <c r="D17" s="222">
        <v>1.0139636089586039</v>
      </c>
      <c r="G17" s="225" t="s">
        <v>1671</v>
      </c>
      <c r="V17" s="219"/>
    </row>
    <row r="18" spans="1:22" x14ac:dyDescent="0.2">
      <c r="A18" s="220" t="s">
        <v>1219</v>
      </c>
      <c r="B18" s="221">
        <v>2026</v>
      </c>
      <c r="C18" s="222">
        <v>1.0109626971745564</v>
      </c>
      <c r="D18" s="222">
        <v>1.0171640787396903</v>
      </c>
      <c r="G18" s="225" t="s">
        <v>1672</v>
      </c>
      <c r="V18" s="219"/>
    </row>
    <row r="19" spans="1:22" x14ac:dyDescent="0.2">
      <c r="A19" s="220" t="s">
        <v>1219</v>
      </c>
      <c r="B19" s="221">
        <v>2027</v>
      </c>
      <c r="C19" s="222">
        <v>1.0091630543362917</v>
      </c>
      <c r="D19" s="222">
        <v>1.0140342158811568</v>
      </c>
      <c r="E19" s="224"/>
      <c r="G19" s="225" t="s">
        <v>1673</v>
      </c>
      <c r="V19" s="219"/>
    </row>
    <row r="20" spans="1:22" x14ac:dyDescent="0.2">
      <c r="A20" s="220" t="s">
        <v>1219</v>
      </c>
      <c r="B20" s="221">
        <v>2028</v>
      </c>
      <c r="C20" s="222">
        <v>1.0096223077261408</v>
      </c>
      <c r="D20" s="222">
        <v>1.0156348168931963</v>
      </c>
      <c r="G20" s="225" t="s">
        <v>1674</v>
      </c>
      <c r="V20" s="219"/>
    </row>
    <row r="21" spans="1:22" x14ac:dyDescent="0.2">
      <c r="A21" s="220" t="s">
        <v>1219</v>
      </c>
      <c r="B21" s="221">
        <v>2029</v>
      </c>
      <c r="C21" s="222">
        <v>1.0063617516955257</v>
      </c>
      <c r="D21" s="222">
        <v>1.0115457805052563</v>
      </c>
      <c r="G21" s="225" t="s">
        <v>1675</v>
      </c>
      <c r="V21" s="219"/>
    </row>
    <row r="22" spans="1:22" x14ac:dyDescent="0.2">
      <c r="A22" s="220" t="s">
        <v>1219</v>
      </c>
      <c r="B22" s="221">
        <v>2030</v>
      </c>
      <c r="C22" s="222">
        <v>1.0086019868627922</v>
      </c>
      <c r="D22" s="222">
        <v>1.0117132458632985</v>
      </c>
      <c r="G22" s="225" t="s">
        <v>1676</v>
      </c>
      <c r="V22" s="219"/>
    </row>
    <row r="23" spans="1:22" x14ac:dyDescent="0.2">
      <c r="A23" s="220" t="s">
        <v>1219</v>
      </c>
      <c r="B23" s="221">
        <v>2031</v>
      </c>
      <c r="C23" s="222">
        <v>1.0075331580998221</v>
      </c>
      <c r="D23" s="222">
        <v>1.0114153846741654</v>
      </c>
      <c r="G23" s="225" t="s">
        <v>1677</v>
      </c>
      <c r="V23" s="219"/>
    </row>
    <row r="24" spans="1:22" x14ac:dyDescent="0.2">
      <c r="A24" s="220" t="s">
        <v>1219</v>
      </c>
      <c r="B24" s="221">
        <v>2032</v>
      </c>
      <c r="C24" s="222">
        <v>1.0085545952496606</v>
      </c>
      <c r="D24" s="222">
        <v>1.0092287451781272</v>
      </c>
      <c r="E24" s="224"/>
      <c r="G24" s="225" t="s">
        <v>1678</v>
      </c>
      <c r="V24" s="219"/>
    </row>
    <row r="25" spans="1:22" x14ac:dyDescent="0.2">
      <c r="A25" s="220" t="s">
        <v>1219</v>
      </c>
      <c r="B25" s="221">
        <v>2033</v>
      </c>
      <c r="C25" s="222">
        <v>1.0086154077924874</v>
      </c>
      <c r="D25" s="222">
        <v>1.0096855290916473</v>
      </c>
      <c r="V25" s="219"/>
    </row>
    <row r="26" spans="1:22" ht="15.75" customHeight="1" x14ac:dyDescent="0.2">
      <c r="A26" s="220" t="s">
        <v>1219</v>
      </c>
      <c r="B26" s="221">
        <v>2034</v>
      </c>
      <c r="C26" s="222">
        <v>1.0072459454326892</v>
      </c>
      <c r="D26" s="222">
        <v>1.0066142743764919</v>
      </c>
      <c r="V26" s="219"/>
    </row>
    <row r="27" spans="1:22" ht="15.75" customHeight="1" x14ac:dyDescent="0.2">
      <c r="A27" s="220" t="s">
        <v>1219</v>
      </c>
      <c r="B27" s="221">
        <v>2035</v>
      </c>
      <c r="C27" s="222">
        <v>1.0073636340149223</v>
      </c>
      <c r="D27" s="222">
        <v>1.0036120512325153</v>
      </c>
      <c r="V27" s="219"/>
    </row>
    <row r="28" spans="1:22" ht="15.75" customHeight="1" x14ac:dyDescent="0.2">
      <c r="A28" s="220" t="s">
        <v>1219</v>
      </c>
      <c r="B28" s="221">
        <v>2036</v>
      </c>
      <c r="C28" s="222">
        <v>1.0078872631325093</v>
      </c>
      <c r="D28" s="222">
        <v>1.0038129967273446</v>
      </c>
      <c r="V28" s="219"/>
    </row>
    <row r="29" spans="1:22" ht="15.75" customHeight="1" x14ac:dyDescent="0.2">
      <c r="A29" s="220" t="s">
        <v>1219</v>
      </c>
      <c r="B29" s="221">
        <v>2037</v>
      </c>
      <c r="C29" s="222">
        <v>1.010266719003079</v>
      </c>
      <c r="D29" s="222">
        <v>1.0046388371086574</v>
      </c>
      <c r="E29" s="224"/>
      <c r="V29" s="219"/>
    </row>
    <row r="30" spans="1:22" ht="15.75" customHeight="1" x14ac:dyDescent="0.2">
      <c r="A30" s="220" t="s">
        <v>1219</v>
      </c>
      <c r="B30" s="26">
        <v>2038</v>
      </c>
      <c r="C30" s="226">
        <v>1.0086002233333395</v>
      </c>
      <c r="D30" s="226">
        <v>0.99893794860164664</v>
      </c>
      <c r="V30" s="219"/>
    </row>
    <row r="31" spans="1:22" ht="15.75" customHeight="1" x14ac:dyDescent="0.2">
      <c r="A31" s="220" t="s">
        <v>1219</v>
      </c>
      <c r="B31" s="26">
        <v>2039</v>
      </c>
      <c r="C31" s="226">
        <v>1.0087862890320332</v>
      </c>
      <c r="D31" s="226">
        <v>0.99821231770133345</v>
      </c>
      <c r="V31" s="219"/>
    </row>
    <row r="32" spans="1:22" ht="15.75" customHeight="1" x14ac:dyDescent="0.2">
      <c r="A32" s="220" t="s">
        <v>1219</v>
      </c>
      <c r="B32" s="26">
        <v>2040</v>
      </c>
      <c r="C32" s="226">
        <v>1.0082538583568164</v>
      </c>
      <c r="D32" s="226">
        <v>0.99643945699799497</v>
      </c>
      <c r="V32" s="219"/>
    </row>
    <row r="33" spans="1:22" x14ac:dyDescent="0.2">
      <c r="A33" s="227"/>
      <c r="B33" s="228"/>
      <c r="D33" s="228"/>
      <c r="V33" s="219"/>
    </row>
    <row r="34" spans="1:22" x14ac:dyDescent="0.2">
      <c r="A34" s="227"/>
      <c r="B34" s="228"/>
      <c r="C34" s="224"/>
      <c r="D34" s="228"/>
      <c r="E34" s="224"/>
      <c r="V34" s="219"/>
    </row>
    <row r="35" spans="1:22" x14ac:dyDescent="0.2">
      <c r="A35" s="227"/>
      <c r="B35" s="228"/>
      <c r="D35" s="228"/>
      <c r="V35" s="219"/>
    </row>
    <row r="36" spans="1:22" x14ac:dyDescent="0.2">
      <c r="A36" s="227"/>
      <c r="B36" s="228"/>
      <c r="D36" s="228"/>
      <c r="V36" s="219"/>
    </row>
    <row r="37" spans="1:22" x14ac:dyDescent="0.2">
      <c r="A37" s="227"/>
      <c r="B37" s="228"/>
      <c r="D37" s="228"/>
      <c r="V37" s="219"/>
    </row>
    <row r="38" spans="1:22" x14ac:dyDescent="0.2">
      <c r="A38" s="227"/>
      <c r="B38" s="228"/>
      <c r="D38" s="228"/>
      <c r="V38" s="219"/>
    </row>
    <row r="39" spans="1:22" x14ac:dyDescent="0.2">
      <c r="A39" s="227"/>
      <c r="B39" s="228"/>
      <c r="C39" s="224"/>
      <c r="D39" s="228"/>
      <c r="E39" s="224"/>
      <c r="V39" s="219"/>
    </row>
    <row r="40" spans="1:22" x14ac:dyDescent="0.2">
      <c r="A40" s="227"/>
      <c r="B40" s="228"/>
      <c r="D40" s="228"/>
      <c r="V40" s="219"/>
    </row>
    <row r="41" spans="1:22" x14ac:dyDescent="0.2">
      <c r="A41" s="227"/>
      <c r="B41" s="228"/>
      <c r="D41" s="228"/>
      <c r="V41" s="219"/>
    </row>
    <row r="42" spans="1:22" x14ac:dyDescent="0.2">
      <c r="A42" s="227"/>
      <c r="B42" s="228"/>
      <c r="D42" s="228"/>
      <c r="V42" s="219"/>
    </row>
    <row r="43" spans="1:22" x14ac:dyDescent="0.2">
      <c r="A43" s="227"/>
      <c r="B43" s="228"/>
      <c r="D43" s="228"/>
      <c r="V43" s="219"/>
    </row>
    <row r="44" spans="1:22" x14ac:dyDescent="0.2">
      <c r="A44" s="227"/>
      <c r="B44" s="228"/>
      <c r="C44" s="224"/>
      <c r="D44" s="228"/>
      <c r="E44" s="224"/>
      <c r="V44" s="219"/>
    </row>
    <row r="45" spans="1:22" x14ac:dyDescent="0.2">
      <c r="A45" s="227"/>
      <c r="B45" s="228"/>
      <c r="D45" s="228"/>
      <c r="V45" s="219"/>
    </row>
    <row r="46" spans="1:22" x14ac:dyDescent="0.2">
      <c r="A46" s="227"/>
      <c r="B46" s="228"/>
      <c r="D46" s="228"/>
      <c r="V46" s="219"/>
    </row>
    <row r="47" spans="1:22" x14ac:dyDescent="0.2">
      <c r="A47" s="227"/>
      <c r="B47" s="228"/>
      <c r="D47" s="228"/>
      <c r="V47" s="219"/>
    </row>
    <row r="48" spans="1:22" x14ac:dyDescent="0.2">
      <c r="A48" s="227"/>
      <c r="B48" s="228"/>
      <c r="D48" s="228"/>
      <c r="V48" s="219"/>
    </row>
    <row r="49" spans="1:22" x14ac:dyDescent="0.2">
      <c r="A49" s="227"/>
      <c r="B49" s="228"/>
      <c r="C49" s="224"/>
      <c r="D49" s="228"/>
      <c r="E49" s="224"/>
      <c r="V49" s="219"/>
    </row>
    <row r="50" spans="1:22" x14ac:dyDescent="0.2">
      <c r="A50" s="227"/>
      <c r="B50" s="228"/>
      <c r="D50" s="228"/>
      <c r="V50" s="219"/>
    </row>
    <row r="51" spans="1:22" x14ac:dyDescent="0.2">
      <c r="A51" s="227"/>
      <c r="B51" s="228"/>
      <c r="D51" s="228"/>
      <c r="V51" s="219"/>
    </row>
    <row r="52" spans="1:22" x14ac:dyDescent="0.2">
      <c r="A52" s="227"/>
      <c r="B52" s="228"/>
      <c r="D52" s="228"/>
      <c r="V52" s="219"/>
    </row>
    <row r="53" spans="1:22" x14ac:dyDescent="0.2">
      <c r="A53" s="227"/>
      <c r="B53" s="228"/>
      <c r="D53" s="228"/>
      <c r="V53" s="219"/>
    </row>
    <row r="54" spans="1:22" x14ac:dyDescent="0.2">
      <c r="A54" s="227"/>
      <c r="B54" s="228"/>
      <c r="C54" s="224"/>
      <c r="D54" s="228"/>
      <c r="E54" s="224"/>
      <c r="V54" s="219"/>
    </row>
    <row r="55" spans="1:22" x14ac:dyDescent="0.2">
      <c r="A55" s="227"/>
      <c r="B55" s="228"/>
      <c r="D55" s="228"/>
      <c r="V55" s="219"/>
    </row>
    <row r="56" spans="1:22" x14ac:dyDescent="0.2">
      <c r="A56" s="227"/>
      <c r="B56" s="228"/>
      <c r="D56" s="228"/>
      <c r="V56" s="219"/>
    </row>
    <row r="57" spans="1:22" x14ac:dyDescent="0.2">
      <c r="A57" s="227"/>
      <c r="B57" s="228"/>
      <c r="D57" s="228"/>
      <c r="V57" s="219"/>
    </row>
    <row r="58" spans="1:22" x14ac:dyDescent="0.2">
      <c r="A58" s="227"/>
      <c r="B58" s="228"/>
      <c r="D58" s="228"/>
      <c r="V58" s="219"/>
    </row>
    <row r="59" spans="1:22" x14ac:dyDescent="0.2">
      <c r="A59" s="227"/>
      <c r="B59" s="228"/>
      <c r="C59" s="224"/>
      <c r="D59" s="228"/>
      <c r="E59" s="224"/>
      <c r="V59" s="219"/>
    </row>
    <row r="60" spans="1:22" x14ac:dyDescent="0.2">
      <c r="A60" s="227"/>
      <c r="B60" s="228"/>
      <c r="D60" s="228"/>
      <c r="V60" s="219"/>
    </row>
    <row r="61" spans="1:22" x14ac:dyDescent="0.2">
      <c r="A61" s="227"/>
      <c r="B61" s="228"/>
      <c r="D61" s="228"/>
      <c r="V61" s="219"/>
    </row>
    <row r="62" spans="1:22" x14ac:dyDescent="0.2">
      <c r="A62" s="227"/>
      <c r="B62" s="228"/>
      <c r="D62" s="228"/>
      <c r="V62" s="219"/>
    </row>
    <row r="63" spans="1:22" x14ac:dyDescent="0.2">
      <c r="A63" s="227"/>
      <c r="B63" s="228"/>
      <c r="D63" s="228"/>
      <c r="V63" s="219"/>
    </row>
    <row r="64" spans="1:22" x14ac:dyDescent="0.2">
      <c r="A64" s="227"/>
      <c r="B64" s="228"/>
      <c r="D64" s="228"/>
      <c r="V64" s="219"/>
    </row>
    <row r="65" spans="1:22" x14ac:dyDescent="0.2">
      <c r="A65" s="227"/>
      <c r="B65" s="228"/>
      <c r="D65" s="228"/>
      <c r="V65" s="219"/>
    </row>
    <row r="66" spans="1:22" x14ac:dyDescent="0.2">
      <c r="A66" s="229"/>
      <c r="B66" s="230"/>
      <c r="D66" s="230"/>
      <c r="V66" s="219"/>
    </row>
    <row r="67" spans="1:22" x14ac:dyDescent="0.2">
      <c r="A67" s="229"/>
      <c r="B67" s="230"/>
      <c r="D67" s="230"/>
      <c r="V67" s="219"/>
    </row>
    <row r="68" spans="1:22" x14ac:dyDescent="0.2">
      <c r="A68" s="229"/>
      <c r="B68" s="230"/>
      <c r="D68" s="230"/>
      <c r="V68" s="219"/>
    </row>
    <row r="69" spans="1:22" x14ac:dyDescent="0.2">
      <c r="A69" s="229"/>
      <c r="B69" s="230"/>
      <c r="D69" s="230"/>
      <c r="V69" s="219"/>
    </row>
    <row r="70" spans="1:22" x14ac:dyDescent="0.2">
      <c r="A70" s="229"/>
      <c r="B70" s="230"/>
      <c r="D70" s="230"/>
      <c r="V70" s="219"/>
    </row>
    <row r="71" spans="1:22" x14ac:dyDescent="0.2">
      <c r="A71" s="229"/>
      <c r="B71" s="230"/>
      <c r="D71" s="230"/>
      <c r="V71" s="219"/>
    </row>
    <row r="72" spans="1:22" x14ac:dyDescent="0.2">
      <c r="A72" s="229"/>
      <c r="B72" s="230"/>
      <c r="D72" s="230"/>
      <c r="V72" s="219"/>
    </row>
    <row r="73" spans="1:22" x14ac:dyDescent="0.2">
      <c r="A73" s="229"/>
      <c r="B73" s="230"/>
      <c r="D73" s="230"/>
      <c r="V73" s="219"/>
    </row>
    <row r="74" spans="1:22" x14ac:dyDescent="0.2">
      <c r="A74" s="229"/>
      <c r="B74" s="230"/>
      <c r="D74" s="230"/>
      <c r="V74" s="219"/>
    </row>
    <row r="75" spans="1:22" x14ac:dyDescent="0.2">
      <c r="A75" s="229"/>
      <c r="B75" s="230"/>
      <c r="D75" s="230"/>
      <c r="V75" s="219"/>
    </row>
    <row r="76" spans="1:22" x14ac:dyDescent="0.2">
      <c r="A76" s="229"/>
      <c r="B76" s="230"/>
      <c r="D76" s="230"/>
      <c r="V76" s="219"/>
    </row>
    <row r="77" spans="1:22" x14ac:dyDescent="0.2">
      <c r="A77" s="229"/>
      <c r="B77" s="230"/>
      <c r="D77" s="230"/>
      <c r="V77" s="219"/>
    </row>
    <row r="78" spans="1:22" x14ac:dyDescent="0.2">
      <c r="A78" s="229"/>
      <c r="B78" s="230"/>
      <c r="D78" s="230"/>
      <c r="V78" s="219"/>
    </row>
    <row r="79" spans="1:22" x14ac:dyDescent="0.2">
      <c r="A79" s="229"/>
      <c r="B79" s="230"/>
      <c r="C79" s="120"/>
      <c r="D79" s="230"/>
      <c r="V79" s="219"/>
    </row>
    <row r="80" spans="1:22" x14ac:dyDescent="0.2">
      <c r="A80" s="229"/>
      <c r="B80" s="230"/>
      <c r="D80" s="230"/>
      <c r="V80" s="219"/>
    </row>
    <row r="81" spans="1:22" x14ac:dyDescent="0.2">
      <c r="A81" s="229"/>
      <c r="B81" s="230"/>
      <c r="D81" s="230"/>
      <c r="V81" s="219"/>
    </row>
    <row r="82" spans="1:22" x14ac:dyDescent="0.2">
      <c r="A82" s="229"/>
      <c r="B82" s="230"/>
      <c r="D82" s="230"/>
      <c r="V82" s="219"/>
    </row>
    <row r="83" spans="1:22" x14ac:dyDescent="0.2">
      <c r="A83" s="229"/>
      <c r="B83" s="230"/>
      <c r="D83" s="230"/>
      <c r="V83" s="219"/>
    </row>
    <row r="84" spans="1:22" x14ac:dyDescent="0.2">
      <c r="A84" s="229"/>
      <c r="B84" s="230"/>
      <c r="D84" s="230"/>
      <c r="E84" s="218"/>
      <c r="F84" s="120"/>
      <c r="V84" s="219"/>
    </row>
    <row r="85" spans="1:22" x14ac:dyDescent="0.2">
      <c r="A85" s="229"/>
      <c r="B85" s="230"/>
      <c r="D85" s="230"/>
      <c r="E85" s="218"/>
      <c r="F85" s="120"/>
      <c r="V85" s="219"/>
    </row>
    <row r="86" spans="1:22" x14ac:dyDescent="0.2">
      <c r="A86" s="229"/>
      <c r="B86" s="230"/>
      <c r="D86" s="230"/>
      <c r="E86" s="218"/>
      <c r="F86" s="120"/>
      <c r="V86" s="219"/>
    </row>
    <row r="87" spans="1:22" x14ac:dyDescent="0.2">
      <c r="A87" s="229"/>
      <c r="B87" s="230"/>
      <c r="D87" s="230"/>
      <c r="E87" s="218"/>
      <c r="F87" s="120"/>
      <c r="V87" s="219"/>
    </row>
    <row r="88" spans="1:22" x14ac:dyDescent="0.2">
      <c r="A88" s="229"/>
      <c r="B88" s="230"/>
      <c r="D88" s="230"/>
      <c r="E88" s="218"/>
      <c r="F88" s="120"/>
      <c r="V88" s="219"/>
    </row>
    <row r="89" spans="1:22" x14ac:dyDescent="0.2">
      <c r="A89" s="229"/>
      <c r="B89" s="230"/>
      <c r="D89" s="230"/>
      <c r="E89" s="218"/>
      <c r="F89" s="120"/>
      <c r="V89" s="219"/>
    </row>
    <row r="90" spans="1:22" x14ac:dyDescent="0.2">
      <c r="A90" s="229"/>
      <c r="B90" s="230"/>
      <c r="D90" s="230"/>
      <c r="E90" s="218"/>
      <c r="F90" s="120"/>
      <c r="V90" s="219"/>
    </row>
    <row r="91" spans="1:22" x14ac:dyDescent="0.2">
      <c r="A91" s="229"/>
      <c r="B91" s="230"/>
      <c r="D91" s="230"/>
      <c r="E91" s="218"/>
      <c r="F91" s="120"/>
      <c r="V91" s="219"/>
    </row>
    <row r="92" spans="1:22" x14ac:dyDescent="0.2">
      <c r="A92" s="229"/>
      <c r="B92" s="230"/>
      <c r="D92" s="230"/>
      <c r="E92" s="218"/>
      <c r="F92" s="120"/>
      <c r="V92" s="219"/>
    </row>
    <row r="93" spans="1:22" x14ac:dyDescent="0.2">
      <c r="A93" s="229"/>
      <c r="B93" s="230"/>
      <c r="D93" s="230"/>
      <c r="E93" s="218"/>
      <c r="F93" s="120"/>
      <c r="V93" s="219"/>
    </row>
    <row r="94" spans="1:22" x14ac:dyDescent="0.2">
      <c r="A94" s="229"/>
      <c r="B94" s="230"/>
      <c r="D94" s="230"/>
      <c r="E94" s="218"/>
      <c r="F94" s="120"/>
      <c r="V94" s="219"/>
    </row>
    <row r="95" spans="1:22" x14ac:dyDescent="0.2">
      <c r="A95" s="229"/>
      <c r="B95" s="230"/>
      <c r="D95" s="230"/>
      <c r="E95" s="218"/>
      <c r="F95" s="120"/>
      <c r="V95" s="219"/>
    </row>
    <row r="96" spans="1:22" x14ac:dyDescent="0.2">
      <c r="A96" s="229"/>
      <c r="B96" s="230"/>
      <c r="D96" s="230"/>
      <c r="E96" s="218"/>
      <c r="F96" s="120"/>
      <c r="V96" s="219"/>
    </row>
    <row r="97" spans="1:22" x14ac:dyDescent="0.2">
      <c r="A97" s="229"/>
      <c r="B97" s="230"/>
      <c r="D97" s="230"/>
      <c r="E97" s="218"/>
      <c r="F97" s="120"/>
      <c r="V97" s="219"/>
    </row>
    <row r="98" spans="1:22" x14ac:dyDescent="0.2">
      <c r="A98" s="229"/>
      <c r="B98" s="230"/>
      <c r="D98" s="230"/>
      <c r="E98" s="218"/>
      <c r="F98" s="120"/>
      <c r="V98" s="219"/>
    </row>
    <row r="99" spans="1:22" x14ac:dyDescent="0.2">
      <c r="A99" s="229"/>
      <c r="B99" s="230"/>
      <c r="D99" s="230"/>
      <c r="E99" s="218"/>
      <c r="F99" s="120"/>
      <c r="V99" s="219"/>
    </row>
    <row r="100" spans="1:22" x14ac:dyDescent="0.2">
      <c r="A100" s="229"/>
      <c r="B100" s="230"/>
      <c r="D100" s="230"/>
      <c r="E100" s="218"/>
      <c r="F100" s="120"/>
      <c r="V100" s="219"/>
    </row>
    <row r="101" spans="1:22" x14ac:dyDescent="0.2">
      <c r="A101" s="229"/>
      <c r="B101" s="230"/>
      <c r="D101" s="230"/>
      <c r="E101" s="218"/>
      <c r="F101" s="120"/>
      <c r="V101" s="219"/>
    </row>
    <row r="102" spans="1:22" x14ac:dyDescent="0.2">
      <c r="A102" s="229"/>
      <c r="B102" s="230"/>
      <c r="D102" s="230"/>
      <c r="E102" s="218"/>
      <c r="F102" s="120"/>
      <c r="V102" s="219"/>
    </row>
    <row r="103" spans="1:22" x14ac:dyDescent="0.2">
      <c r="A103" s="229"/>
      <c r="B103" s="230"/>
      <c r="D103" s="230"/>
      <c r="E103" s="218"/>
      <c r="F103" s="120"/>
      <c r="V103" s="219"/>
    </row>
    <row r="104" spans="1:22" x14ac:dyDescent="0.2">
      <c r="A104" s="229"/>
      <c r="B104" s="230"/>
      <c r="D104" s="230"/>
      <c r="E104" s="218"/>
      <c r="F104" s="120"/>
      <c r="V104" s="219"/>
    </row>
    <row r="105" spans="1:22" x14ac:dyDescent="0.2">
      <c r="A105" s="229"/>
      <c r="B105" s="230"/>
      <c r="D105" s="230"/>
      <c r="E105" s="218"/>
      <c r="F105" s="120"/>
      <c r="V105" s="219"/>
    </row>
    <row r="106" spans="1:22" x14ac:dyDescent="0.2">
      <c r="A106" s="229"/>
      <c r="B106" s="230"/>
      <c r="D106" s="230"/>
      <c r="E106" s="218"/>
      <c r="F106" s="120"/>
      <c r="V106" s="219"/>
    </row>
    <row r="107" spans="1:22" x14ac:dyDescent="0.2">
      <c r="A107" s="229"/>
      <c r="B107" s="230"/>
      <c r="D107" s="230"/>
      <c r="E107" s="218"/>
      <c r="F107" s="120"/>
      <c r="V107" s="219"/>
    </row>
    <row r="108" spans="1:22" x14ac:dyDescent="0.2">
      <c r="A108" s="229"/>
      <c r="B108" s="230"/>
      <c r="D108" s="230"/>
      <c r="E108" s="218"/>
      <c r="F108" s="120"/>
      <c r="V108" s="219"/>
    </row>
    <row r="109" spans="1:22" x14ac:dyDescent="0.2">
      <c r="A109" s="229"/>
      <c r="B109" s="230"/>
      <c r="D109" s="230"/>
      <c r="E109" s="218"/>
      <c r="F109" s="120"/>
      <c r="V109" s="219"/>
    </row>
    <row r="110" spans="1:22" x14ac:dyDescent="0.2">
      <c r="A110" s="229"/>
      <c r="B110" s="230"/>
      <c r="D110" s="230"/>
      <c r="E110" s="218"/>
      <c r="F110" s="120"/>
      <c r="V110" s="219"/>
    </row>
    <row r="111" spans="1:22" x14ac:dyDescent="0.2">
      <c r="A111" s="229"/>
      <c r="B111" s="230"/>
      <c r="D111" s="230"/>
      <c r="E111" s="218"/>
      <c r="F111" s="120"/>
      <c r="V111" s="219"/>
    </row>
    <row r="112" spans="1:22" x14ac:dyDescent="0.2">
      <c r="A112" s="229"/>
      <c r="B112" s="230"/>
      <c r="D112" s="230"/>
      <c r="E112" s="218"/>
      <c r="F112" s="120"/>
      <c r="V112" s="219"/>
    </row>
    <row r="113" spans="1:22" x14ac:dyDescent="0.2">
      <c r="A113" s="229"/>
      <c r="B113" s="230"/>
      <c r="D113" s="230"/>
      <c r="E113" s="218"/>
      <c r="F113" s="120"/>
      <c r="V113" s="219"/>
    </row>
    <row r="114" spans="1:22" x14ac:dyDescent="0.2">
      <c r="A114" s="229"/>
      <c r="B114" s="230"/>
      <c r="D114" s="230"/>
      <c r="E114" s="218"/>
      <c r="F114" s="120"/>
      <c r="V114" s="219"/>
    </row>
    <row r="115" spans="1:22" x14ac:dyDescent="0.2">
      <c r="A115" s="229"/>
      <c r="B115" s="230"/>
      <c r="D115" s="230"/>
      <c r="E115" s="218"/>
      <c r="F115" s="120"/>
      <c r="V115" s="219"/>
    </row>
    <row r="116" spans="1:22" x14ac:dyDescent="0.2">
      <c r="A116" s="229"/>
      <c r="B116" s="230"/>
      <c r="D116" s="230"/>
      <c r="E116" s="218"/>
      <c r="F116" s="120"/>
      <c r="V116" s="219"/>
    </row>
    <row r="117" spans="1:22" x14ac:dyDescent="0.2">
      <c r="A117" s="229"/>
      <c r="B117" s="230"/>
      <c r="D117" s="230"/>
      <c r="E117" s="218"/>
      <c r="F117" s="120"/>
      <c r="V117" s="219"/>
    </row>
    <row r="118" spans="1:22" x14ac:dyDescent="0.2">
      <c r="A118" s="229"/>
      <c r="B118" s="230"/>
      <c r="D118" s="230"/>
      <c r="E118" s="218"/>
      <c r="F118" s="120"/>
      <c r="V118" s="219"/>
    </row>
    <row r="119" spans="1:22" x14ac:dyDescent="0.2">
      <c r="A119" s="229"/>
      <c r="B119" s="230"/>
      <c r="D119" s="230"/>
      <c r="E119" s="218"/>
      <c r="F119" s="120"/>
      <c r="V119" s="219"/>
    </row>
    <row r="120" spans="1:22" x14ac:dyDescent="0.2">
      <c r="A120" s="229"/>
      <c r="B120" s="230"/>
      <c r="D120" s="230"/>
      <c r="E120" s="218"/>
      <c r="F120" s="120"/>
      <c r="V120" s="219"/>
    </row>
    <row r="121" spans="1:22" x14ac:dyDescent="0.2">
      <c r="A121" s="229"/>
      <c r="B121" s="230"/>
      <c r="D121" s="230"/>
      <c r="E121" s="218"/>
      <c r="F121" s="120"/>
      <c r="V121" s="219"/>
    </row>
    <row r="122" spans="1:22" x14ac:dyDescent="0.2">
      <c r="A122" s="229"/>
      <c r="B122" s="230"/>
      <c r="D122" s="230"/>
      <c r="E122" s="218"/>
      <c r="F122" s="120"/>
      <c r="V122" s="219"/>
    </row>
    <row r="123" spans="1:22" x14ac:dyDescent="0.2">
      <c r="A123" s="229"/>
      <c r="B123" s="230"/>
      <c r="D123" s="230"/>
      <c r="E123" s="218"/>
      <c r="F123" s="120"/>
      <c r="V123" s="219"/>
    </row>
    <row r="124" spans="1:22" x14ac:dyDescent="0.2">
      <c r="A124" s="229"/>
      <c r="B124" s="230"/>
      <c r="D124" s="230"/>
      <c r="E124" s="218"/>
      <c r="F124" s="120"/>
      <c r="V124" s="219"/>
    </row>
    <row r="125" spans="1:22" x14ac:dyDescent="0.2">
      <c r="A125" s="229"/>
      <c r="B125" s="230"/>
      <c r="D125" s="230"/>
      <c r="E125" s="218"/>
      <c r="F125" s="120"/>
      <c r="V125" s="219"/>
    </row>
    <row r="126" spans="1:22" x14ac:dyDescent="0.2">
      <c r="A126" s="229"/>
      <c r="B126" s="230"/>
      <c r="D126" s="230"/>
      <c r="V126" s="219"/>
    </row>
    <row r="127" spans="1:22" x14ac:dyDescent="0.2">
      <c r="A127" s="229"/>
      <c r="B127" s="230"/>
      <c r="D127" s="230"/>
      <c r="V127" s="219"/>
    </row>
    <row r="128" spans="1:22" x14ac:dyDescent="0.2">
      <c r="A128" s="229"/>
      <c r="B128" s="230"/>
      <c r="D128" s="230"/>
      <c r="V128" s="219"/>
    </row>
    <row r="129" spans="1:22" x14ac:dyDescent="0.2">
      <c r="A129" s="229"/>
      <c r="B129" s="230"/>
      <c r="D129" s="230"/>
      <c r="V129" s="219"/>
    </row>
    <row r="130" spans="1:22" x14ac:dyDescent="0.2">
      <c r="A130" s="229"/>
      <c r="B130" s="230"/>
      <c r="D130" s="230"/>
      <c r="V130" s="219"/>
    </row>
    <row r="131" spans="1:22" x14ac:dyDescent="0.2">
      <c r="A131" s="229"/>
      <c r="B131" s="230"/>
      <c r="D131" s="230"/>
      <c r="V131" s="219"/>
    </row>
    <row r="132" spans="1:22" x14ac:dyDescent="0.2">
      <c r="A132" s="229"/>
      <c r="B132" s="230"/>
      <c r="D132" s="230"/>
      <c r="V132" s="219"/>
    </row>
    <row r="133" spans="1:22" x14ac:dyDescent="0.2">
      <c r="A133" s="229"/>
      <c r="B133" s="230"/>
      <c r="D133" s="230"/>
      <c r="V133" s="219"/>
    </row>
    <row r="134" spans="1:22" x14ac:dyDescent="0.2">
      <c r="A134" s="229"/>
      <c r="B134" s="230"/>
      <c r="D134" s="230"/>
      <c r="V134" s="219"/>
    </row>
    <row r="135" spans="1:22" x14ac:dyDescent="0.2">
      <c r="A135" s="229"/>
      <c r="B135" s="230"/>
      <c r="D135" s="230"/>
      <c r="V135" s="219"/>
    </row>
    <row r="136" spans="1:22" x14ac:dyDescent="0.2">
      <c r="A136" s="229"/>
      <c r="B136" s="230"/>
      <c r="D136" s="230"/>
      <c r="V136" s="219"/>
    </row>
    <row r="137" spans="1:22" x14ac:dyDescent="0.2">
      <c r="A137" s="229"/>
      <c r="B137" s="230"/>
      <c r="D137" s="230"/>
      <c r="V137" s="219"/>
    </row>
    <row r="138" spans="1:22" x14ac:dyDescent="0.2">
      <c r="A138" s="229"/>
      <c r="B138" s="230"/>
      <c r="D138" s="230"/>
      <c r="V138" s="219"/>
    </row>
    <row r="139" spans="1:22" x14ac:dyDescent="0.2">
      <c r="A139" s="229"/>
      <c r="B139" s="230"/>
      <c r="D139" s="230"/>
      <c r="V139" s="219"/>
    </row>
    <row r="140" spans="1:22" x14ac:dyDescent="0.2">
      <c r="A140" s="229"/>
      <c r="B140" s="230"/>
      <c r="D140" s="230"/>
      <c r="E140" s="230"/>
      <c r="V140" s="219"/>
    </row>
    <row r="141" spans="1:22" x14ac:dyDescent="0.2">
      <c r="A141" s="229"/>
      <c r="B141" s="230"/>
      <c r="D141" s="230"/>
      <c r="V141" s="219"/>
    </row>
    <row r="142" spans="1:22" x14ac:dyDescent="0.2">
      <c r="A142" s="229"/>
      <c r="B142" s="230"/>
      <c r="D142" s="230"/>
      <c r="V142" s="219"/>
    </row>
    <row r="143" spans="1:22" x14ac:dyDescent="0.2">
      <c r="A143" s="229"/>
      <c r="B143" s="230"/>
      <c r="D143" s="230"/>
      <c r="V143" s="219"/>
    </row>
    <row r="144" spans="1:22" x14ac:dyDescent="0.2">
      <c r="A144" s="229"/>
      <c r="B144" s="230"/>
      <c r="D144" s="230"/>
      <c r="V144" s="219"/>
    </row>
    <row r="145" spans="1:22" x14ac:dyDescent="0.2">
      <c r="A145" s="229"/>
      <c r="B145" s="230"/>
      <c r="D145" s="230"/>
      <c r="V145" s="219"/>
    </row>
    <row r="146" spans="1:22" x14ac:dyDescent="0.2">
      <c r="A146" s="229"/>
      <c r="B146" s="230"/>
      <c r="D146" s="230"/>
      <c r="V146" s="219"/>
    </row>
    <row r="147" spans="1:22" x14ac:dyDescent="0.2">
      <c r="A147" s="229"/>
      <c r="B147" s="230"/>
      <c r="D147" s="230"/>
      <c r="V147" s="219"/>
    </row>
    <row r="148" spans="1:22" x14ac:dyDescent="0.2">
      <c r="A148" s="229"/>
      <c r="B148" s="230"/>
      <c r="D148" s="230"/>
      <c r="V148" s="219"/>
    </row>
    <row r="149" spans="1:22" x14ac:dyDescent="0.2">
      <c r="A149" s="229"/>
      <c r="B149" s="230"/>
      <c r="D149" s="230"/>
      <c r="V149" s="219"/>
    </row>
    <row r="150" spans="1:22" x14ac:dyDescent="0.2">
      <c r="A150" s="229"/>
      <c r="B150" s="230"/>
      <c r="D150" s="230"/>
      <c r="V150" s="219"/>
    </row>
    <row r="151" spans="1:22" x14ac:dyDescent="0.2">
      <c r="A151" s="229"/>
      <c r="B151" s="230"/>
      <c r="D151" s="230"/>
      <c r="V151" s="219"/>
    </row>
    <row r="152" spans="1:22" x14ac:dyDescent="0.2">
      <c r="A152" s="229"/>
      <c r="B152" s="230"/>
      <c r="D152" s="230"/>
      <c r="V152" s="219"/>
    </row>
    <row r="153" spans="1:22" x14ac:dyDescent="0.2">
      <c r="A153" s="229"/>
      <c r="B153" s="230"/>
      <c r="D153" s="230"/>
      <c r="V153" s="219"/>
    </row>
    <row r="154" spans="1:22" x14ac:dyDescent="0.2">
      <c r="A154" s="229"/>
      <c r="B154" s="230"/>
      <c r="D154" s="230"/>
      <c r="V154" s="219"/>
    </row>
    <row r="155" spans="1:22" x14ac:dyDescent="0.2">
      <c r="A155" s="229"/>
      <c r="B155" s="230"/>
      <c r="D155" s="230"/>
      <c r="V155" s="219"/>
    </row>
    <row r="156" spans="1:22" x14ac:dyDescent="0.2">
      <c r="A156" s="229"/>
      <c r="B156" s="230"/>
      <c r="D156" s="230"/>
      <c r="V156" s="219"/>
    </row>
    <row r="157" spans="1:22" x14ac:dyDescent="0.2">
      <c r="A157" s="229"/>
      <c r="B157" s="230"/>
      <c r="D157" s="230"/>
      <c r="V157" s="219"/>
    </row>
    <row r="158" spans="1:22" x14ac:dyDescent="0.2">
      <c r="A158" s="229"/>
      <c r="B158" s="230"/>
      <c r="D158" s="230"/>
      <c r="V158" s="219"/>
    </row>
    <row r="159" spans="1:22" x14ac:dyDescent="0.2">
      <c r="A159" s="229"/>
      <c r="B159" s="230"/>
      <c r="D159" s="230"/>
      <c r="V159" s="219"/>
    </row>
    <row r="160" spans="1:22" x14ac:dyDescent="0.2">
      <c r="A160" s="229"/>
      <c r="B160" s="230"/>
      <c r="D160" s="230"/>
      <c r="V160" s="219"/>
    </row>
    <row r="161" spans="1:22" x14ac:dyDescent="0.2">
      <c r="A161" s="229"/>
      <c r="B161" s="230"/>
      <c r="D161" s="230"/>
      <c r="V161" s="219"/>
    </row>
    <row r="162" spans="1:22" x14ac:dyDescent="0.2">
      <c r="A162" s="229"/>
      <c r="B162" s="230"/>
      <c r="D162" s="230"/>
      <c r="V162" s="219"/>
    </row>
    <row r="163" spans="1:22" x14ac:dyDescent="0.2">
      <c r="A163" s="229"/>
      <c r="B163" s="230"/>
      <c r="D163" s="230"/>
      <c r="V163" s="219"/>
    </row>
    <row r="164" spans="1:22" x14ac:dyDescent="0.2">
      <c r="A164" s="229"/>
      <c r="B164" s="230"/>
      <c r="D164" s="230"/>
      <c r="V164" s="219"/>
    </row>
    <row r="165" spans="1:22" x14ac:dyDescent="0.2">
      <c r="A165" s="229"/>
      <c r="B165" s="230"/>
      <c r="D165" s="230"/>
      <c r="V165" s="219"/>
    </row>
    <row r="166" spans="1:22" x14ac:dyDescent="0.2">
      <c r="A166" s="229"/>
      <c r="B166" s="230"/>
      <c r="D166" s="230"/>
      <c r="V166" s="219"/>
    </row>
    <row r="167" spans="1:22" x14ac:dyDescent="0.2">
      <c r="A167" s="229"/>
      <c r="B167" s="230"/>
      <c r="D167" s="230"/>
      <c r="V167" s="219"/>
    </row>
    <row r="168" spans="1:22" x14ac:dyDescent="0.2">
      <c r="A168" s="229"/>
      <c r="B168" s="230"/>
      <c r="D168" s="230"/>
      <c r="V168" s="219"/>
    </row>
    <row r="169" spans="1:22" x14ac:dyDescent="0.2">
      <c r="A169" s="229"/>
      <c r="B169" s="230"/>
      <c r="D169" s="230"/>
      <c r="V169" s="219"/>
    </row>
    <row r="170" spans="1:22" x14ac:dyDescent="0.2">
      <c r="A170" s="229"/>
      <c r="B170" s="230"/>
      <c r="D170" s="230"/>
      <c r="V170" s="219"/>
    </row>
    <row r="171" spans="1:22" x14ac:dyDescent="0.2">
      <c r="A171" s="229"/>
      <c r="B171" s="230"/>
      <c r="D171" s="230"/>
      <c r="V171" s="219"/>
    </row>
    <row r="172" spans="1:22" x14ac:dyDescent="0.2">
      <c r="A172" s="229"/>
      <c r="B172" s="230"/>
      <c r="D172" s="230"/>
      <c r="V172" s="219"/>
    </row>
    <row r="173" spans="1:22" x14ac:dyDescent="0.2">
      <c r="A173" s="229"/>
      <c r="B173" s="230"/>
      <c r="D173" s="230"/>
      <c r="V173" s="219"/>
    </row>
    <row r="174" spans="1:22" x14ac:dyDescent="0.2">
      <c r="A174" s="229"/>
      <c r="B174" s="230"/>
      <c r="D174" s="230"/>
      <c r="V174" s="219"/>
    </row>
    <row r="175" spans="1:22" x14ac:dyDescent="0.2">
      <c r="A175" s="229"/>
      <c r="B175" s="230"/>
      <c r="D175" s="230"/>
      <c r="V175" s="219"/>
    </row>
    <row r="176" spans="1:22" x14ac:dyDescent="0.2">
      <c r="A176" s="229"/>
      <c r="B176" s="230"/>
      <c r="D176" s="230"/>
      <c r="V176" s="219"/>
    </row>
    <row r="177" spans="1:22" x14ac:dyDescent="0.2">
      <c r="A177" s="229"/>
      <c r="B177" s="230"/>
      <c r="D177" s="230"/>
      <c r="V177" s="219"/>
    </row>
    <row r="178" spans="1:22" x14ac:dyDescent="0.2">
      <c r="A178" s="229"/>
      <c r="B178" s="230"/>
      <c r="D178" s="230"/>
      <c r="V178" s="219"/>
    </row>
    <row r="179" spans="1:22" x14ac:dyDescent="0.2">
      <c r="A179" s="229"/>
      <c r="B179" s="230"/>
      <c r="D179" s="230"/>
      <c r="V179" s="219"/>
    </row>
    <row r="180" spans="1:22" x14ac:dyDescent="0.2">
      <c r="A180" s="229"/>
      <c r="B180" s="230"/>
      <c r="D180" s="230"/>
      <c r="V180" s="219"/>
    </row>
    <row r="181" spans="1:22" x14ac:dyDescent="0.2">
      <c r="A181" s="229"/>
      <c r="B181" s="230"/>
      <c r="D181" s="230"/>
      <c r="V181" s="219"/>
    </row>
    <row r="182" spans="1:22" x14ac:dyDescent="0.2">
      <c r="A182" s="229"/>
      <c r="B182" s="230"/>
      <c r="D182" s="230"/>
      <c r="V182" s="219"/>
    </row>
    <row r="183" spans="1:22" x14ac:dyDescent="0.2">
      <c r="A183" s="229"/>
      <c r="B183" s="230"/>
      <c r="D183" s="230"/>
      <c r="V183" s="219"/>
    </row>
    <row r="184" spans="1:22" x14ac:dyDescent="0.2">
      <c r="A184" s="229"/>
      <c r="B184" s="230"/>
      <c r="D184" s="230"/>
      <c r="V184" s="219"/>
    </row>
    <row r="185" spans="1:22" x14ac:dyDescent="0.2">
      <c r="A185" s="229"/>
      <c r="B185" s="230"/>
      <c r="D185" s="230"/>
      <c r="V185" s="219"/>
    </row>
    <row r="186" spans="1:22" x14ac:dyDescent="0.2">
      <c r="A186" s="229"/>
      <c r="B186" s="230"/>
      <c r="D186" s="230"/>
      <c r="V186" s="219"/>
    </row>
    <row r="187" spans="1:22" x14ac:dyDescent="0.2">
      <c r="A187" s="229"/>
      <c r="B187" s="230"/>
      <c r="D187" s="230"/>
      <c r="V187" s="219"/>
    </row>
    <row r="188" spans="1:22" x14ac:dyDescent="0.2">
      <c r="A188" s="229"/>
      <c r="B188" s="230"/>
      <c r="D188" s="230"/>
      <c r="V188" s="219"/>
    </row>
    <row r="189" spans="1:22" x14ac:dyDescent="0.2">
      <c r="A189" s="229"/>
      <c r="B189" s="230"/>
      <c r="D189" s="230"/>
      <c r="V189" s="219"/>
    </row>
    <row r="190" spans="1:22" x14ac:dyDescent="0.2">
      <c r="A190" s="229"/>
      <c r="B190" s="230"/>
      <c r="D190" s="230"/>
      <c r="V190" s="219"/>
    </row>
    <row r="191" spans="1:22" x14ac:dyDescent="0.2">
      <c r="A191" s="229"/>
      <c r="B191" s="230"/>
      <c r="D191" s="230"/>
      <c r="V191" s="219"/>
    </row>
    <row r="192" spans="1:22" x14ac:dyDescent="0.2">
      <c r="A192" s="229"/>
      <c r="B192" s="230"/>
      <c r="D192" s="230"/>
      <c r="V192" s="219"/>
    </row>
    <row r="193" spans="1:22" x14ac:dyDescent="0.2">
      <c r="A193" s="229"/>
      <c r="B193" s="230"/>
      <c r="D193" s="230"/>
      <c r="V193" s="219"/>
    </row>
    <row r="194" spans="1:22" x14ac:dyDescent="0.2">
      <c r="A194" s="229"/>
      <c r="B194" s="230"/>
      <c r="D194" s="230"/>
      <c r="V194" s="219"/>
    </row>
    <row r="195" spans="1:22" x14ac:dyDescent="0.2">
      <c r="A195" s="229"/>
      <c r="B195" s="230"/>
      <c r="D195" s="230"/>
      <c r="V195" s="219"/>
    </row>
    <row r="196" spans="1:22" x14ac:dyDescent="0.2">
      <c r="A196" s="229"/>
      <c r="B196" s="230"/>
      <c r="D196" s="230"/>
      <c r="V196" s="219"/>
    </row>
    <row r="197" spans="1:22" x14ac:dyDescent="0.2">
      <c r="A197" s="229"/>
      <c r="B197" s="230"/>
      <c r="D197" s="230"/>
      <c r="V197" s="219"/>
    </row>
    <row r="198" spans="1:22" x14ac:dyDescent="0.2">
      <c r="A198" s="229"/>
      <c r="B198" s="230"/>
      <c r="D198" s="230"/>
      <c r="V198" s="219"/>
    </row>
    <row r="199" spans="1:22" x14ac:dyDescent="0.2">
      <c r="A199" s="229"/>
      <c r="B199" s="230"/>
      <c r="D199" s="230"/>
      <c r="V199" s="219"/>
    </row>
    <row r="200" spans="1:22" x14ac:dyDescent="0.2">
      <c r="A200" s="229"/>
      <c r="B200" s="230"/>
      <c r="D200" s="230"/>
      <c r="V200" s="219"/>
    </row>
    <row r="201" spans="1:22" x14ac:dyDescent="0.2">
      <c r="A201" s="229"/>
      <c r="B201" s="230"/>
      <c r="D201" s="230"/>
      <c r="V201" s="219"/>
    </row>
    <row r="202" spans="1:22" x14ac:dyDescent="0.2">
      <c r="A202" s="229"/>
      <c r="B202" s="230"/>
      <c r="D202" s="230"/>
      <c r="V202" s="219"/>
    </row>
    <row r="203" spans="1:22" x14ac:dyDescent="0.2">
      <c r="A203" s="229"/>
      <c r="B203" s="230"/>
      <c r="D203" s="230"/>
      <c r="V203" s="219"/>
    </row>
    <row r="204" spans="1:22" x14ac:dyDescent="0.2">
      <c r="A204" s="229"/>
      <c r="B204" s="230"/>
      <c r="D204" s="230"/>
      <c r="V204" s="219"/>
    </row>
    <row r="205" spans="1:22" x14ac:dyDescent="0.2">
      <c r="A205" s="229"/>
      <c r="B205" s="230"/>
      <c r="D205" s="230"/>
      <c r="V205" s="219"/>
    </row>
    <row r="206" spans="1:22" x14ac:dyDescent="0.2">
      <c r="A206" s="229"/>
      <c r="B206" s="230"/>
      <c r="D206" s="230"/>
      <c r="V206" s="219"/>
    </row>
    <row r="207" spans="1:22" x14ac:dyDescent="0.2">
      <c r="A207" s="229"/>
      <c r="B207" s="230"/>
      <c r="D207" s="230"/>
      <c r="V207" s="219"/>
    </row>
    <row r="208" spans="1:22" x14ac:dyDescent="0.2">
      <c r="A208" s="229"/>
      <c r="B208" s="230"/>
      <c r="D208" s="230"/>
      <c r="V208" s="219"/>
    </row>
    <row r="209" spans="1:22" x14ac:dyDescent="0.2">
      <c r="A209" s="229"/>
      <c r="B209" s="230"/>
      <c r="D209" s="230"/>
      <c r="V209" s="219"/>
    </row>
    <row r="210" spans="1:22" x14ac:dyDescent="0.2">
      <c r="A210" s="229"/>
      <c r="B210" s="230"/>
      <c r="D210" s="230"/>
      <c r="V210" s="219"/>
    </row>
    <row r="211" spans="1:22" x14ac:dyDescent="0.2">
      <c r="A211" s="229"/>
      <c r="B211" s="230"/>
      <c r="D211" s="230"/>
      <c r="V211" s="219"/>
    </row>
    <row r="212" spans="1:22" x14ac:dyDescent="0.2">
      <c r="A212" s="229"/>
      <c r="B212" s="230"/>
      <c r="D212" s="230"/>
      <c r="V212" s="219"/>
    </row>
    <row r="213" spans="1:22" x14ac:dyDescent="0.2">
      <c r="A213" s="229"/>
      <c r="B213" s="230"/>
      <c r="D213" s="230"/>
      <c r="V213" s="219"/>
    </row>
    <row r="214" spans="1:22" x14ac:dyDescent="0.2">
      <c r="A214" s="229"/>
      <c r="B214" s="230"/>
      <c r="D214" s="230"/>
      <c r="V214" s="219"/>
    </row>
    <row r="215" spans="1:22" x14ac:dyDescent="0.2">
      <c r="A215" s="229"/>
      <c r="B215" s="230"/>
      <c r="D215" s="230"/>
      <c r="V215" s="219"/>
    </row>
    <row r="216" spans="1:22" x14ac:dyDescent="0.2">
      <c r="A216" s="229"/>
      <c r="B216" s="230"/>
      <c r="D216" s="230"/>
      <c r="V216" s="219"/>
    </row>
    <row r="217" spans="1:22" x14ac:dyDescent="0.2">
      <c r="A217" s="229"/>
      <c r="B217" s="230"/>
      <c r="D217" s="230"/>
      <c r="V217" s="219"/>
    </row>
    <row r="218" spans="1:22" x14ac:dyDescent="0.2">
      <c r="A218" s="229"/>
      <c r="B218" s="230"/>
      <c r="D218" s="230"/>
      <c r="V218" s="219"/>
    </row>
    <row r="219" spans="1:22" x14ac:dyDescent="0.2">
      <c r="A219" s="229"/>
      <c r="B219" s="230"/>
      <c r="D219" s="230"/>
      <c r="V219" s="219"/>
    </row>
    <row r="220" spans="1:22" x14ac:dyDescent="0.2">
      <c r="A220" s="229"/>
      <c r="B220" s="230"/>
      <c r="D220" s="230"/>
      <c r="V220" s="219"/>
    </row>
    <row r="221" spans="1:22" x14ac:dyDescent="0.2">
      <c r="A221" s="229"/>
      <c r="B221" s="230"/>
      <c r="D221" s="230"/>
      <c r="V221" s="219"/>
    </row>
    <row r="222" spans="1:22" x14ac:dyDescent="0.2">
      <c r="A222" s="229"/>
      <c r="B222" s="230"/>
      <c r="D222" s="230"/>
      <c r="V222" s="219"/>
    </row>
    <row r="223" spans="1:22" x14ac:dyDescent="0.2">
      <c r="A223" s="229"/>
      <c r="B223" s="230"/>
      <c r="D223" s="230"/>
      <c r="V223" s="219"/>
    </row>
    <row r="224" spans="1:22" x14ac:dyDescent="0.2">
      <c r="A224" s="229"/>
      <c r="B224" s="230"/>
      <c r="D224" s="230"/>
      <c r="V224" s="219"/>
    </row>
    <row r="225" spans="1:22" x14ac:dyDescent="0.2">
      <c r="A225" s="229"/>
      <c r="B225" s="230"/>
      <c r="D225" s="230"/>
      <c r="V225" s="219"/>
    </row>
    <row r="226" spans="1:22" x14ac:dyDescent="0.2">
      <c r="A226" s="229"/>
      <c r="B226" s="230"/>
      <c r="D226" s="230"/>
      <c r="V226" s="219"/>
    </row>
    <row r="227" spans="1:22" x14ac:dyDescent="0.2">
      <c r="A227" s="229"/>
      <c r="B227" s="230"/>
      <c r="D227" s="230"/>
      <c r="V227" s="219"/>
    </row>
    <row r="228" spans="1:22" x14ac:dyDescent="0.2">
      <c r="A228" s="229"/>
      <c r="B228" s="230"/>
      <c r="D228" s="230"/>
      <c r="V228" s="219"/>
    </row>
    <row r="229" spans="1:22" x14ac:dyDescent="0.2">
      <c r="A229" s="229"/>
      <c r="B229" s="230"/>
      <c r="D229" s="230"/>
      <c r="V229" s="219"/>
    </row>
    <row r="230" spans="1:22" x14ac:dyDescent="0.2">
      <c r="A230" s="229"/>
      <c r="B230" s="230"/>
      <c r="D230" s="230"/>
      <c r="V230" s="219"/>
    </row>
    <row r="231" spans="1:22" x14ac:dyDescent="0.2">
      <c r="A231" s="229"/>
      <c r="B231" s="230"/>
      <c r="D231" s="230"/>
      <c r="V231" s="219"/>
    </row>
    <row r="232" spans="1:22" x14ac:dyDescent="0.2">
      <c r="A232" s="229"/>
      <c r="B232" s="230"/>
      <c r="D232" s="230"/>
      <c r="V232" s="219"/>
    </row>
    <row r="233" spans="1:22" x14ac:dyDescent="0.2">
      <c r="A233" s="229"/>
      <c r="B233" s="230"/>
      <c r="D233" s="230"/>
      <c r="V233" s="219"/>
    </row>
    <row r="234" spans="1:22" x14ac:dyDescent="0.2">
      <c r="A234" s="229"/>
      <c r="B234" s="230"/>
      <c r="D234" s="230"/>
      <c r="V234" s="219"/>
    </row>
    <row r="235" spans="1:22" x14ac:dyDescent="0.2">
      <c r="A235" s="229"/>
      <c r="B235" s="230"/>
      <c r="D235" s="230"/>
      <c r="V235" s="219"/>
    </row>
    <row r="236" spans="1:22" x14ac:dyDescent="0.2">
      <c r="A236" s="229"/>
      <c r="B236" s="230"/>
      <c r="D236" s="230"/>
      <c r="V236" s="219"/>
    </row>
    <row r="237" spans="1:22" x14ac:dyDescent="0.2">
      <c r="A237" s="229"/>
      <c r="B237" s="230"/>
      <c r="D237" s="230"/>
      <c r="V237" s="219"/>
    </row>
    <row r="238" spans="1:22" x14ac:dyDescent="0.2">
      <c r="A238" s="229"/>
      <c r="B238" s="230"/>
      <c r="D238" s="230"/>
      <c r="V238" s="219"/>
    </row>
    <row r="239" spans="1:22" x14ac:dyDescent="0.2">
      <c r="A239" s="229"/>
      <c r="B239" s="230"/>
      <c r="D239" s="230"/>
      <c r="V239" s="219"/>
    </row>
    <row r="240" spans="1:22" x14ac:dyDescent="0.2">
      <c r="A240" s="229"/>
      <c r="B240" s="230"/>
      <c r="D240" s="230"/>
      <c r="V240" s="219"/>
    </row>
    <row r="241" spans="1:22" x14ac:dyDescent="0.2">
      <c r="A241" s="229"/>
      <c r="B241" s="230"/>
      <c r="D241" s="230"/>
      <c r="V241" s="219"/>
    </row>
    <row r="242" spans="1:22" x14ac:dyDescent="0.2">
      <c r="A242" s="229"/>
      <c r="B242" s="230"/>
      <c r="D242" s="230"/>
      <c r="V242" s="219"/>
    </row>
    <row r="243" spans="1:22" x14ac:dyDescent="0.2">
      <c r="A243" s="229"/>
      <c r="B243" s="230"/>
      <c r="D243" s="230"/>
      <c r="V243" s="219"/>
    </row>
    <row r="244" spans="1:22" x14ac:dyDescent="0.2">
      <c r="A244" s="229"/>
      <c r="B244" s="230"/>
      <c r="D244" s="230"/>
      <c r="V244" s="219"/>
    </row>
    <row r="245" spans="1:22" x14ac:dyDescent="0.2">
      <c r="A245" s="229"/>
      <c r="B245" s="230"/>
      <c r="D245" s="230"/>
      <c r="V245" s="219"/>
    </row>
    <row r="246" spans="1:22" x14ac:dyDescent="0.2">
      <c r="A246" s="229"/>
      <c r="B246" s="230"/>
      <c r="D246" s="230"/>
      <c r="V246" s="219"/>
    </row>
    <row r="247" spans="1:22" x14ac:dyDescent="0.2">
      <c r="A247" s="229"/>
      <c r="B247" s="230"/>
      <c r="D247" s="230"/>
      <c r="V247" s="219"/>
    </row>
    <row r="248" spans="1:22" x14ac:dyDescent="0.2">
      <c r="A248" s="229"/>
      <c r="B248" s="230"/>
      <c r="D248" s="230"/>
      <c r="V248" s="219"/>
    </row>
    <row r="249" spans="1:22" x14ac:dyDescent="0.2">
      <c r="A249" s="229"/>
      <c r="B249" s="230"/>
      <c r="D249" s="230"/>
      <c r="V249" s="219"/>
    </row>
    <row r="250" spans="1:22" x14ac:dyDescent="0.2">
      <c r="A250" s="229"/>
      <c r="B250" s="230"/>
      <c r="D250" s="230"/>
      <c r="V250" s="219"/>
    </row>
    <row r="251" spans="1:22" x14ac:dyDescent="0.2">
      <c r="A251" s="229"/>
      <c r="B251" s="230"/>
      <c r="D251" s="230"/>
      <c r="V251" s="219"/>
    </row>
    <row r="252" spans="1:22" x14ac:dyDescent="0.2">
      <c r="A252" s="229"/>
      <c r="B252" s="230"/>
      <c r="D252" s="230"/>
      <c r="V252" s="219"/>
    </row>
    <row r="253" spans="1:22" x14ac:dyDescent="0.2">
      <c r="A253" s="229"/>
      <c r="B253" s="230"/>
      <c r="D253" s="230"/>
      <c r="V253" s="219"/>
    </row>
    <row r="254" spans="1:22" x14ac:dyDescent="0.2">
      <c r="A254" s="229"/>
      <c r="B254" s="230"/>
      <c r="D254" s="230"/>
      <c r="V254" s="219"/>
    </row>
    <row r="255" spans="1:22" x14ac:dyDescent="0.2">
      <c r="A255" s="229"/>
      <c r="B255" s="230"/>
      <c r="D255" s="230"/>
      <c r="V255" s="219"/>
    </row>
    <row r="256" spans="1:22" x14ac:dyDescent="0.2">
      <c r="A256" s="229"/>
      <c r="B256" s="230"/>
      <c r="D256" s="230"/>
      <c r="V256" s="219"/>
    </row>
    <row r="257" spans="1:22" x14ac:dyDescent="0.2">
      <c r="A257" s="229"/>
      <c r="B257" s="230"/>
      <c r="D257" s="230"/>
      <c r="V257" s="219"/>
    </row>
    <row r="258" spans="1:22" x14ac:dyDescent="0.2">
      <c r="A258" s="229"/>
      <c r="B258" s="230"/>
      <c r="D258" s="230"/>
      <c r="V258" s="219"/>
    </row>
    <row r="259" spans="1:22" x14ac:dyDescent="0.2">
      <c r="A259" s="229"/>
      <c r="B259" s="230"/>
      <c r="D259" s="230"/>
      <c r="V259" s="219"/>
    </row>
    <row r="260" spans="1:22" x14ac:dyDescent="0.2">
      <c r="A260" s="229"/>
      <c r="B260" s="230"/>
      <c r="D260" s="230"/>
      <c r="V260" s="219"/>
    </row>
    <row r="261" spans="1:22" x14ac:dyDescent="0.2">
      <c r="A261" s="229"/>
      <c r="B261" s="230"/>
      <c r="D261" s="230"/>
      <c r="V261" s="219"/>
    </row>
    <row r="262" spans="1:22" x14ac:dyDescent="0.2">
      <c r="A262" s="229"/>
      <c r="B262" s="230"/>
      <c r="D262" s="230"/>
      <c r="V262" s="219"/>
    </row>
    <row r="263" spans="1:22" x14ac:dyDescent="0.2">
      <c r="A263" s="229"/>
      <c r="B263" s="230"/>
      <c r="D263" s="230"/>
      <c r="V263" s="219"/>
    </row>
    <row r="264" spans="1:22" x14ac:dyDescent="0.2">
      <c r="A264" s="229"/>
      <c r="B264" s="230"/>
      <c r="D264" s="230"/>
      <c r="V264" s="219"/>
    </row>
    <row r="265" spans="1:22" x14ac:dyDescent="0.2">
      <c r="A265" s="229"/>
      <c r="B265" s="230"/>
      <c r="D265" s="230"/>
      <c r="V265" s="219"/>
    </row>
    <row r="266" spans="1:22" x14ac:dyDescent="0.2">
      <c r="A266" s="229"/>
      <c r="B266" s="230"/>
      <c r="D266" s="230"/>
      <c r="V266" s="219"/>
    </row>
    <row r="267" spans="1:22" x14ac:dyDescent="0.2">
      <c r="A267" s="229"/>
      <c r="B267" s="230"/>
      <c r="D267" s="230"/>
      <c r="V267" s="219"/>
    </row>
    <row r="268" spans="1:22" x14ac:dyDescent="0.2">
      <c r="A268" s="229"/>
      <c r="B268" s="230"/>
      <c r="D268" s="230"/>
      <c r="V268" s="219"/>
    </row>
    <row r="269" spans="1:22" x14ac:dyDescent="0.2">
      <c r="A269" s="229"/>
      <c r="B269" s="230"/>
      <c r="D269" s="230"/>
      <c r="V269" s="219"/>
    </row>
    <row r="270" spans="1:22" x14ac:dyDescent="0.2">
      <c r="A270" s="229"/>
      <c r="B270" s="230"/>
      <c r="D270" s="230"/>
      <c r="V270" s="219"/>
    </row>
    <row r="271" spans="1:22" x14ac:dyDescent="0.2">
      <c r="A271" s="229"/>
      <c r="B271" s="230"/>
      <c r="D271" s="230"/>
      <c r="V271" s="219"/>
    </row>
    <row r="272" spans="1:22" x14ac:dyDescent="0.2">
      <c r="A272" s="229"/>
      <c r="B272" s="230"/>
      <c r="D272" s="230"/>
      <c r="V272" s="219"/>
    </row>
    <row r="273" spans="1:22" x14ac:dyDescent="0.2">
      <c r="A273" s="229"/>
      <c r="B273" s="230"/>
      <c r="D273" s="230"/>
      <c r="V273" s="219"/>
    </row>
    <row r="274" spans="1:22" x14ac:dyDescent="0.2">
      <c r="A274" s="229"/>
      <c r="B274" s="230"/>
      <c r="D274" s="230"/>
      <c r="V274" s="219"/>
    </row>
    <row r="275" spans="1:22" x14ac:dyDescent="0.2">
      <c r="A275" s="229"/>
      <c r="B275" s="230"/>
      <c r="D275" s="230"/>
      <c r="V275" s="219"/>
    </row>
    <row r="276" spans="1:22" x14ac:dyDescent="0.2">
      <c r="A276" s="229"/>
      <c r="B276" s="230"/>
      <c r="D276" s="230"/>
      <c r="V276" s="219"/>
    </row>
    <row r="277" spans="1:22" x14ac:dyDescent="0.2">
      <c r="A277" s="229"/>
      <c r="B277" s="230"/>
      <c r="D277" s="230"/>
      <c r="V277" s="219"/>
    </row>
    <row r="278" spans="1:22" x14ac:dyDescent="0.2">
      <c r="A278" s="229"/>
      <c r="B278" s="230"/>
      <c r="D278" s="230"/>
      <c r="V278" s="219"/>
    </row>
    <row r="279" spans="1:22" x14ac:dyDescent="0.2">
      <c r="A279" s="229"/>
      <c r="B279" s="230"/>
      <c r="D279" s="230"/>
      <c r="V279" s="219"/>
    </row>
    <row r="280" spans="1:22" x14ac:dyDescent="0.2">
      <c r="A280" s="229"/>
      <c r="B280" s="230"/>
      <c r="D280" s="230"/>
      <c r="V280" s="219"/>
    </row>
    <row r="281" spans="1:22" x14ac:dyDescent="0.2">
      <c r="A281" s="229"/>
      <c r="B281" s="230"/>
      <c r="D281" s="230"/>
      <c r="V281" s="219"/>
    </row>
    <row r="282" spans="1:22" x14ac:dyDescent="0.2">
      <c r="A282" s="229"/>
      <c r="B282" s="230"/>
      <c r="D282" s="230"/>
      <c r="V282" s="219"/>
    </row>
    <row r="283" spans="1:22" x14ac:dyDescent="0.2">
      <c r="A283" s="229"/>
      <c r="B283" s="230"/>
      <c r="D283" s="230"/>
      <c r="V283" s="219"/>
    </row>
    <row r="284" spans="1:22" x14ac:dyDescent="0.2">
      <c r="A284" s="229"/>
      <c r="B284" s="230"/>
      <c r="D284" s="230"/>
      <c r="V284" s="219"/>
    </row>
    <row r="285" spans="1:22" x14ac:dyDescent="0.2">
      <c r="A285" s="229"/>
      <c r="B285" s="230"/>
      <c r="D285" s="230"/>
      <c r="V285" s="219"/>
    </row>
    <row r="286" spans="1:22" x14ac:dyDescent="0.2">
      <c r="A286" s="229"/>
      <c r="B286" s="230"/>
      <c r="D286" s="230"/>
      <c r="V286" s="219"/>
    </row>
    <row r="287" spans="1:22" x14ac:dyDescent="0.2">
      <c r="A287" s="229"/>
      <c r="B287" s="230"/>
      <c r="D287" s="230"/>
      <c r="V287" s="219"/>
    </row>
    <row r="288" spans="1:22" x14ac:dyDescent="0.2">
      <c r="A288" s="229"/>
      <c r="B288" s="230"/>
      <c r="D288" s="230"/>
      <c r="V288" s="219"/>
    </row>
    <row r="289" spans="1:22" x14ac:dyDescent="0.2">
      <c r="A289" s="229"/>
      <c r="B289" s="230"/>
      <c r="D289" s="230"/>
      <c r="V289" s="219"/>
    </row>
    <row r="290" spans="1:22" x14ac:dyDescent="0.2">
      <c r="A290" s="229"/>
      <c r="B290" s="230"/>
      <c r="D290" s="230"/>
      <c r="V290" s="219"/>
    </row>
    <row r="291" spans="1:22" x14ac:dyDescent="0.2">
      <c r="A291" s="229"/>
      <c r="B291" s="230"/>
      <c r="D291" s="230"/>
      <c r="V291" s="219"/>
    </row>
    <row r="292" spans="1:22" x14ac:dyDescent="0.2">
      <c r="A292" s="229"/>
      <c r="B292" s="230"/>
      <c r="D292" s="230"/>
      <c r="V292" s="219"/>
    </row>
    <row r="293" spans="1:22" x14ac:dyDescent="0.2">
      <c r="A293" s="229"/>
      <c r="B293" s="230"/>
      <c r="D293" s="230"/>
      <c r="V293" s="219"/>
    </row>
    <row r="294" spans="1:22" x14ac:dyDescent="0.2">
      <c r="A294" s="229"/>
      <c r="B294" s="230"/>
      <c r="D294" s="230"/>
      <c r="V294" s="219"/>
    </row>
    <row r="295" spans="1:22" x14ac:dyDescent="0.2">
      <c r="A295" s="229"/>
      <c r="B295" s="230"/>
      <c r="D295" s="230"/>
      <c r="V295" s="219"/>
    </row>
    <row r="296" spans="1:22" x14ac:dyDescent="0.2">
      <c r="A296" s="229"/>
      <c r="B296" s="230"/>
      <c r="D296" s="230"/>
      <c r="V296" s="219"/>
    </row>
    <row r="297" spans="1:22" x14ac:dyDescent="0.2">
      <c r="A297" s="229"/>
      <c r="B297" s="230"/>
      <c r="D297" s="230"/>
      <c r="V297" s="219"/>
    </row>
    <row r="298" spans="1:22" x14ac:dyDescent="0.2">
      <c r="A298" s="229"/>
      <c r="B298" s="230"/>
      <c r="D298" s="230"/>
      <c r="V298" s="219"/>
    </row>
    <row r="299" spans="1:22" x14ac:dyDescent="0.2">
      <c r="A299" s="229"/>
      <c r="B299" s="230"/>
      <c r="D299" s="230"/>
      <c r="V299" s="219"/>
    </row>
    <row r="300" spans="1:22" x14ac:dyDescent="0.2">
      <c r="A300" s="229"/>
      <c r="B300" s="230"/>
      <c r="D300" s="230"/>
      <c r="V300" s="219"/>
    </row>
    <row r="301" spans="1:22" x14ac:dyDescent="0.2">
      <c r="A301" s="229"/>
      <c r="B301" s="230"/>
      <c r="D301" s="230"/>
      <c r="V301" s="219"/>
    </row>
    <row r="302" spans="1:22" x14ac:dyDescent="0.2">
      <c r="A302" s="229"/>
      <c r="B302" s="230"/>
      <c r="D302" s="230"/>
      <c r="V302" s="219"/>
    </row>
    <row r="303" spans="1:22" x14ac:dyDescent="0.2">
      <c r="A303" s="229"/>
      <c r="B303" s="230"/>
      <c r="D303" s="230"/>
      <c r="V303" s="219"/>
    </row>
    <row r="304" spans="1:22" x14ac:dyDescent="0.2">
      <c r="A304" s="229"/>
      <c r="B304" s="230"/>
      <c r="D304" s="230"/>
      <c r="V304" s="219"/>
    </row>
    <row r="305" spans="1:22" x14ac:dyDescent="0.2">
      <c r="A305" s="229"/>
      <c r="B305" s="230"/>
      <c r="D305" s="230"/>
      <c r="V305" s="219"/>
    </row>
    <row r="306" spans="1:22" x14ac:dyDescent="0.2">
      <c r="A306" s="229"/>
      <c r="B306" s="230"/>
      <c r="D306" s="230"/>
      <c r="V306" s="219"/>
    </row>
    <row r="307" spans="1:22" x14ac:dyDescent="0.2">
      <c r="A307" s="229"/>
      <c r="B307" s="230"/>
      <c r="D307" s="230"/>
      <c r="V307" s="219"/>
    </row>
    <row r="308" spans="1:22" x14ac:dyDescent="0.2">
      <c r="A308" s="229"/>
      <c r="B308" s="230"/>
      <c r="D308" s="230"/>
      <c r="V308" s="219"/>
    </row>
    <row r="309" spans="1:22" x14ac:dyDescent="0.2">
      <c r="A309" s="229"/>
      <c r="B309" s="230"/>
      <c r="D309" s="230"/>
      <c r="V309" s="219"/>
    </row>
    <row r="310" spans="1:22" x14ac:dyDescent="0.2">
      <c r="A310" s="229"/>
      <c r="B310" s="230"/>
      <c r="D310" s="230"/>
      <c r="V310" s="219"/>
    </row>
    <row r="311" spans="1:22" x14ac:dyDescent="0.2">
      <c r="A311" s="229"/>
      <c r="B311" s="230"/>
      <c r="D311" s="230"/>
      <c r="V311" s="219"/>
    </row>
    <row r="312" spans="1:22" x14ac:dyDescent="0.2">
      <c r="A312" s="229"/>
      <c r="B312" s="230"/>
      <c r="D312" s="230"/>
      <c r="V312" s="219"/>
    </row>
    <row r="313" spans="1:22" x14ac:dyDescent="0.2">
      <c r="A313" s="229"/>
      <c r="B313" s="230"/>
      <c r="D313" s="230"/>
      <c r="V313" s="219"/>
    </row>
    <row r="314" spans="1:22" x14ac:dyDescent="0.2">
      <c r="A314" s="229"/>
      <c r="B314" s="230"/>
      <c r="D314" s="230"/>
      <c r="V314" s="219"/>
    </row>
    <row r="315" spans="1:22" x14ac:dyDescent="0.2">
      <c r="A315" s="229"/>
      <c r="B315" s="230"/>
      <c r="D315" s="230"/>
      <c r="V315" s="219"/>
    </row>
    <row r="316" spans="1:22" x14ac:dyDescent="0.2">
      <c r="A316" s="229"/>
      <c r="B316" s="230"/>
      <c r="D316" s="230"/>
      <c r="V316" s="219"/>
    </row>
    <row r="317" spans="1:22" x14ac:dyDescent="0.2">
      <c r="A317" s="229"/>
      <c r="B317" s="230"/>
      <c r="D317" s="230"/>
      <c r="V317" s="219"/>
    </row>
    <row r="318" spans="1:22" x14ac:dyDescent="0.2">
      <c r="A318" s="229"/>
      <c r="B318" s="230"/>
      <c r="D318" s="230"/>
      <c r="V318" s="219"/>
    </row>
    <row r="319" spans="1:22" x14ac:dyDescent="0.2">
      <c r="A319" s="229"/>
      <c r="B319" s="230"/>
      <c r="D319" s="230"/>
      <c r="V319" s="219"/>
    </row>
    <row r="320" spans="1:22" x14ac:dyDescent="0.2">
      <c r="A320" s="229"/>
      <c r="B320" s="230"/>
      <c r="D320" s="230"/>
      <c r="V320" s="219"/>
    </row>
    <row r="321" spans="1:22" x14ac:dyDescent="0.2">
      <c r="A321" s="229"/>
      <c r="B321" s="230"/>
      <c r="D321" s="230"/>
      <c r="V321" s="219"/>
    </row>
    <row r="322" spans="1:22" x14ac:dyDescent="0.2">
      <c r="A322" s="229"/>
      <c r="B322" s="230"/>
      <c r="D322" s="230"/>
      <c r="V322" s="219"/>
    </row>
    <row r="323" spans="1:22" x14ac:dyDescent="0.2">
      <c r="A323" s="229"/>
      <c r="B323" s="230"/>
      <c r="C323" s="120"/>
      <c r="D323" s="230"/>
      <c r="V323" s="219"/>
    </row>
    <row r="324" spans="1:22" x14ac:dyDescent="0.2">
      <c r="A324" s="229"/>
      <c r="B324" s="230"/>
      <c r="D324" s="230"/>
      <c r="V324" s="219"/>
    </row>
    <row r="325" spans="1:22" x14ac:dyDescent="0.2">
      <c r="A325" s="229"/>
      <c r="B325" s="230"/>
      <c r="D325" s="230"/>
      <c r="V325" s="219"/>
    </row>
    <row r="326" spans="1:22" x14ac:dyDescent="0.2">
      <c r="A326" s="229"/>
      <c r="B326" s="230"/>
      <c r="D326" s="230"/>
      <c r="V326" s="219"/>
    </row>
    <row r="327" spans="1:22" x14ac:dyDescent="0.2">
      <c r="A327" s="229"/>
      <c r="B327" s="230"/>
      <c r="D327" s="230"/>
      <c r="V327" s="219"/>
    </row>
    <row r="328" spans="1:22" x14ac:dyDescent="0.2">
      <c r="A328" s="229"/>
      <c r="B328" s="230"/>
      <c r="D328" s="230"/>
      <c r="V328" s="219"/>
    </row>
    <row r="329" spans="1:22" x14ac:dyDescent="0.2">
      <c r="A329" s="229"/>
      <c r="B329" s="230"/>
      <c r="D329" s="230"/>
      <c r="V329" s="219"/>
    </row>
    <row r="330" spans="1:22" x14ac:dyDescent="0.2">
      <c r="A330" s="229"/>
      <c r="B330" s="230"/>
      <c r="D330" s="230"/>
      <c r="V330" s="219"/>
    </row>
    <row r="331" spans="1:22" x14ac:dyDescent="0.2">
      <c r="A331" s="229"/>
      <c r="B331" s="230"/>
      <c r="D331" s="230"/>
      <c r="V331" s="219"/>
    </row>
    <row r="332" spans="1:22" x14ac:dyDescent="0.2">
      <c r="A332" s="229"/>
      <c r="B332" s="230"/>
      <c r="D332" s="230"/>
      <c r="V332" s="219"/>
    </row>
    <row r="333" spans="1:22" x14ac:dyDescent="0.2">
      <c r="A333" s="229"/>
      <c r="B333" s="230"/>
      <c r="D333" s="230"/>
      <c r="V333" s="219"/>
    </row>
    <row r="334" spans="1:22" x14ac:dyDescent="0.2">
      <c r="A334" s="229"/>
      <c r="B334" s="230"/>
      <c r="D334" s="230"/>
      <c r="V334" s="219"/>
    </row>
    <row r="335" spans="1:22" x14ac:dyDescent="0.2">
      <c r="A335" s="229"/>
      <c r="B335" s="230"/>
      <c r="D335" s="230"/>
      <c r="V335" s="219"/>
    </row>
    <row r="336" spans="1:22" x14ac:dyDescent="0.2">
      <c r="A336" s="229"/>
      <c r="B336" s="230"/>
      <c r="D336" s="230"/>
      <c r="V336" s="219"/>
    </row>
    <row r="337" spans="1:22" x14ac:dyDescent="0.2">
      <c r="A337" s="229"/>
      <c r="B337" s="230"/>
      <c r="D337" s="230"/>
      <c r="V337" s="219"/>
    </row>
    <row r="338" spans="1:22" x14ac:dyDescent="0.2">
      <c r="A338" s="229"/>
      <c r="B338" s="230"/>
      <c r="D338" s="230"/>
      <c r="V338" s="219"/>
    </row>
    <row r="339" spans="1:22" x14ac:dyDescent="0.2">
      <c r="A339" s="229"/>
      <c r="B339" s="230"/>
      <c r="D339" s="230"/>
      <c r="V339" s="219"/>
    </row>
    <row r="340" spans="1:22" x14ac:dyDescent="0.2">
      <c r="A340" s="229"/>
      <c r="B340" s="230"/>
      <c r="D340" s="230"/>
      <c r="V340" s="219"/>
    </row>
    <row r="341" spans="1:22" x14ac:dyDescent="0.2">
      <c r="A341" s="229"/>
      <c r="B341" s="230"/>
      <c r="D341" s="230"/>
      <c r="V341" s="219"/>
    </row>
    <row r="342" spans="1:22" x14ac:dyDescent="0.2">
      <c r="A342" s="229"/>
      <c r="B342" s="230"/>
      <c r="D342" s="230"/>
      <c r="V342" s="219"/>
    </row>
    <row r="343" spans="1:22" x14ac:dyDescent="0.2">
      <c r="A343" s="229"/>
      <c r="B343" s="230"/>
      <c r="D343" s="230"/>
      <c r="V343" s="219"/>
    </row>
    <row r="344" spans="1:22" x14ac:dyDescent="0.2">
      <c r="A344" s="229"/>
      <c r="B344" s="230"/>
      <c r="D344" s="230"/>
      <c r="V344" s="219"/>
    </row>
    <row r="345" spans="1:22" x14ac:dyDescent="0.2">
      <c r="A345" s="229"/>
      <c r="B345" s="230"/>
      <c r="D345" s="230"/>
      <c r="V345" s="219"/>
    </row>
    <row r="346" spans="1:22" x14ac:dyDescent="0.2">
      <c r="A346" s="229"/>
      <c r="B346" s="230"/>
      <c r="D346" s="230"/>
      <c r="V346" s="219"/>
    </row>
    <row r="347" spans="1:22" x14ac:dyDescent="0.2">
      <c r="A347" s="229"/>
      <c r="B347" s="230"/>
      <c r="D347" s="230"/>
      <c r="V347" s="219"/>
    </row>
    <row r="348" spans="1:22" x14ac:dyDescent="0.2">
      <c r="A348" s="229"/>
      <c r="B348" s="230"/>
      <c r="D348" s="230"/>
      <c r="V348" s="219"/>
    </row>
    <row r="349" spans="1:22" x14ac:dyDescent="0.2">
      <c r="A349" s="229"/>
      <c r="B349" s="230"/>
      <c r="D349" s="230"/>
      <c r="V349" s="219"/>
    </row>
    <row r="350" spans="1:22" x14ac:dyDescent="0.2">
      <c r="A350" s="229"/>
      <c r="B350" s="230"/>
      <c r="D350" s="230"/>
      <c r="V350" s="219"/>
    </row>
    <row r="351" spans="1:22" x14ac:dyDescent="0.2">
      <c r="A351" s="229"/>
      <c r="B351" s="230"/>
      <c r="D351" s="230"/>
      <c r="V351" s="219"/>
    </row>
    <row r="352" spans="1:22" x14ac:dyDescent="0.2">
      <c r="A352" s="229"/>
      <c r="B352" s="230"/>
      <c r="D352" s="230"/>
      <c r="V352" s="219"/>
    </row>
    <row r="353" spans="1:22" x14ac:dyDescent="0.2">
      <c r="A353" s="229"/>
      <c r="B353" s="230"/>
      <c r="D353" s="230"/>
      <c r="V353" s="219"/>
    </row>
    <row r="354" spans="1:22" x14ac:dyDescent="0.2">
      <c r="A354" s="229"/>
      <c r="B354" s="230"/>
      <c r="D354" s="230"/>
      <c r="V354" s="219"/>
    </row>
    <row r="355" spans="1:22" x14ac:dyDescent="0.2">
      <c r="A355" s="229"/>
      <c r="B355" s="230"/>
      <c r="D355" s="230"/>
      <c r="V355" s="219"/>
    </row>
    <row r="356" spans="1:22" x14ac:dyDescent="0.2">
      <c r="A356" s="229"/>
      <c r="B356" s="230"/>
      <c r="D356" s="230"/>
      <c r="V356" s="219"/>
    </row>
    <row r="357" spans="1:22" x14ac:dyDescent="0.2">
      <c r="A357" s="229"/>
      <c r="B357" s="230"/>
      <c r="D357" s="230"/>
      <c r="V357" s="219"/>
    </row>
    <row r="358" spans="1:22" x14ac:dyDescent="0.2">
      <c r="A358" s="229"/>
      <c r="B358" s="230"/>
      <c r="D358" s="230"/>
      <c r="V358" s="219"/>
    </row>
    <row r="359" spans="1:22" x14ac:dyDescent="0.2">
      <c r="A359" s="229"/>
      <c r="B359" s="230"/>
      <c r="D359" s="230"/>
      <c r="V359" s="219"/>
    </row>
    <row r="360" spans="1:22" x14ac:dyDescent="0.2">
      <c r="A360" s="229"/>
      <c r="B360" s="230"/>
      <c r="D360" s="230"/>
      <c r="V360" s="219"/>
    </row>
    <row r="361" spans="1:22" x14ac:dyDescent="0.2">
      <c r="A361" s="229"/>
      <c r="B361" s="230"/>
      <c r="D361" s="230"/>
      <c r="V361" s="219"/>
    </row>
    <row r="362" spans="1:22" x14ac:dyDescent="0.2">
      <c r="A362" s="229"/>
      <c r="B362" s="230"/>
      <c r="D362" s="230"/>
      <c r="V362" s="219"/>
    </row>
    <row r="363" spans="1:22" x14ac:dyDescent="0.2">
      <c r="A363" s="229"/>
      <c r="B363" s="230"/>
      <c r="D363" s="230"/>
      <c r="V363" s="219"/>
    </row>
    <row r="364" spans="1:22" x14ac:dyDescent="0.2">
      <c r="A364" s="229"/>
      <c r="B364" s="230"/>
      <c r="D364" s="230"/>
      <c r="V364" s="219"/>
    </row>
    <row r="365" spans="1:22" x14ac:dyDescent="0.2">
      <c r="A365" s="229"/>
      <c r="B365" s="230"/>
      <c r="D365" s="230"/>
      <c r="V365" s="219"/>
    </row>
    <row r="366" spans="1:22" x14ac:dyDescent="0.2">
      <c r="A366" s="229"/>
      <c r="B366" s="230"/>
      <c r="D366" s="230"/>
      <c r="V366" s="219"/>
    </row>
    <row r="367" spans="1:22" x14ac:dyDescent="0.2">
      <c r="A367" s="229"/>
      <c r="B367" s="230"/>
      <c r="D367" s="230"/>
      <c r="V367" s="219"/>
    </row>
    <row r="368" spans="1:22" x14ac:dyDescent="0.2">
      <c r="A368" s="229"/>
      <c r="B368" s="230"/>
      <c r="D368" s="230"/>
      <c r="V368" s="219"/>
    </row>
    <row r="369" spans="1:22" x14ac:dyDescent="0.2">
      <c r="A369" s="229"/>
      <c r="B369" s="230"/>
      <c r="D369" s="230"/>
      <c r="V369" s="219"/>
    </row>
    <row r="370" spans="1:22" x14ac:dyDescent="0.2">
      <c r="A370" s="229"/>
      <c r="B370" s="230"/>
      <c r="D370" s="230"/>
      <c r="V370" s="219"/>
    </row>
    <row r="371" spans="1:22" x14ac:dyDescent="0.2">
      <c r="A371" s="229"/>
      <c r="B371" s="230"/>
      <c r="D371" s="230"/>
      <c r="V371" s="219"/>
    </row>
    <row r="372" spans="1:22" x14ac:dyDescent="0.2">
      <c r="A372" s="229"/>
      <c r="B372" s="230"/>
      <c r="D372" s="230"/>
      <c r="V372" s="219"/>
    </row>
    <row r="373" spans="1:22" x14ac:dyDescent="0.2">
      <c r="A373" s="229"/>
      <c r="B373" s="230"/>
      <c r="D373" s="230"/>
      <c r="V373" s="219"/>
    </row>
    <row r="374" spans="1:22" x14ac:dyDescent="0.2">
      <c r="A374" s="229"/>
      <c r="B374" s="230"/>
      <c r="D374" s="230"/>
      <c r="V374" s="219"/>
    </row>
    <row r="375" spans="1:22" x14ac:dyDescent="0.2">
      <c r="A375" s="229"/>
      <c r="B375" s="230"/>
      <c r="D375" s="230"/>
      <c r="V375" s="219"/>
    </row>
    <row r="376" spans="1:22" x14ac:dyDescent="0.2">
      <c r="A376" s="229"/>
      <c r="B376" s="230"/>
      <c r="D376" s="230"/>
      <c r="V376" s="219"/>
    </row>
    <row r="377" spans="1:22" x14ac:dyDescent="0.2">
      <c r="A377" s="229"/>
      <c r="B377" s="230"/>
      <c r="D377" s="230"/>
      <c r="V377" s="219"/>
    </row>
    <row r="378" spans="1:22" x14ac:dyDescent="0.2">
      <c r="A378" s="229"/>
      <c r="B378" s="230"/>
      <c r="D378" s="230"/>
      <c r="V378" s="219"/>
    </row>
    <row r="379" spans="1:22" x14ac:dyDescent="0.2">
      <c r="A379" s="229"/>
      <c r="B379" s="230"/>
      <c r="D379" s="230"/>
      <c r="V379" s="219"/>
    </row>
    <row r="380" spans="1:22" x14ac:dyDescent="0.2">
      <c r="A380" s="229"/>
      <c r="B380" s="230"/>
      <c r="D380" s="230"/>
      <c r="V380" s="219"/>
    </row>
    <row r="381" spans="1:22" x14ac:dyDescent="0.2">
      <c r="A381" s="229"/>
      <c r="B381" s="230"/>
      <c r="D381" s="230"/>
      <c r="V381" s="219"/>
    </row>
    <row r="382" spans="1:22" x14ac:dyDescent="0.2">
      <c r="A382" s="229"/>
      <c r="B382" s="230"/>
      <c r="D382" s="230"/>
      <c r="V382" s="219"/>
    </row>
    <row r="383" spans="1:22" x14ac:dyDescent="0.2">
      <c r="A383" s="229"/>
      <c r="B383" s="230"/>
      <c r="D383" s="230"/>
      <c r="V383" s="219"/>
    </row>
    <row r="384" spans="1:22" x14ac:dyDescent="0.2">
      <c r="A384" s="229"/>
      <c r="B384" s="230"/>
      <c r="D384" s="230"/>
      <c r="V384" s="219"/>
    </row>
    <row r="385" spans="1:22" x14ac:dyDescent="0.2">
      <c r="A385" s="229"/>
      <c r="B385" s="230"/>
      <c r="D385" s="230"/>
      <c r="V385" s="219"/>
    </row>
    <row r="386" spans="1:22" x14ac:dyDescent="0.2">
      <c r="A386" s="229"/>
      <c r="B386" s="230"/>
      <c r="D386" s="230"/>
      <c r="V386" s="219"/>
    </row>
    <row r="387" spans="1:22" x14ac:dyDescent="0.2">
      <c r="A387" s="229"/>
      <c r="B387" s="230"/>
      <c r="D387" s="230"/>
      <c r="V387" s="219"/>
    </row>
    <row r="388" spans="1:22" x14ac:dyDescent="0.2">
      <c r="A388" s="229"/>
      <c r="B388" s="230"/>
      <c r="D388" s="230"/>
      <c r="V388" s="219"/>
    </row>
    <row r="389" spans="1:22" x14ac:dyDescent="0.2">
      <c r="A389" s="229"/>
      <c r="B389" s="230"/>
      <c r="D389" s="230"/>
      <c r="V389" s="219"/>
    </row>
    <row r="390" spans="1:22" x14ac:dyDescent="0.2">
      <c r="A390" s="229"/>
      <c r="B390" s="230"/>
      <c r="D390" s="230"/>
      <c r="V390" s="219"/>
    </row>
    <row r="391" spans="1:22" x14ac:dyDescent="0.2">
      <c r="A391" s="229"/>
      <c r="B391" s="230"/>
      <c r="D391" s="230"/>
      <c r="V391" s="219"/>
    </row>
    <row r="392" spans="1:22" x14ac:dyDescent="0.2">
      <c r="A392" s="229"/>
      <c r="B392" s="230"/>
      <c r="D392" s="230"/>
      <c r="V392" s="219"/>
    </row>
    <row r="393" spans="1:22" x14ac:dyDescent="0.2">
      <c r="A393" s="229"/>
      <c r="B393" s="230"/>
      <c r="D393" s="230"/>
      <c r="V393" s="219"/>
    </row>
    <row r="394" spans="1:22" x14ac:dyDescent="0.2">
      <c r="A394" s="229"/>
      <c r="B394" s="230"/>
      <c r="D394" s="230"/>
      <c r="V394" s="219"/>
    </row>
    <row r="395" spans="1:22" x14ac:dyDescent="0.2">
      <c r="A395" s="229"/>
      <c r="B395" s="230"/>
      <c r="D395" s="230"/>
      <c r="V395" s="219"/>
    </row>
    <row r="396" spans="1:22" x14ac:dyDescent="0.2">
      <c r="A396" s="229"/>
      <c r="B396" s="230"/>
      <c r="D396" s="230"/>
      <c r="V396" s="219"/>
    </row>
    <row r="397" spans="1:22" x14ac:dyDescent="0.2">
      <c r="A397" s="229"/>
      <c r="B397" s="230"/>
      <c r="D397" s="230"/>
      <c r="V397" s="219"/>
    </row>
    <row r="398" spans="1:22" x14ac:dyDescent="0.2">
      <c r="A398" s="229"/>
      <c r="B398" s="230"/>
      <c r="D398" s="230"/>
      <c r="V398" s="219"/>
    </row>
    <row r="399" spans="1:22" x14ac:dyDescent="0.2">
      <c r="A399" s="229"/>
      <c r="B399" s="230"/>
      <c r="D399" s="230"/>
      <c r="V399" s="219"/>
    </row>
    <row r="400" spans="1:22" x14ac:dyDescent="0.2">
      <c r="A400" s="229"/>
      <c r="B400" s="230"/>
      <c r="D400" s="230"/>
      <c r="V400" s="219"/>
    </row>
    <row r="401" spans="1:22" x14ac:dyDescent="0.2">
      <c r="A401" s="229"/>
      <c r="B401" s="230"/>
      <c r="D401" s="230"/>
      <c r="V401" s="219"/>
    </row>
    <row r="402" spans="1:22" x14ac:dyDescent="0.2">
      <c r="A402" s="229"/>
      <c r="B402" s="230"/>
      <c r="D402" s="230"/>
      <c r="V402" s="219"/>
    </row>
    <row r="403" spans="1:22" x14ac:dyDescent="0.2">
      <c r="A403" s="229"/>
      <c r="B403" s="230"/>
      <c r="D403" s="230"/>
      <c r="V403" s="219"/>
    </row>
    <row r="404" spans="1:22" x14ac:dyDescent="0.2">
      <c r="A404" s="229"/>
      <c r="B404" s="230"/>
      <c r="D404" s="230"/>
      <c r="V404" s="219"/>
    </row>
    <row r="405" spans="1:22" x14ac:dyDescent="0.2">
      <c r="A405" s="229"/>
      <c r="B405" s="230"/>
      <c r="D405" s="230"/>
      <c r="V405" s="219"/>
    </row>
    <row r="406" spans="1:22" x14ac:dyDescent="0.2">
      <c r="A406" s="229"/>
      <c r="B406" s="230"/>
      <c r="D406" s="230"/>
      <c r="V406" s="219"/>
    </row>
    <row r="407" spans="1:22" x14ac:dyDescent="0.2">
      <c r="A407" s="229"/>
      <c r="B407" s="230"/>
      <c r="D407" s="230"/>
      <c r="V407" s="219"/>
    </row>
    <row r="408" spans="1:22" x14ac:dyDescent="0.2">
      <c r="A408" s="229"/>
      <c r="B408" s="230"/>
      <c r="D408" s="230"/>
      <c r="V408" s="219"/>
    </row>
    <row r="409" spans="1:22" x14ac:dyDescent="0.2">
      <c r="A409" s="229"/>
      <c r="B409" s="230"/>
      <c r="D409" s="230"/>
      <c r="V409" s="219"/>
    </row>
    <row r="410" spans="1:22" x14ac:dyDescent="0.2">
      <c r="A410" s="229"/>
      <c r="B410" s="230"/>
      <c r="D410" s="230"/>
      <c r="V410" s="219"/>
    </row>
    <row r="411" spans="1:22" x14ac:dyDescent="0.2">
      <c r="A411" s="229"/>
      <c r="B411" s="230"/>
      <c r="D411" s="230"/>
      <c r="V411" s="219"/>
    </row>
    <row r="412" spans="1:22" x14ac:dyDescent="0.2">
      <c r="A412" s="229"/>
      <c r="B412" s="230"/>
      <c r="D412" s="230"/>
      <c r="V412" s="219"/>
    </row>
    <row r="413" spans="1:22" x14ac:dyDescent="0.2">
      <c r="A413" s="229"/>
      <c r="B413" s="230"/>
      <c r="D413" s="230"/>
      <c r="V413" s="219"/>
    </row>
    <row r="414" spans="1:22" x14ac:dyDescent="0.2">
      <c r="A414" s="229"/>
      <c r="B414" s="230"/>
      <c r="D414" s="230"/>
      <c r="V414" s="219"/>
    </row>
    <row r="415" spans="1:22" x14ac:dyDescent="0.2">
      <c r="A415" s="229"/>
      <c r="B415" s="230"/>
      <c r="D415" s="230"/>
      <c r="V415" s="219"/>
    </row>
    <row r="416" spans="1:22" x14ac:dyDescent="0.2">
      <c r="A416" s="229"/>
      <c r="B416" s="230"/>
      <c r="D416" s="230"/>
      <c r="V416" s="219"/>
    </row>
    <row r="417" spans="1:22" x14ac:dyDescent="0.2">
      <c r="A417" s="229"/>
      <c r="B417" s="230"/>
      <c r="D417" s="230"/>
      <c r="V417" s="219"/>
    </row>
    <row r="418" spans="1:22" x14ac:dyDescent="0.2">
      <c r="A418" s="229"/>
      <c r="B418" s="230"/>
      <c r="D418" s="230"/>
      <c r="V418" s="219"/>
    </row>
    <row r="419" spans="1:22" x14ac:dyDescent="0.2">
      <c r="A419" s="229"/>
      <c r="B419" s="230"/>
      <c r="D419" s="230"/>
      <c r="V419" s="219"/>
    </row>
    <row r="420" spans="1:22" x14ac:dyDescent="0.2">
      <c r="A420" s="229"/>
      <c r="B420" s="230"/>
      <c r="D420" s="230"/>
      <c r="V420" s="219"/>
    </row>
    <row r="421" spans="1:22" x14ac:dyDescent="0.2">
      <c r="A421" s="229"/>
      <c r="B421" s="230"/>
      <c r="D421" s="230"/>
      <c r="V421" s="219"/>
    </row>
    <row r="422" spans="1:22" x14ac:dyDescent="0.2">
      <c r="A422" s="229"/>
      <c r="B422" s="230"/>
      <c r="D422" s="230"/>
      <c r="V422" s="219"/>
    </row>
    <row r="423" spans="1:22" x14ac:dyDescent="0.2">
      <c r="A423" s="229"/>
      <c r="B423" s="230"/>
      <c r="D423" s="230"/>
      <c r="V423" s="219"/>
    </row>
    <row r="424" spans="1:22" x14ac:dyDescent="0.2">
      <c r="A424" s="229"/>
      <c r="B424" s="230"/>
      <c r="D424" s="230"/>
      <c r="V424" s="219"/>
    </row>
    <row r="425" spans="1:22" x14ac:dyDescent="0.2">
      <c r="A425" s="229"/>
      <c r="B425" s="230"/>
      <c r="D425" s="230"/>
      <c r="V425" s="219"/>
    </row>
    <row r="426" spans="1:22" x14ac:dyDescent="0.2">
      <c r="A426" s="229"/>
      <c r="B426" s="230"/>
      <c r="D426" s="230"/>
      <c r="V426" s="219"/>
    </row>
    <row r="427" spans="1:22" x14ac:dyDescent="0.2">
      <c r="A427" s="229"/>
      <c r="B427" s="230"/>
      <c r="D427" s="230"/>
      <c r="V427" s="219"/>
    </row>
    <row r="428" spans="1:22" x14ac:dyDescent="0.2">
      <c r="A428" s="229"/>
      <c r="B428" s="230"/>
      <c r="D428" s="230"/>
      <c r="V428" s="219"/>
    </row>
    <row r="429" spans="1:22" x14ac:dyDescent="0.2">
      <c r="A429" s="229"/>
      <c r="B429" s="230"/>
      <c r="D429" s="230"/>
      <c r="V429" s="219"/>
    </row>
    <row r="430" spans="1:22" x14ac:dyDescent="0.2">
      <c r="A430" s="229"/>
      <c r="B430" s="230"/>
      <c r="D430" s="230"/>
      <c r="V430" s="219"/>
    </row>
    <row r="431" spans="1:22" x14ac:dyDescent="0.2">
      <c r="A431" s="229"/>
      <c r="B431" s="230"/>
      <c r="D431" s="230"/>
      <c r="V431" s="219"/>
    </row>
    <row r="432" spans="1:22" x14ac:dyDescent="0.2">
      <c r="A432" s="229"/>
      <c r="B432" s="230"/>
      <c r="D432" s="230"/>
      <c r="V432" s="219"/>
    </row>
    <row r="433" spans="1:22" x14ac:dyDescent="0.2">
      <c r="A433" s="229"/>
      <c r="B433" s="230"/>
      <c r="D433" s="230"/>
      <c r="V433" s="219"/>
    </row>
    <row r="434" spans="1:22" x14ac:dyDescent="0.2">
      <c r="A434" s="229"/>
      <c r="B434" s="230"/>
      <c r="D434" s="230"/>
      <c r="V434" s="219"/>
    </row>
    <row r="435" spans="1:22" x14ac:dyDescent="0.2">
      <c r="A435" s="229"/>
      <c r="B435" s="230"/>
      <c r="D435" s="230"/>
      <c r="V435" s="219"/>
    </row>
    <row r="436" spans="1:22" x14ac:dyDescent="0.2">
      <c r="A436" s="229"/>
      <c r="B436" s="230"/>
      <c r="D436" s="230"/>
      <c r="V436" s="219"/>
    </row>
    <row r="437" spans="1:22" x14ac:dyDescent="0.2">
      <c r="A437" s="229"/>
      <c r="B437" s="230"/>
      <c r="D437" s="230"/>
      <c r="V437" s="219"/>
    </row>
    <row r="438" spans="1:22" x14ac:dyDescent="0.2">
      <c r="A438" s="229"/>
      <c r="B438" s="230"/>
      <c r="D438" s="230"/>
      <c r="V438" s="219"/>
    </row>
    <row r="439" spans="1:22" x14ac:dyDescent="0.2">
      <c r="A439" s="229"/>
      <c r="B439" s="230"/>
      <c r="D439" s="230"/>
      <c r="V439" s="219"/>
    </row>
    <row r="440" spans="1:22" x14ac:dyDescent="0.2">
      <c r="A440" s="229"/>
      <c r="B440" s="230"/>
      <c r="D440" s="230"/>
      <c r="V440" s="219"/>
    </row>
    <row r="441" spans="1:22" x14ac:dyDescent="0.2">
      <c r="A441" s="229"/>
      <c r="B441" s="230"/>
      <c r="D441" s="230"/>
      <c r="V441" s="219"/>
    </row>
    <row r="442" spans="1:22" x14ac:dyDescent="0.2">
      <c r="A442" s="229"/>
      <c r="B442" s="230"/>
      <c r="D442" s="230"/>
      <c r="V442" s="219"/>
    </row>
    <row r="443" spans="1:22" x14ac:dyDescent="0.2">
      <c r="A443" s="229"/>
      <c r="B443" s="230"/>
      <c r="D443" s="230"/>
      <c r="V443" s="219"/>
    </row>
    <row r="444" spans="1:22" x14ac:dyDescent="0.2">
      <c r="A444" s="229"/>
      <c r="B444" s="230"/>
      <c r="D444" s="230"/>
      <c r="V444" s="219"/>
    </row>
    <row r="445" spans="1:22" x14ac:dyDescent="0.2">
      <c r="A445" s="229"/>
      <c r="B445" s="230"/>
      <c r="D445" s="230"/>
      <c r="V445" s="219"/>
    </row>
    <row r="446" spans="1:22" x14ac:dyDescent="0.2">
      <c r="A446" s="229"/>
      <c r="B446" s="230"/>
      <c r="D446" s="230"/>
      <c r="V446" s="219"/>
    </row>
    <row r="447" spans="1:22" x14ac:dyDescent="0.2">
      <c r="A447" s="229"/>
      <c r="B447" s="230"/>
      <c r="D447" s="230"/>
      <c r="V447" s="219"/>
    </row>
    <row r="448" spans="1:22" x14ac:dyDescent="0.2">
      <c r="A448" s="229"/>
      <c r="B448" s="230"/>
      <c r="D448" s="230"/>
      <c r="V448" s="219"/>
    </row>
    <row r="449" spans="1:22" x14ac:dyDescent="0.2">
      <c r="A449" s="229"/>
      <c r="B449" s="230"/>
      <c r="D449" s="230"/>
      <c r="V449" s="219"/>
    </row>
    <row r="450" spans="1:22" x14ac:dyDescent="0.2">
      <c r="A450" s="229"/>
      <c r="B450" s="230"/>
      <c r="D450" s="230"/>
      <c r="V450" s="219"/>
    </row>
    <row r="451" spans="1:22" x14ac:dyDescent="0.2">
      <c r="A451" s="229"/>
      <c r="B451" s="230"/>
      <c r="D451" s="230"/>
      <c r="V451" s="219"/>
    </row>
    <row r="452" spans="1:22" x14ac:dyDescent="0.2">
      <c r="A452" s="229"/>
      <c r="B452" s="230"/>
      <c r="D452" s="230"/>
      <c r="V452" s="219"/>
    </row>
    <row r="453" spans="1:22" x14ac:dyDescent="0.2">
      <c r="A453" s="229"/>
      <c r="B453" s="230"/>
      <c r="D453" s="230"/>
      <c r="V453" s="219"/>
    </row>
    <row r="454" spans="1:22" x14ac:dyDescent="0.2">
      <c r="A454" s="229"/>
      <c r="B454" s="230"/>
      <c r="D454" s="230"/>
      <c r="V454" s="219"/>
    </row>
    <row r="455" spans="1:22" x14ac:dyDescent="0.2">
      <c r="A455" s="229"/>
      <c r="B455" s="230"/>
      <c r="D455" s="230"/>
      <c r="V455" s="219"/>
    </row>
    <row r="456" spans="1:22" x14ac:dyDescent="0.2">
      <c r="A456" s="229"/>
      <c r="B456" s="230"/>
      <c r="D456" s="230"/>
      <c r="V456" s="219"/>
    </row>
    <row r="457" spans="1:22" x14ac:dyDescent="0.2">
      <c r="A457" s="229"/>
      <c r="B457" s="230"/>
      <c r="D457" s="230"/>
      <c r="V457" s="219"/>
    </row>
    <row r="458" spans="1:22" x14ac:dyDescent="0.2">
      <c r="A458" s="229"/>
      <c r="B458" s="230"/>
      <c r="D458" s="230"/>
      <c r="V458" s="219"/>
    </row>
    <row r="459" spans="1:22" x14ac:dyDescent="0.2">
      <c r="A459" s="229"/>
      <c r="B459" s="230"/>
      <c r="D459" s="230"/>
      <c r="V459" s="219"/>
    </row>
    <row r="460" spans="1:22" x14ac:dyDescent="0.2">
      <c r="A460" s="229"/>
      <c r="B460" s="230"/>
      <c r="D460" s="230"/>
      <c r="V460" s="219"/>
    </row>
    <row r="461" spans="1:22" x14ac:dyDescent="0.2">
      <c r="A461" s="229"/>
      <c r="B461" s="230"/>
      <c r="D461" s="230"/>
      <c r="V461" s="219"/>
    </row>
    <row r="462" spans="1:22" x14ac:dyDescent="0.2">
      <c r="A462" s="229"/>
      <c r="B462" s="230"/>
      <c r="D462" s="230"/>
      <c r="V462" s="219"/>
    </row>
    <row r="463" spans="1:22" x14ac:dyDescent="0.2">
      <c r="A463" s="229"/>
      <c r="B463" s="230"/>
      <c r="D463" s="230"/>
      <c r="V463" s="219"/>
    </row>
    <row r="464" spans="1:22" x14ac:dyDescent="0.2">
      <c r="A464" s="229"/>
      <c r="B464" s="230"/>
      <c r="D464" s="230"/>
      <c r="V464" s="219"/>
    </row>
    <row r="465" spans="1:22" x14ac:dyDescent="0.2">
      <c r="A465" s="229"/>
      <c r="B465" s="230"/>
      <c r="D465" s="230"/>
      <c r="V465" s="219"/>
    </row>
    <row r="466" spans="1:22" x14ac:dyDescent="0.2">
      <c r="A466" s="229"/>
      <c r="B466" s="230"/>
      <c r="D466" s="230"/>
      <c r="V466" s="219"/>
    </row>
    <row r="467" spans="1:22" x14ac:dyDescent="0.2">
      <c r="A467" s="229"/>
      <c r="B467" s="230"/>
      <c r="D467" s="230"/>
      <c r="V467" s="219"/>
    </row>
    <row r="468" spans="1:22" x14ac:dyDescent="0.2">
      <c r="A468" s="229"/>
      <c r="B468" s="230"/>
      <c r="D468" s="230"/>
      <c r="V468" s="219"/>
    </row>
    <row r="469" spans="1:22" x14ac:dyDescent="0.2">
      <c r="A469" s="229"/>
      <c r="B469" s="230"/>
      <c r="D469" s="230"/>
      <c r="V469" s="219"/>
    </row>
    <row r="470" spans="1:22" x14ac:dyDescent="0.2">
      <c r="A470" s="229"/>
      <c r="B470" s="230"/>
      <c r="D470" s="230"/>
      <c r="V470" s="219"/>
    </row>
    <row r="471" spans="1:22" x14ac:dyDescent="0.2">
      <c r="A471" s="229"/>
      <c r="B471" s="230"/>
      <c r="D471" s="230"/>
      <c r="V471" s="219"/>
    </row>
    <row r="472" spans="1:22" x14ac:dyDescent="0.2">
      <c r="A472" s="229"/>
      <c r="B472" s="230"/>
      <c r="D472" s="230"/>
      <c r="V472" s="219"/>
    </row>
    <row r="473" spans="1:22" x14ac:dyDescent="0.2">
      <c r="A473" s="229"/>
      <c r="B473" s="230"/>
      <c r="D473" s="230"/>
      <c r="V473" s="219"/>
    </row>
    <row r="474" spans="1:22" x14ac:dyDescent="0.2">
      <c r="A474" s="229"/>
      <c r="B474" s="230"/>
      <c r="D474" s="230"/>
      <c r="V474" s="219"/>
    </row>
    <row r="475" spans="1:22" x14ac:dyDescent="0.2">
      <c r="A475" s="229"/>
      <c r="B475" s="230"/>
      <c r="D475" s="230"/>
      <c r="V475" s="219"/>
    </row>
    <row r="476" spans="1:22" x14ac:dyDescent="0.2">
      <c r="A476" s="229"/>
      <c r="B476" s="230"/>
      <c r="D476" s="230"/>
      <c r="V476" s="219"/>
    </row>
    <row r="477" spans="1:22" x14ac:dyDescent="0.2">
      <c r="A477" s="229"/>
      <c r="B477" s="230"/>
      <c r="D477" s="230"/>
      <c r="V477" s="219"/>
    </row>
    <row r="478" spans="1:22" x14ac:dyDescent="0.2">
      <c r="A478" s="229"/>
      <c r="B478" s="230"/>
      <c r="D478" s="230"/>
      <c r="V478" s="219"/>
    </row>
    <row r="479" spans="1:22" x14ac:dyDescent="0.2">
      <c r="A479" s="229"/>
      <c r="B479" s="230"/>
      <c r="D479" s="230"/>
      <c r="V479" s="219"/>
    </row>
    <row r="480" spans="1:22" x14ac:dyDescent="0.2">
      <c r="A480" s="229"/>
      <c r="B480" s="230"/>
      <c r="D480" s="230"/>
      <c r="V480" s="219"/>
    </row>
    <row r="481" spans="1:22" x14ac:dyDescent="0.2">
      <c r="A481" s="229"/>
      <c r="B481" s="230"/>
      <c r="D481" s="230"/>
      <c r="V481" s="219"/>
    </row>
    <row r="482" spans="1:22" x14ac:dyDescent="0.2">
      <c r="A482" s="229"/>
      <c r="B482" s="230"/>
      <c r="D482" s="230"/>
      <c r="V482" s="219"/>
    </row>
    <row r="483" spans="1:22" x14ac:dyDescent="0.2">
      <c r="A483" s="229"/>
      <c r="B483" s="230"/>
      <c r="D483" s="230"/>
      <c r="V483" s="219"/>
    </row>
    <row r="484" spans="1:22" x14ac:dyDescent="0.2">
      <c r="A484" s="229"/>
      <c r="B484" s="230"/>
      <c r="D484" s="230"/>
      <c r="V484" s="219"/>
    </row>
    <row r="485" spans="1:22" x14ac:dyDescent="0.2">
      <c r="A485" s="229"/>
      <c r="B485" s="230"/>
      <c r="D485" s="230"/>
      <c r="V485" s="219"/>
    </row>
    <row r="486" spans="1:22" x14ac:dyDescent="0.2">
      <c r="A486" s="229"/>
      <c r="B486" s="230"/>
      <c r="D486" s="230"/>
      <c r="V486" s="219"/>
    </row>
    <row r="487" spans="1:22" x14ac:dyDescent="0.2">
      <c r="A487" s="229"/>
      <c r="B487" s="230"/>
      <c r="D487" s="230"/>
      <c r="V487" s="219"/>
    </row>
    <row r="488" spans="1:22" x14ac:dyDescent="0.2">
      <c r="A488" s="229"/>
      <c r="B488" s="230"/>
      <c r="D488" s="230"/>
      <c r="V488" s="219"/>
    </row>
    <row r="489" spans="1:22" x14ac:dyDescent="0.2">
      <c r="A489" s="229"/>
      <c r="B489" s="230"/>
      <c r="D489" s="230"/>
      <c r="V489" s="219"/>
    </row>
    <row r="490" spans="1:22" x14ac:dyDescent="0.2">
      <c r="A490" s="229"/>
      <c r="B490" s="230"/>
      <c r="D490" s="230"/>
      <c r="V490" s="219"/>
    </row>
    <row r="491" spans="1:22" x14ac:dyDescent="0.2">
      <c r="A491" s="229"/>
      <c r="B491" s="230"/>
      <c r="D491" s="230"/>
      <c r="V491" s="219"/>
    </row>
    <row r="492" spans="1:22" x14ac:dyDescent="0.2">
      <c r="A492" s="229"/>
      <c r="B492" s="230"/>
      <c r="D492" s="230"/>
      <c r="V492" s="219"/>
    </row>
    <row r="493" spans="1:22" x14ac:dyDescent="0.2">
      <c r="A493" s="229"/>
      <c r="B493" s="230"/>
      <c r="D493" s="230"/>
      <c r="V493" s="219"/>
    </row>
    <row r="494" spans="1:22" x14ac:dyDescent="0.2">
      <c r="A494" s="229"/>
      <c r="B494" s="230"/>
      <c r="D494" s="230"/>
      <c r="V494" s="219"/>
    </row>
    <row r="495" spans="1:22" x14ac:dyDescent="0.2">
      <c r="A495" s="229"/>
      <c r="B495" s="230"/>
      <c r="D495" s="230"/>
      <c r="V495" s="219"/>
    </row>
    <row r="496" spans="1:22" x14ac:dyDescent="0.2">
      <c r="A496" s="229"/>
      <c r="B496" s="230"/>
      <c r="D496" s="230"/>
      <c r="V496" s="219"/>
    </row>
    <row r="497" spans="1:22" x14ac:dyDescent="0.2">
      <c r="A497" s="229"/>
      <c r="B497" s="230"/>
      <c r="D497" s="230"/>
      <c r="V497" s="219"/>
    </row>
    <row r="498" spans="1:22" x14ac:dyDescent="0.2">
      <c r="A498" s="229"/>
      <c r="B498" s="230"/>
      <c r="D498" s="230"/>
      <c r="V498" s="219"/>
    </row>
    <row r="499" spans="1:22" x14ac:dyDescent="0.2">
      <c r="A499" s="229"/>
      <c r="B499" s="230"/>
      <c r="D499" s="230"/>
      <c r="V499" s="219"/>
    </row>
    <row r="500" spans="1:22" x14ac:dyDescent="0.2">
      <c r="A500" s="229"/>
      <c r="B500" s="230"/>
      <c r="D500" s="230"/>
      <c r="V500" s="219"/>
    </row>
    <row r="501" spans="1:22" x14ac:dyDescent="0.2">
      <c r="A501" s="229"/>
      <c r="B501" s="230"/>
      <c r="D501" s="230"/>
      <c r="V501" s="219"/>
    </row>
    <row r="502" spans="1:22" x14ac:dyDescent="0.2">
      <c r="A502" s="229"/>
      <c r="B502" s="230"/>
      <c r="D502" s="230"/>
      <c r="V502" s="219"/>
    </row>
    <row r="503" spans="1:22" x14ac:dyDescent="0.2">
      <c r="A503" s="229"/>
      <c r="B503" s="230"/>
      <c r="D503" s="230"/>
      <c r="V503" s="219"/>
    </row>
    <row r="504" spans="1:22" x14ac:dyDescent="0.2">
      <c r="A504" s="229"/>
      <c r="B504" s="230"/>
      <c r="D504" s="230"/>
      <c r="V504" s="219"/>
    </row>
    <row r="505" spans="1:22" x14ac:dyDescent="0.2">
      <c r="A505" s="229"/>
      <c r="B505" s="230"/>
      <c r="D505" s="230"/>
      <c r="V505" s="219"/>
    </row>
    <row r="506" spans="1:22" x14ac:dyDescent="0.2">
      <c r="A506" s="229"/>
      <c r="B506" s="230"/>
      <c r="D506" s="230"/>
      <c r="V506" s="219"/>
    </row>
    <row r="507" spans="1:22" x14ac:dyDescent="0.2">
      <c r="A507" s="229"/>
      <c r="B507" s="230"/>
      <c r="D507" s="230"/>
      <c r="V507" s="219"/>
    </row>
    <row r="508" spans="1:22" x14ac:dyDescent="0.2">
      <c r="A508" s="229"/>
      <c r="B508" s="230"/>
      <c r="D508" s="230"/>
      <c r="V508" s="219"/>
    </row>
    <row r="509" spans="1:22" x14ac:dyDescent="0.2">
      <c r="A509" s="229"/>
      <c r="B509" s="230"/>
      <c r="D509" s="230"/>
      <c r="V509" s="219"/>
    </row>
    <row r="510" spans="1:22" x14ac:dyDescent="0.2">
      <c r="A510" s="229"/>
      <c r="B510" s="230"/>
      <c r="D510" s="230"/>
      <c r="V510" s="219"/>
    </row>
    <row r="511" spans="1:22" x14ac:dyDescent="0.2">
      <c r="A511" s="229"/>
      <c r="B511" s="230"/>
      <c r="D511" s="230"/>
      <c r="V511" s="219"/>
    </row>
    <row r="512" spans="1:22" x14ac:dyDescent="0.2">
      <c r="A512" s="229"/>
      <c r="B512" s="230"/>
      <c r="D512" s="230"/>
      <c r="V512" s="219"/>
    </row>
    <row r="513" spans="1:22" x14ac:dyDescent="0.2">
      <c r="A513" s="229"/>
      <c r="B513" s="230"/>
      <c r="D513" s="230"/>
      <c r="V513" s="219"/>
    </row>
    <row r="514" spans="1:22" x14ac:dyDescent="0.2">
      <c r="A514" s="229"/>
      <c r="B514" s="230"/>
      <c r="D514" s="230"/>
      <c r="V514" s="219"/>
    </row>
    <row r="515" spans="1:22" x14ac:dyDescent="0.2">
      <c r="A515" s="229"/>
      <c r="B515" s="230"/>
      <c r="D515" s="230"/>
      <c r="V515" s="219"/>
    </row>
    <row r="516" spans="1:22" x14ac:dyDescent="0.2">
      <c r="A516" s="229"/>
      <c r="B516" s="230"/>
      <c r="D516" s="230"/>
      <c r="V516" s="219"/>
    </row>
    <row r="517" spans="1:22" x14ac:dyDescent="0.2">
      <c r="A517" s="229"/>
      <c r="B517" s="230"/>
      <c r="D517" s="230"/>
      <c r="V517" s="219"/>
    </row>
    <row r="518" spans="1:22" x14ac:dyDescent="0.2">
      <c r="A518" s="229"/>
      <c r="B518" s="230"/>
      <c r="D518" s="230"/>
      <c r="V518" s="219"/>
    </row>
    <row r="519" spans="1:22" x14ac:dyDescent="0.2">
      <c r="A519" s="229"/>
      <c r="B519" s="230"/>
      <c r="D519" s="230"/>
      <c r="V519" s="219"/>
    </row>
    <row r="520" spans="1:22" x14ac:dyDescent="0.2">
      <c r="A520" s="229"/>
      <c r="B520" s="230"/>
      <c r="D520" s="230"/>
      <c r="V520" s="219"/>
    </row>
    <row r="521" spans="1:22" x14ac:dyDescent="0.2">
      <c r="A521" s="229"/>
      <c r="B521" s="230"/>
      <c r="D521" s="230"/>
      <c r="V521" s="219"/>
    </row>
    <row r="522" spans="1:22" x14ac:dyDescent="0.2">
      <c r="A522" s="229"/>
      <c r="B522" s="230"/>
      <c r="D522" s="230"/>
      <c r="V522" s="219"/>
    </row>
    <row r="523" spans="1:22" x14ac:dyDescent="0.2">
      <c r="A523" s="229"/>
      <c r="B523" s="230"/>
      <c r="D523" s="230"/>
      <c r="V523" s="219"/>
    </row>
    <row r="524" spans="1:22" x14ac:dyDescent="0.2">
      <c r="A524" s="229"/>
      <c r="B524" s="230"/>
      <c r="D524" s="230"/>
      <c r="V524" s="219"/>
    </row>
    <row r="525" spans="1:22" x14ac:dyDescent="0.2">
      <c r="A525" s="229"/>
      <c r="B525" s="230"/>
      <c r="D525" s="230"/>
      <c r="V525" s="219"/>
    </row>
    <row r="526" spans="1:22" x14ac:dyDescent="0.2">
      <c r="A526" s="229"/>
      <c r="B526" s="230"/>
      <c r="D526" s="230"/>
      <c r="V526" s="219"/>
    </row>
    <row r="527" spans="1:22" x14ac:dyDescent="0.2">
      <c r="A527" s="229"/>
      <c r="B527" s="230"/>
      <c r="D527" s="230"/>
      <c r="V527" s="219"/>
    </row>
    <row r="528" spans="1:22" x14ac:dyDescent="0.2">
      <c r="A528" s="229"/>
      <c r="B528" s="230"/>
      <c r="D528" s="230"/>
      <c r="V528" s="219"/>
    </row>
    <row r="529" spans="1:22" x14ac:dyDescent="0.2">
      <c r="A529" s="229"/>
      <c r="B529" s="230"/>
      <c r="D529" s="230"/>
      <c r="V529" s="219"/>
    </row>
    <row r="530" spans="1:22" x14ac:dyDescent="0.2">
      <c r="A530" s="229"/>
      <c r="B530" s="230"/>
      <c r="D530" s="230"/>
      <c r="V530" s="219"/>
    </row>
    <row r="531" spans="1:22" x14ac:dyDescent="0.2">
      <c r="A531" s="229"/>
      <c r="B531" s="230"/>
      <c r="D531" s="230"/>
      <c r="V531" s="219"/>
    </row>
    <row r="532" spans="1:22" x14ac:dyDescent="0.2">
      <c r="A532" s="229"/>
      <c r="B532" s="230"/>
      <c r="D532" s="230"/>
      <c r="V532" s="219"/>
    </row>
    <row r="533" spans="1:22" x14ac:dyDescent="0.2">
      <c r="A533" s="229"/>
      <c r="B533" s="230"/>
      <c r="D533" s="230"/>
      <c r="V533" s="219"/>
    </row>
    <row r="534" spans="1:22" x14ac:dyDescent="0.2">
      <c r="A534" s="229"/>
      <c r="B534" s="230"/>
      <c r="D534" s="230"/>
      <c r="V534" s="219"/>
    </row>
    <row r="535" spans="1:22" x14ac:dyDescent="0.2">
      <c r="A535" s="229"/>
      <c r="B535" s="230"/>
      <c r="D535" s="230"/>
      <c r="V535" s="219"/>
    </row>
    <row r="536" spans="1:22" x14ac:dyDescent="0.2">
      <c r="A536" s="229"/>
      <c r="B536" s="230"/>
      <c r="D536" s="230"/>
      <c r="V536" s="219"/>
    </row>
    <row r="537" spans="1:22" x14ac:dyDescent="0.2">
      <c r="A537" s="229"/>
      <c r="B537" s="230"/>
      <c r="D537" s="230"/>
      <c r="V537" s="219"/>
    </row>
    <row r="538" spans="1:22" x14ac:dyDescent="0.2">
      <c r="A538" s="229"/>
      <c r="B538" s="230"/>
      <c r="D538" s="230"/>
      <c r="V538" s="219"/>
    </row>
    <row r="539" spans="1:22" x14ac:dyDescent="0.2">
      <c r="A539" s="229"/>
      <c r="B539" s="230"/>
      <c r="D539" s="230"/>
      <c r="V539" s="219"/>
    </row>
    <row r="540" spans="1:22" x14ac:dyDescent="0.2">
      <c r="A540" s="229"/>
      <c r="B540" s="230"/>
      <c r="D540" s="230"/>
      <c r="V540" s="219"/>
    </row>
    <row r="541" spans="1:22" x14ac:dyDescent="0.2">
      <c r="A541" s="229"/>
      <c r="B541" s="230"/>
      <c r="D541" s="230"/>
      <c r="V541" s="219"/>
    </row>
    <row r="542" spans="1:22" x14ac:dyDescent="0.2">
      <c r="A542" s="229"/>
      <c r="B542" s="230"/>
      <c r="D542" s="230"/>
      <c r="V542" s="219"/>
    </row>
    <row r="543" spans="1:22" x14ac:dyDescent="0.2">
      <c r="A543" s="229"/>
      <c r="B543" s="230"/>
      <c r="D543" s="230"/>
      <c r="V543" s="219"/>
    </row>
    <row r="544" spans="1:22" x14ac:dyDescent="0.2">
      <c r="A544" s="229"/>
      <c r="B544" s="230"/>
      <c r="D544" s="230"/>
      <c r="V544" s="219"/>
    </row>
    <row r="545" spans="1:22" x14ac:dyDescent="0.2">
      <c r="A545" s="229"/>
      <c r="B545" s="230"/>
      <c r="D545" s="230"/>
      <c r="V545" s="219"/>
    </row>
    <row r="546" spans="1:22" x14ac:dyDescent="0.2">
      <c r="A546" s="229"/>
      <c r="B546" s="230"/>
      <c r="D546" s="230"/>
      <c r="V546" s="219"/>
    </row>
    <row r="547" spans="1:22" x14ac:dyDescent="0.2">
      <c r="A547" s="229"/>
      <c r="B547" s="230"/>
      <c r="D547" s="230"/>
      <c r="V547" s="219"/>
    </row>
    <row r="548" spans="1:22" x14ac:dyDescent="0.2">
      <c r="A548" s="229"/>
      <c r="B548" s="230"/>
      <c r="D548" s="230"/>
      <c r="V548" s="219"/>
    </row>
    <row r="549" spans="1:22" x14ac:dyDescent="0.2">
      <c r="A549" s="229"/>
      <c r="B549" s="230"/>
      <c r="D549" s="230"/>
      <c r="V549" s="219"/>
    </row>
    <row r="550" spans="1:22" x14ac:dyDescent="0.2">
      <c r="A550" s="229"/>
      <c r="B550" s="230"/>
      <c r="D550" s="230"/>
      <c r="V550" s="219"/>
    </row>
    <row r="551" spans="1:22" x14ac:dyDescent="0.2">
      <c r="A551" s="229"/>
      <c r="B551" s="230"/>
      <c r="D551" s="230"/>
      <c r="V551" s="219"/>
    </row>
    <row r="552" spans="1:22" x14ac:dyDescent="0.2">
      <c r="A552" s="229"/>
      <c r="B552" s="230"/>
      <c r="D552" s="230"/>
      <c r="V552" s="219"/>
    </row>
    <row r="553" spans="1:22" x14ac:dyDescent="0.2">
      <c r="A553" s="229"/>
      <c r="B553" s="230"/>
      <c r="D553" s="230"/>
      <c r="V553" s="219"/>
    </row>
    <row r="554" spans="1:22" x14ac:dyDescent="0.2">
      <c r="A554" s="229"/>
      <c r="B554" s="230"/>
      <c r="D554" s="230"/>
      <c r="V554" s="219"/>
    </row>
    <row r="555" spans="1:22" x14ac:dyDescent="0.2">
      <c r="A555" s="229"/>
      <c r="B555" s="230"/>
      <c r="D555" s="230"/>
      <c r="V555" s="219"/>
    </row>
    <row r="556" spans="1:22" x14ac:dyDescent="0.2">
      <c r="A556" s="229"/>
      <c r="B556" s="230"/>
      <c r="D556" s="230"/>
      <c r="V556" s="219"/>
    </row>
    <row r="557" spans="1:22" x14ac:dyDescent="0.2">
      <c r="A557" s="229"/>
      <c r="B557" s="230"/>
      <c r="D557" s="230"/>
      <c r="V557" s="219"/>
    </row>
    <row r="558" spans="1:22" x14ac:dyDescent="0.2">
      <c r="A558" s="229"/>
      <c r="B558" s="230"/>
      <c r="D558" s="230"/>
      <c r="V558" s="219"/>
    </row>
    <row r="559" spans="1:22" x14ac:dyDescent="0.2">
      <c r="A559" s="229"/>
      <c r="B559" s="230"/>
      <c r="D559" s="230"/>
      <c r="V559" s="219"/>
    </row>
    <row r="560" spans="1:22" x14ac:dyDescent="0.2">
      <c r="A560" s="229"/>
      <c r="B560" s="230"/>
      <c r="D560" s="230"/>
      <c r="V560" s="219"/>
    </row>
    <row r="561" spans="1:22" x14ac:dyDescent="0.2">
      <c r="A561" s="229"/>
      <c r="B561" s="230"/>
      <c r="D561" s="230"/>
      <c r="V561" s="219"/>
    </row>
    <row r="562" spans="1:22" x14ac:dyDescent="0.2">
      <c r="A562" s="229"/>
      <c r="B562" s="230"/>
      <c r="D562" s="230"/>
      <c r="V562" s="219"/>
    </row>
    <row r="563" spans="1:22" x14ac:dyDescent="0.2">
      <c r="A563" s="229"/>
      <c r="B563" s="230"/>
      <c r="D563" s="230"/>
      <c r="V563" s="219"/>
    </row>
    <row r="564" spans="1:22" x14ac:dyDescent="0.2">
      <c r="A564" s="229"/>
      <c r="B564" s="230"/>
      <c r="D564" s="230"/>
      <c r="V564" s="219"/>
    </row>
    <row r="565" spans="1:22" x14ac:dyDescent="0.2">
      <c r="A565" s="229"/>
      <c r="B565" s="230"/>
      <c r="D565" s="230"/>
      <c r="V565" s="219"/>
    </row>
    <row r="566" spans="1:22" x14ac:dyDescent="0.2">
      <c r="A566" s="229"/>
      <c r="B566" s="230"/>
      <c r="D566" s="230"/>
      <c r="V566" s="219"/>
    </row>
    <row r="567" spans="1:22" x14ac:dyDescent="0.2">
      <c r="A567" s="229"/>
      <c r="B567" s="230"/>
      <c r="D567" s="230"/>
      <c r="V567" s="219"/>
    </row>
    <row r="568" spans="1:22" x14ac:dyDescent="0.2">
      <c r="A568" s="229"/>
      <c r="B568" s="230"/>
      <c r="D568" s="230"/>
      <c r="V568" s="219"/>
    </row>
    <row r="569" spans="1:22" x14ac:dyDescent="0.2">
      <c r="A569" s="229"/>
      <c r="B569" s="230"/>
      <c r="D569" s="230"/>
      <c r="V569" s="219"/>
    </row>
    <row r="570" spans="1:22" x14ac:dyDescent="0.2">
      <c r="A570" s="229"/>
      <c r="B570" s="230"/>
      <c r="D570" s="230"/>
      <c r="V570" s="219"/>
    </row>
    <row r="571" spans="1:22" x14ac:dyDescent="0.2">
      <c r="A571" s="229"/>
      <c r="B571" s="230"/>
      <c r="D571" s="230"/>
      <c r="V571" s="219"/>
    </row>
    <row r="572" spans="1:22" x14ac:dyDescent="0.2">
      <c r="A572" s="229"/>
      <c r="B572" s="230"/>
      <c r="D572" s="230"/>
      <c r="V572" s="219"/>
    </row>
    <row r="573" spans="1:22" x14ac:dyDescent="0.2">
      <c r="A573" s="229"/>
      <c r="B573" s="230"/>
      <c r="D573" s="230"/>
      <c r="V573" s="219"/>
    </row>
    <row r="574" spans="1:22" x14ac:dyDescent="0.2">
      <c r="A574" s="229"/>
      <c r="B574" s="230"/>
      <c r="D574" s="230"/>
      <c r="V574" s="219"/>
    </row>
    <row r="575" spans="1:22" x14ac:dyDescent="0.2">
      <c r="A575" s="229"/>
      <c r="B575" s="230"/>
      <c r="D575" s="230"/>
      <c r="V575" s="219"/>
    </row>
    <row r="576" spans="1:22" x14ac:dyDescent="0.2">
      <c r="A576" s="229"/>
      <c r="B576" s="230"/>
      <c r="D576" s="230"/>
      <c r="V576" s="219"/>
    </row>
    <row r="577" spans="1:22" x14ac:dyDescent="0.2">
      <c r="A577" s="229"/>
      <c r="B577" s="230"/>
      <c r="D577" s="230"/>
      <c r="V577" s="219"/>
    </row>
    <row r="578" spans="1:22" x14ac:dyDescent="0.2">
      <c r="A578" s="229"/>
      <c r="B578" s="230"/>
      <c r="D578" s="230"/>
      <c r="V578" s="219"/>
    </row>
    <row r="579" spans="1:22" x14ac:dyDescent="0.2">
      <c r="A579" s="229"/>
      <c r="B579" s="230"/>
      <c r="D579" s="230"/>
      <c r="V579" s="219"/>
    </row>
    <row r="580" spans="1:22" x14ac:dyDescent="0.2">
      <c r="A580" s="229"/>
      <c r="B580" s="230"/>
      <c r="D580" s="230"/>
      <c r="V580" s="219"/>
    </row>
    <row r="581" spans="1:22" x14ac:dyDescent="0.2">
      <c r="A581" s="229"/>
      <c r="B581" s="230"/>
      <c r="D581" s="230"/>
      <c r="V581" s="219"/>
    </row>
    <row r="582" spans="1:22" x14ac:dyDescent="0.2">
      <c r="A582" s="229"/>
      <c r="B582" s="230"/>
      <c r="D582" s="230"/>
      <c r="V582" s="219"/>
    </row>
    <row r="583" spans="1:22" x14ac:dyDescent="0.2">
      <c r="A583" s="229"/>
      <c r="B583" s="230"/>
      <c r="D583" s="230"/>
      <c r="V583" s="219"/>
    </row>
    <row r="584" spans="1:22" x14ac:dyDescent="0.2">
      <c r="A584" s="229"/>
      <c r="B584" s="230"/>
      <c r="D584" s="230"/>
      <c r="V584" s="219"/>
    </row>
    <row r="585" spans="1:22" x14ac:dyDescent="0.2">
      <c r="A585" s="229"/>
      <c r="B585" s="230"/>
      <c r="D585" s="230"/>
      <c r="V585" s="219"/>
    </row>
    <row r="586" spans="1:22" x14ac:dyDescent="0.2">
      <c r="A586" s="229"/>
      <c r="B586" s="230"/>
      <c r="D586" s="230"/>
      <c r="V586" s="219"/>
    </row>
    <row r="587" spans="1:22" x14ac:dyDescent="0.2">
      <c r="A587" s="229"/>
      <c r="B587" s="230"/>
      <c r="D587" s="230"/>
      <c r="V587" s="219"/>
    </row>
    <row r="588" spans="1:22" x14ac:dyDescent="0.2">
      <c r="A588" s="229"/>
      <c r="B588" s="230"/>
      <c r="D588" s="230"/>
      <c r="V588" s="219"/>
    </row>
    <row r="589" spans="1:22" x14ac:dyDescent="0.2">
      <c r="A589" s="229"/>
      <c r="B589" s="230"/>
      <c r="D589" s="230"/>
      <c r="V589" s="219"/>
    </row>
    <row r="590" spans="1:22" x14ac:dyDescent="0.2">
      <c r="A590" s="229"/>
      <c r="B590" s="230"/>
      <c r="D590" s="230"/>
      <c r="V590" s="219"/>
    </row>
    <row r="591" spans="1:22" x14ac:dyDescent="0.2">
      <c r="A591" s="229"/>
      <c r="B591" s="230"/>
      <c r="D591" s="230"/>
      <c r="V591" s="219"/>
    </row>
    <row r="592" spans="1:22" x14ac:dyDescent="0.2">
      <c r="A592" s="229"/>
      <c r="B592" s="230"/>
      <c r="D592" s="230"/>
      <c r="V592" s="219"/>
    </row>
    <row r="593" spans="1:22" x14ac:dyDescent="0.2">
      <c r="A593" s="229"/>
      <c r="B593" s="230"/>
      <c r="D593" s="230"/>
      <c r="V593" s="219"/>
    </row>
    <row r="594" spans="1:22" x14ac:dyDescent="0.2">
      <c r="A594" s="229"/>
      <c r="B594" s="230"/>
      <c r="D594" s="230"/>
      <c r="V594" s="219"/>
    </row>
    <row r="595" spans="1:22" x14ac:dyDescent="0.2">
      <c r="A595" s="229"/>
      <c r="B595" s="230"/>
      <c r="D595" s="230"/>
      <c r="V595" s="219"/>
    </row>
    <row r="596" spans="1:22" x14ac:dyDescent="0.2">
      <c r="A596" s="229"/>
      <c r="B596" s="230"/>
      <c r="D596" s="230"/>
      <c r="V596" s="219"/>
    </row>
    <row r="597" spans="1:22" x14ac:dyDescent="0.2">
      <c r="A597" s="229"/>
      <c r="B597" s="230"/>
      <c r="D597" s="230"/>
      <c r="V597" s="219"/>
    </row>
    <row r="598" spans="1:22" x14ac:dyDescent="0.2">
      <c r="A598" s="229"/>
      <c r="B598" s="230"/>
      <c r="D598" s="230"/>
      <c r="V598" s="219"/>
    </row>
    <row r="599" spans="1:22" x14ac:dyDescent="0.2">
      <c r="A599" s="229"/>
      <c r="B599" s="230"/>
      <c r="D599" s="230"/>
      <c r="V599" s="219"/>
    </row>
    <row r="600" spans="1:22" x14ac:dyDescent="0.2">
      <c r="A600" s="229"/>
      <c r="B600" s="230"/>
      <c r="D600" s="230"/>
      <c r="V600" s="219"/>
    </row>
    <row r="601" spans="1:22" x14ac:dyDescent="0.2">
      <c r="A601" s="229"/>
      <c r="B601" s="230"/>
      <c r="D601" s="230"/>
      <c r="V601" s="219"/>
    </row>
    <row r="602" spans="1:22" x14ac:dyDescent="0.2">
      <c r="A602" s="229"/>
      <c r="B602" s="230"/>
      <c r="D602" s="230"/>
      <c r="V602" s="219"/>
    </row>
    <row r="603" spans="1:22" x14ac:dyDescent="0.2">
      <c r="A603" s="229"/>
      <c r="B603" s="230"/>
      <c r="D603" s="230"/>
      <c r="V603" s="219"/>
    </row>
    <row r="604" spans="1:22" x14ac:dyDescent="0.2">
      <c r="A604" s="229"/>
      <c r="B604" s="230"/>
      <c r="D604" s="230"/>
      <c r="V604" s="219"/>
    </row>
    <row r="605" spans="1:22" x14ac:dyDescent="0.2">
      <c r="A605" s="229"/>
      <c r="B605" s="230"/>
      <c r="D605" s="230"/>
      <c r="V605" s="219"/>
    </row>
    <row r="606" spans="1:22" x14ac:dyDescent="0.2">
      <c r="A606" s="229"/>
      <c r="B606" s="230"/>
      <c r="D606" s="230"/>
      <c r="V606" s="219"/>
    </row>
    <row r="607" spans="1:22" x14ac:dyDescent="0.2">
      <c r="A607" s="229"/>
      <c r="B607" s="230"/>
      <c r="D607" s="230"/>
      <c r="V607" s="219"/>
    </row>
    <row r="608" spans="1:22" x14ac:dyDescent="0.2">
      <c r="A608" s="229"/>
      <c r="B608" s="230"/>
      <c r="D608" s="230"/>
      <c r="V608" s="219"/>
    </row>
    <row r="609" spans="1:22" x14ac:dyDescent="0.2">
      <c r="A609" s="229"/>
      <c r="B609" s="230"/>
      <c r="D609" s="230"/>
      <c r="V609" s="219"/>
    </row>
    <row r="610" spans="1:22" x14ac:dyDescent="0.2">
      <c r="A610" s="229"/>
      <c r="B610" s="230"/>
      <c r="D610" s="230"/>
      <c r="V610" s="219"/>
    </row>
    <row r="611" spans="1:22" x14ac:dyDescent="0.2">
      <c r="A611" s="229"/>
      <c r="B611" s="230"/>
      <c r="D611" s="230"/>
      <c r="V611" s="219"/>
    </row>
    <row r="612" spans="1:22" x14ac:dyDescent="0.2">
      <c r="A612" s="229"/>
      <c r="B612" s="230"/>
      <c r="D612" s="230"/>
      <c r="V612" s="219"/>
    </row>
    <row r="613" spans="1:22" x14ac:dyDescent="0.2">
      <c r="A613" s="229"/>
      <c r="B613" s="230"/>
      <c r="D613" s="230"/>
      <c r="V613" s="219"/>
    </row>
    <row r="614" spans="1:22" x14ac:dyDescent="0.2">
      <c r="A614" s="229"/>
      <c r="B614" s="230"/>
      <c r="D614" s="230"/>
      <c r="V614" s="219"/>
    </row>
    <row r="615" spans="1:22" x14ac:dyDescent="0.2">
      <c r="A615" s="229"/>
      <c r="B615" s="230"/>
      <c r="D615" s="230"/>
      <c r="V615" s="219"/>
    </row>
    <row r="616" spans="1:22" x14ac:dyDescent="0.2">
      <c r="A616" s="229"/>
      <c r="B616" s="230"/>
      <c r="D616" s="230"/>
      <c r="V616" s="219"/>
    </row>
    <row r="617" spans="1:22" x14ac:dyDescent="0.2">
      <c r="A617" s="229"/>
      <c r="B617" s="230"/>
      <c r="D617" s="230"/>
      <c r="V617" s="219"/>
    </row>
    <row r="618" spans="1:22" x14ac:dyDescent="0.2">
      <c r="A618" s="229"/>
      <c r="B618" s="230"/>
      <c r="D618" s="230"/>
      <c r="V618" s="219"/>
    </row>
    <row r="619" spans="1:22" x14ac:dyDescent="0.2">
      <c r="A619" s="229"/>
      <c r="B619" s="230"/>
      <c r="D619" s="230"/>
      <c r="V619" s="219"/>
    </row>
    <row r="620" spans="1:22" x14ac:dyDescent="0.2">
      <c r="A620" s="229"/>
      <c r="B620" s="230"/>
      <c r="D620" s="230"/>
      <c r="V620" s="219"/>
    </row>
    <row r="621" spans="1:22" x14ac:dyDescent="0.2">
      <c r="A621" s="229"/>
      <c r="B621" s="230"/>
      <c r="D621" s="230"/>
      <c r="V621" s="219"/>
    </row>
    <row r="622" spans="1:22" x14ac:dyDescent="0.2">
      <c r="A622" s="229"/>
      <c r="B622" s="230"/>
      <c r="D622" s="230"/>
      <c r="V622" s="219"/>
    </row>
    <row r="623" spans="1:22" x14ac:dyDescent="0.2">
      <c r="A623" s="229"/>
      <c r="B623" s="230"/>
      <c r="D623" s="230"/>
      <c r="V623" s="219"/>
    </row>
    <row r="624" spans="1:22" x14ac:dyDescent="0.2">
      <c r="A624" s="229"/>
      <c r="B624" s="230"/>
      <c r="D624" s="230"/>
      <c r="V624" s="219"/>
    </row>
    <row r="625" spans="1:22" x14ac:dyDescent="0.2">
      <c r="A625" s="229"/>
      <c r="B625" s="230"/>
      <c r="D625" s="230"/>
      <c r="V625" s="219"/>
    </row>
    <row r="626" spans="1:22" x14ac:dyDescent="0.2">
      <c r="A626" s="229"/>
      <c r="B626" s="230"/>
      <c r="D626" s="230"/>
      <c r="V626" s="219"/>
    </row>
    <row r="627" spans="1:22" x14ac:dyDescent="0.2">
      <c r="A627" s="229"/>
      <c r="B627" s="230"/>
      <c r="D627" s="230"/>
      <c r="V627" s="219"/>
    </row>
    <row r="628" spans="1:22" x14ac:dyDescent="0.2">
      <c r="A628" s="229"/>
      <c r="B628" s="230"/>
      <c r="C628" s="120"/>
      <c r="D628" s="230"/>
      <c r="V628" s="219"/>
    </row>
    <row r="629" spans="1:22" x14ac:dyDescent="0.2">
      <c r="A629" s="229"/>
      <c r="B629" s="230"/>
      <c r="D629" s="230"/>
      <c r="V629" s="219"/>
    </row>
    <row r="630" spans="1:22" x14ac:dyDescent="0.2">
      <c r="A630" s="229"/>
      <c r="B630" s="230"/>
      <c r="D630" s="230"/>
      <c r="V630" s="219"/>
    </row>
    <row r="631" spans="1:22" x14ac:dyDescent="0.2">
      <c r="A631" s="229"/>
      <c r="B631" s="230"/>
      <c r="D631" s="230"/>
      <c r="V631" s="219"/>
    </row>
    <row r="632" spans="1:22" x14ac:dyDescent="0.2">
      <c r="A632" s="229"/>
      <c r="B632" s="230"/>
      <c r="D632" s="230"/>
      <c r="V632" s="219"/>
    </row>
    <row r="633" spans="1:22" x14ac:dyDescent="0.2">
      <c r="A633" s="229"/>
      <c r="B633" s="230"/>
      <c r="D633" s="230"/>
      <c r="V633" s="219"/>
    </row>
    <row r="634" spans="1:22" x14ac:dyDescent="0.2">
      <c r="A634" s="229"/>
      <c r="B634" s="230"/>
      <c r="D634" s="230"/>
      <c r="V634" s="219"/>
    </row>
    <row r="635" spans="1:22" x14ac:dyDescent="0.2">
      <c r="A635" s="229"/>
      <c r="B635" s="230"/>
      <c r="D635" s="230"/>
      <c r="V635" s="219"/>
    </row>
    <row r="636" spans="1:22" x14ac:dyDescent="0.2">
      <c r="A636" s="229"/>
      <c r="B636" s="230"/>
      <c r="D636" s="230"/>
      <c r="V636" s="219"/>
    </row>
    <row r="637" spans="1:22" x14ac:dyDescent="0.2">
      <c r="A637" s="229"/>
      <c r="B637" s="230"/>
      <c r="D637" s="230"/>
      <c r="V637" s="219"/>
    </row>
    <row r="638" spans="1:22" x14ac:dyDescent="0.2">
      <c r="A638" s="229"/>
      <c r="B638" s="230"/>
      <c r="D638" s="230"/>
      <c r="V638" s="219"/>
    </row>
    <row r="639" spans="1:22" x14ac:dyDescent="0.2">
      <c r="A639" s="229"/>
      <c r="B639" s="230"/>
      <c r="D639" s="230"/>
      <c r="V639" s="219"/>
    </row>
    <row r="640" spans="1:22" x14ac:dyDescent="0.2">
      <c r="A640" s="229"/>
      <c r="B640" s="230"/>
      <c r="D640" s="230"/>
      <c r="V640" s="219"/>
    </row>
    <row r="641" spans="1:22" x14ac:dyDescent="0.2">
      <c r="A641" s="229"/>
      <c r="B641" s="230"/>
      <c r="D641" s="230"/>
      <c r="V641" s="219"/>
    </row>
    <row r="642" spans="1:22" x14ac:dyDescent="0.2">
      <c r="A642" s="229"/>
      <c r="B642" s="230"/>
      <c r="D642" s="230"/>
      <c r="V642" s="219"/>
    </row>
    <row r="643" spans="1:22" x14ac:dyDescent="0.2">
      <c r="A643" s="229"/>
      <c r="B643" s="230"/>
      <c r="D643" s="230"/>
      <c r="V643" s="219"/>
    </row>
    <row r="644" spans="1:22" x14ac:dyDescent="0.2">
      <c r="A644" s="229"/>
      <c r="B644" s="230"/>
      <c r="D644" s="230"/>
      <c r="V644" s="219"/>
    </row>
    <row r="645" spans="1:22" x14ac:dyDescent="0.2">
      <c r="A645" s="229"/>
      <c r="B645" s="230"/>
      <c r="D645" s="230"/>
      <c r="V645" s="219"/>
    </row>
    <row r="646" spans="1:22" x14ac:dyDescent="0.2">
      <c r="A646" s="229"/>
      <c r="B646" s="230"/>
      <c r="D646" s="230"/>
      <c r="V646" s="219"/>
    </row>
    <row r="647" spans="1:22" x14ac:dyDescent="0.2">
      <c r="A647" s="229"/>
      <c r="B647" s="230"/>
      <c r="D647" s="230"/>
      <c r="V647" s="219"/>
    </row>
    <row r="648" spans="1:22" x14ac:dyDescent="0.2">
      <c r="A648" s="229"/>
      <c r="B648" s="230"/>
      <c r="D648" s="230"/>
      <c r="V648" s="219"/>
    </row>
    <row r="649" spans="1:22" x14ac:dyDescent="0.2">
      <c r="A649" s="229"/>
      <c r="B649" s="230"/>
      <c r="D649" s="230"/>
      <c r="V649" s="219"/>
    </row>
    <row r="650" spans="1:22" x14ac:dyDescent="0.2">
      <c r="A650" s="229"/>
      <c r="B650" s="230"/>
      <c r="D650" s="230"/>
      <c r="V650" s="219"/>
    </row>
    <row r="651" spans="1:22" x14ac:dyDescent="0.2">
      <c r="A651" s="229"/>
      <c r="B651" s="230"/>
      <c r="D651" s="230"/>
      <c r="V651" s="219"/>
    </row>
    <row r="652" spans="1:22" x14ac:dyDescent="0.2">
      <c r="A652" s="229"/>
      <c r="B652" s="230"/>
      <c r="D652" s="230"/>
      <c r="V652" s="219"/>
    </row>
    <row r="653" spans="1:22" x14ac:dyDescent="0.2">
      <c r="A653" s="229"/>
      <c r="B653" s="230"/>
      <c r="D653" s="230"/>
      <c r="V653" s="219"/>
    </row>
    <row r="654" spans="1:22" x14ac:dyDescent="0.2">
      <c r="A654" s="229"/>
      <c r="B654" s="230"/>
      <c r="D654" s="230"/>
      <c r="V654" s="219"/>
    </row>
    <row r="655" spans="1:22" x14ac:dyDescent="0.2">
      <c r="A655" s="229"/>
      <c r="B655" s="230"/>
      <c r="D655" s="230"/>
      <c r="V655" s="219"/>
    </row>
    <row r="656" spans="1:22" x14ac:dyDescent="0.2">
      <c r="A656" s="229"/>
      <c r="B656" s="230"/>
      <c r="D656" s="230"/>
      <c r="V656" s="219"/>
    </row>
    <row r="657" spans="1:22" x14ac:dyDescent="0.2">
      <c r="A657" s="229"/>
      <c r="B657" s="230"/>
      <c r="D657" s="230"/>
      <c r="V657" s="219"/>
    </row>
    <row r="658" spans="1:22" x14ac:dyDescent="0.2">
      <c r="A658" s="229"/>
      <c r="B658" s="230"/>
      <c r="D658" s="230"/>
      <c r="V658" s="219"/>
    </row>
    <row r="659" spans="1:22" x14ac:dyDescent="0.2">
      <c r="A659" s="229"/>
      <c r="B659" s="230"/>
      <c r="D659" s="230"/>
      <c r="V659" s="219"/>
    </row>
    <row r="660" spans="1:22" x14ac:dyDescent="0.2">
      <c r="A660" s="229"/>
      <c r="B660" s="230"/>
      <c r="D660" s="230"/>
      <c r="V660" s="219"/>
    </row>
    <row r="661" spans="1:22" x14ac:dyDescent="0.2">
      <c r="A661" s="229"/>
      <c r="B661" s="230"/>
      <c r="D661" s="230"/>
      <c r="V661" s="219"/>
    </row>
    <row r="662" spans="1:22" x14ac:dyDescent="0.2">
      <c r="A662" s="229"/>
      <c r="B662" s="230"/>
      <c r="D662" s="230"/>
      <c r="V662" s="219"/>
    </row>
    <row r="663" spans="1:22" x14ac:dyDescent="0.2">
      <c r="A663" s="229"/>
      <c r="B663" s="230"/>
      <c r="D663" s="230"/>
      <c r="V663" s="219"/>
    </row>
    <row r="664" spans="1:22" x14ac:dyDescent="0.2">
      <c r="A664" s="229"/>
      <c r="B664" s="230"/>
      <c r="D664" s="230"/>
      <c r="V664" s="219"/>
    </row>
    <row r="665" spans="1:22" x14ac:dyDescent="0.2">
      <c r="A665" s="229"/>
      <c r="B665" s="230"/>
      <c r="D665" s="230"/>
      <c r="V665" s="219"/>
    </row>
    <row r="666" spans="1:22" x14ac:dyDescent="0.2">
      <c r="A666" s="229"/>
      <c r="B666" s="230"/>
      <c r="D666" s="230"/>
      <c r="V666" s="219"/>
    </row>
    <row r="667" spans="1:22" x14ac:dyDescent="0.2">
      <c r="A667" s="229"/>
      <c r="B667" s="230"/>
      <c r="D667" s="230"/>
      <c r="V667" s="219"/>
    </row>
    <row r="668" spans="1:22" x14ac:dyDescent="0.2">
      <c r="A668" s="229"/>
      <c r="B668" s="230"/>
      <c r="D668" s="230"/>
      <c r="V668" s="219"/>
    </row>
    <row r="669" spans="1:22" x14ac:dyDescent="0.2">
      <c r="A669" s="229"/>
      <c r="B669" s="230"/>
      <c r="D669" s="230"/>
      <c r="V669" s="219"/>
    </row>
    <row r="670" spans="1:22" x14ac:dyDescent="0.2">
      <c r="A670" s="229"/>
      <c r="B670" s="230"/>
      <c r="D670" s="230"/>
      <c r="V670" s="219"/>
    </row>
    <row r="671" spans="1:22" x14ac:dyDescent="0.2">
      <c r="A671" s="229"/>
      <c r="B671" s="230"/>
      <c r="D671" s="230"/>
      <c r="V671" s="219"/>
    </row>
    <row r="672" spans="1:22" x14ac:dyDescent="0.2">
      <c r="A672" s="229"/>
      <c r="B672" s="230"/>
      <c r="D672" s="230"/>
      <c r="V672" s="219"/>
    </row>
    <row r="673" spans="1:22" x14ac:dyDescent="0.2">
      <c r="A673" s="229"/>
      <c r="B673" s="230"/>
      <c r="D673" s="230"/>
      <c r="V673" s="219"/>
    </row>
    <row r="674" spans="1:22" x14ac:dyDescent="0.2">
      <c r="A674" s="229"/>
      <c r="B674" s="230"/>
      <c r="D674" s="230"/>
      <c r="V674" s="219"/>
    </row>
    <row r="675" spans="1:22" x14ac:dyDescent="0.2">
      <c r="A675" s="229"/>
      <c r="B675" s="230"/>
      <c r="D675" s="230"/>
      <c r="V675" s="219"/>
    </row>
    <row r="676" spans="1:22" x14ac:dyDescent="0.2">
      <c r="A676" s="229"/>
      <c r="B676" s="230"/>
      <c r="D676" s="230"/>
      <c r="V676" s="219"/>
    </row>
    <row r="677" spans="1:22" x14ac:dyDescent="0.2">
      <c r="A677" s="229"/>
      <c r="B677" s="230"/>
      <c r="D677" s="230"/>
      <c r="V677" s="219"/>
    </row>
    <row r="678" spans="1:22" x14ac:dyDescent="0.2">
      <c r="A678" s="229"/>
      <c r="B678" s="230"/>
      <c r="D678" s="230"/>
      <c r="V678" s="219"/>
    </row>
    <row r="679" spans="1:22" x14ac:dyDescent="0.2">
      <c r="A679" s="229"/>
      <c r="B679" s="230"/>
      <c r="D679" s="230"/>
      <c r="V679" s="219"/>
    </row>
    <row r="680" spans="1:22" x14ac:dyDescent="0.2">
      <c r="A680" s="229"/>
      <c r="B680" s="230"/>
      <c r="D680" s="230"/>
      <c r="V680" s="219"/>
    </row>
    <row r="681" spans="1:22" x14ac:dyDescent="0.2">
      <c r="A681" s="229"/>
      <c r="B681" s="230"/>
      <c r="D681" s="230"/>
      <c r="V681" s="219"/>
    </row>
    <row r="682" spans="1:22" x14ac:dyDescent="0.2">
      <c r="A682" s="229"/>
      <c r="B682" s="230"/>
      <c r="D682" s="230"/>
      <c r="V682" s="219"/>
    </row>
    <row r="683" spans="1:22" x14ac:dyDescent="0.2">
      <c r="A683" s="229"/>
      <c r="B683" s="230"/>
      <c r="D683" s="230"/>
      <c r="V683" s="219"/>
    </row>
    <row r="684" spans="1:22" x14ac:dyDescent="0.2">
      <c r="A684" s="229"/>
      <c r="B684" s="230"/>
      <c r="D684" s="230"/>
      <c r="V684" s="219"/>
    </row>
    <row r="685" spans="1:22" x14ac:dyDescent="0.2">
      <c r="A685" s="229"/>
      <c r="B685" s="230"/>
      <c r="D685" s="230"/>
      <c r="V685" s="219"/>
    </row>
    <row r="686" spans="1:22" x14ac:dyDescent="0.2">
      <c r="A686" s="229"/>
      <c r="B686" s="230"/>
      <c r="D686" s="230"/>
      <c r="V686" s="219"/>
    </row>
    <row r="687" spans="1:22" x14ac:dyDescent="0.2">
      <c r="A687" s="229"/>
      <c r="B687" s="230"/>
      <c r="D687" s="230"/>
      <c r="V687" s="219"/>
    </row>
    <row r="688" spans="1:22" x14ac:dyDescent="0.2">
      <c r="A688" s="229"/>
      <c r="B688" s="230"/>
      <c r="D688" s="230"/>
      <c r="V688" s="219"/>
    </row>
    <row r="689" spans="1:22" x14ac:dyDescent="0.2">
      <c r="A689" s="229"/>
      <c r="B689" s="230"/>
      <c r="D689" s="230"/>
      <c r="V689" s="219"/>
    </row>
    <row r="690" spans="1:22" x14ac:dyDescent="0.2">
      <c r="A690" s="229"/>
      <c r="B690" s="230"/>
      <c r="D690" s="230"/>
      <c r="V690" s="219"/>
    </row>
    <row r="691" spans="1:22" x14ac:dyDescent="0.2">
      <c r="A691" s="229"/>
      <c r="B691" s="230"/>
      <c r="D691" s="230"/>
      <c r="V691" s="219"/>
    </row>
    <row r="692" spans="1:22" x14ac:dyDescent="0.2">
      <c r="A692" s="229"/>
      <c r="B692" s="230"/>
      <c r="D692" s="230"/>
      <c r="V692" s="219"/>
    </row>
    <row r="693" spans="1:22" x14ac:dyDescent="0.2">
      <c r="A693" s="229"/>
      <c r="B693" s="230"/>
      <c r="D693" s="230"/>
      <c r="V693" s="219"/>
    </row>
    <row r="694" spans="1:22" x14ac:dyDescent="0.2">
      <c r="A694" s="229"/>
      <c r="B694" s="230"/>
      <c r="D694" s="230"/>
      <c r="V694" s="219"/>
    </row>
    <row r="695" spans="1:22" x14ac:dyDescent="0.2">
      <c r="A695" s="229"/>
      <c r="B695" s="230"/>
      <c r="D695" s="230"/>
      <c r="V695" s="219"/>
    </row>
    <row r="696" spans="1:22" x14ac:dyDescent="0.2">
      <c r="A696" s="229"/>
      <c r="B696" s="230"/>
      <c r="D696" s="230"/>
      <c r="V696" s="219"/>
    </row>
    <row r="697" spans="1:22" x14ac:dyDescent="0.2">
      <c r="A697" s="229"/>
      <c r="B697" s="230"/>
      <c r="D697" s="230"/>
      <c r="V697" s="219"/>
    </row>
    <row r="698" spans="1:22" x14ac:dyDescent="0.2">
      <c r="A698" s="229"/>
      <c r="B698" s="230"/>
      <c r="D698" s="230"/>
      <c r="V698" s="219"/>
    </row>
    <row r="699" spans="1:22" x14ac:dyDescent="0.2">
      <c r="A699" s="229"/>
      <c r="B699" s="230"/>
      <c r="D699" s="230"/>
      <c r="V699" s="219"/>
    </row>
    <row r="700" spans="1:22" x14ac:dyDescent="0.2">
      <c r="A700" s="229"/>
      <c r="B700" s="230"/>
      <c r="D700" s="230"/>
      <c r="V700" s="219"/>
    </row>
    <row r="701" spans="1:22" x14ac:dyDescent="0.2">
      <c r="A701" s="229"/>
      <c r="B701" s="230"/>
      <c r="D701" s="230"/>
      <c r="V701" s="219"/>
    </row>
    <row r="702" spans="1:22" x14ac:dyDescent="0.2">
      <c r="A702" s="229"/>
      <c r="B702" s="230"/>
      <c r="D702" s="230"/>
      <c r="V702" s="219"/>
    </row>
    <row r="703" spans="1:22" x14ac:dyDescent="0.2">
      <c r="A703" s="229"/>
      <c r="B703" s="230"/>
      <c r="D703" s="230"/>
      <c r="V703" s="219"/>
    </row>
    <row r="704" spans="1:22" x14ac:dyDescent="0.2">
      <c r="A704" s="229"/>
      <c r="B704" s="230"/>
      <c r="D704" s="230"/>
      <c r="V704" s="219"/>
    </row>
    <row r="705" spans="1:22" x14ac:dyDescent="0.2">
      <c r="A705" s="229"/>
      <c r="B705" s="230"/>
      <c r="D705" s="230"/>
      <c r="V705" s="219"/>
    </row>
    <row r="706" spans="1:22" x14ac:dyDescent="0.2">
      <c r="A706" s="229"/>
      <c r="B706" s="230"/>
      <c r="D706" s="230"/>
      <c r="V706" s="219"/>
    </row>
    <row r="707" spans="1:22" x14ac:dyDescent="0.2">
      <c r="A707" s="229"/>
      <c r="B707" s="230"/>
      <c r="D707" s="230"/>
      <c r="V707" s="219"/>
    </row>
    <row r="708" spans="1:22" x14ac:dyDescent="0.2">
      <c r="A708" s="229"/>
      <c r="B708" s="230"/>
      <c r="D708" s="230"/>
      <c r="V708" s="219"/>
    </row>
    <row r="709" spans="1:22" x14ac:dyDescent="0.2">
      <c r="A709" s="229"/>
      <c r="B709" s="230"/>
      <c r="D709" s="230"/>
      <c r="V709" s="219"/>
    </row>
    <row r="710" spans="1:22" x14ac:dyDescent="0.2">
      <c r="A710" s="229"/>
      <c r="B710" s="230"/>
      <c r="D710" s="230"/>
      <c r="V710" s="219"/>
    </row>
    <row r="711" spans="1:22" x14ac:dyDescent="0.2">
      <c r="A711" s="229"/>
      <c r="B711" s="230"/>
      <c r="D711" s="230"/>
      <c r="V711" s="219"/>
    </row>
    <row r="712" spans="1:22" x14ac:dyDescent="0.2">
      <c r="A712" s="229"/>
      <c r="B712" s="230"/>
      <c r="D712" s="230"/>
      <c r="V712" s="219"/>
    </row>
    <row r="713" spans="1:22" x14ac:dyDescent="0.2">
      <c r="A713" s="229"/>
      <c r="B713" s="230"/>
      <c r="D713" s="230"/>
      <c r="V713" s="219"/>
    </row>
    <row r="714" spans="1:22" x14ac:dyDescent="0.2">
      <c r="A714" s="229"/>
      <c r="B714" s="230"/>
      <c r="D714" s="230"/>
      <c r="V714" s="219"/>
    </row>
    <row r="715" spans="1:22" x14ac:dyDescent="0.2">
      <c r="A715" s="229"/>
      <c r="B715" s="230"/>
      <c r="D715" s="230"/>
      <c r="V715" s="219"/>
    </row>
    <row r="716" spans="1:22" x14ac:dyDescent="0.2">
      <c r="A716" s="229"/>
      <c r="B716" s="230"/>
      <c r="D716" s="230"/>
      <c r="V716" s="219"/>
    </row>
    <row r="717" spans="1:22" x14ac:dyDescent="0.2">
      <c r="A717" s="229"/>
      <c r="B717" s="230"/>
      <c r="D717" s="230"/>
      <c r="V717" s="219"/>
    </row>
    <row r="718" spans="1:22" x14ac:dyDescent="0.2">
      <c r="A718" s="229"/>
      <c r="B718" s="230"/>
      <c r="D718" s="230"/>
      <c r="V718" s="219"/>
    </row>
    <row r="719" spans="1:22" x14ac:dyDescent="0.2">
      <c r="A719" s="229"/>
      <c r="B719" s="230"/>
      <c r="D719" s="230"/>
      <c r="V719" s="219"/>
    </row>
    <row r="720" spans="1:22" x14ac:dyDescent="0.2">
      <c r="A720" s="229"/>
      <c r="B720" s="230"/>
      <c r="D720" s="230"/>
      <c r="V720" s="219"/>
    </row>
    <row r="721" spans="1:22" x14ac:dyDescent="0.2">
      <c r="A721" s="229"/>
      <c r="B721" s="230"/>
      <c r="D721" s="230"/>
      <c r="V721" s="219"/>
    </row>
    <row r="722" spans="1:22" x14ac:dyDescent="0.2">
      <c r="A722" s="229"/>
      <c r="B722" s="230"/>
      <c r="D722" s="230"/>
      <c r="V722" s="219"/>
    </row>
    <row r="723" spans="1:22" x14ac:dyDescent="0.2">
      <c r="A723" s="229"/>
      <c r="B723" s="230"/>
      <c r="D723" s="230"/>
      <c r="V723" s="219"/>
    </row>
    <row r="724" spans="1:22" x14ac:dyDescent="0.2">
      <c r="A724" s="229"/>
      <c r="B724" s="230"/>
      <c r="D724" s="230"/>
      <c r="V724" s="219"/>
    </row>
    <row r="725" spans="1:22" x14ac:dyDescent="0.2">
      <c r="A725" s="229"/>
      <c r="B725" s="230"/>
      <c r="D725" s="230"/>
      <c r="V725" s="219"/>
    </row>
    <row r="726" spans="1:22" x14ac:dyDescent="0.2">
      <c r="A726" s="229"/>
      <c r="B726" s="230"/>
      <c r="D726" s="230"/>
      <c r="V726" s="219"/>
    </row>
    <row r="727" spans="1:22" x14ac:dyDescent="0.2">
      <c r="A727" s="229"/>
      <c r="B727" s="230"/>
      <c r="D727" s="230"/>
      <c r="V727" s="219"/>
    </row>
    <row r="728" spans="1:22" x14ac:dyDescent="0.2">
      <c r="A728" s="229"/>
      <c r="B728" s="230"/>
      <c r="D728" s="230"/>
      <c r="V728" s="219"/>
    </row>
    <row r="729" spans="1:22" x14ac:dyDescent="0.2">
      <c r="A729" s="229"/>
      <c r="B729" s="230"/>
      <c r="D729" s="230"/>
      <c r="V729" s="219"/>
    </row>
    <row r="730" spans="1:22" x14ac:dyDescent="0.2">
      <c r="A730" s="229"/>
      <c r="B730" s="230"/>
      <c r="D730" s="230"/>
      <c r="V730" s="219"/>
    </row>
    <row r="731" spans="1:22" x14ac:dyDescent="0.2">
      <c r="A731" s="229"/>
      <c r="B731" s="230"/>
      <c r="D731" s="230"/>
      <c r="V731" s="219"/>
    </row>
    <row r="732" spans="1:22" x14ac:dyDescent="0.2">
      <c r="A732" s="229"/>
      <c r="B732" s="230"/>
      <c r="D732" s="230"/>
      <c r="V732" s="219"/>
    </row>
    <row r="733" spans="1:22" x14ac:dyDescent="0.2">
      <c r="A733" s="229"/>
      <c r="B733" s="230"/>
      <c r="D733" s="230"/>
      <c r="V733" s="219"/>
    </row>
    <row r="734" spans="1:22" x14ac:dyDescent="0.2">
      <c r="A734" s="229"/>
      <c r="B734" s="230"/>
      <c r="D734" s="230"/>
      <c r="V734" s="219"/>
    </row>
    <row r="735" spans="1:22" x14ac:dyDescent="0.2">
      <c r="A735" s="229"/>
      <c r="B735" s="230"/>
      <c r="D735" s="230"/>
      <c r="V735" s="219"/>
    </row>
    <row r="736" spans="1:22" x14ac:dyDescent="0.2">
      <c r="A736" s="229"/>
      <c r="B736" s="230"/>
      <c r="D736" s="230"/>
      <c r="V736" s="219"/>
    </row>
    <row r="737" spans="1:22" x14ac:dyDescent="0.2">
      <c r="A737" s="229"/>
      <c r="B737" s="230"/>
      <c r="D737" s="230"/>
      <c r="V737" s="219"/>
    </row>
    <row r="738" spans="1:22" x14ac:dyDescent="0.2">
      <c r="A738" s="229"/>
      <c r="B738" s="230"/>
      <c r="D738" s="230"/>
      <c r="V738" s="219"/>
    </row>
    <row r="739" spans="1:22" x14ac:dyDescent="0.2">
      <c r="A739" s="229"/>
      <c r="B739" s="230"/>
      <c r="D739" s="230"/>
      <c r="V739" s="219"/>
    </row>
    <row r="740" spans="1:22" x14ac:dyDescent="0.2">
      <c r="A740" s="229"/>
      <c r="B740" s="230"/>
      <c r="D740" s="230"/>
      <c r="V740" s="219"/>
    </row>
    <row r="741" spans="1:22" x14ac:dyDescent="0.2">
      <c r="A741" s="229"/>
      <c r="B741" s="230"/>
      <c r="D741" s="230"/>
      <c r="V741" s="219"/>
    </row>
    <row r="742" spans="1:22" x14ac:dyDescent="0.2">
      <c r="A742" s="229"/>
      <c r="B742" s="230"/>
      <c r="D742" s="230"/>
      <c r="V742" s="219"/>
    </row>
    <row r="743" spans="1:22" x14ac:dyDescent="0.2">
      <c r="A743" s="229"/>
      <c r="B743" s="230"/>
      <c r="D743" s="230"/>
      <c r="V743" s="219"/>
    </row>
    <row r="744" spans="1:22" x14ac:dyDescent="0.2">
      <c r="A744" s="229"/>
      <c r="B744" s="230"/>
      <c r="D744" s="230"/>
      <c r="V744" s="219"/>
    </row>
    <row r="745" spans="1:22" x14ac:dyDescent="0.2">
      <c r="A745" s="229"/>
      <c r="B745" s="230"/>
      <c r="D745" s="230"/>
      <c r="V745" s="219"/>
    </row>
    <row r="746" spans="1:22" x14ac:dyDescent="0.2">
      <c r="A746" s="229"/>
      <c r="B746" s="230"/>
      <c r="D746" s="230"/>
      <c r="V746" s="219"/>
    </row>
    <row r="747" spans="1:22" x14ac:dyDescent="0.2">
      <c r="A747" s="229"/>
      <c r="B747" s="230"/>
      <c r="D747" s="230"/>
      <c r="V747" s="219"/>
    </row>
    <row r="748" spans="1:22" x14ac:dyDescent="0.2">
      <c r="A748" s="229"/>
      <c r="B748" s="230"/>
      <c r="D748" s="230"/>
      <c r="V748" s="219"/>
    </row>
    <row r="749" spans="1:22" x14ac:dyDescent="0.2">
      <c r="A749" s="229"/>
      <c r="B749" s="230"/>
      <c r="D749" s="230"/>
      <c r="V749" s="219"/>
    </row>
    <row r="750" spans="1:22" x14ac:dyDescent="0.2">
      <c r="A750" s="229"/>
      <c r="B750" s="230"/>
      <c r="D750" s="230"/>
      <c r="V750" s="219"/>
    </row>
    <row r="751" spans="1:22" x14ac:dyDescent="0.2">
      <c r="A751" s="229"/>
      <c r="B751" s="230"/>
      <c r="D751" s="230"/>
      <c r="V751" s="219"/>
    </row>
    <row r="752" spans="1:22" x14ac:dyDescent="0.2">
      <c r="A752" s="229"/>
      <c r="B752" s="230"/>
      <c r="D752" s="230"/>
      <c r="V752" s="219"/>
    </row>
    <row r="753" spans="1:22" x14ac:dyDescent="0.2">
      <c r="A753" s="229"/>
      <c r="B753" s="230"/>
      <c r="D753" s="230"/>
      <c r="V753" s="219"/>
    </row>
    <row r="754" spans="1:22" x14ac:dyDescent="0.2">
      <c r="A754" s="229"/>
      <c r="B754" s="230"/>
      <c r="D754" s="230"/>
      <c r="V754" s="219"/>
    </row>
    <row r="755" spans="1:22" x14ac:dyDescent="0.2">
      <c r="A755" s="229"/>
      <c r="B755" s="230"/>
      <c r="D755" s="230"/>
      <c r="V755" s="219"/>
    </row>
    <row r="756" spans="1:22" x14ac:dyDescent="0.2">
      <c r="A756" s="229"/>
      <c r="B756" s="230"/>
      <c r="D756" s="230"/>
      <c r="V756" s="219"/>
    </row>
    <row r="757" spans="1:22" x14ac:dyDescent="0.2">
      <c r="A757" s="229"/>
      <c r="B757" s="230"/>
      <c r="D757" s="230"/>
      <c r="V757" s="219"/>
    </row>
    <row r="758" spans="1:22" x14ac:dyDescent="0.2">
      <c r="A758" s="229"/>
      <c r="B758" s="230"/>
      <c r="D758" s="230"/>
      <c r="V758" s="219"/>
    </row>
    <row r="759" spans="1:22" x14ac:dyDescent="0.2">
      <c r="A759" s="229"/>
      <c r="B759" s="230"/>
      <c r="D759" s="230"/>
      <c r="V759" s="219"/>
    </row>
    <row r="760" spans="1:22" x14ac:dyDescent="0.2">
      <c r="A760" s="229"/>
      <c r="B760" s="230"/>
      <c r="D760" s="230"/>
      <c r="V760" s="219"/>
    </row>
    <row r="761" spans="1:22" x14ac:dyDescent="0.2">
      <c r="A761" s="229"/>
      <c r="B761" s="230"/>
      <c r="D761" s="230"/>
      <c r="V761" s="219"/>
    </row>
    <row r="762" spans="1:22" x14ac:dyDescent="0.2">
      <c r="A762" s="229"/>
      <c r="B762" s="230"/>
      <c r="D762" s="230"/>
      <c r="V762" s="219"/>
    </row>
    <row r="763" spans="1:22" x14ac:dyDescent="0.2">
      <c r="A763" s="229"/>
      <c r="B763" s="230"/>
      <c r="D763" s="230"/>
      <c r="V763" s="219"/>
    </row>
    <row r="764" spans="1:22" x14ac:dyDescent="0.2">
      <c r="A764" s="229"/>
      <c r="B764" s="230"/>
      <c r="D764" s="230"/>
      <c r="V764" s="219"/>
    </row>
    <row r="765" spans="1:22" x14ac:dyDescent="0.2">
      <c r="A765" s="229"/>
      <c r="B765" s="230"/>
      <c r="D765" s="230"/>
      <c r="V765" s="219"/>
    </row>
    <row r="766" spans="1:22" x14ac:dyDescent="0.2">
      <c r="A766" s="229"/>
      <c r="B766" s="230"/>
      <c r="D766" s="230"/>
      <c r="V766" s="219"/>
    </row>
    <row r="767" spans="1:22" x14ac:dyDescent="0.2">
      <c r="A767" s="229"/>
      <c r="B767" s="230"/>
      <c r="D767" s="230"/>
      <c r="V767" s="219"/>
    </row>
    <row r="768" spans="1:22" x14ac:dyDescent="0.2">
      <c r="A768" s="229"/>
      <c r="B768" s="230"/>
      <c r="D768" s="230"/>
      <c r="V768" s="219"/>
    </row>
    <row r="769" spans="1:22" x14ac:dyDescent="0.2">
      <c r="A769" s="229"/>
      <c r="B769" s="230"/>
      <c r="D769" s="230"/>
      <c r="V769" s="219"/>
    </row>
    <row r="770" spans="1:22" x14ac:dyDescent="0.2">
      <c r="A770" s="229"/>
      <c r="B770" s="230"/>
      <c r="D770" s="230"/>
      <c r="V770" s="219"/>
    </row>
    <row r="771" spans="1:22" x14ac:dyDescent="0.2">
      <c r="A771" s="229"/>
      <c r="B771" s="230"/>
      <c r="D771" s="230"/>
      <c r="V771" s="219"/>
    </row>
    <row r="772" spans="1:22" x14ac:dyDescent="0.2">
      <c r="A772" s="229"/>
      <c r="B772" s="230"/>
      <c r="D772" s="230"/>
      <c r="V772" s="219"/>
    </row>
    <row r="773" spans="1:22" x14ac:dyDescent="0.2">
      <c r="A773" s="229"/>
      <c r="B773" s="230"/>
      <c r="D773" s="230"/>
      <c r="V773" s="219"/>
    </row>
    <row r="774" spans="1:22" x14ac:dyDescent="0.2">
      <c r="A774" s="229"/>
      <c r="B774" s="230"/>
      <c r="D774" s="230"/>
      <c r="V774" s="219"/>
    </row>
    <row r="775" spans="1:22" x14ac:dyDescent="0.2">
      <c r="A775" s="229"/>
      <c r="B775" s="230"/>
      <c r="D775" s="230"/>
      <c r="V775" s="219"/>
    </row>
    <row r="776" spans="1:22" x14ac:dyDescent="0.2">
      <c r="A776" s="229"/>
      <c r="B776" s="230"/>
      <c r="D776" s="230"/>
      <c r="V776" s="219"/>
    </row>
    <row r="777" spans="1:22" x14ac:dyDescent="0.2">
      <c r="A777" s="229"/>
      <c r="B777" s="230"/>
      <c r="D777" s="230"/>
      <c r="V777" s="219"/>
    </row>
    <row r="778" spans="1:22" x14ac:dyDescent="0.2">
      <c r="A778" s="229"/>
      <c r="B778" s="230"/>
      <c r="D778" s="230"/>
      <c r="V778" s="219"/>
    </row>
    <row r="779" spans="1:22" x14ac:dyDescent="0.2">
      <c r="A779" s="229"/>
      <c r="B779" s="230"/>
      <c r="D779" s="230"/>
      <c r="V779" s="219"/>
    </row>
    <row r="780" spans="1:22" x14ac:dyDescent="0.2">
      <c r="A780" s="229"/>
      <c r="B780" s="230"/>
      <c r="D780" s="230"/>
      <c r="V780" s="219"/>
    </row>
    <row r="781" spans="1:22" x14ac:dyDescent="0.2">
      <c r="A781" s="229"/>
      <c r="B781" s="230"/>
      <c r="D781" s="230"/>
      <c r="V781" s="219"/>
    </row>
    <row r="782" spans="1:22" x14ac:dyDescent="0.2">
      <c r="A782" s="229"/>
      <c r="B782" s="230"/>
      <c r="D782" s="230"/>
      <c r="V782" s="219"/>
    </row>
    <row r="783" spans="1:22" x14ac:dyDescent="0.2">
      <c r="A783" s="229"/>
      <c r="B783" s="230"/>
      <c r="D783" s="230"/>
      <c r="V783" s="219"/>
    </row>
    <row r="784" spans="1:22" x14ac:dyDescent="0.2">
      <c r="A784" s="229"/>
      <c r="B784" s="230"/>
      <c r="D784" s="230"/>
      <c r="V784" s="219"/>
    </row>
    <row r="785" spans="1:22" x14ac:dyDescent="0.2">
      <c r="A785" s="229"/>
      <c r="B785" s="230"/>
      <c r="D785" s="230"/>
      <c r="V785" s="219"/>
    </row>
    <row r="786" spans="1:22" x14ac:dyDescent="0.2">
      <c r="A786" s="229"/>
      <c r="B786" s="230"/>
      <c r="D786" s="230"/>
      <c r="V786" s="219"/>
    </row>
    <row r="787" spans="1:22" x14ac:dyDescent="0.2">
      <c r="A787" s="229"/>
      <c r="B787" s="230"/>
      <c r="D787" s="230"/>
      <c r="V787" s="219"/>
    </row>
    <row r="788" spans="1:22" x14ac:dyDescent="0.2">
      <c r="A788" s="229"/>
      <c r="B788" s="230"/>
      <c r="D788" s="230"/>
      <c r="V788" s="219"/>
    </row>
    <row r="789" spans="1:22" x14ac:dyDescent="0.2">
      <c r="A789" s="229"/>
      <c r="B789" s="230"/>
      <c r="D789" s="230"/>
      <c r="V789" s="219"/>
    </row>
    <row r="790" spans="1:22" x14ac:dyDescent="0.2">
      <c r="A790" s="229"/>
      <c r="B790" s="230"/>
      <c r="D790" s="230"/>
      <c r="V790" s="219"/>
    </row>
    <row r="791" spans="1:22" x14ac:dyDescent="0.2">
      <c r="A791" s="229"/>
      <c r="B791" s="230"/>
      <c r="D791" s="230"/>
      <c r="V791" s="219"/>
    </row>
    <row r="792" spans="1:22" x14ac:dyDescent="0.2">
      <c r="A792" s="229"/>
      <c r="B792" s="230"/>
      <c r="D792" s="230"/>
      <c r="V792" s="219"/>
    </row>
    <row r="793" spans="1:22" x14ac:dyDescent="0.2">
      <c r="A793" s="229"/>
      <c r="B793" s="230"/>
      <c r="D793" s="230"/>
      <c r="V793" s="219"/>
    </row>
    <row r="794" spans="1:22" x14ac:dyDescent="0.2">
      <c r="A794" s="229"/>
      <c r="B794" s="230"/>
      <c r="D794" s="230"/>
      <c r="V794" s="219"/>
    </row>
    <row r="795" spans="1:22" x14ac:dyDescent="0.2">
      <c r="A795" s="229"/>
      <c r="B795" s="230"/>
      <c r="D795" s="230"/>
      <c r="V795" s="219"/>
    </row>
    <row r="796" spans="1:22" x14ac:dyDescent="0.2">
      <c r="A796" s="229"/>
      <c r="B796" s="230"/>
      <c r="D796" s="230"/>
      <c r="V796" s="219"/>
    </row>
    <row r="797" spans="1:22" x14ac:dyDescent="0.2">
      <c r="A797" s="229"/>
      <c r="B797" s="230"/>
      <c r="D797" s="230"/>
      <c r="V797" s="219"/>
    </row>
    <row r="798" spans="1:22" x14ac:dyDescent="0.2">
      <c r="A798" s="229"/>
      <c r="B798" s="230"/>
      <c r="D798" s="230"/>
      <c r="V798" s="219"/>
    </row>
    <row r="799" spans="1:22" x14ac:dyDescent="0.2">
      <c r="A799" s="229"/>
      <c r="B799" s="230"/>
      <c r="D799" s="230"/>
      <c r="V799" s="219"/>
    </row>
    <row r="800" spans="1:22" x14ac:dyDescent="0.2">
      <c r="A800" s="229"/>
      <c r="B800" s="230"/>
      <c r="D800" s="230"/>
      <c r="V800" s="219"/>
    </row>
    <row r="801" spans="1:22" x14ac:dyDescent="0.2">
      <c r="A801" s="229"/>
      <c r="B801" s="230"/>
      <c r="D801" s="230"/>
      <c r="V801" s="219"/>
    </row>
    <row r="802" spans="1:22" x14ac:dyDescent="0.2">
      <c r="A802" s="229"/>
      <c r="B802" s="230"/>
      <c r="D802" s="230"/>
      <c r="V802" s="219"/>
    </row>
    <row r="803" spans="1:22" x14ac:dyDescent="0.2">
      <c r="A803" s="229"/>
      <c r="B803" s="230"/>
      <c r="D803" s="230"/>
      <c r="V803" s="219"/>
    </row>
    <row r="804" spans="1:22" x14ac:dyDescent="0.2">
      <c r="A804" s="229"/>
      <c r="B804" s="230"/>
      <c r="D804" s="230"/>
      <c r="V804" s="219"/>
    </row>
    <row r="805" spans="1:22" x14ac:dyDescent="0.2">
      <c r="A805" s="229"/>
      <c r="B805" s="230"/>
      <c r="D805" s="230"/>
      <c r="V805" s="219"/>
    </row>
    <row r="806" spans="1:22" x14ac:dyDescent="0.2">
      <c r="A806" s="229"/>
      <c r="B806" s="230"/>
      <c r="D806" s="230"/>
      <c r="V806" s="219"/>
    </row>
    <row r="807" spans="1:22" x14ac:dyDescent="0.2">
      <c r="A807" s="229"/>
      <c r="B807" s="230"/>
      <c r="D807" s="230"/>
      <c r="V807" s="219"/>
    </row>
    <row r="808" spans="1:22" x14ac:dyDescent="0.2">
      <c r="A808" s="229"/>
      <c r="B808" s="230"/>
      <c r="D808" s="230"/>
      <c r="V808" s="219"/>
    </row>
    <row r="809" spans="1:22" x14ac:dyDescent="0.2">
      <c r="A809" s="229"/>
      <c r="B809" s="230"/>
      <c r="D809" s="230"/>
      <c r="V809" s="219"/>
    </row>
    <row r="810" spans="1:22" x14ac:dyDescent="0.2">
      <c r="A810" s="229"/>
      <c r="B810" s="230"/>
      <c r="D810" s="230"/>
      <c r="V810" s="219"/>
    </row>
    <row r="811" spans="1:22" x14ac:dyDescent="0.2">
      <c r="A811" s="229"/>
      <c r="B811" s="230"/>
      <c r="D811" s="230"/>
      <c r="V811" s="219"/>
    </row>
    <row r="812" spans="1:22" x14ac:dyDescent="0.2">
      <c r="A812" s="229"/>
      <c r="B812" s="230"/>
      <c r="D812" s="230"/>
      <c r="V812" s="219"/>
    </row>
    <row r="813" spans="1:22" x14ac:dyDescent="0.2">
      <c r="A813" s="229"/>
      <c r="B813" s="230"/>
      <c r="D813" s="230"/>
      <c r="V813" s="219"/>
    </row>
    <row r="814" spans="1:22" x14ac:dyDescent="0.2">
      <c r="A814" s="229"/>
      <c r="B814" s="230"/>
      <c r="D814" s="230"/>
      <c r="V814" s="219"/>
    </row>
    <row r="815" spans="1:22" x14ac:dyDescent="0.2">
      <c r="A815" s="229"/>
      <c r="B815" s="230"/>
      <c r="D815" s="230"/>
      <c r="V815" s="219"/>
    </row>
    <row r="816" spans="1:22" x14ac:dyDescent="0.2">
      <c r="A816" s="229"/>
      <c r="B816" s="230"/>
      <c r="D816" s="230"/>
      <c r="V816" s="219"/>
    </row>
    <row r="817" spans="1:22" x14ac:dyDescent="0.2">
      <c r="A817" s="229"/>
      <c r="B817" s="230"/>
      <c r="D817" s="230"/>
      <c r="V817" s="219"/>
    </row>
    <row r="818" spans="1:22" x14ac:dyDescent="0.2">
      <c r="A818" s="229"/>
      <c r="B818" s="230"/>
      <c r="D818" s="230"/>
      <c r="V818" s="219"/>
    </row>
    <row r="819" spans="1:22" x14ac:dyDescent="0.2">
      <c r="A819" s="229"/>
      <c r="B819" s="230"/>
      <c r="D819" s="230"/>
      <c r="V819" s="219"/>
    </row>
    <row r="820" spans="1:22" x14ac:dyDescent="0.2">
      <c r="A820" s="229"/>
      <c r="B820" s="230"/>
      <c r="D820" s="230"/>
      <c r="V820" s="219"/>
    </row>
    <row r="821" spans="1:22" x14ac:dyDescent="0.2">
      <c r="A821" s="229"/>
      <c r="B821" s="230"/>
      <c r="D821" s="230"/>
      <c r="V821" s="219"/>
    </row>
    <row r="822" spans="1:22" x14ac:dyDescent="0.2">
      <c r="A822" s="229"/>
      <c r="B822" s="230"/>
      <c r="D822" s="230"/>
      <c r="V822" s="219"/>
    </row>
    <row r="823" spans="1:22" x14ac:dyDescent="0.2">
      <c r="A823" s="229"/>
      <c r="B823" s="230"/>
      <c r="D823" s="230"/>
      <c r="V823" s="219"/>
    </row>
    <row r="824" spans="1:22" x14ac:dyDescent="0.2">
      <c r="A824" s="229"/>
      <c r="B824" s="230"/>
      <c r="D824" s="230"/>
      <c r="V824" s="219"/>
    </row>
    <row r="825" spans="1:22" x14ac:dyDescent="0.2">
      <c r="A825" s="229"/>
      <c r="B825" s="230"/>
      <c r="D825" s="230"/>
      <c r="V825" s="219"/>
    </row>
    <row r="826" spans="1:22" x14ac:dyDescent="0.2">
      <c r="A826" s="229"/>
      <c r="B826" s="230"/>
      <c r="D826" s="230"/>
      <c r="V826" s="219"/>
    </row>
    <row r="827" spans="1:22" x14ac:dyDescent="0.2">
      <c r="A827" s="229"/>
      <c r="B827" s="230"/>
      <c r="D827" s="230"/>
      <c r="V827" s="219"/>
    </row>
    <row r="828" spans="1:22" x14ac:dyDescent="0.2">
      <c r="A828" s="229"/>
      <c r="B828" s="230"/>
      <c r="D828" s="230"/>
      <c r="V828" s="219"/>
    </row>
    <row r="829" spans="1:22" x14ac:dyDescent="0.2">
      <c r="A829" s="229"/>
      <c r="B829" s="230"/>
      <c r="D829" s="230"/>
      <c r="V829" s="219"/>
    </row>
    <row r="830" spans="1:22" x14ac:dyDescent="0.2">
      <c r="A830" s="229"/>
      <c r="B830" s="230"/>
      <c r="D830" s="230"/>
      <c r="V830" s="219"/>
    </row>
    <row r="831" spans="1:22" x14ac:dyDescent="0.2">
      <c r="A831" s="229"/>
      <c r="B831" s="230"/>
      <c r="D831" s="230"/>
      <c r="V831" s="219"/>
    </row>
    <row r="832" spans="1:22" x14ac:dyDescent="0.2">
      <c r="A832" s="229"/>
      <c r="B832" s="230"/>
      <c r="D832" s="230"/>
      <c r="V832" s="219"/>
    </row>
    <row r="833" spans="1:22" x14ac:dyDescent="0.2">
      <c r="A833" s="229"/>
      <c r="B833" s="230"/>
      <c r="D833" s="230"/>
      <c r="V833" s="219"/>
    </row>
    <row r="834" spans="1:22" x14ac:dyDescent="0.2">
      <c r="A834" s="229"/>
      <c r="B834" s="230"/>
      <c r="D834" s="230"/>
      <c r="V834" s="219"/>
    </row>
    <row r="835" spans="1:22" x14ac:dyDescent="0.2">
      <c r="A835" s="229"/>
      <c r="B835" s="230"/>
      <c r="D835" s="230"/>
      <c r="V835" s="219"/>
    </row>
    <row r="836" spans="1:22" x14ac:dyDescent="0.2">
      <c r="A836" s="229"/>
      <c r="B836" s="230"/>
      <c r="D836" s="230"/>
      <c r="V836" s="219"/>
    </row>
    <row r="837" spans="1:22" x14ac:dyDescent="0.2">
      <c r="A837" s="229"/>
      <c r="B837" s="230"/>
      <c r="D837" s="230"/>
      <c r="V837" s="219"/>
    </row>
    <row r="838" spans="1:22" x14ac:dyDescent="0.2">
      <c r="A838" s="229"/>
      <c r="B838" s="230"/>
      <c r="D838" s="230"/>
      <c r="V838" s="219"/>
    </row>
    <row r="839" spans="1:22" x14ac:dyDescent="0.2">
      <c r="A839" s="229"/>
      <c r="B839" s="230"/>
      <c r="D839" s="230"/>
      <c r="V839" s="219"/>
    </row>
    <row r="840" spans="1:22" x14ac:dyDescent="0.2">
      <c r="A840" s="229"/>
      <c r="B840" s="230"/>
      <c r="D840" s="230"/>
      <c r="V840" s="219"/>
    </row>
    <row r="841" spans="1:22" x14ac:dyDescent="0.2">
      <c r="A841" s="229"/>
      <c r="B841" s="230"/>
      <c r="D841" s="230"/>
      <c r="V841" s="219"/>
    </row>
    <row r="842" spans="1:22" x14ac:dyDescent="0.2">
      <c r="A842" s="229"/>
      <c r="B842" s="230"/>
      <c r="D842" s="230"/>
      <c r="V842" s="219"/>
    </row>
    <row r="843" spans="1:22" x14ac:dyDescent="0.2">
      <c r="A843" s="229"/>
      <c r="B843" s="230"/>
      <c r="D843" s="230"/>
      <c r="V843" s="219"/>
    </row>
    <row r="844" spans="1:22" x14ac:dyDescent="0.2">
      <c r="A844" s="229"/>
      <c r="B844" s="230"/>
      <c r="D844" s="230"/>
      <c r="V844" s="219"/>
    </row>
    <row r="845" spans="1:22" x14ac:dyDescent="0.2">
      <c r="A845" s="229"/>
      <c r="B845" s="230"/>
      <c r="D845" s="230"/>
      <c r="V845" s="219"/>
    </row>
    <row r="846" spans="1:22" x14ac:dyDescent="0.2">
      <c r="A846" s="229"/>
      <c r="B846" s="230"/>
      <c r="D846" s="230"/>
      <c r="V846" s="219"/>
    </row>
    <row r="847" spans="1:22" x14ac:dyDescent="0.2">
      <c r="A847" s="229"/>
      <c r="B847" s="230"/>
      <c r="D847" s="230"/>
      <c r="V847" s="219"/>
    </row>
    <row r="848" spans="1:22" x14ac:dyDescent="0.2">
      <c r="A848" s="229"/>
      <c r="B848" s="230"/>
      <c r="D848" s="230"/>
      <c r="V848" s="219"/>
    </row>
    <row r="849" spans="1:22" x14ac:dyDescent="0.2">
      <c r="A849" s="229"/>
      <c r="B849" s="230"/>
      <c r="D849" s="230"/>
      <c r="V849" s="219"/>
    </row>
    <row r="850" spans="1:22" x14ac:dyDescent="0.2">
      <c r="A850" s="229"/>
      <c r="B850" s="230"/>
      <c r="D850" s="230"/>
      <c r="V850" s="219"/>
    </row>
    <row r="851" spans="1:22" x14ac:dyDescent="0.2">
      <c r="A851" s="229"/>
      <c r="B851" s="230"/>
      <c r="D851" s="230"/>
      <c r="V851" s="219"/>
    </row>
    <row r="852" spans="1:22" x14ac:dyDescent="0.2">
      <c r="A852" s="229"/>
      <c r="B852" s="230"/>
      <c r="D852" s="230"/>
      <c r="V852" s="219"/>
    </row>
    <row r="853" spans="1:22" x14ac:dyDescent="0.2">
      <c r="A853" s="229"/>
      <c r="B853" s="230"/>
      <c r="D853" s="230"/>
      <c r="V853" s="219"/>
    </row>
    <row r="854" spans="1:22" x14ac:dyDescent="0.2">
      <c r="A854" s="229"/>
      <c r="B854" s="230"/>
      <c r="D854" s="230"/>
      <c r="V854" s="219"/>
    </row>
    <row r="855" spans="1:22" x14ac:dyDescent="0.2">
      <c r="A855" s="229"/>
      <c r="B855" s="230"/>
      <c r="D855" s="230"/>
      <c r="V855" s="219"/>
    </row>
    <row r="856" spans="1:22" x14ac:dyDescent="0.2">
      <c r="A856" s="229"/>
      <c r="B856" s="230"/>
      <c r="D856" s="230"/>
      <c r="V856" s="219"/>
    </row>
    <row r="857" spans="1:22" x14ac:dyDescent="0.2">
      <c r="A857" s="229"/>
      <c r="B857" s="230"/>
      <c r="D857" s="230"/>
      <c r="V857" s="219"/>
    </row>
    <row r="858" spans="1:22" x14ac:dyDescent="0.2">
      <c r="A858" s="229"/>
      <c r="B858" s="230"/>
      <c r="D858" s="230"/>
      <c r="V858" s="219"/>
    </row>
    <row r="859" spans="1:22" x14ac:dyDescent="0.2">
      <c r="A859" s="229"/>
      <c r="B859" s="230"/>
      <c r="D859" s="230"/>
      <c r="V859" s="219"/>
    </row>
    <row r="860" spans="1:22" x14ac:dyDescent="0.2">
      <c r="A860" s="229"/>
      <c r="B860" s="230"/>
      <c r="D860" s="230"/>
      <c r="V860" s="219"/>
    </row>
    <row r="861" spans="1:22" x14ac:dyDescent="0.2">
      <c r="A861" s="229"/>
      <c r="B861" s="230"/>
      <c r="D861" s="230"/>
      <c r="V861" s="219"/>
    </row>
    <row r="862" spans="1:22" x14ac:dyDescent="0.2">
      <c r="A862" s="229"/>
      <c r="B862" s="230"/>
      <c r="D862" s="230"/>
      <c r="V862" s="219"/>
    </row>
    <row r="863" spans="1:22" x14ac:dyDescent="0.2">
      <c r="A863" s="229"/>
      <c r="B863" s="230"/>
      <c r="D863" s="230"/>
      <c r="V863" s="219"/>
    </row>
    <row r="864" spans="1:22" x14ac:dyDescent="0.2">
      <c r="A864" s="229"/>
      <c r="B864" s="230"/>
      <c r="D864" s="230"/>
      <c r="V864" s="219"/>
    </row>
    <row r="865" spans="1:22" x14ac:dyDescent="0.2">
      <c r="A865" s="229"/>
      <c r="B865" s="230"/>
      <c r="D865" s="230"/>
      <c r="V865" s="219"/>
    </row>
    <row r="866" spans="1:22" x14ac:dyDescent="0.2">
      <c r="A866" s="229"/>
      <c r="B866" s="230"/>
      <c r="D866" s="230"/>
      <c r="V866" s="219"/>
    </row>
    <row r="867" spans="1:22" x14ac:dyDescent="0.2">
      <c r="A867" s="229"/>
      <c r="B867" s="230"/>
      <c r="D867" s="230"/>
      <c r="V867" s="219"/>
    </row>
    <row r="868" spans="1:22" x14ac:dyDescent="0.2">
      <c r="A868" s="229"/>
      <c r="B868" s="230"/>
      <c r="D868" s="230"/>
      <c r="V868" s="219"/>
    </row>
    <row r="869" spans="1:22" x14ac:dyDescent="0.2">
      <c r="A869" s="229"/>
      <c r="B869" s="230"/>
      <c r="D869" s="230"/>
      <c r="V869" s="219"/>
    </row>
    <row r="870" spans="1:22" x14ac:dyDescent="0.2">
      <c r="A870" s="229"/>
      <c r="B870" s="230"/>
      <c r="D870" s="230"/>
      <c r="V870" s="219"/>
    </row>
    <row r="871" spans="1:22" x14ac:dyDescent="0.2">
      <c r="A871" s="229"/>
      <c r="B871" s="230"/>
      <c r="D871" s="230"/>
      <c r="V871" s="219"/>
    </row>
    <row r="872" spans="1:22" x14ac:dyDescent="0.2">
      <c r="A872" s="229"/>
      <c r="B872" s="230"/>
      <c r="D872" s="230"/>
      <c r="V872" s="219"/>
    </row>
    <row r="873" spans="1:22" x14ac:dyDescent="0.2">
      <c r="A873" s="229"/>
      <c r="B873" s="230"/>
      <c r="D873" s="230"/>
      <c r="V873" s="219"/>
    </row>
    <row r="874" spans="1:22" x14ac:dyDescent="0.2">
      <c r="A874" s="229"/>
      <c r="B874" s="230"/>
      <c r="D874" s="230"/>
      <c r="V874" s="219"/>
    </row>
    <row r="875" spans="1:22" x14ac:dyDescent="0.2">
      <c r="A875" s="229"/>
      <c r="B875" s="230"/>
      <c r="D875" s="230"/>
      <c r="V875" s="219"/>
    </row>
    <row r="876" spans="1:22" x14ac:dyDescent="0.2">
      <c r="A876" s="229"/>
      <c r="B876" s="230"/>
      <c r="D876" s="230"/>
      <c r="V876" s="219"/>
    </row>
    <row r="877" spans="1:22" x14ac:dyDescent="0.2">
      <c r="A877" s="229"/>
      <c r="B877" s="230"/>
      <c r="D877" s="230"/>
      <c r="V877" s="219"/>
    </row>
    <row r="878" spans="1:22" x14ac:dyDescent="0.2">
      <c r="A878" s="229"/>
      <c r="B878" s="230"/>
      <c r="D878" s="230"/>
      <c r="V878" s="219"/>
    </row>
    <row r="879" spans="1:22" x14ac:dyDescent="0.2">
      <c r="A879" s="229"/>
      <c r="B879" s="230"/>
      <c r="D879" s="230"/>
      <c r="V879" s="219"/>
    </row>
    <row r="880" spans="1:22" x14ac:dyDescent="0.2">
      <c r="A880" s="229"/>
      <c r="B880" s="230"/>
      <c r="D880" s="230"/>
      <c r="V880" s="219"/>
    </row>
    <row r="881" spans="1:22" x14ac:dyDescent="0.2">
      <c r="A881" s="229"/>
      <c r="B881" s="230"/>
      <c r="D881" s="230"/>
      <c r="V881" s="219"/>
    </row>
    <row r="882" spans="1:22" x14ac:dyDescent="0.2">
      <c r="A882" s="229"/>
      <c r="B882" s="230"/>
      <c r="D882" s="230"/>
      <c r="V882" s="219"/>
    </row>
    <row r="883" spans="1:22" x14ac:dyDescent="0.2">
      <c r="A883" s="229"/>
      <c r="B883" s="230"/>
      <c r="D883" s="230"/>
      <c r="V883" s="219"/>
    </row>
    <row r="884" spans="1:22" x14ac:dyDescent="0.2">
      <c r="A884" s="229"/>
      <c r="B884" s="230"/>
      <c r="D884" s="230"/>
      <c r="V884" s="219"/>
    </row>
    <row r="885" spans="1:22" x14ac:dyDescent="0.2">
      <c r="A885" s="229"/>
      <c r="B885" s="230"/>
      <c r="D885" s="230"/>
      <c r="V885" s="219"/>
    </row>
    <row r="886" spans="1:22" x14ac:dyDescent="0.2">
      <c r="A886" s="229"/>
      <c r="B886" s="230"/>
      <c r="D886" s="230"/>
      <c r="V886" s="219"/>
    </row>
    <row r="887" spans="1:22" x14ac:dyDescent="0.2">
      <c r="A887" s="229"/>
      <c r="B887" s="230"/>
      <c r="D887" s="230"/>
      <c r="V887" s="219"/>
    </row>
    <row r="888" spans="1:22" x14ac:dyDescent="0.2">
      <c r="A888" s="229"/>
      <c r="B888" s="230"/>
      <c r="D888" s="230"/>
      <c r="V888" s="219"/>
    </row>
    <row r="889" spans="1:22" x14ac:dyDescent="0.2">
      <c r="A889" s="229"/>
      <c r="B889" s="230"/>
      <c r="D889" s="230"/>
      <c r="V889" s="219"/>
    </row>
    <row r="890" spans="1:22" x14ac:dyDescent="0.2">
      <c r="A890" s="229"/>
      <c r="B890" s="230"/>
      <c r="D890" s="230"/>
      <c r="V890" s="219"/>
    </row>
    <row r="891" spans="1:22" x14ac:dyDescent="0.2">
      <c r="A891" s="229"/>
      <c r="B891" s="230"/>
      <c r="D891" s="230"/>
      <c r="V891" s="219"/>
    </row>
    <row r="892" spans="1:22" x14ac:dyDescent="0.2">
      <c r="A892" s="229"/>
      <c r="B892" s="230"/>
      <c r="D892" s="230"/>
      <c r="V892" s="219"/>
    </row>
    <row r="893" spans="1:22" x14ac:dyDescent="0.2">
      <c r="A893" s="229"/>
      <c r="B893" s="230"/>
      <c r="D893" s="230"/>
      <c r="V893" s="219"/>
    </row>
    <row r="894" spans="1:22" x14ac:dyDescent="0.2">
      <c r="A894" s="229"/>
      <c r="B894" s="230"/>
      <c r="D894" s="230"/>
      <c r="V894" s="219"/>
    </row>
    <row r="895" spans="1:22" x14ac:dyDescent="0.2">
      <c r="A895" s="229"/>
      <c r="B895" s="230"/>
      <c r="D895" s="230"/>
      <c r="V895" s="219"/>
    </row>
    <row r="896" spans="1:22" x14ac:dyDescent="0.2">
      <c r="A896" s="229"/>
      <c r="B896" s="230"/>
      <c r="D896" s="230"/>
      <c r="V896" s="219"/>
    </row>
    <row r="897" spans="1:22" x14ac:dyDescent="0.2">
      <c r="A897" s="229"/>
      <c r="B897" s="230"/>
      <c r="D897" s="230"/>
      <c r="V897" s="219"/>
    </row>
    <row r="898" spans="1:22" x14ac:dyDescent="0.2">
      <c r="A898" s="229"/>
      <c r="B898" s="230"/>
      <c r="D898" s="230"/>
      <c r="V898" s="219"/>
    </row>
    <row r="899" spans="1:22" x14ac:dyDescent="0.2">
      <c r="A899" s="229"/>
      <c r="B899" s="230"/>
      <c r="D899" s="230"/>
      <c r="V899" s="219"/>
    </row>
    <row r="900" spans="1:22" x14ac:dyDescent="0.2">
      <c r="A900" s="229"/>
      <c r="B900" s="230"/>
      <c r="D900" s="230"/>
      <c r="V900" s="219"/>
    </row>
    <row r="901" spans="1:22" x14ac:dyDescent="0.2">
      <c r="A901" s="229"/>
      <c r="B901" s="230"/>
      <c r="D901" s="230"/>
      <c r="V901" s="219"/>
    </row>
    <row r="902" spans="1:22" x14ac:dyDescent="0.2">
      <c r="A902" s="229"/>
      <c r="B902" s="230"/>
      <c r="D902" s="230"/>
      <c r="V902" s="219"/>
    </row>
    <row r="903" spans="1:22" x14ac:dyDescent="0.2">
      <c r="A903" s="229"/>
      <c r="B903" s="230"/>
      <c r="D903" s="230"/>
      <c r="V903" s="219"/>
    </row>
    <row r="904" spans="1:22" x14ac:dyDescent="0.2">
      <c r="A904" s="229"/>
      <c r="B904" s="230"/>
      <c r="D904" s="230"/>
      <c r="V904" s="219"/>
    </row>
    <row r="905" spans="1:22" x14ac:dyDescent="0.2">
      <c r="A905" s="229"/>
      <c r="B905" s="230"/>
      <c r="D905" s="230"/>
      <c r="V905" s="219"/>
    </row>
    <row r="906" spans="1:22" x14ac:dyDescent="0.2">
      <c r="A906" s="229"/>
      <c r="B906" s="230"/>
      <c r="D906" s="230"/>
      <c r="V906" s="219"/>
    </row>
    <row r="907" spans="1:22" x14ac:dyDescent="0.2">
      <c r="A907" s="229"/>
      <c r="B907" s="230"/>
      <c r="D907" s="230"/>
      <c r="V907" s="219"/>
    </row>
    <row r="908" spans="1:22" x14ac:dyDescent="0.2">
      <c r="A908" s="229"/>
      <c r="B908" s="230"/>
      <c r="D908" s="230"/>
      <c r="V908" s="219"/>
    </row>
    <row r="909" spans="1:22" x14ac:dyDescent="0.2">
      <c r="A909" s="229"/>
      <c r="B909" s="230"/>
      <c r="D909" s="230"/>
      <c r="V909" s="219"/>
    </row>
    <row r="910" spans="1:22" x14ac:dyDescent="0.2">
      <c r="A910" s="229"/>
      <c r="B910" s="230"/>
      <c r="D910" s="230"/>
      <c r="V910" s="219"/>
    </row>
    <row r="911" spans="1:22" x14ac:dyDescent="0.2">
      <c r="A911" s="229"/>
      <c r="B911" s="230"/>
      <c r="D911" s="230"/>
      <c r="V911" s="219"/>
    </row>
    <row r="912" spans="1:22" x14ac:dyDescent="0.2">
      <c r="A912" s="229"/>
      <c r="B912" s="230"/>
      <c r="D912" s="230"/>
      <c r="V912" s="219"/>
    </row>
    <row r="913" spans="1:22" x14ac:dyDescent="0.2">
      <c r="A913" s="229"/>
      <c r="B913" s="230"/>
      <c r="D913" s="230"/>
      <c r="V913" s="219"/>
    </row>
    <row r="914" spans="1:22" x14ac:dyDescent="0.2">
      <c r="A914" s="229"/>
      <c r="B914" s="230"/>
      <c r="D914" s="230"/>
      <c r="V914" s="219"/>
    </row>
    <row r="915" spans="1:22" x14ac:dyDescent="0.2">
      <c r="A915" s="229"/>
      <c r="B915" s="230"/>
      <c r="D915" s="230"/>
      <c r="V915" s="219"/>
    </row>
    <row r="916" spans="1:22" x14ac:dyDescent="0.2">
      <c r="A916" s="229"/>
      <c r="B916" s="230"/>
      <c r="D916" s="230"/>
      <c r="V916" s="219"/>
    </row>
    <row r="917" spans="1:22" x14ac:dyDescent="0.2">
      <c r="A917" s="229"/>
      <c r="B917" s="230"/>
      <c r="D917" s="230"/>
      <c r="V917" s="219"/>
    </row>
    <row r="918" spans="1:22" x14ac:dyDescent="0.2">
      <c r="A918" s="229"/>
      <c r="B918" s="230"/>
      <c r="D918" s="230"/>
      <c r="V918" s="219"/>
    </row>
    <row r="919" spans="1:22" x14ac:dyDescent="0.2">
      <c r="A919" s="229"/>
      <c r="B919" s="230"/>
      <c r="D919" s="230"/>
      <c r="V919" s="219"/>
    </row>
    <row r="920" spans="1:22" x14ac:dyDescent="0.2">
      <c r="A920" s="229"/>
      <c r="B920" s="230"/>
      <c r="D920" s="230"/>
      <c r="V920" s="219"/>
    </row>
    <row r="921" spans="1:22" x14ac:dyDescent="0.2">
      <c r="A921" s="229"/>
      <c r="B921" s="230"/>
      <c r="D921" s="230"/>
      <c r="V921" s="219"/>
    </row>
    <row r="922" spans="1:22" x14ac:dyDescent="0.2">
      <c r="A922" s="229"/>
      <c r="B922" s="230"/>
      <c r="D922" s="230"/>
      <c r="V922" s="219"/>
    </row>
    <row r="923" spans="1:22" x14ac:dyDescent="0.2">
      <c r="A923" s="229"/>
      <c r="B923" s="230"/>
      <c r="D923" s="230"/>
      <c r="V923" s="219"/>
    </row>
    <row r="924" spans="1:22" x14ac:dyDescent="0.2">
      <c r="A924" s="229"/>
      <c r="B924" s="230"/>
      <c r="D924" s="230"/>
      <c r="V924" s="219"/>
    </row>
    <row r="925" spans="1:22" x14ac:dyDescent="0.2">
      <c r="A925" s="229"/>
      <c r="B925" s="230"/>
      <c r="D925" s="230"/>
      <c r="V925" s="219"/>
    </row>
    <row r="926" spans="1:22" x14ac:dyDescent="0.2">
      <c r="A926" s="229"/>
      <c r="B926" s="230"/>
      <c r="D926" s="230"/>
      <c r="V926" s="219"/>
    </row>
    <row r="927" spans="1:22" x14ac:dyDescent="0.2">
      <c r="A927" s="229"/>
      <c r="B927" s="230"/>
      <c r="D927" s="230"/>
      <c r="V927" s="219"/>
    </row>
    <row r="928" spans="1:22" x14ac:dyDescent="0.2">
      <c r="A928" s="229"/>
      <c r="B928" s="230"/>
      <c r="D928" s="230"/>
      <c r="V928" s="219"/>
    </row>
    <row r="929" spans="1:22" x14ac:dyDescent="0.2">
      <c r="A929" s="229"/>
      <c r="B929" s="230"/>
      <c r="D929" s="230"/>
      <c r="V929" s="219"/>
    </row>
    <row r="930" spans="1:22" x14ac:dyDescent="0.2">
      <c r="A930" s="229"/>
      <c r="B930" s="230"/>
      <c r="D930" s="230"/>
      <c r="V930" s="219"/>
    </row>
    <row r="931" spans="1:22" x14ac:dyDescent="0.2">
      <c r="A931" s="229"/>
      <c r="B931" s="230"/>
      <c r="D931" s="230"/>
      <c r="V931" s="219"/>
    </row>
    <row r="932" spans="1:22" x14ac:dyDescent="0.2">
      <c r="A932" s="229"/>
      <c r="B932" s="230"/>
      <c r="D932" s="230"/>
      <c r="V932" s="219"/>
    </row>
    <row r="933" spans="1:22" x14ac:dyDescent="0.2">
      <c r="A933" s="229"/>
      <c r="B933" s="230"/>
      <c r="C933" s="120"/>
      <c r="D933" s="230"/>
      <c r="V933" s="219"/>
    </row>
    <row r="934" spans="1:22" x14ac:dyDescent="0.2">
      <c r="A934" s="229"/>
      <c r="B934" s="230"/>
      <c r="D934" s="230"/>
      <c r="V934" s="219"/>
    </row>
    <row r="935" spans="1:22" x14ac:dyDescent="0.2">
      <c r="A935" s="229"/>
      <c r="B935" s="230"/>
      <c r="D935" s="230"/>
      <c r="V935" s="219"/>
    </row>
    <row r="936" spans="1:22" x14ac:dyDescent="0.2">
      <c r="A936" s="229"/>
      <c r="B936" s="230"/>
      <c r="D936" s="230"/>
      <c r="V936" s="219"/>
    </row>
    <row r="937" spans="1:22" x14ac:dyDescent="0.2">
      <c r="A937" s="229"/>
      <c r="B937" s="230"/>
      <c r="D937" s="230"/>
      <c r="V937" s="219"/>
    </row>
    <row r="938" spans="1:22" x14ac:dyDescent="0.2">
      <c r="A938" s="229"/>
      <c r="B938" s="230"/>
      <c r="D938" s="230"/>
      <c r="V938" s="219"/>
    </row>
    <row r="939" spans="1:22" x14ac:dyDescent="0.2">
      <c r="A939" s="229"/>
      <c r="B939" s="230"/>
      <c r="D939" s="230"/>
      <c r="V939" s="219"/>
    </row>
    <row r="940" spans="1:22" x14ac:dyDescent="0.2">
      <c r="A940" s="229"/>
      <c r="B940" s="230"/>
      <c r="D940" s="230"/>
      <c r="V940" s="219"/>
    </row>
    <row r="941" spans="1:22" x14ac:dyDescent="0.2">
      <c r="A941" s="229"/>
      <c r="B941" s="230"/>
      <c r="D941" s="230"/>
      <c r="V941" s="219"/>
    </row>
    <row r="942" spans="1:22" x14ac:dyDescent="0.2">
      <c r="A942" s="229"/>
      <c r="B942" s="230"/>
      <c r="D942" s="230"/>
      <c r="V942" s="219"/>
    </row>
    <row r="943" spans="1:22" x14ac:dyDescent="0.2">
      <c r="A943" s="229"/>
      <c r="B943" s="230"/>
      <c r="D943" s="230"/>
      <c r="V943" s="219"/>
    </row>
    <row r="944" spans="1:22" x14ac:dyDescent="0.2">
      <c r="A944" s="229"/>
      <c r="B944" s="230"/>
      <c r="D944" s="230"/>
      <c r="V944" s="219"/>
    </row>
    <row r="945" spans="1:22" x14ac:dyDescent="0.2">
      <c r="A945" s="229"/>
      <c r="B945" s="230"/>
      <c r="D945" s="230"/>
      <c r="V945" s="219"/>
    </row>
    <row r="946" spans="1:22" x14ac:dyDescent="0.2">
      <c r="A946" s="229"/>
      <c r="B946" s="230"/>
      <c r="D946" s="230"/>
      <c r="V946" s="219"/>
    </row>
    <row r="947" spans="1:22" x14ac:dyDescent="0.2">
      <c r="A947" s="229"/>
      <c r="B947" s="230"/>
      <c r="D947" s="230"/>
      <c r="V947" s="219"/>
    </row>
    <row r="948" spans="1:22" x14ac:dyDescent="0.2">
      <c r="A948" s="229"/>
      <c r="B948" s="230"/>
      <c r="D948" s="230"/>
      <c r="V948" s="219"/>
    </row>
    <row r="949" spans="1:22" x14ac:dyDescent="0.2">
      <c r="A949" s="229"/>
      <c r="B949" s="230"/>
      <c r="D949" s="230"/>
      <c r="V949" s="219"/>
    </row>
    <row r="950" spans="1:22" x14ac:dyDescent="0.2">
      <c r="A950" s="229"/>
      <c r="B950" s="230"/>
      <c r="D950" s="230"/>
      <c r="V950" s="219"/>
    </row>
    <row r="951" spans="1:22" x14ac:dyDescent="0.2">
      <c r="A951" s="229"/>
      <c r="B951" s="230"/>
      <c r="D951" s="230"/>
      <c r="V951" s="219"/>
    </row>
    <row r="952" spans="1:22" x14ac:dyDescent="0.2">
      <c r="A952" s="229"/>
      <c r="B952" s="230"/>
      <c r="D952" s="230"/>
      <c r="V952" s="219"/>
    </row>
    <row r="953" spans="1:22" x14ac:dyDescent="0.2">
      <c r="A953" s="229"/>
      <c r="B953" s="230"/>
      <c r="D953" s="230"/>
      <c r="V953" s="219"/>
    </row>
    <row r="954" spans="1:22" x14ac:dyDescent="0.2">
      <c r="A954" s="229"/>
      <c r="B954" s="230"/>
      <c r="D954" s="230"/>
      <c r="V954" s="219"/>
    </row>
    <row r="955" spans="1:22" x14ac:dyDescent="0.2">
      <c r="A955" s="229"/>
      <c r="B955" s="230"/>
      <c r="D955" s="230"/>
      <c r="V955" s="219"/>
    </row>
    <row r="956" spans="1:22" x14ac:dyDescent="0.2">
      <c r="A956" s="229"/>
      <c r="B956" s="230"/>
      <c r="D956" s="230"/>
      <c r="V956" s="219"/>
    </row>
    <row r="957" spans="1:22" x14ac:dyDescent="0.2">
      <c r="A957" s="229"/>
      <c r="B957" s="230"/>
      <c r="D957" s="230"/>
      <c r="V957" s="219"/>
    </row>
    <row r="958" spans="1:22" x14ac:dyDescent="0.2">
      <c r="A958" s="229"/>
      <c r="B958" s="230"/>
      <c r="D958" s="230"/>
      <c r="V958" s="219"/>
    </row>
    <row r="959" spans="1:22" x14ac:dyDescent="0.2">
      <c r="A959" s="229"/>
      <c r="B959" s="230"/>
      <c r="D959" s="230"/>
      <c r="V959" s="219"/>
    </row>
    <row r="960" spans="1:22" x14ac:dyDescent="0.2">
      <c r="A960" s="229"/>
      <c r="B960" s="230"/>
      <c r="D960" s="230"/>
      <c r="V960" s="219"/>
    </row>
    <row r="961" spans="1:22" x14ac:dyDescent="0.2">
      <c r="A961" s="229"/>
      <c r="B961" s="230"/>
      <c r="D961" s="230"/>
      <c r="V961" s="219"/>
    </row>
    <row r="962" spans="1:22" x14ac:dyDescent="0.2">
      <c r="A962" s="229"/>
      <c r="B962" s="230"/>
      <c r="D962" s="230"/>
      <c r="V962" s="219"/>
    </row>
    <row r="963" spans="1:22" x14ac:dyDescent="0.2">
      <c r="A963" s="229"/>
      <c r="B963" s="230"/>
      <c r="D963" s="230"/>
      <c r="V963" s="219"/>
    </row>
    <row r="964" spans="1:22" x14ac:dyDescent="0.2">
      <c r="A964" s="229"/>
      <c r="B964" s="230"/>
      <c r="D964" s="230"/>
      <c r="V964" s="219"/>
    </row>
    <row r="965" spans="1:22" x14ac:dyDescent="0.2">
      <c r="A965" s="229"/>
      <c r="B965" s="230"/>
      <c r="D965" s="230"/>
      <c r="V965" s="219"/>
    </row>
    <row r="966" spans="1:22" x14ac:dyDescent="0.2">
      <c r="A966" s="229"/>
      <c r="B966" s="230"/>
      <c r="D966" s="230"/>
      <c r="V966" s="219"/>
    </row>
    <row r="967" spans="1:22" x14ac:dyDescent="0.2">
      <c r="A967" s="229"/>
      <c r="B967" s="230"/>
      <c r="D967" s="230"/>
      <c r="V967" s="219"/>
    </row>
    <row r="968" spans="1:22" x14ac:dyDescent="0.2">
      <c r="A968" s="229"/>
      <c r="B968" s="230"/>
      <c r="D968" s="230"/>
      <c r="V968" s="219"/>
    </row>
    <row r="969" spans="1:22" x14ac:dyDescent="0.2">
      <c r="A969" s="229"/>
      <c r="B969" s="230"/>
      <c r="D969" s="230"/>
      <c r="V969" s="219"/>
    </row>
    <row r="970" spans="1:22" x14ac:dyDescent="0.2">
      <c r="A970" s="229"/>
      <c r="B970" s="230"/>
      <c r="D970" s="230"/>
      <c r="V970" s="219"/>
    </row>
    <row r="971" spans="1:22" x14ac:dyDescent="0.2">
      <c r="A971" s="229"/>
      <c r="B971" s="230"/>
      <c r="D971" s="230"/>
      <c r="V971" s="219"/>
    </row>
    <row r="972" spans="1:22" x14ac:dyDescent="0.2">
      <c r="A972" s="229"/>
      <c r="B972" s="230"/>
      <c r="D972" s="230"/>
      <c r="V972" s="219"/>
    </row>
    <row r="973" spans="1:22" x14ac:dyDescent="0.2">
      <c r="A973" s="229"/>
      <c r="B973" s="230"/>
      <c r="D973" s="230"/>
      <c r="V973" s="219"/>
    </row>
    <row r="974" spans="1:22" x14ac:dyDescent="0.2">
      <c r="A974" s="229"/>
      <c r="B974" s="230"/>
      <c r="D974" s="230"/>
      <c r="V974" s="219"/>
    </row>
    <row r="975" spans="1:22" x14ac:dyDescent="0.2">
      <c r="A975" s="229"/>
      <c r="B975" s="230"/>
      <c r="D975" s="230"/>
      <c r="V975" s="219"/>
    </row>
    <row r="976" spans="1:22" x14ac:dyDescent="0.2">
      <c r="A976" s="229"/>
      <c r="B976" s="230"/>
      <c r="D976" s="230"/>
      <c r="V976" s="219"/>
    </row>
    <row r="977" spans="1:22" x14ac:dyDescent="0.2">
      <c r="A977" s="229"/>
      <c r="B977" s="230"/>
      <c r="D977" s="230"/>
      <c r="V977" s="219"/>
    </row>
    <row r="978" spans="1:22" x14ac:dyDescent="0.2">
      <c r="A978" s="229"/>
      <c r="B978" s="230"/>
      <c r="D978" s="230"/>
      <c r="V978" s="219"/>
    </row>
    <row r="979" spans="1:22" x14ac:dyDescent="0.2">
      <c r="A979" s="229"/>
      <c r="B979" s="230"/>
      <c r="D979" s="230"/>
      <c r="V979" s="219"/>
    </row>
    <row r="980" spans="1:22" x14ac:dyDescent="0.2">
      <c r="A980" s="229"/>
      <c r="B980" s="230"/>
      <c r="D980" s="230"/>
      <c r="V980" s="219"/>
    </row>
    <row r="981" spans="1:22" x14ac:dyDescent="0.2">
      <c r="A981" s="229"/>
      <c r="B981" s="230"/>
      <c r="D981" s="230"/>
      <c r="V981" s="219"/>
    </row>
    <row r="982" spans="1:22" x14ac:dyDescent="0.2">
      <c r="A982" s="229"/>
      <c r="B982" s="230"/>
      <c r="D982" s="230"/>
      <c r="V982" s="219"/>
    </row>
    <row r="983" spans="1:22" x14ac:dyDescent="0.2">
      <c r="A983" s="229"/>
      <c r="B983" s="230"/>
      <c r="D983" s="230"/>
      <c r="V983" s="219"/>
    </row>
    <row r="984" spans="1:22" x14ac:dyDescent="0.2">
      <c r="A984" s="229"/>
      <c r="B984" s="230"/>
      <c r="D984" s="230"/>
      <c r="V984" s="219"/>
    </row>
    <row r="985" spans="1:22" x14ac:dyDescent="0.2">
      <c r="A985" s="229"/>
      <c r="B985" s="230"/>
      <c r="D985" s="230"/>
      <c r="V985" s="219"/>
    </row>
    <row r="986" spans="1:22" x14ac:dyDescent="0.2">
      <c r="A986" s="229"/>
      <c r="B986" s="230"/>
      <c r="D986" s="230"/>
      <c r="V986" s="219"/>
    </row>
    <row r="987" spans="1:22" x14ac:dyDescent="0.2">
      <c r="A987" s="229"/>
      <c r="B987" s="230"/>
      <c r="D987" s="230"/>
      <c r="V987" s="219"/>
    </row>
    <row r="988" spans="1:22" x14ac:dyDescent="0.2">
      <c r="A988" s="229"/>
      <c r="B988" s="230"/>
      <c r="D988" s="230"/>
      <c r="V988" s="219"/>
    </row>
    <row r="989" spans="1:22" x14ac:dyDescent="0.2">
      <c r="A989" s="229"/>
      <c r="B989" s="230"/>
      <c r="D989" s="230"/>
      <c r="V989" s="219"/>
    </row>
    <row r="990" spans="1:22" x14ac:dyDescent="0.2">
      <c r="A990" s="229"/>
      <c r="B990" s="230"/>
      <c r="D990" s="230"/>
      <c r="V990" s="219"/>
    </row>
    <row r="991" spans="1:22" x14ac:dyDescent="0.2">
      <c r="A991" s="229"/>
      <c r="B991" s="230"/>
      <c r="D991" s="230"/>
      <c r="V991" s="219"/>
    </row>
    <row r="992" spans="1:22" x14ac:dyDescent="0.2">
      <c r="A992" s="229"/>
      <c r="B992" s="230"/>
      <c r="D992" s="230"/>
      <c r="V992" s="219"/>
    </row>
    <row r="993" spans="1:22" x14ac:dyDescent="0.2">
      <c r="A993" s="229"/>
      <c r="B993" s="230"/>
      <c r="D993" s="230"/>
      <c r="V993" s="219"/>
    </row>
    <row r="994" spans="1:22" x14ac:dyDescent="0.2">
      <c r="A994" s="229"/>
      <c r="B994" s="230"/>
      <c r="D994" s="230"/>
      <c r="V994" s="219"/>
    </row>
    <row r="995" spans="1:22" x14ac:dyDescent="0.2">
      <c r="A995" s="229"/>
      <c r="B995" s="230"/>
      <c r="D995" s="230"/>
      <c r="V995" s="219"/>
    </row>
    <row r="996" spans="1:22" x14ac:dyDescent="0.2">
      <c r="A996" s="229"/>
      <c r="B996" s="230"/>
      <c r="D996" s="230"/>
      <c r="V996" s="219"/>
    </row>
    <row r="997" spans="1:22" x14ac:dyDescent="0.2">
      <c r="A997" s="229"/>
      <c r="B997" s="230"/>
      <c r="D997" s="230"/>
      <c r="V997" s="219"/>
    </row>
    <row r="998" spans="1:22" x14ac:dyDescent="0.2">
      <c r="A998" s="229"/>
      <c r="B998" s="230"/>
      <c r="D998" s="230"/>
      <c r="V998" s="219"/>
    </row>
    <row r="999" spans="1:22" x14ac:dyDescent="0.2">
      <c r="A999" s="229"/>
      <c r="B999" s="230"/>
      <c r="D999" s="230"/>
      <c r="V999" s="219"/>
    </row>
    <row r="1000" spans="1:22" x14ac:dyDescent="0.2">
      <c r="A1000" s="229"/>
      <c r="B1000" s="230"/>
      <c r="D1000" s="230"/>
      <c r="V1000" s="219"/>
    </row>
    <row r="1001" spans="1:22" x14ac:dyDescent="0.2">
      <c r="A1001" s="229"/>
      <c r="B1001" s="230"/>
      <c r="D1001" s="230"/>
      <c r="V1001" s="219"/>
    </row>
    <row r="1002" spans="1:22" x14ac:dyDescent="0.2">
      <c r="A1002" s="229"/>
      <c r="B1002" s="230"/>
      <c r="D1002" s="230"/>
      <c r="V1002" s="219"/>
    </row>
    <row r="1003" spans="1:22" x14ac:dyDescent="0.2">
      <c r="A1003" s="229"/>
      <c r="B1003" s="230"/>
      <c r="D1003" s="230"/>
      <c r="V1003" s="219"/>
    </row>
    <row r="1004" spans="1:22" x14ac:dyDescent="0.2">
      <c r="A1004" s="229"/>
      <c r="B1004" s="230"/>
      <c r="D1004" s="230"/>
      <c r="V1004" s="219"/>
    </row>
    <row r="1005" spans="1:22" x14ac:dyDescent="0.2">
      <c r="A1005" s="229"/>
      <c r="B1005" s="230"/>
      <c r="D1005" s="230"/>
      <c r="V1005" s="219"/>
    </row>
    <row r="1006" spans="1:22" x14ac:dyDescent="0.2">
      <c r="A1006" s="229"/>
      <c r="B1006" s="230"/>
      <c r="D1006" s="230"/>
      <c r="V1006" s="219"/>
    </row>
    <row r="1007" spans="1:22" x14ac:dyDescent="0.2">
      <c r="A1007" s="229"/>
      <c r="B1007" s="230"/>
      <c r="D1007" s="230"/>
      <c r="V1007" s="219"/>
    </row>
    <row r="1008" spans="1:22" x14ac:dyDescent="0.2">
      <c r="A1008" s="229"/>
      <c r="B1008" s="230"/>
      <c r="D1008" s="230"/>
      <c r="V1008" s="219"/>
    </row>
    <row r="1009" spans="1:22" x14ac:dyDescent="0.2">
      <c r="A1009" s="229"/>
      <c r="B1009" s="230"/>
      <c r="D1009" s="230"/>
      <c r="V1009" s="219"/>
    </row>
    <row r="1010" spans="1:22" x14ac:dyDescent="0.2">
      <c r="A1010" s="229"/>
      <c r="B1010" s="230"/>
      <c r="D1010" s="230"/>
      <c r="V1010" s="219"/>
    </row>
    <row r="1011" spans="1:22" x14ac:dyDescent="0.2">
      <c r="A1011" s="229"/>
      <c r="B1011" s="230"/>
      <c r="D1011" s="230"/>
      <c r="V1011" s="219"/>
    </row>
    <row r="1012" spans="1:22" x14ac:dyDescent="0.2">
      <c r="A1012" s="229"/>
      <c r="B1012" s="230"/>
      <c r="D1012" s="230"/>
      <c r="V1012" s="219"/>
    </row>
    <row r="1013" spans="1:22" x14ac:dyDescent="0.2">
      <c r="A1013" s="229"/>
      <c r="B1013" s="230"/>
      <c r="D1013" s="230"/>
      <c r="V1013" s="219"/>
    </row>
    <row r="1014" spans="1:22" x14ac:dyDescent="0.2">
      <c r="A1014" s="229"/>
      <c r="B1014" s="230"/>
      <c r="D1014" s="230"/>
      <c r="V1014" s="219"/>
    </row>
    <row r="1015" spans="1:22" x14ac:dyDescent="0.2">
      <c r="A1015" s="229"/>
      <c r="B1015" s="230"/>
      <c r="D1015" s="230"/>
      <c r="V1015" s="219"/>
    </row>
    <row r="1016" spans="1:22" x14ac:dyDescent="0.2">
      <c r="A1016" s="229"/>
      <c r="B1016" s="230"/>
      <c r="D1016" s="230"/>
      <c r="V1016" s="219"/>
    </row>
    <row r="1017" spans="1:22" x14ac:dyDescent="0.2">
      <c r="A1017" s="229"/>
      <c r="B1017" s="230"/>
      <c r="D1017" s="230"/>
      <c r="V1017" s="219"/>
    </row>
    <row r="1018" spans="1:22" x14ac:dyDescent="0.2">
      <c r="A1018" s="229"/>
      <c r="B1018" s="230"/>
      <c r="D1018" s="230"/>
      <c r="V1018" s="219"/>
    </row>
    <row r="1019" spans="1:22" x14ac:dyDescent="0.2">
      <c r="A1019" s="229"/>
      <c r="B1019" s="230"/>
      <c r="D1019" s="230"/>
      <c r="V1019" s="219"/>
    </row>
    <row r="1020" spans="1:22" x14ac:dyDescent="0.2">
      <c r="A1020" s="229"/>
      <c r="B1020" s="230"/>
      <c r="D1020" s="230"/>
      <c r="V1020" s="219"/>
    </row>
    <row r="1021" spans="1:22" x14ac:dyDescent="0.2">
      <c r="A1021" s="229"/>
      <c r="B1021" s="230"/>
      <c r="D1021" s="230"/>
      <c r="V1021" s="219"/>
    </row>
    <row r="1022" spans="1:22" x14ac:dyDescent="0.2">
      <c r="A1022" s="229"/>
      <c r="B1022" s="230"/>
      <c r="D1022" s="230"/>
      <c r="V1022" s="219"/>
    </row>
    <row r="1023" spans="1:22" x14ac:dyDescent="0.2">
      <c r="A1023" s="229"/>
      <c r="B1023" s="230"/>
      <c r="D1023" s="230"/>
      <c r="V1023" s="219"/>
    </row>
    <row r="1024" spans="1:22" x14ac:dyDescent="0.2">
      <c r="A1024" s="229"/>
      <c r="B1024" s="230"/>
      <c r="D1024" s="230"/>
      <c r="V1024" s="219"/>
    </row>
    <row r="1025" spans="1:22" x14ac:dyDescent="0.2">
      <c r="A1025" s="229"/>
      <c r="B1025" s="230"/>
      <c r="D1025" s="230"/>
      <c r="V1025" s="219"/>
    </row>
    <row r="1026" spans="1:22" x14ac:dyDescent="0.2">
      <c r="A1026" s="229"/>
      <c r="B1026" s="230"/>
      <c r="D1026" s="230"/>
      <c r="V1026" s="219"/>
    </row>
    <row r="1027" spans="1:22" x14ac:dyDescent="0.2">
      <c r="A1027" s="229"/>
      <c r="B1027" s="230"/>
      <c r="D1027" s="230"/>
      <c r="V1027" s="219"/>
    </row>
    <row r="1028" spans="1:22" x14ac:dyDescent="0.2">
      <c r="A1028" s="229"/>
      <c r="B1028" s="230"/>
      <c r="D1028" s="230"/>
      <c r="V1028" s="219"/>
    </row>
    <row r="1029" spans="1:22" x14ac:dyDescent="0.2">
      <c r="A1029" s="229"/>
      <c r="B1029" s="230"/>
      <c r="D1029" s="230"/>
      <c r="V1029" s="219"/>
    </row>
    <row r="1030" spans="1:22" x14ac:dyDescent="0.2">
      <c r="A1030" s="229"/>
      <c r="B1030" s="230"/>
      <c r="D1030" s="230"/>
      <c r="V1030" s="219"/>
    </row>
    <row r="1031" spans="1:22" x14ac:dyDescent="0.2">
      <c r="A1031" s="229"/>
      <c r="B1031" s="230"/>
      <c r="D1031" s="230"/>
      <c r="V1031" s="219"/>
    </row>
    <row r="1032" spans="1:22" x14ac:dyDescent="0.2">
      <c r="A1032" s="229"/>
      <c r="B1032" s="230"/>
      <c r="D1032" s="230"/>
      <c r="V1032" s="219"/>
    </row>
    <row r="1033" spans="1:22" x14ac:dyDescent="0.2">
      <c r="A1033" s="229"/>
      <c r="B1033" s="230"/>
      <c r="D1033" s="230"/>
      <c r="V1033" s="219"/>
    </row>
    <row r="1034" spans="1:22" x14ac:dyDescent="0.2">
      <c r="A1034" s="229"/>
      <c r="B1034" s="230"/>
      <c r="D1034" s="230"/>
      <c r="V1034" s="219"/>
    </row>
    <row r="1035" spans="1:22" x14ac:dyDescent="0.2">
      <c r="A1035" s="229"/>
      <c r="B1035" s="230"/>
      <c r="D1035" s="230"/>
      <c r="V1035" s="219"/>
    </row>
    <row r="1036" spans="1:22" x14ac:dyDescent="0.2">
      <c r="A1036" s="229"/>
      <c r="B1036" s="230"/>
      <c r="D1036" s="230"/>
      <c r="V1036" s="219"/>
    </row>
    <row r="1037" spans="1:22" x14ac:dyDescent="0.2">
      <c r="A1037" s="229"/>
      <c r="B1037" s="230"/>
      <c r="D1037" s="230"/>
      <c r="V1037" s="219"/>
    </row>
    <row r="1038" spans="1:22" x14ac:dyDescent="0.2">
      <c r="A1038" s="229"/>
      <c r="B1038" s="230"/>
      <c r="D1038" s="230"/>
      <c r="V1038" s="219"/>
    </row>
    <row r="1039" spans="1:22" x14ac:dyDescent="0.2">
      <c r="A1039" s="229"/>
      <c r="B1039" s="230"/>
      <c r="D1039" s="230"/>
      <c r="V1039" s="219"/>
    </row>
    <row r="1040" spans="1:22" x14ac:dyDescent="0.2">
      <c r="A1040" s="229"/>
      <c r="B1040" s="230"/>
      <c r="D1040" s="230"/>
      <c r="V1040" s="219"/>
    </row>
    <row r="1041" spans="1:22" x14ac:dyDescent="0.2">
      <c r="A1041" s="229"/>
      <c r="B1041" s="230"/>
      <c r="D1041" s="230"/>
      <c r="V1041" s="219"/>
    </row>
    <row r="1042" spans="1:22" x14ac:dyDescent="0.2">
      <c r="A1042" s="229"/>
      <c r="B1042" s="230"/>
      <c r="D1042" s="230"/>
      <c r="V1042" s="219"/>
    </row>
    <row r="1043" spans="1:22" x14ac:dyDescent="0.2">
      <c r="A1043" s="229"/>
      <c r="B1043" s="230"/>
      <c r="D1043" s="230"/>
      <c r="V1043" s="219"/>
    </row>
    <row r="1044" spans="1:22" x14ac:dyDescent="0.2">
      <c r="A1044" s="229"/>
      <c r="B1044" s="230"/>
      <c r="D1044" s="230"/>
      <c r="V1044" s="219"/>
    </row>
    <row r="1045" spans="1:22" x14ac:dyDescent="0.2">
      <c r="A1045" s="229"/>
      <c r="B1045" s="230"/>
      <c r="D1045" s="230"/>
      <c r="V1045" s="219"/>
    </row>
    <row r="1046" spans="1:22" x14ac:dyDescent="0.2">
      <c r="A1046" s="229"/>
      <c r="B1046" s="230"/>
      <c r="D1046" s="230"/>
      <c r="V1046" s="219"/>
    </row>
    <row r="1047" spans="1:22" x14ac:dyDescent="0.2">
      <c r="A1047" s="229"/>
      <c r="B1047" s="230"/>
      <c r="D1047" s="230"/>
      <c r="V1047" s="219"/>
    </row>
    <row r="1048" spans="1:22" x14ac:dyDescent="0.2">
      <c r="A1048" s="229"/>
      <c r="B1048" s="230"/>
      <c r="D1048" s="230"/>
      <c r="V1048" s="219"/>
    </row>
    <row r="1049" spans="1:22" x14ac:dyDescent="0.2">
      <c r="A1049" s="229"/>
      <c r="B1049" s="230"/>
      <c r="D1049" s="230"/>
      <c r="V1049" s="219"/>
    </row>
    <row r="1050" spans="1:22" x14ac:dyDescent="0.2">
      <c r="A1050" s="229"/>
      <c r="B1050" s="230"/>
      <c r="D1050" s="230"/>
      <c r="V1050" s="219"/>
    </row>
    <row r="1051" spans="1:22" x14ac:dyDescent="0.2">
      <c r="A1051" s="229"/>
      <c r="B1051" s="230"/>
      <c r="D1051" s="230"/>
      <c r="V1051" s="219"/>
    </row>
    <row r="1052" spans="1:22" x14ac:dyDescent="0.2">
      <c r="A1052" s="229"/>
      <c r="B1052" s="230"/>
      <c r="D1052" s="230"/>
      <c r="V1052" s="219"/>
    </row>
    <row r="1053" spans="1:22" x14ac:dyDescent="0.2">
      <c r="A1053" s="229"/>
      <c r="B1053" s="230"/>
      <c r="D1053" s="230"/>
      <c r="V1053" s="219"/>
    </row>
    <row r="1054" spans="1:22" x14ac:dyDescent="0.2">
      <c r="A1054" s="229"/>
      <c r="B1054" s="230"/>
      <c r="D1054" s="230"/>
      <c r="V1054" s="219"/>
    </row>
    <row r="1055" spans="1:22" x14ac:dyDescent="0.2">
      <c r="A1055" s="229"/>
      <c r="B1055" s="230"/>
      <c r="D1055" s="230"/>
      <c r="V1055" s="219"/>
    </row>
    <row r="1056" spans="1:22" x14ac:dyDescent="0.2">
      <c r="A1056" s="229"/>
      <c r="B1056" s="230"/>
      <c r="D1056" s="230"/>
      <c r="V1056" s="219"/>
    </row>
    <row r="1057" spans="1:22" x14ac:dyDescent="0.2">
      <c r="A1057" s="229"/>
      <c r="B1057" s="230"/>
      <c r="D1057" s="230"/>
      <c r="V1057" s="219"/>
    </row>
    <row r="1058" spans="1:22" x14ac:dyDescent="0.2">
      <c r="A1058" s="229"/>
      <c r="B1058" s="230"/>
      <c r="D1058" s="230"/>
      <c r="V1058" s="219"/>
    </row>
    <row r="1059" spans="1:22" x14ac:dyDescent="0.2">
      <c r="A1059" s="229"/>
      <c r="B1059" s="230"/>
      <c r="D1059" s="230"/>
      <c r="V1059" s="219"/>
    </row>
    <row r="1060" spans="1:22" x14ac:dyDescent="0.2">
      <c r="A1060" s="229"/>
      <c r="B1060" s="230"/>
      <c r="D1060" s="230"/>
      <c r="V1060" s="219"/>
    </row>
    <row r="1061" spans="1:22" x14ac:dyDescent="0.2">
      <c r="A1061" s="229"/>
      <c r="B1061" s="230"/>
      <c r="D1061" s="230"/>
      <c r="V1061" s="219"/>
    </row>
    <row r="1062" spans="1:22" x14ac:dyDescent="0.2">
      <c r="A1062" s="229"/>
      <c r="B1062" s="230"/>
      <c r="D1062" s="230"/>
      <c r="V1062" s="219"/>
    </row>
    <row r="1063" spans="1:22" x14ac:dyDescent="0.2">
      <c r="A1063" s="229"/>
      <c r="B1063" s="230"/>
      <c r="D1063" s="230"/>
      <c r="V1063" s="219"/>
    </row>
    <row r="1064" spans="1:22" x14ac:dyDescent="0.2">
      <c r="A1064" s="229"/>
      <c r="B1064" s="230"/>
      <c r="D1064" s="230"/>
      <c r="V1064" s="219"/>
    </row>
    <row r="1065" spans="1:22" x14ac:dyDescent="0.2">
      <c r="A1065" s="229"/>
      <c r="B1065" s="230"/>
      <c r="D1065" s="230"/>
      <c r="V1065" s="219"/>
    </row>
    <row r="1066" spans="1:22" x14ac:dyDescent="0.2">
      <c r="A1066" s="229"/>
      <c r="B1066" s="230"/>
      <c r="D1066" s="230"/>
      <c r="V1066" s="219"/>
    </row>
    <row r="1067" spans="1:22" x14ac:dyDescent="0.2">
      <c r="A1067" s="229"/>
      <c r="B1067" s="230"/>
      <c r="D1067" s="230"/>
      <c r="V1067" s="219"/>
    </row>
    <row r="1068" spans="1:22" x14ac:dyDescent="0.2">
      <c r="A1068" s="229"/>
      <c r="B1068" s="230"/>
      <c r="D1068" s="230"/>
      <c r="V1068" s="219"/>
    </row>
    <row r="1069" spans="1:22" x14ac:dyDescent="0.2">
      <c r="A1069" s="229"/>
      <c r="B1069" s="230"/>
      <c r="D1069" s="230"/>
      <c r="V1069" s="219"/>
    </row>
    <row r="1070" spans="1:22" x14ac:dyDescent="0.2">
      <c r="A1070" s="229"/>
      <c r="B1070" s="230"/>
      <c r="D1070" s="230"/>
      <c r="V1070" s="219"/>
    </row>
    <row r="1071" spans="1:22" x14ac:dyDescent="0.2">
      <c r="A1071" s="229"/>
      <c r="B1071" s="230"/>
      <c r="D1071" s="230"/>
      <c r="V1071" s="219"/>
    </row>
    <row r="1072" spans="1:22" x14ac:dyDescent="0.2">
      <c r="A1072" s="229"/>
      <c r="B1072" s="230"/>
      <c r="D1072" s="230"/>
      <c r="V1072" s="219"/>
    </row>
    <row r="1073" spans="1:22" x14ac:dyDescent="0.2">
      <c r="A1073" s="229"/>
      <c r="B1073" s="230"/>
      <c r="D1073" s="230"/>
      <c r="V1073" s="219"/>
    </row>
    <row r="1074" spans="1:22" x14ac:dyDescent="0.2">
      <c r="A1074" s="229"/>
      <c r="B1074" s="230"/>
      <c r="D1074" s="230"/>
      <c r="V1074" s="219"/>
    </row>
    <row r="1075" spans="1:22" x14ac:dyDescent="0.2">
      <c r="A1075" s="229"/>
      <c r="B1075" s="230"/>
      <c r="D1075" s="230"/>
      <c r="V1075" s="219"/>
    </row>
    <row r="1076" spans="1:22" x14ac:dyDescent="0.2">
      <c r="A1076" s="229"/>
      <c r="B1076" s="230"/>
      <c r="D1076" s="230"/>
      <c r="V1076" s="219"/>
    </row>
    <row r="1077" spans="1:22" x14ac:dyDescent="0.2">
      <c r="A1077" s="229"/>
      <c r="B1077" s="230"/>
      <c r="D1077" s="230"/>
      <c r="V1077" s="219"/>
    </row>
    <row r="1078" spans="1:22" x14ac:dyDescent="0.2">
      <c r="A1078" s="229"/>
      <c r="B1078" s="230"/>
      <c r="D1078" s="230"/>
      <c r="V1078" s="219"/>
    </row>
    <row r="1079" spans="1:22" x14ac:dyDescent="0.2">
      <c r="A1079" s="229"/>
      <c r="B1079" s="230"/>
      <c r="D1079" s="230"/>
      <c r="V1079" s="219"/>
    </row>
    <row r="1080" spans="1:22" x14ac:dyDescent="0.2">
      <c r="A1080" s="229"/>
      <c r="B1080" s="230"/>
      <c r="D1080" s="230"/>
      <c r="V1080" s="219"/>
    </row>
    <row r="1081" spans="1:22" x14ac:dyDescent="0.2">
      <c r="A1081" s="229"/>
      <c r="B1081" s="230"/>
      <c r="D1081" s="230"/>
      <c r="V1081" s="219"/>
    </row>
    <row r="1082" spans="1:22" x14ac:dyDescent="0.2">
      <c r="A1082" s="229"/>
      <c r="B1082" s="230"/>
      <c r="D1082" s="230"/>
      <c r="V1082" s="219"/>
    </row>
    <row r="1083" spans="1:22" x14ac:dyDescent="0.2">
      <c r="A1083" s="229"/>
      <c r="B1083" s="230"/>
      <c r="D1083" s="230"/>
      <c r="V1083" s="219"/>
    </row>
    <row r="1084" spans="1:22" x14ac:dyDescent="0.2">
      <c r="A1084" s="229"/>
      <c r="B1084" s="230"/>
      <c r="D1084" s="230"/>
      <c r="V1084" s="219"/>
    </row>
    <row r="1085" spans="1:22" x14ac:dyDescent="0.2">
      <c r="A1085" s="229"/>
      <c r="B1085" s="230"/>
      <c r="D1085" s="230"/>
      <c r="V1085" s="219"/>
    </row>
    <row r="1086" spans="1:22" x14ac:dyDescent="0.2">
      <c r="A1086" s="229"/>
      <c r="B1086" s="230"/>
      <c r="D1086" s="230"/>
      <c r="V1086" s="219"/>
    </row>
    <row r="1087" spans="1:22" x14ac:dyDescent="0.2">
      <c r="A1087" s="229"/>
      <c r="B1087" s="230"/>
      <c r="D1087" s="230"/>
      <c r="V1087" s="219"/>
    </row>
    <row r="1088" spans="1:22" x14ac:dyDescent="0.2">
      <c r="A1088" s="229"/>
      <c r="B1088" s="230"/>
      <c r="D1088" s="230"/>
      <c r="V1088" s="219"/>
    </row>
    <row r="1089" spans="1:22" x14ac:dyDescent="0.2">
      <c r="A1089" s="229"/>
      <c r="B1089" s="230"/>
      <c r="D1089" s="230"/>
      <c r="V1089" s="219"/>
    </row>
    <row r="1090" spans="1:22" x14ac:dyDescent="0.2">
      <c r="A1090" s="229"/>
      <c r="B1090" s="230"/>
      <c r="D1090" s="230"/>
      <c r="V1090" s="219"/>
    </row>
    <row r="1091" spans="1:22" x14ac:dyDescent="0.2">
      <c r="A1091" s="229"/>
      <c r="B1091" s="230"/>
      <c r="D1091" s="230"/>
      <c r="V1091" s="219"/>
    </row>
    <row r="1092" spans="1:22" x14ac:dyDescent="0.2">
      <c r="A1092" s="229"/>
      <c r="B1092" s="230"/>
      <c r="D1092" s="230"/>
      <c r="V1092" s="219"/>
    </row>
    <row r="1093" spans="1:22" x14ac:dyDescent="0.2">
      <c r="A1093" s="229"/>
      <c r="B1093" s="230"/>
      <c r="D1093" s="230"/>
      <c r="V1093" s="219"/>
    </row>
    <row r="1094" spans="1:22" x14ac:dyDescent="0.2">
      <c r="A1094" s="229"/>
      <c r="B1094" s="230"/>
      <c r="D1094" s="230"/>
      <c r="V1094" s="219"/>
    </row>
    <row r="1095" spans="1:22" x14ac:dyDescent="0.2">
      <c r="A1095" s="229"/>
      <c r="B1095" s="230"/>
      <c r="D1095" s="230"/>
      <c r="V1095" s="219"/>
    </row>
    <row r="1096" spans="1:22" x14ac:dyDescent="0.2">
      <c r="A1096" s="229"/>
      <c r="B1096" s="230"/>
      <c r="D1096" s="230"/>
      <c r="V1096" s="219"/>
    </row>
    <row r="1097" spans="1:22" x14ac:dyDescent="0.2">
      <c r="A1097" s="229"/>
      <c r="B1097" s="230"/>
      <c r="D1097" s="230"/>
      <c r="V1097" s="219"/>
    </row>
    <row r="1098" spans="1:22" x14ac:dyDescent="0.2">
      <c r="A1098" s="229"/>
      <c r="B1098" s="230"/>
      <c r="D1098" s="230"/>
      <c r="V1098" s="219"/>
    </row>
    <row r="1099" spans="1:22" x14ac:dyDescent="0.2">
      <c r="A1099" s="229"/>
      <c r="B1099" s="230"/>
      <c r="D1099" s="230"/>
      <c r="V1099" s="219"/>
    </row>
    <row r="1100" spans="1:22" x14ac:dyDescent="0.2">
      <c r="A1100" s="229"/>
      <c r="B1100" s="230"/>
      <c r="D1100" s="230"/>
      <c r="V1100" s="219"/>
    </row>
    <row r="1101" spans="1:22" x14ac:dyDescent="0.2">
      <c r="A1101" s="229"/>
      <c r="B1101" s="230"/>
      <c r="D1101" s="230"/>
      <c r="V1101" s="219"/>
    </row>
    <row r="1102" spans="1:22" x14ac:dyDescent="0.2">
      <c r="A1102" s="229"/>
      <c r="B1102" s="230"/>
      <c r="D1102" s="230"/>
      <c r="V1102" s="219"/>
    </row>
    <row r="1103" spans="1:22" x14ac:dyDescent="0.2">
      <c r="A1103" s="229"/>
      <c r="B1103" s="230"/>
      <c r="D1103" s="230"/>
      <c r="V1103" s="219"/>
    </row>
    <row r="1104" spans="1:22" x14ac:dyDescent="0.2">
      <c r="A1104" s="229"/>
      <c r="B1104" s="230"/>
      <c r="D1104" s="230"/>
      <c r="V1104" s="219"/>
    </row>
    <row r="1105" spans="1:22" x14ac:dyDescent="0.2">
      <c r="A1105" s="229"/>
      <c r="B1105" s="230"/>
      <c r="D1105" s="230"/>
      <c r="V1105" s="219"/>
    </row>
    <row r="1106" spans="1:22" x14ac:dyDescent="0.2">
      <c r="A1106" s="229"/>
      <c r="B1106" s="230"/>
      <c r="D1106" s="230"/>
      <c r="V1106" s="219"/>
    </row>
    <row r="1107" spans="1:22" x14ac:dyDescent="0.2">
      <c r="A1107" s="229"/>
      <c r="B1107" s="230"/>
      <c r="D1107" s="230"/>
      <c r="V1107" s="219"/>
    </row>
    <row r="1108" spans="1:22" x14ac:dyDescent="0.2">
      <c r="A1108" s="229"/>
      <c r="B1108" s="230"/>
      <c r="D1108" s="230"/>
      <c r="V1108" s="219"/>
    </row>
    <row r="1109" spans="1:22" x14ac:dyDescent="0.2">
      <c r="A1109" s="229"/>
      <c r="B1109" s="230"/>
      <c r="D1109" s="230"/>
      <c r="V1109" s="219"/>
    </row>
    <row r="1110" spans="1:22" x14ac:dyDescent="0.2">
      <c r="A1110" s="229"/>
      <c r="B1110" s="230"/>
      <c r="D1110" s="230"/>
      <c r="V1110" s="219"/>
    </row>
    <row r="1111" spans="1:22" x14ac:dyDescent="0.2">
      <c r="A1111" s="229"/>
      <c r="B1111" s="230"/>
      <c r="D1111" s="230"/>
      <c r="V1111" s="219"/>
    </row>
    <row r="1112" spans="1:22" x14ac:dyDescent="0.2">
      <c r="A1112" s="229"/>
      <c r="B1112" s="230"/>
      <c r="D1112" s="230"/>
      <c r="V1112" s="219"/>
    </row>
    <row r="1113" spans="1:22" x14ac:dyDescent="0.2">
      <c r="A1113" s="229"/>
      <c r="B1113" s="230"/>
      <c r="D1113" s="230"/>
      <c r="V1113" s="219"/>
    </row>
    <row r="1114" spans="1:22" x14ac:dyDescent="0.2">
      <c r="A1114" s="229"/>
      <c r="B1114" s="230"/>
      <c r="D1114" s="230"/>
      <c r="V1114" s="219"/>
    </row>
    <row r="1115" spans="1:22" x14ac:dyDescent="0.2">
      <c r="A1115" s="229"/>
      <c r="B1115" s="230"/>
      <c r="D1115" s="230"/>
      <c r="V1115" s="219"/>
    </row>
    <row r="1116" spans="1:22" x14ac:dyDescent="0.2">
      <c r="A1116" s="229"/>
      <c r="B1116" s="230"/>
      <c r="D1116" s="230"/>
      <c r="V1116" s="219"/>
    </row>
    <row r="1117" spans="1:22" x14ac:dyDescent="0.2">
      <c r="A1117" s="229"/>
      <c r="B1117" s="230"/>
      <c r="D1117" s="230"/>
      <c r="V1117" s="219"/>
    </row>
    <row r="1118" spans="1:22" x14ac:dyDescent="0.2">
      <c r="A1118" s="229"/>
      <c r="B1118" s="230"/>
      <c r="D1118" s="230"/>
      <c r="V1118" s="219"/>
    </row>
    <row r="1119" spans="1:22" x14ac:dyDescent="0.2">
      <c r="A1119" s="229"/>
      <c r="B1119" s="230"/>
      <c r="D1119" s="230"/>
      <c r="V1119" s="219"/>
    </row>
    <row r="1120" spans="1:22" x14ac:dyDescent="0.2">
      <c r="A1120" s="229"/>
      <c r="B1120" s="230"/>
      <c r="D1120" s="230"/>
      <c r="V1120" s="219"/>
    </row>
    <row r="1121" spans="1:22" x14ac:dyDescent="0.2">
      <c r="A1121" s="229"/>
      <c r="B1121" s="230"/>
      <c r="D1121" s="230"/>
      <c r="V1121" s="219"/>
    </row>
    <row r="1122" spans="1:22" x14ac:dyDescent="0.2">
      <c r="A1122" s="229"/>
      <c r="B1122" s="230"/>
      <c r="D1122" s="230"/>
      <c r="V1122" s="219"/>
    </row>
    <row r="1123" spans="1:22" x14ac:dyDescent="0.2">
      <c r="A1123" s="229"/>
      <c r="B1123" s="230"/>
      <c r="D1123" s="230"/>
      <c r="V1123" s="219"/>
    </row>
    <row r="1124" spans="1:22" x14ac:dyDescent="0.2">
      <c r="A1124" s="229"/>
      <c r="B1124" s="230"/>
      <c r="D1124" s="230"/>
      <c r="V1124" s="219"/>
    </row>
    <row r="1125" spans="1:22" x14ac:dyDescent="0.2">
      <c r="A1125" s="229"/>
      <c r="B1125" s="230"/>
      <c r="D1125" s="230"/>
      <c r="V1125" s="219"/>
    </row>
    <row r="1126" spans="1:22" x14ac:dyDescent="0.2">
      <c r="A1126" s="229"/>
      <c r="B1126" s="230"/>
      <c r="D1126" s="230"/>
      <c r="V1126" s="219"/>
    </row>
    <row r="1127" spans="1:22" x14ac:dyDescent="0.2">
      <c r="A1127" s="229"/>
      <c r="B1127" s="230"/>
      <c r="D1127" s="230"/>
      <c r="V1127" s="219"/>
    </row>
    <row r="1128" spans="1:22" x14ac:dyDescent="0.2">
      <c r="A1128" s="229"/>
      <c r="B1128" s="230"/>
      <c r="D1128" s="230"/>
      <c r="V1128" s="219"/>
    </row>
    <row r="1129" spans="1:22" x14ac:dyDescent="0.2">
      <c r="A1129" s="229"/>
      <c r="B1129" s="230"/>
      <c r="D1129" s="230"/>
      <c r="V1129" s="219"/>
    </row>
    <row r="1130" spans="1:22" x14ac:dyDescent="0.2">
      <c r="A1130" s="229"/>
      <c r="B1130" s="230"/>
      <c r="D1130" s="230"/>
      <c r="V1130" s="219"/>
    </row>
    <row r="1131" spans="1:22" x14ac:dyDescent="0.2">
      <c r="A1131" s="229"/>
      <c r="B1131" s="230"/>
      <c r="D1131" s="230"/>
      <c r="V1131" s="219"/>
    </row>
    <row r="1132" spans="1:22" x14ac:dyDescent="0.2">
      <c r="A1132" s="229"/>
      <c r="B1132" s="230"/>
      <c r="D1132" s="230"/>
      <c r="V1132" s="219"/>
    </row>
    <row r="1133" spans="1:22" x14ac:dyDescent="0.2">
      <c r="A1133" s="229"/>
      <c r="B1133" s="230"/>
      <c r="D1133" s="230"/>
      <c r="V1133" s="219"/>
    </row>
    <row r="1134" spans="1:22" x14ac:dyDescent="0.2">
      <c r="A1134" s="229"/>
      <c r="B1134" s="230"/>
      <c r="D1134" s="230"/>
      <c r="V1134" s="219"/>
    </row>
    <row r="1135" spans="1:22" x14ac:dyDescent="0.2">
      <c r="A1135" s="229"/>
      <c r="B1135" s="230"/>
      <c r="D1135" s="230"/>
      <c r="V1135" s="219"/>
    </row>
    <row r="1136" spans="1:22" x14ac:dyDescent="0.2">
      <c r="A1136" s="229"/>
      <c r="B1136" s="230"/>
      <c r="D1136" s="230"/>
      <c r="V1136" s="219"/>
    </row>
    <row r="1137" spans="1:22" x14ac:dyDescent="0.2">
      <c r="A1137" s="229"/>
      <c r="B1137" s="230"/>
      <c r="D1137" s="230"/>
      <c r="V1137" s="219"/>
    </row>
    <row r="1138" spans="1:22" x14ac:dyDescent="0.2">
      <c r="A1138" s="229"/>
      <c r="B1138" s="230"/>
      <c r="D1138" s="230"/>
      <c r="V1138" s="219"/>
    </row>
    <row r="1139" spans="1:22" x14ac:dyDescent="0.2">
      <c r="A1139" s="229"/>
      <c r="B1139" s="230"/>
      <c r="D1139" s="230"/>
      <c r="V1139" s="219"/>
    </row>
    <row r="1140" spans="1:22" x14ac:dyDescent="0.2">
      <c r="A1140" s="229"/>
      <c r="B1140" s="230"/>
      <c r="D1140" s="230"/>
      <c r="V1140" s="219"/>
    </row>
    <row r="1141" spans="1:22" x14ac:dyDescent="0.2">
      <c r="A1141" s="229"/>
      <c r="B1141" s="230"/>
      <c r="D1141" s="230"/>
      <c r="V1141" s="219"/>
    </row>
    <row r="1142" spans="1:22" x14ac:dyDescent="0.2">
      <c r="A1142" s="229"/>
      <c r="B1142" s="230"/>
      <c r="D1142" s="230"/>
      <c r="V1142" s="219"/>
    </row>
    <row r="1143" spans="1:22" x14ac:dyDescent="0.2">
      <c r="A1143" s="229"/>
      <c r="B1143" s="230"/>
      <c r="D1143" s="230"/>
      <c r="V1143" s="219"/>
    </row>
    <row r="1144" spans="1:22" x14ac:dyDescent="0.2">
      <c r="A1144" s="229"/>
      <c r="B1144" s="230"/>
      <c r="D1144" s="230"/>
      <c r="V1144" s="219"/>
    </row>
    <row r="1145" spans="1:22" x14ac:dyDescent="0.2">
      <c r="A1145" s="229"/>
      <c r="B1145" s="230"/>
      <c r="D1145" s="230"/>
      <c r="V1145" s="219"/>
    </row>
    <row r="1146" spans="1:22" x14ac:dyDescent="0.2">
      <c r="A1146" s="229"/>
      <c r="B1146" s="230"/>
      <c r="D1146" s="230"/>
      <c r="V1146" s="219"/>
    </row>
    <row r="1147" spans="1:22" x14ac:dyDescent="0.2">
      <c r="A1147" s="229"/>
      <c r="B1147" s="230"/>
      <c r="D1147" s="230"/>
      <c r="V1147" s="219"/>
    </row>
    <row r="1148" spans="1:22" x14ac:dyDescent="0.2">
      <c r="A1148" s="229"/>
      <c r="B1148" s="230"/>
      <c r="D1148" s="230"/>
      <c r="V1148" s="219"/>
    </row>
    <row r="1149" spans="1:22" x14ac:dyDescent="0.2">
      <c r="A1149" s="229"/>
      <c r="B1149" s="230"/>
      <c r="D1149" s="230"/>
      <c r="V1149" s="219"/>
    </row>
    <row r="1150" spans="1:22" x14ac:dyDescent="0.2">
      <c r="A1150" s="229"/>
      <c r="B1150" s="230"/>
      <c r="D1150" s="230"/>
      <c r="V1150" s="219"/>
    </row>
    <row r="1151" spans="1:22" x14ac:dyDescent="0.2">
      <c r="A1151" s="229"/>
      <c r="B1151" s="230"/>
      <c r="D1151" s="230"/>
      <c r="V1151" s="219"/>
    </row>
    <row r="1152" spans="1:22" x14ac:dyDescent="0.2">
      <c r="A1152" s="229"/>
      <c r="B1152" s="230"/>
      <c r="D1152" s="230"/>
      <c r="V1152" s="219"/>
    </row>
    <row r="1153" spans="1:22" x14ac:dyDescent="0.2">
      <c r="A1153" s="229"/>
      <c r="B1153" s="230"/>
      <c r="D1153" s="230"/>
      <c r="V1153" s="219"/>
    </row>
    <row r="1154" spans="1:22" x14ac:dyDescent="0.2">
      <c r="A1154" s="229"/>
      <c r="B1154" s="230"/>
      <c r="D1154" s="230"/>
      <c r="V1154" s="219"/>
    </row>
    <row r="1155" spans="1:22" x14ac:dyDescent="0.2">
      <c r="A1155" s="229"/>
      <c r="B1155" s="230"/>
      <c r="D1155" s="230"/>
      <c r="V1155" s="219"/>
    </row>
    <row r="1156" spans="1:22" x14ac:dyDescent="0.2">
      <c r="A1156" s="229"/>
      <c r="B1156" s="230"/>
      <c r="D1156" s="230"/>
      <c r="V1156" s="219"/>
    </row>
    <row r="1157" spans="1:22" x14ac:dyDescent="0.2">
      <c r="A1157" s="229"/>
      <c r="B1157" s="230"/>
      <c r="D1157" s="230"/>
      <c r="V1157" s="219"/>
    </row>
    <row r="1158" spans="1:22" x14ac:dyDescent="0.2">
      <c r="A1158" s="229"/>
      <c r="B1158" s="230"/>
      <c r="D1158" s="230"/>
      <c r="V1158" s="219"/>
    </row>
    <row r="1159" spans="1:22" x14ac:dyDescent="0.2">
      <c r="A1159" s="229"/>
      <c r="B1159" s="230"/>
      <c r="D1159" s="230"/>
      <c r="V1159" s="219"/>
    </row>
    <row r="1160" spans="1:22" x14ac:dyDescent="0.2">
      <c r="A1160" s="229"/>
      <c r="B1160" s="230"/>
      <c r="D1160" s="230"/>
      <c r="V1160" s="219"/>
    </row>
    <row r="1161" spans="1:22" x14ac:dyDescent="0.2">
      <c r="A1161" s="229"/>
      <c r="B1161" s="230"/>
      <c r="D1161" s="230"/>
      <c r="V1161" s="219"/>
    </row>
    <row r="1162" spans="1:22" x14ac:dyDescent="0.2">
      <c r="A1162" s="229"/>
      <c r="B1162" s="230"/>
      <c r="D1162" s="230"/>
      <c r="V1162" s="219"/>
    </row>
    <row r="1163" spans="1:22" x14ac:dyDescent="0.2">
      <c r="A1163" s="229"/>
      <c r="B1163" s="230"/>
      <c r="D1163" s="230"/>
      <c r="V1163" s="219"/>
    </row>
    <row r="1164" spans="1:22" x14ac:dyDescent="0.2">
      <c r="A1164" s="229"/>
      <c r="B1164" s="230"/>
      <c r="D1164" s="230"/>
      <c r="V1164" s="219"/>
    </row>
    <row r="1165" spans="1:22" x14ac:dyDescent="0.2">
      <c r="A1165" s="229"/>
      <c r="B1165" s="230"/>
      <c r="D1165" s="230"/>
      <c r="V1165" s="219"/>
    </row>
    <row r="1166" spans="1:22" x14ac:dyDescent="0.2">
      <c r="A1166" s="229"/>
      <c r="B1166" s="230"/>
      <c r="D1166" s="230"/>
      <c r="V1166" s="219"/>
    </row>
    <row r="1167" spans="1:22" x14ac:dyDescent="0.2">
      <c r="A1167" s="229"/>
      <c r="B1167" s="230"/>
      <c r="D1167" s="230"/>
      <c r="V1167" s="219"/>
    </row>
    <row r="1168" spans="1:22" x14ac:dyDescent="0.2">
      <c r="A1168" s="229"/>
      <c r="B1168" s="230"/>
      <c r="D1168" s="230"/>
      <c r="V1168" s="219"/>
    </row>
    <row r="1169" spans="1:22" x14ac:dyDescent="0.2">
      <c r="A1169" s="229"/>
      <c r="B1169" s="230"/>
      <c r="D1169" s="230"/>
      <c r="V1169" s="219"/>
    </row>
    <row r="1170" spans="1:22" x14ac:dyDescent="0.2">
      <c r="A1170" s="229"/>
      <c r="B1170" s="230"/>
      <c r="D1170" s="230"/>
      <c r="V1170" s="219"/>
    </row>
    <row r="1171" spans="1:22" x14ac:dyDescent="0.2">
      <c r="A1171" s="229"/>
      <c r="B1171" s="230"/>
      <c r="D1171" s="230"/>
      <c r="V1171" s="219"/>
    </row>
    <row r="1172" spans="1:22" x14ac:dyDescent="0.2">
      <c r="A1172" s="229"/>
      <c r="B1172" s="230"/>
      <c r="D1172" s="230"/>
      <c r="V1172" s="219"/>
    </row>
    <row r="1173" spans="1:22" x14ac:dyDescent="0.2">
      <c r="A1173" s="229"/>
      <c r="B1173" s="230"/>
      <c r="D1173" s="230"/>
      <c r="V1173" s="219"/>
    </row>
    <row r="1174" spans="1:22" x14ac:dyDescent="0.2">
      <c r="A1174" s="229"/>
      <c r="B1174" s="230"/>
      <c r="D1174" s="230"/>
      <c r="V1174" s="219"/>
    </row>
    <row r="1175" spans="1:22" x14ac:dyDescent="0.2">
      <c r="A1175" s="229"/>
      <c r="B1175" s="230"/>
      <c r="D1175" s="230"/>
      <c r="V1175" s="219"/>
    </row>
    <row r="1176" spans="1:22" x14ac:dyDescent="0.2">
      <c r="A1176" s="229"/>
      <c r="B1176" s="230"/>
      <c r="D1176" s="230"/>
      <c r="V1176" s="219"/>
    </row>
    <row r="1177" spans="1:22" x14ac:dyDescent="0.2">
      <c r="A1177" s="229"/>
      <c r="B1177" s="230"/>
      <c r="D1177" s="230"/>
      <c r="V1177" s="219"/>
    </row>
    <row r="1178" spans="1:22" x14ac:dyDescent="0.2">
      <c r="A1178" s="229"/>
      <c r="B1178" s="230"/>
      <c r="D1178" s="230"/>
      <c r="V1178" s="219"/>
    </row>
    <row r="1179" spans="1:22" x14ac:dyDescent="0.2">
      <c r="A1179" s="229"/>
      <c r="B1179" s="230"/>
      <c r="D1179" s="230"/>
      <c r="V1179" s="219"/>
    </row>
    <row r="1180" spans="1:22" x14ac:dyDescent="0.2">
      <c r="A1180" s="229"/>
      <c r="B1180" s="230"/>
      <c r="D1180" s="230"/>
      <c r="V1180" s="219"/>
    </row>
    <row r="1181" spans="1:22" x14ac:dyDescent="0.2">
      <c r="A1181" s="229"/>
      <c r="B1181" s="230"/>
      <c r="D1181" s="230"/>
      <c r="V1181" s="219"/>
    </row>
    <row r="1182" spans="1:22" x14ac:dyDescent="0.2">
      <c r="A1182" s="229"/>
      <c r="B1182" s="230"/>
      <c r="D1182" s="230"/>
      <c r="V1182" s="219"/>
    </row>
    <row r="1183" spans="1:22" x14ac:dyDescent="0.2">
      <c r="A1183" s="229"/>
      <c r="B1183" s="230"/>
      <c r="D1183" s="230"/>
      <c r="V1183" s="219"/>
    </row>
    <row r="1184" spans="1:22" x14ac:dyDescent="0.2">
      <c r="A1184" s="229"/>
      <c r="B1184" s="230"/>
      <c r="D1184" s="230"/>
      <c r="V1184" s="219"/>
    </row>
    <row r="1185" spans="1:22" x14ac:dyDescent="0.2">
      <c r="A1185" s="229"/>
      <c r="B1185" s="230"/>
      <c r="D1185" s="230"/>
      <c r="V1185" s="219"/>
    </row>
    <row r="1186" spans="1:22" x14ac:dyDescent="0.2">
      <c r="A1186" s="229"/>
      <c r="B1186" s="230"/>
      <c r="D1186" s="230"/>
      <c r="V1186" s="219"/>
    </row>
    <row r="1187" spans="1:22" x14ac:dyDescent="0.2">
      <c r="A1187" s="229"/>
      <c r="B1187" s="230"/>
      <c r="D1187" s="230"/>
      <c r="V1187" s="219"/>
    </row>
    <row r="1188" spans="1:22" x14ac:dyDescent="0.2">
      <c r="A1188" s="229"/>
      <c r="B1188" s="230"/>
      <c r="D1188" s="230"/>
      <c r="V1188" s="219"/>
    </row>
    <row r="1189" spans="1:22" x14ac:dyDescent="0.2">
      <c r="A1189" s="229"/>
      <c r="B1189" s="230"/>
      <c r="D1189" s="230"/>
      <c r="V1189" s="219"/>
    </row>
    <row r="1190" spans="1:22" x14ac:dyDescent="0.2">
      <c r="A1190" s="229"/>
      <c r="B1190" s="230"/>
      <c r="D1190" s="230"/>
      <c r="V1190" s="219"/>
    </row>
    <row r="1191" spans="1:22" x14ac:dyDescent="0.2">
      <c r="A1191" s="229"/>
      <c r="B1191" s="230"/>
      <c r="D1191" s="230"/>
      <c r="V1191" s="219"/>
    </row>
    <row r="1192" spans="1:22" x14ac:dyDescent="0.2">
      <c r="A1192" s="229"/>
      <c r="B1192" s="230"/>
      <c r="D1192" s="230"/>
      <c r="V1192" s="219"/>
    </row>
    <row r="1193" spans="1:22" x14ac:dyDescent="0.2">
      <c r="A1193" s="229"/>
      <c r="B1193" s="230"/>
      <c r="D1193" s="230"/>
      <c r="V1193" s="219"/>
    </row>
    <row r="1194" spans="1:22" x14ac:dyDescent="0.2">
      <c r="A1194" s="229"/>
      <c r="B1194" s="230"/>
      <c r="D1194" s="230"/>
      <c r="V1194" s="219"/>
    </row>
    <row r="1195" spans="1:22" x14ac:dyDescent="0.2">
      <c r="A1195" s="229"/>
      <c r="B1195" s="230"/>
      <c r="D1195" s="230"/>
      <c r="V1195" s="219"/>
    </row>
    <row r="1196" spans="1:22" x14ac:dyDescent="0.2">
      <c r="A1196" s="229"/>
      <c r="B1196" s="230"/>
      <c r="D1196" s="230"/>
      <c r="V1196" s="219"/>
    </row>
    <row r="1197" spans="1:22" x14ac:dyDescent="0.2">
      <c r="A1197" s="229"/>
      <c r="B1197" s="230"/>
      <c r="D1197" s="230"/>
      <c r="V1197" s="219"/>
    </row>
    <row r="1198" spans="1:22" x14ac:dyDescent="0.2">
      <c r="A1198" s="229"/>
      <c r="B1198" s="230"/>
      <c r="D1198" s="230"/>
      <c r="V1198" s="219"/>
    </row>
    <row r="1199" spans="1:22" x14ac:dyDescent="0.2">
      <c r="A1199" s="229"/>
      <c r="B1199" s="230"/>
      <c r="D1199" s="230"/>
      <c r="V1199" s="219"/>
    </row>
    <row r="1200" spans="1:22" x14ac:dyDescent="0.2">
      <c r="A1200" s="229"/>
      <c r="B1200" s="230"/>
      <c r="D1200" s="230"/>
      <c r="V1200" s="219"/>
    </row>
    <row r="1201" spans="1:22" x14ac:dyDescent="0.2">
      <c r="A1201" s="229"/>
      <c r="B1201" s="230"/>
      <c r="D1201" s="230"/>
      <c r="V1201" s="219"/>
    </row>
    <row r="1202" spans="1:22" x14ac:dyDescent="0.2">
      <c r="A1202" s="229"/>
      <c r="B1202" s="230"/>
      <c r="D1202" s="230"/>
      <c r="V1202" s="219"/>
    </row>
    <row r="1203" spans="1:22" x14ac:dyDescent="0.2">
      <c r="A1203" s="229"/>
      <c r="B1203" s="230"/>
      <c r="D1203" s="230"/>
      <c r="V1203" s="219"/>
    </row>
    <row r="1204" spans="1:22" x14ac:dyDescent="0.2">
      <c r="A1204" s="229"/>
      <c r="B1204" s="230"/>
      <c r="D1204" s="230"/>
      <c r="V1204" s="219"/>
    </row>
    <row r="1205" spans="1:22" x14ac:dyDescent="0.2">
      <c r="A1205" s="229"/>
      <c r="B1205" s="230"/>
      <c r="D1205" s="230"/>
      <c r="V1205" s="219"/>
    </row>
    <row r="1206" spans="1:22" x14ac:dyDescent="0.2">
      <c r="A1206" s="229"/>
      <c r="B1206" s="230"/>
      <c r="D1206" s="230"/>
      <c r="V1206" s="219"/>
    </row>
    <row r="1207" spans="1:22" x14ac:dyDescent="0.2">
      <c r="A1207" s="229"/>
      <c r="B1207" s="230"/>
      <c r="D1207" s="230"/>
      <c r="V1207" s="219"/>
    </row>
    <row r="1208" spans="1:22" x14ac:dyDescent="0.2">
      <c r="A1208" s="229"/>
      <c r="B1208" s="230"/>
      <c r="D1208" s="230"/>
      <c r="V1208" s="219"/>
    </row>
    <row r="1209" spans="1:22" x14ac:dyDescent="0.2">
      <c r="A1209" s="229"/>
      <c r="B1209" s="230"/>
      <c r="D1209" s="230"/>
      <c r="V1209" s="219"/>
    </row>
    <row r="1210" spans="1:22" x14ac:dyDescent="0.2">
      <c r="A1210" s="229"/>
      <c r="B1210" s="230"/>
      <c r="D1210" s="230"/>
      <c r="V1210" s="219"/>
    </row>
    <row r="1211" spans="1:22" x14ac:dyDescent="0.2">
      <c r="A1211" s="229"/>
      <c r="B1211" s="230"/>
      <c r="D1211" s="230"/>
      <c r="V1211" s="219"/>
    </row>
    <row r="1212" spans="1:22" x14ac:dyDescent="0.2">
      <c r="A1212" s="229"/>
      <c r="B1212" s="230"/>
      <c r="D1212" s="230"/>
      <c r="V1212" s="219"/>
    </row>
    <row r="1213" spans="1:22" x14ac:dyDescent="0.2">
      <c r="A1213" s="229"/>
      <c r="B1213" s="230"/>
      <c r="D1213" s="230"/>
      <c r="V1213" s="219"/>
    </row>
    <row r="1214" spans="1:22" x14ac:dyDescent="0.2">
      <c r="A1214" s="229"/>
      <c r="B1214" s="230"/>
      <c r="D1214" s="230"/>
      <c r="V1214" s="219"/>
    </row>
    <row r="1215" spans="1:22" x14ac:dyDescent="0.2">
      <c r="A1215" s="229"/>
      <c r="B1215" s="230"/>
      <c r="D1215" s="230"/>
      <c r="V1215" s="219"/>
    </row>
    <row r="1216" spans="1:22" x14ac:dyDescent="0.2">
      <c r="A1216" s="229"/>
      <c r="B1216" s="230"/>
      <c r="D1216" s="230"/>
      <c r="V1216" s="219"/>
    </row>
    <row r="1217" spans="1:22" x14ac:dyDescent="0.2">
      <c r="A1217" s="229"/>
      <c r="B1217" s="230"/>
      <c r="D1217" s="230"/>
      <c r="V1217" s="219"/>
    </row>
    <row r="1218" spans="1:22" x14ac:dyDescent="0.2">
      <c r="A1218" s="229"/>
      <c r="B1218" s="230"/>
      <c r="D1218" s="230"/>
      <c r="V1218" s="219"/>
    </row>
    <row r="1219" spans="1:22" x14ac:dyDescent="0.2">
      <c r="A1219" s="229"/>
      <c r="B1219" s="230"/>
      <c r="D1219" s="230"/>
      <c r="V1219" s="219"/>
    </row>
    <row r="1220" spans="1:22" x14ac:dyDescent="0.2">
      <c r="A1220" s="229"/>
      <c r="B1220" s="230"/>
      <c r="D1220" s="230"/>
      <c r="V1220" s="219"/>
    </row>
    <row r="1221" spans="1:22" x14ac:dyDescent="0.2">
      <c r="A1221" s="229"/>
      <c r="B1221" s="230"/>
      <c r="D1221" s="230"/>
      <c r="V1221" s="219"/>
    </row>
    <row r="1222" spans="1:22" x14ac:dyDescent="0.2">
      <c r="A1222" s="229"/>
      <c r="B1222" s="230"/>
      <c r="D1222" s="230"/>
      <c r="V1222" s="219"/>
    </row>
    <row r="1223" spans="1:22" x14ac:dyDescent="0.2">
      <c r="A1223" s="229"/>
      <c r="B1223" s="230"/>
      <c r="D1223" s="230"/>
      <c r="V1223" s="219"/>
    </row>
    <row r="1224" spans="1:22" x14ac:dyDescent="0.2">
      <c r="A1224" s="229"/>
      <c r="B1224" s="230"/>
      <c r="D1224" s="230"/>
      <c r="V1224" s="219"/>
    </row>
    <row r="1225" spans="1:22" x14ac:dyDescent="0.2">
      <c r="A1225" s="229"/>
      <c r="B1225" s="230"/>
      <c r="D1225" s="230"/>
      <c r="V1225" s="219"/>
    </row>
    <row r="1226" spans="1:22" x14ac:dyDescent="0.2">
      <c r="A1226" s="229"/>
      <c r="B1226" s="230"/>
      <c r="D1226" s="230"/>
      <c r="V1226" s="219"/>
    </row>
    <row r="1227" spans="1:22" x14ac:dyDescent="0.2">
      <c r="A1227" s="229"/>
      <c r="B1227" s="230"/>
      <c r="D1227" s="230"/>
      <c r="V1227" s="219"/>
    </row>
    <row r="1228" spans="1:22" x14ac:dyDescent="0.2">
      <c r="A1228" s="229"/>
      <c r="B1228" s="230"/>
      <c r="D1228" s="230"/>
      <c r="V1228" s="219"/>
    </row>
    <row r="1229" spans="1:22" x14ac:dyDescent="0.2">
      <c r="A1229" s="229"/>
      <c r="B1229" s="230"/>
      <c r="D1229" s="230"/>
      <c r="V1229" s="219"/>
    </row>
    <row r="1230" spans="1:22" x14ac:dyDescent="0.2">
      <c r="A1230" s="229"/>
      <c r="B1230" s="230"/>
      <c r="D1230" s="230"/>
      <c r="V1230" s="219"/>
    </row>
    <row r="1231" spans="1:22" x14ac:dyDescent="0.2">
      <c r="A1231" s="229"/>
      <c r="B1231" s="230"/>
      <c r="D1231" s="230"/>
      <c r="V1231" s="219"/>
    </row>
    <row r="1232" spans="1:22" x14ac:dyDescent="0.2">
      <c r="A1232" s="229"/>
      <c r="B1232" s="230"/>
      <c r="D1232" s="230"/>
      <c r="V1232" s="219"/>
    </row>
    <row r="1233" spans="1:22" x14ac:dyDescent="0.2">
      <c r="A1233" s="229"/>
      <c r="B1233" s="230"/>
      <c r="D1233" s="230"/>
      <c r="V1233" s="219"/>
    </row>
    <row r="1234" spans="1:22" x14ac:dyDescent="0.2">
      <c r="A1234" s="229"/>
      <c r="B1234" s="230"/>
      <c r="D1234" s="230"/>
      <c r="V1234" s="219"/>
    </row>
    <row r="1235" spans="1:22" x14ac:dyDescent="0.2">
      <c r="A1235" s="229"/>
      <c r="B1235" s="230"/>
      <c r="D1235" s="230"/>
      <c r="V1235" s="219"/>
    </row>
    <row r="1236" spans="1:22" x14ac:dyDescent="0.2">
      <c r="A1236" s="229"/>
      <c r="B1236" s="230"/>
      <c r="D1236" s="230"/>
      <c r="V1236" s="219"/>
    </row>
    <row r="1237" spans="1:22" x14ac:dyDescent="0.2">
      <c r="A1237" s="229"/>
      <c r="B1237" s="230"/>
      <c r="D1237" s="230"/>
      <c r="V1237" s="219"/>
    </row>
    <row r="1238" spans="1:22" x14ac:dyDescent="0.2">
      <c r="A1238" s="229"/>
      <c r="B1238" s="230"/>
      <c r="D1238" s="230"/>
      <c r="V1238" s="219"/>
    </row>
    <row r="1239" spans="1:22" x14ac:dyDescent="0.2">
      <c r="A1239" s="229"/>
      <c r="B1239" s="230"/>
      <c r="D1239" s="230"/>
      <c r="V1239" s="219"/>
    </row>
    <row r="1240" spans="1:22" x14ac:dyDescent="0.2">
      <c r="A1240" s="229"/>
      <c r="B1240" s="230"/>
      <c r="D1240" s="230"/>
      <c r="V1240" s="219"/>
    </row>
    <row r="1241" spans="1:22" x14ac:dyDescent="0.2">
      <c r="A1241" s="229"/>
      <c r="B1241" s="230"/>
      <c r="D1241" s="230"/>
      <c r="V1241" s="219"/>
    </row>
    <row r="1242" spans="1:22" x14ac:dyDescent="0.2">
      <c r="A1242" s="229"/>
      <c r="B1242" s="230"/>
      <c r="D1242" s="230"/>
      <c r="V1242" s="219"/>
    </row>
    <row r="1243" spans="1:22" x14ac:dyDescent="0.2">
      <c r="A1243" s="229"/>
      <c r="B1243" s="230"/>
      <c r="D1243" s="230"/>
      <c r="V1243" s="219"/>
    </row>
    <row r="1244" spans="1:22" x14ac:dyDescent="0.2">
      <c r="A1244" s="229"/>
      <c r="B1244" s="230"/>
      <c r="D1244" s="230"/>
      <c r="V1244" s="219"/>
    </row>
    <row r="1245" spans="1:22" x14ac:dyDescent="0.2">
      <c r="A1245" s="229"/>
      <c r="B1245" s="230"/>
      <c r="D1245" s="230"/>
      <c r="V1245" s="219"/>
    </row>
    <row r="1246" spans="1:22" x14ac:dyDescent="0.2">
      <c r="A1246" s="229"/>
      <c r="B1246" s="230"/>
      <c r="D1246" s="230"/>
      <c r="V1246" s="219"/>
    </row>
    <row r="1247" spans="1:22" x14ac:dyDescent="0.2">
      <c r="A1247" s="229"/>
      <c r="B1247" s="230"/>
      <c r="D1247" s="230"/>
      <c r="V1247" s="219"/>
    </row>
    <row r="1248" spans="1:22" x14ac:dyDescent="0.2">
      <c r="A1248" s="229"/>
      <c r="B1248" s="230"/>
      <c r="D1248" s="230"/>
      <c r="V1248" s="219"/>
    </row>
    <row r="1249" spans="1:22" x14ac:dyDescent="0.2">
      <c r="A1249" s="229"/>
      <c r="B1249" s="230"/>
      <c r="D1249" s="230"/>
      <c r="V1249" s="219"/>
    </row>
    <row r="1250" spans="1:22" x14ac:dyDescent="0.2">
      <c r="A1250" s="229"/>
      <c r="B1250" s="230"/>
      <c r="D1250" s="230"/>
      <c r="V1250" s="219"/>
    </row>
    <row r="1251" spans="1:22" x14ac:dyDescent="0.2">
      <c r="A1251" s="229"/>
      <c r="B1251" s="230"/>
      <c r="D1251" s="230"/>
      <c r="V1251" s="219"/>
    </row>
    <row r="1252" spans="1:22" x14ac:dyDescent="0.2">
      <c r="A1252" s="229"/>
      <c r="B1252" s="230"/>
      <c r="D1252" s="230"/>
      <c r="V1252" s="219"/>
    </row>
    <row r="1253" spans="1:22" x14ac:dyDescent="0.2">
      <c r="A1253" s="229"/>
      <c r="B1253" s="230"/>
      <c r="D1253" s="230"/>
      <c r="V1253" s="219"/>
    </row>
    <row r="1254" spans="1:22" x14ac:dyDescent="0.2">
      <c r="A1254" s="229"/>
      <c r="B1254" s="230"/>
      <c r="D1254" s="230"/>
      <c r="V1254" s="219"/>
    </row>
    <row r="1255" spans="1:22" x14ac:dyDescent="0.2">
      <c r="A1255" s="229"/>
      <c r="B1255" s="230"/>
      <c r="D1255" s="230"/>
      <c r="V1255" s="219"/>
    </row>
    <row r="1256" spans="1:22" x14ac:dyDescent="0.2">
      <c r="A1256" s="229"/>
      <c r="B1256" s="230"/>
      <c r="D1256" s="230"/>
      <c r="V1256" s="219"/>
    </row>
    <row r="1257" spans="1:22" x14ac:dyDescent="0.2">
      <c r="A1257" s="229"/>
      <c r="B1257" s="230"/>
      <c r="D1257" s="230"/>
      <c r="V1257" s="219"/>
    </row>
    <row r="1258" spans="1:22" x14ac:dyDescent="0.2">
      <c r="A1258" s="229"/>
      <c r="B1258" s="230"/>
      <c r="D1258" s="230"/>
      <c r="V1258" s="219"/>
    </row>
    <row r="1259" spans="1:22" x14ac:dyDescent="0.2">
      <c r="A1259" s="229"/>
      <c r="B1259" s="230"/>
      <c r="D1259" s="230"/>
      <c r="V1259" s="219"/>
    </row>
    <row r="1260" spans="1:22" x14ac:dyDescent="0.2">
      <c r="A1260" s="229"/>
      <c r="B1260" s="230"/>
      <c r="D1260" s="230"/>
      <c r="V1260" s="219"/>
    </row>
    <row r="1261" spans="1:22" x14ac:dyDescent="0.2">
      <c r="A1261" s="229"/>
      <c r="B1261" s="230"/>
      <c r="D1261" s="230"/>
      <c r="V1261" s="219"/>
    </row>
    <row r="1262" spans="1:22" x14ac:dyDescent="0.2">
      <c r="A1262" s="229"/>
      <c r="B1262" s="230"/>
      <c r="D1262" s="230"/>
      <c r="V1262" s="219"/>
    </row>
    <row r="1263" spans="1:22" x14ac:dyDescent="0.2">
      <c r="A1263" s="229"/>
      <c r="B1263" s="230"/>
      <c r="D1263" s="230"/>
      <c r="V1263" s="219"/>
    </row>
    <row r="1264" spans="1:22" x14ac:dyDescent="0.2">
      <c r="A1264" s="229"/>
      <c r="B1264" s="230"/>
      <c r="D1264" s="230"/>
      <c r="V1264" s="219"/>
    </row>
    <row r="1265" spans="1:22" x14ac:dyDescent="0.2">
      <c r="A1265" s="229"/>
      <c r="B1265" s="230"/>
      <c r="D1265" s="230"/>
      <c r="V1265" s="219"/>
    </row>
    <row r="1266" spans="1:22" x14ac:dyDescent="0.2">
      <c r="A1266" s="229"/>
      <c r="B1266" s="230"/>
      <c r="D1266" s="230"/>
      <c r="V1266" s="219"/>
    </row>
    <row r="1267" spans="1:22" x14ac:dyDescent="0.2">
      <c r="A1267" s="229"/>
      <c r="B1267" s="230"/>
      <c r="D1267" s="230"/>
      <c r="V1267" s="219"/>
    </row>
    <row r="1268" spans="1:22" x14ac:dyDescent="0.2">
      <c r="A1268" s="229"/>
      <c r="B1268" s="230"/>
      <c r="D1268" s="230"/>
      <c r="V1268" s="219"/>
    </row>
    <row r="1269" spans="1:22" x14ac:dyDescent="0.2">
      <c r="A1269" s="229"/>
      <c r="B1269" s="230"/>
      <c r="D1269" s="230"/>
      <c r="V1269" s="219"/>
    </row>
    <row r="1270" spans="1:22" x14ac:dyDescent="0.2">
      <c r="A1270" s="229"/>
      <c r="B1270" s="230"/>
      <c r="D1270" s="230"/>
      <c r="V1270" s="219"/>
    </row>
    <row r="1271" spans="1:22" x14ac:dyDescent="0.2">
      <c r="A1271" s="229"/>
      <c r="B1271" s="230"/>
      <c r="D1271" s="230"/>
      <c r="V1271" s="219"/>
    </row>
    <row r="1272" spans="1:22" x14ac:dyDescent="0.2">
      <c r="A1272" s="229"/>
      <c r="B1272" s="230"/>
      <c r="D1272" s="230"/>
      <c r="V1272" s="219"/>
    </row>
    <row r="1273" spans="1:22" x14ac:dyDescent="0.2">
      <c r="A1273" s="229"/>
      <c r="B1273" s="230"/>
      <c r="D1273" s="230"/>
      <c r="V1273" s="219"/>
    </row>
    <row r="1274" spans="1:22" x14ac:dyDescent="0.2">
      <c r="A1274" s="229"/>
      <c r="B1274" s="230"/>
      <c r="D1274" s="230"/>
      <c r="V1274" s="219"/>
    </row>
    <row r="1275" spans="1:22" x14ac:dyDescent="0.2">
      <c r="A1275" s="229"/>
      <c r="B1275" s="230"/>
      <c r="D1275" s="230"/>
      <c r="V1275" s="219"/>
    </row>
    <row r="1276" spans="1:22" x14ac:dyDescent="0.2">
      <c r="A1276" s="229"/>
      <c r="B1276" s="230"/>
      <c r="D1276" s="230"/>
      <c r="V1276" s="219"/>
    </row>
    <row r="1277" spans="1:22" x14ac:dyDescent="0.2">
      <c r="A1277" s="229"/>
      <c r="B1277" s="230"/>
      <c r="D1277" s="230"/>
      <c r="V1277" s="219"/>
    </row>
    <row r="1278" spans="1:22" x14ac:dyDescent="0.2">
      <c r="A1278" s="229"/>
      <c r="B1278" s="230"/>
      <c r="D1278" s="230"/>
      <c r="V1278" s="219"/>
    </row>
    <row r="1279" spans="1:22" x14ac:dyDescent="0.2">
      <c r="A1279" s="229"/>
      <c r="B1279" s="230"/>
      <c r="D1279" s="230"/>
      <c r="V1279" s="219"/>
    </row>
    <row r="1280" spans="1:22" x14ac:dyDescent="0.2">
      <c r="A1280" s="229"/>
      <c r="B1280" s="230"/>
      <c r="D1280" s="230"/>
      <c r="V1280" s="219"/>
    </row>
    <row r="1281" spans="1:22" x14ac:dyDescent="0.2">
      <c r="A1281" s="229"/>
      <c r="B1281" s="230"/>
      <c r="D1281" s="230"/>
      <c r="V1281" s="219"/>
    </row>
    <row r="1282" spans="1:22" x14ac:dyDescent="0.2">
      <c r="A1282" s="229"/>
      <c r="B1282" s="230"/>
      <c r="D1282" s="230"/>
      <c r="V1282" s="219"/>
    </row>
    <row r="1283" spans="1:22" x14ac:dyDescent="0.2">
      <c r="A1283" s="229"/>
      <c r="B1283" s="230"/>
      <c r="D1283" s="230"/>
      <c r="V1283" s="219"/>
    </row>
    <row r="1284" spans="1:22" x14ac:dyDescent="0.2">
      <c r="A1284" s="229"/>
      <c r="B1284" s="230"/>
      <c r="D1284" s="230"/>
      <c r="V1284" s="219"/>
    </row>
    <row r="1285" spans="1:22" x14ac:dyDescent="0.2">
      <c r="A1285" s="229"/>
      <c r="B1285" s="230"/>
      <c r="D1285" s="230"/>
      <c r="V1285" s="219"/>
    </row>
    <row r="1286" spans="1:22" x14ac:dyDescent="0.2">
      <c r="A1286" s="229"/>
      <c r="B1286" s="230"/>
      <c r="D1286" s="230"/>
      <c r="V1286" s="219"/>
    </row>
    <row r="1287" spans="1:22" x14ac:dyDescent="0.2">
      <c r="A1287" s="229"/>
      <c r="B1287" s="230"/>
      <c r="D1287" s="230"/>
      <c r="V1287" s="219"/>
    </row>
    <row r="1288" spans="1:22" x14ac:dyDescent="0.2">
      <c r="A1288" s="229"/>
      <c r="B1288" s="230"/>
      <c r="D1288" s="230"/>
      <c r="V1288" s="219"/>
    </row>
    <row r="1289" spans="1:22" x14ac:dyDescent="0.2">
      <c r="A1289" s="229"/>
      <c r="B1289" s="230"/>
      <c r="D1289" s="230"/>
      <c r="V1289" s="219"/>
    </row>
    <row r="1290" spans="1:22" x14ac:dyDescent="0.2">
      <c r="A1290" s="229"/>
      <c r="B1290" s="230"/>
      <c r="D1290" s="230"/>
      <c r="V1290" s="219"/>
    </row>
    <row r="1291" spans="1:22" x14ac:dyDescent="0.2">
      <c r="A1291" s="229"/>
      <c r="B1291" s="230"/>
      <c r="D1291" s="230"/>
      <c r="V1291" s="219"/>
    </row>
    <row r="1292" spans="1:22" x14ac:dyDescent="0.2">
      <c r="A1292" s="229"/>
      <c r="B1292" s="230"/>
      <c r="D1292" s="230"/>
      <c r="V1292" s="219"/>
    </row>
    <row r="1293" spans="1:22" x14ac:dyDescent="0.2">
      <c r="A1293" s="229"/>
      <c r="B1293" s="230"/>
      <c r="D1293" s="230"/>
      <c r="V1293" s="219"/>
    </row>
    <row r="1294" spans="1:22" x14ac:dyDescent="0.2">
      <c r="A1294" s="229"/>
      <c r="B1294" s="230"/>
      <c r="D1294" s="230"/>
      <c r="V1294" s="219"/>
    </row>
    <row r="1295" spans="1:22" x14ac:dyDescent="0.2">
      <c r="A1295" s="229"/>
      <c r="B1295" s="230"/>
      <c r="D1295" s="230"/>
      <c r="V1295" s="219"/>
    </row>
    <row r="1296" spans="1:22" x14ac:dyDescent="0.2">
      <c r="A1296" s="229"/>
      <c r="B1296" s="230"/>
      <c r="D1296" s="230"/>
      <c r="V1296" s="219"/>
    </row>
    <row r="1297" spans="1:22" x14ac:dyDescent="0.2">
      <c r="A1297" s="229"/>
      <c r="B1297" s="230"/>
      <c r="D1297" s="230"/>
      <c r="V1297" s="219"/>
    </row>
    <row r="1298" spans="1:22" x14ac:dyDescent="0.2">
      <c r="A1298" s="229"/>
      <c r="B1298" s="230"/>
      <c r="D1298" s="230"/>
      <c r="V1298" s="219"/>
    </row>
    <row r="1299" spans="1:22" x14ac:dyDescent="0.2">
      <c r="A1299" s="229"/>
      <c r="B1299" s="230"/>
      <c r="D1299" s="230"/>
      <c r="V1299" s="219"/>
    </row>
    <row r="1300" spans="1:22" x14ac:dyDescent="0.2">
      <c r="A1300" s="229"/>
      <c r="B1300" s="230"/>
      <c r="D1300" s="230"/>
      <c r="V1300" s="219"/>
    </row>
    <row r="1301" spans="1:22" x14ac:dyDescent="0.2">
      <c r="A1301" s="229"/>
      <c r="B1301" s="230"/>
      <c r="D1301" s="230"/>
      <c r="V1301" s="219"/>
    </row>
    <row r="1302" spans="1:22" x14ac:dyDescent="0.2">
      <c r="A1302" s="229"/>
      <c r="B1302" s="230"/>
      <c r="D1302" s="230"/>
      <c r="V1302" s="219"/>
    </row>
    <row r="1303" spans="1:22" x14ac:dyDescent="0.2">
      <c r="A1303" s="229"/>
      <c r="B1303" s="230"/>
      <c r="D1303" s="230"/>
      <c r="V1303" s="219"/>
    </row>
    <row r="1304" spans="1:22" x14ac:dyDescent="0.2">
      <c r="A1304" s="229"/>
      <c r="B1304" s="230"/>
      <c r="D1304" s="230"/>
      <c r="V1304" s="219"/>
    </row>
    <row r="1305" spans="1:22" x14ac:dyDescent="0.2">
      <c r="A1305" s="229"/>
      <c r="B1305" s="230"/>
      <c r="D1305" s="230"/>
      <c r="V1305" s="219"/>
    </row>
    <row r="1306" spans="1:22" x14ac:dyDescent="0.2">
      <c r="A1306" s="229"/>
      <c r="B1306" s="230"/>
      <c r="D1306" s="230"/>
      <c r="V1306" s="219"/>
    </row>
    <row r="1307" spans="1:22" x14ac:dyDescent="0.2">
      <c r="A1307" s="229"/>
      <c r="B1307" s="230"/>
      <c r="D1307" s="230"/>
      <c r="V1307" s="219"/>
    </row>
    <row r="1308" spans="1:22" x14ac:dyDescent="0.2">
      <c r="A1308" s="229"/>
      <c r="B1308" s="230"/>
      <c r="D1308" s="230"/>
      <c r="V1308" s="219"/>
    </row>
    <row r="1309" spans="1:22" x14ac:dyDescent="0.2">
      <c r="A1309" s="229"/>
      <c r="B1309" s="230"/>
      <c r="D1309" s="230"/>
      <c r="V1309" s="219"/>
    </row>
    <row r="1310" spans="1:22" x14ac:dyDescent="0.2">
      <c r="A1310" s="229"/>
      <c r="B1310" s="230"/>
      <c r="D1310" s="230"/>
      <c r="V1310" s="219"/>
    </row>
    <row r="1311" spans="1:22" x14ac:dyDescent="0.2">
      <c r="A1311" s="229"/>
      <c r="B1311" s="230"/>
      <c r="D1311" s="230"/>
      <c r="V1311" s="219"/>
    </row>
    <row r="1312" spans="1:22" x14ac:dyDescent="0.2">
      <c r="A1312" s="229"/>
      <c r="B1312" s="230"/>
      <c r="D1312" s="230"/>
      <c r="V1312" s="219"/>
    </row>
    <row r="1313" spans="1:22" x14ac:dyDescent="0.2">
      <c r="A1313" s="229"/>
      <c r="B1313" s="230"/>
      <c r="D1313" s="230"/>
      <c r="V1313" s="219"/>
    </row>
    <row r="1314" spans="1:22" x14ac:dyDescent="0.2">
      <c r="A1314" s="229"/>
      <c r="B1314" s="230"/>
      <c r="D1314" s="230"/>
      <c r="V1314" s="219"/>
    </row>
    <row r="1315" spans="1:22" x14ac:dyDescent="0.2">
      <c r="A1315" s="229"/>
      <c r="B1315" s="230"/>
      <c r="D1315" s="230"/>
      <c r="V1315" s="219"/>
    </row>
    <row r="1316" spans="1:22" x14ac:dyDescent="0.2">
      <c r="A1316" s="229"/>
      <c r="B1316" s="230"/>
      <c r="D1316" s="230"/>
      <c r="V1316" s="219"/>
    </row>
    <row r="1317" spans="1:22" x14ac:dyDescent="0.2">
      <c r="A1317" s="229"/>
      <c r="B1317" s="230"/>
      <c r="D1317" s="230"/>
      <c r="V1317" s="219"/>
    </row>
    <row r="1318" spans="1:22" x14ac:dyDescent="0.2">
      <c r="A1318" s="229"/>
      <c r="B1318" s="230"/>
      <c r="D1318" s="230"/>
      <c r="V1318" s="219"/>
    </row>
    <row r="1319" spans="1:22" x14ac:dyDescent="0.2">
      <c r="A1319" s="229"/>
      <c r="B1319" s="230"/>
      <c r="D1319" s="230"/>
      <c r="V1319" s="219"/>
    </row>
    <row r="1320" spans="1:22" x14ac:dyDescent="0.2">
      <c r="A1320" s="229"/>
      <c r="B1320" s="230"/>
      <c r="D1320" s="230"/>
      <c r="V1320" s="219"/>
    </row>
    <row r="1321" spans="1:22" x14ac:dyDescent="0.2">
      <c r="A1321" s="229"/>
      <c r="B1321" s="230"/>
      <c r="D1321" s="230"/>
      <c r="V1321" s="219"/>
    </row>
    <row r="1322" spans="1:22" x14ac:dyDescent="0.2">
      <c r="A1322" s="229"/>
      <c r="B1322" s="230"/>
      <c r="D1322" s="230"/>
      <c r="V1322" s="219"/>
    </row>
    <row r="1323" spans="1:22" x14ac:dyDescent="0.2">
      <c r="A1323" s="229"/>
      <c r="B1323" s="230"/>
      <c r="D1323" s="230"/>
      <c r="V1323" s="219"/>
    </row>
    <row r="1324" spans="1:22" x14ac:dyDescent="0.2">
      <c r="A1324" s="229"/>
      <c r="B1324" s="230"/>
      <c r="D1324" s="230"/>
      <c r="V1324" s="219"/>
    </row>
    <row r="1325" spans="1:22" x14ac:dyDescent="0.2">
      <c r="A1325" s="229"/>
      <c r="B1325" s="230"/>
      <c r="D1325" s="230"/>
      <c r="V1325" s="219"/>
    </row>
    <row r="1326" spans="1:22" x14ac:dyDescent="0.2">
      <c r="A1326" s="229"/>
      <c r="B1326" s="230"/>
      <c r="D1326" s="230"/>
      <c r="V1326" s="219"/>
    </row>
    <row r="1327" spans="1:22" x14ac:dyDescent="0.2">
      <c r="A1327" s="229"/>
      <c r="B1327" s="230"/>
      <c r="D1327" s="230"/>
      <c r="V1327" s="219"/>
    </row>
    <row r="1328" spans="1:22" x14ac:dyDescent="0.2">
      <c r="A1328" s="229"/>
      <c r="B1328" s="230"/>
      <c r="D1328" s="230"/>
      <c r="V1328" s="219"/>
    </row>
    <row r="1329" spans="1:22" x14ac:dyDescent="0.2">
      <c r="A1329" s="229"/>
      <c r="B1329" s="230"/>
      <c r="D1329" s="230"/>
      <c r="V1329" s="219"/>
    </row>
    <row r="1330" spans="1:22" x14ac:dyDescent="0.2">
      <c r="A1330" s="229"/>
      <c r="B1330" s="230"/>
      <c r="D1330" s="230"/>
      <c r="V1330" s="219"/>
    </row>
    <row r="1331" spans="1:22" x14ac:dyDescent="0.2">
      <c r="A1331" s="229"/>
      <c r="B1331" s="230"/>
      <c r="D1331" s="230"/>
      <c r="V1331" s="219"/>
    </row>
    <row r="1332" spans="1:22" x14ac:dyDescent="0.2">
      <c r="A1332" s="229"/>
      <c r="B1332" s="230"/>
      <c r="D1332" s="230"/>
      <c r="V1332" s="219"/>
    </row>
    <row r="1333" spans="1:22" x14ac:dyDescent="0.2">
      <c r="A1333" s="229"/>
      <c r="B1333" s="230"/>
      <c r="D1333" s="230"/>
      <c r="V1333" s="219"/>
    </row>
    <row r="1334" spans="1:22" x14ac:dyDescent="0.2">
      <c r="A1334" s="229"/>
      <c r="B1334" s="230"/>
      <c r="D1334" s="230"/>
      <c r="V1334" s="219"/>
    </row>
    <row r="1335" spans="1:22" x14ac:dyDescent="0.2">
      <c r="A1335" s="229"/>
      <c r="B1335" s="230"/>
      <c r="D1335" s="230"/>
      <c r="V1335" s="219"/>
    </row>
    <row r="1336" spans="1:22" x14ac:dyDescent="0.2">
      <c r="A1336" s="229"/>
      <c r="B1336" s="230"/>
      <c r="D1336" s="230"/>
      <c r="V1336" s="219"/>
    </row>
    <row r="1337" spans="1:22" x14ac:dyDescent="0.2">
      <c r="A1337" s="229"/>
      <c r="B1337" s="230"/>
      <c r="D1337" s="230"/>
      <c r="V1337" s="219"/>
    </row>
    <row r="1338" spans="1:22" x14ac:dyDescent="0.2">
      <c r="A1338" s="229"/>
      <c r="B1338" s="230"/>
      <c r="D1338" s="230"/>
      <c r="V1338" s="219"/>
    </row>
    <row r="1339" spans="1:22" x14ac:dyDescent="0.2">
      <c r="A1339" s="229"/>
      <c r="B1339" s="230"/>
      <c r="D1339" s="230"/>
      <c r="V1339" s="219"/>
    </row>
    <row r="1340" spans="1:22" x14ac:dyDescent="0.2">
      <c r="A1340" s="229"/>
      <c r="B1340" s="230"/>
      <c r="D1340" s="230"/>
      <c r="V1340" s="219"/>
    </row>
    <row r="1341" spans="1:22" x14ac:dyDescent="0.2">
      <c r="A1341" s="229"/>
      <c r="B1341" s="230"/>
      <c r="D1341" s="230"/>
      <c r="V1341" s="219"/>
    </row>
    <row r="1342" spans="1:22" x14ac:dyDescent="0.2">
      <c r="A1342" s="229"/>
      <c r="B1342" s="230"/>
      <c r="D1342" s="230"/>
      <c r="V1342" s="219"/>
    </row>
    <row r="1343" spans="1:22" x14ac:dyDescent="0.2">
      <c r="A1343" s="229"/>
      <c r="B1343" s="230"/>
      <c r="D1343" s="230"/>
      <c r="V1343" s="219"/>
    </row>
    <row r="1344" spans="1:22" x14ac:dyDescent="0.2">
      <c r="A1344" s="229"/>
      <c r="B1344" s="230"/>
      <c r="D1344" s="230"/>
      <c r="V1344" s="219"/>
    </row>
    <row r="1345" spans="1:22" x14ac:dyDescent="0.2">
      <c r="A1345" s="229"/>
      <c r="B1345" s="230"/>
      <c r="D1345" s="230"/>
      <c r="V1345" s="219"/>
    </row>
    <row r="1346" spans="1:22" x14ac:dyDescent="0.2">
      <c r="A1346" s="229"/>
      <c r="B1346" s="230"/>
      <c r="D1346" s="230"/>
      <c r="V1346" s="219"/>
    </row>
    <row r="1347" spans="1:22" x14ac:dyDescent="0.2">
      <c r="A1347" s="229"/>
      <c r="B1347" s="230"/>
      <c r="D1347" s="230"/>
      <c r="V1347" s="219"/>
    </row>
    <row r="1348" spans="1:22" x14ac:dyDescent="0.2">
      <c r="A1348" s="229"/>
      <c r="B1348" s="230"/>
      <c r="D1348" s="230"/>
      <c r="V1348" s="219"/>
    </row>
    <row r="1349" spans="1:22" x14ac:dyDescent="0.2">
      <c r="A1349" s="229"/>
      <c r="B1349" s="230"/>
      <c r="D1349" s="230"/>
      <c r="V1349" s="219"/>
    </row>
    <row r="1350" spans="1:22" x14ac:dyDescent="0.2">
      <c r="A1350" s="229"/>
      <c r="B1350" s="230"/>
      <c r="D1350" s="230"/>
      <c r="V1350" s="219"/>
    </row>
    <row r="1351" spans="1:22" x14ac:dyDescent="0.2">
      <c r="A1351" s="229"/>
      <c r="B1351" s="230"/>
      <c r="D1351" s="230"/>
      <c r="V1351" s="219"/>
    </row>
    <row r="1352" spans="1:22" x14ac:dyDescent="0.2">
      <c r="A1352" s="229"/>
      <c r="B1352" s="230"/>
      <c r="D1352" s="230"/>
      <c r="V1352" s="219"/>
    </row>
    <row r="1353" spans="1:22" x14ac:dyDescent="0.2">
      <c r="A1353" s="229"/>
      <c r="B1353" s="230"/>
      <c r="D1353" s="230"/>
      <c r="V1353" s="219"/>
    </row>
    <row r="1354" spans="1:22" x14ac:dyDescent="0.2">
      <c r="A1354" s="229"/>
      <c r="B1354" s="230"/>
      <c r="D1354" s="230"/>
      <c r="V1354" s="219"/>
    </row>
    <row r="1355" spans="1:22" x14ac:dyDescent="0.2">
      <c r="A1355" s="229"/>
      <c r="B1355" s="230"/>
      <c r="D1355" s="230"/>
      <c r="V1355" s="219"/>
    </row>
    <row r="1356" spans="1:22" x14ac:dyDescent="0.2">
      <c r="A1356" s="229"/>
      <c r="B1356" s="230"/>
      <c r="D1356" s="230"/>
      <c r="V1356" s="219"/>
    </row>
    <row r="1357" spans="1:22" x14ac:dyDescent="0.2">
      <c r="A1357" s="229"/>
      <c r="B1357" s="230"/>
      <c r="D1357" s="230"/>
      <c r="V1357" s="219"/>
    </row>
    <row r="1358" spans="1:22" x14ac:dyDescent="0.2">
      <c r="A1358" s="229"/>
      <c r="B1358" s="230"/>
      <c r="D1358" s="230"/>
      <c r="V1358" s="219"/>
    </row>
    <row r="1359" spans="1:22" x14ac:dyDescent="0.2">
      <c r="A1359" s="229"/>
      <c r="B1359" s="230"/>
      <c r="D1359" s="230"/>
      <c r="V1359" s="219"/>
    </row>
    <row r="1360" spans="1:22" x14ac:dyDescent="0.2">
      <c r="A1360" s="229"/>
      <c r="B1360" s="230"/>
      <c r="D1360" s="230"/>
      <c r="V1360" s="219"/>
    </row>
    <row r="1361" spans="1:22" x14ac:dyDescent="0.2">
      <c r="A1361" s="229"/>
      <c r="B1361" s="230"/>
      <c r="D1361" s="230"/>
      <c r="V1361" s="219"/>
    </row>
    <row r="1362" spans="1:22" x14ac:dyDescent="0.2">
      <c r="A1362" s="229"/>
      <c r="B1362" s="230"/>
      <c r="D1362" s="230"/>
      <c r="V1362" s="219"/>
    </row>
    <row r="1363" spans="1:22" x14ac:dyDescent="0.2">
      <c r="A1363" s="229"/>
      <c r="B1363" s="230"/>
      <c r="D1363" s="230"/>
      <c r="V1363" s="219"/>
    </row>
    <row r="1364" spans="1:22" x14ac:dyDescent="0.2">
      <c r="A1364" s="229"/>
      <c r="B1364" s="230"/>
      <c r="D1364" s="230"/>
      <c r="V1364" s="219"/>
    </row>
    <row r="1365" spans="1:22" x14ac:dyDescent="0.2">
      <c r="A1365" s="229"/>
      <c r="B1365" s="230"/>
      <c r="D1365" s="230"/>
      <c r="V1365" s="219"/>
    </row>
    <row r="1366" spans="1:22" x14ac:dyDescent="0.2">
      <c r="A1366" s="229"/>
      <c r="B1366" s="230"/>
      <c r="D1366" s="230"/>
      <c r="V1366" s="219"/>
    </row>
    <row r="1367" spans="1:22" x14ac:dyDescent="0.2">
      <c r="A1367" s="229"/>
      <c r="B1367" s="230"/>
      <c r="D1367" s="230"/>
      <c r="V1367" s="219"/>
    </row>
    <row r="1368" spans="1:22" x14ac:dyDescent="0.2">
      <c r="A1368" s="229"/>
      <c r="B1368" s="230"/>
      <c r="D1368" s="230"/>
      <c r="V1368" s="219"/>
    </row>
    <row r="1369" spans="1:22" x14ac:dyDescent="0.2">
      <c r="A1369" s="229"/>
      <c r="B1369" s="230"/>
      <c r="D1369" s="230"/>
      <c r="V1369" s="219"/>
    </row>
    <row r="1370" spans="1:22" x14ac:dyDescent="0.2">
      <c r="A1370" s="229"/>
      <c r="B1370" s="230"/>
      <c r="D1370" s="230"/>
      <c r="V1370" s="219"/>
    </row>
    <row r="1371" spans="1:22" x14ac:dyDescent="0.2">
      <c r="A1371" s="229"/>
      <c r="B1371" s="230"/>
      <c r="D1371" s="230"/>
      <c r="V1371" s="219"/>
    </row>
    <row r="1372" spans="1:22" x14ac:dyDescent="0.2">
      <c r="A1372" s="229"/>
      <c r="B1372" s="230"/>
      <c r="D1372" s="230"/>
      <c r="V1372" s="219"/>
    </row>
    <row r="1373" spans="1:22" x14ac:dyDescent="0.2">
      <c r="A1373" s="229"/>
      <c r="B1373" s="230"/>
      <c r="D1373" s="230"/>
      <c r="V1373" s="219"/>
    </row>
    <row r="1374" spans="1:22" x14ac:dyDescent="0.2">
      <c r="A1374" s="229"/>
      <c r="B1374" s="230"/>
      <c r="D1374" s="230"/>
      <c r="V1374" s="219"/>
    </row>
    <row r="1375" spans="1:22" x14ac:dyDescent="0.2">
      <c r="A1375" s="229"/>
      <c r="B1375" s="230"/>
      <c r="D1375" s="230"/>
      <c r="V1375" s="219"/>
    </row>
    <row r="1376" spans="1:22" x14ac:dyDescent="0.2">
      <c r="A1376" s="229"/>
      <c r="B1376" s="230"/>
      <c r="D1376" s="230"/>
      <c r="V1376" s="219"/>
    </row>
    <row r="1377" spans="1:22" x14ac:dyDescent="0.2">
      <c r="A1377" s="229"/>
      <c r="B1377" s="230"/>
      <c r="D1377" s="230"/>
      <c r="V1377" s="219"/>
    </row>
    <row r="1378" spans="1:22" x14ac:dyDescent="0.2">
      <c r="A1378" s="229"/>
      <c r="B1378" s="230"/>
      <c r="D1378" s="230"/>
      <c r="V1378" s="219"/>
    </row>
    <row r="1379" spans="1:22" x14ac:dyDescent="0.2">
      <c r="A1379" s="229"/>
      <c r="B1379" s="230"/>
      <c r="D1379" s="230"/>
      <c r="V1379" s="219"/>
    </row>
    <row r="1380" spans="1:22" x14ac:dyDescent="0.2">
      <c r="A1380" s="229"/>
      <c r="B1380" s="230"/>
      <c r="D1380" s="230"/>
      <c r="V1380" s="219"/>
    </row>
    <row r="1381" spans="1:22" x14ac:dyDescent="0.2">
      <c r="A1381" s="229"/>
      <c r="B1381" s="230"/>
      <c r="D1381" s="230"/>
      <c r="V1381" s="219"/>
    </row>
    <row r="1382" spans="1:22" x14ac:dyDescent="0.2">
      <c r="A1382" s="229"/>
      <c r="B1382" s="230"/>
      <c r="D1382" s="230"/>
      <c r="V1382" s="219"/>
    </row>
    <row r="1383" spans="1:22" x14ac:dyDescent="0.2">
      <c r="A1383" s="229"/>
      <c r="B1383" s="230"/>
      <c r="D1383" s="230"/>
      <c r="V1383" s="219"/>
    </row>
    <row r="1384" spans="1:22" x14ac:dyDescent="0.2">
      <c r="A1384" s="229"/>
      <c r="B1384" s="230"/>
      <c r="D1384" s="230"/>
      <c r="V1384" s="219"/>
    </row>
    <row r="1385" spans="1:22" x14ac:dyDescent="0.2">
      <c r="A1385" s="229"/>
      <c r="B1385" s="230"/>
      <c r="D1385" s="230"/>
      <c r="V1385" s="219"/>
    </row>
    <row r="1386" spans="1:22" x14ac:dyDescent="0.2">
      <c r="A1386" s="229"/>
      <c r="B1386" s="230"/>
      <c r="D1386" s="230"/>
      <c r="V1386" s="219"/>
    </row>
    <row r="1387" spans="1:22" x14ac:dyDescent="0.2">
      <c r="A1387" s="229"/>
      <c r="B1387" s="230"/>
      <c r="D1387" s="230"/>
      <c r="V1387" s="219"/>
    </row>
    <row r="1388" spans="1:22" x14ac:dyDescent="0.2">
      <c r="A1388" s="229"/>
      <c r="B1388" s="230"/>
      <c r="D1388" s="230"/>
      <c r="V1388" s="219"/>
    </row>
    <row r="1389" spans="1:22" x14ac:dyDescent="0.2">
      <c r="A1389" s="229"/>
      <c r="B1389" s="230"/>
      <c r="D1389" s="230"/>
      <c r="V1389" s="219"/>
    </row>
    <row r="1390" spans="1:22" x14ac:dyDescent="0.2">
      <c r="A1390" s="229"/>
      <c r="B1390" s="230"/>
      <c r="D1390" s="230"/>
      <c r="V1390" s="219"/>
    </row>
    <row r="1391" spans="1:22" x14ac:dyDescent="0.2">
      <c r="A1391" s="229"/>
      <c r="B1391" s="230"/>
      <c r="D1391" s="230"/>
      <c r="V1391" s="219"/>
    </row>
    <row r="1392" spans="1:22" x14ac:dyDescent="0.2">
      <c r="A1392" s="229"/>
      <c r="B1392" s="230"/>
      <c r="D1392" s="230"/>
      <c r="V1392" s="219"/>
    </row>
    <row r="1393" spans="1:22" x14ac:dyDescent="0.2">
      <c r="A1393" s="229"/>
      <c r="B1393" s="230"/>
      <c r="D1393" s="230"/>
      <c r="V1393" s="219"/>
    </row>
    <row r="1394" spans="1:22" x14ac:dyDescent="0.2">
      <c r="A1394" s="229"/>
      <c r="B1394" s="230"/>
      <c r="D1394" s="230"/>
      <c r="V1394" s="219"/>
    </row>
    <row r="1395" spans="1:22" x14ac:dyDescent="0.2">
      <c r="A1395" s="229"/>
      <c r="B1395" s="230"/>
      <c r="D1395" s="230"/>
      <c r="V1395" s="219"/>
    </row>
    <row r="1396" spans="1:22" x14ac:dyDescent="0.2">
      <c r="A1396" s="229"/>
      <c r="B1396" s="230"/>
      <c r="D1396" s="230"/>
      <c r="V1396" s="219"/>
    </row>
    <row r="1397" spans="1:22" x14ac:dyDescent="0.2">
      <c r="A1397" s="229"/>
      <c r="B1397" s="230"/>
      <c r="D1397" s="230"/>
      <c r="V1397" s="219"/>
    </row>
    <row r="1398" spans="1:22" x14ac:dyDescent="0.2">
      <c r="A1398" s="229"/>
      <c r="B1398" s="230"/>
      <c r="D1398" s="230"/>
      <c r="V1398" s="219"/>
    </row>
    <row r="1399" spans="1:22" x14ac:dyDescent="0.2">
      <c r="A1399" s="229"/>
      <c r="B1399" s="230"/>
      <c r="D1399" s="230"/>
      <c r="V1399" s="219"/>
    </row>
    <row r="1400" spans="1:22" x14ac:dyDescent="0.2">
      <c r="A1400" s="229"/>
      <c r="B1400" s="230"/>
      <c r="D1400" s="230"/>
      <c r="V1400" s="219"/>
    </row>
    <row r="1401" spans="1:22" x14ac:dyDescent="0.2">
      <c r="A1401" s="229"/>
      <c r="B1401" s="230"/>
      <c r="D1401" s="230"/>
      <c r="V1401" s="219"/>
    </row>
    <row r="1402" spans="1:22" x14ac:dyDescent="0.2">
      <c r="A1402" s="229"/>
      <c r="B1402" s="230"/>
      <c r="D1402" s="230"/>
      <c r="V1402" s="219"/>
    </row>
    <row r="1403" spans="1:22" x14ac:dyDescent="0.2">
      <c r="A1403" s="229"/>
      <c r="B1403" s="230"/>
      <c r="D1403" s="230"/>
      <c r="V1403" s="219"/>
    </row>
    <row r="1404" spans="1:22" x14ac:dyDescent="0.2">
      <c r="A1404" s="229"/>
      <c r="B1404" s="230"/>
      <c r="D1404" s="230"/>
      <c r="V1404" s="219"/>
    </row>
    <row r="1405" spans="1:22" x14ac:dyDescent="0.2">
      <c r="A1405" s="229"/>
      <c r="B1405" s="230"/>
      <c r="D1405" s="230"/>
      <c r="V1405" s="219"/>
    </row>
    <row r="1406" spans="1:22" x14ac:dyDescent="0.2">
      <c r="A1406" s="229"/>
      <c r="B1406" s="230"/>
      <c r="D1406" s="230"/>
      <c r="V1406" s="219"/>
    </row>
    <row r="1407" spans="1:22" x14ac:dyDescent="0.2">
      <c r="A1407" s="229"/>
      <c r="B1407" s="230"/>
      <c r="D1407" s="230"/>
      <c r="V1407" s="219"/>
    </row>
    <row r="1408" spans="1:22" x14ac:dyDescent="0.2">
      <c r="A1408" s="229"/>
      <c r="B1408" s="230"/>
      <c r="D1408" s="230"/>
      <c r="V1408" s="219"/>
    </row>
    <row r="1409" spans="1:22" x14ac:dyDescent="0.2">
      <c r="A1409" s="229"/>
      <c r="B1409" s="230"/>
      <c r="D1409" s="230"/>
      <c r="V1409" s="219"/>
    </row>
    <row r="1410" spans="1:22" x14ac:dyDescent="0.2">
      <c r="A1410" s="229"/>
      <c r="B1410" s="230"/>
      <c r="D1410" s="230"/>
      <c r="V1410" s="219"/>
    </row>
    <row r="1411" spans="1:22" x14ac:dyDescent="0.2">
      <c r="A1411" s="229"/>
      <c r="B1411" s="230"/>
      <c r="D1411" s="230"/>
      <c r="V1411" s="219"/>
    </row>
    <row r="1412" spans="1:22" x14ac:dyDescent="0.2">
      <c r="A1412" s="229"/>
      <c r="B1412" s="230"/>
      <c r="D1412" s="230"/>
      <c r="V1412" s="219"/>
    </row>
    <row r="1413" spans="1:22" x14ac:dyDescent="0.2">
      <c r="A1413" s="229"/>
      <c r="B1413" s="230"/>
      <c r="D1413" s="230"/>
      <c r="V1413" s="219"/>
    </row>
    <row r="1414" spans="1:22" x14ac:dyDescent="0.2">
      <c r="A1414" s="229"/>
      <c r="B1414" s="230"/>
      <c r="D1414" s="230"/>
      <c r="V1414" s="219"/>
    </row>
    <row r="1415" spans="1:22" x14ac:dyDescent="0.2">
      <c r="A1415" s="229"/>
      <c r="B1415" s="230"/>
      <c r="D1415" s="230"/>
      <c r="V1415" s="219"/>
    </row>
    <row r="1416" spans="1:22" x14ac:dyDescent="0.2">
      <c r="A1416" s="229"/>
      <c r="B1416" s="230"/>
      <c r="D1416" s="230"/>
      <c r="V1416" s="219"/>
    </row>
    <row r="1417" spans="1:22" x14ac:dyDescent="0.2">
      <c r="A1417" s="229"/>
      <c r="B1417" s="230"/>
      <c r="D1417" s="230"/>
      <c r="V1417" s="219"/>
    </row>
    <row r="1418" spans="1:22" x14ac:dyDescent="0.2">
      <c r="A1418" s="229"/>
      <c r="B1418" s="230"/>
      <c r="D1418" s="230"/>
      <c r="V1418" s="219"/>
    </row>
    <row r="1419" spans="1:22" x14ac:dyDescent="0.2">
      <c r="A1419" s="229"/>
      <c r="B1419" s="230"/>
      <c r="D1419" s="230"/>
      <c r="V1419" s="219"/>
    </row>
    <row r="1420" spans="1:22" x14ac:dyDescent="0.2">
      <c r="A1420" s="229"/>
      <c r="B1420" s="230"/>
      <c r="D1420" s="230"/>
      <c r="V1420" s="219"/>
    </row>
    <row r="1421" spans="1:22" x14ac:dyDescent="0.2">
      <c r="A1421" s="229"/>
      <c r="B1421" s="230"/>
      <c r="D1421" s="230"/>
      <c r="V1421" s="219"/>
    </row>
    <row r="1422" spans="1:22" x14ac:dyDescent="0.2">
      <c r="A1422" s="229"/>
      <c r="B1422" s="230"/>
      <c r="D1422" s="230"/>
      <c r="V1422" s="219"/>
    </row>
    <row r="1423" spans="1:22" x14ac:dyDescent="0.2">
      <c r="A1423" s="229"/>
      <c r="B1423" s="230"/>
      <c r="D1423" s="230"/>
      <c r="V1423" s="219"/>
    </row>
    <row r="1424" spans="1:22" x14ac:dyDescent="0.2">
      <c r="A1424" s="229"/>
      <c r="B1424" s="230"/>
      <c r="D1424" s="230"/>
      <c r="V1424" s="219"/>
    </row>
    <row r="1425" spans="1:22" x14ac:dyDescent="0.2">
      <c r="A1425" s="229"/>
      <c r="B1425" s="230"/>
      <c r="D1425" s="230"/>
      <c r="V1425" s="219"/>
    </row>
    <row r="1426" spans="1:22" x14ac:dyDescent="0.2">
      <c r="A1426" s="229"/>
      <c r="B1426" s="230"/>
      <c r="D1426" s="230"/>
      <c r="V1426" s="219"/>
    </row>
    <row r="1427" spans="1:22" x14ac:dyDescent="0.2">
      <c r="A1427" s="229"/>
      <c r="B1427" s="230"/>
      <c r="D1427" s="230"/>
      <c r="V1427" s="219"/>
    </row>
    <row r="1428" spans="1:22" x14ac:dyDescent="0.2">
      <c r="A1428" s="229"/>
      <c r="B1428" s="230"/>
      <c r="D1428" s="230"/>
      <c r="V1428" s="219"/>
    </row>
    <row r="1429" spans="1:22" x14ac:dyDescent="0.2">
      <c r="A1429" s="229"/>
      <c r="B1429" s="230"/>
      <c r="D1429" s="230"/>
      <c r="V1429" s="219"/>
    </row>
    <row r="1430" spans="1:22" x14ac:dyDescent="0.2">
      <c r="A1430" s="229"/>
      <c r="B1430" s="230"/>
      <c r="D1430" s="230"/>
      <c r="V1430" s="219"/>
    </row>
    <row r="1431" spans="1:22" x14ac:dyDescent="0.2">
      <c r="A1431" s="229"/>
      <c r="B1431" s="230"/>
      <c r="D1431" s="230"/>
      <c r="V1431" s="219"/>
    </row>
    <row r="1432" spans="1:22" x14ac:dyDescent="0.2">
      <c r="A1432" s="229"/>
      <c r="B1432" s="230"/>
      <c r="D1432" s="230"/>
      <c r="V1432" s="219"/>
    </row>
    <row r="1433" spans="1:22" x14ac:dyDescent="0.2">
      <c r="A1433" s="229"/>
      <c r="B1433" s="230"/>
      <c r="D1433" s="230"/>
      <c r="V1433" s="219"/>
    </row>
    <row r="1434" spans="1:22" x14ac:dyDescent="0.2">
      <c r="A1434" s="229"/>
      <c r="B1434" s="230"/>
      <c r="D1434" s="230"/>
      <c r="V1434" s="219"/>
    </row>
    <row r="1435" spans="1:22" x14ac:dyDescent="0.2">
      <c r="A1435" s="229"/>
      <c r="B1435" s="230"/>
      <c r="D1435" s="230"/>
      <c r="V1435" s="219"/>
    </row>
    <row r="1436" spans="1:22" x14ac:dyDescent="0.2">
      <c r="A1436" s="229"/>
      <c r="B1436" s="230"/>
      <c r="D1436" s="230"/>
      <c r="V1436" s="219"/>
    </row>
    <row r="1437" spans="1:22" x14ac:dyDescent="0.2">
      <c r="A1437" s="229"/>
      <c r="B1437" s="230"/>
      <c r="D1437" s="230"/>
      <c r="V1437" s="219"/>
    </row>
    <row r="1438" spans="1:22" x14ac:dyDescent="0.2">
      <c r="A1438" s="229"/>
      <c r="B1438" s="230"/>
      <c r="D1438" s="230"/>
      <c r="V1438" s="219"/>
    </row>
    <row r="1439" spans="1:22" x14ac:dyDescent="0.2">
      <c r="A1439" s="229"/>
      <c r="B1439" s="230"/>
      <c r="D1439" s="230"/>
      <c r="V1439" s="219"/>
    </row>
    <row r="1440" spans="1:22" x14ac:dyDescent="0.2">
      <c r="A1440" s="229"/>
      <c r="B1440" s="230"/>
      <c r="D1440" s="230"/>
      <c r="V1440" s="219"/>
    </row>
    <row r="1441" spans="1:22" x14ac:dyDescent="0.2">
      <c r="A1441" s="229"/>
      <c r="B1441" s="230"/>
      <c r="D1441" s="230"/>
      <c r="V1441" s="219"/>
    </row>
    <row r="1442" spans="1:22" x14ac:dyDescent="0.2">
      <c r="A1442" s="229"/>
      <c r="B1442" s="230"/>
      <c r="D1442" s="230"/>
      <c r="V1442" s="219"/>
    </row>
    <row r="1443" spans="1:22" x14ac:dyDescent="0.2">
      <c r="A1443" s="229"/>
      <c r="B1443" s="230"/>
      <c r="D1443" s="230"/>
      <c r="V1443" s="219"/>
    </row>
    <row r="1444" spans="1:22" x14ac:dyDescent="0.2">
      <c r="A1444" s="229"/>
      <c r="B1444" s="230"/>
      <c r="D1444" s="230"/>
      <c r="V1444" s="219"/>
    </row>
    <row r="1445" spans="1:22" x14ac:dyDescent="0.2">
      <c r="A1445" s="229"/>
      <c r="B1445" s="230"/>
      <c r="D1445" s="230"/>
      <c r="V1445" s="219"/>
    </row>
    <row r="1446" spans="1:22" x14ac:dyDescent="0.2">
      <c r="A1446" s="229"/>
      <c r="B1446" s="230"/>
      <c r="D1446" s="230"/>
      <c r="V1446" s="219"/>
    </row>
    <row r="1447" spans="1:22" x14ac:dyDescent="0.2">
      <c r="A1447" s="229"/>
      <c r="B1447" s="230"/>
      <c r="D1447" s="230"/>
      <c r="V1447" s="219"/>
    </row>
    <row r="1448" spans="1:22" x14ac:dyDescent="0.2">
      <c r="A1448" s="229"/>
      <c r="B1448" s="230"/>
      <c r="D1448" s="230"/>
      <c r="V1448" s="219"/>
    </row>
    <row r="1449" spans="1:22" x14ac:dyDescent="0.2">
      <c r="A1449" s="229"/>
      <c r="B1449" s="230"/>
      <c r="D1449" s="230"/>
      <c r="V1449" s="219"/>
    </row>
    <row r="1450" spans="1:22" x14ac:dyDescent="0.2">
      <c r="A1450" s="229"/>
      <c r="B1450" s="230"/>
      <c r="D1450" s="230"/>
      <c r="V1450" s="219"/>
    </row>
    <row r="1451" spans="1:22" x14ac:dyDescent="0.2">
      <c r="A1451" s="229"/>
      <c r="B1451" s="230"/>
      <c r="D1451" s="230"/>
      <c r="V1451" s="219"/>
    </row>
    <row r="1452" spans="1:22" x14ac:dyDescent="0.2">
      <c r="A1452" s="229"/>
      <c r="B1452" s="230"/>
      <c r="D1452" s="230"/>
      <c r="V1452" s="219"/>
    </row>
    <row r="1453" spans="1:22" x14ac:dyDescent="0.2">
      <c r="A1453" s="229"/>
      <c r="B1453" s="230"/>
      <c r="D1453" s="230"/>
      <c r="V1453" s="219"/>
    </row>
    <row r="1454" spans="1:22" x14ac:dyDescent="0.2">
      <c r="A1454" s="229"/>
      <c r="B1454" s="230"/>
      <c r="D1454" s="230"/>
      <c r="V1454" s="219"/>
    </row>
    <row r="1455" spans="1:22" x14ac:dyDescent="0.2">
      <c r="A1455" s="229"/>
      <c r="B1455" s="230"/>
      <c r="D1455" s="230"/>
      <c r="V1455" s="219"/>
    </row>
    <row r="1456" spans="1:22" x14ac:dyDescent="0.2">
      <c r="A1456" s="229"/>
      <c r="B1456" s="230"/>
      <c r="D1456" s="230"/>
      <c r="V1456" s="219"/>
    </row>
    <row r="1457" spans="1:22" x14ac:dyDescent="0.2">
      <c r="A1457" s="229"/>
      <c r="B1457" s="230"/>
      <c r="D1457" s="230"/>
      <c r="V1457" s="219"/>
    </row>
    <row r="1458" spans="1:22" x14ac:dyDescent="0.2">
      <c r="A1458" s="229"/>
      <c r="B1458" s="230"/>
      <c r="D1458" s="230"/>
      <c r="V1458" s="219"/>
    </row>
    <row r="1459" spans="1:22" x14ac:dyDescent="0.2">
      <c r="A1459" s="229"/>
      <c r="B1459" s="230"/>
      <c r="D1459" s="230"/>
      <c r="V1459" s="219"/>
    </row>
    <row r="1460" spans="1:22" x14ac:dyDescent="0.2">
      <c r="A1460" s="229"/>
      <c r="B1460" s="230"/>
      <c r="D1460" s="230"/>
      <c r="V1460" s="219"/>
    </row>
    <row r="1461" spans="1:22" x14ac:dyDescent="0.2">
      <c r="A1461" s="229"/>
      <c r="B1461" s="230"/>
      <c r="D1461" s="230"/>
      <c r="V1461" s="219"/>
    </row>
    <row r="1462" spans="1:22" x14ac:dyDescent="0.2">
      <c r="A1462" s="229"/>
      <c r="B1462" s="230"/>
      <c r="D1462" s="230"/>
      <c r="V1462" s="219"/>
    </row>
    <row r="1463" spans="1:22" x14ac:dyDescent="0.2">
      <c r="A1463" s="229"/>
      <c r="B1463" s="230"/>
      <c r="D1463" s="230"/>
      <c r="V1463" s="219"/>
    </row>
    <row r="1464" spans="1:22" x14ac:dyDescent="0.2">
      <c r="A1464" s="229"/>
      <c r="B1464" s="230"/>
      <c r="D1464" s="230"/>
      <c r="V1464" s="219"/>
    </row>
    <row r="1465" spans="1:22" x14ac:dyDescent="0.2">
      <c r="A1465" s="229"/>
      <c r="B1465" s="230"/>
      <c r="D1465" s="230"/>
      <c r="V1465" s="219"/>
    </row>
    <row r="1466" spans="1:22" x14ac:dyDescent="0.2">
      <c r="A1466" s="229"/>
      <c r="B1466" s="230"/>
      <c r="D1466" s="230"/>
      <c r="V1466" s="219"/>
    </row>
    <row r="1467" spans="1:22" x14ac:dyDescent="0.2">
      <c r="A1467" s="229"/>
      <c r="B1467" s="230"/>
      <c r="D1467" s="230"/>
      <c r="V1467" s="219"/>
    </row>
    <row r="1468" spans="1:22" x14ac:dyDescent="0.2">
      <c r="A1468" s="229"/>
      <c r="B1468" s="230"/>
      <c r="D1468" s="230"/>
      <c r="V1468" s="219"/>
    </row>
    <row r="1469" spans="1:22" x14ac:dyDescent="0.2">
      <c r="A1469" s="229"/>
      <c r="B1469" s="230"/>
      <c r="D1469" s="230"/>
      <c r="V1469" s="219"/>
    </row>
    <row r="1470" spans="1:22" x14ac:dyDescent="0.2">
      <c r="A1470" s="229"/>
      <c r="B1470" s="230"/>
      <c r="D1470" s="230"/>
      <c r="V1470" s="219"/>
    </row>
    <row r="1471" spans="1:22" x14ac:dyDescent="0.2">
      <c r="A1471" s="229"/>
      <c r="B1471" s="230"/>
      <c r="D1471" s="230"/>
      <c r="V1471" s="219"/>
    </row>
    <row r="1472" spans="1:22" x14ac:dyDescent="0.2">
      <c r="A1472" s="229"/>
      <c r="B1472" s="230"/>
      <c r="D1472" s="230"/>
      <c r="V1472" s="219"/>
    </row>
    <row r="1473" spans="1:22" x14ac:dyDescent="0.2">
      <c r="A1473" s="229"/>
      <c r="B1473" s="230"/>
      <c r="D1473" s="230"/>
      <c r="V1473" s="219"/>
    </row>
    <row r="1474" spans="1:22" x14ac:dyDescent="0.2">
      <c r="A1474" s="229"/>
      <c r="B1474" s="230"/>
      <c r="D1474" s="230"/>
      <c r="V1474" s="219"/>
    </row>
    <row r="1475" spans="1:22" x14ac:dyDescent="0.2">
      <c r="A1475" s="229"/>
      <c r="B1475" s="230"/>
      <c r="D1475" s="230"/>
      <c r="V1475" s="219"/>
    </row>
    <row r="1476" spans="1:22" x14ac:dyDescent="0.2">
      <c r="A1476" s="229"/>
      <c r="B1476" s="230"/>
      <c r="D1476" s="230"/>
      <c r="V1476" s="219"/>
    </row>
    <row r="1477" spans="1:22" x14ac:dyDescent="0.2">
      <c r="A1477" s="229"/>
      <c r="B1477" s="230"/>
      <c r="D1477" s="230"/>
      <c r="V1477" s="219"/>
    </row>
    <row r="1478" spans="1:22" x14ac:dyDescent="0.2">
      <c r="A1478" s="229"/>
      <c r="B1478" s="230"/>
      <c r="D1478" s="230"/>
      <c r="V1478" s="219"/>
    </row>
    <row r="1479" spans="1:22" x14ac:dyDescent="0.2">
      <c r="A1479" s="229"/>
      <c r="B1479" s="230"/>
      <c r="D1479" s="230"/>
      <c r="V1479" s="219"/>
    </row>
    <row r="1480" spans="1:22" x14ac:dyDescent="0.2">
      <c r="A1480" s="229"/>
      <c r="B1480" s="230"/>
      <c r="D1480" s="230"/>
      <c r="V1480" s="219"/>
    </row>
    <row r="1481" spans="1:22" x14ac:dyDescent="0.2">
      <c r="A1481" s="229"/>
      <c r="B1481" s="230"/>
      <c r="D1481" s="230"/>
      <c r="V1481" s="219"/>
    </row>
    <row r="1482" spans="1:22" x14ac:dyDescent="0.2">
      <c r="A1482" s="229"/>
      <c r="B1482" s="230"/>
      <c r="D1482" s="230"/>
      <c r="V1482" s="219"/>
    </row>
    <row r="1483" spans="1:22" x14ac:dyDescent="0.2">
      <c r="A1483" s="229"/>
      <c r="B1483" s="230"/>
      <c r="D1483" s="230"/>
      <c r="V1483" s="219"/>
    </row>
    <row r="1484" spans="1:22" x14ac:dyDescent="0.2">
      <c r="A1484" s="229"/>
      <c r="B1484" s="230"/>
      <c r="D1484" s="230"/>
      <c r="V1484" s="219"/>
    </row>
    <row r="1485" spans="1:22" x14ac:dyDescent="0.2">
      <c r="A1485" s="229"/>
      <c r="B1485" s="230"/>
      <c r="D1485" s="230"/>
      <c r="V1485" s="219"/>
    </row>
    <row r="1486" spans="1:22" x14ac:dyDescent="0.2">
      <c r="A1486" s="229"/>
      <c r="B1486" s="230"/>
      <c r="D1486" s="230"/>
      <c r="V1486" s="219"/>
    </row>
    <row r="1487" spans="1:22" x14ac:dyDescent="0.2">
      <c r="A1487" s="229"/>
      <c r="B1487" s="230"/>
      <c r="D1487" s="230"/>
      <c r="V1487" s="219"/>
    </row>
    <row r="1488" spans="1:22" x14ac:dyDescent="0.2">
      <c r="A1488" s="229"/>
      <c r="B1488" s="230"/>
      <c r="D1488" s="230"/>
      <c r="V1488" s="219"/>
    </row>
    <row r="1489" spans="1:22" x14ac:dyDescent="0.2">
      <c r="A1489" s="229"/>
      <c r="B1489" s="230"/>
      <c r="D1489" s="230"/>
      <c r="V1489" s="219"/>
    </row>
    <row r="1490" spans="1:22" x14ac:dyDescent="0.2">
      <c r="A1490" s="229"/>
      <c r="B1490" s="230"/>
      <c r="D1490" s="230"/>
      <c r="V1490" s="219"/>
    </row>
    <row r="1491" spans="1:22" x14ac:dyDescent="0.2">
      <c r="A1491" s="229"/>
      <c r="B1491" s="230"/>
      <c r="D1491" s="230"/>
      <c r="V1491" s="219"/>
    </row>
    <row r="1492" spans="1:22" x14ac:dyDescent="0.2">
      <c r="A1492" s="229"/>
      <c r="B1492" s="230"/>
      <c r="D1492" s="230"/>
      <c r="V1492" s="219"/>
    </row>
    <row r="1493" spans="1:22" x14ac:dyDescent="0.2">
      <c r="A1493" s="229"/>
      <c r="B1493" s="230"/>
      <c r="D1493" s="230"/>
      <c r="V1493" s="219"/>
    </row>
    <row r="1494" spans="1:22" x14ac:dyDescent="0.2">
      <c r="A1494" s="229"/>
      <c r="B1494" s="230"/>
      <c r="D1494" s="230"/>
      <c r="V1494" s="219"/>
    </row>
    <row r="1495" spans="1:22" x14ac:dyDescent="0.2">
      <c r="A1495" s="229"/>
      <c r="B1495" s="230"/>
      <c r="D1495" s="230"/>
      <c r="V1495" s="219"/>
    </row>
    <row r="1496" spans="1:22" x14ac:dyDescent="0.2">
      <c r="A1496" s="229"/>
      <c r="B1496" s="230"/>
      <c r="D1496" s="230"/>
      <c r="V1496" s="219"/>
    </row>
    <row r="1497" spans="1:22" x14ac:dyDescent="0.2">
      <c r="A1497" s="229"/>
      <c r="B1497" s="230"/>
      <c r="D1497" s="230"/>
      <c r="V1497" s="219"/>
    </row>
    <row r="1498" spans="1:22" x14ac:dyDescent="0.2">
      <c r="A1498" s="229"/>
      <c r="B1498" s="230"/>
      <c r="D1498" s="230"/>
      <c r="V1498" s="219"/>
    </row>
    <row r="1499" spans="1:22" x14ac:dyDescent="0.2">
      <c r="A1499" s="229"/>
      <c r="B1499" s="230"/>
      <c r="D1499" s="230"/>
      <c r="V1499" s="219"/>
    </row>
    <row r="1500" spans="1:22" x14ac:dyDescent="0.2">
      <c r="A1500" s="229"/>
      <c r="B1500" s="230"/>
      <c r="D1500" s="230"/>
      <c r="V1500" s="219"/>
    </row>
    <row r="1501" spans="1:22" x14ac:dyDescent="0.2">
      <c r="A1501" s="229"/>
      <c r="B1501" s="230"/>
      <c r="D1501" s="230"/>
      <c r="V1501" s="219"/>
    </row>
    <row r="1502" spans="1:22" x14ac:dyDescent="0.2">
      <c r="A1502" s="229"/>
      <c r="B1502" s="230"/>
      <c r="D1502" s="230"/>
      <c r="V1502" s="219"/>
    </row>
    <row r="1503" spans="1:22" x14ac:dyDescent="0.2">
      <c r="A1503" s="229"/>
      <c r="B1503" s="230"/>
      <c r="D1503" s="230"/>
      <c r="V1503" s="219"/>
    </row>
    <row r="1504" spans="1:22" x14ac:dyDescent="0.2">
      <c r="A1504" s="229"/>
      <c r="B1504" s="230"/>
      <c r="D1504" s="230"/>
      <c r="V1504" s="219"/>
    </row>
    <row r="1505" spans="1:22" x14ac:dyDescent="0.2">
      <c r="A1505" s="229"/>
      <c r="B1505" s="230"/>
      <c r="D1505" s="230"/>
      <c r="V1505" s="219"/>
    </row>
    <row r="1506" spans="1:22" x14ac:dyDescent="0.2">
      <c r="A1506" s="229"/>
      <c r="B1506" s="230"/>
      <c r="D1506" s="230"/>
      <c r="V1506" s="219"/>
    </row>
    <row r="1507" spans="1:22" x14ac:dyDescent="0.2">
      <c r="A1507" s="229"/>
      <c r="B1507" s="230"/>
      <c r="D1507" s="230"/>
      <c r="V1507" s="219"/>
    </row>
    <row r="1508" spans="1:22" x14ac:dyDescent="0.2">
      <c r="A1508" s="229"/>
      <c r="B1508" s="230"/>
      <c r="D1508" s="230"/>
      <c r="V1508" s="219"/>
    </row>
    <row r="1509" spans="1:22" x14ac:dyDescent="0.2">
      <c r="A1509" s="229"/>
      <c r="B1509" s="230"/>
      <c r="D1509" s="230"/>
      <c r="V1509" s="219"/>
    </row>
    <row r="1510" spans="1:22" x14ac:dyDescent="0.2">
      <c r="A1510" s="229"/>
      <c r="B1510" s="230"/>
      <c r="D1510" s="230"/>
      <c r="V1510" s="219"/>
    </row>
    <row r="1511" spans="1:22" x14ac:dyDescent="0.2">
      <c r="A1511" s="229"/>
      <c r="B1511" s="230"/>
      <c r="D1511" s="230"/>
      <c r="V1511" s="219"/>
    </row>
    <row r="1512" spans="1:22" x14ac:dyDescent="0.2">
      <c r="A1512" s="229"/>
      <c r="B1512" s="230"/>
      <c r="D1512" s="230"/>
      <c r="V1512" s="219"/>
    </row>
    <row r="1513" spans="1:22" x14ac:dyDescent="0.2">
      <c r="A1513" s="229"/>
      <c r="B1513" s="230"/>
      <c r="D1513" s="230"/>
      <c r="V1513" s="219"/>
    </row>
    <row r="1514" spans="1:22" x14ac:dyDescent="0.2">
      <c r="A1514" s="229"/>
      <c r="B1514" s="230"/>
      <c r="D1514" s="230"/>
      <c r="V1514" s="219"/>
    </row>
    <row r="1515" spans="1:22" x14ac:dyDescent="0.2">
      <c r="A1515" s="229"/>
      <c r="B1515" s="230"/>
      <c r="D1515" s="230"/>
      <c r="V1515" s="219"/>
    </row>
    <row r="1516" spans="1:22" x14ac:dyDescent="0.2">
      <c r="A1516" s="229"/>
      <c r="B1516" s="230"/>
      <c r="D1516" s="230"/>
      <c r="V1516" s="219"/>
    </row>
    <row r="1517" spans="1:22" x14ac:dyDescent="0.2">
      <c r="A1517" s="229"/>
      <c r="B1517" s="230"/>
      <c r="D1517" s="230"/>
      <c r="V1517" s="219"/>
    </row>
    <row r="1518" spans="1:22" x14ac:dyDescent="0.2">
      <c r="A1518" s="229"/>
      <c r="B1518" s="230"/>
      <c r="D1518" s="230"/>
      <c r="V1518" s="219"/>
    </row>
    <row r="1519" spans="1:22" x14ac:dyDescent="0.2">
      <c r="A1519" s="229"/>
      <c r="B1519" s="230"/>
      <c r="D1519" s="230"/>
      <c r="V1519" s="219"/>
    </row>
    <row r="1520" spans="1:22" x14ac:dyDescent="0.2">
      <c r="A1520" s="229"/>
      <c r="B1520" s="230"/>
      <c r="D1520" s="230"/>
      <c r="V1520" s="219"/>
    </row>
    <row r="1521" spans="1:22" x14ac:dyDescent="0.2">
      <c r="A1521" s="229"/>
      <c r="B1521" s="230"/>
      <c r="D1521" s="230"/>
      <c r="V1521" s="219"/>
    </row>
    <row r="1522" spans="1:22" x14ac:dyDescent="0.2">
      <c r="A1522" s="229"/>
      <c r="B1522" s="230"/>
      <c r="D1522" s="230"/>
      <c r="V1522" s="219"/>
    </row>
    <row r="1523" spans="1:22" x14ac:dyDescent="0.2">
      <c r="A1523" s="229"/>
      <c r="B1523" s="230"/>
      <c r="D1523" s="230"/>
      <c r="V1523" s="219"/>
    </row>
    <row r="1524" spans="1:22" x14ac:dyDescent="0.2">
      <c r="A1524" s="229"/>
      <c r="B1524" s="230"/>
      <c r="D1524" s="230"/>
      <c r="V1524" s="219"/>
    </row>
    <row r="1525" spans="1:22" x14ac:dyDescent="0.2">
      <c r="A1525" s="229"/>
      <c r="B1525" s="230"/>
      <c r="D1525" s="230"/>
      <c r="V1525" s="219"/>
    </row>
    <row r="1526" spans="1:22" x14ac:dyDescent="0.2">
      <c r="A1526" s="229"/>
      <c r="B1526" s="230"/>
      <c r="D1526" s="230"/>
      <c r="V1526" s="219"/>
    </row>
    <row r="1527" spans="1:22" x14ac:dyDescent="0.2">
      <c r="A1527" s="229"/>
      <c r="B1527" s="230"/>
      <c r="D1527" s="230"/>
      <c r="V1527" s="219"/>
    </row>
    <row r="1528" spans="1:22" x14ac:dyDescent="0.2">
      <c r="A1528" s="229"/>
      <c r="B1528" s="230"/>
      <c r="D1528" s="230"/>
      <c r="V1528" s="219"/>
    </row>
    <row r="1529" spans="1:22" x14ac:dyDescent="0.2">
      <c r="A1529" s="229"/>
      <c r="B1529" s="230"/>
      <c r="D1529" s="230"/>
      <c r="V1529" s="219"/>
    </row>
    <row r="1530" spans="1:22" x14ac:dyDescent="0.2">
      <c r="A1530" s="229"/>
      <c r="B1530" s="230"/>
      <c r="D1530" s="230"/>
      <c r="V1530" s="219"/>
    </row>
    <row r="1531" spans="1:22" x14ac:dyDescent="0.2">
      <c r="A1531" s="229"/>
      <c r="B1531" s="230"/>
      <c r="D1531" s="230"/>
      <c r="V1531" s="219"/>
    </row>
    <row r="1532" spans="1:22" x14ac:dyDescent="0.2">
      <c r="A1532" s="229"/>
      <c r="B1532" s="230"/>
      <c r="D1532" s="230"/>
      <c r="V1532" s="219"/>
    </row>
    <row r="1533" spans="1:22" x14ac:dyDescent="0.2">
      <c r="A1533" s="229"/>
      <c r="B1533" s="230"/>
      <c r="D1533" s="230"/>
      <c r="V1533" s="219"/>
    </row>
    <row r="1534" spans="1:22" x14ac:dyDescent="0.2">
      <c r="A1534" s="229"/>
      <c r="B1534" s="230"/>
      <c r="D1534" s="230"/>
      <c r="V1534" s="219"/>
    </row>
    <row r="1535" spans="1:22" x14ac:dyDescent="0.2">
      <c r="A1535" s="229"/>
      <c r="B1535" s="230"/>
      <c r="D1535" s="230"/>
      <c r="V1535" s="219"/>
    </row>
    <row r="1536" spans="1:22" x14ac:dyDescent="0.2">
      <c r="A1536" s="229"/>
      <c r="B1536" s="230"/>
      <c r="D1536" s="230"/>
      <c r="V1536" s="219"/>
    </row>
    <row r="1537" spans="1:22" x14ac:dyDescent="0.2">
      <c r="A1537" s="229"/>
      <c r="B1537" s="230"/>
      <c r="D1537" s="230"/>
      <c r="V1537" s="219"/>
    </row>
    <row r="1538" spans="1:22" x14ac:dyDescent="0.2">
      <c r="A1538" s="229"/>
      <c r="B1538" s="230"/>
      <c r="D1538" s="230"/>
      <c r="V1538" s="219"/>
    </row>
    <row r="1539" spans="1:22" x14ac:dyDescent="0.2">
      <c r="A1539" s="229"/>
      <c r="B1539" s="230"/>
      <c r="D1539" s="230"/>
      <c r="V1539" s="219"/>
    </row>
    <row r="1540" spans="1:22" x14ac:dyDescent="0.2">
      <c r="A1540" s="229"/>
      <c r="B1540" s="230"/>
      <c r="D1540" s="230"/>
      <c r="V1540" s="219"/>
    </row>
    <row r="1541" spans="1:22" x14ac:dyDescent="0.2">
      <c r="A1541" s="229"/>
      <c r="B1541" s="230"/>
      <c r="D1541" s="230"/>
      <c r="V1541" s="219"/>
    </row>
    <row r="1542" spans="1:22" x14ac:dyDescent="0.2">
      <c r="A1542" s="229"/>
      <c r="B1542" s="230"/>
      <c r="D1542" s="230"/>
      <c r="V1542" s="219"/>
    </row>
    <row r="1543" spans="1:22" x14ac:dyDescent="0.2">
      <c r="A1543" s="229"/>
      <c r="B1543" s="230"/>
      <c r="D1543" s="230"/>
      <c r="V1543" s="219"/>
    </row>
    <row r="1544" spans="1:22" x14ac:dyDescent="0.2">
      <c r="A1544" s="229"/>
      <c r="B1544" s="230"/>
      <c r="D1544" s="230"/>
      <c r="V1544" s="219"/>
    </row>
    <row r="1545" spans="1:22" x14ac:dyDescent="0.2">
      <c r="A1545" s="229"/>
      <c r="B1545" s="230"/>
      <c r="D1545" s="230"/>
      <c r="V1545" s="219"/>
    </row>
    <row r="1546" spans="1:22" x14ac:dyDescent="0.2">
      <c r="A1546" s="229"/>
      <c r="B1546" s="230"/>
      <c r="D1546" s="230"/>
      <c r="V1546" s="219"/>
    </row>
    <row r="1547" spans="1:22" x14ac:dyDescent="0.2">
      <c r="A1547" s="229"/>
      <c r="B1547" s="230"/>
      <c r="D1547" s="230"/>
      <c r="V1547" s="219"/>
    </row>
    <row r="1548" spans="1:22" x14ac:dyDescent="0.2">
      <c r="A1548" s="229"/>
      <c r="B1548" s="230"/>
      <c r="D1548" s="230"/>
      <c r="V1548" s="219"/>
    </row>
    <row r="1549" spans="1:22" x14ac:dyDescent="0.2">
      <c r="A1549" s="229"/>
      <c r="B1549" s="230"/>
      <c r="D1549" s="230"/>
      <c r="V1549" s="219"/>
    </row>
    <row r="1550" spans="1:22" x14ac:dyDescent="0.2">
      <c r="A1550" s="229"/>
      <c r="B1550" s="230"/>
      <c r="D1550" s="230"/>
      <c r="V1550" s="219"/>
    </row>
    <row r="1551" spans="1:22" x14ac:dyDescent="0.2">
      <c r="A1551" s="229"/>
      <c r="B1551" s="230"/>
      <c r="D1551" s="230"/>
      <c r="V1551" s="219"/>
    </row>
    <row r="1552" spans="1:22" x14ac:dyDescent="0.2">
      <c r="A1552" s="229"/>
      <c r="B1552" s="230"/>
      <c r="D1552" s="230"/>
      <c r="V1552" s="219"/>
    </row>
    <row r="1553" spans="1:22" x14ac:dyDescent="0.2">
      <c r="A1553" s="229"/>
      <c r="B1553" s="230"/>
      <c r="D1553" s="230"/>
      <c r="V1553" s="219"/>
    </row>
    <row r="1554" spans="1:22" x14ac:dyDescent="0.2">
      <c r="A1554" s="229"/>
      <c r="B1554" s="230"/>
      <c r="D1554" s="230"/>
      <c r="V1554" s="219"/>
    </row>
    <row r="1555" spans="1:22" x14ac:dyDescent="0.2">
      <c r="A1555" s="229"/>
      <c r="B1555" s="230"/>
      <c r="D1555" s="230"/>
      <c r="V1555" s="219"/>
    </row>
    <row r="1556" spans="1:22" x14ac:dyDescent="0.2">
      <c r="A1556" s="229"/>
      <c r="B1556" s="230"/>
      <c r="D1556" s="230"/>
      <c r="V1556" s="219"/>
    </row>
    <row r="1557" spans="1:22" x14ac:dyDescent="0.2">
      <c r="A1557" s="229"/>
      <c r="B1557" s="230"/>
      <c r="D1557" s="230"/>
      <c r="V1557" s="219"/>
    </row>
    <row r="1558" spans="1:22" x14ac:dyDescent="0.2">
      <c r="A1558" s="229"/>
      <c r="B1558" s="230"/>
      <c r="D1558" s="230"/>
      <c r="V1558" s="219"/>
    </row>
    <row r="1559" spans="1:22" x14ac:dyDescent="0.2">
      <c r="A1559" s="229"/>
      <c r="B1559" s="230"/>
      <c r="D1559" s="230"/>
      <c r="V1559" s="219"/>
    </row>
    <row r="1560" spans="1:22" x14ac:dyDescent="0.2">
      <c r="A1560" s="229"/>
      <c r="B1560" s="230"/>
      <c r="D1560" s="230"/>
      <c r="V1560" s="219"/>
    </row>
    <row r="1561" spans="1:22" x14ac:dyDescent="0.2">
      <c r="A1561" s="229"/>
      <c r="B1561" s="230"/>
      <c r="D1561" s="230"/>
      <c r="V1561" s="219"/>
    </row>
    <row r="1562" spans="1:22" x14ac:dyDescent="0.2">
      <c r="A1562" s="229"/>
      <c r="B1562" s="230"/>
      <c r="D1562" s="230"/>
      <c r="V1562" s="219"/>
    </row>
    <row r="1563" spans="1:22" x14ac:dyDescent="0.2">
      <c r="A1563" s="229"/>
      <c r="B1563" s="230"/>
      <c r="D1563" s="230"/>
      <c r="V1563" s="219"/>
    </row>
    <row r="1564" spans="1:22" x14ac:dyDescent="0.2">
      <c r="A1564" s="229"/>
      <c r="B1564" s="230"/>
      <c r="D1564" s="230"/>
      <c r="V1564" s="219"/>
    </row>
    <row r="1565" spans="1:22" x14ac:dyDescent="0.2">
      <c r="A1565" s="229"/>
      <c r="B1565" s="230"/>
      <c r="D1565" s="230"/>
      <c r="V1565" s="219"/>
    </row>
    <row r="1566" spans="1:22" x14ac:dyDescent="0.2">
      <c r="A1566" s="229"/>
      <c r="B1566" s="230"/>
      <c r="D1566" s="230"/>
      <c r="V1566" s="219"/>
    </row>
    <row r="1567" spans="1:22" x14ac:dyDescent="0.2">
      <c r="A1567" s="229"/>
      <c r="B1567" s="230"/>
      <c r="D1567" s="230"/>
      <c r="V1567" s="219"/>
    </row>
    <row r="1568" spans="1:22" x14ac:dyDescent="0.2">
      <c r="A1568" s="229"/>
      <c r="B1568" s="230"/>
      <c r="D1568" s="230"/>
      <c r="V1568" s="219"/>
    </row>
    <row r="1569" spans="1:22" x14ac:dyDescent="0.2">
      <c r="A1569" s="229"/>
      <c r="B1569" s="230"/>
      <c r="D1569" s="230"/>
      <c r="V1569" s="219"/>
    </row>
    <row r="1570" spans="1:22" x14ac:dyDescent="0.2">
      <c r="A1570" s="229"/>
      <c r="B1570" s="230"/>
      <c r="D1570" s="230"/>
      <c r="V1570" s="219"/>
    </row>
    <row r="1571" spans="1:22" x14ac:dyDescent="0.2">
      <c r="A1571" s="229"/>
      <c r="B1571" s="230"/>
      <c r="D1571" s="230"/>
      <c r="V1571" s="219"/>
    </row>
    <row r="1572" spans="1:22" x14ac:dyDescent="0.2">
      <c r="A1572" s="229"/>
      <c r="B1572" s="230"/>
      <c r="D1572" s="230"/>
      <c r="V1572" s="219"/>
    </row>
    <row r="1573" spans="1:22" x14ac:dyDescent="0.2">
      <c r="A1573" s="229"/>
      <c r="B1573" s="230"/>
      <c r="D1573" s="230"/>
      <c r="V1573" s="219"/>
    </row>
    <row r="1574" spans="1:22" x14ac:dyDescent="0.2">
      <c r="A1574" s="229"/>
      <c r="B1574" s="230"/>
      <c r="D1574" s="230"/>
      <c r="V1574" s="219"/>
    </row>
    <row r="1575" spans="1:22" x14ac:dyDescent="0.2">
      <c r="A1575" s="229"/>
      <c r="B1575" s="230"/>
      <c r="D1575" s="230"/>
      <c r="V1575" s="219"/>
    </row>
    <row r="1576" spans="1:22" x14ac:dyDescent="0.2">
      <c r="A1576" s="229"/>
      <c r="B1576" s="230"/>
      <c r="D1576" s="230"/>
      <c r="V1576" s="219"/>
    </row>
    <row r="1577" spans="1:22" x14ac:dyDescent="0.2">
      <c r="A1577" s="229"/>
      <c r="B1577" s="230"/>
      <c r="D1577" s="230"/>
      <c r="V1577" s="219"/>
    </row>
    <row r="1578" spans="1:22" x14ac:dyDescent="0.2">
      <c r="A1578" s="229"/>
      <c r="B1578" s="230"/>
      <c r="D1578" s="230"/>
      <c r="V1578" s="219"/>
    </row>
    <row r="1579" spans="1:22" x14ac:dyDescent="0.2">
      <c r="A1579" s="229"/>
      <c r="B1579" s="230"/>
      <c r="D1579" s="230"/>
      <c r="V1579" s="219"/>
    </row>
    <row r="1580" spans="1:22" x14ac:dyDescent="0.2">
      <c r="A1580" s="229"/>
      <c r="B1580" s="230"/>
      <c r="D1580" s="230"/>
      <c r="V1580" s="219"/>
    </row>
    <row r="1581" spans="1:22" x14ac:dyDescent="0.2">
      <c r="A1581" s="229"/>
      <c r="B1581" s="230"/>
      <c r="D1581" s="230"/>
      <c r="V1581" s="219"/>
    </row>
    <row r="1582" spans="1:22" x14ac:dyDescent="0.2">
      <c r="A1582" s="229"/>
      <c r="B1582" s="230"/>
      <c r="D1582" s="230"/>
      <c r="V1582" s="219"/>
    </row>
    <row r="1583" spans="1:22" x14ac:dyDescent="0.2">
      <c r="A1583" s="229"/>
      <c r="B1583" s="230"/>
      <c r="D1583" s="230"/>
      <c r="V1583" s="219"/>
    </row>
    <row r="1584" spans="1:22" x14ac:dyDescent="0.2">
      <c r="A1584" s="229"/>
      <c r="B1584" s="230"/>
      <c r="D1584" s="230"/>
      <c r="V1584" s="219"/>
    </row>
    <row r="1585" spans="1:22" x14ac:dyDescent="0.2">
      <c r="A1585" s="229"/>
      <c r="B1585" s="230"/>
      <c r="D1585" s="230"/>
      <c r="V1585" s="219"/>
    </row>
    <row r="1586" spans="1:22" x14ac:dyDescent="0.2">
      <c r="A1586" s="229"/>
      <c r="B1586" s="230"/>
      <c r="D1586" s="230"/>
      <c r="V1586" s="219"/>
    </row>
    <row r="1587" spans="1:22" x14ac:dyDescent="0.2">
      <c r="A1587" s="229"/>
      <c r="B1587" s="230"/>
      <c r="D1587" s="230"/>
      <c r="V1587" s="219"/>
    </row>
    <row r="1588" spans="1:22" x14ac:dyDescent="0.2">
      <c r="A1588" s="229"/>
      <c r="B1588" s="230"/>
      <c r="D1588" s="230"/>
      <c r="V1588" s="219"/>
    </row>
    <row r="1589" spans="1:22" x14ac:dyDescent="0.2">
      <c r="A1589" s="229"/>
      <c r="B1589" s="230"/>
      <c r="D1589" s="230"/>
      <c r="V1589" s="219"/>
    </row>
    <row r="1590" spans="1:22" x14ac:dyDescent="0.2">
      <c r="A1590" s="229"/>
      <c r="B1590" s="230"/>
      <c r="D1590" s="230"/>
      <c r="V1590" s="219"/>
    </row>
    <row r="1591" spans="1:22" x14ac:dyDescent="0.2">
      <c r="A1591" s="229"/>
      <c r="B1591" s="230"/>
      <c r="D1591" s="230"/>
      <c r="V1591" s="219"/>
    </row>
    <row r="1592" spans="1:22" x14ac:dyDescent="0.2">
      <c r="A1592" s="229"/>
      <c r="B1592" s="230"/>
      <c r="D1592" s="230"/>
      <c r="V1592" s="219"/>
    </row>
    <row r="1593" spans="1:22" x14ac:dyDescent="0.2">
      <c r="A1593" s="229"/>
      <c r="B1593" s="230"/>
      <c r="D1593" s="230"/>
      <c r="V1593" s="219"/>
    </row>
    <row r="1594" spans="1:22" x14ac:dyDescent="0.2">
      <c r="A1594" s="229"/>
      <c r="B1594" s="230"/>
      <c r="D1594" s="230"/>
      <c r="V1594" s="219"/>
    </row>
    <row r="1595" spans="1:22" x14ac:dyDescent="0.2">
      <c r="A1595" s="229"/>
      <c r="B1595" s="230"/>
      <c r="D1595" s="230"/>
      <c r="V1595" s="219"/>
    </row>
    <row r="1596" spans="1:22" x14ac:dyDescent="0.2">
      <c r="A1596" s="229"/>
      <c r="B1596" s="230"/>
      <c r="D1596" s="230"/>
      <c r="V1596" s="219"/>
    </row>
    <row r="1597" spans="1:22" x14ac:dyDescent="0.2">
      <c r="A1597" s="229"/>
      <c r="B1597" s="230"/>
      <c r="D1597" s="230"/>
      <c r="V1597" s="219"/>
    </row>
    <row r="1598" spans="1:22" x14ac:dyDescent="0.2">
      <c r="A1598" s="229"/>
      <c r="B1598" s="230"/>
      <c r="D1598" s="230"/>
      <c r="V1598" s="219"/>
    </row>
    <row r="1599" spans="1:22" x14ac:dyDescent="0.2">
      <c r="A1599" s="229"/>
      <c r="B1599" s="230"/>
      <c r="D1599" s="230"/>
      <c r="V1599" s="219"/>
    </row>
    <row r="1600" spans="1:22" x14ac:dyDescent="0.2">
      <c r="A1600" s="229"/>
      <c r="B1600" s="230"/>
      <c r="D1600" s="230"/>
      <c r="V1600" s="219"/>
    </row>
    <row r="1601" spans="1:22" x14ac:dyDescent="0.2">
      <c r="A1601" s="229"/>
      <c r="B1601" s="230"/>
      <c r="D1601" s="230"/>
      <c r="V1601" s="219"/>
    </row>
    <row r="1602" spans="1:22" x14ac:dyDescent="0.2">
      <c r="A1602" s="229"/>
      <c r="B1602" s="230"/>
      <c r="D1602" s="230"/>
      <c r="V1602" s="219"/>
    </row>
    <row r="1603" spans="1:22" x14ac:dyDescent="0.2">
      <c r="A1603" s="229"/>
      <c r="B1603" s="230"/>
      <c r="D1603" s="230"/>
      <c r="V1603" s="219"/>
    </row>
    <row r="1604" spans="1:22" x14ac:dyDescent="0.2">
      <c r="A1604" s="229"/>
      <c r="B1604" s="230"/>
      <c r="D1604" s="230"/>
      <c r="V1604" s="219"/>
    </row>
    <row r="1605" spans="1:22" x14ac:dyDescent="0.2">
      <c r="A1605" s="229"/>
      <c r="B1605" s="230"/>
      <c r="D1605" s="230"/>
      <c r="V1605" s="219"/>
    </row>
    <row r="1606" spans="1:22" x14ac:dyDescent="0.2">
      <c r="A1606" s="229"/>
      <c r="B1606" s="230"/>
      <c r="D1606" s="230"/>
      <c r="V1606" s="219"/>
    </row>
    <row r="1607" spans="1:22" x14ac:dyDescent="0.2">
      <c r="A1607" s="229"/>
      <c r="B1607" s="230"/>
      <c r="D1607" s="230"/>
      <c r="V1607" s="219"/>
    </row>
    <row r="1608" spans="1:22" x14ac:dyDescent="0.2">
      <c r="A1608" s="229"/>
      <c r="B1608" s="230"/>
      <c r="D1608" s="230"/>
      <c r="V1608" s="219"/>
    </row>
    <row r="1609" spans="1:22" x14ac:dyDescent="0.2">
      <c r="A1609" s="229"/>
      <c r="B1609" s="230"/>
      <c r="D1609" s="230"/>
      <c r="V1609" s="219"/>
    </row>
    <row r="1610" spans="1:22" x14ac:dyDescent="0.2">
      <c r="A1610" s="229"/>
      <c r="B1610" s="230"/>
      <c r="D1610" s="230"/>
      <c r="V1610" s="219"/>
    </row>
    <row r="1611" spans="1:22" x14ac:dyDescent="0.2">
      <c r="A1611" s="229"/>
      <c r="B1611" s="230"/>
      <c r="D1611" s="230"/>
      <c r="V1611" s="219"/>
    </row>
    <row r="1612" spans="1:22" x14ac:dyDescent="0.2">
      <c r="A1612" s="229"/>
      <c r="B1612" s="230"/>
      <c r="D1612" s="230"/>
      <c r="V1612" s="219"/>
    </row>
    <row r="1613" spans="1:22" x14ac:dyDescent="0.2">
      <c r="A1613" s="229"/>
      <c r="B1613" s="230"/>
      <c r="D1613" s="230"/>
      <c r="V1613" s="219"/>
    </row>
    <row r="1614" spans="1:22" x14ac:dyDescent="0.2">
      <c r="A1614" s="229"/>
      <c r="B1614" s="230"/>
      <c r="D1614" s="230"/>
      <c r="V1614" s="219"/>
    </row>
    <row r="1615" spans="1:22" x14ac:dyDescent="0.2">
      <c r="A1615" s="229"/>
      <c r="B1615" s="230"/>
      <c r="D1615" s="230"/>
      <c r="V1615" s="219"/>
    </row>
    <row r="1616" spans="1:22" x14ac:dyDescent="0.2">
      <c r="A1616" s="229"/>
      <c r="B1616" s="230"/>
      <c r="D1616" s="230"/>
      <c r="V1616" s="219"/>
    </row>
    <row r="1617" spans="1:22" x14ac:dyDescent="0.2">
      <c r="A1617" s="229"/>
      <c r="B1617" s="230"/>
      <c r="D1617" s="230"/>
      <c r="V1617" s="219"/>
    </row>
    <row r="1618" spans="1:22" x14ac:dyDescent="0.2">
      <c r="A1618" s="229"/>
      <c r="B1618" s="230"/>
      <c r="D1618" s="230"/>
      <c r="V1618" s="219"/>
    </row>
    <row r="1619" spans="1:22" x14ac:dyDescent="0.2">
      <c r="A1619" s="229"/>
      <c r="B1619" s="230"/>
      <c r="D1619" s="230"/>
      <c r="V1619" s="219"/>
    </row>
    <row r="1620" spans="1:22" x14ac:dyDescent="0.2">
      <c r="A1620" s="229"/>
      <c r="B1620" s="230"/>
      <c r="D1620" s="230"/>
      <c r="V1620" s="219"/>
    </row>
    <row r="1621" spans="1:22" x14ac:dyDescent="0.2">
      <c r="A1621" s="229"/>
      <c r="B1621" s="230"/>
      <c r="D1621" s="230"/>
      <c r="V1621" s="219"/>
    </row>
    <row r="1622" spans="1:22" x14ac:dyDescent="0.2">
      <c r="A1622" s="229"/>
      <c r="B1622" s="230"/>
      <c r="D1622" s="230"/>
      <c r="V1622" s="219"/>
    </row>
    <row r="1623" spans="1:22" x14ac:dyDescent="0.2">
      <c r="A1623" s="229"/>
      <c r="B1623" s="230"/>
      <c r="D1623" s="230"/>
      <c r="V1623" s="219"/>
    </row>
    <row r="1624" spans="1:22" x14ac:dyDescent="0.2">
      <c r="A1624" s="229"/>
      <c r="B1624" s="230"/>
      <c r="D1624" s="230"/>
      <c r="V1624" s="219"/>
    </row>
    <row r="1625" spans="1:22" x14ac:dyDescent="0.2">
      <c r="A1625" s="229"/>
      <c r="B1625" s="230"/>
      <c r="D1625" s="230"/>
      <c r="V1625" s="219"/>
    </row>
    <row r="1626" spans="1:22" x14ac:dyDescent="0.2">
      <c r="A1626" s="229"/>
      <c r="B1626" s="230"/>
      <c r="D1626" s="230"/>
      <c r="V1626" s="219"/>
    </row>
    <row r="1627" spans="1:22" x14ac:dyDescent="0.2">
      <c r="A1627" s="229"/>
      <c r="B1627" s="230"/>
      <c r="D1627" s="230"/>
      <c r="V1627" s="219"/>
    </row>
    <row r="1628" spans="1:22" x14ac:dyDescent="0.2">
      <c r="A1628" s="229"/>
      <c r="B1628" s="230"/>
      <c r="D1628" s="230"/>
      <c r="V1628" s="219"/>
    </row>
    <row r="1629" spans="1:22" x14ac:dyDescent="0.2">
      <c r="A1629" s="229"/>
      <c r="B1629" s="230"/>
      <c r="D1629" s="230"/>
      <c r="V1629" s="219"/>
    </row>
    <row r="1630" spans="1:22" x14ac:dyDescent="0.2">
      <c r="A1630" s="229"/>
      <c r="B1630" s="230"/>
      <c r="D1630" s="230"/>
      <c r="V1630" s="219"/>
    </row>
    <row r="1631" spans="1:22" x14ac:dyDescent="0.2">
      <c r="A1631" s="229"/>
      <c r="B1631" s="230"/>
      <c r="D1631" s="230"/>
      <c r="V1631" s="219"/>
    </row>
    <row r="1632" spans="1:22" x14ac:dyDescent="0.2">
      <c r="A1632" s="229"/>
      <c r="B1632" s="230"/>
      <c r="D1632" s="230"/>
      <c r="V1632" s="219"/>
    </row>
    <row r="1633" spans="1:22" x14ac:dyDescent="0.2">
      <c r="A1633" s="229"/>
      <c r="B1633" s="230"/>
      <c r="D1633" s="230"/>
      <c r="V1633" s="219"/>
    </row>
    <row r="1634" spans="1:22" x14ac:dyDescent="0.2">
      <c r="A1634" s="229"/>
      <c r="B1634" s="230"/>
      <c r="D1634" s="230"/>
      <c r="V1634" s="219"/>
    </row>
    <row r="1635" spans="1:22" x14ac:dyDescent="0.2">
      <c r="A1635" s="229"/>
      <c r="B1635" s="230"/>
      <c r="D1635" s="230"/>
      <c r="V1635" s="219"/>
    </row>
    <row r="1636" spans="1:22" x14ac:dyDescent="0.2">
      <c r="A1636" s="229"/>
      <c r="B1636" s="230"/>
      <c r="D1636" s="230"/>
      <c r="V1636" s="219"/>
    </row>
    <row r="1637" spans="1:22" x14ac:dyDescent="0.2">
      <c r="A1637" s="229"/>
      <c r="B1637" s="230"/>
      <c r="D1637" s="230"/>
      <c r="V1637" s="219"/>
    </row>
    <row r="1638" spans="1:22" x14ac:dyDescent="0.2">
      <c r="A1638" s="229"/>
      <c r="B1638" s="230"/>
      <c r="D1638" s="230"/>
      <c r="V1638" s="219"/>
    </row>
    <row r="1639" spans="1:22" x14ac:dyDescent="0.2">
      <c r="A1639" s="229"/>
      <c r="B1639" s="230"/>
      <c r="D1639" s="230"/>
      <c r="V1639" s="219"/>
    </row>
    <row r="1640" spans="1:22" x14ac:dyDescent="0.2">
      <c r="A1640" s="229"/>
      <c r="B1640" s="230"/>
      <c r="D1640" s="230"/>
      <c r="V1640" s="219"/>
    </row>
    <row r="1641" spans="1:22" x14ac:dyDescent="0.2">
      <c r="A1641" s="229"/>
      <c r="B1641" s="230"/>
      <c r="D1641" s="230"/>
      <c r="V1641" s="219"/>
    </row>
    <row r="1642" spans="1:22" x14ac:dyDescent="0.2">
      <c r="A1642" s="229"/>
      <c r="B1642" s="230"/>
      <c r="D1642" s="230"/>
      <c r="V1642" s="219"/>
    </row>
    <row r="1643" spans="1:22" x14ac:dyDescent="0.2">
      <c r="A1643" s="229"/>
      <c r="B1643" s="230"/>
      <c r="D1643" s="230"/>
      <c r="V1643" s="219"/>
    </row>
    <row r="1644" spans="1:22" x14ac:dyDescent="0.2">
      <c r="A1644" s="229"/>
      <c r="B1644" s="230"/>
      <c r="D1644" s="230"/>
      <c r="V1644" s="219"/>
    </row>
    <row r="1645" spans="1:22" x14ac:dyDescent="0.2">
      <c r="A1645" s="229"/>
      <c r="B1645" s="230"/>
      <c r="D1645" s="230"/>
      <c r="V1645" s="219"/>
    </row>
    <row r="1646" spans="1:22" x14ac:dyDescent="0.2">
      <c r="A1646" s="229"/>
      <c r="B1646" s="230"/>
      <c r="D1646" s="230"/>
      <c r="V1646" s="219"/>
    </row>
    <row r="1647" spans="1:22" x14ac:dyDescent="0.2">
      <c r="A1647" s="229"/>
      <c r="B1647" s="230"/>
      <c r="D1647" s="230"/>
      <c r="V1647" s="219"/>
    </row>
    <row r="1648" spans="1:22" x14ac:dyDescent="0.2">
      <c r="A1648" s="229"/>
      <c r="B1648" s="230"/>
      <c r="D1648" s="230"/>
      <c r="V1648" s="219"/>
    </row>
    <row r="1649" spans="1:22" x14ac:dyDescent="0.2">
      <c r="A1649" s="229"/>
      <c r="B1649" s="230"/>
      <c r="D1649" s="230"/>
      <c r="V1649" s="219"/>
    </row>
    <row r="1650" spans="1:22" x14ac:dyDescent="0.2">
      <c r="A1650" s="229"/>
      <c r="B1650" s="230"/>
      <c r="D1650" s="230"/>
      <c r="V1650" s="219"/>
    </row>
    <row r="1651" spans="1:22" x14ac:dyDescent="0.2">
      <c r="A1651" s="229"/>
      <c r="B1651" s="230"/>
      <c r="D1651" s="230"/>
      <c r="V1651" s="219"/>
    </row>
    <row r="1652" spans="1:22" x14ac:dyDescent="0.2">
      <c r="A1652" s="229"/>
      <c r="B1652" s="230"/>
      <c r="D1652" s="230"/>
      <c r="V1652" s="219"/>
    </row>
    <row r="1653" spans="1:22" x14ac:dyDescent="0.2">
      <c r="A1653" s="229"/>
      <c r="B1653" s="230"/>
      <c r="D1653" s="230"/>
      <c r="V1653" s="219"/>
    </row>
    <row r="1654" spans="1:22" x14ac:dyDescent="0.2">
      <c r="A1654" s="229"/>
      <c r="B1654" s="230"/>
      <c r="D1654" s="230"/>
      <c r="V1654" s="219"/>
    </row>
    <row r="1655" spans="1:22" x14ac:dyDescent="0.2">
      <c r="A1655" s="229"/>
      <c r="B1655" s="230"/>
      <c r="D1655" s="230"/>
      <c r="V1655" s="219"/>
    </row>
    <row r="1656" spans="1:22" x14ac:dyDescent="0.2">
      <c r="A1656" s="229"/>
      <c r="B1656" s="230"/>
      <c r="D1656" s="230"/>
      <c r="V1656" s="219"/>
    </row>
    <row r="1657" spans="1:22" x14ac:dyDescent="0.2">
      <c r="A1657" s="229"/>
      <c r="B1657" s="230"/>
      <c r="D1657" s="230"/>
      <c r="V1657" s="219"/>
    </row>
    <row r="1658" spans="1:22" x14ac:dyDescent="0.2">
      <c r="A1658" s="229"/>
      <c r="B1658" s="230"/>
      <c r="D1658" s="230"/>
      <c r="V1658" s="219"/>
    </row>
    <row r="1659" spans="1:22" x14ac:dyDescent="0.2">
      <c r="A1659" s="229"/>
      <c r="B1659" s="230"/>
      <c r="D1659" s="230"/>
      <c r="V1659" s="219"/>
    </row>
    <row r="1660" spans="1:22" x14ac:dyDescent="0.2">
      <c r="A1660" s="229"/>
      <c r="B1660" s="230"/>
      <c r="D1660" s="230"/>
      <c r="V1660" s="219"/>
    </row>
    <row r="1661" spans="1:22" x14ac:dyDescent="0.2">
      <c r="A1661" s="229"/>
      <c r="B1661" s="230"/>
      <c r="D1661" s="230"/>
      <c r="V1661" s="219"/>
    </row>
    <row r="1662" spans="1:22" x14ac:dyDescent="0.2">
      <c r="A1662" s="229"/>
      <c r="B1662" s="230"/>
      <c r="D1662" s="230"/>
      <c r="V1662" s="219"/>
    </row>
    <row r="1663" spans="1:22" x14ac:dyDescent="0.2">
      <c r="A1663" s="229"/>
      <c r="B1663" s="230"/>
      <c r="D1663" s="230"/>
      <c r="V1663" s="219"/>
    </row>
    <row r="1664" spans="1:22" x14ac:dyDescent="0.2">
      <c r="A1664" s="229"/>
      <c r="B1664" s="230"/>
      <c r="D1664" s="230"/>
      <c r="V1664" s="219"/>
    </row>
    <row r="1665" spans="1:22" x14ac:dyDescent="0.2">
      <c r="A1665" s="229"/>
      <c r="B1665" s="230"/>
      <c r="D1665" s="230"/>
      <c r="V1665" s="219"/>
    </row>
    <row r="1666" spans="1:22" x14ac:dyDescent="0.2">
      <c r="A1666" s="229"/>
      <c r="B1666" s="230"/>
      <c r="D1666" s="230"/>
      <c r="V1666" s="219"/>
    </row>
    <row r="1667" spans="1:22" x14ac:dyDescent="0.2">
      <c r="A1667" s="229"/>
      <c r="B1667" s="230"/>
      <c r="D1667" s="230"/>
      <c r="V1667" s="219"/>
    </row>
    <row r="1668" spans="1:22" x14ac:dyDescent="0.2">
      <c r="A1668" s="229"/>
      <c r="B1668" s="230"/>
      <c r="D1668" s="230"/>
      <c r="V1668" s="219"/>
    </row>
    <row r="1669" spans="1:22" x14ac:dyDescent="0.2">
      <c r="A1669" s="229"/>
      <c r="B1669" s="230"/>
      <c r="D1669" s="230"/>
      <c r="V1669" s="219"/>
    </row>
    <row r="1670" spans="1:22" x14ac:dyDescent="0.2">
      <c r="A1670" s="229"/>
      <c r="B1670" s="230"/>
      <c r="D1670" s="230"/>
      <c r="V1670" s="219"/>
    </row>
    <row r="1671" spans="1:22" x14ac:dyDescent="0.2">
      <c r="A1671" s="229"/>
      <c r="B1671" s="230"/>
      <c r="D1671" s="230"/>
      <c r="V1671" s="219"/>
    </row>
    <row r="1672" spans="1:22" x14ac:dyDescent="0.2">
      <c r="A1672" s="229"/>
      <c r="B1672" s="230"/>
      <c r="D1672" s="230"/>
      <c r="V1672" s="219"/>
    </row>
    <row r="1673" spans="1:22" x14ac:dyDescent="0.2">
      <c r="A1673" s="229"/>
      <c r="B1673" s="230"/>
      <c r="D1673" s="230"/>
      <c r="V1673" s="219"/>
    </row>
    <row r="1674" spans="1:22" x14ac:dyDescent="0.2">
      <c r="A1674" s="229"/>
      <c r="B1674" s="230"/>
      <c r="D1674" s="230"/>
      <c r="V1674" s="219"/>
    </row>
    <row r="1675" spans="1:22" x14ac:dyDescent="0.2">
      <c r="A1675" s="229"/>
      <c r="B1675" s="230"/>
      <c r="D1675" s="230"/>
      <c r="V1675" s="219"/>
    </row>
    <row r="1676" spans="1:22" x14ac:dyDescent="0.2">
      <c r="A1676" s="229"/>
      <c r="B1676" s="230"/>
      <c r="D1676" s="230"/>
      <c r="V1676" s="219"/>
    </row>
    <row r="1677" spans="1:22" x14ac:dyDescent="0.2">
      <c r="A1677" s="229"/>
      <c r="B1677" s="230"/>
      <c r="D1677" s="230"/>
      <c r="V1677" s="219"/>
    </row>
    <row r="1678" spans="1:22" x14ac:dyDescent="0.2">
      <c r="A1678" s="229"/>
      <c r="B1678" s="230"/>
      <c r="D1678" s="230"/>
      <c r="V1678" s="219"/>
    </row>
    <row r="1679" spans="1:22" x14ac:dyDescent="0.2">
      <c r="A1679" s="229"/>
      <c r="B1679" s="230"/>
      <c r="D1679" s="230"/>
      <c r="V1679" s="219"/>
    </row>
    <row r="1680" spans="1:22" x14ac:dyDescent="0.2">
      <c r="A1680" s="229"/>
      <c r="B1680" s="230"/>
      <c r="D1680" s="230"/>
      <c r="V1680" s="219"/>
    </row>
    <row r="1681" spans="1:22" x14ac:dyDescent="0.2">
      <c r="A1681" s="229"/>
      <c r="B1681" s="230"/>
      <c r="D1681" s="230"/>
      <c r="V1681" s="219"/>
    </row>
    <row r="1682" spans="1:22" x14ac:dyDescent="0.2">
      <c r="A1682" s="229"/>
      <c r="B1682" s="230"/>
      <c r="D1682" s="230"/>
      <c r="V1682" s="219"/>
    </row>
    <row r="1683" spans="1:22" x14ac:dyDescent="0.2">
      <c r="A1683" s="229"/>
      <c r="B1683" s="230"/>
      <c r="D1683" s="230"/>
      <c r="V1683" s="219"/>
    </row>
    <row r="1684" spans="1:22" x14ac:dyDescent="0.2">
      <c r="A1684" s="229"/>
      <c r="B1684" s="230"/>
      <c r="D1684" s="230"/>
      <c r="V1684" s="219"/>
    </row>
    <row r="1685" spans="1:22" x14ac:dyDescent="0.2">
      <c r="A1685" s="229"/>
      <c r="B1685" s="230"/>
      <c r="D1685" s="230"/>
      <c r="V1685" s="219"/>
    </row>
    <row r="1686" spans="1:22" x14ac:dyDescent="0.2">
      <c r="A1686" s="229"/>
      <c r="B1686" s="230"/>
      <c r="D1686" s="230"/>
      <c r="V1686" s="219"/>
    </row>
    <row r="1687" spans="1:22" x14ac:dyDescent="0.2">
      <c r="A1687" s="229"/>
      <c r="B1687" s="230"/>
      <c r="D1687" s="230"/>
      <c r="V1687" s="219"/>
    </row>
    <row r="1688" spans="1:22" x14ac:dyDescent="0.2">
      <c r="A1688" s="229"/>
      <c r="B1688" s="230"/>
      <c r="D1688" s="230"/>
      <c r="V1688" s="219"/>
    </row>
    <row r="1689" spans="1:22" x14ac:dyDescent="0.2">
      <c r="A1689" s="229"/>
      <c r="B1689" s="230"/>
      <c r="D1689" s="230"/>
      <c r="V1689" s="219"/>
    </row>
    <row r="1690" spans="1:22" x14ac:dyDescent="0.2">
      <c r="A1690" s="229"/>
      <c r="B1690" s="230"/>
      <c r="D1690" s="230"/>
      <c r="V1690" s="219"/>
    </row>
    <row r="1691" spans="1:22" x14ac:dyDescent="0.2">
      <c r="A1691" s="229"/>
      <c r="B1691" s="230"/>
      <c r="D1691" s="230"/>
      <c r="V1691" s="219"/>
    </row>
    <row r="1692" spans="1:22" x14ac:dyDescent="0.2">
      <c r="A1692" s="229"/>
      <c r="B1692" s="230"/>
      <c r="D1692" s="230"/>
      <c r="V1692" s="219"/>
    </row>
    <row r="1693" spans="1:22" x14ac:dyDescent="0.2">
      <c r="A1693" s="229"/>
      <c r="B1693" s="230"/>
      <c r="D1693" s="230"/>
      <c r="V1693" s="219"/>
    </row>
    <row r="1694" spans="1:22" x14ac:dyDescent="0.2">
      <c r="A1694" s="229"/>
      <c r="B1694" s="230"/>
      <c r="D1694" s="230"/>
      <c r="V1694" s="219"/>
    </row>
    <row r="1695" spans="1:22" x14ac:dyDescent="0.2">
      <c r="A1695" s="229"/>
      <c r="B1695" s="230"/>
      <c r="D1695" s="230"/>
      <c r="V1695" s="219"/>
    </row>
    <row r="1696" spans="1:22" x14ac:dyDescent="0.2">
      <c r="A1696" s="229"/>
      <c r="B1696" s="230"/>
      <c r="D1696" s="230"/>
      <c r="V1696" s="219"/>
    </row>
    <row r="1697" spans="1:22" x14ac:dyDescent="0.2">
      <c r="A1697" s="229"/>
      <c r="B1697" s="230"/>
      <c r="D1697" s="230"/>
      <c r="V1697" s="219"/>
    </row>
    <row r="1698" spans="1:22" x14ac:dyDescent="0.2">
      <c r="A1698" s="229"/>
      <c r="B1698" s="230"/>
      <c r="D1698" s="230"/>
      <c r="V1698" s="219"/>
    </row>
    <row r="1699" spans="1:22" x14ac:dyDescent="0.2">
      <c r="A1699" s="229"/>
      <c r="B1699" s="230"/>
      <c r="D1699" s="230"/>
      <c r="V1699" s="219"/>
    </row>
    <row r="1700" spans="1:22" x14ac:dyDescent="0.2">
      <c r="A1700" s="229"/>
      <c r="B1700" s="230"/>
      <c r="D1700" s="230"/>
      <c r="V1700" s="219"/>
    </row>
    <row r="1701" spans="1:22" x14ac:dyDescent="0.2">
      <c r="A1701" s="229"/>
      <c r="B1701" s="230"/>
      <c r="D1701" s="230"/>
      <c r="V1701" s="219"/>
    </row>
    <row r="1702" spans="1:22" x14ac:dyDescent="0.2">
      <c r="A1702" s="229"/>
      <c r="B1702" s="230"/>
      <c r="D1702" s="230"/>
      <c r="V1702" s="219"/>
    </row>
    <row r="1703" spans="1:22" x14ac:dyDescent="0.2">
      <c r="A1703" s="229"/>
      <c r="B1703" s="230"/>
      <c r="D1703" s="230"/>
      <c r="V1703" s="219"/>
    </row>
    <row r="1704" spans="1:22" x14ac:dyDescent="0.2">
      <c r="A1704" s="229"/>
      <c r="B1704" s="230"/>
      <c r="D1704" s="230"/>
      <c r="V1704" s="219"/>
    </row>
    <row r="1705" spans="1:22" x14ac:dyDescent="0.2">
      <c r="A1705" s="229"/>
      <c r="B1705" s="230"/>
      <c r="D1705" s="230"/>
      <c r="V1705" s="219"/>
    </row>
    <row r="1706" spans="1:22" x14ac:dyDescent="0.2">
      <c r="A1706" s="229"/>
      <c r="B1706" s="230"/>
      <c r="D1706" s="230"/>
      <c r="V1706" s="219"/>
    </row>
    <row r="1707" spans="1:22" x14ac:dyDescent="0.2">
      <c r="A1707" s="229"/>
      <c r="B1707" s="230"/>
      <c r="D1707" s="230"/>
      <c r="V1707" s="219"/>
    </row>
    <row r="1708" spans="1:22" x14ac:dyDescent="0.2">
      <c r="A1708" s="229"/>
      <c r="B1708" s="230"/>
      <c r="D1708" s="230"/>
      <c r="V1708" s="219"/>
    </row>
    <row r="1709" spans="1:22" x14ac:dyDescent="0.2">
      <c r="A1709" s="229"/>
      <c r="B1709" s="230"/>
      <c r="D1709" s="230"/>
      <c r="V1709" s="219"/>
    </row>
    <row r="1710" spans="1:22" x14ac:dyDescent="0.2">
      <c r="A1710" s="229"/>
      <c r="B1710" s="230"/>
      <c r="D1710" s="230"/>
      <c r="V1710" s="219"/>
    </row>
    <row r="1711" spans="1:22" x14ac:dyDescent="0.2">
      <c r="A1711" s="229"/>
      <c r="B1711" s="230"/>
      <c r="D1711" s="230"/>
      <c r="V1711" s="219"/>
    </row>
    <row r="1712" spans="1:22" x14ac:dyDescent="0.2">
      <c r="A1712" s="229"/>
      <c r="B1712" s="230"/>
      <c r="D1712" s="230"/>
      <c r="V1712" s="219"/>
    </row>
    <row r="1713" spans="1:22" x14ac:dyDescent="0.2">
      <c r="A1713" s="229"/>
      <c r="B1713" s="230"/>
      <c r="D1713" s="230"/>
      <c r="V1713" s="219"/>
    </row>
    <row r="1714" spans="1:22" x14ac:dyDescent="0.2">
      <c r="A1714" s="229"/>
      <c r="B1714" s="230"/>
      <c r="D1714" s="230"/>
      <c r="V1714" s="219"/>
    </row>
    <row r="1715" spans="1:22" x14ac:dyDescent="0.2">
      <c r="A1715" s="229"/>
      <c r="B1715" s="230"/>
      <c r="D1715" s="230"/>
      <c r="V1715" s="219"/>
    </row>
    <row r="1716" spans="1:22" x14ac:dyDescent="0.2">
      <c r="A1716" s="229"/>
      <c r="B1716" s="230"/>
      <c r="D1716" s="230"/>
      <c r="V1716" s="219"/>
    </row>
    <row r="1717" spans="1:22" x14ac:dyDescent="0.2">
      <c r="A1717" s="229"/>
      <c r="B1717" s="230"/>
      <c r="D1717" s="230"/>
      <c r="V1717" s="219"/>
    </row>
    <row r="1718" spans="1:22" x14ac:dyDescent="0.2">
      <c r="A1718" s="229"/>
      <c r="B1718" s="230"/>
      <c r="D1718" s="230"/>
      <c r="V1718" s="219"/>
    </row>
    <row r="1719" spans="1:22" x14ac:dyDescent="0.2">
      <c r="A1719" s="229"/>
      <c r="B1719" s="230"/>
      <c r="D1719" s="230"/>
      <c r="V1719" s="219"/>
    </row>
    <row r="1720" spans="1:22" x14ac:dyDescent="0.2">
      <c r="A1720" s="229"/>
      <c r="B1720" s="230"/>
      <c r="D1720" s="230"/>
      <c r="V1720" s="219"/>
    </row>
    <row r="1721" spans="1:22" x14ac:dyDescent="0.2">
      <c r="A1721" s="229"/>
      <c r="B1721" s="230"/>
      <c r="D1721" s="230"/>
      <c r="V1721" s="219"/>
    </row>
    <row r="1722" spans="1:22" x14ac:dyDescent="0.2">
      <c r="A1722" s="229"/>
      <c r="B1722" s="230"/>
      <c r="D1722" s="230"/>
      <c r="V1722" s="219"/>
    </row>
    <row r="1723" spans="1:22" x14ac:dyDescent="0.2">
      <c r="A1723" s="229"/>
      <c r="B1723" s="230"/>
      <c r="D1723" s="230"/>
      <c r="V1723" s="219"/>
    </row>
    <row r="1724" spans="1:22" x14ac:dyDescent="0.2">
      <c r="A1724" s="229"/>
      <c r="B1724" s="230"/>
      <c r="D1724" s="230"/>
      <c r="V1724" s="219"/>
    </row>
    <row r="1725" spans="1:22" x14ac:dyDescent="0.2">
      <c r="A1725" s="229"/>
      <c r="B1725" s="230"/>
      <c r="D1725" s="230"/>
      <c r="V1725" s="219"/>
    </row>
    <row r="1726" spans="1:22" x14ac:dyDescent="0.2">
      <c r="A1726" s="229"/>
      <c r="B1726" s="230"/>
      <c r="D1726" s="230"/>
      <c r="V1726" s="219"/>
    </row>
    <row r="1727" spans="1:22" x14ac:dyDescent="0.2">
      <c r="A1727" s="229"/>
      <c r="B1727" s="230"/>
      <c r="D1727" s="230"/>
      <c r="V1727" s="219"/>
    </row>
    <row r="1728" spans="1:22" x14ac:dyDescent="0.2">
      <c r="A1728" s="229"/>
      <c r="B1728" s="230"/>
      <c r="D1728" s="230"/>
      <c r="V1728" s="219"/>
    </row>
    <row r="1729" spans="1:22" x14ac:dyDescent="0.2">
      <c r="A1729" s="229"/>
      <c r="B1729" s="230"/>
      <c r="D1729" s="230"/>
      <c r="V1729" s="219"/>
    </row>
    <row r="1730" spans="1:22" x14ac:dyDescent="0.2">
      <c r="A1730" s="229"/>
      <c r="B1730" s="230"/>
      <c r="D1730" s="230"/>
      <c r="V1730" s="219"/>
    </row>
    <row r="1731" spans="1:22" x14ac:dyDescent="0.2">
      <c r="A1731" s="229"/>
      <c r="B1731" s="230"/>
      <c r="D1731" s="230"/>
      <c r="V1731" s="219"/>
    </row>
    <row r="1732" spans="1:22" x14ac:dyDescent="0.2">
      <c r="A1732" s="229"/>
      <c r="B1732" s="230"/>
      <c r="D1732" s="230"/>
      <c r="V1732" s="219"/>
    </row>
    <row r="1733" spans="1:22" x14ac:dyDescent="0.2">
      <c r="A1733" s="229"/>
      <c r="B1733" s="230"/>
      <c r="D1733" s="230"/>
      <c r="V1733" s="219"/>
    </row>
    <row r="1734" spans="1:22" x14ac:dyDescent="0.2">
      <c r="A1734" s="229"/>
      <c r="B1734" s="230"/>
      <c r="D1734" s="230"/>
      <c r="V1734" s="219"/>
    </row>
    <row r="1735" spans="1:22" x14ac:dyDescent="0.2">
      <c r="A1735" s="229"/>
      <c r="B1735" s="230"/>
      <c r="D1735" s="230"/>
      <c r="V1735" s="219"/>
    </row>
    <row r="1736" spans="1:22" x14ac:dyDescent="0.2">
      <c r="A1736" s="229"/>
      <c r="B1736" s="230"/>
      <c r="D1736" s="230"/>
      <c r="V1736" s="219"/>
    </row>
    <row r="1737" spans="1:22" x14ac:dyDescent="0.2">
      <c r="A1737" s="229"/>
      <c r="B1737" s="230"/>
      <c r="D1737" s="230"/>
      <c r="V1737" s="219"/>
    </row>
    <row r="1738" spans="1:22" x14ac:dyDescent="0.2">
      <c r="A1738" s="229"/>
      <c r="B1738" s="230"/>
      <c r="D1738" s="230"/>
      <c r="V1738" s="219"/>
    </row>
    <row r="1739" spans="1:22" x14ac:dyDescent="0.2">
      <c r="A1739" s="229"/>
      <c r="B1739" s="230"/>
      <c r="D1739" s="230"/>
      <c r="V1739" s="219"/>
    </row>
    <row r="1740" spans="1:22" x14ac:dyDescent="0.2">
      <c r="A1740" s="229"/>
      <c r="B1740" s="230"/>
      <c r="D1740" s="230"/>
      <c r="V1740" s="219"/>
    </row>
    <row r="1741" spans="1:22" x14ac:dyDescent="0.2">
      <c r="A1741" s="229"/>
      <c r="B1741" s="230"/>
      <c r="D1741" s="230"/>
      <c r="V1741" s="219"/>
    </row>
    <row r="1742" spans="1:22" x14ac:dyDescent="0.2">
      <c r="A1742" s="229"/>
      <c r="B1742" s="230"/>
      <c r="D1742" s="230"/>
      <c r="V1742" s="219"/>
    </row>
    <row r="1743" spans="1:22" x14ac:dyDescent="0.2">
      <c r="A1743" s="229"/>
      <c r="B1743" s="230"/>
      <c r="D1743" s="230"/>
      <c r="V1743" s="219"/>
    </row>
    <row r="1744" spans="1:22" x14ac:dyDescent="0.2">
      <c r="A1744" s="229"/>
      <c r="B1744" s="230"/>
      <c r="D1744" s="230"/>
      <c r="V1744" s="219"/>
    </row>
    <row r="1745" spans="1:22" x14ac:dyDescent="0.2">
      <c r="A1745" s="229"/>
      <c r="B1745" s="230"/>
      <c r="D1745" s="230"/>
      <c r="V1745" s="219"/>
    </row>
    <row r="1746" spans="1:22" x14ac:dyDescent="0.2">
      <c r="A1746" s="229"/>
      <c r="B1746" s="230"/>
      <c r="D1746" s="230"/>
      <c r="V1746" s="219"/>
    </row>
    <row r="1747" spans="1:22" x14ac:dyDescent="0.2">
      <c r="A1747" s="229"/>
      <c r="B1747" s="230"/>
      <c r="D1747" s="230"/>
      <c r="V1747" s="219"/>
    </row>
    <row r="1748" spans="1:22" x14ac:dyDescent="0.2">
      <c r="A1748" s="229"/>
      <c r="B1748" s="230"/>
      <c r="D1748" s="230"/>
      <c r="V1748" s="219"/>
    </row>
    <row r="1749" spans="1:22" x14ac:dyDescent="0.2">
      <c r="A1749" s="229"/>
      <c r="B1749" s="230"/>
      <c r="D1749" s="230"/>
      <c r="V1749" s="219"/>
    </row>
    <row r="1750" spans="1:22" x14ac:dyDescent="0.2">
      <c r="A1750" s="229"/>
      <c r="B1750" s="230"/>
      <c r="D1750" s="230"/>
      <c r="V1750" s="219"/>
    </row>
    <row r="1751" spans="1:22" x14ac:dyDescent="0.2">
      <c r="A1751" s="229"/>
      <c r="B1751" s="230"/>
      <c r="D1751" s="230"/>
      <c r="V1751" s="219"/>
    </row>
    <row r="1752" spans="1:22" x14ac:dyDescent="0.2">
      <c r="A1752" s="229"/>
      <c r="B1752" s="230"/>
      <c r="D1752" s="230"/>
      <c r="V1752" s="219"/>
    </row>
    <row r="1753" spans="1:22" x14ac:dyDescent="0.2">
      <c r="A1753" s="229"/>
      <c r="B1753" s="230"/>
      <c r="D1753" s="230"/>
      <c r="V1753" s="219"/>
    </row>
    <row r="1754" spans="1:22" x14ac:dyDescent="0.2">
      <c r="A1754" s="229"/>
      <c r="B1754" s="230"/>
      <c r="D1754" s="230"/>
      <c r="V1754" s="219"/>
    </row>
    <row r="1755" spans="1:22" x14ac:dyDescent="0.2">
      <c r="A1755" s="229"/>
      <c r="B1755" s="230"/>
      <c r="D1755" s="230"/>
      <c r="V1755" s="219"/>
    </row>
    <row r="1756" spans="1:22" x14ac:dyDescent="0.2">
      <c r="A1756" s="229"/>
      <c r="B1756" s="230"/>
      <c r="D1756" s="230"/>
      <c r="V1756" s="219"/>
    </row>
    <row r="1757" spans="1:22" x14ac:dyDescent="0.2">
      <c r="A1757" s="229"/>
      <c r="B1757" s="230"/>
      <c r="D1757" s="230"/>
      <c r="V1757" s="219"/>
    </row>
    <row r="1758" spans="1:22" x14ac:dyDescent="0.2">
      <c r="A1758" s="229"/>
      <c r="B1758" s="230"/>
      <c r="D1758" s="230"/>
      <c r="V1758" s="219"/>
    </row>
    <row r="1759" spans="1:22" x14ac:dyDescent="0.2">
      <c r="A1759" s="229"/>
      <c r="B1759" s="230"/>
      <c r="D1759" s="230"/>
      <c r="V1759" s="219"/>
    </row>
    <row r="1760" spans="1:22" x14ac:dyDescent="0.2">
      <c r="A1760" s="229"/>
      <c r="B1760" s="230"/>
      <c r="D1760" s="230"/>
      <c r="V1760" s="219"/>
    </row>
    <row r="1761" spans="1:22" x14ac:dyDescent="0.2">
      <c r="A1761" s="229"/>
      <c r="B1761" s="230"/>
      <c r="D1761" s="230"/>
      <c r="V1761" s="219"/>
    </row>
    <row r="1762" spans="1:22" x14ac:dyDescent="0.2">
      <c r="A1762" s="229"/>
      <c r="B1762" s="230"/>
      <c r="D1762" s="230"/>
      <c r="V1762" s="219"/>
    </row>
    <row r="1763" spans="1:22" x14ac:dyDescent="0.2">
      <c r="A1763" s="229"/>
      <c r="B1763" s="230"/>
      <c r="D1763" s="230"/>
      <c r="V1763" s="219"/>
    </row>
    <row r="1764" spans="1:22" x14ac:dyDescent="0.2">
      <c r="A1764" s="229"/>
      <c r="B1764" s="230"/>
      <c r="D1764" s="230"/>
      <c r="V1764" s="219"/>
    </row>
    <row r="1765" spans="1:22" x14ac:dyDescent="0.2">
      <c r="A1765" s="229"/>
      <c r="B1765" s="230"/>
      <c r="D1765" s="230"/>
      <c r="V1765" s="219"/>
    </row>
    <row r="1766" spans="1:22" x14ac:dyDescent="0.2">
      <c r="A1766" s="229"/>
      <c r="B1766" s="230"/>
      <c r="D1766" s="230"/>
      <c r="V1766" s="219"/>
    </row>
    <row r="1767" spans="1:22" x14ac:dyDescent="0.2">
      <c r="A1767" s="229"/>
      <c r="B1767" s="230"/>
      <c r="D1767" s="230"/>
      <c r="V1767" s="219"/>
    </row>
    <row r="1768" spans="1:22" x14ac:dyDescent="0.2">
      <c r="A1768" s="229"/>
      <c r="B1768" s="230"/>
      <c r="D1768" s="230"/>
      <c r="V1768" s="219"/>
    </row>
    <row r="1769" spans="1:22" x14ac:dyDescent="0.2">
      <c r="A1769" s="229"/>
      <c r="B1769" s="230"/>
      <c r="D1769" s="230"/>
      <c r="V1769" s="219"/>
    </row>
    <row r="1770" spans="1:22" x14ac:dyDescent="0.2">
      <c r="A1770" s="229"/>
      <c r="B1770" s="230"/>
      <c r="D1770" s="230"/>
      <c r="V1770" s="219"/>
    </row>
    <row r="1771" spans="1:22" x14ac:dyDescent="0.2">
      <c r="A1771" s="229"/>
      <c r="B1771" s="230"/>
      <c r="D1771" s="230"/>
      <c r="V1771" s="219"/>
    </row>
    <row r="1772" spans="1:22" x14ac:dyDescent="0.2">
      <c r="A1772" s="229"/>
      <c r="B1772" s="230"/>
      <c r="D1772" s="230"/>
      <c r="V1772" s="219"/>
    </row>
    <row r="1773" spans="1:22" x14ac:dyDescent="0.2">
      <c r="A1773" s="229"/>
      <c r="B1773" s="230"/>
      <c r="D1773" s="230"/>
      <c r="V1773" s="219"/>
    </row>
    <row r="1774" spans="1:22" x14ac:dyDescent="0.2">
      <c r="A1774" s="229"/>
      <c r="B1774" s="230"/>
      <c r="D1774" s="230"/>
      <c r="V1774" s="219"/>
    </row>
    <row r="1775" spans="1:22" x14ac:dyDescent="0.2">
      <c r="A1775" s="229"/>
      <c r="B1775" s="230"/>
      <c r="D1775" s="230"/>
      <c r="V1775" s="219"/>
    </row>
    <row r="1776" spans="1:22" x14ac:dyDescent="0.2">
      <c r="A1776" s="229"/>
      <c r="B1776" s="230"/>
      <c r="D1776" s="230"/>
      <c r="V1776" s="219"/>
    </row>
    <row r="1777" spans="1:22" x14ac:dyDescent="0.2">
      <c r="A1777" s="229"/>
      <c r="B1777" s="230"/>
      <c r="D1777" s="230"/>
      <c r="V1777" s="219"/>
    </row>
    <row r="1778" spans="1:22" x14ac:dyDescent="0.2">
      <c r="A1778" s="229"/>
      <c r="B1778" s="230"/>
      <c r="D1778" s="230"/>
      <c r="V1778" s="219"/>
    </row>
    <row r="1779" spans="1:22" x14ac:dyDescent="0.2">
      <c r="A1779" s="229"/>
      <c r="B1779" s="230"/>
      <c r="D1779" s="230"/>
      <c r="V1779" s="219"/>
    </row>
    <row r="1780" spans="1:22" x14ac:dyDescent="0.2">
      <c r="A1780" s="229"/>
      <c r="B1780" s="230"/>
      <c r="D1780" s="230"/>
      <c r="V1780" s="219"/>
    </row>
    <row r="1781" spans="1:22" x14ac:dyDescent="0.2">
      <c r="A1781" s="229"/>
      <c r="B1781" s="230"/>
      <c r="D1781" s="230"/>
      <c r="V1781" s="219"/>
    </row>
    <row r="1782" spans="1:22" x14ac:dyDescent="0.2">
      <c r="A1782" s="229"/>
      <c r="B1782" s="230"/>
      <c r="D1782" s="230"/>
      <c r="V1782" s="219"/>
    </row>
    <row r="1783" spans="1:22" x14ac:dyDescent="0.2">
      <c r="A1783" s="229"/>
      <c r="B1783" s="230"/>
      <c r="D1783" s="230"/>
      <c r="V1783" s="219"/>
    </row>
    <row r="1784" spans="1:22" x14ac:dyDescent="0.2">
      <c r="A1784" s="229"/>
      <c r="B1784" s="230"/>
      <c r="D1784" s="230"/>
      <c r="V1784" s="219"/>
    </row>
    <row r="1785" spans="1:22" x14ac:dyDescent="0.2">
      <c r="A1785" s="229"/>
      <c r="B1785" s="230"/>
      <c r="D1785" s="230"/>
      <c r="V1785" s="219"/>
    </row>
    <row r="1786" spans="1:22" x14ac:dyDescent="0.2">
      <c r="A1786" s="229"/>
      <c r="B1786" s="230"/>
      <c r="D1786" s="230"/>
      <c r="V1786" s="219"/>
    </row>
    <row r="1787" spans="1:22" x14ac:dyDescent="0.2">
      <c r="A1787" s="229"/>
      <c r="B1787" s="230"/>
      <c r="D1787" s="230"/>
      <c r="V1787" s="219"/>
    </row>
    <row r="1788" spans="1:22" x14ac:dyDescent="0.2">
      <c r="A1788" s="229"/>
      <c r="B1788" s="230"/>
      <c r="D1788" s="230"/>
      <c r="V1788" s="219"/>
    </row>
    <row r="1789" spans="1:22" x14ac:dyDescent="0.2">
      <c r="A1789" s="229"/>
      <c r="B1789" s="230"/>
      <c r="D1789" s="230"/>
      <c r="V1789" s="219"/>
    </row>
    <row r="1790" spans="1:22" x14ac:dyDescent="0.2">
      <c r="A1790" s="229"/>
      <c r="B1790" s="230"/>
      <c r="D1790" s="230"/>
      <c r="V1790" s="219"/>
    </row>
    <row r="1791" spans="1:22" x14ac:dyDescent="0.2">
      <c r="A1791" s="229"/>
      <c r="B1791" s="230"/>
      <c r="D1791" s="230"/>
      <c r="V1791" s="219"/>
    </row>
    <row r="1792" spans="1:22" x14ac:dyDescent="0.2">
      <c r="A1792" s="229"/>
      <c r="B1792" s="230"/>
      <c r="D1792" s="230"/>
      <c r="V1792" s="219"/>
    </row>
    <row r="1793" spans="1:22" x14ac:dyDescent="0.2">
      <c r="A1793" s="229"/>
      <c r="B1793" s="230"/>
      <c r="D1793" s="230"/>
      <c r="V1793" s="219"/>
    </row>
    <row r="1794" spans="1:22" x14ac:dyDescent="0.2">
      <c r="A1794" s="229"/>
      <c r="B1794" s="230"/>
      <c r="D1794" s="230"/>
      <c r="V1794" s="219"/>
    </row>
    <row r="1795" spans="1:22" x14ac:dyDescent="0.2">
      <c r="A1795" s="229"/>
      <c r="B1795" s="230"/>
      <c r="D1795" s="230"/>
      <c r="V1795" s="219"/>
    </row>
    <row r="1796" spans="1:22" x14ac:dyDescent="0.2">
      <c r="A1796" s="229"/>
      <c r="B1796" s="230"/>
      <c r="D1796" s="230"/>
      <c r="V1796" s="219"/>
    </row>
    <row r="1797" spans="1:22" x14ac:dyDescent="0.2">
      <c r="A1797" s="229"/>
      <c r="B1797" s="230"/>
      <c r="D1797" s="230"/>
      <c r="V1797" s="219"/>
    </row>
    <row r="1798" spans="1:22" x14ac:dyDescent="0.2">
      <c r="A1798" s="229"/>
      <c r="B1798" s="230"/>
      <c r="D1798" s="230"/>
      <c r="V1798" s="219"/>
    </row>
    <row r="1799" spans="1:22" x14ac:dyDescent="0.2">
      <c r="A1799" s="229"/>
      <c r="B1799" s="230"/>
      <c r="D1799" s="230"/>
      <c r="V1799" s="219"/>
    </row>
    <row r="1800" spans="1:22" x14ac:dyDescent="0.2">
      <c r="A1800" s="229"/>
      <c r="B1800" s="230"/>
      <c r="D1800" s="230"/>
      <c r="V1800" s="219"/>
    </row>
    <row r="1801" spans="1:22" x14ac:dyDescent="0.2">
      <c r="A1801" s="229"/>
      <c r="B1801" s="230"/>
      <c r="D1801" s="230"/>
      <c r="V1801" s="219"/>
    </row>
    <row r="1802" spans="1:22" x14ac:dyDescent="0.2">
      <c r="A1802" s="229"/>
      <c r="B1802" s="230"/>
      <c r="D1802" s="230"/>
      <c r="V1802" s="219"/>
    </row>
    <row r="1803" spans="1:22" x14ac:dyDescent="0.2">
      <c r="A1803" s="229"/>
      <c r="B1803" s="230"/>
      <c r="D1803" s="230"/>
      <c r="V1803" s="219"/>
    </row>
    <row r="1804" spans="1:22" x14ac:dyDescent="0.2">
      <c r="A1804" s="229"/>
      <c r="B1804" s="230"/>
      <c r="D1804" s="230"/>
      <c r="V1804" s="219"/>
    </row>
    <row r="1805" spans="1:22" x14ac:dyDescent="0.2">
      <c r="A1805" s="229"/>
      <c r="B1805" s="230"/>
      <c r="D1805" s="230"/>
      <c r="V1805" s="219"/>
    </row>
    <row r="1806" spans="1:22" x14ac:dyDescent="0.2">
      <c r="A1806" s="229"/>
      <c r="B1806" s="230"/>
      <c r="D1806" s="230"/>
      <c r="V1806" s="219"/>
    </row>
    <row r="1807" spans="1:22" x14ac:dyDescent="0.2">
      <c r="A1807" s="229"/>
      <c r="B1807" s="230"/>
      <c r="D1807" s="230"/>
      <c r="V1807" s="219"/>
    </row>
    <row r="1808" spans="1:22" x14ac:dyDescent="0.2">
      <c r="A1808" s="229"/>
      <c r="B1808" s="230"/>
      <c r="D1808" s="230"/>
      <c r="V1808" s="219"/>
    </row>
    <row r="1809" spans="1:22" x14ac:dyDescent="0.2">
      <c r="A1809" s="229"/>
      <c r="B1809" s="230"/>
      <c r="D1809" s="230"/>
      <c r="V1809" s="219"/>
    </row>
    <row r="1810" spans="1:22" x14ac:dyDescent="0.2">
      <c r="A1810" s="229"/>
      <c r="B1810" s="230"/>
      <c r="D1810" s="230"/>
      <c r="V1810" s="219"/>
    </row>
    <row r="1811" spans="1:22" x14ac:dyDescent="0.2">
      <c r="A1811" s="229"/>
      <c r="B1811" s="230"/>
      <c r="D1811" s="230"/>
      <c r="V1811" s="219"/>
    </row>
    <row r="1812" spans="1:22" x14ac:dyDescent="0.2">
      <c r="A1812" s="229"/>
      <c r="B1812" s="230"/>
      <c r="D1812" s="230"/>
      <c r="V1812" s="219"/>
    </row>
    <row r="1813" spans="1:22" x14ac:dyDescent="0.2">
      <c r="A1813" s="229"/>
      <c r="B1813" s="230"/>
      <c r="D1813" s="230"/>
      <c r="V1813" s="219"/>
    </row>
    <row r="1814" spans="1:22" x14ac:dyDescent="0.2">
      <c r="A1814" s="229"/>
      <c r="B1814" s="230"/>
      <c r="D1814" s="230"/>
      <c r="V1814" s="219"/>
    </row>
    <row r="1815" spans="1:22" x14ac:dyDescent="0.2">
      <c r="A1815" s="229"/>
      <c r="B1815" s="230"/>
      <c r="D1815" s="230"/>
      <c r="V1815" s="219"/>
    </row>
    <row r="1816" spans="1:22" x14ac:dyDescent="0.2">
      <c r="A1816" s="229"/>
      <c r="B1816" s="230"/>
      <c r="D1816" s="230"/>
      <c r="V1816" s="219"/>
    </row>
    <row r="1817" spans="1:22" x14ac:dyDescent="0.2">
      <c r="A1817" s="229"/>
      <c r="B1817" s="230"/>
      <c r="D1817" s="230"/>
      <c r="V1817" s="219"/>
    </row>
    <row r="1818" spans="1:22" x14ac:dyDescent="0.2">
      <c r="A1818" s="229"/>
      <c r="B1818" s="230"/>
      <c r="D1818" s="230"/>
      <c r="V1818" s="219"/>
    </row>
    <row r="1819" spans="1:22" x14ac:dyDescent="0.2">
      <c r="A1819" s="229"/>
      <c r="B1819" s="230"/>
      <c r="D1819" s="230"/>
      <c r="V1819" s="219"/>
    </row>
    <row r="1820" spans="1:22" x14ac:dyDescent="0.2">
      <c r="A1820" s="229"/>
      <c r="B1820" s="230"/>
      <c r="D1820" s="230"/>
      <c r="V1820" s="219"/>
    </row>
    <row r="1821" spans="1:22" x14ac:dyDescent="0.2">
      <c r="A1821" s="229"/>
      <c r="B1821" s="230"/>
      <c r="D1821" s="230"/>
      <c r="V1821" s="219"/>
    </row>
    <row r="1822" spans="1:22" x14ac:dyDescent="0.2">
      <c r="A1822" s="229"/>
      <c r="B1822" s="230"/>
      <c r="D1822" s="230"/>
      <c r="V1822" s="219"/>
    </row>
    <row r="1823" spans="1:22" x14ac:dyDescent="0.2">
      <c r="A1823" s="229"/>
      <c r="B1823" s="230"/>
      <c r="D1823" s="230"/>
      <c r="V1823" s="219"/>
    </row>
    <row r="1824" spans="1:22" x14ac:dyDescent="0.2">
      <c r="A1824" s="229"/>
      <c r="B1824" s="230"/>
      <c r="D1824" s="230"/>
      <c r="V1824" s="219"/>
    </row>
    <row r="1825" spans="1:22" x14ac:dyDescent="0.2">
      <c r="A1825" s="229"/>
      <c r="B1825" s="230"/>
      <c r="D1825" s="230"/>
      <c r="V1825" s="219"/>
    </row>
    <row r="1826" spans="1:22" x14ac:dyDescent="0.2">
      <c r="A1826" s="229"/>
      <c r="B1826" s="230"/>
      <c r="D1826" s="230"/>
      <c r="V1826" s="219"/>
    </row>
    <row r="1827" spans="1:22" x14ac:dyDescent="0.2">
      <c r="A1827" s="229"/>
      <c r="B1827" s="230"/>
      <c r="D1827" s="230"/>
      <c r="V1827" s="219"/>
    </row>
    <row r="1828" spans="1:22" x14ac:dyDescent="0.2">
      <c r="A1828" s="229"/>
      <c r="B1828" s="230"/>
      <c r="D1828" s="230"/>
      <c r="V1828" s="219"/>
    </row>
    <row r="1829" spans="1:22" x14ac:dyDescent="0.2">
      <c r="A1829" s="229"/>
      <c r="B1829" s="230"/>
      <c r="D1829" s="230"/>
      <c r="V1829" s="219"/>
    </row>
    <row r="1830" spans="1:22" x14ac:dyDescent="0.2">
      <c r="A1830" s="229"/>
      <c r="B1830" s="230"/>
      <c r="D1830" s="230"/>
      <c r="V1830" s="219"/>
    </row>
    <row r="1831" spans="1:22" x14ac:dyDescent="0.2">
      <c r="A1831" s="229"/>
      <c r="B1831" s="230"/>
      <c r="D1831" s="230"/>
      <c r="V1831" s="219"/>
    </row>
    <row r="1832" spans="1:22" x14ac:dyDescent="0.2">
      <c r="A1832" s="229"/>
      <c r="B1832" s="230"/>
      <c r="D1832" s="230"/>
      <c r="V1832" s="219"/>
    </row>
    <row r="1833" spans="1:22" x14ac:dyDescent="0.2">
      <c r="A1833" s="229"/>
      <c r="B1833" s="230"/>
      <c r="D1833" s="230"/>
      <c r="V1833" s="219"/>
    </row>
    <row r="1834" spans="1:22" x14ac:dyDescent="0.2">
      <c r="A1834" s="229"/>
      <c r="B1834" s="230"/>
      <c r="D1834" s="230"/>
      <c r="V1834" s="219"/>
    </row>
    <row r="1835" spans="1:22" x14ac:dyDescent="0.2">
      <c r="A1835" s="229"/>
      <c r="B1835" s="230"/>
      <c r="D1835" s="230"/>
      <c r="V1835" s="219"/>
    </row>
    <row r="1836" spans="1:22" x14ac:dyDescent="0.2">
      <c r="A1836" s="229"/>
      <c r="B1836" s="230"/>
      <c r="D1836" s="230"/>
      <c r="V1836" s="219"/>
    </row>
    <row r="1837" spans="1:22" x14ac:dyDescent="0.2">
      <c r="A1837" s="229"/>
      <c r="B1837" s="230"/>
      <c r="D1837" s="230"/>
      <c r="V1837" s="219"/>
    </row>
    <row r="1838" spans="1:22" x14ac:dyDescent="0.2">
      <c r="A1838" s="229"/>
      <c r="B1838" s="230"/>
      <c r="D1838" s="230"/>
      <c r="V1838" s="219"/>
    </row>
    <row r="1839" spans="1:22" x14ac:dyDescent="0.2">
      <c r="A1839" s="229"/>
      <c r="B1839" s="230"/>
      <c r="D1839" s="230"/>
      <c r="V1839" s="219"/>
    </row>
    <row r="1840" spans="1:22" x14ac:dyDescent="0.2">
      <c r="A1840" s="229"/>
      <c r="B1840" s="230"/>
      <c r="D1840" s="230"/>
      <c r="V1840" s="219"/>
    </row>
    <row r="1841" spans="1:22" x14ac:dyDescent="0.2">
      <c r="A1841" s="229"/>
      <c r="B1841" s="230"/>
      <c r="D1841" s="230"/>
      <c r="V1841" s="219"/>
    </row>
    <row r="1842" spans="1:22" x14ac:dyDescent="0.2">
      <c r="A1842" s="229"/>
      <c r="B1842" s="230"/>
      <c r="D1842" s="230"/>
      <c r="V1842" s="219"/>
    </row>
    <row r="1843" spans="1:22" x14ac:dyDescent="0.2">
      <c r="A1843" s="229"/>
      <c r="B1843" s="230"/>
      <c r="D1843" s="230"/>
      <c r="V1843" s="219"/>
    </row>
    <row r="1844" spans="1:22" x14ac:dyDescent="0.2">
      <c r="A1844" s="229"/>
      <c r="B1844" s="230"/>
      <c r="D1844" s="230"/>
      <c r="V1844" s="219"/>
    </row>
    <row r="1845" spans="1:22" x14ac:dyDescent="0.2">
      <c r="A1845" s="229"/>
      <c r="B1845" s="230"/>
      <c r="D1845" s="230"/>
      <c r="V1845" s="219"/>
    </row>
    <row r="1846" spans="1:22" x14ac:dyDescent="0.2">
      <c r="A1846" s="229"/>
      <c r="B1846" s="230"/>
      <c r="D1846" s="230"/>
      <c r="V1846" s="219"/>
    </row>
    <row r="1847" spans="1:22" x14ac:dyDescent="0.2">
      <c r="A1847" s="229"/>
      <c r="B1847" s="230"/>
      <c r="D1847" s="230"/>
      <c r="V1847" s="219"/>
    </row>
    <row r="1848" spans="1:22" x14ac:dyDescent="0.2">
      <c r="A1848" s="229"/>
      <c r="B1848" s="230"/>
      <c r="D1848" s="230"/>
      <c r="V1848" s="219"/>
    </row>
    <row r="1849" spans="1:22" x14ac:dyDescent="0.2">
      <c r="A1849" s="229"/>
      <c r="B1849" s="230"/>
      <c r="D1849" s="230"/>
      <c r="V1849" s="219"/>
    </row>
    <row r="1850" spans="1:22" x14ac:dyDescent="0.2">
      <c r="A1850" s="229"/>
      <c r="B1850" s="230"/>
      <c r="D1850" s="230"/>
      <c r="V1850" s="219"/>
    </row>
    <row r="1851" spans="1:22" x14ac:dyDescent="0.2">
      <c r="A1851" s="229"/>
      <c r="B1851" s="230"/>
      <c r="D1851" s="230"/>
      <c r="V1851" s="219"/>
    </row>
    <row r="1852" spans="1:22" x14ac:dyDescent="0.2">
      <c r="A1852" s="229"/>
      <c r="B1852" s="230"/>
      <c r="D1852" s="230"/>
      <c r="V1852" s="219"/>
    </row>
    <row r="1853" spans="1:22" x14ac:dyDescent="0.2">
      <c r="A1853" s="229"/>
      <c r="B1853" s="230"/>
      <c r="D1853" s="230"/>
      <c r="V1853" s="219"/>
    </row>
    <row r="1854" spans="1:22" x14ac:dyDescent="0.2">
      <c r="A1854" s="229"/>
      <c r="B1854" s="230"/>
      <c r="D1854" s="230"/>
      <c r="V1854" s="219"/>
    </row>
    <row r="1855" spans="1:22" x14ac:dyDescent="0.2">
      <c r="A1855" s="229"/>
      <c r="B1855" s="230"/>
      <c r="D1855" s="230"/>
      <c r="V1855" s="219"/>
    </row>
    <row r="1856" spans="1:22" x14ac:dyDescent="0.2">
      <c r="A1856" s="229"/>
      <c r="B1856" s="230"/>
      <c r="D1856" s="230"/>
      <c r="V1856" s="219"/>
    </row>
    <row r="1857" spans="1:22" x14ac:dyDescent="0.2">
      <c r="A1857" s="229"/>
      <c r="B1857" s="230"/>
      <c r="D1857" s="230"/>
      <c r="V1857" s="219"/>
    </row>
    <row r="1858" spans="1:22" x14ac:dyDescent="0.2">
      <c r="A1858" s="229"/>
      <c r="B1858" s="230"/>
      <c r="D1858" s="230"/>
      <c r="V1858" s="219"/>
    </row>
    <row r="1859" spans="1:22" x14ac:dyDescent="0.2">
      <c r="A1859" s="229"/>
      <c r="B1859" s="230"/>
      <c r="D1859" s="230"/>
      <c r="V1859" s="219"/>
    </row>
    <row r="1860" spans="1:22" x14ac:dyDescent="0.2">
      <c r="A1860" s="229"/>
      <c r="B1860" s="230"/>
      <c r="D1860" s="230"/>
      <c r="V1860" s="219"/>
    </row>
    <row r="1861" spans="1:22" x14ac:dyDescent="0.2">
      <c r="A1861" s="229"/>
      <c r="B1861" s="230"/>
      <c r="D1861" s="230"/>
      <c r="V1861" s="219"/>
    </row>
    <row r="1862" spans="1:22" x14ac:dyDescent="0.2">
      <c r="A1862" s="229"/>
      <c r="B1862" s="230"/>
      <c r="D1862" s="230"/>
      <c r="V1862" s="219"/>
    </row>
    <row r="1863" spans="1:22" x14ac:dyDescent="0.2">
      <c r="A1863" s="229"/>
      <c r="B1863" s="230"/>
      <c r="D1863" s="230"/>
      <c r="V1863" s="219"/>
    </row>
    <row r="1864" spans="1:22" x14ac:dyDescent="0.2">
      <c r="A1864" s="229"/>
      <c r="B1864" s="230"/>
      <c r="D1864" s="230"/>
      <c r="V1864" s="219"/>
    </row>
    <row r="1865" spans="1:22" x14ac:dyDescent="0.2">
      <c r="A1865" s="229"/>
      <c r="B1865" s="230"/>
      <c r="D1865" s="230"/>
      <c r="V1865" s="219"/>
    </row>
    <row r="1866" spans="1:22" x14ac:dyDescent="0.2">
      <c r="A1866" s="229"/>
      <c r="B1866" s="230"/>
      <c r="D1866" s="230"/>
      <c r="V1866" s="219"/>
    </row>
    <row r="1867" spans="1:22" x14ac:dyDescent="0.2">
      <c r="A1867" s="229"/>
      <c r="B1867" s="230"/>
      <c r="D1867" s="230"/>
      <c r="V1867" s="219"/>
    </row>
    <row r="1868" spans="1:22" x14ac:dyDescent="0.2">
      <c r="A1868" s="229"/>
      <c r="B1868" s="230"/>
      <c r="D1868" s="230"/>
      <c r="V1868" s="219"/>
    </row>
    <row r="1869" spans="1:22" x14ac:dyDescent="0.2">
      <c r="A1869" s="229"/>
      <c r="B1869" s="230"/>
      <c r="D1869" s="230"/>
      <c r="V1869" s="219"/>
    </row>
    <row r="1870" spans="1:22" x14ac:dyDescent="0.2">
      <c r="A1870" s="229"/>
      <c r="B1870" s="230"/>
      <c r="D1870" s="230"/>
      <c r="V1870" s="219"/>
    </row>
    <row r="1871" spans="1:22" x14ac:dyDescent="0.2">
      <c r="A1871" s="229"/>
      <c r="B1871" s="230"/>
      <c r="D1871" s="230"/>
      <c r="V1871" s="219"/>
    </row>
    <row r="1872" spans="1:22" x14ac:dyDescent="0.2">
      <c r="A1872" s="229"/>
      <c r="B1872" s="230"/>
      <c r="D1872" s="230"/>
      <c r="V1872" s="219"/>
    </row>
    <row r="1873" spans="1:22" x14ac:dyDescent="0.2">
      <c r="A1873" s="229"/>
      <c r="B1873" s="230"/>
      <c r="D1873" s="230"/>
      <c r="V1873" s="219"/>
    </row>
    <row r="1874" spans="1:22" x14ac:dyDescent="0.2">
      <c r="A1874" s="229"/>
      <c r="B1874" s="230"/>
      <c r="D1874" s="230"/>
      <c r="V1874" s="219"/>
    </row>
    <row r="1875" spans="1:22" x14ac:dyDescent="0.2">
      <c r="A1875" s="229"/>
      <c r="B1875" s="230"/>
      <c r="D1875" s="230"/>
      <c r="V1875" s="219"/>
    </row>
    <row r="1876" spans="1:22" x14ac:dyDescent="0.2">
      <c r="A1876" s="229"/>
      <c r="B1876" s="230"/>
      <c r="D1876" s="230"/>
      <c r="V1876" s="219"/>
    </row>
    <row r="1877" spans="1:22" x14ac:dyDescent="0.2">
      <c r="A1877" s="229"/>
      <c r="B1877" s="230"/>
      <c r="D1877" s="230"/>
      <c r="V1877" s="219"/>
    </row>
    <row r="1878" spans="1:22" x14ac:dyDescent="0.2">
      <c r="A1878" s="229"/>
      <c r="B1878" s="230"/>
      <c r="D1878" s="230"/>
      <c r="V1878" s="219"/>
    </row>
    <row r="1879" spans="1:22" x14ac:dyDescent="0.2">
      <c r="A1879" s="229"/>
      <c r="B1879" s="230"/>
      <c r="D1879" s="230"/>
      <c r="V1879" s="219"/>
    </row>
    <row r="1880" spans="1:22" x14ac:dyDescent="0.2">
      <c r="A1880" s="229"/>
      <c r="B1880" s="230"/>
      <c r="D1880" s="230"/>
      <c r="V1880" s="219"/>
    </row>
    <row r="1881" spans="1:22" x14ac:dyDescent="0.2">
      <c r="A1881" s="229"/>
      <c r="B1881" s="230"/>
      <c r="D1881" s="230"/>
      <c r="V1881" s="219"/>
    </row>
    <row r="1882" spans="1:22" x14ac:dyDescent="0.2">
      <c r="A1882" s="229"/>
      <c r="B1882" s="230"/>
      <c r="D1882" s="230"/>
      <c r="V1882" s="219"/>
    </row>
    <row r="1883" spans="1:22" x14ac:dyDescent="0.2">
      <c r="A1883" s="229"/>
      <c r="B1883" s="230"/>
      <c r="D1883" s="230"/>
      <c r="V1883" s="219"/>
    </row>
    <row r="1884" spans="1:22" x14ac:dyDescent="0.2">
      <c r="A1884" s="229"/>
      <c r="B1884" s="230"/>
      <c r="D1884" s="230"/>
      <c r="V1884" s="219"/>
    </row>
    <row r="1885" spans="1:22" x14ac:dyDescent="0.2">
      <c r="A1885" s="229"/>
      <c r="B1885" s="230"/>
      <c r="D1885" s="230"/>
      <c r="V1885" s="219"/>
    </row>
    <row r="1886" spans="1:22" x14ac:dyDescent="0.2">
      <c r="A1886" s="229"/>
      <c r="B1886" s="230"/>
      <c r="D1886" s="230"/>
      <c r="V1886" s="219"/>
    </row>
    <row r="1887" spans="1:22" x14ac:dyDescent="0.2">
      <c r="A1887" s="229"/>
      <c r="B1887" s="230"/>
      <c r="D1887" s="230"/>
      <c r="V1887" s="219"/>
    </row>
    <row r="1888" spans="1:22" x14ac:dyDescent="0.2">
      <c r="A1888" s="229"/>
      <c r="B1888" s="230"/>
      <c r="D1888" s="230"/>
      <c r="V1888" s="219"/>
    </row>
    <row r="1889" spans="1:22" x14ac:dyDescent="0.2">
      <c r="A1889" s="229"/>
      <c r="B1889" s="230"/>
      <c r="D1889" s="230"/>
      <c r="V1889" s="219"/>
    </row>
    <row r="1890" spans="1:22" x14ac:dyDescent="0.2">
      <c r="A1890" s="229"/>
      <c r="B1890" s="230"/>
      <c r="D1890" s="230"/>
      <c r="V1890" s="219"/>
    </row>
    <row r="1891" spans="1:22" x14ac:dyDescent="0.2">
      <c r="A1891" s="229"/>
      <c r="B1891" s="230"/>
      <c r="D1891" s="230"/>
      <c r="V1891" s="219"/>
    </row>
    <row r="1892" spans="1:22" x14ac:dyDescent="0.2">
      <c r="A1892" s="229"/>
      <c r="B1892" s="230"/>
      <c r="D1892" s="230"/>
      <c r="V1892" s="219"/>
    </row>
    <row r="1893" spans="1:22" x14ac:dyDescent="0.2">
      <c r="A1893" s="229"/>
      <c r="B1893" s="230"/>
      <c r="D1893" s="230"/>
      <c r="V1893" s="219"/>
    </row>
    <row r="1894" spans="1:22" x14ac:dyDescent="0.2">
      <c r="A1894" s="229"/>
      <c r="B1894" s="230"/>
      <c r="D1894" s="230"/>
      <c r="V1894" s="219"/>
    </row>
    <row r="1895" spans="1:22" x14ac:dyDescent="0.2">
      <c r="A1895" s="229"/>
      <c r="B1895" s="230"/>
      <c r="D1895" s="230"/>
      <c r="V1895" s="219"/>
    </row>
    <row r="1896" spans="1:22" x14ac:dyDescent="0.2">
      <c r="A1896" s="229"/>
      <c r="B1896" s="230"/>
      <c r="D1896" s="230"/>
      <c r="V1896" s="219"/>
    </row>
    <row r="1897" spans="1:22" x14ac:dyDescent="0.2">
      <c r="A1897" s="229"/>
      <c r="B1897" s="230"/>
      <c r="D1897" s="230"/>
      <c r="V1897" s="219"/>
    </row>
    <row r="1898" spans="1:22" x14ac:dyDescent="0.2">
      <c r="A1898" s="229"/>
      <c r="B1898" s="230"/>
      <c r="D1898" s="230"/>
      <c r="V1898" s="219"/>
    </row>
    <row r="1899" spans="1:22" x14ac:dyDescent="0.2">
      <c r="A1899" s="229"/>
      <c r="B1899" s="230"/>
      <c r="D1899" s="230"/>
      <c r="V1899" s="219"/>
    </row>
    <row r="1900" spans="1:22" x14ac:dyDescent="0.2">
      <c r="A1900" s="229"/>
      <c r="B1900" s="230"/>
      <c r="D1900" s="230"/>
      <c r="V1900" s="219"/>
    </row>
    <row r="1901" spans="1:22" x14ac:dyDescent="0.2">
      <c r="A1901" s="229"/>
      <c r="B1901" s="230"/>
      <c r="D1901" s="230"/>
      <c r="V1901" s="219"/>
    </row>
    <row r="1902" spans="1:22" x14ac:dyDescent="0.2">
      <c r="A1902" s="229"/>
      <c r="B1902" s="230"/>
      <c r="D1902" s="230"/>
      <c r="V1902" s="219"/>
    </row>
    <row r="1903" spans="1:22" x14ac:dyDescent="0.2">
      <c r="A1903" s="229"/>
      <c r="B1903" s="230"/>
      <c r="D1903" s="230"/>
      <c r="V1903" s="219"/>
    </row>
    <row r="1904" spans="1:22" x14ac:dyDescent="0.2">
      <c r="A1904" s="229"/>
      <c r="B1904" s="230"/>
      <c r="D1904" s="230"/>
      <c r="V1904" s="219"/>
    </row>
    <row r="1905" spans="1:22" x14ac:dyDescent="0.2">
      <c r="A1905" s="229"/>
      <c r="B1905" s="230"/>
      <c r="D1905" s="230"/>
      <c r="V1905" s="219"/>
    </row>
    <row r="1906" spans="1:22" x14ac:dyDescent="0.2">
      <c r="A1906" s="229"/>
      <c r="B1906" s="230"/>
      <c r="D1906" s="230"/>
      <c r="V1906" s="219"/>
    </row>
    <row r="1907" spans="1:22" x14ac:dyDescent="0.2">
      <c r="A1907" s="229"/>
      <c r="B1907" s="230"/>
      <c r="D1907" s="230"/>
      <c r="V1907" s="219"/>
    </row>
    <row r="1908" spans="1:22" x14ac:dyDescent="0.2">
      <c r="A1908" s="229"/>
      <c r="B1908" s="230"/>
      <c r="D1908" s="230"/>
      <c r="V1908" s="219"/>
    </row>
    <row r="1909" spans="1:22" x14ac:dyDescent="0.2">
      <c r="A1909" s="229"/>
      <c r="B1909" s="230"/>
      <c r="D1909" s="230"/>
      <c r="V1909" s="219"/>
    </row>
    <row r="1910" spans="1:22" x14ac:dyDescent="0.2">
      <c r="A1910" s="229"/>
      <c r="B1910" s="230"/>
      <c r="D1910" s="230"/>
      <c r="V1910" s="219"/>
    </row>
    <row r="1911" spans="1:22" x14ac:dyDescent="0.2">
      <c r="A1911" s="229"/>
      <c r="B1911" s="230"/>
      <c r="D1911" s="230"/>
      <c r="V1911" s="219"/>
    </row>
    <row r="1912" spans="1:22" x14ac:dyDescent="0.2">
      <c r="A1912" s="229"/>
      <c r="B1912" s="230"/>
      <c r="D1912" s="230"/>
      <c r="V1912" s="219"/>
    </row>
    <row r="1913" spans="1:22" x14ac:dyDescent="0.2">
      <c r="A1913" s="229"/>
      <c r="B1913" s="230"/>
      <c r="D1913" s="230"/>
      <c r="V1913" s="219"/>
    </row>
    <row r="1914" spans="1:22" x14ac:dyDescent="0.2">
      <c r="A1914" s="229"/>
      <c r="B1914" s="230"/>
      <c r="D1914" s="230"/>
      <c r="V1914" s="219"/>
    </row>
    <row r="1915" spans="1:22" x14ac:dyDescent="0.2">
      <c r="A1915" s="229"/>
      <c r="B1915" s="230"/>
      <c r="D1915" s="230"/>
      <c r="V1915" s="219"/>
    </row>
    <row r="1916" spans="1:22" x14ac:dyDescent="0.2">
      <c r="A1916" s="229"/>
      <c r="B1916" s="230"/>
      <c r="D1916" s="230"/>
      <c r="V1916" s="219"/>
    </row>
    <row r="1917" spans="1:22" x14ac:dyDescent="0.2">
      <c r="A1917" s="229"/>
      <c r="B1917" s="230"/>
      <c r="D1917" s="230"/>
      <c r="V1917" s="219"/>
    </row>
    <row r="1918" spans="1:22" x14ac:dyDescent="0.2">
      <c r="A1918" s="229"/>
      <c r="B1918" s="230"/>
      <c r="D1918" s="230"/>
      <c r="V1918" s="219"/>
    </row>
    <row r="1919" spans="1:22" x14ac:dyDescent="0.2">
      <c r="A1919" s="229"/>
      <c r="B1919" s="230"/>
      <c r="D1919" s="230"/>
      <c r="V1919" s="219"/>
    </row>
    <row r="1920" spans="1:22" x14ac:dyDescent="0.2">
      <c r="A1920" s="229"/>
      <c r="B1920" s="230"/>
      <c r="D1920" s="230"/>
      <c r="V1920" s="219"/>
    </row>
    <row r="1921" spans="1:22" x14ac:dyDescent="0.2">
      <c r="A1921" s="229"/>
      <c r="B1921" s="230"/>
      <c r="D1921" s="230"/>
      <c r="V1921" s="219"/>
    </row>
    <row r="1922" spans="1:22" x14ac:dyDescent="0.2">
      <c r="A1922" s="229"/>
      <c r="B1922" s="230"/>
      <c r="D1922" s="230"/>
      <c r="V1922" s="219"/>
    </row>
    <row r="1923" spans="1:22" x14ac:dyDescent="0.2">
      <c r="A1923" s="229"/>
      <c r="B1923" s="230"/>
      <c r="D1923" s="230"/>
      <c r="V1923" s="219"/>
    </row>
    <row r="1924" spans="1:22" x14ac:dyDescent="0.2">
      <c r="A1924" s="229"/>
      <c r="B1924" s="230"/>
      <c r="D1924" s="230"/>
      <c r="V1924" s="219"/>
    </row>
    <row r="1925" spans="1:22" x14ac:dyDescent="0.2">
      <c r="A1925" s="229"/>
      <c r="B1925" s="230"/>
      <c r="D1925" s="230"/>
      <c r="V1925" s="219"/>
    </row>
    <row r="1926" spans="1:22" x14ac:dyDescent="0.2">
      <c r="A1926" s="229"/>
      <c r="B1926" s="230"/>
      <c r="D1926" s="230"/>
      <c r="V1926" s="219"/>
    </row>
    <row r="1927" spans="1:22" x14ac:dyDescent="0.2">
      <c r="A1927" s="229"/>
      <c r="B1927" s="230"/>
      <c r="D1927" s="230"/>
      <c r="V1927" s="219"/>
    </row>
    <row r="1928" spans="1:22" x14ac:dyDescent="0.2">
      <c r="A1928" s="229"/>
      <c r="B1928" s="230"/>
      <c r="D1928" s="230"/>
      <c r="V1928" s="219"/>
    </row>
    <row r="1929" spans="1:22" x14ac:dyDescent="0.2">
      <c r="A1929" s="229"/>
      <c r="B1929" s="230"/>
      <c r="D1929" s="230"/>
      <c r="V1929" s="219"/>
    </row>
    <row r="1930" spans="1:22" x14ac:dyDescent="0.2">
      <c r="A1930" s="229"/>
      <c r="B1930" s="230"/>
      <c r="D1930" s="230"/>
      <c r="V1930" s="219"/>
    </row>
    <row r="1931" spans="1:22" x14ac:dyDescent="0.2">
      <c r="A1931" s="229"/>
      <c r="B1931" s="230"/>
      <c r="D1931" s="230"/>
      <c r="V1931" s="219"/>
    </row>
    <row r="1932" spans="1:22" x14ac:dyDescent="0.2">
      <c r="A1932" s="229"/>
      <c r="B1932" s="230"/>
      <c r="D1932" s="230"/>
      <c r="V1932" s="219"/>
    </row>
    <row r="1933" spans="1:22" x14ac:dyDescent="0.2">
      <c r="A1933" s="229"/>
      <c r="B1933" s="230"/>
      <c r="D1933" s="230"/>
      <c r="V1933" s="219"/>
    </row>
    <row r="1934" spans="1:22" x14ac:dyDescent="0.2">
      <c r="A1934" s="229"/>
      <c r="B1934" s="230"/>
      <c r="D1934" s="230"/>
      <c r="V1934" s="219"/>
    </row>
    <row r="1935" spans="1:22" x14ac:dyDescent="0.2">
      <c r="A1935" s="229"/>
      <c r="B1935" s="230"/>
      <c r="D1935" s="230"/>
      <c r="V1935" s="219"/>
    </row>
    <row r="1936" spans="1:22" x14ac:dyDescent="0.2">
      <c r="A1936" s="229"/>
      <c r="B1936" s="230"/>
      <c r="D1936" s="230"/>
      <c r="V1936" s="219"/>
    </row>
    <row r="1937" spans="1:22" x14ac:dyDescent="0.2">
      <c r="A1937" s="229"/>
      <c r="B1937" s="230"/>
      <c r="D1937" s="230"/>
      <c r="V1937" s="219"/>
    </row>
    <row r="1938" spans="1:22" x14ac:dyDescent="0.2">
      <c r="A1938" s="229"/>
      <c r="B1938" s="230"/>
      <c r="D1938" s="230"/>
      <c r="V1938" s="219"/>
    </row>
    <row r="1939" spans="1:22" x14ac:dyDescent="0.2">
      <c r="A1939" s="229"/>
      <c r="B1939" s="230"/>
      <c r="D1939" s="230"/>
      <c r="V1939" s="219"/>
    </row>
    <row r="1940" spans="1:22" x14ac:dyDescent="0.2">
      <c r="A1940" s="229"/>
      <c r="B1940" s="230"/>
      <c r="D1940" s="230"/>
      <c r="V1940" s="219"/>
    </row>
    <row r="1941" spans="1:22" x14ac:dyDescent="0.2">
      <c r="A1941" s="229"/>
      <c r="B1941" s="230"/>
      <c r="D1941" s="230"/>
      <c r="V1941" s="219"/>
    </row>
    <row r="1942" spans="1:22" x14ac:dyDescent="0.2">
      <c r="A1942" s="229"/>
      <c r="B1942" s="230"/>
      <c r="D1942" s="230"/>
      <c r="V1942" s="219"/>
    </row>
    <row r="1943" spans="1:22" x14ac:dyDescent="0.2">
      <c r="A1943" s="229"/>
      <c r="B1943" s="230"/>
      <c r="D1943" s="230"/>
      <c r="V1943" s="219"/>
    </row>
    <row r="1944" spans="1:22" x14ac:dyDescent="0.2">
      <c r="A1944" s="229"/>
      <c r="B1944" s="230"/>
      <c r="D1944" s="230"/>
      <c r="V1944" s="219"/>
    </row>
    <row r="1945" spans="1:22" x14ac:dyDescent="0.2">
      <c r="A1945" s="229"/>
      <c r="B1945" s="230"/>
      <c r="D1945" s="230"/>
      <c r="V1945" s="219"/>
    </row>
    <row r="1946" spans="1:22" x14ac:dyDescent="0.2">
      <c r="A1946" s="229"/>
      <c r="B1946" s="230"/>
      <c r="D1946" s="230"/>
      <c r="V1946" s="219"/>
    </row>
    <row r="1947" spans="1:22" x14ac:dyDescent="0.2">
      <c r="A1947" s="229"/>
      <c r="B1947" s="230"/>
      <c r="D1947" s="230"/>
      <c r="V1947" s="219"/>
    </row>
    <row r="1948" spans="1:22" x14ac:dyDescent="0.2">
      <c r="A1948" s="229"/>
      <c r="B1948" s="230"/>
      <c r="D1948" s="230"/>
      <c r="V1948" s="219"/>
    </row>
    <row r="1949" spans="1:22" x14ac:dyDescent="0.2">
      <c r="A1949" s="229"/>
      <c r="B1949" s="230"/>
      <c r="D1949" s="230"/>
      <c r="V1949" s="219"/>
    </row>
    <row r="1950" spans="1:22" x14ac:dyDescent="0.2">
      <c r="A1950" s="229"/>
      <c r="B1950" s="230"/>
      <c r="D1950" s="230"/>
      <c r="V1950" s="219"/>
    </row>
    <row r="1951" spans="1:22" x14ac:dyDescent="0.2">
      <c r="A1951" s="229"/>
      <c r="B1951" s="230"/>
      <c r="D1951" s="230"/>
      <c r="V1951" s="219"/>
    </row>
    <row r="1952" spans="1:22" x14ac:dyDescent="0.2">
      <c r="A1952" s="229"/>
      <c r="B1952" s="230"/>
      <c r="D1952" s="230"/>
      <c r="V1952" s="219"/>
    </row>
    <row r="1953" spans="1:22" x14ac:dyDescent="0.2">
      <c r="A1953" s="229"/>
      <c r="B1953" s="230"/>
      <c r="D1953" s="230"/>
      <c r="V1953" s="219"/>
    </row>
    <row r="1954" spans="1:22" x14ac:dyDescent="0.2">
      <c r="A1954" s="229"/>
      <c r="B1954" s="230"/>
      <c r="D1954" s="230"/>
      <c r="V1954" s="219"/>
    </row>
    <row r="1955" spans="1:22" x14ac:dyDescent="0.2">
      <c r="A1955" s="229"/>
      <c r="B1955" s="230"/>
      <c r="D1955" s="230"/>
      <c r="V1955" s="219"/>
    </row>
    <row r="1956" spans="1:22" x14ac:dyDescent="0.2">
      <c r="A1956" s="229"/>
      <c r="B1956" s="230"/>
      <c r="D1956" s="230"/>
      <c r="V1956" s="219"/>
    </row>
    <row r="1957" spans="1:22" x14ac:dyDescent="0.2">
      <c r="A1957" s="229"/>
      <c r="B1957" s="230"/>
      <c r="D1957" s="230"/>
      <c r="V1957" s="219"/>
    </row>
    <row r="1958" spans="1:22" x14ac:dyDescent="0.2">
      <c r="A1958" s="229"/>
      <c r="B1958" s="230"/>
      <c r="D1958" s="230"/>
      <c r="V1958" s="219"/>
    </row>
    <row r="1959" spans="1:22" x14ac:dyDescent="0.2">
      <c r="A1959" s="229"/>
      <c r="B1959" s="230"/>
      <c r="D1959" s="230"/>
      <c r="V1959" s="219"/>
    </row>
    <row r="1960" spans="1:22" x14ac:dyDescent="0.2">
      <c r="A1960" s="229"/>
      <c r="B1960" s="230"/>
      <c r="D1960" s="230"/>
      <c r="V1960" s="219"/>
    </row>
    <row r="1961" spans="1:22" x14ac:dyDescent="0.2">
      <c r="A1961" s="229"/>
      <c r="B1961" s="230"/>
      <c r="D1961" s="230"/>
      <c r="V1961" s="219"/>
    </row>
    <row r="1962" spans="1:22" x14ac:dyDescent="0.2">
      <c r="A1962" s="229"/>
      <c r="B1962" s="230"/>
      <c r="D1962" s="230"/>
      <c r="V1962" s="219"/>
    </row>
    <row r="1963" spans="1:22" x14ac:dyDescent="0.2">
      <c r="A1963" s="229"/>
      <c r="B1963" s="230"/>
      <c r="D1963" s="230"/>
      <c r="V1963" s="219"/>
    </row>
    <row r="1964" spans="1:22" x14ac:dyDescent="0.2">
      <c r="A1964" s="229"/>
      <c r="B1964" s="230"/>
      <c r="D1964" s="230"/>
      <c r="V1964" s="219"/>
    </row>
    <row r="1965" spans="1:22" x14ac:dyDescent="0.2">
      <c r="A1965" s="229"/>
      <c r="B1965" s="230"/>
      <c r="D1965" s="230"/>
      <c r="V1965" s="219"/>
    </row>
    <row r="1966" spans="1:22" x14ac:dyDescent="0.2">
      <c r="A1966" s="229"/>
      <c r="B1966" s="230"/>
      <c r="D1966" s="230"/>
      <c r="V1966" s="219"/>
    </row>
    <row r="1967" spans="1:22" x14ac:dyDescent="0.2">
      <c r="A1967" s="229"/>
      <c r="B1967" s="230"/>
      <c r="D1967" s="230"/>
      <c r="V1967" s="219"/>
    </row>
    <row r="1968" spans="1:22" x14ac:dyDescent="0.2">
      <c r="A1968" s="229"/>
      <c r="B1968" s="230"/>
      <c r="D1968" s="230"/>
      <c r="V1968" s="219"/>
    </row>
    <row r="1969" spans="1:22" x14ac:dyDescent="0.2">
      <c r="A1969" s="229"/>
      <c r="B1969" s="230"/>
      <c r="D1969" s="230"/>
      <c r="V1969" s="219"/>
    </row>
    <row r="1970" spans="1:22" x14ac:dyDescent="0.2">
      <c r="A1970" s="229"/>
      <c r="B1970" s="230"/>
      <c r="D1970" s="230"/>
      <c r="V1970" s="219"/>
    </row>
    <row r="1971" spans="1:22" x14ac:dyDescent="0.2">
      <c r="A1971" s="229"/>
      <c r="B1971" s="230"/>
      <c r="D1971" s="230"/>
      <c r="V1971" s="219"/>
    </row>
    <row r="1972" spans="1:22" x14ac:dyDescent="0.2">
      <c r="A1972" s="229"/>
      <c r="B1972" s="230"/>
      <c r="D1972" s="230"/>
      <c r="V1972" s="219"/>
    </row>
    <row r="1973" spans="1:22" x14ac:dyDescent="0.2">
      <c r="A1973" s="229"/>
      <c r="B1973" s="230"/>
      <c r="D1973" s="230"/>
      <c r="V1973" s="219"/>
    </row>
    <row r="1974" spans="1:22" x14ac:dyDescent="0.2">
      <c r="A1974" s="229"/>
      <c r="B1974" s="230"/>
      <c r="D1974" s="230"/>
      <c r="V1974" s="219"/>
    </row>
    <row r="1975" spans="1:22" x14ac:dyDescent="0.2">
      <c r="A1975" s="229"/>
      <c r="B1975" s="230"/>
      <c r="D1975" s="230"/>
      <c r="V1975" s="219"/>
    </row>
    <row r="1976" spans="1:22" x14ac:dyDescent="0.2">
      <c r="A1976" s="229"/>
      <c r="B1976" s="230"/>
      <c r="D1976" s="230"/>
      <c r="V1976" s="219"/>
    </row>
    <row r="1977" spans="1:22" x14ac:dyDescent="0.2">
      <c r="A1977" s="229"/>
      <c r="B1977" s="230"/>
      <c r="D1977" s="230"/>
      <c r="V1977" s="219"/>
    </row>
    <row r="1978" spans="1:22" x14ac:dyDescent="0.2">
      <c r="A1978" s="229"/>
      <c r="B1978" s="230"/>
      <c r="D1978" s="230"/>
      <c r="V1978" s="219"/>
    </row>
    <row r="1979" spans="1:22" x14ac:dyDescent="0.2">
      <c r="A1979" s="229"/>
      <c r="B1979" s="230"/>
      <c r="D1979" s="230"/>
      <c r="V1979" s="219"/>
    </row>
    <row r="1980" spans="1:22" x14ac:dyDescent="0.2">
      <c r="A1980" s="229"/>
      <c r="B1980" s="230"/>
      <c r="D1980" s="230"/>
      <c r="V1980" s="219"/>
    </row>
    <row r="1981" spans="1:22" x14ac:dyDescent="0.2">
      <c r="A1981" s="229"/>
      <c r="B1981" s="230"/>
      <c r="D1981" s="230"/>
      <c r="V1981" s="219"/>
    </row>
    <row r="1982" spans="1:22" x14ac:dyDescent="0.2">
      <c r="A1982" s="229"/>
      <c r="B1982" s="230"/>
      <c r="D1982" s="230"/>
      <c r="V1982" s="219"/>
    </row>
    <row r="1983" spans="1:22" x14ac:dyDescent="0.2">
      <c r="A1983" s="229"/>
      <c r="B1983" s="230"/>
      <c r="D1983" s="230"/>
      <c r="V1983" s="219"/>
    </row>
    <row r="1984" spans="1:22" x14ac:dyDescent="0.2">
      <c r="A1984" s="229"/>
      <c r="B1984" s="230"/>
      <c r="D1984" s="230"/>
      <c r="V1984" s="219"/>
    </row>
    <row r="1985" spans="1:22" x14ac:dyDescent="0.2">
      <c r="A1985" s="229"/>
      <c r="B1985" s="230"/>
      <c r="D1985" s="230"/>
      <c r="V1985" s="219"/>
    </row>
    <row r="1986" spans="1:22" x14ac:dyDescent="0.2">
      <c r="A1986" s="229"/>
      <c r="B1986" s="230"/>
      <c r="D1986" s="230"/>
      <c r="V1986" s="219"/>
    </row>
    <row r="1987" spans="1:22" x14ac:dyDescent="0.2">
      <c r="A1987" s="229"/>
      <c r="B1987" s="230"/>
      <c r="D1987" s="230"/>
      <c r="V1987" s="219"/>
    </row>
    <row r="1988" spans="1:22" x14ac:dyDescent="0.2">
      <c r="A1988" s="229"/>
      <c r="B1988" s="230"/>
      <c r="D1988" s="230"/>
      <c r="V1988" s="219"/>
    </row>
    <row r="1989" spans="1:22" x14ac:dyDescent="0.2">
      <c r="A1989" s="229"/>
      <c r="B1989" s="230"/>
      <c r="D1989" s="230"/>
      <c r="V1989" s="219"/>
    </row>
    <row r="1990" spans="1:22" x14ac:dyDescent="0.2">
      <c r="A1990" s="229"/>
      <c r="B1990" s="230"/>
      <c r="D1990" s="230"/>
      <c r="V1990" s="219"/>
    </row>
    <row r="1991" spans="1:22" x14ac:dyDescent="0.2">
      <c r="A1991" s="229"/>
      <c r="B1991" s="230"/>
      <c r="D1991" s="230"/>
      <c r="V1991" s="219"/>
    </row>
    <row r="1992" spans="1:22" x14ac:dyDescent="0.2">
      <c r="A1992" s="229"/>
      <c r="B1992" s="230"/>
      <c r="D1992" s="230"/>
      <c r="V1992" s="219"/>
    </row>
    <row r="1993" spans="1:22" x14ac:dyDescent="0.2">
      <c r="A1993" s="229"/>
      <c r="B1993" s="230"/>
      <c r="D1993" s="230"/>
      <c r="V1993" s="219"/>
    </row>
    <row r="1994" spans="1:22" x14ac:dyDescent="0.2">
      <c r="A1994" s="229"/>
      <c r="B1994" s="230"/>
      <c r="D1994" s="230"/>
      <c r="V1994" s="219"/>
    </row>
    <row r="1995" spans="1:22" x14ac:dyDescent="0.2">
      <c r="A1995" s="229"/>
      <c r="B1995" s="230"/>
      <c r="D1995" s="230"/>
      <c r="V1995" s="219"/>
    </row>
    <row r="1996" spans="1:22" x14ac:dyDescent="0.2">
      <c r="A1996" s="229"/>
      <c r="B1996" s="230"/>
      <c r="D1996" s="230"/>
      <c r="V1996" s="219"/>
    </row>
    <row r="1997" spans="1:22" x14ac:dyDescent="0.2">
      <c r="A1997" s="229"/>
      <c r="B1997" s="230"/>
      <c r="D1997" s="230"/>
      <c r="V1997" s="219"/>
    </row>
    <row r="1998" spans="1:22" x14ac:dyDescent="0.2">
      <c r="A1998" s="229"/>
      <c r="B1998" s="230"/>
      <c r="D1998" s="230"/>
      <c r="V1998" s="219"/>
    </row>
    <row r="1999" spans="1:22" x14ac:dyDescent="0.2">
      <c r="A1999" s="229"/>
      <c r="B1999" s="230"/>
      <c r="D1999" s="230"/>
      <c r="V1999" s="219"/>
    </row>
    <row r="2000" spans="1:22" x14ac:dyDescent="0.2">
      <c r="A2000" s="229"/>
      <c r="B2000" s="230"/>
      <c r="D2000" s="230"/>
      <c r="V2000" s="219"/>
    </row>
    <row r="2001" spans="1:22" x14ac:dyDescent="0.2">
      <c r="A2001" s="229"/>
      <c r="B2001" s="230"/>
      <c r="D2001" s="230"/>
      <c r="V2001" s="219"/>
    </row>
    <row r="2002" spans="1:22" x14ac:dyDescent="0.2">
      <c r="A2002" s="229"/>
      <c r="B2002" s="230"/>
      <c r="D2002" s="230"/>
      <c r="V2002" s="219"/>
    </row>
    <row r="2003" spans="1:22" x14ac:dyDescent="0.2">
      <c r="A2003" s="229"/>
      <c r="B2003" s="230"/>
      <c r="D2003" s="230"/>
      <c r="V2003" s="219"/>
    </row>
    <row r="2004" spans="1:22" x14ac:dyDescent="0.2">
      <c r="A2004" s="229"/>
      <c r="B2004" s="230"/>
      <c r="D2004" s="230"/>
      <c r="V2004" s="219"/>
    </row>
    <row r="2005" spans="1:22" x14ac:dyDescent="0.2">
      <c r="A2005" s="229"/>
      <c r="B2005" s="230"/>
      <c r="D2005" s="230"/>
      <c r="V2005" s="219"/>
    </row>
    <row r="2006" spans="1:22" x14ac:dyDescent="0.2">
      <c r="A2006" s="229"/>
      <c r="B2006" s="230"/>
      <c r="D2006" s="230"/>
      <c r="V2006" s="219"/>
    </row>
    <row r="2007" spans="1:22" x14ac:dyDescent="0.2">
      <c r="A2007" s="229"/>
      <c r="B2007" s="230"/>
      <c r="D2007" s="230"/>
      <c r="V2007" s="219"/>
    </row>
    <row r="2008" spans="1:22" x14ac:dyDescent="0.2">
      <c r="A2008" s="229"/>
      <c r="B2008" s="230"/>
      <c r="D2008" s="230"/>
      <c r="V2008" s="219"/>
    </row>
    <row r="2009" spans="1:22" x14ac:dyDescent="0.2">
      <c r="A2009" s="229"/>
      <c r="B2009" s="230"/>
      <c r="D2009" s="230"/>
      <c r="V2009" s="219"/>
    </row>
    <row r="2010" spans="1:22" x14ac:dyDescent="0.2">
      <c r="A2010" s="229"/>
      <c r="B2010" s="230"/>
      <c r="D2010" s="230"/>
      <c r="V2010" s="219"/>
    </row>
    <row r="2011" spans="1:22" x14ac:dyDescent="0.2">
      <c r="A2011" s="229"/>
      <c r="B2011" s="230"/>
      <c r="D2011" s="230"/>
      <c r="V2011" s="219"/>
    </row>
    <row r="2012" spans="1:22" x14ac:dyDescent="0.2">
      <c r="A2012" s="229"/>
      <c r="B2012" s="230"/>
      <c r="D2012" s="230"/>
      <c r="V2012" s="219"/>
    </row>
    <row r="2013" spans="1:22" x14ac:dyDescent="0.2">
      <c r="A2013" s="229"/>
      <c r="B2013" s="230"/>
      <c r="D2013" s="230"/>
      <c r="V2013" s="219"/>
    </row>
    <row r="2014" spans="1:22" x14ac:dyDescent="0.2">
      <c r="A2014" s="229"/>
      <c r="B2014" s="230"/>
      <c r="D2014" s="230"/>
      <c r="V2014" s="219"/>
    </row>
    <row r="2015" spans="1:22" x14ac:dyDescent="0.2">
      <c r="A2015" s="229"/>
      <c r="B2015" s="230"/>
      <c r="D2015" s="230"/>
      <c r="V2015" s="219"/>
    </row>
    <row r="2016" spans="1:22" x14ac:dyDescent="0.2">
      <c r="A2016" s="229"/>
      <c r="B2016" s="230"/>
      <c r="D2016" s="230"/>
      <c r="V2016" s="219"/>
    </row>
    <row r="2017" spans="1:22" x14ac:dyDescent="0.2">
      <c r="A2017" s="229"/>
      <c r="B2017" s="230"/>
      <c r="D2017" s="230"/>
      <c r="V2017" s="219"/>
    </row>
    <row r="2018" spans="1:22" x14ac:dyDescent="0.2">
      <c r="A2018" s="229"/>
      <c r="B2018" s="230"/>
      <c r="D2018" s="230"/>
      <c r="V2018" s="219"/>
    </row>
    <row r="2019" spans="1:22" x14ac:dyDescent="0.2">
      <c r="A2019" s="229"/>
      <c r="B2019" s="230"/>
      <c r="D2019" s="230"/>
      <c r="V2019" s="219"/>
    </row>
    <row r="2020" spans="1:22" x14ac:dyDescent="0.2">
      <c r="A2020" s="229"/>
      <c r="B2020" s="230"/>
      <c r="D2020" s="230"/>
      <c r="V2020" s="219"/>
    </row>
    <row r="2021" spans="1:22" x14ac:dyDescent="0.2">
      <c r="A2021" s="229"/>
      <c r="B2021" s="230"/>
      <c r="D2021" s="230"/>
      <c r="V2021" s="219"/>
    </row>
    <row r="2022" spans="1:22" x14ac:dyDescent="0.2">
      <c r="A2022" s="229"/>
      <c r="B2022" s="230"/>
      <c r="D2022" s="230"/>
      <c r="V2022" s="219"/>
    </row>
    <row r="2023" spans="1:22" x14ac:dyDescent="0.2">
      <c r="A2023" s="229"/>
      <c r="B2023" s="230"/>
      <c r="D2023" s="230"/>
      <c r="V2023" s="219"/>
    </row>
    <row r="2024" spans="1:22" x14ac:dyDescent="0.2">
      <c r="A2024" s="229"/>
      <c r="B2024" s="230"/>
      <c r="D2024" s="230"/>
      <c r="V2024" s="219"/>
    </row>
    <row r="2025" spans="1:22" x14ac:dyDescent="0.2">
      <c r="A2025" s="229"/>
      <c r="B2025" s="230"/>
      <c r="D2025" s="230"/>
      <c r="V2025" s="219"/>
    </row>
    <row r="2026" spans="1:22" x14ac:dyDescent="0.2">
      <c r="A2026" s="229"/>
      <c r="B2026" s="230"/>
      <c r="D2026" s="230"/>
      <c r="V2026" s="219"/>
    </row>
    <row r="2027" spans="1:22" x14ac:dyDescent="0.2">
      <c r="A2027" s="229"/>
      <c r="B2027" s="230"/>
      <c r="D2027" s="230"/>
      <c r="V2027" s="219"/>
    </row>
    <row r="2028" spans="1:22" x14ac:dyDescent="0.2">
      <c r="A2028" s="229"/>
      <c r="B2028" s="230"/>
      <c r="D2028" s="230"/>
      <c r="V2028" s="219"/>
    </row>
    <row r="2029" spans="1:22" x14ac:dyDescent="0.2">
      <c r="A2029" s="229"/>
      <c r="B2029" s="230"/>
      <c r="D2029" s="230"/>
      <c r="V2029" s="219"/>
    </row>
    <row r="2030" spans="1:22" x14ac:dyDescent="0.2">
      <c r="A2030" s="229"/>
      <c r="B2030" s="230"/>
      <c r="D2030" s="230"/>
      <c r="V2030" s="219"/>
    </row>
    <row r="2031" spans="1:22" x14ac:dyDescent="0.2">
      <c r="A2031" s="229"/>
      <c r="B2031" s="230"/>
      <c r="D2031" s="230"/>
      <c r="V2031" s="219"/>
    </row>
    <row r="2032" spans="1:22" x14ac:dyDescent="0.2">
      <c r="A2032" s="229"/>
      <c r="B2032" s="230"/>
      <c r="D2032" s="230"/>
      <c r="V2032" s="219"/>
    </row>
    <row r="2033" spans="1:22" x14ac:dyDescent="0.2">
      <c r="A2033" s="229"/>
      <c r="B2033" s="230"/>
      <c r="D2033" s="230"/>
      <c r="V2033" s="219"/>
    </row>
    <row r="2034" spans="1:22" x14ac:dyDescent="0.2">
      <c r="A2034" s="229"/>
      <c r="B2034" s="230"/>
      <c r="D2034" s="230"/>
      <c r="V2034" s="219"/>
    </row>
    <row r="2035" spans="1:22" x14ac:dyDescent="0.2">
      <c r="A2035" s="229"/>
      <c r="B2035" s="230"/>
      <c r="D2035" s="230"/>
      <c r="V2035" s="219"/>
    </row>
    <row r="2036" spans="1:22" x14ac:dyDescent="0.2">
      <c r="A2036" s="229"/>
      <c r="B2036" s="230"/>
      <c r="D2036" s="230"/>
      <c r="V2036" s="219"/>
    </row>
    <row r="2037" spans="1:22" x14ac:dyDescent="0.2">
      <c r="A2037" s="229"/>
      <c r="B2037" s="230"/>
      <c r="D2037" s="230"/>
      <c r="V2037" s="219"/>
    </row>
    <row r="2038" spans="1:22" x14ac:dyDescent="0.2">
      <c r="A2038" s="229"/>
      <c r="B2038" s="230"/>
      <c r="D2038" s="230"/>
      <c r="V2038" s="219"/>
    </row>
    <row r="2039" spans="1:22" x14ac:dyDescent="0.2">
      <c r="A2039" s="229"/>
      <c r="B2039" s="230"/>
      <c r="D2039" s="230"/>
      <c r="V2039" s="219"/>
    </row>
    <row r="2040" spans="1:22" x14ac:dyDescent="0.2">
      <c r="A2040" s="229"/>
      <c r="B2040" s="230"/>
      <c r="D2040" s="230"/>
      <c r="V2040" s="219"/>
    </row>
    <row r="2041" spans="1:22" x14ac:dyDescent="0.2">
      <c r="A2041" s="229"/>
      <c r="B2041" s="230"/>
      <c r="D2041" s="230"/>
      <c r="V2041" s="219"/>
    </row>
    <row r="2042" spans="1:22" x14ac:dyDescent="0.2">
      <c r="A2042" s="229"/>
      <c r="B2042" s="230"/>
      <c r="D2042" s="230"/>
      <c r="V2042" s="219"/>
    </row>
    <row r="2043" spans="1:22" x14ac:dyDescent="0.2">
      <c r="A2043" s="229"/>
      <c r="B2043" s="230"/>
      <c r="D2043" s="230"/>
      <c r="V2043" s="219"/>
    </row>
    <row r="2044" spans="1:22" x14ac:dyDescent="0.2">
      <c r="A2044" s="229"/>
      <c r="B2044" s="230"/>
      <c r="D2044" s="230"/>
      <c r="V2044" s="219"/>
    </row>
    <row r="2045" spans="1:22" x14ac:dyDescent="0.2">
      <c r="A2045" s="229"/>
      <c r="B2045" s="230"/>
      <c r="D2045" s="230"/>
      <c r="V2045" s="219"/>
    </row>
    <row r="2046" spans="1:22" x14ac:dyDescent="0.2">
      <c r="A2046" s="229"/>
      <c r="B2046" s="230"/>
      <c r="D2046" s="230"/>
      <c r="V2046" s="219"/>
    </row>
    <row r="2047" spans="1:22" x14ac:dyDescent="0.2">
      <c r="A2047" s="229"/>
      <c r="B2047" s="230"/>
      <c r="D2047" s="230"/>
      <c r="V2047" s="219"/>
    </row>
    <row r="2048" spans="1:22" x14ac:dyDescent="0.2">
      <c r="A2048" s="229"/>
      <c r="B2048" s="230"/>
      <c r="D2048" s="230"/>
      <c r="V2048" s="219"/>
    </row>
    <row r="2049" spans="1:22" x14ac:dyDescent="0.2">
      <c r="A2049" s="229"/>
      <c r="B2049" s="230"/>
      <c r="D2049" s="230"/>
      <c r="V2049" s="219"/>
    </row>
    <row r="2050" spans="1:22" x14ac:dyDescent="0.2">
      <c r="A2050" s="229"/>
      <c r="B2050" s="230"/>
      <c r="D2050" s="230"/>
      <c r="V2050" s="219"/>
    </row>
    <row r="2051" spans="1:22" x14ac:dyDescent="0.2">
      <c r="A2051" s="229"/>
      <c r="B2051" s="230"/>
      <c r="D2051" s="230"/>
      <c r="V2051" s="219"/>
    </row>
    <row r="2052" spans="1:22" x14ac:dyDescent="0.2">
      <c r="A2052" s="229"/>
      <c r="B2052" s="230"/>
      <c r="D2052" s="230"/>
      <c r="V2052" s="219"/>
    </row>
    <row r="2053" spans="1:22" x14ac:dyDescent="0.2">
      <c r="A2053" s="229"/>
      <c r="B2053" s="230"/>
      <c r="D2053" s="230"/>
      <c r="V2053" s="219"/>
    </row>
    <row r="2054" spans="1:22" x14ac:dyDescent="0.2">
      <c r="A2054" s="229"/>
      <c r="B2054" s="230"/>
      <c r="D2054" s="230"/>
      <c r="V2054" s="219"/>
    </row>
    <row r="2055" spans="1:22" x14ac:dyDescent="0.2">
      <c r="A2055" s="229"/>
      <c r="B2055" s="230"/>
      <c r="D2055" s="230"/>
      <c r="V2055" s="219"/>
    </row>
    <row r="2056" spans="1:22" x14ac:dyDescent="0.2">
      <c r="A2056" s="229"/>
      <c r="B2056" s="230"/>
      <c r="D2056" s="230"/>
      <c r="V2056" s="219"/>
    </row>
    <row r="2057" spans="1:22" x14ac:dyDescent="0.2">
      <c r="A2057" s="229"/>
      <c r="B2057" s="230"/>
      <c r="D2057" s="230"/>
      <c r="V2057" s="219"/>
    </row>
    <row r="2058" spans="1:22" x14ac:dyDescent="0.2">
      <c r="A2058" s="229"/>
      <c r="B2058" s="230"/>
      <c r="D2058" s="230"/>
      <c r="V2058" s="219"/>
    </row>
    <row r="2059" spans="1:22" x14ac:dyDescent="0.2">
      <c r="A2059" s="229"/>
      <c r="B2059" s="230"/>
      <c r="D2059" s="230"/>
      <c r="V2059" s="219"/>
    </row>
    <row r="2060" spans="1:22" x14ac:dyDescent="0.2">
      <c r="A2060" s="229"/>
      <c r="B2060" s="230"/>
      <c r="D2060" s="230"/>
      <c r="V2060" s="219"/>
    </row>
    <row r="2061" spans="1:22" x14ac:dyDescent="0.2">
      <c r="A2061" s="229"/>
      <c r="B2061" s="230"/>
      <c r="D2061" s="230"/>
      <c r="V2061" s="219"/>
    </row>
    <row r="2062" spans="1:22" x14ac:dyDescent="0.2">
      <c r="A2062" s="229"/>
      <c r="B2062" s="230"/>
      <c r="D2062" s="230"/>
      <c r="V2062" s="219"/>
    </row>
    <row r="2063" spans="1:22" x14ac:dyDescent="0.2">
      <c r="A2063" s="229"/>
      <c r="B2063" s="230"/>
      <c r="D2063" s="230"/>
      <c r="V2063" s="219"/>
    </row>
    <row r="2064" spans="1:22" x14ac:dyDescent="0.2">
      <c r="A2064" s="229"/>
      <c r="B2064" s="230"/>
      <c r="D2064" s="230"/>
      <c r="V2064" s="219"/>
    </row>
    <row r="2065" spans="1:22" x14ac:dyDescent="0.2">
      <c r="A2065" s="229"/>
      <c r="B2065" s="230"/>
      <c r="D2065" s="230"/>
      <c r="V2065" s="219"/>
    </row>
    <row r="2066" spans="1:22" x14ac:dyDescent="0.2">
      <c r="A2066" s="229"/>
      <c r="B2066" s="230"/>
      <c r="D2066" s="230"/>
      <c r="V2066" s="219"/>
    </row>
    <row r="2067" spans="1:22" x14ac:dyDescent="0.2">
      <c r="A2067" s="229"/>
      <c r="B2067" s="230"/>
      <c r="D2067" s="230"/>
      <c r="V2067" s="219"/>
    </row>
    <row r="2068" spans="1:22" x14ac:dyDescent="0.2">
      <c r="A2068" s="229"/>
      <c r="B2068" s="230"/>
      <c r="D2068" s="230"/>
      <c r="V2068" s="219"/>
    </row>
    <row r="2069" spans="1:22" x14ac:dyDescent="0.2">
      <c r="A2069" s="229"/>
      <c r="B2069" s="230"/>
      <c r="D2069" s="230"/>
      <c r="V2069" s="219"/>
    </row>
    <row r="2070" spans="1:22" x14ac:dyDescent="0.2">
      <c r="A2070" s="229"/>
      <c r="B2070" s="230"/>
      <c r="D2070" s="230"/>
      <c r="V2070" s="219"/>
    </row>
    <row r="2071" spans="1:22" x14ac:dyDescent="0.2">
      <c r="A2071" s="229"/>
      <c r="B2071" s="230"/>
      <c r="D2071" s="230"/>
      <c r="V2071" s="219"/>
    </row>
    <row r="2072" spans="1:22" x14ac:dyDescent="0.2">
      <c r="A2072" s="229"/>
      <c r="B2072" s="230"/>
      <c r="D2072" s="230"/>
      <c r="V2072" s="219"/>
    </row>
    <row r="2073" spans="1:22" x14ac:dyDescent="0.2">
      <c r="A2073" s="229"/>
      <c r="B2073" s="230"/>
      <c r="D2073" s="230"/>
      <c r="V2073" s="219"/>
    </row>
    <row r="2074" spans="1:22" x14ac:dyDescent="0.2">
      <c r="A2074" s="229"/>
      <c r="B2074" s="230"/>
      <c r="D2074" s="230"/>
      <c r="V2074" s="219"/>
    </row>
    <row r="2075" spans="1:22" x14ac:dyDescent="0.2">
      <c r="A2075" s="229"/>
      <c r="B2075" s="230"/>
      <c r="D2075" s="230"/>
      <c r="V2075" s="219"/>
    </row>
    <row r="2076" spans="1:22" x14ac:dyDescent="0.2">
      <c r="A2076" s="229"/>
      <c r="B2076" s="230"/>
      <c r="D2076" s="230"/>
      <c r="V2076" s="219"/>
    </row>
    <row r="2077" spans="1:22" x14ac:dyDescent="0.2">
      <c r="A2077" s="229"/>
      <c r="B2077" s="230"/>
      <c r="D2077" s="230"/>
      <c r="V2077" s="219"/>
    </row>
    <row r="2078" spans="1:22" x14ac:dyDescent="0.2">
      <c r="A2078" s="229"/>
      <c r="B2078" s="230"/>
      <c r="D2078" s="230"/>
      <c r="V2078" s="219"/>
    </row>
    <row r="2079" spans="1:22" x14ac:dyDescent="0.2">
      <c r="A2079" s="229"/>
      <c r="B2079" s="230"/>
      <c r="D2079" s="230"/>
      <c r="V2079" s="219"/>
    </row>
    <row r="2080" spans="1:22" x14ac:dyDescent="0.2">
      <c r="A2080" s="229"/>
      <c r="B2080" s="230"/>
      <c r="D2080" s="230"/>
      <c r="V2080" s="219"/>
    </row>
    <row r="2081" spans="1:22" x14ac:dyDescent="0.2">
      <c r="A2081" s="229"/>
      <c r="B2081" s="230"/>
      <c r="D2081" s="230"/>
      <c r="V2081" s="219"/>
    </row>
    <row r="2082" spans="1:22" x14ac:dyDescent="0.2">
      <c r="A2082" s="229"/>
      <c r="B2082" s="230"/>
      <c r="D2082" s="230"/>
      <c r="V2082" s="219"/>
    </row>
    <row r="2083" spans="1:22" x14ac:dyDescent="0.2">
      <c r="A2083" s="229"/>
      <c r="B2083" s="230"/>
      <c r="D2083" s="230"/>
      <c r="V2083" s="219"/>
    </row>
    <row r="2084" spans="1:22" x14ac:dyDescent="0.2">
      <c r="A2084" s="229"/>
      <c r="B2084" s="230"/>
      <c r="D2084" s="230"/>
      <c r="V2084" s="219"/>
    </row>
    <row r="2085" spans="1:22" x14ac:dyDescent="0.2">
      <c r="A2085" s="229"/>
      <c r="B2085" s="230"/>
      <c r="D2085" s="230"/>
      <c r="V2085" s="219"/>
    </row>
    <row r="2086" spans="1:22" x14ac:dyDescent="0.2">
      <c r="A2086" s="229"/>
      <c r="B2086" s="230"/>
      <c r="D2086" s="230"/>
      <c r="V2086" s="219"/>
    </row>
    <row r="2087" spans="1:22" x14ac:dyDescent="0.2">
      <c r="A2087" s="229"/>
      <c r="B2087" s="230"/>
      <c r="D2087" s="230"/>
      <c r="V2087" s="219"/>
    </row>
    <row r="2088" spans="1:22" x14ac:dyDescent="0.2">
      <c r="A2088" s="229"/>
      <c r="B2088" s="230"/>
      <c r="D2088" s="230"/>
      <c r="V2088" s="219"/>
    </row>
    <row r="2089" spans="1:22" x14ac:dyDescent="0.2">
      <c r="A2089" s="229"/>
      <c r="B2089" s="230"/>
      <c r="D2089" s="230"/>
      <c r="V2089" s="219"/>
    </row>
    <row r="2090" spans="1:22" x14ac:dyDescent="0.2">
      <c r="A2090" s="229"/>
      <c r="B2090" s="230"/>
      <c r="D2090" s="230"/>
      <c r="V2090" s="219"/>
    </row>
    <row r="2091" spans="1:22" x14ac:dyDescent="0.2">
      <c r="A2091" s="229"/>
      <c r="B2091" s="230"/>
      <c r="D2091" s="230"/>
      <c r="V2091" s="219"/>
    </row>
    <row r="2092" spans="1:22" x14ac:dyDescent="0.2">
      <c r="A2092" s="229"/>
      <c r="B2092" s="230"/>
      <c r="D2092" s="230"/>
      <c r="V2092" s="219"/>
    </row>
    <row r="2093" spans="1:22" x14ac:dyDescent="0.2">
      <c r="A2093" s="229"/>
      <c r="B2093" s="230"/>
      <c r="D2093" s="230"/>
      <c r="V2093" s="219"/>
    </row>
    <row r="2094" spans="1:22" x14ac:dyDescent="0.2">
      <c r="A2094" s="229"/>
      <c r="B2094" s="230"/>
      <c r="D2094" s="230"/>
      <c r="V2094" s="219"/>
    </row>
    <row r="2095" spans="1:22" x14ac:dyDescent="0.2">
      <c r="A2095" s="229"/>
      <c r="B2095" s="230"/>
      <c r="D2095" s="230"/>
      <c r="V2095" s="219"/>
    </row>
    <row r="2096" spans="1:22" x14ac:dyDescent="0.2">
      <c r="A2096" s="229"/>
      <c r="B2096" s="230"/>
      <c r="D2096" s="230"/>
      <c r="V2096" s="219"/>
    </row>
    <row r="2097" spans="1:22" x14ac:dyDescent="0.2">
      <c r="A2097" s="229"/>
      <c r="B2097" s="230"/>
      <c r="D2097" s="230"/>
      <c r="V2097" s="219"/>
    </row>
    <row r="2098" spans="1:22" x14ac:dyDescent="0.2">
      <c r="A2098" s="229"/>
      <c r="B2098" s="230"/>
      <c r="D2098" s="230"/>
      <c r="V2098" s="219"/>
    </row>
    <row r="2099" spans="1:22" x14ac:dyDescent="0.2">
      <c r="A2099" s="229"/>
      <c r="B2099" s="230"/>
      <c r="D2099" s="230"/>
      <c r="V2099" s="219"/>
    </row>
    <row r="2100" spans="1:22" x14ac:dyDescent="0.2">
      <c r="A2100" s="229"/>
      <c r="B2100" s="230"/>
      <c r="D2100" s="230"/>
      <c r="V2100" s="219"/>
    </row>
    <row r="2101" spans="1:22" x14ac:dyDescent="0.2">
      <c r="A2101" s="229"/>
      <c r="B2101" s="230"/>
      <c r="D2101" s="230"/>
      <c r="V2101" s="219"/>
    </row>
    <row r="2102" spans="1:22" x14ac:dyDescent="0.2">
      <c r="A2102" s="229"/>
      <c r="B2102" s="230"/>
      <c r="D2102" s="230"/>
      <c r="V2102" s="219"/>
    </row>
    <row r="2103" spans="1:22" x14ac:dyDescent="0.2">
      <c r="A2103" s="229"/>
      <c r="B2103" s="230"/>
      <c r="D2103" s="230"/>
      <c r="V2103" s="219"/>
    </row>
    <row r="2104" spans="1:22" x14ac:dyDescent="0.2">
      <c r="A2104" s="229"/>
      <c r="B2104" s="230"/>
      <c r="D2104" s="230"/>
      <c r="V2104" s="219"/>
    </row>
    <row r="2105" spans="1:22" x14ac:dyDescent="0.2">
      <c r="A2105" s="229"/>
      <c r="B2105" s="230"/>
      <c r="D2105" s="230"/>
      <c r="V2105" s="219"/>
    </row>
    <row r="2106" spans="1:22" x14ac:dyDescent="0.2">
      <c r="A2106" s="229"/>
      <c r="B2106" s="230"/>
      <c r="D2106" s="230"/>
      <c r="V2106" s="219"/>
    </row>
    <row r="2107" spans="1:22" x14ac:dyDescent="0.2">
      <c r="A2107" s="229"/>
      <c r="B2107" s="230"/>
      <c r="D2107" s="230"/>
      <c r="V2107" s="219"/>
    </row>
    <row r="2108" spans="1:22" x14ac:dyDescent="0.2">
      <c r="A2108" s="229"/>
      <c r="B2108" s="230"/>
      <c r="D2108" s="230"/>
      <c r="V2108" s="219"/>
    </row>
    <row r="2109" spans="1:22" x14ac:dyDescent="0.2">
      <c r="A2109" s="229"/>
      <c r="B2109" s="230"/>
      <c r="D2109" s="230"/>
      <c r="V2109" s="219"/>
    </row>
    <row r="2110" spans="1:22" x14ac:dyDescent="0.2">
      <c r="A2110" s="229"/>
      <c r="B2110" s="230"/>
      <c r="D2110" s="230"/>
      <c r="V2110" s="219"/>
    </row>
    <row r="2111" spans="1:22" x14ac:dyDescent="0.2">
      <c r="A2111" s="229"/>
      <c r="B2111" s="230"/>
      <c r="D2111" s="230"/>
      <c r="V2111" s="219"/>
    </row>
    <row r="2112" spans="1:22" x14ac:dyDescent="0.2">
      <c r="A2112" s="229"/>
      <c r="B2112" s="230"/>
      <c r="D2112" s="230"/>
      <c r="V2112" s="219"/>
    </row>
    <row r="2113" spans="1:22" x14ac:dyDescent="0.2">
      <c r="A2113" s="229"/>
      <c r="B2113" s="230"/>
      <c r="D2113" s="230"/>
      <c r="V2113" s="219"/>
    </row>
    <row r="2114" spans="1:22" x14ac:dyDescent="0.2">
      <c r="A2114" s="229"/>
      <c r="B2114" s="230"/>
      <c r="D2114" s="230"/>
      <c r="V2114" s="219"/>
    </row>
    <row r="2115" spans="1:22" x14ac:dyDescent="0.2">
      <c r="A2115" s="229"/>
      <c r="B2115" s="230"/>
      <c r="D2115" s="230"/>
      <c r="V2115" s="219"/>
    </row>
    <row r="2116" spans="1:22" x14ac:dyDescent="0.2">
      <c r="A2116" s="229"/>
      <c r="B2116" s="230"/>
      <c r="D2116" s="230"/>
      <c r="V2116" s="219"/>
    </row>
    <row r="2117" spans="1:22" x14ac:dyDescent="0.2">
      <c r="A2117" s="229"/>
      <c r="B2117" s="230"/>
      <c r="D2117" s="230"/>
      <c r="V2117" s="219"/>
    </row>
    <row r="2118" spans="1:22" x14ac:dyDescent="0.2">
      <c r="A2118" s="229"/>
      <c r="B2118" s="230"/>
      <c r="D2118" s="230"/>
      <c r="V2118" s="219"/>
    </row>
    <row r="2119" spans="1:22" x14ac:dyDescent="0.2">
      <c r="A2119" s="229"/>
      <c r="B2119" s="230"/>
      <c r="D2119" s="230"/>
      <c r="V2119" s="219"/>
    </row>
    <row r="2120" spans="1:22" x14ac:dyDescent="0.2">
      <c r="A2120" s="229"/>
      <c r="B2120" s="230"/>
      <c r="D2120" s="230"/>
      <c r="V2120" s="219"/>
    </row>
    <row r="2121" spans="1:22" x14ac:dyDescent="0.2">
      <c r="A2121" s="229"/>
      <c r="B2121" s="230"/>
      <c r="D2121" s="230"/>
      <c r="V2121" s="219"/>
    </row>
    <row r="2122" spans="1:22" x14ac:dyDescent="0.2">
      <c r="A2122" s="229"/>
      <c r="B2122" s="230"/>
      <c r="D2122" s="230"/>
      <c r="V2122" s="219"/>
    </row>
    <row r="2123" spans="1:22" x14ac:dyDescent="0.2">
      <c r="A2123" s="229"/>
      <c r="B2123" s="230"/>
      <c r="D2123" s="230"/>
      <c r="V2123" s="219"/>
    </row>
    <row r="2124" spans="1:22" x14ac:dyDescent="0.2">
      <c r="A2124" s="229"/>
      <c r="B2124" s="230"/>
      <c r="D2124" s="230"/>
      <c r="V2124" s="219"/>
    </row>
    <row r="2125" spans="1:22" x14ac:dyDescent="0.2">
      <c r="A2125" s="229"/>
      <c r="B2125" s="230"/>
      <c r="D2125" s="230"/>
      <c r="V2125" s="219"/>
    </row>
    <row r="2126" spans="1:22" x14ac:dyDescent="0.2">
      <c r="A2126" s="229"/>
      <c r="B2126" s="230"/>
      <c r="D2126" s="230"/>
      <c r="V2126" s="219"/>
    </row>
    <row r="2127" spans="1:22" x14ac:dyDescent="0.2">
      <c r="A2127" s="229"/>
      <c r="B2127" s="230"/>
      <c r="D2127" s="230"/>
      <c r="V2127" s="219"/>
    </row>
    <row r="2128" spans="1:22" x14ac:dyDescent="0.2">
      <c r="A2128" s="229"/>
      <c r="B2128" s="230"/>
      <c r="D2128" s="230"/>
      <c r="V2128" s="219"/>
    </row>
    <row r="2129" spans="1:22" x14ac:dyDescent="0.2">
      <c r="A2129" s="229"/>
      <c r="B2129" s="230"/>
      <c r="D2129" s="230"/>
      <c r="V2129" s="219"/>
    </row>
    <row r="2130" spans="1:22" x14ac:dyDescent="0.2">
      <c r="A2130" s="229"/>
      <c r="B2130" s="230"/>
      <c r="D2130" s="230"/>
      <c r="V2130" s="219"/>
    </row>
    <row r="2131" spans="1:22" x14ac:dyDescent="0.2">
      <c r="A2131" s="229"/>
      <c r="B2131" s="230"/>
      <c r="D2131" s="230"/>
      <c r="V2131" s="219"/>
    </row>
    <row r="2132" spans="1:22" x14ac:dyDescent="0.2">
      <c r="A2132" s="229"/>
      <c r="B2132" s="230"/>
      <c r="D2132" s="230"/>
      <c r="V2132" s="219"/>
    </row>
    <row r="2133" spans="1:22" x14ac:dyDescent="0.2">
      <c r="A2133" s="229"/>
      <c r="B2133" s="230"/>
      <c r="D2133" s="230"/>
      <c r="V2133" s="219"/>
    </row>
    <row r="2134" spans="1:22" x14ac:dyDescent="0.2">
      <c r="A2134" s="229"/>
      <c r="B2134" s="230"/>
      <c r="D2134" s="230"/>
      <c r="V2134" s="219"/>
    </row>
    <row r="2135" spans="1:22" x14ac:dyDescent="0.2">
      <c r="A2135" s="229"/>
      <c r="B2135" s="230"/>
      <c r="D2135" s="230"/>
      <c r="V2135" s="219"/>
    </row>
    <row r="2136" spans="1:22" x14ac:dyDescent="0.2">
      <c r="A2136" s="229"/>
      <c r="B2136" s="230"/>
      <c r="D2136" s="230"/>
      <c r="V2136" s="219"/>
    </row>
    <row r="2137" spans="1:22" x14ac:dyDescent="0.2">
      <c r="A2137" s="229"/>
      <c r="B2137" s="230"/>
      <c r="D2137" s="230"/>
      <c r="V2137" s="219"/>
    </row>
    <row r="2138" spans="1:22" x14ac:dyDescent="0.2">
      <c r="A2138" s="229"/>
      <c r="B2138" s="230"/>
      <c r="D2138" s="230"/>
      <c r="V2138" s="219"/>
    </row>
    <row r="2139" spans="1:22" x14ac:dyDescent="0.2">
      <c r="A2139" s="229"/>
      <c r="B2139" s="230"/>
      <c r="D2139" s="230"/>
      <c r="V2139" s="219"/>
    </row>
    <row r="2140" spans="1:22" x14ac:dyDescent="0.2">
      <c r="A2140" s="229"/>
      <c r="B2140" s="230"/>
      <c r="D2140" s="230"/>
      <c r="V2140" s="219"/>
    </row>
    <row r="2141" spans="1:22" x14ac:dyDescent="0.2">
      <c r="A2141" s="229"/>
      <c r="B2141" s="230"/>
      <c r="D2141" s="230"/>
      <c r="V2141" s="219"/>
    </row>
    <row r="2142" spans="1:22" x14ac:dyDescent="0.2">
      <c r="A2142" s="229"/>
      <c r="B2142" s="230"/>
      <c r="D2142" s="230"/>
      <c r="V2142" s="219"/>
    </row>
    <row r="2143" spans="1:22" x14ac:dyDescent="0.2">
      <c r="A2143" s="229"/>
      <c r="B2143" s="230"/>
      <c r="D2143" s="230"/>
      <c r="V2143" s="219"/>
    </row>
    <row r="2144" spans="1:22" x14ac:dyDescent="0.2">
      <c r="A2144" s="229"/>
      <c r="B2144" s="230"/>
      <c r="D2144" s="230"/>
      <c r="V2144" s="219"/>
    </row>
    <row r="2145" spans="1:22" x14ac:dyDescent="0.2">
      <c r="A2145" s="229"/>
      <c r="B2145" s="230"/>
      <c r="D2145" s="230"/>
      <c r="V2145" s="219"/>
    </row>
    <row r="2146" spans="1:22" x14ac:dyDescent="0.2">
      <c r="A2146" s="229"/>
      <c r="B2146" s="230"/>
      <c r="D2146" s="230"/>
      <c r="V2146" s="219"/>
    </row>
    <row r="2147" spans="1:22" x14ac:dyDescent="0.2">
      <c r="A2147" s="229"/>
      <c r="B2147" s="230"/>
      <c r="D2147" s="230"/>
      <c r="V2147" s="219"/>
    </row>
    <row r="2148" spans="1:22" x14ac:dyDescent="0.2">
      <c r="A2148" s="229"/>
      <c r="B2148" s="230"/>
      <c r="D2148" s="230"/>
      <c r="V2148" s="219"/>
    </row>
    <row r="2149" spans="1:22" x14ac:dyDescent="0.2">
      <c r="A2149" s="229"/>
      <c r="B2149" s="230"/>
      <c r="D2149" s="230"/>
      <c r="V2149" s="219"/>
    </row>
    <row r="2150" spans="1:22" x14ac:dyDescent="0.2">
      <c r="A2150" s="229"/>
      <c r="B2150" s="230"/>
      <c r="D2150" s="230"/>
      <c r="V2150" s="219"/>
    </row>
    <row r="2151" spans="1:22" x14ac:dyDescent="0.2">
      <c r="A2151" s="229"/>
      <c r="B2151" s="230"/>
      <c r="D2151" s="230"/>
      <c r="V2151" s="219"/>
    </row>
    <row r="2152" spans="1:22" x14ac:dyDescent="0.2">
      <c r="A2152" s="229"/>
      <c r="B2152" s="230"/>
      <c r="D2152" s="230"/>
      <c r="V2152" s="219"/>
    </row>
    <row r="2153" spans="1:22" x14ac:dyDescent="0.2">
      <c r="A2153" s="229"/>
      <c r="B2153" s="230"/>
      <c r="D2153" s="230"/>
      <c r="V2153" s="219"/>
    </row>
    <row r="2154" spans="1:22" x14ac:dyDescent="0.2">
      <c r="A2154" s="229"/>
      <c r="B2154" s="230"/>
      <c r="D2154" s="230"/>
      <c r="V2154" s="219"/>
    </row>
    <row r="2155" spans="1:22" x14ac:dyDescent="0.2">
      <c r="A2155" s="229"/>
      <c r="B2155" s="230"/>
      <c r="D2155" s="230"/>
      <c r="V2155" s="219"/>
    </row>
    <row r="2156" spans="1:22" x14ac:dyDescent="0.2">
      <c r="A2156" s="229"/>
      <c r="B2156" s="230"/>
      <c r="D2156" s="230"/>
      <c r="V2156" s="219"/>
    </row>
    <row r="2157" spans="1:22" x14ac:dyDescent="0.2">
      <c r="A2157" s="229"/>
      <c r="B2157" s="230"/>
      <c r="D2157" s="230"/>
      <c r="V2157" s="219"/>
    </row>
    <row r="2158" spans="1:22" x14ac:dyDescent="0.2">
      <c r="A2158" s="229"/>
      <c r="B2158" s="230"/>
      <c r="D2158" s="230"/>
      <c r="V2158" s="219"/>
    </row>
    <row r="2159" spans="1:22" x14ac:dyDescent="0.2">
      <c r="A2159" s="229"/>
      <c r="B2159" s="230"/>
      <c r="D2159" s="230"/>
      <c r="V2159" s="219"/>
    </row>
    <row r="2160" spans="1:22" x14ac:dyDescent="0.2">
      <c r="A2160" s="229"/>
      <c r="B2160" s="230"/>
      <c r="D2160" s="230"/>
      <c r="V2160" s="219"/>
    </row>
    <row r="2161" spans="1:22" x14ac:dyDescent="0.2">
      <c r="A2161" s="229"/>
      <c r="B2161" s="230"/>
      <c r="D2161" s="230"/>
      <c r="V2161" s="219"/>
    </row>
    <row r="2162" spans="1:22" x14ac:dyDescent="0.2">
      <c r="A2162" s="229"/>
      <c r="B2162" s="230"/>
      <c r="D2162" s="230"/>
      <c r="V2162" s="219"/>
    </row>
    <row r="2163" spans="1:22" x14ac:dyDescent="0.2">
      <c r="A2163" s="229"/>
      <c r="B2163" s="230"/>
      <c r="D2163" s="230"/>
      <c r="V2163" s="219"/>
    </row>
    <row r="2164" spans="1:22" x14ac:dyDescent="0.2">
      <c r="A2164" s="229"/>
      <c r="B2164" s="230"/>
      <c r="D2164" s="230"/>
      <c r="V2164" s="219"/>
    </row>
    <row r="2165" spans="1:22" x14ac:dyDescent="0.2">
      <c r="A2165" s="229"/>
      <c r="B2165" s="230"/>
      <c r="D2165" s="230"/>
      <c r="V2165" s="219"/>
    </row>
    <row r="2166" spans="1:22" x14ac:dyDescent="0.2">
      <c r="A2166" s="229"/>
      <c r="B2166" s="230"/>
      <c r="D2166" s="230"/>
      <c r="V2166" s="219"/>
    </row>
    <row r="2167" spans="1:22" x14ac:dyDescent="0.2">
      <c r="A2167" s="229"/>
      <c r="B2167" s="230"/>
      <c r="D2167" s="230"/>
      <c r="V2167" s="219"/>
    </row>
    <row r="2168" spans="1:22" x14ac:dyDescent="0.2">
      <c r="A2168" s="229"/>
      <c r="B2168" s="230"/>
      <c r="D2168" s="230"/>
      <c r="V2168" s="219"/>
    </row>
    <row r="2169" spans="1:22" x14ac:dyDescent="0.2">
      <c r="A2169" s="229"/>
      <c r="B2169" s="230"/>
      <c r="D2169" s="230"/>
      <c r="V2169" s="219"/>
    </row>
    <row r="2170" spans="1:22" x14ac:dyDescent="0.2">
      <c r="A2170" s="229"/>
      <c r="B2170" s="230"/>
      <c r="D2170" s="230"/>
      <c r="V2170" s="219"/>
    </row>
    <row r="2171" spans="1:22" x14ac:dyDescent="0.2">
      <c r="A2171" s="229"/>
      <c r="B2171" s="230"/>
      <c r="D2171" s="230"/>
      <c r="V2171" s="219"/>
    </row>
    <row r="2172" spans="1:22" x14ac:dyDescent="0.2">
      <c r="A2172" s="229"/>
      <c r="B2172" s="230"/>
      <c r="D2172" s="230"/>
      <c r="V2172" s="219"/>
    </row>
    <row r="2173" spans="1:22" x14ac:dyDescent="0.2">
      <c r="A2173" s="229"/>
      <c r="B2173" s="230"/>
      <c r="D2173" s="230"/>
      <c r="V2173" s="219"/>
    </row>
    <row r="2174" spans="1:22" x14ac:dyDescent="0.2">
      <c r="A2174" s="229"/>
      <c r="B2174" s="230"/>
      <c r="D2174" s="230"/>
      <c r="V2174" s="219"/>
    </row>
    <row r="2175" spans="1:22" x14ac:dyDescent="0.2">
      <c r="A2175" s="229"/>
      <c r="B2175" s="230"/>
      <c r="D2175" s="230"/>
      <c r="V2175" s="219"/>
    </row>
    <row r="2176" spans="1:22" x14ac:dyDescent="0.2">
      <c r="A2176" s="229"/>
      <c r="B2176" s="230"/>
      <c r="D2176" s="230"/>
      <c r="V2176" s="219"/>
    </row>
    <row r="2177" spans="1:22" x14ac:dyDescent="0.2">
      <c r="A2177" s="229"/>
      <c r="B2177" s="230"/>
      <c r="D2177" s="230"/>
      <c r="V2177" s="219"/>
    </row>
    <row r="2178" spans="1:22" x14ac:dyDescent="0.2">
      <c r="A2178" s="229"/>
      <c r="B2178" s="230"/>
      <c r="D2178" s="230"/>
      <c r="V2178" s="219"/>
    </row>
    <row r="2179" spans="1:22" x14ac:dyDescent="0.2">
      <c r="A2179" s="229"/>
      <c r="B2179" s="230"/>
      <c r="D2179" s="230"/>
      <c r="V2179" s="219"/>
    </row>
    <row r="2180" spans="1:22" x14ac:dyDescent="0.2">
      <c r="A2180" s="229"/>
      <c r="B2180" s="230"/>
      <c r="D2180" s="230"/>
      <c r="V2180" s="219"/>
    </row>
    <row r="2181" spans="1:22" x14ac:dyDescent="0.2">
      <c r="A2181" s="229"/>
      <c r="B2181" s="230"/>
      <c r="D2181" s="230"/>
      <c r="V2181" s="219"/>
    </row>
    <row r="2182" spans="1:22" x14ac:dyDescent="0.2">
      <c r="A2182" s="229"/>
      <c r="B2182" s="230"/>
      <c r="D2182" s="230"/>
      <c r="V2182" s="219"/>
    </row>
    <row r="2183" spans="1:22" x14ac:dyDescent="0.2">
      <c r="A2183" s="229"/>
      <c r="B2183" s="230"/>
      <c r="D2183" s="230"/>
      <c r="V2183" s="219"/>
    </row>
    <row r="2184" spans="1:22" x14ac:dyDescent="0.2">
      <c r="A2184" s="229"/>
      <c r="B2184" s="230"/>
      <c r="D2184" s="230"/>
      <c r="V2184" s="219"/>
    </row>
    <row r="2185" spans="1:22" x14ac:dyDescent="0.2">
      <c r="A2185" s="229"/>
      <c r="B2185" s="230"/>
      <c r="D2185" s="230"/>
      <c r="V2185" s="219"/>
    </row>
    <row r="2186" spans="1:22" x14ac:dyDescent="0.2">
      <c r="A2186" s="229"/>
      <c r="B2186" s="230"/>
      <c r="D2186" s="230"/>
      <c r="V2186" s="219"/>
    </row>
    <row r="2187" spans="1:22" x14ac:dyDescent="0.2">
      <c r="A2187" s="229"/>
      <c r="B2187" s="230"/>
      <c r="D2187" s="230"/>
      <c r="V2187" s="219"/>
    </row>
    <row r="2188" spans="1:22" x14ac:dyDescent="0.2">
      <c r="A2188" s="229"/>
      <c r="B2188" s="230"/>
      <c r="D2188" s="230"/>
      <c r="V2188" s="219"/>
    </row>
    <row r="2189" spans="1:22" x14ac:dyDescent="0.2">
      <c r="A2189" s="229"/>
      <c r="B2189" s="230"/>
      <c r="D2189" s="230"/>
      <c r="V2189" s="219"/>
    </row>
    <row r="2190" spans="1:22" x14ac:dyDescent="0.2">
      <c r="A2190" s="229"/>
      <c r="B2190" s="230"/>
      <c r="D2190" s="230"/>
      <c r="V2190" s="219"/>
    </row>
    <row r="2191" spans="1:22" x14ac:dyDescent="0.2">
      <c r="A2191" s="229"/>
      <c r="B2191" s="230"/>
      <c r="D2191" s="230"/>
      <c r="V2191" s="219"/>
    </row>
    <row r="2192" spans="1:22" x14ac:dyDescent="0.2">
      <c r="A2192" s="229"/>
      <c r="B2192" s="230"/>
      <c r="D2192" s="230"/>
      <c r="V2192" s="219"/>
    </row>
    <row r="2193" spans="1:22" x14ac:dyDescent="0.2">
      <c r="A2193" s="229"/>
      <c r="B2193" s="230"/>
      <c r="D2193" s="230"/>
      <c r="V2193" s="219"/>
    </row>
    <row r="2194" spans="1:22" x14ac:dyDescent="0.2">
      <c r="A2194" s="229"/>
      <c r="B2194" s="230"/>
      <c r="D2194" s="230"/>
      <c r="V2194" s="219"/>
    </row>
    <row r="2195" spans="1:22" x14ac:dyDescent="0.2">
      <c r="A2195" s="229"/>
      <c r="B2195" s="230"/>
      <c r="D2195" s="230"/>
      <c r="V2195" s="219"/>
    </row>
    <row r="2196" spans="1:22" x14ac:dyDescent="0.2">
      <c r="A2196" s="229"/>
      <c r="B2196" s="230"/>
      <c r="D2196" s="230"/>
      <c r="V2196" s="219"/>
    </row>
    <row r="2197" spans="1:22" x14ac:dyDescent="0.2">
      <c r="A2197" s="229"/>
      <c r="B2197" s="230"/>
      <c r="D2197" s="230"/>
      <c r="V2197" s="219"/>
    </row>
    <row r="2198" spans="1:22" x14ac:dyDescent="0.2">
      <c r="A2198" s="229"/>
      <c r="B2198" s="230"/>
      <c r="D2198" s="230"/>
      <c r="V2198" s="219"/>
    </row>
    <row r="2199" spans="1:22" x14ac:dyDescent="0.2">
      <c r="A2199" s="229"/>
      <c r="B2199" s="230"/>
      <c r="D2199" s="230"/>
      <c r="V2199" s="219"/>
    </row>
    <row r="2200" spans="1:22" x14ac:dyDescent="0.2">
      <c r="A2200" s="229"/>
      <c r="B2200" s="230"/>
      <c r="D2200" s="230"/>
      <c r="V2200" s="219"/>
    </row>
    <row r="2201" spans="1:22" x14ac:dyDescent="0.2">
      <c r="A2201" s="229"/>
      <c r="B2201" s="230"/>
      <c r="D2201" s="230"/>
      <c r="V2201" s="219"/>
    </row>
    <row r="2202" spans="1:22" x14ac:dyDescent="0.2">
      <c r="A2202" s="229"/>
      <c r="B2202" s="230"/>
      <c r="D2202" s="230"/>
      <c r="V2202" s="219"/>
    </row>
    <row r="2203" spans="1:22" x14ac:dyDescent="0.2">
      <c r="A2203" s="229"/>
      <c r="B2203" s="230"/>
      <c r="D2203" s="230"/>
      <c r="V2203" s="219"/>
    </row>
    <row r="2204" spans="1:22" x14ac:dyDescent="0.2">
      <c r="A2204" s="229"/>
      <c r="B2204" s="230"/>
      <c r="D2204" s="230"/>
      <c r="V2204" s="219"/>
    </row>
    <row r="2205" spans="1:22" x14ac:dyDescent="0.2">
      <c r="A2205" s="229"/>
      <c r="B2205" s="230"/>
      <c r="D2205" s="230"/>
      <c r="V2205" s="219"/>
    </row>
    <row r="2206" spans="1:22" x14ac:dyDescent="0.2">
      <c r="A2206" s="229"/>
      <c r="B2206" s="230"/>
      <c r="D2206" s="230"/>
      <c r="V2206" s="219"/>
    </row>
    <row r="2207" spans="1:22" x14ac:dyDescent="0.2">
      <c r="A2207" s="229"/>
      <c r="B2207" s="230"/>
      <c r="D2207" s="230"/>
      <c r="V2207" s="219"/>
    </row>
    <row r="2208" spans="1:22" x14ac:dyDescent="0.2">
      <c r="A2208" s="229"/>
      <c r="B2208" s="230"/>
      <c r="D2208" s="230"/>
      <c r="V2208" s="219"/>
    </row>
    <row r="2209" spans="1:22" x14ac:dyDescent="0.2">
      <c r="A2209" s="229"/>
      <c r="B2209" s="230"/>
      <c r="D2209" s="230"/>
      <c r="V2209" s="219"/>
    </row>
    <row r="2210" spans="1:22" x14ac:dyDescent="0.2">
      <c r="A2210" s="229"/>
      <c r="B2210" s="230"/>
      <c r="D2210" s="230"/>
      <c r="V2210" s="219"/>
    </row>
    <row r="2211" spans="1:22" x14ac:dyDescent="0.2">
      <c r="A2211" s="229"/>
      <c r="B2211" s="230"/>
      <c r="D2211" s="230"/>
      <c r="V2211" s="219"/>
    </row>
    <row r="2212" spans="1:22" x14ac:dyDescent="0.2">
      <c r="A2212" s="229"/>
      <c r="B2212" s="230"/>
      <c r="D2212" s="230"/>
      <c r="V2212" s="219"/>
    </row>
    <row r="2213" spans="1:22" x14ac:dyDescent="0.2">
      <c r="A2213" s="229"/>
      <c r="B2213" s="230"/>
      <c r="D2213" s="230"/>
      <c r="V2213" s="219"/>
    </row>
    <row r="2214" spans="1:22" x14ac:dyDescent="0.2">
      <c r="A2214" s="229"/>
      <c r="B2214" s="230"/>
      <c r="D2214" s="230"/>
      <c r="V2214" s="219"/>
    </row>
    <row r="2215" spans="1:22" x14ac:dyDescent="0.2">
      <c r="A2215" s="229"/>
      <c r="B2215" s="230"/>
      <c r="D2215" s="230"/>
      <c r="V2215" s="219"/>
    </row>
    <row r="2216" spans="1:22" x14ac:dyDescent="0.2">
      <c r="A2216" s="229"/>
      <c r="B2216" s="230"/>
      <c r="D2216" s="230"/>
      <c r="V2216" s="219"/>
    </row>
    <row r="2217" spans="1:22" x14ac:dyDescent="0.2">
      <c r="A2217" s="229"/>
      <c r="B2217" s="230"/>
      <c r="D2217" s="230"/>
      <c r="V2217" s="219"/>
    </row>
    <row r="2218" spans="1:22" x14ac:dyDescent="0.2">
      <c r="A2218" s="229"/>
      <c r="B2218" s="230"/>
      <c r="D2218" s="230"/>
      <c r="V2218" s="219"/>
    </row>
    <row r="2219" spans="1:22" x14ac:dyDescent="0.2">
      <c r="A2219" s="229"/>
      <c r="B2219" s="230"/>
      <c r="D2219" s="230"/>
      <c r="V2219" s="219"/>
    </row>
    <row r="2220" spans="1:22" x14ac:dyDescent="0.2">
      <c r="A2220" s="229"/>
      <c r="B2220" s="230"/>
      <c r="D2220" s="230"/>
      <c r="V2220" s="219"/>
    </row>
    <row r="2221" spans="1:22" x14ac:dyDescent="0.2">
      <c r="A2221" s="229"/>
      <c r="B2221" s="230"/>
      <c r="D2221" s="230"/>
      <c r="V2221" s="219"/>
    </row>
    <row r="2222" spans="1:22" x14ac:dyDescent="0.2">
      <c r="A2222" s="229"/>
      <c r="B2222" s="230"/>
      <c r="D2222" s="230"/>
      <c r="V2222" s="219"/>
    </row>
    <row r="2223" spans="1:22" x14ac:dyDescent="0.2">
      <c r="A2223" s="229"/>
      <c r="B2223" s="230"/>
      <c r="D2223" s="230"/>
      <c r="V2223" s="219"/>
    </row>
    <row r="2224" spans="1:22" x14ac:dyDescent="0.2">
      <c r="A2224" s="229"/>
      <c r="B2224" s="230"/>
      <c r="D2224" s="230"/>
      <c r="V2224" s="219"/>
    </row>
    <row r="2225" spans="1:22" x14ac:dyDescent="0.2">
      <c r="A2225" s="229"/>
      <c r="B2225" s="230"/>
      <c r="D2225" s="230"/>
      <c r="V2225" s="219"/>
    </row>
    <row r="2226" spans="1:22" x14ac:dyDescent="0.2">
      <c r="A2226" s="229"/>
      <c r="B2226" s="230"/>
      <c r="D2226" s="230"/>
      <c r="V2226" s="219"/>
    </row>
    <row r="2227" spans="1:22" x14ac:dyDescent="0.2">
      <c r="A2227" s="229"/>
      <c r="B2227" s="230"/>
      <c r="D2227" s="230"/>
      <c r="V2227" s="219"/>
    </row>
    <row r="2228" spans="1:22" x14ac:dyDescent="0.2">
      <c r="A2228" s="229"/>
      <c r="B2228" s="230"/>
      <c r="D2228" s="230"/>
      <c r="V2228" s="219"/>
    </row>
    <row r="2229" spans="1:22" x14ac:dyDescent="0.2">
      <c r="A2229" s="229"/>
      <c r="B2229" s="230"/>
      <c r="D2229" s="230"/>
      <c r="V2229" s="219"/>
    </row>
    <row r="2230" spans="1:22" x14ac:dyDescent="0.2">
      <c r="A2230" s="229"/>
      <c r="B2230" s="230"/>
      <c r="D2230" s="230"/>
      <c r="V2230" s="219"/>
    </row>
    <row r="2231" spans="1:22" x14ac:dyDescent="0.2">
      <c r="A2231" s="229"/>
      <c r="B2231" s="230"/>
      <c r="D2231" s="230"/>
      <c r="V2231" s="219"/>
    </row>
    <row r="2232" spans="1:22" x14ac:dyDescent="0.2">
      <c r="A2232" s="229"/>
      <c r="B2232" s="230"/>
      <c r="D2232" s="230"/>
      <c r="V2232" s="219"/>
    </row>
    <row r="2233" spans="1:22" x14ac:dyDescent="0.2">
      <c r="A2233" s="229"/>
      <c r="B2233" s="230"/>
      <c r="D2233" s="230"/>
      <c r="V2233" s="219"/>
    </row>
    <row r="2234" spans="1:22" x14ac:dyDescent="0.2">
      <c r="A2234" s="229"/>
      <c r="B2234" s="230"/>
      <c r="D2234" s="230"/>
      <c r="V2234" s="219"/>
    </row>
    <row r="2235" spans="1:22" x14ac:dyDescent="0.2">
      <c r="A2235" s="229"/>
      <c r="B2235" s="230"/>
      <c r="D2235" s="230"/>
      <c r="V2235" s="219"/>
    </row>
    <row r="2236" spans="1:22" x14ac:dyDescent="0.2">
      <c r="A2236" s="229"/>
      <c r="B2236" s="230"/>
      <c r="D2236" s="230"/>
      <c r="V2236" s="219"/>
    </row>
    <row r="2237" spans="1:22" x14ac:dyDescent="0.2">
      <c r="A2237" s="229"/>
      <c r="B2237" s="230"/>
      <c r="D2237" s="230"/>
      <c r="V2237" s="219"/>
    </row>
    <row r="2238" spans="1:22" x14ac:dyDescent="0.2">
      <c r="A2238" s="229"/>
      <c r="B2238" s="230"/>
      <c r="D2238" s="230"/>
      <c r="V2238" s="219"/>
    </row>
    <row r="2239" spans="1:22" x14ac:dyDescent="0.2">
      <c r="A2239" s="229"/>
      <c r="B2239" s="230"/>
      <c r="D2239" s="230"/>
      <c r="V2239" s="219"/>
    </row>
    <row r="2240" spans="1:22" x14ac:dyDescent="0.2">
      <c r="A2240" s="229"/>
      <c r="B2240" s="230"/>
      <c r="D2240" s="230"/>
      <c r="V2240" s="219"/>
    </row>
    <row r="2241" spans="1:22" x14ac:dyDescent="0.2">
      <c r="A2241" s="229"/>
      <c r="B2241" s="230"/>
      <c r="D2241" s="230"/>
      <c r="V2241" s="219"/>
    </row>
    <row r="2242" spans="1:22" x14ac:dyDescent="0.2">
      <c r="A2242" s="229"/>
      <c r="B2242" s="230"/>
      <c r="D2242" s="230"/>
      <c r="V2242" s="219"/>
    </row>
    <row r="2243" spans="1:22" x14ac:dyDescent="0.2">
      <c r="A2243" s="229"/>
      <c r="B2243" s="230"/>
      <c r="D2243" s="230"/>
      <c r="V2243" s="219"/>
    </row>
    <row r="2244" spans="1:22" x14ac:dyDescent="0.2">
      <c r="A2244" s="229"/>
      <c r="B2244" s="230"/>
      <c r="D2244" s="230"/>
      <c r="V2244" s="219"/>
    </row>
    <row r="2245" spans="1:22" x14ac:dyDescent="0.2">
      <c r="A2245" s="229"/>
      <c r="B2245" s="230"/>
      <c r="D2245" s="230"/>
      <c r="V2245" s="219"/>
    </row>
    <row r="2246" spans="1:22" x14ac:dyDescent="0.2">
      <c r="A2246" s="229"/>
      <c r="B2246" s="230"/>
      <c r="D2246" s="230"/>
      <c r="V2246" s="219"/>
    </row>
    <row r="2247" spans="1:22" x14ac:dyDescent="0.2">
      <c r="A2247" s="229"/>
      <c r="B2247" s="230"/>
      <c r="D2247" s="230"/>
      <c r="V2247" s="219"/>
    </row>
    <row r="2248" spans="1:22" x14ac:dyDescent="0.2">
      <c r="A2248" s="229"/>
      <c r="B2248" s="230"/>
      <c r="D2248" s="230"/>
      <c r="V2248" s="219"/>
    </row>
    <row r="2249" spans="1:22" x14ac:dyDescent="0.2">
      <c r="A2249" s="229"/>
      <c r="B2249" s="230"/>
      <c r="D2249" s="230"/>
      <c r="V2249" s="219"/>
    </row>
    <row r="2250" spans="1:22" x14ac:dyDescent="0.2">
      <c r="A2250" s="229"/>
      <c r="B2250" s="230"/>
      <c r="D2250" s="230"/>
      <c r="V2250" s="219"/>
    </row>
    <row r="2251" spans="1:22" x14ac:dyDescent="0.2">
      <c r="A2251" s="229"/>
      <c r="B2251" s="230"/>
      <c r="D2251" s="230"/>
      <c r="V2251" s="219"/>
    </row>
    <row r="2252" spans="1:22" x14ac:dyDescent="0.2">
      <c r="A2252" s="229"/>
      <c r="B2252" s="230"/>
      <c r="D2252" s="230"/>
      <c r="V2252" s="219"/>
    </row>
    <row r="2253" spans="1:22" x14ac:dyDescent="0.2">
      <c r="A2253" s="229"/>
      <c r="B2253" s="230"/>
      <c r="D2253" s="230"/>
      <c r="V2253" s="219"/>
    </row>
    <row r="2254" spans="1:22" x14ac:dyDescent="0.2">
      <c r="A2254" s="229"/>
      <c r="B2254" s="230"/>
      <c r="D2254" s="230"/>
      <c r="V2254" s="219"/>
    </row>
    <row r="2255" spans="1:22" x14ac:dyDescent="0.2">
      <c r="A2255" s="229"/>
      <c r="B2255" s="230"/>
      <c r="D2255" s="230"/>
      <c r="V2255" s="219"/>
    </row>
    <row r="2256" spans="1:22" x14ac:dyDescent="0.2">
      <c r="A2256" s="229"/>
      <c r="B2256" s="230"/>
      <c r="D2256" s="230"/>
      <c r="V2256" s="219"/>
    </row>
    <row r="2257" spans="1:22" x14ac:dyDescent="0.2">
      <c r="A2257" s="229"/>
      <c r="B2257" s="230"/>
      <c r="D2257" s="230"/>
      <c r="V2257" s="219"/>
    </row>
    <row r="2258" spans="1:22" x14ac:dyDescent="0.2">
      <c r="A2258" s="229"/>
      <c r="B2258" s="230"/>
      <c r="D2258" s="230"/>
      <c r="V2258" s="219"/>
    </row>
    <row r="2259" spans="1:22" x14ac:dyDescent="0.2">
      <c r="A2259" s="229"/>
      <c r="B2259" s="230"/>
      <c r="D2259" s="230"/>
      <c r="V2259" s="219"/>
    </row>
    <row r="2260" spans="1:22" x14ac:dyDescent="0.2">
      <c r="A2260" s="229"/>
      <c r="B2260" s="230"/>
      <c r="D2260" s="230"/>
      <c r="V2260" s="219"/>
    </row>
    <row r="2261" spans="1:22" x14ac:dyDescent="0.2">
      <c r="A2261" s="229"/>
      <c r="B2261" s="230"/>
      <c r="D2261" s="230"/>
      <c r="V2261" s="219"/>
    </row>
    <row r="2262" spans="1:22" x14ac:dyDescent="0.2">
      <c r="A2262" s="229"/>
      <c r="B2262" s="230"/>
      <c r="D2262" s="230"/>
      <c r="V2262" s="219"/>
    </row>
    <row r="2263" spans="1:22" x14ac:dyDescent="0.2">
      <c r="A2263" s="229"/>
      <c r="B2263" s="230"/>
      <c r="D2263" s="230"/>
      <c r="V2263" s="219"/>
    </row>
    <row r="2264" spans="1:22" x14ac:dyDescent="0.2">
      <c r="A2264" s="229"/>
      <c r="B2264" s="230"/>
      <c r="D2264" s="230"/>
      <c r="V2264" s="219"/>
    </row>
    <row r="2265" spans="1:22" x14ac:dyDescent="0.2">
      <c r="A2265" s="229"/>
      <c r="B2265" s="230"/>
      <c r="D2265" s="230"/>
      <c r="V2265" s="219"/>
    </row>
    <row r="2266" spans="1:22" x14ac:dyDescent="0.2">
      <c r="A2266" s="229"/>
      <c r="B2266" s="230"/>
      <c r="D2266" s="230"/>
      <c r="V2266" s="219"/>
    </row>
    <row r="2267" spans="1:22" x14ac:dyDescent="0.2">
      <c r="A2267" s="229"/>
      <c r="B2267" s="230"/>
      <c r="D2267" s="230"/>
      <c r="V2267" s="219"/>
    </row>
    <row r="2268" spans="1:22" x14ac:dyDescent="0.2">
      <c r="A2268" s="229"/>
      <c r="B2268" s="230"/>
      <c r="D2268" s="230"/>
      <c r="V2268" s="219"/>
    </row>
    <row r="2269" spans="1:22" x14ac:dyDescent="0.2">
      <c r="A2269" s="229"/>
      <c r="B2269" s="230"/>
      <c r="D2269" s="230"/>
      <c r="V2269" s="219"/>
    </row>
    <row r="2270" spans="1:22" x14ac:dyDescent="0.2">
      <c r="A2270" s="229"/>
      <c r="B2270" s="230"/>
      <c r="D2270" s="230"/>
      <c r="V2270" s="219"/>
    </row>
    <row r="2271" spans="1:22" x14ac:dyDescent="0.2">
      <c r="A2271" s="229"/>
      <c r="B2271" s="230"/>
      <c r="D2271" s="230"/>
      <c r="V2271" s="219"/>
    </row>
    <row r="2272" spans="1:22" x14ac:dyDescent="0.2">
      <c r="A2272" s="229"/>
      <c r="B2272" s="230"/>
      <c r="D2272" s="230"/>
      <c r="V2272" s="219"/>
    </row>
    <row r="2273" spans="1:22" x14ac:dyDescent="0.2">
      <c r="A2273" s="229"/>
      <c r="B2273" s="230"/>
      <c r="D2273" s="230"/>
      <c r="V2273" s="219"/>
    </row>
    <row r="2274" spans="1:22" x14ac:dyDescent="0.2">
      <c r="A2274" s="229"/>
      <c r="B2274" s="230"/>
      <c r="D2274" s="230"/>
      <c r="V2274" s="219"/>
    </row>
  </sheetData>
  <phoneticPr fontId="34" type="noConversion"/>
  <pageMargins left="0.75" right="0.75" top="1" bottom="1" header="0.5" footer="0.5"/>
  <pageSetup scale="10" orientation="landscape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2">
    <pageSetUpPr fitToPage="1"/>
  </sheetPr>
  <dimension ref="A1:U132"/>
  <sheetViews>
    <sheetView tabSelected="1" zoomScale="85" workbookViewId="0">
      <selection sqref="A1:XFD1048576"/>
    </sheetView>
  </sheetViews>
  <sheetFormatPr defaultColWidth="9.140625" defaultRowHeight="12.75" x14ac:dyDescent="0.2"/>
  <cols>
    <col min="1" max="1" width="17.5703125" style="234" customWidth="1"/>
    <col min="2" max="2" width="14.140625" style="234" customWidth="1"/>
    <col min="3" max="3" width="10.140625" style="234" customWidth="1"/>
    <col min="4" max="4" width="9.140625" style="234"/>
    <col min="5" max="5" width="12.85546875" style="234" customWidth="1"/>
    <col min="6" max="6" width="10.140625" style="234" customWidth="1"/>
    <col min="7" max="7" width="9.140625" style="234"/>
    <col min="8" max="8" width="10.28515625" style="234" customWidth="1"/>
    <col min="9" max="9" width="11.7109375" style="234" bestFit="1" customWidth="1"/>
    <col min="10" max="10" width="10.85546875" style="234" bestFit="1" customWidth="1"/>
    <col min="11" max="16384" width="9.140625" style="234"/>
  </cols>
  <sheetData>
    <row r="1" spans="1:21" ht="15.75" x14ac:dyDescent="0.25">
      <c r="A1" s="232" t="s">
        <v>1679</v>
      </c>
      <c r="B1" s="233"/>
      <c r="C1" s="304"/>
      <c r="D1" s="304"/>
      <c r="E1" s="304"/>
      <c r="F1" s="304"/>
      <c r="G1" s="304"/>
      <c r="H1" s="304"/>
      <c r="I1" s="304"/>
      <c r="J1" s="304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</row>
    <row r="2" spans="1:21" x14ac:dyDescent="0.2">
      <c r="A2" s="304"/>
      <c r="B2" s="304"/>
      <c r="C2" s="304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</row>
    <row r="3" spans="1:21" ht="12" customHeight="1" x14ac:dyDescent="0.2">
      <c r="A3" s="306" t="s">
        <v>1680</v>
      </c>
      <c r="B3" s="304">
        <v>42</v>
      </c>
      <c r="C3" s="307" t="s">
        <v>1681</v>
      </c>
      <c r="D3" s="307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</row>
    <row r="4" spans="1:21" ht="12" customHeight="1" x14ac:dyDescent="0.2">
      <c r="A4" s="308" t="s">
        <v>1682</v>
      </c>
      <c r="B4" s="304">
        <v>1.0550559999999999E-6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</row>
    <row r="5" spans="1:21" ht="12" customHeight="1" x14ac:dyDescent="0.2">
      <c r="A5" s="308" t="s">
        <v>1683</v>
      </c>
      <c r="B5" s="309">
        <f>1/B4</f>
        <v>947816.98791343789</v>
      </c>
      <c r="C5" s="304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</row>
    <row r="6" spans="1:21" ht="12" customHeight="1" x14ac:dyDescent="0.2">
      <c r="A6" s="308" t="s">
        <v>1684</v>
      </c>
      <c r="B6" s="309">
        <v>25</v>
      </c>
      <c r="C6" s="307" t="s">
        <v>1685</v>
      </c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</row>
    <row r="7" spans="1:21" ht="12" customHeight="1" x14ac:dyDescent="0.2">
      <c r="A7" s="308"/>
      <c r="B7" s="309"/>
      <c r="C7" s="307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</row>
    <row r="8" spans="1:21" ht="12" customHeight="1" x14ac:dyDescent="0.2">
      <c r="A8" s="304"/>
      <c r="B8" s="304"/>
      <c r="C8" s="304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</row>
    <row r="9" spans="1:21" ht="12" customHeight="1" x14ac:dyDescent="0.2">
      <c r="A9" s="235" t="s">
        <v>1686</v>
      </c>
      <c r="B9" s="236"/>
      <c r="C9" s="236"/>
      <c r="D9" s="237"/>
      <c r="E9" s="237"/>
      <c r="F9" s="305"/>
      <c r="G9" s="305"/>
      <c r="H9" s="305"/>
      <c r="I9" s="305"/>
      <c r="J9" s="23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</row>
    <row r="10" spans="1:21" ht="12" customHeight="1" x14ac:dyDescent="0.2">
      <c r="A10" s="236" t="s">
        <v>1687</v>
      </c>
      <c r="B10" s="236"/>
      <c r="C10" s="236"/>
      <c r="D10" s="237"/>
      <c r="E10" s="237"/>
      <c r="F10" s="305"/>
      <c r="G10" s="305"/>
      <c r="H10" s="305"/>
      <c r="I10" s="305"/>
      <c r="J10" s="236"/>
      <c r="K10" s="305"/>
      <c r="L10" s="305"/>
      <c r="M10" s="305"/>
      <c r="N10" s="305"/>
      <c r="O10" s="305"/>
      <c r="P10" s="305"/>
      <c r="Q10" s="305"/>
      <c r="R10" s="236"/>
      <c r="S10" s="236"/>
      <c r="T10" s="237"/>
      <c r="U10" s="237"/>
    </row>
    <row r="11" spans="1:21" ht="12" customHeight="1" x14ac:dyDescent="0.2">
      <c r="A11" s="236" t="s">
        <v>1688</v>
      </c>
      <c r="B11" s="236"/>
      <c r="C11" s="236"/>
      <c r="D11" s="237"/>
      <c r="E11" s="237"/>
      <c r="F11" s="305"/>
      <c r="G11" s="305"/>
      <c r="H11" s="305"/>
      <c r="I11" s="305"/>
      <c r="J11" s="236"/>
      <c r="K11" s="305"/>
      <c r="L11" s="305"/>
      <c r="M11" s="305"/>
      <c r="N11" s="305"/>
      <c r="O11" s="305"/>
      <c r="P11" s="305"/>
      <c r="Q11" s="305"/>
      <c r="R11" s="236"/>
      <c r="S11" s="236"/>
      <c r="T11" s="237"/>
      <c r="U11" s="237"/>
    </row>
    <row r="12" spans="1:21" ht="12" customHeight="1" x14ac:dyDescent="0.2">
      <c r="A12" s="238" t="s">
        <v>1689</v>
      </c>
      <c r="B12" s="236"/>
      <c r="C12" s="236"/>
      <c r="D12" s="237"/>
      <c r="E12" s="237"/>
      <c r="F12" s="305"/>
      <c r="G12" s="305"/>
      <c r="H12" s="305"/>
      <c r="I12" s="305"/>
      <c r="J12" s="310"/>
      <c r="K12" s="305"/>
      <c r="L12" s="305"/>
      <c r="M12" s="305"/>
      <c r="N12" s="305"/>
      <c r="O12" s="305"/>
      <c r="P12" s="305"/>
      <c r="Q12" s="305"/>
      <c r="R12" s="236"/>
      <c r="S12" s="236"/>
      <c r="T12" s="237"/>
      <c r="U12" s="237"/>
    </row>
    <row r="13" spans="1:21" ht="12" customHeight="1" x14ac:dyDescent="0.2">
      <c r="A13" s="26" t="s">
        <v>1690</v>
      </c>
      <c r="B13" s="236"/>
      <c r="C13" s="236"/>
      <c r="D13" s="237"/>
      <c r="E13" s="237"/>
      <c r="F13" s="305"/>
      <c r="G13" s="305"/>
      <c r="H13" s="305"/>
      <c r="I13" s="305"/>
      <c r="J13" s="26"/>
      <c r="K13" s="305"/>
      <c r="L13" s="305"/>
      <c r="M13" s="305"/>
      <c r="N13" s="305"/>
      <c r="O13" s="305"/>
      <c r="P13" s="305"/>
      <c r="Q13" s="305"/>
      <c r="R13" s="236"/>
      <c r="S13" s="236"/>
      <c r="T13" s="237"/>
      <c r="U13" s="237"/>
    </row>
    <row r="14" spans="1:21" ht="12" customHeight="1" x14ac:dyDescent="0.2">
      <c r="A14" s="236" t="s">
        <v>15</v>
      </c>
      <c r="B14" s="236" t="s">
        <v>1691</v>
      </c>
      <c r="C14" s="236" t="s">
        <v>1692</v>
      </c>
      <c r="D14" s="237"/>
      <c r="E14" s="237"/>
      <c r="F14" s="305"/>
      <c r="G14" s="305"/>
      <c r="H14" s="56"/>
      <c r="I14" s="305"/>
      <c r="J14" s="236"/>
      <c r="K14" s="305"/>
      <c r="L14" s="305"/>
      <c r="M14" s="305"/>
      <c r="N14" s="305"/>
      <c r="O14" s="305"/>
      <c r="P14" s="305"/>
      <c r="Q14" s="305"/>
      <c r="R14" s="236"/>
      <c r="S14" s="236"/>
      <c r="T14" s="237"/>
      <c r="U14" s="237"/>
    </row>
    <row r="15" spans="1:21" ht="12" customHeight="1" x14ac:dyDescent="0.2">
      <c r="A15" s="29" t="s">
        <v>1693</v>
      </c>
      <c r="B15" s="29">
        <v>53.622999999999998</v>
      </c>
      <c r="C15" s="239">
        <f>$B$37/B15</f>
        <v>1.7155138653189863</v>
      </c>
      <c r="D15" s="237"/>
      <c r="E15" s="237"/>
      <c r="F15" s="305"/>
      <c r="G15" s="305"/>
      <c r="H15" s="56"/>
      <c r="I15" s="305"/>
      <c r="J15" s="27"/>
      <c r="K15" s="305"/>
      <c r="L15" s="305"/>
      <c r="M15" s="305"/>
      <c r="N15" s="305"/>
      <c r="O15" s="305"/>
      <c r="P15" s="305"/>
      <c r="Q15" s="305"/>
      <c r="R15" s="236"/>
      <c r="S15" s="236"/>
      <c r="T15" s="237"/>
      <c r="U15" s="237"/>
    </row>
    <row r="16" spans="1:21" ht="12" customHeight="1" x14ac:dyDescent="0.2">
      <c r="A16" s="29" t="s">
        <v>1694</v>
      </c>
      <c r="B16" s="29">
        <v>55.524999999999999</v>
      </c>
      <c r="C16" s="239">
        <f t="shared" ref="C16:C44" si="0">$B$37/B16</f>
        <v>1.6567492120666367</v>
      </c>
      <c r="D16" s="237"/>
      <c r="E16" s="237"/>
      <c r="F16" s="305"/>
      <c r="G16" s="305"/>
      <c r="H16" s="56"/>
      <c r="I16" s="305"/>
      <c r="J16" s="27"/>
      <c r="K16" s="305"/>
      <c r="L16" s="305"/>
      <c r="M16" s="305"/>
      <c r="N16" s="305"/>
      <c r="O16" s="305"/>
      <c r="P16" s="305"/>
      <c r="Q16" s="305"/>
      <c r="R16" s="27"/>
      <c r="S16" s="239"/>
      <c r="T16" s="237"/>
      <c r="U16" s="237"/>
    </row>
    <row r="17" spans="1:21" ht="12" customHeight="1" x14ac:dyDescent="0.2">
      <c r="A17" s="29" t="s">
        <v>1695</v>
      </c>
      <c r="B17" s="29">
        <v>57.302</v>
      </c>
      <c r="C17" s="239">
        <f t="shared" si="0"/>
        <v>1.6053715402603748</v>
      </c>
      <c r="D17" s="237"/>
      <c r="E17" s="237"/>
      <c r="F17" s="305"/>
      <c r="G17" s="305"/>
      <c r="H17" s="56"/>
      <c r="I17" s="305"/>
      <c r="J17" s="27"/>
      <c r="K17" s="305"/>
      <c r="L17" s="305"/>
      <c r="M17" s="305"/>
      <c r="N17" s="305"/>
      <c r="O17" s="305"/>
      <c r="P17" s="305"/>
      <c r="Q17" s="305"/>
      <c r="R17" s="27"/>
      <c r="S17" s="239"/>
      <c r="T17" s="237"/>
      <c r="U17" s="237"/>
    </row>
    <row r="18" spans="1:21" ht="12" customHeight="1" x14ac:dyDescent="0.2">
      <c r="A18" s="29" t="s">
        <v>1696</v>
      </c>
      <c r="B18" s="29">
        <v>58.457999999999998</v>
      </c>
      <c r="C18" s="239">
        <f t="shared" si="0"/>
        <v>1.5736255089123816</v>
      </c>
      <c r="D18" s="237"/>
      <c r="E18" s="237"/>
      <c r="F18" s="305"/>
      <c r="G18" s="305"/>
      <c r="H18" s="56"/>
      <c r="I18" s="305"/>
      <c r="J18" s="27"/>
      <c r="K18" s="305"/>
      <c r="L18" s="305"/>
      <c r="M18" s="305"/>
      <c r="N18" s="305"/>
      <c r="O18" s="305"/>
      <c r="P18" s="305"/>
      <c r="Q18" s="305"/>
      <c r="R18" s="27"/>
      <c r="S18" s="239"/>
      <c r="T18" s="237"/>
      <c r="U18" s="237"/>
    </row>
    <row r="19" spans="1:21" ht="12" customHeight="1" x14ac:dyDescent="0.2">
      <c r="A19" s="29" t="s">
        <v>1697</v>
      </c>
      <c r="B19" s="29">
        <v>59.948999999999998</v>
      </c>
      <c r="C19" s="239">
        <f t="shared" si="0"/>
        <v>1.5344876478339922</v>
      </c>
      <c r="D19" s="237"/>
      <c r="E19" s="237"/>
      <c r="F19" s="305"/>
      <c r="G19" s="305"/>
      <c r="H19" s="56"/>
      <c r="I19" s="305"/>
      <c r="J19" s="27"/>
      <c r="K19" s="305"/>
      <c r="L19" s="305"/>
      <c r="M19" s="305"/>
      <c r="N19" s="305"/>
      <c r="O19" s="305"/>
      <c r="P19" s="305"/>
      <c r="Q19" s="305"/>
      <c r="R19" s="27"/>
      <c r="S19" s="239"/>
      <c r="T19" s="237"/>
      <c r="U19" s="237"/>
    </row>
    <row r="20" spans="1:21" ht="12" customHeight="1" x14ac:dyDescent="0.2">
      <c r="A20" s="29" t="s">
        <v>1698</v>
      </c>
      <c r="B20" s="29">
        <v>62.048000000000002</v>
      </c>
      <c r="C20" s="239">
        <f t="shared" si="0"/>
        <v>1.4825780041258381</v>
      </c>
      <c r="D20" s="237"/>
      <c r="E20" s="237"/>
      <c r="F20" s="305"/>
      <c r="G20" s="305"/>
      <c r="H20" s="56"/>
      <c r="I20" s="305"/>
      <c r="J20" s="27"/>
      <c r="K20" s="305"/>
      <c r="L20" s="305"/>
      <c r="M20" s="305"/>
      <c r="N20" s="305"/>
      <c r="O20" s="305"/>
      <c r="P20" s="305"/>
      <c r="Q20" s="305"/>
      <c r="R20" s="27"/>
      <c r="S20" s="239"/>
      <c r="T20" s="237"/>
      <c r="U20" s="237"/>
    </row>
    <row r="21" spans="1:21" ht="12" customHeight="1" x14ac:dyDescent="0.2">
      <c r="A21" s="29" t="s">
        <v>1699</v>
      </c>
      <c r="B21" s="29">
        <v>64.459999999999994</v>
      </c>
      <c r="C21" s="239">
        <f t="shared" si="0"/>
        <v>1.4271020788085635</v>
      </c>
      <c r="D21" s="237"/>
      <c r="E21" s="237"/>
      <c r="F21" s="305"/>
      <c r="G21" s="305"/>
      <c r="H21" s="56"/>
      <c r="I21" s="305"/>
      <c r="J21" s="27"/>
      <c r="K21" s="305"/>
      <c r="L21" s="305"/>
      <c r="M21" s="305"/>
      <c r="N21" s="305"/>
      <c r="O21" s="305"/>
      <c r="P21" s="305"/>
      <c r="Q21" s="305"/>
      <c r="R21" s="27"/>
      <c r="S21" s="239"/>
      <c r="T21" s="237"/>
      <c r="U21" s="237"/>
    </row>
    <row r="22" spans="1:21" ht="12" customHeight="1" x14ac:dyDescent="0.2">
      <c r="A22" s="29" t="s">
        <v>1700</v>
      </c>
      <c r="B22" s="29">
        <v>66.844999999999999</v>
      </c>
      <c r="C22" s="239">
        <f t="shared" si="0"/>
        <v>1.3761837085795496</v>
      </c>
      <c r="D22" s="240"/>
      <c r="E22" s="240"/>
      <c r="F22" s="305"/>
      <c r="G22" s="305"/>
      <c r="H22" s="56"/>
      <c r="I22" s="305"/>
      <c r="J22" s="27"/>
      <c r="K22" s="305"/>
      <c r="L22" s="305"/>
      <c r="M22" s="305"/>
      <c r="N22" s="305"/>
      <c r="O22" s="305"/>
      <c r="P22" s="305"/>
      <c r="Q22" s="305"/>
      <c r="R22" s="27"/>
      <c r="S22" s="239"/>
      <c r="T22" s="237"/>
      <c r="U22" s="237"/>
    </row>
    <row r="23" spans="1:21" ht="12" customHeight="1" x14ac:dyDescent="0.2">
      <c r="A23" s="29" t="s">
        <v>1701</v>
      </c>
      <c r="B23" s="29">
        <v>69.069000000000003</v>
      </c>
      <c r="C23" s="239">
        <f t="shared" si="0"/>
        <v>1.3318710275232013</v>
      </c>
      <c r="D23" s="240"/>
      <c r="E23" s="240"/>
      <c r="F23" s="305"/>
      <c r="G23" s="305"/>
      <c r="H23" s="56"/>
      <c r="I23" s="305"/>
      <c r="J23" s="27"/>
      <c r="K23" s="305"/>
      <c r="L23" s="305"/>
      <c r="M23" s="305"/>
      <c r="N23" s="305"/>
      <c r="O23" s="305"/>
      <c r="P23" s="305"/>
      <c r="Q23" s="305"/>
      <c r="R23" s="27"/>
      <c r="S23" s="239"/>
      <c r="T23" s="240"/>
      <c r="U23" s="240"/>
    </row>
    <row r="24" spans="1:21" ht="12" customHeight="1" x14ac:dyDescent="0.2">
      <c r="A24" s="29" t="s">
        <v>1702</v>
      </c>
      <c r="B24" s="29">
        <v>70.644000000000005</v>
      </c>
      <c r="C24" s="239">
        <f t="shared" si="0"/>
        <v>1.3021771134137363</v>
      </c>
      <c r="D24" s="240"/>
      <c r="E24" s="240"/>
      <c r="F24" s="305"/>
      <c r="G24" s="305"/>
      <c r="H24" s="56"/>
      <c r="I24" s="305"/>
      <c r="J24" s="27"/>
      <c r="K24" s="305"/>
      <c r="L24" s="305"/>
      <c r="M24" s="305"/>
      <c r="N24" s="305"/>
      <c r="O24" s="305"/>
      <c r="P24" s="305"/>
      <c r="Q24" s="305"/>
      <c r="R24" s="27"/>
      <c r="S24" s="239"/>
      <c r="T24" s="240"/>
      <c r="U24" s="240"/>
    </row>
    <row r="25" spans="1:21" ht="12" customHeight="1" x14ac:dyDescent="0.2">
      <c r="A25" s="29" t="s">
        <v>1703</v>
      </c>
      <c r="B25" s="29">
        <v>72.325000000000003</v>
      </c>
      <c r="C25" s="239">
        <f t="shared" si="0"/>
        <v>1.2719115105426892</v>
      </c>
      <c r="D25" s="240"/>
      <c r="E25" s="240"/>
      <c r="F25" s="305"/>
      <c r="G25" s="305"/>
      <c r="H25" s="56"/>
      <c r="I25" s="305"/>
      <c r="J25" s="27"/>
      <c r="K25" s="305"/>
      <c r="L25" s="305"/>
      <c r="M25" s="305"/>
      <c r="N25" s="305"/>
      <c r="O25" s="305"/>
      <c r="P25" s="305"/>
      <c r="Q25" s="305"/>
      <c r="R25" s="27"/>
      <c r="S25" s="239"/>
      <c r="T25" s="240"/>
      <c r="U25" s="240"/>
    </row>
    <row r="26" spans="1:21" ht="12" customHeight="1" x14ac:dyDescent="0.2">
      <c r="A26" s="29" t="s">
        <v>1704</v>
      </c>
      <c r="B26" s="29">
        <v>73.864999999999995</v>
      </c>
      <c r="C26" s="239">
        <f t="shared" si="0"/>
        <v>1.2453936235023355</v>
      </c>
      <c r="D26" s="240"/>
      <c r="E26" s="240"/>
      <c r="F26" s="305"/>
      <c r="G26" s="305"/>
      <c r="H26" s="56"/>
      <c r="I26" s="305"/>
      <c r="J26" s="27"/>
      <c r="K26" s="305"/>
      <c r="L26" s="305"/>
      <c r="M26" s="305"/>
      <c r="N26" s="305"/>
      <c r="O26" s="305"/>
      <c r="P26" s="305"/>
      <c r="Q26" s="305"/>
      <c r="R26" s="27"/>
      <c r="S26" s="239"/>
      <c r="T26" s="240"/>
      <c r="U26" s="240"/>
    </row>
    <row r="27" spans="1:21" ht="12" customHeight="1" x14ac:dyDescent="0.2">
      <c r="A27" s="29" t="s">
        <v>1705</v>
      </c>
      <c r="B27" s="29">
        <v>75.406000000000006</v>
      </c>
      <c r="C27" s="239">
        <f t="shared" si="0"/>
        <v>1.2199427101291673</v>
      </c>
      <c r="D27" s="240"/>
      <c r="E27" s="240"/>
      <c r="F27" s="305"/>
      <c r="G27" s="305"/>
      <c r="H27" s="56"/>
      <c r="I27" s="305"/>
      <c r="J27" s="27"/>
      <c r="K27" s="241"/>
      <c r="L27" s="305"/>
      <c r="M27" s="305"/>
      <c r="N27" s="305"/>
      <c r="O27" s="305"/>
      <c r="P27" s="305"/>
      <c r="Q27" s="305"/>
      <c r="R27" s="27"/>
      <c r="S27" s="239"/>
      <c r="T27" s="240"/>
      <c r="U27" s="240"/>
    </row>
    <row r="28" spans="1:21" ht="12" customHeight="1" x14ac:dyDescent="0.2">
      <c r="A28" s="29" t="s">
        <v>1706</v>
      </c>
      <c r="B28" s="29">
        <v>76.783000000000001</v>
      </c>
      <c r="C28" s="239">
        <f t="shared" si="0"/>
        <v>1.1980646757745854</v>
      </c>
      <c r="D28" s="240"/>
      <c r="E28" s="240"/>
      <c r="F28" s="305"/>
      <c r="G28" s="305"/>
      <c r="H28" s="56"/>
      <c r="I28" s="305"/>
      <c r="J28" s="27"/>
      <c r="K28" s="305"/>
      <c r="L28" s="305"/>
      <c r="M28" s="305"/>
      <c r="N28" s="305"/>
      <c r="O28" s="305"/>
      <c r="P28" s="305"/>
      <c r="Q28" s="305"/>
      <c r="R28" s="27"/>
      <c r="S28" s="239"/>
      <c r="T28" s="240"/>
      <c r="U28" s="240"/>
    </row>
    <row r="29" spans="1:21" ht="12" customHeight="1" x14ac:dyDescent="0.25">
      <c r="A29" s="29" t="s">
        <v>1707</v>
      </c>
      <c r="B29" s="29">
        <v>78.096000000000004</v>
      </c>
      <c r="C29" s="239">
        <f t="shared" si="0"/>
        <v>1.1779220446629788</v>
      </c>
      <c r="D29" s="240"/>
      <c r="E29" s="240"/>
      <c r="F29" s="305"/>
      <c r="G29" s="305"/>
      <c r="H29" s="56"/>
      <c r="I29" s="305"/>
      <c r="J29" s="27"/>
      <c r="K29" s="242"/>
      <c r="L29" s="107"/>
      <c r="M29" s="107"/>
      <c r="N29" s="107"/>
      <c r="O29" s="107"/>
      <c r="P29" s="107"/>
      <c r="Q29" s="107"/>
      <c r="R29" s="107"/>
      <c r="S29" s="107"/>
      <c r="T29" s="107"/>
      <c r="U29" s="107"/>
    </row>
    <row r="30" spans="1:21" ht="12" customHeight="1" x14ac:dyDescent="0.2">
      <c r="A30" s="29" t="s">
        <v>1708</v>
      </c>
      <c r="B30" s="29">
        <v>78.944000000000003</v>
      </c>
      <c r="C30" s="239">
        <f t="shared" si="0"/>
        <v>1.1652690514795299</v>
      </c>
      <c r="D30" s="240"/>
      <c r="E30" s="240"/>
      <c r="F30" s="305"/>
      <c r="G30" s="305"/>
      <c r="H30" s="56"/>
      <c r="I30" s="305"/>
      <c r="J30" s="2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</row>
    <row r="31" spans="1:21" ht="12" customHeight="1" x14ac:dyDescent="0.2">
      <c r="A31" s="29" t="s">
        <v>1709</v>
      </c>
      <c r="B31" s="29">
        <v>80.070999999999998</v>
      </c>
      <c r="C31" s="239">
        <f t="shared" si="0"/>
        <v>1.148867879756716</v>
      </c>
      <c r="D31" s="240"/>
      <c r="E31" s="240"/>
      <c r="F31" s="305"/>
      <c r="G31" s="305"/>
      <c r="H31" s="56"/>
      <c r="I31" s="305"/>
      <c r="J31" s="27"/>
      <c r="K31" s="305"/>
      <c r="L31" s="305"/>
      <c r="M31" s="305"/>
      <c r="N31" s="305"/>
      <c r="O31" s="305"/>
      <c r="P31" s="305"/>
      <c r="Q31" s="305"/>
      <c r="R31" s="27"/>
      <c r="S31" s="239"/>
      <c r="T31" s="240"/>
      <c r="U31" s="240"/>
    </row>
    <row r="32" spans="1:21" ht="12" customHeight="1" x14ac:dyDescent="0.2">
      <c r="A32" s="29" t="s">
        <v>1710</v>
      </c>
      <c r="B32" s="29">
        <v>81.891000000000005</v>
      </c>
      <c r="C32" s="239">
        <f t="shared" si="0"/>
        <v>1.123334676582286</v>
      </c>
      <c r="D32" s="240"/>
      <c r="E32" s="240"/>
      <c r="F32" s="305"/>
      <c r="G32" s="305"/>
      <c r="H32" s="56"/>
      <c r="I32" s="305"/>
      <c r="J32" s="27"/>
      <c r="K32" s="305"/>
      <c r="L32" s="305"/>
      <c r="M32" s="305"/>
      <c r="N32" s="305"/>
      <c r="O32" s="305"/>
      <c r="P32" s="305"/>
      <c r="Q32" s="305"/>
      <c r="R32" s="27"/>
      <c r="S32" s="239"/>
      <c r="T32" s="240"/>
      <c r="U32" s="240"/>
    </row>
    <row r="33" spans="1:21" ht="12" customHeight="1" x14ac:dyDescent="0.2">
      <c r="A33" s="29" t="s">
        <v>1711</v>
      </c>
      <c r="B33" s="29">
        <v>83.766000000000005</v>
      </c>
      <c r="C33" s="239">
        <f t="shared" si="0"/>
        <v>1.0981901964997731</v>
      </c>
      <c r="D33" s="240"/>
      <c r="E33" s="240"/>
      <c r="F33" s="305"/>
      <c r="G33" s="305"/>
      <c r="H33" s="56"/>
      <c r="I33" s="305"/>
      <c r="J33" s="27"/>
      <c r="K33" s="305"/>
      <c r="L33" s="305"/>
      <c r="M33" s="305"/>
      <c r="N33" s="305"/>
      <c r="O33" s="305"/>
      <c r="P33" s="305"/>
      <c r="Q33" s="305"/>
      <c r="R33" s="27"/>
      <c r="S33" s="239"/>
      <c r="T33" s="240"/>
      <c r="U33" s="240"/>
    </row>
    <row r="34" spans="1:21" ht="12" customHeight="1" x14ac:dyDescent="0.2">
      <c r="A34" s="29" t="s">
        <v>1712</v>
      </c>
      <c r="B34" s="29">
        <v>85.054000000000002</v>
      </c>
      <c r="C34" s="239">
        <f t="shared" si="0"/>
        <v>1.0815599501493169</v>
      </c>
      <c r="D34" s="240"/>
      <c r="E34" s="240"/>
      <c r="F34" s="305"/>
      <c r="G34" s="305"/>
      <c r="H34" s="56"/>
      <c r="I34" s="305"/>
      <c r="J34" s="27"/>
      <c r="K34" s="305"/>
      <c r="L34" s="305"/>
      <c r="M34" s="305"/>
      <c r="N34" s="305"/>
      <c r="O34" s="305"/>
      <c r="P34" s="305"/>
      <c r="Q34" s="305"/>
      <c r="R34" s="27"/>
      <c r="S34" s="239"/>
      <c r="T34" s="240"/>
      <c r="U34" s="240"/>
    </row>
    <row r="35" spans="1:21" ht="12" customHeight="1" x14ac:dyDescent="0.2">
      <c r="A35" s="29" t="s">
        <v>1349</v>
      </c>
      <c r="B35" s="29">
        <v>86.754000000000005</v>
      </c>
      <c r="C35" s="239">
        <f t="shared" si="0"/>
        <v>1.0603660926297347</v>
      </c>
      <c r="D35" s="240"/>
      <c r="E35" s="240"/>
      <c r="F35" s="305"/>
      <c r="G35" s="305"/>
      <c r="H35" s="56"/>
      <c r="I35" s="305"/>
      <c r="J35" s="27"/>
      <c r="K35" s="305"/>
      <c r="L35" s="305"/>
      <c r="M35" s="305"/>
      <c r="N35" s="305"/>
      <c r="O35" s="305"/>
      <c r="P35" s="305"/>
      <c r="Q35" s="305"/>
      <c r="R35" s="27"/>
      <c r="S35" s="239"/>
      <c r="T35" s="240"/>
      <c r="U35" s="240"/>
    </row>
    <row r="36" spans="1:21" ht="12" customHeight="1" x14ac:dyDescent="0.2">
      <c r="A36" s="29" t="s">
        <v>1350</v>
      </c>
      <c r="B36" s="29">
        <v>89.132000000000005</v>
      </c>
      <c r="C36" s="239">
        <f t="shared" si="0"/>
        <v>1.0320760220796121</v>
      </c>
      <c r="D36" s="240"/>
      <c r="E36" s="240"/>
      <c r="F36" s="305"/>
      <c r="G36" s="305"/>
      <c r="H36" s="56"/>
      <c r="I36" s="305"/>
      <c r="J36" s="27"/>
      <c r="K36" s="305"/>
      <c r="L36" s="305"/>
      <c r="M36" s="305"/>
      <c r="N36" s="305"/>
      <c r="O36" s="305"/>
      <c r="P36" s="305"/>
      <c r="Q36" s="305"/>
      <c r="R36" s="27"/>
      <c r="S36" s="239"/>
      <c r="T36" s="240"/>
      <c r="U36" s="240"/>
    </row>
    <row r="37" spans="1:21" ht="12" customHeight="1" x14ac:dyDescent="0.2">
      <c r="A37" s="29" t="s">
        <v>1351</v>
      </c>
      <c r="B37" s="29">
        <v>91.991</v>
      </c>
      <c r="C37" s="239">
        <f t="shared" si="0"/>
        <v>1</v>
      </c>
      <c r="D37" s="240"/>
      <c r="E37" s="240"/>
      <c r="F37" s="305"/>
      <c r="G37" s="305"/>
      <c r="H37" s="56"/>
      <c r="I37" s="305"/>
      <c r="J37" s="27"/>
      <c r="K37" s="305"/>
      <c r="L37" s="305"/>
      <c r="M37" s="305"/>
      <c r="N37" s="305"/>
      <c r="O37" s="305"/>
      <c r="P37" s="305"/>
      <c r="Q37" s="305"/>
      <c r="R37" s="27"/>
      <c r="S37" s="239"/>
      <c r="T37" s="240"/>
      <c r="U37" s="240"/>
    </row>
    <row r="38" spans="1:21" ht="12" customHeight="1" x14ac:dyDescent="0.2">
      <c r="A38" s="29" t="s">
        <v>1352</v>
      </c>
      <c r="B38" s="29">
        <v>94.817999999999998</v>
      </c>
      <c r="C38" s="239">
        <f t="shared" si="0"/>
        <v>0.97018498597312752</v>
      </c>
      <c r="D38" s="240"/>
      <c r="E38" s="240"/>
      <c r="F38" s="305"/>
      <c r="G38" s="305"/>
      <c r="H38" s="56"/>
      <c r="I38" s="305"/>
      <c r="J38" s="27"/>
      <c r="K38" s="305"/>
      <c r="L38" s="305"/>
      <c r="M38" s="305"/>
      <c r="N38" s="305"/>
      <c r="O38" s="305"/>
      <c r="P38" s="305"/>
      <c r="Q38" s="305"/>
      <c r="R38" s="27"/>
      <c r="S38" s="239"/>
      <c r="T38" s="240"/>
      <c r="U38" s="240"/>
    </row>
    <row r="39" spans="1:21" ht="12" customHeight="1" x14ac:dyDescent="0.2">
      <c r="A39" s="29" t="s">
        <v>1713</v>
      </c>
      <c r="B39" s="29">
        <v>97.334999999999994</v>
      </c>
      <c r="C39" s="239">
        <f t="shared" si="0"/>
        <v>0.94509683053372384</v>
      </c>
      <c r="D39" s="240"/>
      <c r="E39" s="240"/>
      <c r="F39" s="305"/>
      <c r="G39" s="305"/>
      <c r="H39" s="56"/>
      <c r="I39" s="305"/>
      <c r="J39" s="27"/>
      <c r="K39" s="305"/>
      <c r="L39" s="305"/>
      <c r="M39" s="305"/>
      <c r="N39" s="305"/>
      <c r="O39" s="305"/>
      <c r="P39" s="305"/>
      <c r="Q39" s="305"/>
      <c r="R39" s="27"/>
      <c r="S39" s="239"/>
      <c r="T39" s="240"/>
      <c r="U39" s="240"/>
    </row>
    <row r="40" spans="1:21" ht="12" customHeight="1" x14ac:dyDescent="0.2">
      <c r="A40" s="29" t="s">
        <v>1714</v>
      </c>
      <c r="B40" s="29">
        <v>99.236000000000004</v>
      </c>
      <c r="C40" s="239">
        <f t="shared" si="0"/>
        <v>0.92699222056511743</v>
      </c>
      <c r="D40" s="240"/>
      <c r="E40" s="240"/>
      <c r="F40" s="305"/>
      <c r="G40" s="305"/>
      <c r="H40" s="56"/>
      <c r="I40" s="305"/>
      <c r="J40" s="27"/>
      <c r="K40" s="305"/>
      <c r="L40" s="305"/>
      <c r="M40" s="305"/>
      <c r="N40" s="305"/>
      <c r="O40" s="305"/>
      <c r="P40" s="305"/>
      <c r="Q40" s="305"/>
      <c r="R40" s="27"/>
      <c r="S40" s="239"/>
      <c r="T40" s="240"/>
      <c r="U40" s="240"/>
    </row>
    <row r="41" spans="1:21" ht="12" customHeight="1" x14ac:dyDescent="0.2">
      <c r="A41" s="29" t="s">
        <v>1715</v>
      </c>
      <c r="B41" s="29">
        <v>100</v>
      </c>
      <c r="C41" s="239">
        <f>$B$37/B41</f>
        <v>0.91991000000000001</v>
      </c>
      <c r="D41" s="240"/>
      <c r="E41" s="240"/>
      <c r="F41" s="305"/>
      <c r="G41" s="305"/>
      <c r="H41" s="305"/>
      <c r="I41" s="305"/>
      <c r="J41" s="27"/>
      <c r="K41" s="305"/>
      <c r="L41" s="305"/>
      <c r="M41" s="305"/>
      <c r="N41" s="305"/>
      <c r="O41" s="305"/>
      <c r="P41" s="305"/>
      <c r="Q41" s="305"/>
      <c r="R41" s="27"/>
      <c r="S41" s="239"/>
      <c r="T41" s="240"/>
      <c r="U41" s="240"/>
    </row>
    <row r="42" spans="1:21" ht="12" customHeight="1" x14ac:dyDescent="0.2">
      <c r="A42" s="29" t="s">
        <v>1716</v>
      </c>
      <c r="B42" s="29">
        <v>101.211</v>
      </c>
      <c r="C42" s="239">
        <f t="shared" si="0"/>
        <v>0.90890318246040447</v>
      </c>
      <c r="D42" s="26"/>
      <c r="E42" s="26"/>
      <c r="F42" s="305"/>
      <c r="G42" s="305"/>
      <c r="H42" s="305"/>
      <c r="I42" s="305"/>
      <c r="J42" s="27"/>
      <c r="K42" s="305"/>
      <c r="L42" s="305"/>
      <c r="M42" s="305"/>
      <c r="N42" s="305"/>
      <c r="O42" s="305"/>
      <c r="P42" s="305"/>
      <c r="Q42" s="305"/>
      <c r="R42" s="27"/>
      <c r="S42" s="239"/>
      <c r="T42" s="240"/>
      <c r="U42" s="240"/>
    </row>
    <row r="43" spans="1:21" x14ac:dyDescent="0.2">
      <c r="A43" s="29" t="s">
        <v>1717</v>
      </c>
      <c r="B43" s="29">
        <v>103.199</v>
      </c>
      <c r="C43" s="239">
        <f t="shared" si="0"/>
        <v>0.89139429645636103</v>
      </c>
      <c r="D43" s="26"/>
      <c r="E43" s="26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27"/>
      <c r="S43" s="239"/>
      <c r="T43" s="27"/>
      <c r="U43" s="27"/>
    </row>
    <row r="44" spans="1:21" x14ac:dyDescent="0.2">
      <c r="A44" s="29" t="s">
        <v>1718</v>
      </c>
      <c r="B44" s="29">
        <v>105.002</v>
      </c>
      <c r="C44" s="239">
        <f t="shared" si="0"/>
        <v>0.87608807451286641</v>
      </c>
      <c r="D44" s="26"/>
      <c r="E44" s="26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</row>
    <row r="45" spans="1:21" x14ac:dyDescent="0.2">
      <c r="A45" s="305"/>
      <c r="B45" s="305"/>
      <c r="C45" s="305"/>
      <c r="D45" s="304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</row>
    <row r="46" spans="1:21" x14ac:dyDescent="0.2">
      <c r="A46" s="305"/>
      <c r="B46" s="305"/>
      <c r="C46" s="305"/>
      <c r="D46" s="304"/>
      <c r="E46" s="305"/>
      <c r="F46" s="305"/>
      <c r="G46" s="305"/>
      <c r="H46" s="305"/>
      <c r="I46" s="305"/>
      <c r="J46" s="305"/>
      <c r="K46" s="240"/>
      <c r="L46" s="240"/>
      <c r="M46" s="305"/>
      <c r="N46" s="305"/>
      <c r="O46" s="305"/>
      <c r="P46" s="305"/>
      <c r="Q46" s="305"/>
      <c r="R46" s="305"/>
      <c r="S46" s="305"/>
      <c r="T46" s="305"/>
      <c r="U46" s="305"/>
    </row>
    <row r="47" spans="1:21" x14ac:dyDescent="0.2">
      <c r="A47" s="305"/>
      <c r="B47" s="305"/>
      <c r="C47" s="305"/>
      <c r="D47" s="304"/>
      <c r="E47" s="305"/>
      <c r="F47" s="305"/>
      <c r="G47" s="305"/>
      <c r="H47" s="305"/>
      <c r="I47" s="305"/>
      <c r="J47" s="305"/>
      <c r="K47" s="240"/>
      <c r="L47" s="240"/>
      <c r="M47" s="305"/>
      <c r="N47" s="305"/>
      <c r="O47" s="305"/>
      <c r="P47" s="305"/>
      <c r="Q47" s="305"/>
      <c r="R47" s="305"/>
      <c r="S47" s="305"/>
      <c r="T47" s="305"/>
      <c r="U47" s="305"/>
    </row>
    <row r="48" spans="1:21" x14ac:dyDescent="0.2">
      <c r="A48" s="305"/>
      <c r="B48" s="305"/>
      <c r="C48" s="305"/>
      <c r="D48" s="304"/>
      <c r="E48" s="305"/>
      <c r="F48" s="305"/>
      <c r="G48" s="305"/>
      <c r="H48" s="305"/>
      <c r="I48" s="305"/>
      <c r="J48" s="305"/>
      <c r="K48" s="240"/>
      <c r="L48" s="240"/>
      <c r="M48" s="305"/>
      <c r="N48" s="305"/>
      <c r="O48" s="305"/>
      <c r="P48" s="305"/>
      <c r="Q48" s="305"/>
      <c r="R48" s="305"/>
      <c r="S48" s="305"/>
      <c r="T48" s="305"/>
      <c r="U48" s="305"/>
    </row>
    <row r="49" spans="2:17" ht="15.75" customHeight="1" x14ac:dyDescent="0.2">
      <c r="B49" s="241"/>
      <c r="C49" s="305"/>
      <c r="D49" s="304"/>
      <c r="E49" s="305"/>
      <c r="F49" s="305"/>
      <c r="G49" s="305"/>
      <c r="H49" s="305"/>
      <c r="I49" s="305"/>
      <c r="J49" s="305"/>
      <c r="K49" s="240"/>
      <c r="L49" s="240"/>
      <c r="M49" s="305"/>
      <c r="N49" s="305"/>
      <c r="O49" s="305"/>
      <c r="P49" s="305"/>
      <c r="Q49" s="305"/>
    </row>
    <row r="50" spans="2:17" ht="15.75" customHeight="1" x14ac:dyDescent="0.2">
      <c r="B50" s="305"/>
      <c r="C50" s="305"/>
      <c r="D50" s="305"/>
      <c r="E50" s="305"/>
      <c r="F50" s="305"/>
      <c r="G50" s="305"/>
      <c r="H50" s="305"/>
      <c r="I50" s="305"/>
      <c r="J50" s="305"/>
      <c r="K50" s="240"/>
      <c r="L50" s="240"/>
      <c r="M50" s="305"/>
      <c r="N50" s="305"/>
      <c r="O50" s="305"/>
      <c r="P50" s="305"/>
      <c r="Q50" s="305"/>
    </row>
    <row r="51" spans="2:17" ht="15.75" customHeight="1" x14ac:dyDescent="0.25">
      <c r="B51" s="243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3"/>
      <c r="N51" s="243"/>
      <c r="O51" s="243"/>
      <c r="P51" s="243"/>
      <c r="Q51" s="243"/>
    </row>
    <row r="52" spans="2:17" ht="17.25" customHeight="1" x14ac:dyDescent="0.2">
      <c r="B52" s="244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311"/>
      <c r="N52" s="311"/>
      <c r="O52" s="311"/>
      <c r="P52" s="311"/>
      <c r="Q52" s="311"/>
    </row>
    <row r="53" spans="2:17" ht="12.75" customHeight="1" x14ac:dyDescent="0.2">
      <c r="B53" s="245"/>
      <c r="C53" s="246"/>
      <c r="D53" s="247"/>
      <c r="E53" s="247"/>
      <c r="F53" s="247"/>
      <c r="G53" s="247"/>
      <c r="H53" s="247"/>
      <c r="I53" s="247"/>
      <c r="J53" s="247"/>
      <c r="K53" s="247"/>
      <c r="L53" s="246"/>
      <c r="M53" s="246"/>
      <c r="N53" s="246"/>
      <c r="O53" s="246"/>
      <c r="P53" s="246"/>
      <c r="Q53" s="305"/>
    </row>
    <row r="54" spans="2:17" ht="12.75" customHeight="1" x14ac:dyDescent="0.2">
      <c r="B54" s="245"/>
      <c r="C54" s="246"/>
      <c r="D54" s="246"/>
      <c r="E54" s="246"/>
      <c r="F54" s="247"/>
      <c r="G54" s="247"/>
      <c r="H54" s="247"/>
      <c r="I54" s="247"/>
      <c r="J54" s="246"/>
      <c r="K54" s="246"/>
      <c r="L54" s="247"/>
      <c r="M54" s="305"/>
      <c r="N54" s="305"/>
      <c r="O54" s="305"/>
      <c r="P54" s="305"/>
      <c r="Q54" s="305"/>
    </row>
    <row r="55" spans="2:17" ht="12.75" customHeight="1" x14ac:dyDescent="0.2">
      <c r="B55" s="245"/>
      <c r="C55" s="246"/>
      <c r="D55" s="247"/>
      <c r="E55" s="247"/>
      <c r="F55" s="247"/>
      <c r="G55" s="247"/>
      <c r="H55" s="247"/>
      <c r="I55" s="247"/>
      <c r="J55" s="246"/>
      <c r="K55" s="246"/>
      <c r="L55" s="247"/>
      <c r="M55" s="305"/>
      <c r="N55" s="305"/>
      <c r="O55" s="305"/>
      <c r="P55" s="305"/>
      <c r="Q55" s="305"/>
    </row>
    <row r="56" spans="2:17" ht="12.75" customHeight="1" x14ac:dyDescent="0.2">
      <c r="B56" s="245"/>
      <c r="C56" s="246"/>
      <c r="D56" s="247"/>
      <c r="E56" s="247"/>
      <c r="F56" s="247"/>
      <c r="G56" s="247"/>
      <c r="H56" s="247"/>
      <c r="I56" s="247"/>
      <c r="J56" s="246"/>
      <c r="K56" s="246"/>
      <c r="L56" s="246"/>
      <c r="M56" s="305"/>
      <c r="N56" s="305"/>
      <c r="O56" s="305"/>
      <c r="P56" s="305"/>
      <c r="Q56" s="305"/>
    </row>
    <row r="57" spans="2:17" ht="12.75" customHeight="1" x14ac:dyDescent="0.2">
      <c r="B57" s="245"/>
      <c r="C57" s="246"/>
      <c r="D57" s="248"/>
      <c r="E57" s="246"/>
      <c r="F57" s="245"/>
      <c r="G57" s="245"/>
      <c r="H57" s="246"/>
      <c r="I57" s="305"/>
      <c r="J57" s="246"/>
      <c r="K57" s="246"/>
      <c r="L57" s="246"/>
      <c r="M57" s="305"/>
      <c r="N57" s="305"/>
      <c r="O57" s="305"/>
      <c r="P57" s="305"/>
      <c r="Q57" s="305"/>
    </row>
    <row r="58" spans="2:17" ht="12.75" customHeight="1" x14ac:dyDescent="0.2">
      <c r="B58" s="245"/>
      <c r="C58" s="246"/>
      <c r="D58" s="248"/>
      <c r="E58" s="248"/>
      <c r="F58" s="245"/>
      <c r="G58" s="245"/>
      <c r="H58" s="246"/>
      <c r="I58" s="246"/>
      <c r="J58" s="246"/>
      <c r="K58" s="246"/>
      <c r="L58" s="246"/>
      <c r="M58" s="305"/>
      <c r="N58" s="305"/>
      <c r="O58" s="305"/>
      <c r="P58" s="305"/>
      <c r="Q58" s="305"/>
    </row>
    <row r="59" spans="2:17" x14ac:dyDescent="0.2">
      <c r="B59" s="245"/>
      <c r="C59" s="246"/>
      <c r="D59" s="246"/>
      <c r="E59" s="248"/>
      <c r="F59" s="246"/>
      <c r="G59" s="246"/>
      <c r="H59" s="246"/>
      <c r="I59" s="246"/>
      <c r="J59" s="246"/>
      <c r="K59" s="246"/>
      <c r="L59" s="246"/>
      <c r="M59" s="305"/>
      <c r="N59" s="305"/>
      <c r="O59" s="305"/>
      <c r="P59" s="305"/>
      <c r="Q59" s="305"/>
    </row>
    <row r="60" spans="2:17" x14ac:dyDescent="0.2">
      <c r="B60" s="249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305"/>
      <c r="N60" s="305"/>
      <c r="O60" s="305"/>
      <c r="P60" s="305"/>
      <c r="Q60" s="305"/>
    </row>
    <row r="61" spans="2:17" x14ac:dyDescent="0.2">
      <c r="B61" s="249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305"/>
      <c r="N61" s="305"/>
      <c r="O61" s="305"/>
      <c r="P61" s="305"/>
      <c r="Q61" s="305"/>
    </row>
    <row r="62" spans="2:17" x14ac:dyDescent="0.2">
      <c r="B62" s="249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305"/>
      <c r="N62" s="305"/>
      <c r="O62" s="305"/>
      <c r="P62" s="305"/>
      <c r="Q62" s="305"/>
    </row>
    <row r="63" spans="2:17" x14ac:dyDescent="0.2">
      <c r="B63" s="249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305"/>
      <c r="N63" s="305"/>
      <c r="O63" s="305"/>
      <c r="P63" s="305"/>
      <c r="Q63" s="305"/>
    </row>
    <row r="64" spans="2:17" x14ac:dyDescent="0.2">
      <c r="B64" s="249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305"/>
      <c r="N64" s="305"/>
      <c r="O64" s="305"/>
      <c r="P64" s="305"/>
      <c r="Q64" s="305"/>
    </row>
    <row r="65" spans="2:12" x14ac:dyDescent="0.2">
      <c r="B65" s="249"/>
      <c r="C65" s="250"/>
      <c r="D65" s="250"/>
      <c r="E65" s="250"/>
      <c r="F65" s="250"/>
      <c r="G65" s="250"/>
      <c r="H65" s="250"/>
      <c r="I65" s="250"/>
      <c r="J65" s="250"/>
      <c r="K65" s="250"/>
      <c r="L65" s="250"/>
    </row>
    <row r="66" spans="2:12" x14ac:dyDescent="0.2">
      <c r="B66" s="249"/>
      <c r="C66" s="250"/>
      <c r="D66" s="250"/>
      <c r="E66" s="250"/>
      <c r="F66" s="250"/>
      <c r="G66" s="250"/>
      <c r="H66" s="250"/>
      <c r="I66" s="250"/>
      <c r="J66" s="250"/>
      <c r="K66" s="250"/>
      <c r="L66" s="250"/>
    </row>
    <row r="67" spans="2:12" x14ac:dyDescent="0.2">
      <c r="B67" s="249"/>
      <c r="C67" s="250"/>
      <c r="D67" s="250"/>
      <c r="E67" s="250"/>
      <c r="F67" s="250"/>
      <c r="G67" s="250"/>
      <c r="H67" s="250"/>
      <c r="I67" s="250"/>
      <c r="J67" s="250"/>
      <c r="K67" s="250"/>
      <c r="L67" s="250"/>
    </row>
    <row r="68" spans="2:12" x14ac:dyDescent="0.2">
      <c r="B68" s="249"/>
      <c r="C68" s="250"/>
      <c r="D68" s="250"/>
      <c r="E68" s="250"/>
      <c r="F68" s="250"/>
      <c r="G68" s="250"/>
      <c r="H68" s="250"/>
      <c r="I68" s="250"/>
      <c r="J68" s="250"/>
      <c r="K68" s="250"/>
      <c r="L68" s="250"/>
    </row>
    <row r="69" spans="2:12" x14ac:dyDescent="0.2">
      <c r="B69" s="249"/>
      <c r="C69" s="250"/>
      <c r="D69" s="250"/>
      <c r="E69" s="250"/>
      <c r="F69" s="250"/>
      <c r="G69" s="250"/>
      <c r="H69" s="250"/>
      <c r="I69" s="250"/>
      <c r="J69" s="250"/>
      <c r="K69" s="250"/>
      <c r="L69" s="250"/>
    </row>
    <row r="70" spans="2:12" x14ac:dyDescent="0.2">
      <c r="B70" s="249"/>
      <c r="C70" s="250"/>
      <c r="D70" s="250"/>
      <c r="E70" s="250"/>
      <c r="F70" s="250"/>
      <c r="G70" s="250"/>
      <c r="H70" s="250"/>
      <c r="I70" s="250"/>
      <c r="J70" s="250"/>
      <c r="K70" s="250"/>
      <c r="L70" s="250"/>
    </row>
    <row r="71" spans="2:12" x14ac:dyDescent="0.2">
      <c r="B71" s="249"/>
      <c r="C71" s="250"/>
      <c r="D71" s="250"/>
      <c r="E71" s="250"/>
      <c r="F71" s="250"/>
      <c r="G71" s="250"/>
      <c r="H71" s="250"/>
      <c r="I71" s="250"/>
      <c r="J71" s="250"/>
      <c r="K71" s="250"/>
      <c r="L71" s="250"/>
    </row>
    <row r="72" spans="2:12" x14ac:dyDescent="0.2">
      <c r="B72" s="249"/>
      <c r="C72" s="250"/>
      <c r="D72" s="250"/>
      <c r="E72" s="250"/>
      <c r="F72" s="250"/>
      <c r="G72" s="250"/>
      <c r="H72" s="250"/>
      <c r="I72" s="250"/>
      <c r="J72" s="250"/>
      <c r="K72" s="250"/>
      <c r="L72" s="250"/>
    </row>
    <row r="73" spans="2:12" x14ac:dyDescent="0.2">
      <c r="B73" s="249"/>
      <c r="C73" s="250"/>
      <c r="D73" s="250"/>
      <c r="E73" s="250"/>
      <c r="F73" s="250"/>
      <c r="G73" s="250"/>
      <c r="H73" s="250"/>
      <c r="I73" s="250"/>
      <c r="J73" s="250"/>
      <c r="K73" s="250"/>
      <c r="L73" s="250"/>
    </row>
    <row r="74" spans="2:12" x14ac:dyDescent="0.2">
      <c r="B74" s="249"/>
      <c r="C74" s="250"/>
      <c r="D74" s="250"/>
      <c r="E74" s="250"/>
      <c r="F74" s="250"/>
      <c r="G74" s="250"/>
      <c r="H74" s="250"/>
      <c r="I74" s="250"/>
      <c r="J74" s="250"/>
      <c r="K74" s="250"/>
      <c r="L74" s="250"/>
    </row>
    <row r="75" spans="2:12" x14ac:dyDescent="0.2">
      <c r="B75" s="249"/>
      <c r="C75" s="250"/>
      <c r="D75" s="250"/>
      <c r="E75" s="250"/>
      <c r="F75" s="250"/>
      <c r="G75" s="250"/>
      <c r="H75" s="250"/>
      <c r="I75" s="250"/>
      <c r="J75" s="250"/>
      <c r="K75" s="250"/>
      <c r="L75" s="250"/>
    </row>
    <row r="76" spans="2:12" x14ac:dyDescent="0.2">
      <c r="B76" s="249"/>
      <c r="C76" s="250"/>
      <c r="D76" s="250"/>
      <c r="E76" s="250"/>
      <c r="F76" s="250"/>
      <c r="G76" s="250"/>
      <c r="H76" s="250"/>
      <c r="I76" s="250"/>
      <c r="J76" s="250"/>
      <c r="K76" s="250"/>
      <c r="L76" s="250"/>
    </row>
    <row r="77" spans="2:12" x14ac:dyDescent="0.2">
      <c r="B77" s="249"/>
      <c r="C77" s="250"/>
      <c r="D77" s="250"/>
      <c r="E77" s="250"/>
      <c r="F77" s="250"/>
      <c r="G77" s="250"/>
      <c r="H77" s="250"/>
      <c r="I77" s="250"/>
      <c r="J77" s="250"/>
      <c r="K77" s="250"/>
      <c r="L77" s="250"/>
    </row>
    <row r="78" spans="2:12" x14ac:dyDescent="0.2">
      <c r="B78" s="249"/>
      <c r="C78" s="250"/>
      <c r="D78" s="250"/>
      <c r="E78" s="250"/>
      <c r="F78" s="250"/>
      <c r="G78" s="250"/>
      <c r="H78" s="250"/>
      <c r="I78" s="250"/>
      <c r="J78" s="250"/>
      <c r="K78" s="250"/>
      <c r="L78" s="250"/>
    </row>
    <row r="79" spans="2:12" x14ac:dyDescent="0.2">
      <c r="B79" s="249"/>
      <c r="C79" s="250"/>
      <c r="D79" s="250"/>
      <c r="E79" s="250"/>
      <c r="F79" s="250"/>
      <c r="G79" s="250"/>
      <c r="H79" s="250"/>
      <c r="I79" s="250"/>
      <c r="J79" s="250"/>
      <c r="K79" s="250"/>
      <c r="L79" s="250"/>
    </row>
    <row r="80" spans="2:12" x14ac:dyDescent="0.2">
      <c r="B80" s="249"/>
      <c r="C80" s="250"/>
      <c r="D80" s="250"/>
      <c r="E80" s="250"/>
      <c r="F80" s="250"/>
      <c r="G80" s="250"/>
      <c r="H80" s="250"/>
      <c r="I80" s="250"/>
      <c r="J80" s="250"/>
      <c r="K80" s="250"/>
      <c r="L80" s="250"/>
    </row>
    <row r="81" spans="2:12" x14ac:dyDescent="0.2">
      <c r="B81" s="249"/>
      <c r="C81" s="250"/>
      <c r="D81" s="250"/>
      <c r="E81" s="250"/>
      <c r="F81" s="250"/>
      <c r="G81" s="250"/>
      <c r="H81" s="250"/>
      <c r="I81" s="250"/>
      <c r="J81" s="250"/>
      <c r="K81" s="250"/>
      <c r="L81" s="250"/>
    </row>
    <row r="82" spans="2:12" x14ac:dyDescent="0.2">
      <c r="B82" s="249"/>
      <c r="C82" s="250"/>
      <c r="D82" s="250"/>
      <c r="E82" s="250"/>
      <c r="F82" s="250"/>
      <c r="G82" s="250"/>
      <c r="H82" s="250"/>
      <c r="I82" s="250"/>
      <c r="J82" s="250"/>
      <c r="K82" s="250"/>
      <c r="L82" s="250"/>
    </row>
    <row r="83" spans="2:12" x14ac:dyDescent="0.2">
      <c r="B83" s="249"/>
      <c r="C83" s="250"/>
      <c r="D83" s="250"/>
      <c r="E83" s="250"/>
      <c r="F83" s="250"/>
      <c r="G83" s="250"/>
      <c r="H83" s="250"/>
      <c r="I83" s="250"/>
      <c r="J83" s="250"/>
      <c r="K83" s="250"/>
      <c r="L83" s="250"/>
    </row>
    <row r="84" spans="2:12" x14ac:dyDescent="0.2">
      <c r="B84" s="249"/>
      <c r="C84" s="250"/>
      <c r="D84" s="250"/>
      <c r="E84" s="250"/>
      <c r="F84" s="250"/>
      <c r="G84" s="250"/>
      <c r="H84" s="250"/>
      <c r="I84" s="250"/>
      <c r="J84" s="250"/>
      <c r="K84" s="250"/>
      <c r="L84" s="250"/>
    </row>
    <row r="85" spans="2:12" x14ac:dyDescent="0.2">
      <c r="B85" s="249"/>
      <c r="C85" s="250"/>
      <c r="D85" s="250"/>
      <c r="E85" s="250"/>
      <c r="F85" s="250"/>
      <c r="G85" s="250"/>
      <c r="H85" s="250"/>
      <c r="I85" s="250"/>
      <c r="J85" s="250"/>
      <c r="K85" s="250"/>
      <c r="L85" s="250"/>
    </row>
    <row r="86" spans="2:12" x14ac:dyDescent="0.2">
      <c r="B86" s="249"/>
      <c r="C86" s="250"/>
      <c r="D86" s="250"/>
      <c r="E86" s="250"/>
      <c r="F86" s="250"/>
      <c r="G86" s="250"/>
      <c r="H86" s="250"/>
      <c r="I86" s="250"/>
      <c r="J86" s="250"/>
      <c r="K86" s="250"/>
      <c r="L86" s="250"/>
    </row>
    <row r="87" spans="2:12" x14ac:dyDescent="0.2">
      <c r="B87" s="249"/>
      <c r="C87" s="250"/>
      <c r="D87" s="250"/>
      <c r="E87" s="250"/>
      <c r="F87" s="250"/>
      <c r="G87" s="250"/>
      <c r="H87" s="250"/>
      <c r="I87" s="250"/>
      <c r="J87" s="250"/>
      <c r="K87" s="250"/>
      <c r="L87" s="250"/>
    </row>
    <row r="88" spans="2:12" x14ac:dyDescent="0.2">
      <c r="B88" s="249"/>
      <c r="C88" s="250"/>
      <c r="D88" s="250"/>
      <c r="E88" s="250"/>
      <c r="F88" s="250"/>
      <c r="G88" s="250"/>
      <c r="H88" s="250"/>
      <c r="I88" s="250"/>
      <c r="J88" s="250"/>
      <c r="K88" s="250"/>
      <c r="L88" s="250"/>
    </row>
    <row r="89" spans="2:12" x14ac:dyDescent="0.2">
      <c r="B89" s="249"/>
      <c r="C89" s="250"/>
      <c r="D89" s="250"/>
      <c r="E89" s="250"/>
      <c r="F89" s="250"/>
      <c r="G89" s="250"/>
      <c r="H89" s="250"/>
      <c r="I89" s="250"/>
      <c r="J89" s="250"/>
      <c r="K89" s="250"/>
      <c r="L89" s="250"/>
    </row>
    <row r="90" spans="2:12" x14ac:dyDescent="0.2">
      <c r="B90" s="249"/>
      <c r="C90" s="250"/>
      <c r="D90" s="250"/>
      <c r="E90" s="250"/>
      <c r="F90" s="250"/>
      <c r="G90" s="250"/>
      <c r="H90" s="250"/>
      <c r="I90" s="250"/>
      <c r="J90" s="250"/>
      <c r="K90" s="250"/>
      <c r="L90" s="250"/>
    </row>
    <row r="91" spans="2:12" x14ac:dyDescent="0.2">
      <c r="B91" s="249"/>
      <c r="C91" s="250"/>
      <c r="D91" s="250"/>
      <c r="E91" s="250"/>
      <c r="F91" s="250"/>
      <c r="G91" s="250"/>
      <c r="H91" s="250"/>
      <c r="I91" s="250"/>
      <c r="J91" s="250"/>
      <c r="K91" s="250"/>
      <c r="L91" s="250"/>
    </row>
    <row r="92" spans="2:12" x14ac:dyDescent="0.2">
      <c r="B92" s="249"/>
      <c r="C92" s="250"/>
      <c r="D92" s="250"/>
      <c r="E92" s="250"/>
      <c r="F92" s="250"/>
      <c r="G92" s="250"/>
      <c r="H92" s="250"/>
      <c r="I92" s="250"/>
      <c r="J92" s="250"/>
      <c r="K92" s="250"/>
      <c r="L92" s="250"/>
    </row>
    <row r="93" spans="2:12" x14ac:dyDescent="0.2">
      <c r="B93" s="249"/>
      <c r="C93" s="250"/>
      <c r="D93" s="250"/>
      <c r="E93" s="250"/>
      <c r="F93" s="250"/>
      <c r="G93" s="250"/>
      <c r="H93" s="250"/>
      <c r="I93" s="250"/>
      <c r="J93" s="250"/>
      <c r="K93" s="250"/>
      <c r="L93" s="250"/>
    </row>
    <row r="94" spans="2:12" x14ac:dyDescent="0.2">
      <c r="B94" s="249"/>
      <c r="C94" s="250"/>
      <c r="D94" s="250"/>
      <c r="E94" s="250"/>
      <c r="F94" s="250"/>
      <c r="G94" s="250"/>
      <c r="H94" s="250"/>
      <c r="I94" s="250"/>
      <c r="J94" s="250"/>
      <c r="K94" s="250"/>
      <c r="L94" s="250"/>
    </row>
    <row r="95" spans="2:12" x14ac:dyDescent="0.2">
      <c r="B95" s="249"/>
      <c r="C95" s="250"/>
      <c r="D95" s="250"/>
      <c r="E95" s="250"/>
      <c r="F95" s="250"/>
      <c r="G95" s="250"/>
      <c r="H95" s="250"/>
      <c r="I95" s="250"/>
      <c r="J95" s="250"/>
      <c r="K95" s="250"/>
      <c r="L95" s="250"/>
    </row>
    <row r="96" spans="2:12" x14ac:dyDescent="0.2">
      <c r="B96" s="249"/>
      <c r="C96" s="250"/>
      <c r="D96" s="250"/>
      <c r="E96" s="250"/>
      <c r="F96" s="250"/>
      <c r="G96" s="250"/>
      <c r="H96" s="250"/>
      <c r="I96" s="250"/>
      <c r="J96" s="250"/>
      <c r="K96" s="250"/>
      <c r="L96" s="250"/>
    </row>
    <row r="97" spans="2:12" x14ac:dyDescent="0.2">
      <c r="B97" s="249"/>
      <c r="C97" s="250"/>
      <c r="D97" s="250"/>
      <c r="E97" s="250"/>
      <c r="F97" s="250"/>
      <c r="G97" s="250"/>
      <c r="H97" s="250"/>
      <c r="I97" s="250"/>
      <c r="J97" s="250"/>
      <c r="K97" s="250"/>
      <c r="L97" s="250"/>
    </row>
    <row r="98" spans="2:12" x14ac:dyDescent="0.2">
      <c r="B98" s="249"/>
      <c r="C98" s="250"/>
      <c r="D98" s="250"/>
      <c r="E98" s="250"/>
      <c r="F98" s="250"/>
      <c r="G98" s="250"/>
      <c r="H98" s="250"/>
      <c r="I98" s="250"/>
      <c r="J98" s="250"/>
      <c r="K98" s="250"/>
      <c r="L98" s="250"/>
    </row>
    <row r="99" spans="2:12" x14ac:dyDescent="0.2">
      <c r="B99" s="249"/>
      <c r="C99" s="250"/>
      <c r="D99" s="250"/>
      <c r="E99" s="250"/>
      <c r="F99" s="250"/>
      <c r="G99" s="250"/>
      <c r="H99" s="250"/>
      <c r="I99" s="250"/>
      <c r="J99" s="250"/>
      <c r="K99" s="250"/>
      <c r="L99" s="250"/>
    </row>
    <row r="100" spans="2:12" x14ac:dyDescent="0.2">
      <c r="B100" s="249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</row>
    <row r="101" spans="2:12" x14ac:dyDescent="0.2">
      <c r="B101" s="249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</row>
    <row r="102" spans="2:12" x14ac:dyDescent="0.2">
      <c r="B102" s="249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</row>
    <row r="103" spans="2:12" x14ac:dyDescent="0.2">
      <c r="B103" s="249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</row>
    <row r="104" spans="2:12" x14ac:dyDescent="0.2">
      <c r="B104" s="249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</row>
    <row r="105" spans="2:12" x14ac:dyDescent="0.2">
      <c r="B105" s="249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</row>
    <row r="106" spans="2:12" x14ac:dyDescent="0.2">
      <c r="B106" s="249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</row>
    <row r="107" spans="2:12" x14ac:dyDescent="0.2">
      <c r="B107" s="249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</row>
    <row r="108" spans="2:12" x14ac:dyDescent="0.2">
      <c r="B108" s="249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</row>
    <row r="109" spans="2:12" x14ac:dyDescent="0.2">
      <c r="B109" s="249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</row>
    <row r="110" spans="2:12" x14ac:dyDescent="0.2">
      <c r="B110" s="249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</row>
    <row r="111" spans="2:12" x14ac:dyDescent="0.2">
      <c r="B111" s="249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</row>
    <row r="112" spans="2:12" x14ac:dyDescent="0.2">
      <c r="B112" s="249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</row>
    <row r="113" spans="2:17" x14ac:dyDescent="0.2">
      <c r="B113" s="249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305"/>
      <c r="N113" s="305"/>
      <c r="O113" s="305"/>
      <c r="P113" s="305"/>
      <c r="Q113" s="305"/>
    </row>
    <row r="114" spans="2:17" x14ac:dyDescent="0.2">
      <c r="B114" s="249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305"/>
      <c r="N114" s="305"/>
      <c r="O114" s="305"/>
      <c r="P114" s="305"/>
      <c r="Q114" s="305"/>
    </row>
    <row r="115" spans="2:17" x14ac:dyDescent="0.2">
      <c r="B115" s="249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305"/>
      <c r="N115" s="305"/>
      <c r="O115" s="305"/>
      <c r="P115" s="305"/>
      <c r="Q115" s="305"/>
    </row>
    <row r="116" spans="2:17" x14ac:dyDescent="0.2">
      <c r="B116" s="249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305"/>
      <c r="N116" s="305"/>
      <c r="O116" s="305"/>
      <c r="P116" s="305"/>
      <c r="Q116" s="305"/>
    </row>
    <row r="117" spans="2:17" x14ac:dyDescent="0.2">
      <c r="B117" s="249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305"/>
      <c r="N117" s="305"/>
      <c r="O117" s="305"/>
      <c r="P117" s="305"/>
      <c r="Q117" s="305"/>
    </row>
    <row r="118" spans="2:17" ht="12.75" customHeight="1" x14ac:dyDescent="0.2">
      <c r="B118" s="249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305"/>
      <c r="N118" s="305"/>
      <c r="O118" s="305"/>
      <c r="P118" s="305"/>
      <c r="Q118" s="305"/>
    </row>
    <row r="119" spans="2:17" ht="12.75" customHeight="1" x14ac:dyDescent="0.2">
      <c r="B119" s="249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305"/>
      <c r="N119" s="305"/>
      <c r="O119" s="305"/>
      <c r="P119" s="305"/>
      <c r="Q119" s="305"/>
    </row>
    <row r="120" spans="2:17" ht="12.75" customHeight="1" x14ac:dyDescent="0.2"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</row>
    <row r="121" spans="2:17" ht="12.75" customHeight="1" x14ac:dyDescent="0.2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 spans="2:17" ht="12.75" customHeight="1" x14ac:dyDescent="0.2">
      <c r="B122" s="251"/>
      <c r="C122" s="251"/>
      <c r="D122" s="251"/>
      <c r="E122" s="251"/>
      <c r="F122" s="251"/>
      <c r="G122" s="251"/>
      <c r="H122" s="251"/>
      <c r="I122" s="251"/>
      <c r="J122" s="106"/>
      <c r="K122" s="106"/>
      <c r="L122" s="106"/>
      <c r="M122" s="106"/>
      <c r="N122" s="106"/>
      <c r="O122" s="106"/>
      <c r="P122" s="106"/>
      <c r="Q122" s="106"/>
    </row>
    <row r="123" spans="2:17" ht="12.75" customHeight="1" x14ac:dyDescent="0.2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 spans="2:17" ht="12.75" customHeight="1" x14ac:dyDescent="0.2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 spans="2:17" ht="12.75" customHeight="1" x14ac:dyDescent="0.2"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 spans="2:17" ht="12.75" customHeight="1" x14ac:dyDescent="0.2">
      <c r="B126" s="251"/>
      <c r="C126" s="251"/>
      <c r="D126" s="251"/>
      <c r="E126" s="251"/>
      <c r="F126" s="251"/>
      <c r="G126" s="251"/>
      <c r="H126" s="251"/>
      <c r="I126" s="251"/>
      <c r="J126" s="106"/>
      <c r="K126" s="106"/>
      <c r="L126" s="106"/>
      <c r="M126" s="106"/>
      <c r="N126" s="106"/>
      <c r="O126" s="106"/>
      <c r="P126" s="106"/>
      <c r="Q126" s="106"/>
    </row>
    <row r="127" spans="2:17" ht="12.75" customHeight="1" x14ac:dyDescent="0.2">
      <c r="B127" s="251"/>
      <c r="C127" s="251"/>
      <c r="D127" s="251"/>
      <c r="E127" s="251"/>
      <c r="F127" s="251"/>
      <c r="G127" s="251"/>
      <c r="H127" s="251"/>
      <c r="I127" s="251"/>
      <c r="J127" s="106"/>
      <c r="K127" s="106"/>
      <c r="L127" s="106"/>
      <c r="M127" s="106"/>
      <c r="N127" s="106"/>
      <c r="O127" s="106"/>
      <c r="P127" s="106"/>
      <c r="Q127" s="106"/>
    </row>
    <row r="128" spans="2:17" ht="12.75" customHeight="1" x14ac:dyDescent="0.2"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 spans="2:17" ht="12.75" customHeight="1" x14ac:dyDescent="0.2"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2" spans="2:17" ht="15.75" customHeight="1" x14ac:dyDescent="0.2"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</row>
  </sheetData>
  <phoneticPr fontId="41" type="noConversion"/>
  <hyperlinks>
    <hyperlink ref="A12" r:id="rId1" xr:uid="{00000000-0004-0000-1A00-000000000000}"/>
  </hyperlinks>
  <pageMargins left="0.75" right="0.75" top="1" bottom="1" header="0.5" footer="0.5"/>
  <pageSetup scale="50" fitToHeight="0" orientation="landscape" horizontalDpi="4294967293" verticalDpi="300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1719</v>
      </c>
      <c r="B1" s="25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1120</v>
      </c>
      <c r="C7" s="1" t="s">
        <v>1121</v>
      </c>
      <c r="D7" s="1" t="s">
        <v>1122</v>
      </c>
      <c r="E7" s="1" t="s">
        <v>517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1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4" name="cmdRefreshUnits"/>
      </mc:Fallback>
    </mc:AlternateContent>
    <mc:AlternateContent xmlns:mc="http://schemas.openxmlformats.org/markup-compatibility/2006">
      <mc:Choice Requires="x14">
        <control shapeId="68613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6" name="cmdAddParamQualifier"/>
      </mc:Fallback>
    </mc:AlternateContent>
    <mc:AlternateContent xmlns:mc="http://schemas.openxmlformats.org/markup-compatibility/2006">
      <mc:Choice Requires="x14">
        <control shapeId="68612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8" name="cmdCheckConstrDataSheet"/>
      </mc:Fallback>
    </mc:AlternateContent>
    <mc:AlternateContent xmlns:mc="http://schemas.openxmlformats.org/markup-compatibility/2006">
      <mc:Choice Requires="x14">
        <control shapeId="68611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10" name="cmdAddParameter"/>
      </mc:Fallback>
    </mc:AlternateContent>
    <mc:AlternateContent xmlns:mc="http://schemas.openxmlformats.org/markup-compatibility/2006">
      <mc:Choice Requires="x14">
        <control shapeId="68610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12" name="cmdTechName"/>
      </mc:Fallback>
    </mc:AlternateContent>
    <mc:AlternateContent xmlns:mc="http://schemas.openxmlformats.org/markup-compatibility/2006">
      <mc:Choice Requires="x14">
        <control shapeId="68609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14" name="cmdConstrNameAndDesc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8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1124</v>
      </c>
      <c r="B1" s="25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517</v>
      </c>
      <c r="C7" s="1" t="s">
        <v>1116</v>
      </c>
      <c r="D7" s="1" t="s">
        <v>1122</v>
      </c>
      <c r="E7" s="1" t="s">
        <v>1007</v>
      </c>
      <c r="F7" s="1" t="s">
        <v>519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91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7591" r:id="rId4" name="cmdRefreshUnits"/>
      </mc:Fallback>
    </mc:AlternateContent>
    <mc:AlternateContent xmlns:mc="http://schemas.openxmlformats.org/markup-compatibility/2006">
      <mc:Choice Requires="x14">
        <control shapeId="6759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7590" r:id="rId6" name="cmdCheckTechDataSheet"/>
      </mc:Fallback>
    </mc:AlternateContent>
    <mc:AlternateContent xmlns:mc="http://schemas.openxmlformats.org/markup-compatibility/2006">
      <mc:Choice Requires="x14">
        <control shapeId="6758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7589" r:id="rId8" name="cmdAddParamQualifier"/>
      </mc:Fallback>
    </mc:AlternateContent>
    <mc:AlternateContent xmlns:mc="http://schemas.openxmlformats.org/markup-compatibility/2006">
      <mc:Choice Requires="x14">
        <control shapeId="6758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7588" r:id="rId10" name="cmdAddParameter"/>
      </mc:Fallback>
    </mc:AlternateContent>
    <mc:AlternateContent xmlns:mc="http://schemas.openxmlformats.org/markup-compatibility/2006">
      <mc:Choice Requires="x14">
        <control shapeId="67587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7" r:id="rId12" name="cmdCommOUT"/>
      </mc:Fallback>
    </mc:AlternateContent>
    <mc:AlternateContent xmlns:mc="http://schemas.openxmlformats.org/markup-compatibility/2006">
      <mc:Choice Requires="x14">
        <control shapeId="67586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7586" r:id="rId14" name="cmdCommIN"/>
      </mc:Fallback>
    </mc:AlternateContent>
    <mc:AlternateContent xmlns:mc="http://schemas.openxmlformats.org/markup-compatibility/2006">
      <mc:Choice Requires="x14">
        <control shapeId="67585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7585" r:id="rId16" name="cmdTechNameAndDesc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7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1123</v>
      </c>
      <c r="B1" s="25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1122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5" r:id="rId4" name="cmdRefreshUnits"/>
      </mc:Fallback>
    </mc:AlternateContent>
    <mc:AlternateContent xmlns:mc="http://schemas.openxmlformats.org/markup-compatibility/2006">
      <mc:Choice Requires="x14">
        <control shapeId="66564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6564" r:id="rId6" name="cmdCheckCommDataSheet"/>
      </mc:Fallback>
    </mc:AlternateContent>
    <mc:AlternateContent xmlns:mc="http://schemas.openxmlformats.org/markup-compatibility/2006">
      <mc:Choice Requires="x14">
        <control shapeId="6656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6563" r:id="rId8" name="cmdAddParamQualifier"/>
      </mc:Fallback>
    </mc:AlternateContent>
    <mc:AlternateContent xmlns:mc="http://schemas.openxmlformats.org/markup-compatibility/2006">
      <mc:Choice Requires="x14">
        <control shapeId="6656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6562" r:id="rId10" name="cmdCommNameAndDesc"/>
      </mc:Fallback>
    </mc:AlternateContent>
    <mc:AlternateContent xmlns:mc="http://schemas.openxmlformats.org/markup-compatibility/2006">
      <mc:Choice Requires="x14">
        <control shapeId="66561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6561" r:id="rId12" name="cmdAddParameter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1119</v>
      </c>
      <c r="B1" s="25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1120</v>
      </c>
      <c r="C7" s="1" t="s">
        <v>1121</v>
      </c>
      <c r="D7" s="1" t="s">
        <v>1122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5540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65540" r:id="rId4" name="cmdRefreshUnits"/>
      </mc:Fallback>
    </mc:AlternateContent>
    <mc:AlternateContent xmlns:mc="http://schemas.openxmlformats.org/markup-compatibility/2006">
      <mc:Choice Requires="x14">
        <control shapeId="65539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65539" r:id="rId6" name="cmdConstraintUnit"/>
      </mc:Fallback>
    </mc:AlternateContent>
    <mc:AlternateContent xmlns:mc="http://schemas.openxmlformats.org/markup-compatibility/2006">
      <mc:Choice Requires="x14">
        <control shapeId="65538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5538" r:id="rId8" name="cmdCheckConstraintsSheet"/>
      </mc:Fallback>
    </mc:AlternateContent>
    <mc:AlternateContent xmlns:mc="http://schemas.openxmlformats.org/markup-compatibility/2006">
      <mc:Choice Requires="x14">
        <control shapeId="65537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5537" r:id="rId10" name="cmdConstraintSets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5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1115</v>
      </c>
      <c r="B1" s="252"/>
    </row>
    <row r="4" spans="1:12" ht="18" customHeight="1" x14ac:dyDescent="0.2"/>
    <row r="7" spans="1:12" x14ac:dyDescent="0.2">
      <c r="B7" s="1" t="s">
        <v>517</v>
      </c>
      <c r="C7" s="1" t="s">
        <v>1116</v>
      </c>
      <c r="D7" s="1" t="s">
        <v>1117</v>
      </c>
      <c r="E7" s="1" t="s">
        <v>1118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7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4517" r:id="rId4" name="cmdRefreshUnits"/>
      </mc:Fallback>
    </mc:AlternateContent>
    <mc:AlternateContent xmlns:mc="http://schemas.openxmlformats.org/markup-compatibility/2006">
      <mc:Choice Requires="x14">
        <control shapeId="6451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64516" r:id="rId6" name="cmdTCAPUnit"/>
      </mc:Fallback>
    </mc:AlternateContent>
    <mc:AlternateContent xmlns:mc="http://schemas.openxmlformats.org/markup-compatibility/2006">
      <mc:Choice Requires="x14">
        <control shapeId="6451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64515" r:id="rId8" name="cmdTACTUnit"/>
      </mc:Fallback>
    </mc:AlternateContent>
    <mc:AlternateContent xmlns:mc="http://schemas.openxmlformats.org/markup-compatibility/2006">
      <mc:Choice Requires="x14">
        <control shapeId="6451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10" name="cmdCheckTechnologiesSheet"/>
      </mc:Fallback>
    </mc:AlternateContent>
    <mc:AlternateContent xmlns:mc="http://schemas.openxmlformats.org/markup-compatibility/2006">
      <mc:Choice Requires="x14">
        <control shapeId="64513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4513" r:id="rId12" name="cmdTechnologySets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3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25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95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3495" r:id="rId4" name="cmdRefreshUnits"/>
      </mc:Fallback>
    </mc:AlternateContent>
    <mc:AlternateContent xmlns:mc="http://schemas.openxmlformats.org/markup-compatibility/2006">
      <mc:Choice Requires="x14">
        <control shapeId="63494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63494" r:id="rId6" name="cmdCommUnit"/>
      </mc:Fallback>
    </mc:AlternateContent>
    <mc:AlternateContent xmlns:mc="http://schemas.openxmlformats.org/markup-compatibility/2006">
      <mc:Choice Requires="x14">
        <control shapeId="63493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3493" r:id="rId8" name="cmdCheckCommoditiesSheet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1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63491" r:id="rId12" name="cmdEmissionSets"/>
      </mc:Fallback>
    </mc:AlternateContent>
    <mc:AlternateContent xmlns:mc="http://schemas.openxmlformats.org/markup-compatibility/2006">
      <mc:Choice Requires="x14">
        <control shapeId="63490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63490" r:id="rId14" name="cmdDemandSets"/>
      </mc:Fallback>
    </mc:AlternateContent>
    <mc:AlternateContent xmlns:mc="http://schemas.openxmlformats.org/markup-compatibility/2006">
      <mc:Choice Requires="x14">
        <control shapeId="63489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63489" r:id="rId16" name="cmdEnergySets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1719</v>
      </c>
      <c r="B1" s="25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1120</v>
      </c>
      <c r="C7" s="1" t="s">
        <v>1121</v>
      </c>
      <c r="D7" s="1" t="s">
        <v>1122</v>
      </c>
      <c r="E7" s="1" t="s">
        <v>517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CA9CD4-D78E-4F63-A895-09308BBB93B7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DA1ECF8A-DF16-469F-8F51-1CBE5AD402B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76D1588-6711-4D1D-93EE-100E4C9F5E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B674E93-0BEE-4260-B2F4-04B67C237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UC_COA</vt:lpstr>
      <vt:lpstr>TechData_R0</vt:lpstr>
      <vt:lpstr>AEO Coal Prices</vt:lpstr>
      <vt:lpstr>Production Steps</vt:lpstr>
      <vt:lpstr>AEO Coal Prod</vt:lpstr>
      <vt:lpstr>Types</vt:lpstr>
      <vt:lpstr>BASE_YR_SUPPLY_CURVE</vt:lpstr>
      <vt:lpstr>COKE Imports</vt:lpstr>
      <vt:lpstr>Rate esc</vt:lpstr>
      <vt:lpstr>Conversion Factors</vt:lpstr>
      <vt:lpstr>CMM_BASE_YR_SUPPLY_CURVE</vt:lpstr>
      <vt:lpstr>CMM_TRAN_RATE_ESC_COMP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2025-06-02T13:29:07Z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80806910991668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  <property fmtid="{D5CDD505-2E9C-101B-9397-08002B2CF9AE}" pid="5" name="Record">
    <vt:lpwstr>Shared</vt:lpwstr>
  </property>
  <property fmtid="{D5CDD505-2E9C-101B-9397-08002B2CF9AE}" pid="6" name="Order">
    <vt:r8>12100</vt:r8>
  </property>
  <property fmtid="{D5CDD505-2E9C-101B-9397-08002B2CF9AE}" pid="7" name="Document Creation Date">
    <vt:lpwstr>2023-09-28T09:14:39Z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Language">
    <vt:lpwstr>English</vt:lpwstr>
  </property>
  <property fmtid="{D5CDD505-2E9C-101B-9397-08002B2CF9AE}" pid="14" name="xd_Signature">
    <vt:bool>false</vt:bool>
  </property>
</Properties>
</file>