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ppXLS/"/>
    </mc:Choice>
  </mc:AlternateContent>
  <xr:revisionPtr revIDLastSave="8" documentId="13_ncr:1_{D99A3E2E-7414-492E-973E-BBF7B6E7F73E}" xr6:coauthVersionLast="47" xr6:coauthVersionMax="47" xr10:uidLastSave="{63A534C3-7D8F-40CD-B874-6A34C3A47053}"/>
  <bookViews>
    <workbookView xWindow="53880" yWindow="-120" windowWidth="29040" windowHeight="15720" firstSheet="1" activeTab="7" xr2:uid="{00000000-000D-0000-FFFF-FFFF00000000}"/>
  </bookViews>
  <sheets>
    <sheet name="GHG-SUP" sheetId="2" r:id="rId1"/>
    <sheet name="GHG-ELC" sheetId="9" r:id="rId2"/>
    <sheet name="Emissions - REF" sheetId="5" r:id="rId3"/>
    <sheet name="Retrofit - ELC" sheetId="8" r:id="rId4"/>
    <sheet name="Water Data" sheetId="10" r:id="rId5"/>
    <sheet name="CompositeGREETEFs" sheetId="12" r:id="rId6"/>
    <sheet name="GREET2014-EFUpdate" sheetId="13" r:id="rId7"/>
    <sheet name="Conversions" sheetId="11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6" i="2" l="1"/>
  <c r="M813" i="2"/>
  <c r="M809" i="2" s="1"/>
  <c r="M814" i="2"/>
  <c r="M810" i="2" s="1"/>
  <c r="M811" i="2"/>
  <c r="M815" i="2"/>
  <c r="M812" i="2"/>
  <c r="M782" i="2"/>
  <c r="M807" i="2"/>
  <c r="M803" i="2" s="1"/>
  <c r="M798" i="2"/>
  <c r="M789" i="2"/>
  <c r="M785" i="2" s="1"/>
  <c r="M802" i="2"/>
  <c r="M801" i="2"/>
  <c r="M800" i="2"/>
  <c r="M794" i="2"/>
  <c r="M793" i="2"/>
  <c r="M792" i="2"/>
  <c r="M791" i="2"/>
  <c r="M783" i="2"/>
  <c r="M784" i="2"/>
  <c r="M779" i="2" l="1"/>
  <c r="M780" i="2"/>
  <c r="M778" i="2"/>
  <c r="M772" i="2"/>
  <c r="M771" i="2"/>
  <c r="M770" i="2"/>
  <c r="M773" i="2" s="1"/>
  <c r="M765" i="2"/>
  <c r="M764" i="2"/>
  <c r="M758" i="2"/>
  <c r="M757" i="2"/>
  <c r="M756" i="2" l="1"/>
  <c r="M759" i="2" s="1"/>
  <c r="M763" i="2" l="1"/>
  <c r="M766" i="2" s="1"/>
  <c r="M349" i="9" l="1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29" i="9"/>
  <c r="M313" i="9"/>
  <c r="M312" i="9"/>
  <c r="M311" i="9"/>
  <c r="M310" i="9"/>
  <c r="M309" i="9"/>
  <c r="M308" i="9"/>
  <c r="M307" i="9"/>
  <c r="M306" i="9"/>
  <c r="M305" i="9"/>
  <c r="M330" i="9"/>
  <c r="M331" i="9" s="1"/>
  <c r="M332" i="9" s="1"/>
  <c r="M333" i="9" s="1"/>
  <c r="M334" i="9" s="1"/>
  <c r="M335" i="9" s="1"/>
  <c r="M314" i="9"/>
  <c r="M315" i="9" s="1"/>
  <c r="M316" i="9" s="1"/>
  <c r="M317" i="9" s="1"/>
  <c r="M318" i="9" s="1"/>
  <c r="M319" i="9" s="1"/>
  <c r="M320" i="9" s="1"/>
  <c r="M321" i="9" s="1"/>
  <c r="M322" i="9" s="1"/>
  <c r="M323" i="9" s="1"/>
  <c r="M324" i="9" s="1"/>
  <c r="M325" i="9" s="1"/>
  <c r="M326" i="9" s="1"/>
  <c r="M327" i="9" s="1"/>
  <c r="M328" i="9" s="1"/>
  <c r="M295" i="9" l="1"/>
  <c r="M297" i="9" s="1"/>
  <c r="M294" i="9"/>
  <c r="M296" i="9" s="1"/>
  <c r="M293" i="9"/>
  <c r="M292" i="9"/>
  <c r="M289" i="9"/>
  <c r="M291" i="9" s="1"/>
  <c r="M288" i="9"/>
  <c r="M290" i="9" s="1"/>
  <c r="J172" i="12"/>
  <c r="I172" i="12"/>
  <c r="H172" i="12"/>
  <c r="J171" i="12"/>
  <c r="C171" i="12" s="1"/>
  <c r="I171" i="12"/>
  <c r="H171" i="12"/>
  <c r="J170" i="12"/>
  <c r="I170" i="12"/>
  <c r="H170" i="12"/>
  <c r="J169" i="12"/>
  <c r="I169" i="12"/>
  <c r="H169" i="12"/>
  <c r="J168" i="12"/>
  <c r="I168" i="12"/>
  <c r="H168" i="12"/>
  <c r="J167" i="12"/>
  <c r="AF21" i="12" s="1"/>
  <c r="BP21" i="12" s="1"/>
  <c r="I167" i="12"/>
  <c r="H167" i="12"/>
  <c r="J166" i="12"/>
  <c r="I166" i="12"/>
  <c r="H166" i="12"/>
  <c r="J165" i="12"/>
  <c r="I165" i="12"/>
  <c r="H165" i="12"/>
  <c r="J164" i="12"/>
  <c r="I164" i="12"/>
  <c r="H164" i="12"/>
  <c r="J163" i="12"/>
  <c r="I163" i="12"/>
  <c r="H163" i="12"/>
  <c r="J160" i="12"/>
  <c r="I160" i="12"/>
  <c r="H160" i="12"/>
  <c r="J159" i="12"/>
  <c r="I159" i="12"/>
  <c r="H159" i="12"/>
  <c r="J158" i="12"/>
  <c r="I158" i="12"/>
  <c r="H158" i="12"/>
  <c r="J157" i="12"/>
  <c r="I157" i="12"/>
  <c r="H157" i="12"/>
  <c r="J156" i="12"/>
  <c r="I156" i="12"/>
  <c r="H156" i="12"/>
  <c r="J155" i="12"/>
  <c r="I155" i="12"/>
  <c r="H155" i="12"/>
  <c r="J154" i="12"/>
  <c r="I154" i="12"/>
  <c r="H154" i="12"/>
  <c r="J153" i="12"/>
  <c r="I153" i="12"/>
  <c r="H153" i="12"/>
  <c r="J152" i="12"/>
  <c r="I152" i="12"/>
  <c r="H152" i="12"/>
  <c r="J151" i="12"/>
  <c r="I151" i="12"/>
  <c r="H151" i="12"/>
  <c r="J148" i="12"/>
  <c r="I148" i="12"/>
  <c r="H148" i="12"/>
  <c r="J147" i="12"/>
  <c r="F147" i="12" s="1"/>
  <c r="I147" i="12"/>
  <c r="H147" i="12"/>
  <c r="J146" i="12"/>
  <c r="I146" i="12"/>
  <c r="H146" i="12"/>
  <c r="AU18" i="12" s="1"/>
  <c r="AT18" i="12" s="1"/>
  <c r="J145" i="12"/>
  <c r="I145" i="12"/>
  <c r="H145" i="12"/>
  <c r="J144" i="12"/>
  <c r="I144" i="12"/>
  <c r="H144" i="12"/>
  <c r="J143" i="12"/>
  <c r="C147" i="12" s="1"/>
  <c r="I143" i="12"/>
  <c r="H143" i="12"/>
  <c r="J142" i="12"/>
  <c r="I142" i="12"/>
  <c r="H142" i="12"/>
  <c r="J141" i="12"/>
  <c r="I141" i="12"/>
  <c r="H141" i="12"/>
  <c r="J140" i="12"/>
  <c r="I140" i="12"/>
  <c r="H140" i="12"/>
  <c r="J139" i="12"/>
  <c r="I139" i="12"/>
  <c r="H139" i="12"/>
  <c r="J136" i="12"/>
  <c r="I136" i="12"/>
  <c r="H136" i="12"/>
  <c r="J135" i="12"/>
  <c r="I135" i="12"/>
  <c r="H135" i="12"/>
  <c r="J134" i="12"/>
  <c r="I134" i="12"/>
  <c r="H134" i="12"/>
  <c r="J133" i="12"/>
  <c r="I133" i="12"/>
  <c r="H133" i="12"/>
  <c r="J132" i="12"/>
  <c r="I132" i="12"/>
  <c r="H132" i="12"/>
  <c r="J131" i="12"/>
  <c r="I131" i="12"/>
  <c r="H131" i="12"/>
  <c r="J130" i="12"/>
  <c r="I130" i="12"/>
  <c r="H130" i="12"/>
  <c r="J129" i="12"/>
  <c r="T19" i="12" s="1"/>
  <c r="I129" i="12"/>
  <c r="H129" i="12"/>
  <c r="J128" i="12"/>
  <c r="I128" i="12"/>
  <c r="H128" i="12"/>
  <c r="J127" i="12"/>
  <c r="I127" i="12"/>
  <c r="H127" i="12"/>
  <c r="J124" i="12"/>
  <c r="I124" i="12"/>
  <c r="H124" i="12"/>
  <c r="J123" i="12"/>
  <c r="I123" i="12"/>
  <c r="H123" i="12"/>
  <c r="J122" i="12"/>
  <c r="I122" i="12"/>
  <c r="H122" i="12"/>
  <c r="J121" i="12"/>
  <c r="I121" i="12"/>
  <c r="H121" i="12"/>
  <c r="J120" i="12"/>
  <c r="I120" i="12"/>
  <c r="AJ17" i="12" s="1"/>
  <c r="H120" i="12"/>
  <c r="AI17" i="12" s="1"/>
  <c r="J119" i="12"/>
  <c r="I119" i="12"/>
  <c r="H119" i="12"/>
  <c r="J118" i="12"/>
  <c r="I118" i="12"/>
  <c r="H118" i="12"/>
  <c r="J117" i="12"/>
  <c r="I117" i="12"/>
  <c r="H117" i="12"/>
  <c r="J116" i="12"/>
  <c r="I116" i="12"/>
  <c r="H116" i="12"/>
  <c r="J115" i="12"/>
  <c r="I115" i="12"/>
  <c r="H115" i="12"/>
  <c r="J112" i="12"/>
  <c r="I112" i="12"/>
  <c r="H112" i="12"/>
  <c r="J111" i="12"/>
  <c r="I111" i="12"/>
  <c r="H111" i="12"/>
  <c r="J110" i="12"/>
  <c r="I110" i="12"/>
  <c r="H110" i="12"/>
  <c r="J109" i="12"/>
  <c r="I109" i="12"/>
  <c r="H109" i="12"/>
  <c r="J108" i="12"/>
  <c r="I108" i="12"/>
  <c r="H108" i="12"/>
  <c r="J107" i="12"/>
  <c r="I107" i="12"/>
  <c r="H107" i="12"/>
  <c r="J106" i="12"/>
  <c r="I106" i="12"/>
  <c r="H106" i="12"/>
  <c r="J105" i="12"/>
  <c r="I105" i="12"/>
  <c r="H105" i="12"/>
  <c r="J104" i="12"/>
  <c r="I104" i="12"/>
  <c r="H104" i="12"/>
  <c r="J103" i="12"/>
  <c r="I103" i="12"/>
  <c r="H103" i="12"/>
  <c r="J100" i="12"/>
  <c r="I100" i="12"/>
  <c r="H100" i="12"/>
  <c r="J99" i="12"/>
  <c r="I99" i="12"/>
  <c r="H99" i="12"/>
  <c r="J98" i="12"/>
  <c r="I98" i="12"/>
  <c r="H98" i="12"/>
  <c r="J97" i="12"/>
  <c r="I97" i="12"/>
  <c r="H97" i="12"/>
  <c r="J96" i="12"/>
  <c r="I96" i="12"/>
  <c r="H96" i="12"/>
  <c r="J95" i="12"/>
  <c r="I95" i="12"/>
  <c r="H95" i="12"/>
  <c r="J94" i="12"/>
  <c r="I94" i="12"/>
  <c r="H94" i="12"/>
  <c r="J93" i="12"/>
  <c r="I93" i="12"/>
  <c r="H93" i="12"/>
  <c r="J92" i="12"/>
  <c r="I92" i="12"/>
  <c r="H92" i="12"/>
  <c r="J91" i="12"/>
  <c r="I91" i="12"/>
  <c r="H91" i="12"/>
  <c r="J88" i="12"/>
  <c r="I88" i="12"/>
  <c r="H88" i="12"/>
  <c r="J87" i="12"/>
  <c r="E87" i="12" s="1"/>
  <c r="I87" i="12"/>
  <c r="H87" i="12"/>
  <c r="J86" i="12"/>
  <c r="AX14" i="12" s="1"/>
  <c r="I86" i="12"/>
  <c r="H86" i="12"/>
  <c r="J85" i="12"/>
  <c r="I85" i="12"/>
  <c r="H85" i="12"/>
  <c r="J84" i="12"/>
  <c r="I84" i="12"/>
  <c r="H84" i="12"/>
  <c r="J83" i="12"/>
  <c r="I83" i="12"/>
  <c r="H83" i="12"/>
  <c r="J82" i="12"/>
  <c r="I82" i="12"/>
  <c r="H82" i="12"/>
  <c r="J81" i="12"/>
  <c r="I81" i="12"/>
  <c r="H81" i="12"/>
  <c r="J80" i="12"/>
  <c r="I80" i="12"/>
  <c r="H80" i="12"/>
  <c r="J79" i="12"/>
  <c r="I79" i="12"/>
  <c r="H79" i="12"/>
  <c r="J63" i="12"/>
  <c r="I63" i="12"/>
  <c r="H63" i="12"/>
  <c r="J62" i="12"/>
  <c r="I62" i="12"/>
  <c r="I75" i="12" s="1"/>
  <c r="H62" i="12"/>
  <c r="J61" i="12"/>
  <c r="I61" i="12"/>
  <c r="H61" i="12"/>
  <c r="J60" i="12"/>
  <c r="J73" i="12" s="1"/>
  <c r="I60" i="12"/>
  <c r="I73" i="12" s="1"/>
  <c r="AP13" i="12" s="1"/>
  <c r="H60" i="12"/>
  <c r="H73" i="12" s="1"/>
  <c r="J59" i="12"/>
  <c r="J72" i="12" s="1"/>
  <c r="I59" i="12"/>
  <c r="I72" i="12" s="1"/>
  <c r="H59" i="12"/>
  <c r="H72" i="12" s="1"/>
  <c r="J58" i="12"/>
  <c r="J71" i="12" s="1"/>
  <c r="I58" i="12"/>
  <c r="I71" i="12" s="1"/>
  <c r="H58" i="12"/>
  <c r="H71" i="12" s="1"/>
  <c r="J57" i="12"/>
  <c r="J70" i="12" s="1"/>
  <c r="I57" i="12"/>
  <c r="I70" i="12" s="1"/>
  <c r="H57" i="12"/>
  <c r="J56" i="12"/>
  <c r="I56" i="12"/>
  <c r="H56" i="12"/>
  <c r="J55" i="12"/>
  <c r="I55" i="12"/>
  <c r="H55" i="12"/>
  <c r="J54" i="12"/>
  <c r="I54" i="12"/>
  <c r="H54" i="12"/>
  <c r="J50" i="12"/>
  <c r="I50" i="12"/>
  <c r="BH11" i="12" s="1"/>
  <c r="H50" i="12"/>
  <c r="J49" i="12"/>
  <c r="I49" i="12"/>
  <c r="H49" i="12"/>
  <c r="J48" i="12"/>
  <c r="I48" i="12"/>
  <c r="H48" i="12"/>
  <c r="J47" i="12"/>
  <c r="I47" i="12"/>
  <c r="H47" i="12"/>
  <c r="J46" i="12"/>
  <c r="I46" i="12"/>
  <c r="AJ11" i="12" s="1"/>
  <c r="H46" i="12"/>
  <c r="AI11" i="12" s="1"/>
  <c r="J45" i="12"/>
  <c r="I45" i="12"/>
  <c r="H45" i="12"/>
  <c r="J44" i="12"/>
  <c r="I44" i="12"/>
  <c r="H44" i="12"/>
  <c r="J43" i="12"/>
  <c r="I43" i="12"/>
  <c r="H43" i="12"/>
  <c r="J42" i="12"/>
  <c r="I42" i="12"/>
  <c r="L11" i="12" s="1"/>
  <c r="H42" i="12"/>
  <c r="K11" i="12" s="1"/>
  <c r="J41" i="12"/>
  <c r="I41" i="12"/>
  <c r="H41" i="12"/>
  <c r="O37" i="12"/>
  <c r="N37" i="12"/>
  <c r="M37" i="12"/>
  <c r="O35" i="12"/>
  <c r="N35" i="12"/>
  <c r="M35" i="12"/>
  <c r="O34" i="12"/>
  <c r="N34" i="12"/>
  <c r="M34" i="12"/>
  <c r="O33" i="12"/>
  <c r="N33" i="12"/>
  <c r="I33" i="12" s="1"/>
  <c r="M33" i="12"/>
  <c r="O31" i="12"/>
  <c r="N31" i="12"/>
  <c r="I31" i="12" s="1"/>
  <c r="M31" i="12"/>
  <c r="H31" i="12" s="1"/>
  <c r="O30" i="12"/>
  <c r="N30" i="12"/>
  <c r="M30" i="12"/>
  <c r="O29" i="12"/>
  <c r="N29" i="12"/>
  <c r="M29" i="12"/>
  <c r="O28" i="12"/>
  <c r="N28" i="12"/>
  <c r="M28" i="12"/>
  <c r="BP11" i="12"/>
  <c r="BM11" i="12"/>
  <c r="BL11" i="12"/>
  <c r="BK11" i="12"/>
  <c r="AZ11" i="12"/>
  <c r="AY11" i="12"/>
  <c r="BP10" i="12"/>
  <c r="BM10" i="12"/>
  <c r="BL10" i="12"/>
  <c r="BK10" i="12"/>
  <c r="AZ10" i="12"/>
  <c r="AY10" i="12"/>
  <c r="F142" i="12"/>
  <c r="E142" i="12"/>
  <c r="D142" i="12"/>
  <c r="C142" i="12"/>
  <c r="F135" i="12"/>
  <c r="C135" i="12"/>
  <c r="C123" i="12"/>
  <c r="F99" i="12"/>
  <c r="F87" i="12"/>
  <c r="F84" i="12"/>
  <c r="E84" i="12"/>
  <c r="D84" i="12"/>
  <c r="C84" i="12"/>
  <c r="H67" i="12"/>
  <c r="J76" i="12"/>
  <c r="I76" i="12"/>
  <c r="H76" i="12"/>
  <c r="H75" i="12"/>
  <c r="J74" i="12"/>
  <c r="I74" i="12"/>
  <c r="H74" i="12"/>
  <c r="H70" i="12"/>
  <c r="J69" i="12"/>
  <c r="I69" i="12"/>
  <c r="H69" i="12"/>
  <c r="J68" i="12"/>
  <c r="I68" i="12"/>
  <c r="H68" i="12"/>
  <c r="J67" i="12"/>
  <c r="I67" i="12"/>
  <c r="C49" i="12"/>
  <c r="N46" i="12"/>
  <c r="I34" i="12"/>
  <c r="J33" i="12"/>
  <c r="J28" i="12"/>
  <c r="R26" i="12"/>
  <c r="H18" i="12"/>
  <c r="BJ16" i="12"/>
  <c r="BH15" i="12"/>
  <c r="W15" i="12"/>
  <c r="V15" i="12"/>
  <c r="L14" i="12"/>
  <c r="K14" i="12"/>
  <c r="K13" i="12"/>
  <c r="AU12" i="12"/>
  <c r="W12" i="12"/>
  <c r="E3" i="12"/>
  <c r="M274" i="9"/>
  <c r="M287" i="9" s="1"/>
  <c r="M273" i="9"/>
  <c r="M286" i="9" s="1"/>
  <c r="M272" i="9"/>
  <c r="M285" i="9" s="1"/>
  <c r="M271" i="9"/>
  <c r="M284" i="9" s="1"/>
  <c r="M270" i="9"/>
  <c r="M283" i="9" s="1"/>
  <c r="M269" i="9"/>
  <c r="M282" i="9" s="1"/>
  <c r="M268" i="9"/>
  <c r="M281" i="9" s="1"/>
  <c r="M267" i="9"/>
  <c r="M280" i="9" s="1"/>
  <c r="M266" i="9"/>
  <c r="M279" i="9" s="1"/>
  <c r="M265" i="9"/>
  <c r="M278" i="9" s="1"/>
  <c r="M264" i="9"/>
  <c r="M277" i="9" s="1"/>
  <c r="M263" i="9"/>
  <c r="M276" i="9" s="1"/>
  <c r="M262" i="9"/>
  <c r="M248" i="9"/>
  <c r="M261" i="9" s="1"/>
  <c r="M247" i="9"/>
  <c r="M260" i="9" s="1"/>
  <c r="M246" i="9"/>
  <c r="M259" i="9" s="1"/>
  <c r="M245" i="9"/>
  <c r="M258" i="9" s="1"/>
  <c r="M244" i="9"/>
  <c r="M257" i="9" s="1"/>
  <c r="M243" i="9"/>
  <c r="M256" i="9" s="1"/>
  <c r="M242" i="9"/>
  <c r="M255" i="9" s="1"/>
  <c r="M241" i="9"/>
  <c r="M254" i="9" s="1"/>
  <c r="M240" i="9"/>
  <c r="M253" i="9" s="1"/>
  <c r="M239" i="9"/>
  <c r="M252" i="9" s="1"/>
  <c r="M238" i="9"/>
  <c r="M251" i="9" s="1"/>
  <c r="M237" i="9"/>
  <c r="M250" i="9" s="1"/>
  <c r="M236" i="9"/>
  <c r="M249" i="9" s="1"/>
  <c r="O32" i="9"/>
  <c r="O74" i="9" s="1"/>
  <c r="O73" i="9"/>
  <c r="O115" i="9" s="1"/>
  <c r="O72" i="9"/>
  <c r="O114" i="9" s="1"/>
  <c r="O71" i="9"/>
  <c r="O113" i="9" s="1"/>
  <c r="O70" i="9"/>
  <c r="O112" i="9" s="1"/>
  <c r="O69" i="9"/>
  <c r="O111" i="9" s="1"/>
  <c r="O68" i="9"/>
  <c r="O110" i="9" s="1"/>
  <c r="O67" i="9"/>
  <c r="O109" i="9" s="1"/>
  <c r="O66" i="9"/>
  <c r="O108" i="9" s="1"/>
  <c r="O65" i="9"/>
  <c r="O107" i="9" s="1"/>
  <c r="O64" i="9"/>
  <c r="O106" i="9" s="1"/>
  <c r="O63" i="9"/>
  <c r="O105" i="9" s="1"/>
  <c r="O62" i="9"/>
  <c r="O104" i="9" s="1"/>
  <c r="O61" i="9"/>
  <c r="O103" i="9" s="1"/>
  <c r="O60" i="9"/>
  <c r="O102" i="9" s="1"/>
  <c r="O59" i="9"/>
  <c r="O101" i="9" s="1"/>
  <c r="O58" i="9"/>
  <c r="O100" i="9" s="1"/>
  <c r="O57" i="9"/>
  <c r="O99" i="9" s="1"/>
  <c r="O56" i="9"/>
  <c r="O98" i="9" s="1"/>
  <c r="O55" i="9"/>
  <c r="O97" i="9" s="1"/>
  <c r="O54" i="9"/>
  <c r="O96" i="9" s="1"/>
  <c r="O53" i="9"/>
  <c r="O95" i="9" s="1"/>
  <c r="O52" i="9"/>
  <c r="O94" i="9" s="1"/>
  <c r="O51" i="9"/>
  <c r="O93" i="9" s="1"/>
  <c r="O50" i="9"/>
  <c r="O92" i="9" s="1"/>
  <c r="O49" i="9"/>
  <c r="O91" i="9" s="1"/>
  <c r="O48" i="9"/>
  <c r="O90" i="9" s="1"/>
  <c r="O47" i="9"/>
  <c r="O89" i="9" s="1"/>
  <c r="O46" i="9"/>
  <c r="O88" i="9" s="1"/>
  <c r="O45" i="9"/>
  <c r="O87" i="9" s="1"/>
  <c r="O44" i="9"/>
  <c r="O86" i="9" s="1"/>
  <c r="O43" i="9"/>
  <c r="O85" i="9" s="1"/>
  <c r="O42" i="9"/>
  <c r="O84" i="9" s="1"/>
  <c r="O41" i="9"/>
  <c r="O83" i="9" s="1"/>
  <c r="O40" i="9"/>
  <c r="O82" i="9" s="1"/>
  <c r="O39" i="9"/>
  <c r="O81" i="9" s="1"/>
  <c r="O38" i="9"/>
  <c r="O80" i="9" s="1"/>
  <c r="O37" i="9"/>
  <c r="O79" i="9" s="1"/>
  <c r="O36" i="9"/>
  <c r="O78" i="9" s="1"/>
  <c r="O35" i="9"/>
  <c r="O77" i="9" s="1"/>
  <c r="O34" i="9"/>
  <c r="O76" i="9" s="1"/>
  <c r="O33" i="9"/>
  <c r="O75" i="9" s="1"/>
  <c r="O6" i="9"/>
  <c r="O20" i="9" s="1"/>
  <c r="M275" i="9"/>
  <c r="M226" i="9"/>
  <c r="M235" i="9" s="1"/>
  <c r="M225" i="9"/>
  <c r="M234" i="9" s="1"/>
  <c r="M224" i="9"/>
  <c r="M233" i="9" s="1"/>
  <c r="M223" i="9"/>
  <c r="M232" i="9" s="1"/>
  <c r="M222" i="9"/>
  <c r="M231" i="9" s="1"/>
  <c r="M221" i="9"/>
  <c r="M230" i="9" s="1"/>
  <c r="M220" i="9"/>
  <c r="M229" i="9" s="1"/>
  <c r="M219" i="9"/>
  <c r="M228" i="9" s="1"/>
  <c r="M218" i="9"/>
  <c r="M227" i="9" s="1"/>
  <c r="M208" i="9"/>
  <c r="M217" i="9" s="1"/>
  <c r="M207" i="9"/>
  <c r="M216" i="9" s="1"/>
  <c r="M206" i="9"/>
  <c r="M215" i="9" s="1"/>
  <c r="M205" i="9"/>
  <c r="M214" i="9" s="1"/>
  <c r="M204" i="9"/>
  <c r="M213" i="9" s="1"/>
  <c r="M203" i="9"/>
  <c r="M212" i="9" s="1"/>
  <c r="M202" i="9"/>
  <c r="M211" i="9" s="1"/>
  <c r="M201" i="9"/>
  <c r="M210" i="9" s="1"/>
  <c r="M200" i="9"/>
  <c r="M209" i="9" s="1"/>
  <c r="N199" i="9"/>
  <c r="N198" i="9"/>
  <c r="N197" i="9"/>
  <c r="N196" i="9"/>
  <c r="N195" i="9"/>
  <c r="N194" i="9"/>
  <c r="N193" i="9"/>
  <c r="N192" i="9"/>
  <c r="N191" i="9"/>
  <c r="N190" i="9"/>
  <c r="N189" i="9"/>
  <c r="N188" i="9"/>
  <c r="F70" i="10"/>
  <c r="E70" i="10"/>
  <c r="D70" i="10"/>
  <c r="F69" i="10"/>
  <c r="E69" i="10"/>
  <c r="D69" i="10"/>
  <c r="F68" i="10"/>
  <c r="E68" i="10"/>
  <c r="D68" i="10"/>
  <c r="Q58" i="10"/>
  <c r="P58" i="10"/>
  <c r="O58" i="10"/>
  <c r="D58" i="10"/>
  <c r="Q57" i="10"/>
  <c r="P57" i="10"/>
  <c r="O57" i="10"/>
  <c r="D57" i="10"/>
  <c r="Q56" i="10"/>
  <c r="P56" i="10"/>
  <c r="O56" i="10"/>
  <c r="F56" i="10"/>
  <c r="E56" i="10"/>
  <c r="D56" i="10"/>
  <c r="Q55" i="10"/>
  <c r="P55" i="10"/>
  <c r="O55" i="10"/>
  <c r="F55" i="10"/>
  <c r="E55" i="10"/>
  <c r="D55" i="10"/>
  <c r="Q54" i="10"/>
  <c r="P54" i="10"/>
  <c r="O54" i="10"/>
  <c r="F54" i="10"/>
  <c r="E54" i="10"/>
  <c r="D54" i="10"/>
  <c r="Q53" i="10"/>
  <c r="P53" i="10"/>
  <c r="O53" i="10"/>
  <c r="F53" i="10"/>
  <c r="E53" i="10"/>
  <c r="D53" i="10"/>
  <c r="Q52" i="10"/>
  <c r="P52" i="10"/>
  <c r="O52" i="10"/>
  <c r="F52" i="10"/>
  <c r="E52" i="10"/>
  <c r="D52" i="10"/>
  <c r="Q51" i="10"/>
  <c r="P51" i="10"/>
  <c r="O51" i="10"/>
  <c r="F51" i="10"/>
  <c r="E51" i="10"/>
  <c r="D51" i="10"/>
  <c r="Q50" i="10"/>
  <c r="P50" i="10"/>
  <c r="O50" i="10"/>
  <c r="F50" i="10"/>
  <c r="E50" i="10"/>
  <c r="D50" i="10"/>
  <c r="Q49" i="10"/>
  <c r="P49" i="10"/>
  <c r="O49" i="10"/>
  <c r="F49" i="10"/>
  <c r="E49" i="10"/>
  <c r="D49" i="10"/>
  <c r="Q48" i="10"/>
  <c r="P48" i="10"/>
  <c r="O48" i="10"/>
  <c r="F48" i="10"/>
  <c r="E48" i="10"/>
  <c r="D48" i="10"/>
  <c r="Q47" i="10"/>
  <c r="P47" i="10"/>
  <c r="O47" i="10"/>
  <c r="F47" i="10"/>
  <c r="E47" i="10"/>
  <c r="D47" i="10"/>
  <c r="Q46" i="10"/>
  <c r="P46" i="10"/>
  <c r="O46" i="10"/>
  <c r="F46" i="10"/>
  <c r="E46" i="10"/>
  <c r="D46" i="10"/>
  <c r="Q45" i="10"/>
  <c r="P45" i="10"/>
  <c r="O45" i="10"/>
  <c r="D45" i="10"/>
  <c r="Q44" i="10"/>
  <c r="P44" i="10"/>
  <c r="O44" i="10"/>
  <c r="D44" i="10"/>
  <c r="Q43" i="10"/>
  <c r="P43" i="10"/>
  <c r="O43" i="10"/>
  <c r="D43" i="10"/>
  <c r="Q42" i="10"/>
  <c r="P42" i="10"/>
  <c r="O42" i="10"/>
  <c r="D42" i="10"/>
  <c r="Q41" i="10"/>
  <c r="P41" i="10"/>
  <c r="O41" i="10"/>
  <c r="D41" i="10"/>
  <c r="Q40" i="10"/>
  <c r="P40" i="10"/>
  <c r="O40" i="10"/>
  <c r="D40" i="10"/>
  <c r="Q39" i="10"/>
  <c r="P39" i="10"/>
  <c r="O39" i="10"/>
  <c r="D39" i="10"/>
  <c r="Q38" i="10"/>
  <c r="P38" i="10"/>
  <c r="O38" i="10"/>
  <c r="D38" i="10"/>
  <c r="Q37" i="10"/>
  <c r="P37" i="10"/>
  <c r="O37" i="10"/>
  <c r="D37" i="10"/>
  <c r="Q36" i="10"/>
  <c r="P36" i="10"/>
  <c r="O36" i="10"/>
  <c r="D36" i="10"/>
  <c r="Q35" i="10"/>
  <c r="P35" i="10"/>
  <c r="O35" i="10"/>
  <c r="D35" i="10"/>
  <c r="Q34" i="10"/>
  <c r="P34" i="10"/>
  <c r="O34" i="10"/>
  <c r="D34" i="10"/>
  <c r="Q33" i="10"/>
  <c r="P33" i="10"/>
  <c r="O33" i="10"/>
  <c r="D33" i="10"/>
  <c r="Q32" i="10"/>
  <c r="P32" i="10"/>
  <c r="O32" i="10"/>
  <c r="D32" i="10"/>
  <c r="Q31" i="10"/>
  <c r="P31" i="10"/>
  <c r="O31" i="10"/>
  <c r="D31" i="10"/>
  <c r="Q30" i="10"/>
  <c r="P30" i="10"/>
  <c r="O30" i="10"/>
  <c r="D30" i="10"/>
  <c r="Q29" i="10"/>
  <c r="P29" i="10"/>
  <c r="O29" i="10"/>
  <c r="D29" i="10"/>
  <c r="Q28" i="10"/>
  <c r="P28" i="10"/>
  <c r="O28" i="10"/>
  <c r="D28" i="10"/>
  <c r="Q27" i="10"/>
  <c r="P27" i="10"/>
  <c r="O27" i="10"/>
  <c r="D27" i="10"/>
  <c r="Q26" i="10"/>
  <c r="P26" i="10"/>
  <c r="O26" i="10"/>
  <c r="F26" i="10"/>
  <c r="E26" i="10"/>
  <c r="D26" i="10"/>
  <c r="Q25" i="10"/>
  <c r="P25" i="10"/>
  <c r="O25" i="10"/>
  <c r="F25" i="10"/>
  <c r="E25" i="10"/>
  <c r="D25" i="10"/>
  <c r="Q24" i="10"/>
  <c r="P24" i="10"/>
  <c r="O24" i="10"/>
  <c r="F24" i="10"/>
  <c r="E24" i="10"/>
  <c r="D24" i="10"/>
  <c r="Q23" i="10"/>
  <c r="P23" i="10"/>
  <c r="O23" i="10"/>
  <c r="F23" i="10"/>
  <c r="E23" i="10"/>
  <c r="D23" i="10"/>
  <c r="Q22" i="10"/>
  <c r="P22" i="10"/>
  <c r="O22" i="10"/>
  <c r="F22" i="10"/>
  <c r="E22" i="10"/>
  <c r="D22" i="10"/>
  <c r="Q21" i="10"/>
  <c r="P21" i="10"/>
  <c r="O21" i="10"/>
  <c r="F21" i="10"/>
  <c r="E21" i="10"/>
  <c r="D21" i="10"/>
  <c r="Q20" i="10"/>
  <c r="P20" i="10"/>
  <c r="O20" i="10"/>
  <c r="F20" i="10"/>
  <c r="E20" i="10"/>
  <c r="D20" i="10"/>
  <c r="Q19" i="10"/>
  <c r="P19" i="10"/>
  <c r="O19" i="10"/>
  <c r="F19" i="10"/>
  <c r="E19" i="10"/>
  <c r="D19" i="10"/>
  <c r="Q18" i="10"/>
  <c r="P18" i="10"/>
  <c r="O18" i="10"/>
  <c r="F18" i="10"/>
  <c r="E18" i="10"/>
  <c r="D18" i="10"/>
  <c r="Q17" i="10"/>
  <c r="P17" i="10"/>
  <c r="O17" i="10"/>
  <c r="F17" i="10"/>
  <c r="E17" i="10"/>
  <c r="D17" i="10"/>
  <c r="Q16" i="10"/>
  <c r="P16" i="10"/>
  <c r="O16" i="10"/>
  <c r="F16" i="10"/>
  <c r="E16" i="10"/>
  <c r="D16" i="10"/>
  <c r="Q15" i="10"/>
  <c r="P15" i="10"/>
  <c r="O15" i="10"/>
  <c r="F15" i="10"/>
  <c r="E15" i="10"/>
  <c r="D15" i="10"/>
  <c r="Q14" i="10"/>
  <c r="P14" i="10"/>
  <c r="O14" i="10"/>
  <c r="F14" i="10"/>
  <c r="E14" i="10"/>
  <c r="D14" i="10"/>
  <c r="Q13" i="10"/>
  <c r="P13" i="10"/>
  <c r="O13" i="10"/>
  <c r="F13" i="10"/>
  <c r="E13" i="10"/>
  <c r="D13" i="10"/>
  <c r="Q12" i="10"/>
  <c r="P12" i="10"/>
  <c r="O12" i="10"/>
  <c r="D12" i="10"/>
  <c r="Q11" i="10"/>
  <c r="P11" i="10"/>
  <c r="O11" i="10"/>
  <c r="F11" i="10"/>
  <c r="E11" i="10"/>
  <c r="D11" i="10"/>
  <c r="Q10" i="10"/>
  <c r="P10" i="10"/>
  <c r="O10" i="10"/>
  <c r="F10" i="10"/>
  <c r="E10" i="10"/>
  <c r="D10" i="10"/>
  <c r="Q9" i="10"/>
  <c r="P9" i="10"/>
  <c r="O9" i="10"/>
  <c r="D9" i="10"/>
  <c r="G33" i="11"/>
  <c r="F33" i="11"/>
  <c r="G32" i="11"/>
  <c r="F32" i="11"/>
  <c r="F31" i="11"/>
  <c r="G31" i="11" s="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K10" i="11"/>
  <c r="G10" i="11"/>
  <c r="G9" i="11"/>
  <c r="G8" i="11"/>
  <c r="G7" i="11"/>
  <c r="G6" i="11"/>
  <c r="G5" i="11"/>
  <c r="G4" i="11"/>
  <c r="G3" i="11"/>
  <c r="I70" i="10"/>
  <c r="I69" i="10"/>
  <c r="I68" i="10"/>
  <c r="H58" i="10"/>
  <c r="AB58" i="10" s="1"/>
  <c r="AB57" i="10"/>
  <c r="H57" i="10"/>
  <c r="AB56" i="10"/>
  <c r="AB55" i="10"/>
  <c r="AB54" i="10"/>
  <c r="AB53" i="10"/>
  <c r="AB52" i="10"/>
  <c r="AB51" i="10"/>
  <c r="AB50" i="10"/>
  <c r="AB49" i="10"/>
  <c r="AB48" i="10"/>
  <c r="AB47" i="10"/>
  <c r="AB46" i="10"/>
  <c r="H45" i="10"/>
  <c r="AB45" i="10" s="1"/>
  <c r="H44" i="10"/>
  <c r="AB44" i="10" s="1"/>
  <c r="H43" i="10"/>
  <c r="AB43" i="10" s="1"/>
  <c r="AB42" i="10"/>
  <c r="H42" i="10"/>
  <c r="H41" i="10"/>
  <c r="AB41" i="10" s="1"/>
  <c r="H40" i="10"/>
  <c r="AB40" i="10" s="1"/>
  <c r="AB39" i="10"/>
  <c r="H39" i="10"/>
  <c r="H38" i="10"/>
  <c r="AB38" i="10" s="1"/>
  <c r="H37" i="10"/>
  <c r="AB37" i="10" s="1"/>
  <c r="H36" i="10"/>
  <c r="H35" i="10"/>
  <c r="AB35" i="10" s="1"/>
  <c r="H34" i="10"/>
  <c r="AB34" i="10" s="1"/>
  <c r="H33" i="10"/>
  <c r="AB33" i="10" s="1"/>
  <c r="AB32" i="10"/>
  <c r="H32" i="10"/>
  <c r="H31" i="10"/>
  <c r="AB31" i="10" s="1"/>
  <c r="H30" i="10"/>
  <c r="AB30" i="10" s="1"/>
  <c r="AB29" i="10"/>
  <c r="H29" i="10"/>
  <c r="H28" i="10"/>
  <c r="AB28" i="10" s="1"/>
  <c r="H27" i="10"/>
  <c r="AB27" i="10" s="1"/>
  <c r="AB26" i="10"/>
  <c r="AB25" i="10"/>
  <c r="AB24" i="10"/>
  <c r="AB23" i="10"/>
  <c r="AB22" i="10"/>
  <c r="AB21" i="10"/>
  <c r="AB20" i="10"/>
  <c r="AB19" i="10"/>
  <c r="AB18" i="10"/>
  <c r="AB17" i="10"/>
  <c r="AB16" i="10"/>
  <c r="AB15" i="10"/>
  <c r="AB14" i="10"/>
  <c r="AB13" i="10"/>
  <c r="H12" i="10"/>
  <c r="AB12" i="10" s="1"/>
  <c r="AB11" i="10"/>
  <c r="AB10" i="10"/>
  <c r="AB9" i="10"/>
  <c r="O162" i="9"/>
  <c r="O163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40" i="9"/>
  <c r="O17" i="9"/>
  <c r="O31" i="9" s="1"/>
  <c r="O16" i="9"/>
  <c r="O30" i="9" s="1"/>
  <c r="O15" i="9"/>
  <c r="O29" i="9" s="1"/>
  <c r="O14" i="9"/>
  <c r="O28" i="9" s="1"/>
  <c r="O13" i="9"/>
  <c r="O27" i="9" s="1"/>
  <c r="O12" i="9"/>
  <c r="O26" i="9" s="1"/>
  <c r="O11" i="9"/>
  <c r="O25" i="9" s="1"/>
  <c r="O10" i="9"/>
  <c r="O24" i="9" s="1"/>
  <c r="O9" i="9"/>
  <c r="O23" i="9" s="1"/>
  <c r="O8" i="9"/>
  <c r="O22" i="9" s="1"/>
  <c r="O7" i="9"/>
  <c r="O21" i="9" s="1"/>
  <c r="O5" i="9"/>
  <c r="O19" i="9" s="1"/>
  <c r="O4" i="9"/>
  <c r="O18" i="9" s="1"/>
  <c r="R35" i="8"/>
  <c r="Q35" i="8"/>
  <c r="P35" i="8"/>
  <c r="O35" i="8"/>
  <c r="N35" i="8"/>
  <c r="M35" i="8"/>
  <c r="L35" i="8"/>
  <c r="R30" i="8"/>
  <c r="Q30" i="8"/>
  <c r="P30" i="8"/>
  <c r="O30" i="8"/>
  <c r="N30" i="8"/>
  <c r="M30" i="8"/>
  <c r="L30" i="8"/>
  <c r="R25" i="8"/>
  <c r="Q25" i="8"/>
  <c r="P25" i="8"/>
  <c r="O25" i="8"/>
  <c r="N25" i="8"/>
  <c r="M25" i="8"/>
  <c r="L25" i="8"/>
  <c r="M1334" i="2"/>
  <c r="M1335" i="2" s="1"/>
  <c r="M1279" i="2" s="1"/>
  <c r="M1333" i="2"/>
  <c r="M1277" i="2" s="1"/>
  <c r="M1332" i="2"/>
  <c r="M1276" i="2" s="1"/>
  <c r="M1317" i="2"/>
  <c r="M1318" i="2" s="1"/>
  <c r="M1319" i="2" s="1"/>
  <c r="M1313" i="2"/>
  <c r="M1314" i="2" s="1"/>
  <c r="M1315" i="2" s="1"/>
  <c r="M1310" i="2"/>
  <c r="M1311" i="2" s="1"/>
  <c r="M1309" i="2"/>
  <c r="M1308" i="2"/>
  <c r="M1306" i="2"/>
  <c r="M1307" i="2" s="1"/>
  <c r="M1305" i="2"/>
  <c r="M1304" i="2"/>
  <c r="M1302" i="2"/>
  <c r="M1326" i="2" s="1"/>
  <c r="M1301" i="2"/>
  <c r="M1325" i="2" s="1"/>
  <c r="M1300" i="2"/>
  <c r="M1324" i="2" s="1"/>
  <c r="M1298" i="2"/>
  <c r="M1299" i="2" s="1"/>
  <c r="M1297" i="2"/>
  <c r="M1296" i="2"/>
  <c r="M1294" i="2"/>
  <c r="M1295" i="2" s="1"/>
  <c r="M1331" i="2" s="1"/>
  <c r="M1293" i="2"/>
  <c r="M1329" i="2" s="1"/>
  <c r="M1292" i="2"/>
  <c r="M1328" i="2" s="1"/>
  <c r="M1290" i="2"/>
  <c r="M1291" i="2" s="1"/>
  <c r="M1323" i="2" s="1"/>
  <c r="M1339" i="2" s="1"/>
  <c r="M1289" i="2"/>
  <c r="M1321" i="2" s="1"/>
  <c r="M1337" i="2" s="1"/>
  <c r="M1288" i="2"/>
  <c r="M1320" i="2" s="1"/>
  <c r="M1336" i="2" s="1"/>
  <c r="M1286" i="2"/>
  <c r="M1287" i="2" s="1"/>
  <c r="M1285" i="2"/>
  <c r="M1284" i="2"/>
  <c r="M1282" i="2"/>
  <c r="M1283" i="2" s="1"/>
  <c r="M1281" i="2"/>
  <c r="M1280" i="2"/>
  <c r="M1269" i="2"/>
  <c r="M1270" i="2" s="1"/>
  <c r="M1214" i="2" s="1"/>
  <c r="M1268" i="2"/>
  <c r="M1212" i="2" s="1"/>
  <c r="M1267" i="2"/>
  <c r="M1211" i="2" s="1"/>
  <c r="M1252" i="2"/>
  <c r="M1253" i="2" s="1"/>
  <c r="M1254" i="2" s="1"/>
  <c r="M1248" i="2"/>
  <c r="M1249" i="2" s="1"/>
  <c r="M1250" i="2" s="1"/>
  <c r="M1245" i="2"/>
  <c r="M1246" i="2" s="1"/>
  <c r="M1244" i="2"/>
  <c r="M1243" i="2"/>
  <c r="M1241" i="2"/>
  <c r="M1242" i="2" s="1"/>
  <c r="M1240" i="2"/>
  <c r="M1239" i="2"/>
  <c r="M1237" i="2"/>
  <c r="M1238" i="2" s="1"/>
  <c r="M1262" i="2" s="1"/>
  <c r="M1236" i="2"/>
  <c r="M1260" i="2" s="1"/>
  <c r="M1235" i="2"/>
  <c r="M1259" i="2" s="1"/>
  <c r="M1233" i="2"/>
  <c r="M1234" i="2" s="1"/>
  <c r="M1232" i="2"/>
  <c r="M1231" i="2"/>
  <c r="M1229" i="2"/>
  <c r="M1230" i="2" s="1"/>
  <c r="M1266" i="2" s="1"/>
  <c r="M1228" i="2"/>
  <c r="M1264" i="2" s="1"/>
  <c r="M1227" i="2"/>
  <c r="M1263" i="2" s="1"/>
  <c r="M1225" i="2"/>
  <c r="M1226" i="2" s="1"/>
  <c r="M1258" i="2" s="1"/>
  <c r="M1274" i="2" s="1"/>
  <c r="M1224" i="2"/>
  <c r="M1256" i="2" s="1"/>
  <c r="M1272" i="2" s="1"/>
  <c r="M1223" i="2"/>
  <c r="M1255" i="2" s="1"/>
  <c r="M1271" i="2" s="1"/>
  <c r="M1221" i="2"/>
  <c r="M1222" i="2" s="1"/>
  <c r="M1220" i="2"/>
  <c r="M1219" i="2"/>
  <c r="M1217" i="2"/>
  <c r="M1218" i="2" s="1"/>
  <c r="M1216" i="2"/>
  <c r="M1215" i="2"/>
  <c r="M1204" i="2"/>
  <c r="M1205" i="2" s="1"/>
  <c r="M1149" i="2" s="1"/>
  <c r="M1203" i="2"/>
  <c r="M1147" i="2" s="1"/>
  <c r="M1202" i="2"/>
  <c r="M1146" i="2" s="1"/>
  <c r="M1187" i="2"/>
  <c r="M1188" i="2" s="1"/>
  <c r="M1189" i="2" s="1"/>
  <c r="M1183" i="2"/>
  <c r="M1184" i="2" s="1"/>
  <c r="M1185" i="2" s="1"/>
  <c r="M1180" i="2"/>
  <c r="M1181" i="2" s="1"/>
  <c r="M1179" i="2"/>
  <c r="M1178" i="2"/>
  <c r="M1176" i="2"/>
  <c r="M1177" i="2" s="1"/>
  <c r="M1175" i="2"/>
  <c r="M1174" i="2"/>
  <c r="M1172" i="2"/>
  <c r="M1173" i="2" s="1"/>
  <c r="M1197" i="2" s="1"/>
  <c r="M1171" i="2"/>
  <c r="M1195" i="2" s="1"/>
  <c r="M1170" i="2"/>
  <c r="M1194" i="2" s="1"/>
  <c r="M1168" i="2"/>
  <c r="M1169" i="2" s="1"/>
  <c r="M1167" i="2"/>
  <c r="M1166" i="2"/>
  <c r="M1164" i="2"/>
  <c r="M1200" i="2" s="1"/>
  <c r="M1163" i="2"/>
  <c r="M1199" i="2" s="1"/>
  <c r="M1162" i="2"/>
  <c r="M1198" i="2" s="1"/>
  <c r="M1160" i="2"/>
  <c r="M1161" i="2" s="1"/>
  <c r="M1193" i="2" s="1"/>
  <c r="M1209" i="2" s="1"/>
  <c r="M1159" i="2"/>
  <c r="M1191" i="2" s="1"/>
  <c r="M1207" i="2" s="1"/>
  <c r="M1158" i="2"/>
  <c r="M1190" i="2" s="1"/>
  <c r="M1206" i="2" s="1"/>
  <c r="M1156" i="2"/>
  <c r="M1157" i="2" s="1"/>
  <c r="M1155" i="2"/>
  <c r="M1154" i="2"/>
  <c r="M1152" i="2"/>
  <c r="M1153" i="2" s="1"/>
  <c r="M1151" i="2"/>
  <c r="M1150" i="2"/>
  <c r="M1139" i="2"/>
  <c r="M1140" i="2" s="1"/>
  <c r="M1084" i="2" s="1"/>
  <c r="M1138" i="2"/>
  <c r="M1082" i="2" s="1"/>
  <c r="M1137" i="2"/>
  <c r="M1081" i="2" s="1"/>
  <c r="M1122" i="2"/>
  <c r="M1123" i="2" s="1"/>
  <c r="M1124" i="2" s="1"/>
  <c r="M1118" i="2"/>
  <c r="M1119" i="2" s="1"/>
  <c r="M1120" i="2" s="1"/>
  <c r="M1115" i="2"/>
  <c r="M1116" i="2" s="1"/>
  <c r="M1114" i="2"/>
  <c r="M1113" i="2"/>
  <c r="M1111" i="2"/>
  <c r="M1112" i="2" s="1"/>
  <c r="M1110" i="2"/>
  <c r="M1109" i="2"/>
  <c r="M1107" i="2"/>
  <c r="M1108" i="2" s="1"/>
  <c r="M1132" i="2" s="1"/>
  <c r="M1106" i="2"/>
  <c r="M1130" i="2" s="1"/>
  <c r="M1105" i="2"/>
  <c r="M1129" i="2" s="1"/>
  <c r="M1103" i="2"/>
  <c r="M1104" i="2" s="1"/>
  <c r="M1102" i="2"/>
  <c r="M1101" i="2"/>
  <c r="M1099" i="2"/>
  <c r="M1100" i="2" s="1"/>
  <c r="M1136" i="2" s="1"/>
  <c r="M1098" i="2"/>
  <c r="M1134" i="2" s="1"/>
  <c r="M1097" i="2"/>
  <c r="M1133" i="2" s="1"/>
  <c r="M1095" i="2"/>
  <c r="M1096" i="2" s="1"/>
  <c r="M1128" i="2" s="1"/>
  <c r="M1144" i="2" s="1"/>
  <c r="M1094" i="2"/>
  <c r="M1126" i="2" s="1"/>
  <c r="M1142" i="2" s="1"/>
  <c r="M1093" i="2"/>
  <c r="M1125" i="2" s="1"/>
  <c r="M1141" i="2" s="1"/>
  <c r="M1091" i="2"/>
  <c r="M1092" i="2" s="1"/>
  <c r="M1090" i="2"/>
  <c r="M1089" i="2"/>
  <c r="M1087" i="2"/>
  <c r="M1088" i="2" s="1"/>
  <c r="M1086" i="2"/>
  <c r="M1085" i="2"/>
  <c r="M1074" i="2"/>
  <c r="M1018" i="2" s="1"/>
  <c r="M1073" i="2"/>
  <c r="M1017" i="2" s="1"/>
  <c r="M1072" i="2"/>
  <c r="M1016" i="2" s="1"/>
  <c r="M1057" i="2"/>
  <c r="M1058" i="2" s="1"/>
  <c r="M1059" i="2" s="1"/>
  <c r="M1053" i="2"/>
  <c r="M1054" i="2" s="1"/>
  <c r="M1055" i="2" s="1"/>
  <c r="M1050" i="2"/>
  <c r="M1051" i="2" s="1"/>
  <c r="M1049" i="2"/>
  <c r="M1048" i="2"/>
  <c r="M1046" i="2"/>
  <c r="M1047" i="2" s="1"/>
  <c r="M1045" i="2"/>
  <c r="M1044" i="2"/>
  <c r="M1042" i="2"/>
  <c r="M1043" i="2" s="1"/>
  <c r="M1067" i="2" s="1"/>
  <c r="M1041" i="2"/>
  <c r="M1065" i="2" s="1"/>
  <c r="M1040" i="2"/>
  <c r="M1064" i="2" s="1"/>
  <c r="M1038" i="2"/>
  <c r="M1039" i="2" s="1"/>
  <c r="M1037" i="2"/>
  <c r="M1036" i="2"/>
  <c r="M1034" i="2"/>
  <c r="M1035" i="2" s="1"/>
  <c r="M1071" i="2" s="1"/>
  <c r="M1033" i="2"/>
  <c r="M1069" i="2" s="1"/>
  <c r="M1032" i="2"/>
  <c r="M1068" i="2" s="1"/>
  <c r="M1030" i="2"/>
  <c r="M1062" i="2" s="1"/>
  <c r="M1078" i="2" s="1"/>
  <c r="M1029" i="2"/>
  <c r="M1061" i="2" s="1"/>
  <c r="M1077" i="2" s="1"/>
  <c r="M1028" i="2"/>
  <c r="M1060" i="2" s="1"/>
  <c r="M1076" i="2" s="1"/>
  <c r="M1026" i="2"/>
  <c r="M1027" i="2" s="1"/>
  <c r="M1025" i="2"/>
  <c r="M1024" i="2"/>
  <c r="M1022" i="2"/>
  <c r="M1023" i="2" s="1"/>
  <c r="M1021" i="2"/>
  <c r="M1020" i="2"/>
  <c r="M1009" i="2"/>
  <c r="M1010" i="2" s="1"/>
  <c r="M954" i="2" s="1"/>
  <c r="M1008" i="2"/>
  <c r="M952" i="2" s="1"/>
  <c r="M1007" i="2"/>
  <c r="M951" i="2" s="1"/>
  <c r="M992" i="2"/>
  <c r="M993" i="2" s="1"/>
  <c r="M994" i="2" s="1"/>
  <c r="M988" i="2"/>
  <c r="M989" i="2" s="1"/>
  <c r="M990" i="2" s="1"/>
  <c r="M985" i="2"/>
  <c r="M986" i="2" s="1"/>
  <c r="M984" i="2"/>
  <c r="M983" i="2"/>
  <c r="M981" i="2"/>
  <c r="M982" i="2" s="1"/>
  <c r="M980" i="2"/>
  <c r="M979" i="2"/>
  <c r="M977" i="2"/>
  <c r="M978" i="2" s="1"/>
  <c r="M1002" i="2" s="1"/>
  <c r="M976" i="2"/>
  <c r="M1000" i="2" s="1"/>
  <c r="M975" i="2"/>
  <c r="M999" i="2" s="1"/>
  <c r="M973" i="2"/>
  <c r="M974" i="2" s="1"/>
  <c r="M972" i="2"/>
  <c r="M971" i="2"/>
  <c r="M969" i="2"/>
  <c r="M970" i="2" s="1"/>
  <c r="M1006" i="2" s="1"/>
  <c r="M968" i="2"/>
  <c r="M1004" i="2" s="1"/>
  <c r="M967" i="2"/>
  <c r="M1003" i="2" s="1"/>
  <c r="M965" i="2"/>
  <c r="M997" i="2" s="1"/>
  <c r="M1013" i="2" s="1"/>
  <c r="M964" i="2"/>
  <c r="M996" i="2" s="1"/>
  <c r="M1012" i="2" s="1"/>
  <c r="M963" i="2"/>
  <c r="M995" i="2" s="1"/>
  <c r="M1011" i="2" s="1"/>
  <c r="M961" i="2"/>
  <c r="M962" i="2" s="1"/>
  <c r="M960" i="2"/>
  <c r="M959" i="2"/>
  <c r="M957" i="2"/>
  <c r="M958" i="2" s="1"/>
  <c r="M956" i="2"/>
  <c r="M955" i="2"/>
  <c r="M747" i="2"/>
  <c r="M748" i="2" s="1"/>
  <c r="M692" i="2" s="1"/>
  <c r="M746" i="2"/>
  <c r="M690" i="2" s="1"/>
  <c r="M745" i="2"/>
  <c r="M689" i="2" s="1"/>
  <c r="M730" i="2"/>
  <c r="M731" i="2" s="1"/>
  <c r="M732" i="2" s="1"/>
  <c r="M726" i="2"/>
  <c r="M727" i="2" s="1"/>
  <c r="M728" i="2" s="1"/>
  <c r="M723" i="2"/>
  <c r="M724" i="2" s="1"/>
  <c r="M722" i="2"/>
  <c r="M721" i="2"/>
  <c r="M719" i="2"/>
  <c r="M720" i="2" s="1"/>
  <c r="M718" i="2"/>
  <c r="M717" i="2"/>
  <c r="M715" i="2"/>
  <c r="M739" i="2" s="1"/>
  <c r="M714" i="2"/>
  <c r="M738" i="2" s="1"/>
  <c r="M713" i="2"/>
  <c r="M737" i="2" s="1"/>
  <c r="M711" i="2"/>
  <c r="M712" i="2" s="1"/>
  <c r="M710" i="2"/>
  <c r="M709" i="2"/>
  <c r="M707" i="2"/>
  <c r="M708" i="2" s="1"/>
  <c r="M744" i="2" s="1"/>
  <c r="M706" i="2"/>
  <c r="M742" i="2" s="1"/>
  <c r="M705" i="2"/>
  <c r="M741" i="2" s="1"/>
  <c r="M703" i="2"/>
  <c r="M735" i="2" s="1"/>
  <c r="M751" i="2" s="1"/>
  <c r="M702" i="2"/>
  <c r="M734" i="2" s="1"/>
  <c r="M750" i="2" s="1"/>
  <c r="M701" i="2"/>
  <c r="M733" i="2" s="1"/>
  <c r="M749" i="2" s="1"/>
  <c r="M699" i="2"/>
  <c r="M700" i="2" s="1"/>
  <c r="M698" i="2"/>
  <c r="M697" i="2"/>
  <c r="M695" i="2"/>
  <c r="M696" i="2" s="1"/>
  <c r="M694" i="2"/>
  <c r="M693" i="2"/>
  <c r="M682" i="2"/>
  <c r="M626" i="2" s="1"/>
  <c r="M681" i="2"/>
  <c r="M625" i="2" s="1"/>
  <c r="M680" i="2"/>
  <c r="M624" i="2" s="1"/>
  <c r="M658" i="2"/>
  <c r="M659" i="2" s="1"/>
  <c r="M657" i="2"/>
  <c r="M656" i="2"/>
  <c r="M654" i="2"/>
  <c r="M655" i="2" s="1"/>
  <c r="M653" i="2"/>
  <c r="M652" i="2"/>
  <c r="M650" i="2"/>
  <c r="M674" i="2" s="1"/>
  <c r="M649" i="2"/>
  <c r="M673" i="2" s="1"/>
  <c r="M648" i="2"/>
  <c r="M672" i="2" s="1"/>
  <c r="M646" i="2"/>
  <c r="M647" i="2" s="1"/>
  <c r="M645" i="2"/>
  <c r="M644" i="2"/>
  <c r="M642" i="2"/>
  <c r="M678" i="2" s="1"/>
  <c r="M641" i="2"/>
  <c r="M677" i="2" s="1"/>
  <c r="M640" i="2"/>
  <c r="M676" i="2" s="1"/>
  <c r="M638" i="2"/>
  <c r="M639" i="2" s="1"/>
  <c r="M671" i="2" s="1"/>
  <c r="M687" i="2" s="1"/>
  <c r="M637" i="2"/>
  <c r="M669" i="2" s="1"/>
  <c r="M685" i="2" s="1"/>
  <c r="M636" i="2"/>
  <c r="M668" i="2" s="1"/>
  <c r="M684" i="2" s="1"/>
  <c r="M634" i="2"/>
  <c r="M635" i="2" s="1"/>
  <c r="M633" i="2"/>
  <c r="M632" i="2"/>
  <c r="M630" i="2"/>
  <c r="M631" i="2" s="1"/>
  <c r="M629" i="2"/>
  <c r="M628" i="2"/>
  <c r="M665" i="2"/>
  <c r="M666" i="2" s="1"/>
  <c r="M667" i="2" s="1"/>
  <c r="M661" i="2"/>
  <c r="M662" i="2" s="1"/>
  <c r="M663" i="2" s="1"/>
  <c r="M617" i="2"/>
  <c r="M618" i="2" s="1"/>
  <c r="M562" i="2" s="1"/>
  <c r="M616" i="2"/>
  <c r="M560" i="2" s="1"/>
  <c r="M615" i="2"/>
  <c r="M559" i="2" s="1"/>
  <c r="M593" i="2"/>
  <c r="M594" i="2" s="1"/>
  <c r="M592" i="2"/>
  <c r="M591" i="2"/>
  <c r="M589" i="2"/>
  <c r="M590" i="2" s="1"/>
  <c r="M588" i="2"/>
  <c r="M587" i="2"/>
  <c r="M585" i="2"/>
  <c r="M609" i="2" s="1"/>
  <c r="M584" i="2"/>
  <c r="M608" i="2" s="1"/>
  <c r="M583" i="2"/>
  <c r="M581" i="2"/>
  <c r="M582" i="2" s="1"/>
  <c r="M580" i="2"/>
  <c r="M579" i="2"/>
  <c r="M577" i="2"/>
  <c r="M578" i="2" s="1"/>
  <c r="M614" i="2" s="1"/>
  <c r="M576" i="2"/>
  <c r="M612" i="2" s="1"/>
  <c r="M575" i="2"/>
  <c r="M611" i="2" s="1"/>
  <c r="M573" i="2"/>
  <c r="M605" i="2" s="1"/>
  <c r="M621" i="2" s="1"/>
  <c r="M572" i="2"/>
  <c r="M604" i="2" s="1"/>
  <c r="M620" i="2" s="1"/>
  <c r="M571" i="2"/>
  <c r="M603" i="2" s="1"/>
  <c r="M619" i="2" s="1"/>
  <c r="M569" i="2"/>
  <c r="M570" i="2" s="1"/>
  <c r="M568" i="2"/>
  <c r="M567" i="2"/>
  <c r="M565" i="2"/>
  <c r="M566" i="2" s="1"/>
  <c r="M564" i="2"/>
  <c r="M563" i="2"/>
  <c r="M600" i="2"/>
  <c r="M601" i="2" s="1"/>
  <c r="M602" i="2" s="1"/>
  <c r="M596" i="2"/>
  <c r="M597" i="2" s="1"/>
  <c r="M598" i="2" s="1"/>
  <c r="M607" i="2"/>
  <c r="M552" i="2"/>
  <c r="M553" i="2" s="1"/>
  <c r="M497" i="2" s="1"/>
  <c r="M551" i="2"/>
  <c r="M495" i="2" s="1"/>
  <c r="M550" i="2"/>
  <c r="M494" i="2" s="1"/>
  <c r="M528" i="2"/>
  <c r="M529" i="2" s="1"/>
  <c r="M527" i="2"/>
  <c r="M526" i="2"/>
  <c r="M524" i="2"/>
  <c r="M525" i="2" s="1"/>
  <c r="M523" i="2"/>
  <c r="M522" i="2"/>
  <c r="M520" i="2"/>
  <c r="M544" i="2" s="1"/>
  <c r="M519" i="2"/>
  <c r="M543" i="2" s="1"/>
  <c r="M518" i="2"/>
  <c r="M542" i="2" s="1"/>
  <c r="M516" i="2"/>
  <c r="M517" i="2" s="1"/>
  <c r="M515" i="2"/>
  <c r="M514" i="2"/>
  <c r="M512" i="2"/>
  <c r="M548" i="2" s="1"/>
  <c r="M511" i="2"/>
  <c r="M547" i="2" s="1"/>
  <c r="M510" i="2"/>
  <c r="M546" i="2" s="1"/>
  <c r="M508" i="2"/>
  <c r="M540" i="2" s="1"/>
  <c r="M556" i="2" s="1"/>
  <c r="M507" i="2"/>
  <c r="M539" i="2" s="1"/>
  <c r="M555" i="2" s="1"/>
  <c r="M506" i="2"/>
  <c r="M538" i="2" s="1"/>
  <c r="M554" i="2" s="1"/>
  <c r="M504" i="2"/>
  <c r="M505" i="2" s="1"/>
  <c r="M503" i="2"/>
  <c r="M502" i="2"/>
  <c r="M500" i="2"/>
  <c r="M501" i="2" s="1"/>
  <c r="M499" i="2"/>
  <c r="M498" i="2"/>
  <c r="M535" i="2"/>
  <c r="M536" i="2" s="1"/>
  <c r="M537" i="2" s="1"/>
  <c r="M531" i="2"/>
  <c r="M532" i="2" s="1"/>
  <c r="M533" i="2" s="1"/>
  <c r="M944" i="2"/>
  <c r="M945" i="2" s="1"/>
  <c r="M889" i="2" s="1"/>
  <c r="M943" i="2"/>
  <c r="M887" i="2" s="1"/>
  <c r="M942" i="2"/>
  <c r="M886" i="2" s="1"/>
  <c r="M920" i="2"/>
  <c r="M921" i="2" s="1"/>
  <c r="M919" i="2"/>
  <c r="M918" i="2"/>
  <c r="M916" i="2"/>
  <c r="M917" i="2" s="1"/>
  <c r="M915" i="2"/>
  <c r="M914" i="2"/>
  <c r="M912" i="2"/>
  <c r="M913" i="2" s="1"/>
  <c r="M937" i="2" s="1"/>
  <c r="M911" i="2"/>
  <c r="M935" i="2" s="1"/>
  <c r="M910" i="2"/>
  <c r="M934" i="2" s="1"/>
  <c r="M908" i="2"/>
  <c r="M909" i="2" s="1"/>
  <c r="M907" i="2"/>
  <c r="M906" i="2"/>
  <c r="M904" i="2"/>
  <c r="M905" i="2" s="1"/>
  <c r="M941" i="2" s="1"/>
  <c r="M903" i="2"/>
  <c r="M939" i="2" s="1"/>
  <c r="M902" i="2"/>
  <c r="M938" i="2" s="1"/>
  <c r="M900" i="2"/>
  <c r="M932" i="2" s="1"/>
  <c r="M948" i="2" s="1"/>
  <c r="M899" i="2"/>
  <c r="M931" i="2" s="1"/>
  <c r="M947" i="2" s="1"/>
  <c r="M898" i="2"/>
  <c r="M930" i="2" s="1"/>
  <c r="M946" i="2" s="1"/>
  <c r="M896" i="2"/>
  <c r="M897" i="2" s="1"/>
  <c r="M895" i="2"/>
  <c r="M894" i="2"/>
  <c r="M892" i="2"/>
  <c r="M893" i="2" s="1"/>
  <c r="M891" i="2"/>
  <c r="M890" i="2"/>
  <c r="M927" i="2"/>
  <c r="M928" i="2" s="1"/>
  <c r="M929" i="2" s="1"/>
  <c r="M923" i="2"/>
  <c r="M924" i="2" s="1"/>
  <c r="M925" i="2" s="1"/>
  <c r="M487" i="2"/>
  <c r="M431" i="2" s="1"/>
  <c r="M486" i="2"/>
  <c r="M430" i="2" s="1"/>
  <c r="M485" i="2"/>
  <c r="M429" i="2" s="1"/>
  <c r="M463" i="2"/>
  <c r="M464" i="2" s="1"/>
  <c r="M462" i="2"/>
  <c r="M461" i="2"/>
  <c r="M459" i="2"/>
  <c r="M460" i="2" s="1"/>
  <c r="M458" i="2"/>
  <c r="M457" i="2"/>
  <c r="M455" i="2"/>
  <c r="M479" i="2" s="1"/>
  <c r="M454" i="2"/>
  <c r="M478" i="2" s="1"/>
  <c r="M453" i="2"/>
  <c r="M477" i="2" s="1"/>
  <c r="M451" i="2"/>
  <c r="M452" i="2" s="1"/>
  <c r="M450" i="2"/>
  <c r="M449" i="2"/>
  <c r="M447" i="2"/>
  <c r="M448" i="2" s="1"/>
  <c r="M484" i="2" s="1"/>
  <c r="M446" i="2"/>
  <c r="M482" i="2" s="1"/>
  <c r="M445" i="2"/>
  <c r="M481" i="2" s="1"/>
  <c r="M443" i="2"/>
  <c r="M444" i="2" s="1"/>
  <c r="M476" i="2" s="1"/>
  <c r="M492" i="2" s="1"/>
  <c r="M442" i="2"/>
  <c r="M474" i="2" s="1"/>
  <c r="M490" i="2" s="1"/>
  <c r="M441" i="2"/>
  <c r="M473" i="2" s="1"/>
  <c r="M489" i="2" s="1"/>
  <c r="M439" i="2"/>
  <c r="M440" i="2" s="1"/>
  <c r="M438" i="2"/>
  <c r="M437" i="2"/>
  <c r="M435" i="2"/>
  <c r="M436" i="2" s="1"/>
  <c r="M434" i="2"/>
  <c r="M433" i="2"/>
  <c r="M470" i="2"/>
  <c r="M471" i="2" s="1"/>
  <c r="M472" i="2" s="1"/>
  <c r="M466" i="2"/>
  <c r="M467" i="2" s="1"/>
  <c r="M468" i="2" s="1"/>
  <c r="M422" i="2"/>
  <c r="M423" i="2" s="1"/>
  <c r="M367" i="2" s="1"/>
  <c r="M421" i="2"/>
  <c r="M365" i="2" s="1"/>
  <c r="M420" i="2"/>
  <c r="M364" i="2" s="1"/>
  <c r="M398" i="2"/>
  <c r="M399" i="2" s="1"/>
  <c r="M397" i="2"/>
  <c r="M396" i="2"/>
  <c r="M394" i="2"/>
  <c r="M395" i="2" s="1"/>
  <c r="M393" i="2"/>
  <c r="M392" i="2"/>
  <c r="M390" i="2"/>
  <c r="M391" i="2" s="1"/>
  <c r="M415" i="2" s="1"/>
  <c r="M389" i="2"/>
  <c r="M413" i="2" s="1"/>
  <c r="M388" i="2"/>
  <c r="M412" i="2" s="1"/>
  <c r="M386" i="2"/>
  <c r="M387" i="2" s="1"/>
  <c r="M385" i="2"/>
  <c r="M384" i="2"/>
  <c r="M382" i="2"/>
  <c r="M418" i="2" s="1"/>
  <c r="M381" i="2"/>
  <c r="M417" i="2" s="1"/>
  <c r="M380" i="2"/>
  <c r="M416" i="2" s="1"/>
  <c r="M378" i="2"/>
  <c r="M410" i="2" s="1"/>
  <c r="M426" i="2" s="1"/>
  <c r="M377" i="2"/>
  <c r="M409" i="2" s="1"/>
  <c r="M425" i="2" s="1"/>
  <c r="M376" i="2"/>
  <c r="M408" i="2" s="1"/>
  <c r="M424" i="2" s="1"/>
  <c r="M374" i="2"/>
  <c r="M375" i="2" s="1"/>
  <c r="M373" i="2"/>
  <c r="M372" i="2"/>
  <c r="M370" i="2"/>
  <c r="M371" i="2" s="1"/>
  <c r="M369" i="2"/>
  <c r="M368" i="2"/>
  <c r="M405" i="2"/>
  <c r="M406" i="2" s="1"/>
  <c r="M407" i="2" s="1"/>
  <c r="M401" i="2"/>
  <c r="M402" i="2" s="1"/>
  <c r="M403" i="2" s="1"/>
  <c r="M827" i="2"/>
  <c r="M828" i="2" s="1"/>
  <c r="M826" i="2"/>
  <c r="M825" i="2"/>
  <c r="M831" i="2"/>
  <c r="M832" i="2" s="1"/>
  <c r="M830" i="2"/>
  <c r="M829" i="2"/>
  <c r="M835" i="2"/>
  <c r="M867" i="2" s="1"/>
  <c r="M883" i="2" s="1"/>
  <c r="M834" i="2"/>
  <c r="M866" i="2" s="1"/>
  <c r="M882" i="2" s="1"/>
  <c r="M833" i="2"/>
  <c r="M865" i="2" s="1"/>
  <c r="M881" i="2" s="1"/>
  <c r="M839" i="2"/>
  <c r="M840" i="2" s="1"/>
  <c r="M876" i="2" s="1"/>
  <c r="M838" i="2"/>
  <c r="M874" i="2" s="1"/>
  <c r="M837" i="2"/>
  <c r="M873" i="2" s="1"/>
  <c r="M843" i="2"/>
  <c r="M844" i="2" s="1"/>
  <c r="M842" i="2"/>
  <c r="M841" i="2"/>
  <c r="M847" i="2"/>
  <c r="M848" i="2" s="1"/>
  <c r="M872" i="2" s="1"/>
  <c r="M846" i="2"/>
  <c r="M870" i="2" s="1"/>
  <c r="M845" i="2"/>
  <c r="M869" i="2" s="1"/>
  <c r="M851" i="2"/>
  <c r="M852" i="2" s="1"/>
  <c r="M850" i="2"/>
  <c r="M849" i="2"/>
  <c r="M853" i="2"/>
  <c r="M855" i="2"/>
  <c r="M856" i="2" s="1"/>
  <c r="M854" i="2"/>
  <c r="M862" i="2"/>
  <c r="M863" i="2" s="1"/>
  <c r="M864" i="2" s="1"/>
  <c r="M858" i="2"/>
  <c r="M859" i="2" s="1"/>
  <c r="M860" i="2" s="1"/>
  <c r="M879" i="2"/>
  <c r="M823" i="2" s="1"/>
  <c r="M878" i="2"/>
  <c r="M822" i="2" s="1"/>
  <c r="M877" i="2"/>
  <c r="M821" i="2" s="1"/>
  <c r="E15" i="5"/>
  <c r="D15" i="5"/>
  <c r="C15" i="5"/>
  <c r="B15" i="5"/>
  <c r="M414" i="2" l="1"/>
  <c r="M488" i="2"/>
  <c r="M432" i="2" s="1"/>
  <c r="M521" i="2"/>
  <c r="M545" i="2" s="1"/>
  <c r="M1330" i="2"/>
  <c r="D147" i="12"/>
  <c r="E147" i="12"/>
  <c r="D87" i="12"/>
  <c r="C87" i="12"/>
  <c r="J31" i="12"/>
  <c r="AV12" i="12"/>
  <c r="AU17" i="12"/>
  <c r="H22" i="12"/>
  <c r="X14" i="12"/>
  <c r="L18" i="12"/>
  <c r="L22" i="12" s="1"/>
  <c r="K17" i="12"/>
  <c r="J17" i="12" s="1"/>
  <c r="I17" i="12" s="1"/>
  <c r="Q11" i="12"/>
  <c r="P11" i="12" s="1"/>
  <c r="Z14" i="12"/>
  <c r="J29" i="12"/>
  <c r="N10" i="12" s="1"/>
  <c r="BA12" i="12"/>
  <c r="AX22" i="12"/>
  <c r="F12" i="12"/>
  <c r="L16" i="12"/>
  <c r="M16" i="12" s="1"/>
  <c r="I30" i="12"/>
  <c r="R10" i="12" s="1"/>
  <c r="AV11" i="12"/>
  <c r="BG12" i="12"/>
  <c r="W13" i="12"/>
  <c r="AC14" i="12"/>
  <c r="BM14" i="12" s="1"/>
  <c r="AP16" i="12"/>
  <c r="BA17" i="12"/>
  <c r="Z18" i="12"/>
  <c r="AX21" i="12"/>
  <c r="J30" i="12"/>
  <c r="T10" i="12" s="1"/>
  <c r="I35" i="12"/>
  <c r="AV10" i="12" s="1"/>
  <c r="AL10" i="12"/>
  <c r="H12" i="12"/>
  <c r="BH12" i="12"/>
  <c r="X13" i="12"/>
  <c r="Y13" i="12" s="1"/>
  <c r="Z13" i="12" s="1"/>
  <c r="AD14" i="12"/>
  <c r="AO15" i="12"/>
  <c r="AN15" i="12" s="1"/>
  <c r="AM15" i="12" s="1"/>
  <c r="N16" i="12"/>
  <c r="P17" i="12"/>
  <c r="O17" i="12" s="1"/>
  <c r="BB17" i="12"/>
  <c r="AL19" i="12"/>
  <c r="J35" i="12"/>
  <c r="AX10" i="12" s="1"/>
  <c r="F123" i="12"/>
  <c r="E123" i="12"/>
  <c r="D123" i="12"/>
  <c r="H33" i="12"/>
  <c r="AI10" i="12" s="1"/>
  <c r="AH10" i="12" s="1"/>
  <c r="AG10" i="12" s="1"/>
  <c r="H36" i="12"/>
  <c r="BA10" i="12" s="1"/>
  <c r="H32" i="12"/>
  <c r="AC10" i="12" s="1"/>
  <c r="BH20" i="12"/>
  <c r="Z21" i="12"/>
  <c r="F21" i="12"/>
  <c r="K20" i="12"/>
  <c r="J20" i="12" s="1"/>
  <c r="I20" i="12" s="1"/>
  <c r="BD19" i="12"/>
  <c r="AJ19" i="12"/>
  <c r="AK19" i="12" s="1"/>
  <c r="P19" i="12"/>
  <c r="O19" i="12" s="1"/>
  <c r="AO18" i="12"/>
  <c r="AN18" i="12" s="1"/>
  <c r="AT17" i="12"/>
  <c r="AS17" i="12" s="1"/>
  <c r="Z17" i="12"/>
  <c r="F17" i="12"/>
  <c r="K16" i="12"/>
  <c r="J16" i="12" s="1"/>
  <c r="I16" i="12" s="1"/>
  <c r="BD15" i="12"/>
  <c r="AJ15" i="12"/>
  <c r="AO14" i="12"/>
  <c r="AN14" i="12" s="1"/>
  <c r="AM14" i="12" s="1"/>
  <c r="AO13" i="12"/>
  <c r="E21" i="12"/>
  <c r="D21" i="12" s="1"/>
  <c r="C21" i="12" s="1"/>
  <c r="AX20" i="12"/>
  <c r="AD20" i="12"/>
  <c r="AI19" i="12"/>
  <c r="AH19" i="12" s="1"/>
  <c r="AG19" i="12" s="1"/>
  <c r="BH18" i="12"/>
  <c r="BH22" i="12" s="1"/>
  <c r="T18" i="12"/>
  <c r="T22" i="12" s="1"/>
  <c r="E17" i="12"/>
  <c r="D17" i="12" s="1"/>
  <c r="C17" i="12" s="1"/>
  <c r="AX16" i="12"/>
  <c r="AD16" i="12"/>
  <c r="AI15" i="12"/>
  <c r="BH14" i="12"/>
  <c r="BI14" i="12" s="1"/>
  <c r="T14" i="12"/>
  <c r="BH13" i="12"/>
  <c r="AR21" i="12"/>
  <c r="X21" i="12"/>
  <c r="AC20" i="12"/>
  <c r="BB19" i="12"/>
  <c r="N19" i="12"/>
  <c r="BG18" i="12"/>
  <c r="BG22" i="12" s="1"/>
  <c r="AR17" i="12"/>
  <c r="X17" i="12"/>
  <c r="Y17" i="12" s="1"/>
  <c r="AC16" i="12"/>
  <c r="BB15" i="12"/>
  <c r="BC15" i="12" s="1"/>
  <c r="AH15" i="12"/>
  <c r="AG15" i="12" s="1"/>
  <c r="N15" i="12"/>
  <c r="BG14" i="12"/>
  <c r="BF14" i="12" s="1"/>
  <c r="BE14" i="12" s="1"/>
  <c r="BG13" i="12"/>
  <c r="BG21" i="12" s="1"/>
  <c r="W21" i="12"/>
  <c r="V21" i="12" s="1"/>
  <c r="U21" i="12" s="1"/>
  <c r="AV20" i="12"/>
  <c r="H20" i="12"/>
  <c r="BA19" i="12"/>
  <c r="AL18" i="12"/>
  <c r="AL22" i="12" s="1"/>
  <c r="R18" i="12"/>
  <c r="W17" i="12"/>
  <c r="AV16" i="12"/>
  <c r="H16" i="12"/>
  <c r="BA15" i="12"/>
  <c r="AL14" i="12"/>
  <c r="R14" i="12"/>
  <c r="AL13" i="12"/>
  <c r="R13" i="12"/>
  <c r="AL12" i="12"/>
  <c r="R12" i="12"/>
  <c r="W11" i="12"/>
  <c r="AB10" i="12"/>
  <c r="H10" i="12"/>
  <c r="AP21" i="12"/>
  <c r="AU20" i="12"/>
  <c r="AF19" i="12"/>
  <c r="BP19" i="12" s="1"/>
  <c r="BO19" i="12" s="1"/>
  <c r="L19" i="12"/>
  <c r="Q18" i="12"/>
  <c r="Q22" i="12" s="1"/>
  <c r="AP17" i="12"/>
  <c r="L15" i="12"/>
  <c r="BJ11" i="12"/>
  <c r="V11" i="12"/>
  <c r="V12" i="12" s="1"/>
  <c r="V13" i="12" s="1"/>
  <c r="BJ17" i="12"/>
  <c r="V17" i="12"/>
  <c r="U17" i="12" s="1"/>
  <c r="AU16" i="12"/>
  <c r="AT16" i="12" s="1"/>
  <c r="AS16" i="12" s="1"/>
  <c r="AF15" i="12"/>
  <c r="Q14" i="12"/>
  <c r="P14" i="12" s="1"/>
  <c r="O14" i="12" s="1"/>
  <c r="Q13" i="12"/>
  <c r="Q12" i="12"/>
  <c r="AP11" i="12"/>
  <c r="AO21" i="12"/>
  <c r="AT20" i="12"/>
  <c r="AS20" i="12" s="1"/>
  <c r="Z20" i="12"/>
  <c r="F20" i="12"/>
  <c r="G20" i="12" s="1"/>
  <c r="K19" i="12"/>
  <c r="J19" i="12" s="1"/>
  <c r="I19" i="12" s="1"/>
  <c r="BD18" i="12"/>
  <c r="AJ18" i="12"/>
  <c r="AK18" i="12" s="1"/>
  <c r="P18" i="12"/>
  <c r="AO17" i="12"/>
  <c r="Z16" i="12"/>
  <c r="F16" i="12"/>
  <c r="K15" i="12"/>
  <c r="BD14" i="12"/>
  <c r="AJ14" i="12"/>
  <c r="AK14" i="12" s="1"/>
  <c r="AJ13" i="12"/>
  <c r="AK13" i="12" s="1"/>
  <c r="BD12" i="12"/>
  <c r="AJ12" i="12"/>
  <c r="AO11" i="12"/>
  <c r="AN11" i="12" s="1"/>
  <c r="U11" i="12"/>
  <c r="U12" i="12" s="1"/>
  <c r="U13" i="12" s="1"/>
  <c r="Z10" i="12"/>
  <c r="AN21" i="12"/>
  <c r="AM21" i="12" s="1"/>
  <c r="T21" i="12"/>
  <c r="E20" i="12"/>
  <c r="D20" i="12" s="1"/>
  <c r="C20" i="12" s="1"/>
  <c r="AX19" i="12"/>
  <c r="AD19" i="12"/>
  <c r="AI18" i="12"/>
  <c r="AI22" i="12" s="1"/>
  <c r="BH17" i="12"/>
  <c r="AN17" i="12"/>
  <c r="AM17" i="12" s="1"/>
  <c r="T17" i="12"/>
  <c r="E16" i="12"/>
  <c r="D16" i="12" s="1"/>
  <c r="C16" i="12" s="1"/>
  <c r="AX15" i="12"/>
  <c r="AD15" i="12"/>
  <c r="J15" i="12"/>
  <c r="I15" i="12" s="1"/>
  <c r="AI14" i="12"/>
  <c r="AH14" i="12" s="1"/>
  <c r="AG14" i="12" s="1"/>
  <c r="AI13" i="12"/>
  <c r="AR20" i="12"/>
  <c r="X20" i="12"/>
  <c r="AC19" i="12"/>
  <c r="BB18" i="12"/>
  <c r="N18" i="12"/>
  <c r="BG17" i="12"/>
  <c r="BF17" i="12" s="1"/>
  <c r="BE17" i="12" s="1"/>
  <c r="AR16" i="12"/>
  <c r="X16" i="12"/>
  <c r="AC15" i="12"/>
  <c r="BM15" i="12" s="1"/>
  <c r="BB14" i="12"/>
  <c r="N14" i="12"/>
  <c r="BB13" i="12"/>
  <c r="N13" i="12"/>
  <c r="BB12" i="12"/>
  <c r="N12" i="12"/>
  <c r="BG11" i="12"/>
  <c r="BF11" i="12" s="1"/>
  <c r="X10" i="12"/>
  <c r="AL21" i="12"/>
  <c r="R21" i="12"/>
  <c r="W20" i="12"/>
  <c r="V20" i="12" s="1"/>
  <c r="U20" i="12" s="1"/>
  <c r="AV19" i="12"/>
  <c r="H19" i="12"/>
  <c r="BA18" i="12"/>
  <c r="BA22" i="12" s="1"/>
  <c r="AL17" i="12"/>
  <c r="AK17" i="12" s="1"/>
  <c r="R17" i="12"/>
  <c r="W16" i="12"/>
  <c r="V16" i="12" s="1"/>
  <c r="U16" i="12" s="1"/>
  <c r="AV15" i="12"/>
  <c r="AB15" i="12"/>
  <c r="H15" i="12"/>
  <c r="BA14" i="12"/>
  <c r="BA13" i="12"/>
  <c r="V14" i="12"/>
  <c r="U14" i="12" s="1"/>
  <c r="AV18" i="12"/>
  <c r="AV22" i="12" s="1"/>
  <c r="AJ16" i="12"/>
  <c r="AI21" i="12"/>
  <c r="AX18" i="12"/>
  <c r="AL16" i="12"/>
  <c r="BJ19" i="12"/>
  <c r="H21" i="12"/>
  <c r="T13" i="12"/>
  <c r="L17" i="12"/>
  <c r="BJ18" i="12"/>
  <c r="H30" i="12"/>
  <c r="Q10" i="12" s="1"/>
  <c r="P10" i="12" s="1"/>
  <c r="O10" i="12" s="1"/>
  <c r="T11" i="12"/>
  <c r="X11" i="12"/>
  <c r="Y11" i="12" s="1"/>
  <c r="Z11" i="12" s="1"/>
  <c r="AX11" i="12"/>
  <c r="BA16" i="12"/>
  <c r="N21" i="12"/>
  <c r="AI12" i="12"/>
  <c r="AF14" i="12"/>
  <c r="BB16" i="12"/>
  <c r="BO18" i="12"/>
  <c r="F111" i="12"/>
  <c r="E111" i="12"/>
  <c r="D111" i="12"/>
  <c r="C111" i="12"/>
  <c r="K12" i="12"/>
  <c r="AP14" i="12"/>
  <c r="F15" i="12"/>
  <c r="AR15" i="12"/>
  <c r="Q16" i="12"/>
  <c r="P16" i="12" s="1"/>
  <c r="O16" i="12" s="1"/>
  <c r="AD18" i="12"/>
  <c r="AO19" i="12"/>
  <c r="AN19" i="12" s="1"/>
  <c r="AM19" i="12" s="1"/>
  <c r="N20" i="12"/>
  <c r="P21" i="12"/>
  <c r="O21" i="12" s="1"/>
  <c r="BB21" i="12"/>
  <c r="E135" i="12"/>
  <c r="M14" i="12"/>
  <c r="AI16" i="12"/>
  <c r="AH16" i="12" s="1"/>
  <c r="AG16" i="12" s="1"/>
  <c r="AF20" i="12"/>
  <c r="BP20" i="12" s="1"/>
  <c r="BO20" i="12" s="1"/>
  <c r="AU13" i="12"/>
  <c r="AX17" i="12"/>
  <c r="Z19" i="12"/>
  <c r="AU11" i="12"/>
  <c r="AL20" i="12"/>
  <c r="L20" i="12"/>
  <c r="E15" i="12"/>
  <c r="D15" i="12" s="1"/>
  <c r="C15" i="12" s="1"/>
  <c r="BD17" i="12"/>
  <c r="AP20" i="12"/>
  <c r="AQ20" i="12" s="1"/>
  <c r="D135" i="12"/>
  <c r="AP10" i="12"/>
  <c r="E11" i="12"/>
  <c r="D11" i="12" s="1"/>
  <c r="BA11" i="12"/>
  <c r="L12" i="12"/>
  <c r="E14" i="12"/>
  <c r="D14" i="12" s="1"/>
  <c r="C14" i="12" s="1"/>
  <c r="R16" i="12"/>
  <c r="S16" i="12" s="1"/>
  <c r="BD16" i="12"/>
  <c r="AC17" i="12"/>
  <c r="BM17" i="12" s="1"/>
  <c r="AP19" i="12"/>
  <c r="BA20" i="12"/>
  <c r="Q21" i="12"/>
  <c r="BN22" i="12"/>
  <c r="H37" i="12"/>
  <c r="L13" i="12"/>
  <c r="H17" i="12"/>
  <c r="W14" i="12"/>
  <c r="K18" i="12"/>
  <c r="K22" i="12" s="1"/>
  <c r="AH20" i="12"/>
  <c r="AG20" i="12" s="1"/>
  <c r="AU21" i="12"/>
  <c r="AT21" i="12" s="1"/>
  <c r="AS21" i="12" s="1"/>
  <c r="E12" i="12"/>
  <c r="AD12" i="12"/>
  <c r="BJ13" i="12"/>
  <c r="BJ21" i="12" s="1"/>
  <c r="AP15" i="12"/>
  <c r="AO20" i="12"/>
  <c r="AN20" i="12" s="1"/>
  <c r="AM20" i="12" s="1"/>
  <c r="BJ12" i="12"/>
  <c r="AC18" i="12"/>
  <c r="BA21" i="12"/>
  <c r="F11" i="12"/>
  <c r="AD11" i="12"/>
  <c r="BB11" i="12"/>
  <c r="AO12" i="12"/>
  <c r="E13" i="12"/>
  <c r="F14" i="12"/>
  <c r="G14" i="12" s="1"/>
  <c r="AR14" i="12"/>
  <c r="Q15" i="12"/>
  <c r="P15" i="12" s="1"/>
  <c r="O15" i="12" s="1"/>
  <c r="AD17" i="12"/>
  <c r="AF18" i="12"/>
  <c r="BP18" i="12" s="1"/>
  <c r="E19" i="12"/>
  <c r="D19" i="12" s="1"/>
  <c r="C19" i="12" s="1"/>
  <c r="BB20" i="12"/>
  <c r="BD21" i="12"/>
  <c r="AC22" i="12"/>
  <c r="I37" i="12"/>
  <c r="AR13" i="12"/>
  <c r="AQ13" i="12" s="1"/>
  <c r="J36" i="12"/>
  <c r="BD10" i="12" s="1"/>
  <c r="J32" i="12"/>
  <c r="AF10" i="12" s="1"/>
  <c r="BH19" i="12"/>
  <c r="BI19" i="12" s="1"/>
  <c r="AV17" i="12"/>
  <c r="AR11" i="12"/>
  <c r="AI20" i="12"/>
  <c r="R11" i="12"/>
  <c r="X18" i="12"/>
  <c r="X22" i="12" s="1"/>
  <c r="BH10" i="12"/>
  <c r="AB14" i="12"/>
  <c r="AP12" i="12"/>
  <c r="AQ12" i="12" s="1"/>
  <c r="F13" i="12"/>
  <c r="G13" i="12" s="1"/>
  <c r="AD13" i="12"/>
  <c r="R15" i="12"/>
  <c r="S15" i="12" s="1"/>
  <c r="AU15" i="12"/>
  <c r="AT15" i="12" s="1"/>
  <c r="AS15" i="12" s="1"/>
  <c r="T16" i="12"/>
  <c r="AP18" i="12"/>
  <c r="F19" i="12"/>
  <c r="G19" i="12" s="1"/>
  <c r="AR19" i="12"/>
  <c r="Q20" i="12"/>
  <c r="P20" i="12" s="1"/>
  <c r="O20" i="12" s="1"/>
  <c r="AD22" i="12"/>
  <c r="J37" i="12"/>
  <c r="C99" i="12"/>
  <c r="X12" i="12"/>
  <c r="Y12" i="12" s="1"/>
  <c r="Z12" i="12" s="1"/>
  <c r="BJ15" i="12"/>
  <c r="BI15" i="12" s="1"/>
  <c r="AH21" i="12"/>
  <c r="AG21" i="12" s="1"/>
  <c r="AL11" i="12"/>
  <c r="AK11" i="12" s="1"/>
  <c r="F171" i="12"/>
  <c r="E171" i="12"/>
  <c r="D171" i="12"/>
  <c r="AX12" i="12"/>
  <c r="AJ21" i="12"/>
  <c r="X19" i="12"/>
  <c r="AA14" i="12"/>
  <c r="AO16" i="12"/>
  <c r="AN16" i="12" s="1"/>
  <c r="AM16" i="12" s="1"/>
  <c r="K21" i="12"/>
  <c r="J21" i="12" s="1"/>
  <c r="I21" i="12" s="1"/>
  <c r="H11" i="12"/>
  <c r="BD11" i="12"/>
  <c r="H14" i="12"/>
  <c r="BG16" i="12"/>
  <c r="BF16" i="12" s="1"/>
  <c r="BE16" i="12" s="1"/>
  <c r="AF17" i="12"/>
  <c r="BP17" i="12" s="1"/>
  <c r="BO17" i="12" s="1"/>
  <c r="E18" i="12"/>
  <c r="R20" i="12"/>
  <c r="BD20" i="12"/>
  <c r="AC21" i="12"/>
  <c r="BM21" i="12" s="1"/>
  <c r="BO21" i="12"/>
  <c r="D99" i="12"/>
  <c r="I29" i="12"/>
  <c r="L10" i="12" s="1"/>
  <c r="I36" i="12"/>
  <c r="I32" i="12"/>
  <c r="AD10" i="12" s="1"/>
  <c r="BB10" i="12"/>
  <c r="H34" i="12"/>
  <c r="AO10" i="12" s="1"/>
  <c r="AN10" i="12" s="1"/>
  <c r="AM10" i="12" s="1"/>
  <c r="N11" i="12"/>
  <c r="M11" i="12" s="1"/>
  <c r="Z15" i="12"/>
  <c r="J34" i="12"/>
  <c r="AR10" i="12" s="1"/>
  <c r="AJ20" i="12"/>
  <c r="AT11" i="12"/>
  <c r="AT12" i="12" s="1"/>
  <c r="AT13" i="12" s="1"/>
  <c r="AL15" i="12"/>
  <c r="AJ10" i="12"/>
  <c r="N17" i="12"/>
  <c r="L21" i="12"/>
  <c r="T12" i="12"/>
  <c r="AR12" i="12"/>
  <c r="H13" i="12"/>
  <c r="AU14" i="12"/>
  <c r="AT14" i="12" s="1"/>
  <c r="AS14" i="12" s="1"/>
  <c r="T15" i="12"/>
  <c r="BH16" i="12"/>
  <c r="BI16" i="12" s="1"/>
  <c r="AG17" i="12"/>
  <c r="F18" i="12"/>
  <c r="AR18" i="12"/>
  <c r="Q19" i="12"/>
  <c r="AT19" i="12"/>
  <c r="AT22" i="12" s="1"/>
  <c r="AD21" i="12"/>
  <c r="AE21" i="12" s="1"/>
  <c r="AF22" i="12"/>
  <c r="H28" i="12"/>
  <c r="E10" i="12" s="1"/>
  <c r="D10" i="12" s="1"/>
  <c r="C10" i="12" s="1"/>
  <c r="J75" i="12"/>
  <c r="BD13" i="12" s="1"/>
  <c r="F49" i="12"/>
  <c r="E49" i="12"/>
  <c r="D49" i="12"/>
  <c r="E99" i="12"/>
  <c r="X15" i="12"/>
  <c r="BG19" i="12"/>
  <c r="BF19" i="12" s="1"/>
  <c r="BE19" i="12" s="1"/>
  <c r="BJ14" i="12"/>
  <c r="W19" i="12"/>
  <c r="V19" i="12" s="1"/>
  <c r="U19" i="12" s="1"/>
  <c r="H29" i="12"/>
  <c r="K10" i="12" s="1"/>
  <c r="J10" i="12" s="1"/>
  <c r="I10" i="12" s="1"/>
  <c r="F159" i="12"/>
  <c r="E159" i="12"/>
  <c r="D159" i="12"/>
  <c r="C159" i="12"/>
  <c r="AV13" i="12"/>
  <c r="W18" i="12"/>
  <c r="W22" i="12" s="1"/>
  <c r="AV21" i="12"/>
  <c r="AX13" i="12"/>
  <c r="H35" i="12"/>
  <c r="AU10" i="12" s="1"/>
  <c r="AT10" i="12" s="1"/>
  <c r="AS10" i="12" s="1"/>
  <c r="Q17" i="12"/>
  <c r="W10" i="12"/>
  <c r="V10" i="12" s="1"/>
  <c r="U10" i="12" s="1"/>
  <c r="J11" i="12"/>
  <c r="J12" i="12" s="1"/>
  <c r="J13" i="12" s="1"/>
  <c r="AH11" i="12"/>
  <c r="J14" i="12"/>
  <c r="I14" i="12" s="1"/>
  <c r="AV14" i="12"/>
  <c r="AW14" i="12" s="1"/>
  <c r="U15" i="12"/>
  <c r="BG15" i="12"/>
  <c r="BF15" i="12" s="1"/>
  <c r="BE15" i="12" s="1"/>
  <c r="AF16" i="12"/>
  <c r="AH17" i="12"/>
  <c r="AS18" i="12"/>
  <c r="R19" i="12"/>
  <c r="S19" i="12" s="1"/>
  <c r="AU19" i="12"/>
  <c r="AU22" i="12" s="1"/>
  <c r="T20" i="12"/>
  <c r="I28" i="12"/>
  <c r="F10" i="12" s="1"/>
  <c r="AB36" i="10"/>
  <c r="M483" i="2"/>
  <c r="M1278" i="2"/>
  <c r="M561" i="2"/>
  <c r="M1135" i="2"/>
  <c r="M1165" i="2"/>
  <c r="M1201" i="2" s="1"/>
  <c r="M1070" i="2"/>
  <c r="M1213" i="2"/>
  <c r="M1083" i="2"/>
  <c r="M1148" i="2"/>
  <c r="M683" i="2"/>
  <c r="M627" i="2" s="1"/>
  <c r="M1005" i="2"/>
  <c r="M1322" i="2"/>
  <c r="M1338" i="2" s="1"/>
  <c r="M1257" i="2"/>
  <c r="M1273" i="2" s="1"/>
  <c r="M1192" i="2"/>
  <c r="M1208" i="2" s="1"/>
  <c r="M1265" i="2"/>
  <c r="M1127" i="2"/>
  <c r="M1143" i="2" s="1"/>
  <c r="M1303" i="2"/>
  <c r="M1327" i="2" s="1"/>
  <c r="M1261" i="2"/>
  <c r="M1196" i="2"/>
  <c r="M1131" i="2"/>
  <c r="M1075" i="2"/>
  <c r="M1019" i="2" s="1"/>
  <c r="M880" i="2"/>
  <c r="M824" i="2" s="1"/>
  <c r="M871" i="2"/>
  <c r="M1031" i="2"/>
  <c r="M1063" i="2" s="1"/>
  <c r="M1079" i="2" s="1"/>
  <c r="M1066" i="2"/>
  <c r="M875" i="2"/>
  <c r="M966" i="2"/>
  <c r="M998" i="2" s="1"/>
  <c r="M1014" i="2" s="1"/>
  <c r="M691" i="2"/>
  <c r="M953" i="2"/>
  <c r="M704" i="2"/>
  <c r="M736" i="2" s="1"/>
  <c r="M752" i="2" s="1"/>
  <c r="M836" i="2"/>
  <c r="M868" i="2" s="1"/>
  <c r="M884" i="2" s="1"/>
  <c r="M743" i="2"/>
  <c r="M1001" i="2"/>
  <c r="M716" i="2"/>
  <c r="M740" i="2" s="1"/>
  <c r="M643" i="2"/>
  <c r="M679" i="2" s="1"/>
  <c r="M670" i="2"/>
  <c r="M686" i="2" s="1"/>
  <c r="M651" i="2"/>
  <c r="M675" i="2" s="1"/>
  <c r="M613" i="2"/>
  <c r="M574" i="2"/>
  <c r="M606" i="2" s="1"/>
  <c r="M622" i="2" s="1"/>
  <c r="M586" i="2"/>
  <c r="M610" i="2" s="1"/>
  <c r="M513" i="2"/>
  <c r="M549" i="2" s="1"/>
  <c r="M509" i="2"/>
  <c r="M541" i="2" s="1"/>
  <c r="M557" i="2" s="1"/>
  <c r="M496" i="2"/>
  <c r="M940" i="2"/>
  <c r="M936" i="2"/>
  <c r="M901" i="2"/>
  <c r="M933" i="2" s="1"/>
  <c r="M949" i="2" s="1"/>
  <c r="M888" i="2"/>
  <c r="M456" i="2"/>
  <c r="M480" i="2" s="1"/>
  <c r="M475" i="2"/>
  <c r="M491" i="2" s="1"/>
  <c r="M383" i="2"/>
  <c r="M419" i="2" s="1"/>
  <c r="M379" i="2"/>
  <c r="M411" i="2" s="1"/>
  <c r="M427" i="2" s="1"/>
  <c r="M366" i="2"/>
  <c r="BP14" i="12" l="1"/>
  <c r="BO14" i="12" s="1"/>
  <c r="M12" i="12"/>
  <c r="AR22" i="12"/>
  <c r="V18" i="12"/>
  <c r="U18" i="12" s="1"/>
  <c r="AK22" i="12"/>
  <c r="AB20" i="12"/>
  <c r="BM20" i="12"/>
  <c r="AW13" i="12"/>
  <c r="BC21" i="12"/>
  <c r="Y16" i="12"/>
  <c r="BD22" i="12"/>
  <c r="Z22" i="12"/>
  <c r="M13" i="12"/>
  <c r="AE18" i="12"/>
  <c r="AE22" i="12" s="1"/>
  <c r="BJ22" i="12"/>
  <c r="N22" i="12"/>
  <c r="S18" i="12"/>
  <c r="S22" i="12" s="1"/>
  <c r="Y21" i="12"/>
  <c r="BK14" i="12"/>
  <c r="AY14" i="12"/>
  <c r="AW16" i="12"/>
  <c r="AH18" i="12"/>
  <c r="M20" i="12"/>
  <c r="BF18" i="12"/>
  <c r="BP16" i="12"/>
  <c r="BO16" i="12" s="1"/>
  <c r="S20" i="12"/>
  <c r="J18" i="12"/>
  <c r="I18" i="12" s="1"/>
  <c r="BC11" i="12"/>
  <c r="S21" i="12"/>
  <c r="AB19" i="12"/>
  <c r="AA19" i="12" s="1"/>
  <c r="BM19" i="12"/>
  <c r="AQ21" i="12"/>
  <c r="AE15" i="12"/>
  <c r="AA15" i="12"/>
  <c r="BL15" i="12"/>
  <c r="AZ15" i="12"/>
  <c r="AE20" i="12"/>
  <c r="I11" i="12"/>
  <c r="I12" i="12" s="1"/>
  <c r="I13" i="12" s="1"/>
  <c r="E22" i="12"/>
  <c r="G17" i="12"/>
  <c r="M21" i="12"/>
  <c r="AW17" i="12"/>
  <c r="G11" i="12"/>
  <c r="AQ19" i="12"/>
  <c r="AB16" i="12"/>
  <c r="AA16" i="12" s="1"/>
  <c r="BM16" i="12"/>
  <c r="P22" i="12"/>
  <c r="BP15" i="12"/>
  <c r="BO15" i="12" s="1"/>
  <c r="BL14" i="12"/>
  <c r="AZ14" i="12"/>
  <c r="AK12" i="12"/>
  <c r="AH12" i="12"/>
  <c r="AH13" i="12" s="1"/>
  <c r="BM18" i="12"/>
  <c r="BC17" i="12"/>
  <c r="BO10" i="12"/>
  <c r="AW10" i="12"/>
  <c r="G10" i="12"/>
  <c r="AK10" i="12"/>
  <c r="AN12" i="12"/>
  <c r="AN13" i="12" s="1"/>
  <c r="AM11" i="12"/>
  <c r="V22" i="12"/>
  <c r="U22" i="12" s="1"/>
  <c r="AA20" i="12"/>
  <c r="AN22" i="12"/>
  <c r="AM18" i="12"/>
  <c r="AM22" i="12" s="1"/>
  <c r="AH22" i="12"/>
  <c r="M10" i="12"/>
  <c r="D12" i="12"/>
  <c r="D13" i="12" s="1"/>
  <c r="C11" i="12"/>
  <c r="P12" i="12"/>
  <c r="P13" i="12" s="1"/>
  <c r="O11" i="12"/>
  <c r="O12" i="12" s="1"/>
  <c r="O13" i="12" s="1"/>
  <c r="S12" i="12"/>
  <c r="Y14" i="12"/>
  <c r="S11" i="12"/>
  <c r="AG18" i="12"/>
  <c r="AG22" i="12" s="1"/>
  <c r="AJ22" i="12"/>
  <c r="AE16" i="12"/>
  <c r="AE10" i="12"/>
  <c r="BF12" i="12"/>
  <c r="BF13" i="12" s="1"/>
  <c r="BF21" i="12" s="1"/>
  <c r="BF20" i="12"/>
  <c r="BF10" i="12"/>
  <c r="BC16" i="12"/>
  <c r="G21" i="12"/>
  <c r="Y19" i="12"/>
  <c r="Y18" i="12"/>
  <c r="Y22" i="12" s="1"/>
  <c r="O18" i="12"/>
  <c r="O22" i="12" s="1"/>
  <c r="M18" i="12"/>
  <c r="AK21" i="12"/>
  <c r="AE19" i="12"/>
  <c r="S13" i="12"/>
  <c r="Y15" i="12"/>
  <c r="AQ18" i="12"/>
  <c r="AQ22" i="12" s="1"/>
  <c r="AQ17" i="12"/>
  <c r="AP22" i="12"/>
  <c r="D18" i="12"/>
  <c r="AE17" i="12"/>
  <c r="AB18" i="12"/>
  <c r="AQ14" i="12"/>
  <c r="S14" i="12"/>
  <c r="AK15" i="12"/>
  <c r="AW12" i="12"/>
  <c r="BI13" i="12"/>
  <c r="BI21" i="12" s="1"/>
  <c r="BH21" i="12"/>
  <c r="G18" i="12"/>
  <c r="G22" i="12" s="1"/>
  <c r="F22" i="12"/>
  <c r="BC18" i="12"/>
  <c r="AS19" i="12"/>
  <c r="AS22" i="12" s="1"/>
  <c r="S17" i="12"/>
  <c r="AB21" i="12"/>
  <c r="BC20" i="12"/>
  <c r="AQ10" i="12"/>
  <c r="M15" i="12"/>
  <c r="AQ16" i="12"/>
  <c r="S10" i="12"/>
  <c r="AB17" i="12"/>
  <c r="BC12" i="12"/>
  <c r="Y20" i="12"/>
  <c r="BC13" i="12"/>
  <c r="AW20" i="12"/>
  <c r="AO22" i="12"/>
  <c r="AS11" i="12"/>
  <c r="AS12" i="12" s="1"/>
  <c r="AS13" i="12" s="1"/>
  <c r="G15" i="12"/>
  <c r="AA10" i="12"/>
  <c r="AQ15" i="12"/>
  <c r="AK16" i="12"/>
  <c r="AW19" i="12"/>
  <c r="BC14" i="12"/>
  <c r="G16" i="12"/>
  <c r="AQ11" i="12"/>
  <c r="M19" i="12"/>
  <c r="BC19" i="12"/>
  <c r="AE14" i="12"/>
  <c r="AW11" i="12"/>
  <c r="AE11" i="12"/>
  <c r="AF11" i="12" s="1"/>
  <c r="BO11" i="12" s="1"/>
  <c r="AC11" i="12"/>
  <c r="AW15" i="12"/>
  <c r="M17" i="12"/>
  <c r="AK20" i="12"/>
  <c r="BG20" i="12"/>
  <c r="BG10" i="12"/>
  <c r="Y10" i="12"/>
  <c r="BO22" i="12"/>
  <c r="BI17" i="12"/>
  <c r="BJ20" i="12"/>
  <c r="BJ10" i="12"/>
  <c r="AW21" i="12"/>
  <c r="BB22" i="12"/>
  <c r="R22" i="12"/>
  <c r="BE11" i="12"/>
  <c r="AW18" i="12"/>
  <c r="BI11" i="12"/>
  <c r="BI12" i="12"/>
  <c r="BP22" i="12"/>
  <c r="AG11" i="12"/>
  <c r="AG12" i="12" s="1"/>
  <c r="AG13" i="12" s="1"/>
  <c r="BC10" i="12"/>
  <c r="BI18" i="12"/>
  <c r="BI22" i="12" s="1"/>
  <c r="G12" i="12"/>
  <c r="AE13" i="12"/>
  <c r="AF13" i="12" s="1"/>
  <c r="AC13" i="12"/>
  <c r="AC12" i="12"/>
  <c r="AE12" i="12"/>
  <c r="AF12" i="12" s="1"/>
  <c r="M351" i="2"/>
  <c r="M352" i="2" s="1"/>
  <c r="M353" i="2" s="1"/>
  <c r="M354" i="2" s="1"/>
  <c r="M347" i="2"/>
  <c r="M348" i="2" s="1"/>
  <c r="M349" i="2" s="1"/>
  <c r="M350" i="2" s="1"/>
  <c r="M343" i="2"/>
  <c r="M344" i="2" s="1"/>
  <c r="M345" i="2" s="1"/>
  <c r="M346" i="2" s="1"/>
  <c r="M339" i="2"/>
  <c r="M340" i="2" s="1"/>
  <c r="M341" i="2" s="1"/>
  <c r="M342" i="2" s="1"/>
  <c r="M335" i="2"/>
  <c r="M336" i="2" s="1"/>
  <c r="M337" i="2" s="1"/>
  <c r="M338" i="2" s="1"/>
  <c r="M331" i="2"/>
  <c r="M332" i="2" s="1"/>
  <c r="M333" i="2" s="1"/>
  <c r="M334" i="2" s="1"/>
  <c r="M327" i="2"/>
  <c r="M328" i="2" s="1"/>
  <c r="M329" i="2" s="1"/>
  <c r="M330" i="2" s="1"/>
  <c r="M323" i="2"/>
  <c r="M324" i="2" s="1"/>
  <c r="M325" i="2" s="1"/>
  <c r="M326" i="2" s="1"/>
  <c r="M319" i="2"/>
  <c r="M320" i="2" s="1"/>
  <c r="M321" i="2" s="1"/>
  <c r="M322" i="2" s="1"/>
  <c r="M306" i="2"/>
  <c r="M307" i="2" s="1"/>
  <c r="M308" i="2" s="1"/>
  <c r="M309" i="2" s="1"/>
  <c r="M302" i="2"/>
  <c r="M303" i="2" s="1"/>
  <c r="M304" i="2" s="1"/>
  <c r="M305" i="2" s="1"/>
  <c r="M298" i="2"/>
  <c r="M299" i="2" s="1"/>
  <c r="M300" i="2" s="1"/>
  <c r="M301" i="2" s="1"/>
  <c r="M294" i="2"/>
  <c r="M295" i="2" s="1"/>
  <c r="M296" i="2" s="1"/>
  <c r="M297" i="2" s="1"/>
  <c r="M290" i="2"/>
  <c r="M291" i="2" s="1"/>
  <c r="M292" i="2" s="1"/>
  <c r="M293" i="2" s="1"/>
  <c r="M286" i="2"/>
  <c r="M287" i="2" s="1"/>
  <c r="M288" i="2" s="1"/>
  <c r="M289" i="2" s="1"/>
  <c r="M282" i="2"/>
  <c r="M283" i="2" s="1"/>
  <c r="M284" i="2" s="1"/>
  <c r="M285" i="2" s="1"/>
  <c r="M278" i="2"/>
  <c r="M279" i="2" s="1"/>
  <c r="M280" i="2" s="1"/>
  <c r="M281" i="2" s="1"/>
  <c r="M274" i="2"/>
  <c r="M275" i="2" s="1"/>
  <c r="M276" i="2" s="1"/>
  <c r="M277" i="2" s="1"/>
  <c r="M261" i="2"/>
  <c r="M262" i="2" s="1"/>
  <c r="M263" i="2" s="1"/>
  <c r="M264" i="2" s="1"/>
  <c r="M257" i="2"/>
  <c r="M258" i="2" s="1"/>
  <c r="M259" i="2" s="1"/>
  <c r="M260" i="2" s="1"/>
  <c r="M253" i="2"/>
  <c r="M254" i="2" s="1"/>
  <c r="M255" i="2" s="1"/>
  <c r="M256" i="2" s="1"/>
  <c r="M249" i="2"/>
  <c r="M250" i="2" s="1"/>
  <c r="M251" i="2" s="1"/>
  <c r="M252" i="2" s="1"/>
  <c r="M245" i="2"/>
  <c r="M246" i="2" s="1"/>
  <c r="M247" i="2" s="1"/>
  <c r="M248" i="2" s="1"/>
  <c r="M241" i="2"/>
  <c r="M242" i="2" s="1"/>
  <c r="M243" i="2" s="1"/>
  <c r="M244" i="2" s="1"/>
  <c r="M237" i="2"/>
  <c r="M238" i="2" s="1"/>
  <c r="M239" i="2" s="1"/>
  <c r="M240" i="2" s="1"/>
  <c r="M233" i="2"/>
  <c r="M234" i="2" s="1"/>
  <c r="M235" i="2" s="1"/>
  <c r="M236" i="2" s="1"/>
  <c r="M229" i="2"/>
  <c r="M230" i="2" s="1"/>
  <c r="M231" i="2" s="1"/>
  <c r="M232" i="2" s="1"/>
  <c r="M216" i="2"/>
  <c r="M217" i="2" s="1"/>
  <c r="M218" i="2" s="1"/>
  <c r="M219" i="2" s="1"/>
  <c r="M212" i="2"/>
  <c r="M213" i="2" s="1"/>
  <c r="M214" i="2" s="1"/>
  <c r="M215" i="2" s="1"/>
  <c r="M208" i="2"/>
  <c r="M209" i="2" s="1"/>
  <c r="M210" i="2" s="1"/>
  <c r="M211" i="2" s="1"/>
  <c r="M204" i="2"/>
  <c r="M205" i="2" s="1"/>
  <c r="M206" i="2" s="1"/>
  <c r="M207" i="2" s="1"/>
  <c r="M200" i="2"/>
  <c r="M201" i="2" s="1"/>
  <c r="M202" i="2" s="1"/>
  <c r="M203" i="2" s="1"/>
  <c r="M196" i="2"/>
  <c r="M197" i="2" s="1"/>
  <c r="M198" i="2" s="1"/>
  <c r="M199" i="2" s="1"/>
  <c r="M192" i="2"/>
  <c r="M193" i="2" s="1"/>
  <c r="M194" i="2" s="1"/>
  <c r="M195" i="2" s="1"/>
  <c r="M188" i="2"/>
  <c r="M189" i="2" s="1"/>
  <c r="M190" i="2" s="1"/>
  <c r="M191" i="2" s="1"/>
  <c r="M184" i="2"/>
  <c r="M185" i="2" s="1"/>
  <c r="M186" i="2" s="1"/>
  <c r="M187" i="2" s="1"/>
  <c r="M171" i="2"/>
  <c r="M172" i="2" s="1"/>
  <c r="M173" i="2" s="1"/>
  <c r="M174" i="2" s="1"/>
  <c r="M167" i="2"/>
  <c r="M168" i="2" s="1"/>
  <c r="M169" i="2" s="1"/>
  <c r="M170" i="2" s="1"/>
  <c r="M163" i="2"/>
  <c r="M164" i="2" s="1"/>
  <c r="M165" i="2" s="1"/>
  <c r="M166" i="2" s="1"/>
  <c r="M159" i="2"/>
  <c r="M160" i="2" s="1"/>
  <c r="M161" i="2" s="1"/>
  <c r="M162" i="2" s="1"/>
  <c r="M155" i="2"/>
  <c r="M156" i="2" s="1"/>
  <c r="M157" i="2" s="1"/>
  <c r="M158" i="2" s="1"/>
  <c r="M151" i="2"/>
  <c r="M152" i="2" s="1"/>
  <c r="M153" i="2" s="1"/>
  <c r="M154" i="2" s="1"/>
  <c r="M147" i="2"/>
  <c r="M148" i="2" s="1"/>
  <c r="M149" i="2" s="1"/>
  <c r="M150" i="2" s="1"/>
  <c r="M143" i="2"/>
  <c r="M144" i="2" s="1"/>
  <c r="M145" i="2" s="1"/>
  <c r="M146" i="2" s="1"/>
  <c r="M139" i="2"/>
  <c r="M140" i="2" s="1"/>
  <c r="M141" i="2" s="1"/>
  <c r="M142" i="2" s="1"/>
  <c r="M126" i="2"/>
  <c r="M127" i="2" s="1"/>
  <c r="M128" i="2" s="1"/>
  <c r="M129" i="2" s="1"/>
  <c r="M122" i="2"/>
  <c r="M123" i="2" s="1"/>
  <c r="M124" i="2" s="1"/>
  <c r="M125" i="2" s="1"/>
  <c r="M118" i="2"/>
  <c r="M119" i="2" s="1"/>
  <c r="M120" i="2" s="1"/>
  <c r="M121" i="2" s="1"/>
  <c r="M114" i="2"/>
  <c r="M115" i="2" s="1"/>
  <c r="M116" i="2" s="1"/>
  <c r="M117" i="2" s="1"/>
  <c r="M110" i="2"/>
  <c r="M111" i="2" s="1"/>
  <c r="M112" i="2" s="1"/>
  <c r="M113" i="2" s="1"/>
  <c r="M106" i="2"/>
  <c r="M107" i="2" s="1"/>
  <c r="M108" i="2" s="1"/>
  <c r="M109" i="2" s="1"/>
  <c r="M102" i="2"/>
  <c r="M103" i="2" s="1"/>
  <c r="M104" i="2" s="1"/>
  <c r="M105" i="2" s="1"/>
  <c r="M98" i="2"/>
  <c r="M99" i="2" s="1"/>
  <c r="M100" i="2" s="1"/>
  <c r="M101" i="2" s="1"/>
  <c r="M94" i="2"/>
  <c r="M95" i="2" s="1"/>
  <c r="M96" i="2" s="1"/>
  <c r="M97" i="2" s="1"/>
  <c r="P89" i="2"/>
  <c r="Q89" i="2" s="1"/>
  <c r="R89" i="2" s="1"/>
  <c r="S89" i="2" s="1"/>
  <c r="T89" i="2" s="1"/>
  <c r="P85" i="2"/>
  <c r="P83" i="2"/>
  <c r="P84" i="2" s="1"/>
  <c r="P82" i="2"/>
  <c r="Q82" i="2" s="1"/>
  <c r="R82" i="2" s="1"/>
  <c r="S82" i="2" s="1"/>
  <c r="T82" i="2" s="1"/>
  <c r="P81" i="2"/>
  <c r="Q81" i="2" s="1"/>
  <c r="R81" i="2" s="1"/>
  <c r="S81" i="2" s="1"/>
  <c r="T81" i="2" s="1"/>
  <c r="P75" i="2"/>
  <c r="P76" i="2" s="1"/>
  <c r="P74" i="2"/>
  <c r="Q74" i="2" s="1"/>
  <c r="R74" i="2" s="1"/>
  <c r="S74" i="2" s="1"/>
  <c r="T74" i="2" s="1"/>
  <c r="P73" i="2"/>
  <c r="Q73" i="2" s="1"/>
  <c r="R73" i="2" s="1"/>
  <c r="S73" i="2" s="1"/>
  <c r="T73" i="2" s="1"/>
  <c r="P71" i="2"/>
  <c r="P72" i="2" s="1"/>
  <c r="P70" i="2"/>
  <c r="O70" i="2" s="1"/>
  <c r="P69" i="2"/>
  <c r="O69" i="2" s="1"/>
  <c r="P67" i="2"/>
  <c r="O67" i="2" s="1"/>
  <c r="O68" i="2" s="1"/>
  <c r="P66" i="2"/>
  <c r="Q66" i="2" s="1"/>
  <c r="R66" i="2" s="1"/>
  <c r="S66" i="2" s="1"/>
  <c r="T66" i="2" s="1"/>
  <c r="P65" i="2"/>
  <c r="Q65" i="2" s="1"/>
  <c r="R65" i="2" s="1"/>
  <c r="S65" i="2" s="1"/>
  <c r="T65" i="2" s="1"/>
  <c r="P63" i="2"/>
  <c r="P64" i="2" s="1"/>
  <c r="P62" i="2"/>
  <c r="Q62" i="2" s="1"/>
  <c r="R62" i="2" s="1"/>
  <c r="S62" i="2" s="1"/>
  <c r="T62" i="2" s="1"/>
  <c r="P61" i="2"/>
  <c r="Q61" i="2" s="1"/>
  <c r="R61" i="2" s="1"/>
  <c r="S61" i="2" s="1"/>
  <c r="T61" i="2" s="1"/>
  <c r="P59" i="2"/>
  <c r="P60" i="2" s="1"/>
  <c r="P58" i="2"/>
  <c r="O58" i="2" s="1"/>
  <c r="P57" i="2"/>
  <c r="Q57" i="2" s="1"/>
  <c r="R57" i="2" s="1"/>
  <c r="S57" i="2" s="1"/>
  <c r="T57" i="2" s="1"/>
  <c r="P55" i="2"/>
  <c r="P56" i="2" s="1"/>
  <c r="P54" i="2"/>
  <c r="Q54" i="2" s="1"/>
  <c r="P53" i="2"/>
  <c r="O53" i="2" s="1"/>
  <c r="BM22" i="12" l="1"/>
  <c r="AY19" i="12"/>
  <c r="BK19" i="12"/>
  <c r="BK16" i="12"/>
  <c r="AY16" i="12"/>
  <c r="BC22" i="12"/>
  <c r="BL20" i="12"/>
  <c r="AZ20" i="12"/>
  <c r="BL17" i="12"/>
  <c r="AZ17" i="12"/>
  <c r="BK15" i="12"/>
  <c r="AY15" i="12"/>
  <c r="AZ19" i="12"/>
  <c r="BL19" i="12"/>
  <c r="BL22" i="12" s="1"/>
  <c r="BK20" i="12"/>
  <c r="AY20" i="12"/>
  <c r="BL16" i="12"/>
  <c r="AZ16" i="12"/>
  <c r="BF22" i="12"/>
  <c r="BE18" i="12"/>
  <c r="BE22" i="12" s="1"/>
  <c r="BL21" i="12"/>
  <c r="AZ21" i="12"/>
  <c r="J22" i="12"/>
  <c r="I22" i="12" s="1"/>
  <c r="M22" i="12"/>
  <c r="BL18" i="12"/>
  <c r="AZ18" i="12"/>
  <c r="AB11" i="12"/>
  <c r="AA17" i="12"/>
  <c r="AA18" i="12"/>
  <c r="AB22" i="12"/>
  <c r="D22" i="12"/>
  <c r="C18" i="12"/>
  <c r="C22" i="12" s="1"/>
  <c r="BE12" i="12"/>
  <c r="BE13" i="12" s="1"/>
  <c r="BE21" i="12" s="1"/>
  <c r="BE10" i="12"/>
  <c r="BE20" i="12"/>
  <c r="AA21" i="12"/>
  <c r="BI20" i="12"/>
  <c r="BI10" i="12"/>
  <c r="AW22" i="12"/>
  <c r="C12" i="12"/>
  <c r="C13" i="12" s="1"/>
  <c r="AM12" i="12"/>
  <c r="AM13" i="12" s="1"/>
  <c r="O89" i="2"/>
  <c r="Q53" i="2"/>
  <c r="R53" i="2" s="1"/>
  <c r="S53" i="2" s="1"/>
  <c r="T53" i="2" s="1"/>
  <c r="P87" i="2"/>
  <c r="P88" i="2" s="1"/>
  <c r="Q55" i="2"/>
  <c r="R55" i="2" s="1"/>
  <c r="S55" i="2" s="1"/>
  <c r="T55" i="2" s="1"/>
  <c r="P91" i="2"/>
  <c r="O91" i="2" s="1"/>
  <c r="O92" i="2" s="1"/>
  <c r="Q69" i="2"/>
  <c r="R69" i="2" s="1"/>
  <c r="S69" i="2" s="1"/>
  <c r="T69" i="2" s="1"/>
  <c r="O55" i="2"/>
  <c r="O56" i="2" s="1"/>
  <c r="Q85" i="2"/>
  <c r="R85" i="2" s="1"/>
  <c r="S85" i="2" s="1"/>
  <c r="T85" i="2" s="1"/>
  <c r="O54" i="2"/>
  <c r="P90" i="2"/>
  <c r="Q90" i="2" s="1"/>
  <c r="R90" i="2" s="1"/>
  <c r="S90" i="2" s="1"/>
  <c r="T90" i="2" s="1"/>
  <c r="P86" i="2"/>
  <c r="O85" i="2"/>
  <c r="O82" i="2"/>
  <c r="O83" i="2"/>
  <c r="O84" i="2" s="1"/>
  <c r="Q83" i="2"/>
  <c r="O81" i="2"/>
  <c r="O73" i="2"/>
  <c r="O74" i="2"/>
  <c r="Q75" i="2"/>
  <c r="O75" i="2"/>
  <c r="O76" i="2" s="1"/>
  <c r="Q70" i="2"/>
  <c r="R70" i="2" s="1"/>
  <c r="S70" i="2" s="1"/>
  <c r="T70" i="2" s="1"/>
  <c r="O71" i="2"/>
  <c r="O72" i="2" s="1"/>
  <c r="Q71" i="2"/>
  <c r="P68" i="2"/>
  <c r="O66" i="2"/>
  <c r="Q67" i="2"/>
  <c r="O65" i="2"/>
  <c r="O61" i="2"/>
  <c r="O62" i="2"/>
  <c r="O63" i="2"/>
  <c r="O64" i="2" s="1"/>
  <c r="Q63" i="2"/>
  <c r="Q59" i="2"/>
  <c r="Q58" i="2"/>
  <c r="R58" i="2" s="1"/>
  <c r="S58" i="2" s="1"/>
  <c r="T58" i="2" s="1"/>
  <c r="O59" i="2"/>
  <c r="O60" i="2" s="1"/>
  <c r="O57" i="2"/>
  <c r="R54" i="2"/>
  <c r="N4" i="2"/>
  <c r="N5" i="2" s="1"/>
  <c r="N6" i="2" s="1"/>
  <c r="N7" i="2" s="1"/>
  <c r="N8" i="2"/>
  <c r="N9" i="2" s="1"/>
  <c r="N10" i="2" s="1"/>
  <c r="N11" i="2" s="1"/>
  <c r="N12" i="2"/>
  <c r="N13" i="2" s="1"/>
  <c r="N14" i="2" s="1"/>
  <c r="N15" i="2" s="1"/>
  <c r="N16" i="2"/>
  <c r="N17" i="2" s="1"/>
  <c r="N18" i="2" s="1"/>
  <c r="N19" i="2" s="1"/>
  <c r="N20" i="2"/>
  <c r="N21" i="2" s="1"/>
  <c r="N22" i="2" s="1"/>
  <c r="N23" i="2" s="1"/>
  <c r="N24" i="2"/>
  <c r="N25" i="2" s="1"/>
  <c r="N26" i="2" s="1"/>
  <c r="N27" i="2" s="1"/>
  <c r="N28" i="2"/>
  <c r="N29" i="2" s="1"/>
  <c r="N30" i="2" s="1"/>
  <c r="N31" i="2" s="1"/>
  <c r="N32" i="2"/>
  <c r="N33" i="2" s="1"/>
  <c r="N34" i="2" s="1"/>
  <c r="N35" i="2" s="1"/>
  <c r="N36" i="2"/>
  <c r="N37" i="2" s="1"/>
  <c r="N38" i="2" s="1"/>
  <c r="N39" i="2" s="1"/>
  <c r="N40" i="2"/>
  <c r="N41" i="2" s="1"/>
  <c r="N42" i="2" s="1"/>
  <c r="N43" i="2" s="1"/>
  <c r="N44" i="2"/>
  <c r="N45" i="2" s="1"/>
  <c r="N46" i="2" s="1"/>
  <c r="N47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" i="2"/>
  <c r="AZ22" i="12" l="1"/>
  <c r="BK21" i="12"/>
  <c r="AY21" i="12"/>
  <c r="BK17" i="12"/>
  <c r="AY17" i="12"/>
  <c r="BK18" i="12"/>
  <c r="AY18" i="12"/>
  <c r="AY22" i="12" s="1"/>
  <c r="AB12" i="12"/>
  <c r="AB13" i="12" s="1"/>
  <c r="AZ12" i="12"/>
  <c r="AZ13" i="12" s="1"/>
  <c r="AA11" i="12"/>
  <c r="AA22" i="12"/>
  <c r="BK22" i="12"/>
  <c r="Q56" i="2"/>
  <c r="Q87" i="2"/>
  <c r="R87" i="2" s="1"/>
  <c r="O87" i="2"/>
  <c r="O88" i="2" s="1"/>
  <c r="Q91" i="2"/>
  <c r="P92" i="2"/>
  <c r="O90" i="2"/>
  <c r="Q86" i="2"/>
  <c r="R86" i="2" s="1"/>
  <c r="S86" i="2" s="1"/>
  <c r="T86" i="2" s="1"/>
  <c r="O86" i="2"/>
  <c r="Q92" i="2"/>
  <c r="R91" i="2"/>
  <c r="Q88" i="2"/>
  <c r="Q84" i="2"/>
  <c r="R83" i="2"/>
  <c r="R75" i="2"/>
  <c r="Q76" i="2"/>
  <c r="R71" i="2"/>
  <c r="Q72" i="2"/>
  <c r="R67" i="2"/>
  <c r="Q68" i="2"/>
  <c r="R63" i="2"/>
  <c r="Q64" i="2"/>
  <c r="Q60" i="2"/>
  <c r="R59" i="2"/>
  <c r="S54" i="2"/>
  <c r="R56" i="2"/>
  <c r="AA12" i="12" l="1"/>
  <c r="AA13" i="12" s="1"/>
  <c r="AY12" i="12"/>
  <c r="AY13" i="12" s="1"/>
  <c r="R92" i="2"/>
  <c r="S91" i="2"/>
  <c r="R88" i="2"/>
  <c r="S87" i="2"/>
  <c r="S83" i="2"/>
  <c r="R84" i="2"/>
  <c r="R76" i="2"/>
  <c r="S75" i="2"/>
  <c r="R72" i="2"/>
  <c r="S71" i="2"/>
  <c r="R68" i="2"/>
  <c r="S67" i="2"/>
  <c r="R64" i="2"/>
  <c r="S63" i="2"/>
  <c r="R60" i="2"/>
  <c r="S59" i="2"/>
  <c r="T54" i="2"/>
  <c r="T56" i="2" s="1"/>
  <c r="S56" i="2"/>
  <c r="S50" i="2"/>
  <c r="S51" i="2" s="1"/>
  <c r="S52" i="2" s="1"/>
  <c r="P50" i="2"/>
  <c r="R50" i="2"/>
  <c r="R51" i="2" s="1"/>
  <c r="R52" i="2" s="1"/>
  <c r="R49" i="2"/>
  <c r="T49" i="2"/>
  <c r="T50" i="2"/>
  <c r="T51" i="2" s="1"/>
  <c r="T52" i="2" s="1"/>
  <c r="P49" i="2"/>
  <c r="O49" i="2" s="1"/>
  <c r="Q50" i="2"/>
  <c r="Q51" i="2" s="1"/>
  <c r="Q52" i="2" s="1"/>
  <c r="Q49" i="2"/>
  <c r="S49" i="2"/>
  <c r="S77" i="2"/>
  <c r="R78" i="2"/>
  <c r="R79" i="2" s="1"/>
  <c r="R80" i="2" s="1"/>
  <c r="R77" i="2"/>
  <c r="T77" i="2"/>
  <c r="Q78" i="2"/>
  <c r="Q79" i="2" s="1"/>
  <c r="Q80" i="2" s="1"/>
  <c r="T78" i="2"/>
  <c r="T79" i="2" s="1"/>
  <c r="T80" i="2" s="1"/>
  <c r="P77" i="2"/>
  <c r="O77" i="2" s="1"/>
  <c r="Q77" i="2"/>
  <c r="P78" i="2"/>
  <c r="S78" i="2"/>
  <c r="S79" i="2" s="1"/>
  <c r="S80" i="2" s="1"/>
  <c r="O50" i="2" l="1"/>
  <c r="O51" i="2" s="1"/>
  <c r="O52" i="2" s="1"/>
  <c r="P51" i="2"/>
  <c r="P52" i="2" s="1"/>
  <c r="P79" i="2"/>
  <c r="P80" i="2" s="1"/>
  <c r="O78" i="2"/>
  <c r="O79" i="2" s="1"/>
  <c r="O80" i="2" s="1"/>
  <c r="S92" i="2"/>
  <c r="T91" i="2"/>
  <c r="T92" i="2" s="1"/>
  <c r="S88" i="2"/>
  <c r="T87" i="2"/>
  <c r="T88" i="2" s="1"/>
  <c r="S84" i="2"/>
  <c r="T83" i="2"/>
  <c r="T84" i="2" s="1"/>
  <c r="T75" i="2"/>
  <c r="T76" i="2" s="1"/>
  <c r="S76" i="2"/>
  <c r="S72" i="2"/>
  <c r="T71" i="2"/>
  <c r="T72" i="2" s="1"/>
  <c r="S68" i="2"/>
  <c r="T67" i="2"/>
  <c r="T68" i="2" s="1"/>
  <c r="S64" i="2"/>
  <c r="T63" i="2"/>
  <c r="T64" i="2" s="1"/>
  <c r="S60" i="2"/>
  <c r="T59" i="2"/>
  <c r="T6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</author>
    <author>Will Yelverton</author>
  </authors>
  <commentList>
    <comment ref="A41" authorId="0" shapeId="0" xr:uid="{48858293-5B6B-49FE-9115-145F5BAD7CFA}">
      <text>
        <r>
          <rPr>
            <sz val="8"/>
            <color indexed="81"/>
            <rFont val="Tahoma"/>
            <family val="2"/>
          </rPr>
          <t>Most geothermal facilities can use geothermal fluids or freshwater for cooling.</t>
        </r>
      </text>
    </comment>
    <comment ref="H68" authorId="1" shapeId="0" xr:uid="{CEA00761-5AA7-4D30-A1B1-1AF1FE88FCFF}">
      <text>
        <r>
          <rPr>
            <b/>
            <sz val="8"/>
            <color indexed="81"/>
            <rFont val="Tahoma"/>
            <family val="2"/>
          </rPr>
          <t>Will Yelverton:</t>
        </r>
        <r>
          <rPr>
            <sz val="8"/>
            <color indexed="81"/>
            <rFont val="Tahoma"/>
            <family val="2"/>
          </rPr>
          <t xml:space="preserve">
Underground mines</t>
        </r>
      </text>
    </comment>
  </commentList>
</comments>
</file>

<file path=xl/sharedStrings.xml><?xml version="1.0" encoding="utf-8"?>
<sst xmlns="http://schemas.openxmlformats.org/spreadsheetml/2006/main" count="9536" uniqueCount="678">
  <si>
    <t>~TFM_INS</t>
  </si>
  <si>
    <t>TimeSlice</t>
  </si>
  <si>
    <t>LimType</t>
  </si>
  <si>
    <t>Attribute</t>
  </si>
  <si>
    <t>Year</t>
  </si>
  <si>
    <t>Other_Indexes</t>
  </si>
  <si>
    <t>Pset_PN</t>
  </si>
  <si>
    <t>PSET_CI</t>
  </si>
  <si>
    <t>PSET_CO</t>
  </si>
  <si>
    <t>Pset_PD</t>
  </si>
  <si>
    <t>Cset_CN</t>
  </si>
  <si>
    <t>AllRegions</t>
  </si>
  <si>
    <t>R0</t>
  </si>
  <si>
    <t>R1</t>
  </si>
  <si>
    <t>R2</t>
  </si>
  <si>
    <t>R3</t>
  </si>
  <si>
    <t>R4</t>
  </si>
  <si>
    <t>R5</t>
  </si>
  <si>
    <t>R6</t>
  </si>
  <si>
    <t>FLO_EMIS</t>
  </si>
  <si>
    <t>ACT</t>
  </si>
  <si>
    <t>C*</t>
  </si>
  <si>
    <t>CO2</t>
  </si>
  <si>
    <t>VOC</t>
  </si>
  <si>
    <t>CO</t>
  </si>
  <si>
    <t>NOX</t>
  </si>
  <si>
    <t>PM10</t>
  </si>
  <si>
    <t>PM25</t>
  </si>
  <si>
    <t>SO2</t>
  </si>
  <si>
    <t>CH4</t>
  </si>
  <si>
    <t>N2O</t>
  </si>
  <si>
    <t>OC</t>
  </si>
  <si>
    <t>BC</t>
  </si>
  <si>
    <t>*</t>
  </si>
  <si>
    <t>SCMINNGAD</t>
  </si>
  <si>
    <t>NGAD0</t>
  </si>
  <si>
    <t>XNGARES</t>
  </si>
  <si>
    <t>NGA</t>
  </si>
  <si>
    <t>XNGACOM</t>
  </si>
  <si>
    <t>XNGAIND</t>
  </si>
  <si>
    <t>XNGAELC</t>
  </si>
  <si>
    <t>XNGATRN</t>
  </si>
  <si>
    <t>XNGLFRAC</t>
  </si>
  <si>
    <t>NGL</t>
  </si>
  <si>
    <t>SCGSC_*</t>
  </si>
  <si>
    <t>GSC_*</t>
  </si>
  <si>
    <t>NOXI</t>
  </si>
  <si>
    <t>SO2I</t>
  </si>
  <si>
    <t>PM10I</t>
  </si>
  <si>
    <t>CO2I</t>
  </si>
  <si>
    <t>NOXDIREF</t>
  </si>
  <si>
    <t>SCGSR_*</t>
  </si>
  <si>
    <t>GSR_*</t>
  </si>
  <si>
    <t>SCDSH_*</t>
  </si>
  <si>
    <t>DSH_*</t>
  </si>
  <si>
    <t>SCRFL_*</t>
  </si>
  <si>
    <t>RFL_*</t>
  </si>
  <si>
    <t>SCDSL_*</t>
  </si>
  <si>
    <t>DSL_*</t>
  </si>
  <si>
    <t>SCDSU_*</t>
  </si>
  <si>
    <t>DSU_*</t>
  </si>
  <si>
    <t>SCH2GSMR</t>
  </si>
  <si>
    <t>H2G*</t>
  </si>
  <si>
    <t>CO2T</t>
  </si>
  <si>
    <t>SCH2GHTE</t>
  </si>
  <si>
    <t>SCH2GLTE</t>
  </si>
  <si>
    <t>SCH2GGAS</t>
  </si>
  <si>
    <t>XELCIMPPJM*</t>
  </si>
  <si>
    <t>ELC</t>
  </si>
  <si>
    <t>CO2E</t>
  </si>
  <si>
    <t>XELCIMPNE*</t>
  </si>
  <si>
    <t>XELCIMPCA*</t>
  </si>
  <si>
    <t>XELCIMPPSEG*</t>
  </si>
  <si>
    <t>SCLPG_*</t>
  </si>
  <si>
    <t>LPG_*</t>
  </si>
  <si>
    <t>SCJTF_*</t>
  </si>
  <si>
    <t>JTF_*</t>
  </si>
  <si>
    <t>SCRFH_*</t>
  </si>
  <si>
    <t>RFH_*</t>
  </si>
  <si>
    <t>SCKER_*</t>
  </si>
  <si>
    <t>KER_*</t>
  </si>
  <si>
    <t>SCPFS_*</t>
  </si>
  <si>
    <t>PFS_*</t>
  </si>
  <si>
    <t>SCASP_*</t>
  </si>
  <si>
    <t>ASP_*</t>
  </si>
  <si>
    <t>SCPTC_*</t>
  </si>
  <si>
    <t>PTC_*</t>
  </si>
  <si>
    <t>SCDLG_*</t>
  </si>
  <si>
    <t>DLG_*</t>
  </si>
  <si>
    <t>SECSTBHFGO</t>
  </si>
  <si>
    <t>SECSTBMFGO</t>
  </si>
  <si>
    <t>SECSTBLFGO</t>
  </si>
  <si>
    <t>SECSTSMFGO</t>
  </si>
  <si>
    <t>SECSTSLFGO</t>
  </si>
  <si>
    <t>SECSTLHFGO</t>
  </si>
  <si>
    <t>SECSTLMFGO</t>
  </si>
  <si>
    <t>SECSTBHFGU</t>
  </si>
  <si>
    <t>SECSTBMFGU</t>
  </si>
  <si>
    <t>SECSTBLFGU</t>
  </si>
  <si>
    <t>SECSTSMFGU</t>
  </si>
  <si>
    <t>SECSTSLFGU</t>
  </si>
  <si>
    <t>SECSTLHFGU</t>
  </si>
  <si>
    <t>SECSTLMFGU</t>
  </si>
  <si>
    <t>SO2E</t>
  </si>
  <si>
    <t>SECSTBLNBO</t>
  </si>
  <si>
    <t>SECSTBSCRO</t>
  </si>
  <si>
    <t>SECSTBSNCO</t>
  </si>
  <si>
    <t>SECSTBSC2O</t>
  </si>
  <si>
    <t>SECSTBSN2O</t>
  </si>
  <si>
    <t>SECSTBLS2O</t>
  </si>
  <si>
    <t>SECSTBLN2O</t>
  </si>
  <si>
    <t>SECSTSLNBO</t>
  </si>
  <si>
    <t>SECSTSSCRO</t>
  </si>
  <si>
    <t>SECSTSSNCO</t>
  </si>
  <si>
    <t>SECSTSSC2O</t>
  </si>
  <si>
    <t>SECSTSSN2O</t>
  </si>
  <si>
    <t>SECSTSLS2O</t>
  </si>
  <si>
    <t>SECSTSLN2O</t>
  </si>
  <si>
    <t>SECSTLLNBO</t>
  </si>
  <si>
    <t>SECSTLSCRO</t>
  </si>
  <si>
    <t>SECSTLSNCO</t>
  </si>
  <si>
    <t>SECSTLSC2O</t>
  </si>
  <si>
    <t>SECSTLSN2O</t>
  </si>
  <si>
    <t>SECSTLLS2O</t>
  </si>
  <si>
    <t>SECSTLLN2O</t>
  </si>
  <si>
    <t>SECSTBLNBU</t>
  </si>
  <si>
    <t>SECSTBSCRU</t>
  </si>
  <si>
    <t>SECSTBSNCU</t>
  </si>
  <si>
    <t>SECSTBSC2U</t>
  </si>
  <si>
    <t>SECSTBSN2U</t>
  </si>
  <si>
    <t>SECSTBLS2U</t>
  </si>
  <si>
    <t>SECSTBLN2U</t>
  </si>
  <si>
    <t>SECSTSLNBU</t>
  </si>
  <si>
    <t>SECSTSSCRU</t>
  </si>
  <si>
    <t>SECSTSSNCU</t>
  </si>
  <si>
    <t>SECSTSSC2U</t>
  </si>
  <si>
    <t>SECSTSSN2U</t>
  </si>
  <si>
    <t>SECSTSLS2U</t>
  </si>
  <si>
    <t>SECSTSLN2U</t>
  </si>
  <si>
    <t>SECSTLLNBU</t>
  </si>
  <si>
    <t>SECSTLSCRU</t>
  </si>
  <si>
    <t>SECSTLSNCU</t>
  </si>
  <si>
    <t>SECSTLSC2U</t>
  </si>
  <si>
    <t>SECSTLSN2U</t>
  </si>
  <si>
    <t>SECSTLLS2U</t>
  </si>
  <si>
    <t>SECSTLLN2U</t>
  </si>
  <si>
    <t>NOXE</t>
  </si>
  <si>
    <t>SECSTBFFRO</t>
  </si>
  <si>
    <t>SECSTBCYCO</t>
  </si>
  <si>
    <t>SECSTBESPO</t>
  </si>
  <si>
    <t>SECSTBEPUO</t>
  </si>
  <si>
    <t>SECSTSFFRO</t>
  </si>
  <si>
    <t>SECSTSCYCO</t>
  </si>
  <si>
    <t>SECSTSESPO</t>
  </si>
  <si>
    <t>SECSTSEPUO</t>
  </si>
  <si>
    <t>SECSTLFFRO</t>
  </si>
  <si>
    <t>SECSTLCYCO</t>
  </si>
  <si>
    <t>SECSTLESPO</t>
  </si>
  <si>
    <t>SECSTLEPUO</t>
  </si>
  <si>
    <t>SECSTBFFRU</t>
  </si>
  <si>
    <t>SECSTBCYCU</t>
  </si>
  <si>
    <t>SECSTBESPU</t>
  </si>
  <si>
    <t>SECSTBEPUU</t>
  </si>
  <si>
    <t>SECSTSFFRU</t>
  </si>
  <si>
    <t>SECSTSCYCU</t>
  </si>
  <si>
    <t>SECSTSESPU</t>
  </si>
  <si>
    <t>SECSTSEPUU</t>
  </si>
  <si>
    <t>SECSTLFFRU</t>
  </si>
  <si>
    <t>SECSTLCYCU</t>
  </si>
  <si>
    <t>SECSTLESPU</t>
  </si>
  <si>
    <t>SECSTLEPUU</t>
  </si>
  <si>
    <t>PM10E</t>
  </si>
  <si>
    <t>PNURNU45</t>
  </si>
  <si>
    <t>H2OC</t>
  </si>
  <si>
    <t>PNURNU09</t>
  </si>
  <si>
    <t>PNURNU19</t>
  </si>
  <si>
    <t>H2OW</t>
  </si>
  <si>
    <t>H2OCE</t>
  </si>
  <si>
    <t>H2OWE</t>
  </si>
  <si>
    <t>ERFLSTMR</t>
  </si>
  <si>
    <t>ENGASTMRR</t>
  </si>
  <si>
    <t>ENGASTMRO</t>
  </si>
  <si>
    <t>EDSLCCR</t>
  </si>
  <si>
    <t>ENGACCRR</t>
  </si>
  <si>
    <t>ENGACCRO</t>
  </si>
  <si>
    <t>ENGACCRD</t>
  </si>
  <si>
    <t>EURNALWRR</t>
  </si>
  <si>
    <t>EURNALWRO</t>
  </si>
  <si>
    <t>ECSTMRBONR11</t>
  </si>
  <si>
    <t>ECSTMRSONR11</t>
  </si>
  <si>
    <t>ECSTMRLONR11</t>
  </si>
  <si>
    <t>ECOALSTM15</t>
  </si>
  <si>
    <t>ENGACC11</t>
  </si>
  <si>
    <t>ENGACC15</t>
  </si>
  <si>
    <t>ENGACC20</t>
  </si>
  <si>
    <t>ENGAACC20</t>
  </si>
  <si>
    <t>ECOALIGCC20</t>
  </si>
  <si>
    <t>EBIOIGCC25</t>
  </si>
  <si>
    <t>EGEOBCFS11</t>
  </si>
  <si>
    <t>EGEOEGS25</t>
  </si>
  <si>
    <t>EURNALWR15</t>
  </si>
  <si>
    <t>Input</t>
  </si>
  <si>
    <t>CO2CPP</t>
  </si>
  <si>
    <t>SEELCDSL</t>
  </si>
  <si>
    <t>NH3</t>
  </si>
  <si>
    <t>SEELCNGT</t>
  </si>
  <si>
    <t>SEELCNGC</t>
  </si>
  <si>
    <t>SEELCNGS</t>
  </si>
  <si>
    <t>SEELCRFL</t>
  </si>
  <si>
    <t>SEELCRFH</t>
  </si>
  <si>
    <t>SEELCBIGCC</t>
  </si>
  <si>
    <t>SEELCBSTM</t>
  </si>
  <si>
    <t>SEELCBIBHO</t>
  </si>
  <si>
    <t>SEELCBIBHU</t>
  </si>
  <si>
    <t>SEELCBIBMO</t>
  </si>
  <si>
    <t>SEELCBIBMU</t>
  </si>
  <si>
    <t>SEELCBIBLO</t>
  </si>
  <si>
    <t>SEELCBIBLU</t>
  </si>
  <si>
    <t>SEELCBILHO</t>
  </si>
  <si>
    <t>SEELCBILHU</t>
  </si>
  <si>
    <t>SEELCBILMO</t>
  </si>
  <si>
    <t>SEELCBILMU</t>
  </si>
  <si>
    <t>SEELCBISMO</t>
  </si>
  <si>
    <t>SEELCBISMU</t>
  </si>
  <si>
    <t>SEELCBISLO</t>
  </si>
  <si>
    <t>SEELCBISLU</t>
  </si>
  <si>
    <t>SEELCBION</t>
  </si>
  <si>
    <t>SECIGCCBH</t>
  </si>
  <si>
    <t>SECIGCCBL</t>
  </si>
  <si>
    <t>SECIGCCBM</t>
  </si>
  <si>
    <t>SECIGCCLH</t>
  </si>
  <si>
    <t>SECIGCCLM</t>
  </si>
  <si>
    <t>SECIGCCSL</t>
  </si>
  <si>
    <t>SECIGCCSM</t>
  </si>
  <si>
    <t>SECSTMBH</t>
  </si>
  <si>
    <t>SECSTMBL</t>
  </si>
  <si>
    <t>SECSTMBM</t>
  </si>
  <si>
    <t>SECSTMLH</t>
  </si>
  <si>
    <t>SECSTMLM</t>
  </si>
  <si>
    <t>SECSTMSL</t>
  </si>
  <si>
    <t>SECSTMSM</t>
  </si>
  <si>
    <t>SECSTMRBH</t>
  </si>
  <si>
    <t>SECSTMRBL</t>
  </si>
  <si>
    <t>SECSTMRBM</t>
  </si>
  <si>
    <t>SECSTMRLH</t>
  </si>
  <si>
    <t>SECSTMRLM</t>
  </si>
  <si>
    <t>SECSTMRSL</t>
  </si>
  <si>
    <t>SECSTMRSM</t>
  </si>
  <si>
    <t>kT/PJ</t>
  </si>
  <si>
    <t>NA</t>
  </si>
  <si>
    <t>CA</t>
  </si>
  <si>
    <t>WI</t>
  </si>
  <si>
    <t>Coal</t>
  </si>
  <si>
    <t>Natural Gas</t>
  </si>
  <si>
    <t>PJ</t>
  </si>
  <si>
    <t>MMBtu</t>
  </si>
  <si>
    <t>Updated emission factor from GREET(Beta), dated Dec 21st, 2012</t>
  </si>
  <si>
    <t>Refinery emissions per unit outputs</t>
  </si>
  <si>
    <t>Conventional gasoline, onsite emissions (kT/PJ)</t>
  </si>
  <si>
    <t>NOx</t>
  </si>
  <si>
    <t>PM2.5</t>
  </si>
  <si>
    <t>SOx</t>
  </si>
  <si>
    <t>CO2Biogenic</t>
  </si>
  <si>
    <t>Reformulated gasoline, onsite Emissions (kT/PJ)</t>
  </si>
  <si>
    <t>Jet fuel, onsite emissions (kT/PJ)</t>
  </si>
  <si>
    <t>Conventional diesel, onsite emissions (kT/PJ)</t>
  </si>
  <si>
    <t>Low sulfur diesel, onsite emissions (kT/PJ)</t>
  </si>
  <si>
    <t>LPG, onsite Emissions (kT/PJ)</t>
  </si>
  <si>
    <t>Residual fuel oil, onsite emissions (kT/PJ)</t>
  </si>
  <si>
    <t>Data generated with the EPA/NRMRL/APPCD CUECost spreadsheet model</t>
  </si>
  <si>
    <r>
      <t>SO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Control Summary</t>
    </r>
  </si>
  <si>
    <t>Bituminous</t>
  </si>
  <si>
    <t>High Sulfur</t>
  </si>
  <si>
    <t>Medium Sulfur</t>
  </si>
  <si>
    <t>Low Sulfur</t>
  </si>
  <si>
    <t>FGD (SECSTMBHFG)</t>
  </si>
  <si>
    <t>Pass (SECSTMBHPT)</t>
  </si>
  <si>
    <t>FGD (SECSTMBMFG)</t>
  </si>
  <si>
    <t>Pass (SECSTMBMPT)</t>
  </si>
  <si>
    <t>FGD (SECSTMBLFG)</t>
  </si>
  <si>
    <t>Pass (SECSTMBLPT)</t>
  </si>
  <si>
    <t>Equilibrium Emissions Rate (kT/PJ)</t>
  </si>
  <si>
    <t>Capital Cost (m$/PJ/yr)</t>
  </si>
  <si>
    <t>Variable O&amp;M (m$/PJ)</t>
  </si>
  <si>
    <t>Sub-Bituminous</t>
  </si>
  <si>
    <t>FGD (SECSTMSHFG)</t>
  </si>
  <si>
    <t>Pass (SECSTMSHPT)</t>
  </si>
  <si>
    <t>FGD (SECSTMSMFG)</t>
  </si>
  <si>
    <t>Pass (SECSTMSMPT)</t>
  </si>
  <si>
    <t>FGD (SECSTMSLFG)</t>
  </si>
  <si>
    <t>Pass (SECSTMSLPT)</t>
  </si>
  <si>
    <t>N/A</t>
  </si>
  <si>
    <t>Lignite</t>
  </si>
  <si>
    <t>FGD (SECSTMLHFG)</t>
  </si>
  <si>
    <t>Pass (SECSTMLHPT)</t>
  </si>
  <si>
    <t>FGD (SECSTMLMFG)</t>
  </si>
  <si>
    <t>Pass (SECSTMLMPT)</t>
  </si>
  <si>
    <t>FGD</t>
  </si>
  <si>
    <t>Pass</t>
  </si>
  <si>
    <r>
      <t>NO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Control Summary</t>
    </r>
  </si>
  <si>
    <t>Calculated $/tonne removed</t>
  </si>
  <si>
    <t>Pass Through (SECSTMBPT/2)</t>
  </si>
  <si>
    <t>LNB (SECSTMBLNB)</t>
  </si>
  <si>
    <t>SCR (after LNB, SECSTMBSCR)</t>
  </si>
  <si>
    <t>SNCR (after LNB, SECSTMBSNC)</t>
  </si>
  <si>
    <t>SCR only (SECSTMBSC2)</t>
  </si>
  <si>
    <t>SNCR only (SECSTMBSN2)</t>
  </si>
  <si>
    <t>LNB-SCR (SECSTMBLS2)</t>
  </si>
  <si>
    <t>LNB-SNCR (SECSTMBLN2)</t>
  </si>
  <si>
    <t>Pass Through (SECSTMSPT/2)</t>
  </si>
  <si>
    <t>LNB (SECSTMSLNB)</t>
  </si>
  <si>
    <t>SCR (after LNB, SECSTMSSCR)</t>
  </si>
  <si>
    <t>SNCR (after LNB, SECSTMSSNC)</t>
  </si>
  <si>
    <t>SCR only (SECSTMSSC2)</t>
  </si>
  <si>
    <t>SNCR only (SECSTMSSN2)</t>
  </si>
  <si>
    <t>LNB-SCR (SECSTMSLS2)</t>
  </si>
  <si>
    <t>LNB-SNCR (SECSTMSLN2)</t>
  </si>
  <si>
    <t>Pass Through (SECSTMLPT/2)</t>
  </si>
  <si>
    <t>LNB (SECSTMLLNB)</t>
  </si>
  <si>
    <t>SCR (after LNB, SECSTMLSCR)</t>
  </si>
  <si>
    <t>SNCR (after LNB, SECSTMLSNC)</t>
  </si>
  <si>
    <t>SCR only (SECSTMLSC2)</t>
  </si>
  <si>
    <t>SNCR only (SECSTMLSN2)</t>
  </si>
  <si>
    <t>LNB-SCR (SECSTMLLS2)</t>
  </si>
  <si>
    <t>LNB-SNCR (SECSTMLLN2)</t>
  </si>
  <si>
    <t>RESID capacity for air pollution controls by Region. Based on EPA eGrid data (Original workbook "Coal Plant 9R RESIDS for 2000.xls")</t>
  </si>
  <si>
    <t>FGD Data</t>
  </si>
  <si>
    <t>Nameplate capacity in PJ/yr</t>
  </si>
  <si>
    <t>Sum of EffNPC(PJ)</t>
  </si>
  <si>
    <t>EPA9Rregion</t>
  </si>
  <si>
    <t>Coal Type</t>
  </si>
  <si>
    <t>Coal S Content</t>
  </si>
  <si>
    <t>N</t>
  </si>
  <si>
    <t>Y</t>
  </si>
  <si>
    <t>Grand Total</t>
  </si>
  <si>
    <t>Data from:</t>
  </si>
  <si>
    <t>BIT</t>
  </si>
  <si>
    <t>L</t>
  </si>
  <si>
    <t>EIA767 (yr. 2000)</t>
  </si>
  <si>
    <t>M</t>
  </si>
  <si>
    <t>eGRID2002 (yr. 2000)</t>
  </si>
  <si>
    <t>SUB</t>
  </si>
  <si>
    <t>H</t>
  </si>
  <si>
    <t>LIG</t>
  </si>
  <si>
    <t>NOX Control Retrofits</t>
  </si>
  <si>
    <t>Neither</t>
  </si>
  <si>
    <t>SNCR</t>
  </si>
  <si>
    <t>SCR</t>
  </si>
  <si>
    <t>LNB</t>
  </si>
  <si>
    <r>
      <t>Source:  Madknick et al. (2011),</t>
    </r>
    <r>
      <rPr>
        <i/>
        <sz val="10"/>
        <color theme="1"/>
        <rFont val="Arial"/>
        <family val="2"/>
      </rPr>
      <t xml:space="preserve"> A Review of Operational Water Consumption and Withdrawal Factors for Electricity Generating Technologies.</t>
    </r>
    <r>
      <rPr>
        <sz val="10"/>
        <color theme="1"/>
        <rFont val="Arial"/>
        <family val="2"/>
      </rPr>
      <t xml:space="preserve">  NREL: Golden, CO</t>
    </r>
  </si>
  <si>
    <t>Table 1. Water Consumption Factors for Renewable Technologies (gal/MWh)</t>
  </si>
  <si>
    <t>Table 2. Water Consumption Factors for Non-renewable Technologies (gal/MWh)</t>
  </si>
  <si>
    <t>N/a for "source" and "table" ==&gt; withdrawals not reported and assumed to be equal to consumption.</t>
  </si>
  <si>
    <t>Table 3. Water Withdrawal Factors for Electricity Generating Technologies (gal/MWh)</t>
  </si>
  <si>
    <t>nonrenewable =</t>
  </si>
  <si>
    <t>NR</t>
  </si>
  <si>
    <t>Withdrawals (H20W)</t>
  </si>
  <si>
    <t>Consumption (H20C)</t>
  </si>
  <si>
    <t>Percent water withdrawal consumed</t>
  </si>
  <si>
    <r>
      <t>Million gallons H</t>
    </r>
    <r>
      <rPr>
        <b/>
        <vertAlign val="sub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O/PJ</t>
    </r>
  </si>
  <si>
    <r>
      <t>gallons H</t>
    </r>
    <r>
      <rPr>
        <b/>
        <vertAlign val="sub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O/MWh</t>
    </r>
  </si>
  <si>
    <t xml:space="preserve">Fuel Type </t>
  </si>
  <si>
    <t>Cooling</t>
  </si>
  <si>
    <t>Technology</t>
  </si>
  <si>
    <t>Median</t>
  </si>
  <si>
    <t>Min</t>
  </si>
  <si>
    <t>Max</t>
  </si>
  <si>
    <t>n</t>
  </si>
  <si>
    <t>Source(s)</t>
  </si>
  <si>
    <t>Table</t>
  </si>
  <si>
    <t>R or NR</t>
  </si>
  <si>
    <t>Biopower</t>
  </si>
  <si>
    <t xml:space="preserve">Dry </t>
  </si>
  <si>
    <t xml:space="preserve">Biogas </t>
  </si>
  <si>
    <t>n/a</t>
  </si>
  <si>
    <t>[51]</t>
  </si>
  <si>
    <t>R</t>
  </si>
  <si>
    <t>Once-through</t>
  </si>
  <si>
    <t>Steam</t>
  </si>
  <si>
    <t>[50]</t>
  </si>
  <si>
    <t>Pond</t>
  </si>
  <si>
    <t>Tower</t>
  </si>
  <si>
    <t>[52]</t>
  </si>
  <si>
    <t>[49]</t>
  </si>
  <si>
    <t>[49-51]</t>
  </si>
  <si>
    <t>Generic</t>
  </si>
  <si>
    <t>[11, 27, 50, 58]</t>
  </si>
  <si>
    <t>[10, 27, 50, 58]</t>
  </si>
  <si>
    <t>Subcritical</t>
  </si>
  <si>
    <t>[57]</t>
  </si>
  <si>
    <t>Supercritical</t>
  </si>
  <si>
    <t>[27, 50]</t>
  </si>
  <si>
    <t>[27, 35, 50, 58]</t>
  </si>
  <si>
    <t>[10, 14, 27, 50, 58]</t>
  </si>
  <si>
    <t>IGCC</t>
  </si>
  <si>
    <t>[12, 13, 35, 59]</t>
  </si>
  <si>
    <t>[13, 59]</t>
  </si>
  <si>
    <t>IGCC with CCS</t>
  </si>
  <si>
    <t>[12, 59]</t>
  </si>
  <si>
    <t>[59]</t>
  </si>
  <si>
    <t>[12, 13, 57, 59, 61]</t>
  </si>
  <si>
    <t>[13, 57, 59, 61]</t>
  </si>
  <si>
    <t>Subcritical with CCS</t>
  </si>
  <si>
    <t>Supercritical with CCS</t>
  </si>
  <si>
    <t>CSP</t>
  </si>
  <si>
    <t>Dry</t>
  </si>
  <si>
    <t xml:space="preserve">Power Tower </t>
  </si>
  <si>
    <t>[48]</t>
  </si>
  <si>
    <t xml:space="preserve">Trough </t>
  </si>
  <si>
    <t>[38, 42-44]</t>
  </si>
  <si>
    <t>Hybrid</t>
  </si>
  <si>
    <t>[47]</t>
  </si>
  <si>
    <t xml:space="preserve">Hybrid </t>
  </si>
  <si>
    <t>[42, 47]</t>
  </si>
  <si>
    <t xml:space="preserve">N/A </t>
  </si>
  <si>
    <t xml:space="preserve">Stirling </t>
  </si>
  <si>
    <t>[34, 49]</t>
  </si>
  <si>
    <t xml:space="preserve">Fresnel </t>
  </si>
  <si>
    <t>[34, 39-41]</t>
  </si>
  <si>
    <t>[10, 34, 37-46]</t>
  </si>
  <si>
    <t>Geothermal</t>
  </si>
  <si>
    <t xml:space="preserve">Binary </t>
  </si>
  <si>
    <t>[19, 51]</t>
  </si>
  <si>
    <t xml:space="preserve">EGS </t>
  </si>
  <si>
    <t xml:space="preserve">Flash </t>
  </si>
  <si>
    <t>[51, 56]</t>
  </si>
  <si>
    <t>[56]</t>
  </si>
  <si>
    <t>[10, 54, 55]</t>
  </si>
  <si>
    <t xml:space="preserve">Dry Steam </t>
  </si>
  <si>
    <t>[10]</t>
  </si>
  <si>
    <t>[10, 51, 54, 55]</t>
  </si>
  <si>
    <t xml:space="preserve">Flash (freshwater) </t>
  </si>
  <si>
    <t>[19, 20, 49]</t>
  </si>
  <si>
    <t xml:space="preserve">Flash (geothermal fluid) </t>
  </si>
  <si>
    <t>[53]</t>
  </si>
  <si>
    <t xml:space="preserve">Hydropower </t>
  </si>
  <si>
    <t xml:space="preserve">Aggregated in-stream &amp; reservoir </t>
  </si>
  <si>
    <t>[22, 23]</t>
  </si>
  <si>
    <t>Combined Cycle</t>
  </si>
  <si>
    <t>[50, 57]</t>
  </si>
  <si>
    <t>Inlet</t>
  </si>
  <si>
    <t>[50, 57, 60]</t>
  </si>
  <si>
    <t>[10, 49]</t>
  </si>
  <si>
    <t>[12, 13, 50, 57, 59]</t>
  </si>
  <si>
    <t>[13, 34, 50, 57, 59]</t>
  </si>
  <si>
    <t>Combined Cycle with CCS</t>
  </si>
  <si>
    <t>[49, 60]</t>
  </si>
  <si>
    <t>[10, 14, 49, 60]</t>
  </si>
  <si>
    <t>Nuclear</t>
  </si>
  <si>
    <t>[27, 50, 57, 58]</t>
  </si>
  <si>
    <t>[27, 50, 57]</t>
  </si>
  <si>
    <t>[10, 14, 27, 50, 57]</t>
  </si>
  <si>
    <t xml:space="preserve">PV </t>
  </si>
  <si>
    <t xml:space="preserve">Utility Scale PV </t>
  </si>
  <si>
    <t>[10, 34, 35]</t>
  </si>
  <si>
    <t xml:space="preserve">Wind </t>
  </si>
  <si>
    <t xml:space="preserve">Wind Turbine </t>
  </si>
  <si>
    <t>[11, 36]</t>
  </si>
  <si>
    <r>
      <t xml:space="preserve">Source:  DOE (2006), </t>
    </r>
    <r>
      <rPr>
        <i/>
        <sz val="10"/>
        <color theme="1"/>
        <rFont val="Arial"/>
        <family val="2"/>
      </rPr>
      <t>Energy Demands on Water Resources:  Report to Congress on the Interdependency of Energy and Water.</t>
    </r>
    <r>
      <rPr>
        <sz val="10"/>
        <color theme="1"/>
        <rFont val="Arial"/>
        <family val="2"/>
      </rPr>
      <t xml:space="preserve">  DOE, Washington DC.</t>
    </r>
  </si>
  <si>
    <t>p. 56 (primarily mined in WY, TX, NE but older mines in NM an UT are considering reopening)</t>
  </si>
  <si>
    <t>p. 53; lower range for Western coals, higher range for underground Eastern underground coals</t>
  </si>
  <si>
    <t>Withdrawal/Consumption Values</t>
  </si>
  <si>
    <r>
      <t>gallons H</t>
    </r>
    <r>
      <rPr>
        <b/>
        <vertAlign val="sub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O/MMBtu</t>
    </r>
  </si>
  <si>
    <t>Low Range</t>
  </si>
  <si>
    <t>Average or Reported Value</t>
  </si>
  <si>
    <t>High Range</t>
  </si>
  <si>
    <t>Uranium Mining</t>
  </si>
  <si>
    <t>Uranium Processing</t>
  </si>
  <si>
    <t>Coal mining (extraction)</t>
  </si>
  <si>
    <t>USDOE 2006 - water use per unit of thermal energy shown here and units of water use per electric energy shown in USDOE Appendix B; water use varies from 10 to 100 gal per ton of coal mined; 1 MMBTU = approximately 8 gal of gasoline</t>
  </si>
  <si>
    <t>Using factors labeled *-EPA where available</t>
  </si>
  <si>
    <t>Methodology for 2005 and 2010 appears to be different than for 2015 and 2020. If 2005&amp;10 are less than 2015, 2015 factor is used.</t>
  </si>
  <si>
    <t>Correction for GREET factors being based upon LHVs</t>
  </si>
  <si>
    <t>Note: for 2015 values, the 2013 values from the GREET2014 update are used.</t>
  </si>
  <si>
    <t>2020 value from GREET12. 2010 is 10% greater, 2020 is 10% greater.</t>
  </si>
  <si>
    <t>Assuming biomass-to-steam and biomass-to-IGCC require 1/10th of energy input from lignite and bit. coal, respectively. This factors into the CO2 EF. This assumptions should be revisited in the future.</t>
  </si>
  <si>
    <t>Using typical bit. coal CO2 EF for IGCC</t>
  </si>
  <si>
    <t>2030-2055</t>
  </si>
  <si>
    <t>IGCC turbine</t>
  </si>
  <si>
    <t>utility coal boiler - bituminous</t>
  </si>
  <si>
    <t>Utility coal boiler - subbituminous</t>
  </si>
  <si>
    <t>Utility coal boiler - lignite</t>
  </si>
  <si>
    <t>Natural gas boiler</t>
  </si>
  <si>
    <t>Natural gas turbine (large)</t>
  </si>
  <si>
    <t>Natural gas combined cycle</t>
  </si>
  <si>
    <t>Residual fuel oil boiler</t>
  </si>
  <si>
    <t>Diesel turbines</t>
  </si>
  <si>
    <t>Diesel engines</t>
  </si>
  <si>
    <t>Biomass IGCC</t>
  </si>
  <si>
    <t>Biomass STM</t>
  </si>
  <si>
    <t>Aggregate diesel</t>
  </si>
  <si>
    <t>Emission factors from GREET 2012</t>
  </si>
  <si>
    <t>Factors from GREET 2014</t>
  </si>
  <si>
    <t>Converted to lbs/MMBTUin</t>
  </si>
  <si>
    <t>Original units</t>
  </si>
  <si>
    <t>engine voc</t>
  </si>
  <si>
    <t>2013_14</t>
  </si>
  <si>
    <t>2020_14</t>
  </si>
  <si>
    <t>2030_14</t>
  </si>
  <si>
    <t>g/mmbtu</t>
  </si>
  <si>
    <t>lbs/MMBTU</t>
  </si>
  <si>
    <t>g/kWh</t>
  </si>
  <si>
    <t>turbine voc</t>
  </si>
  <si>
    <t>kg/mmbtu</t>
  </si>
  <si>
    <t>bituminous</t>
  </si>
  <si>
    <t>IGCC Coal efficiency</t>
  </si>
  <si>
    <t>utility coal boiler</t>
  </si>
  <si>
    <t>Calibration parameter: Fraction of diesel emissions</t>
  </si>
  <si>
    <t>turbine</t>
  </si>
  <si>
    <t>engine</t>
  </si>
  <si>
    <t>subbituminous</t>
  </si>
  <si>
    <t>Multiplier</t>
  </si>
  <si>
    <t>Calculated using multiplier</t>
  </si>
  <si>
    <t>lignite</t>
  </si>
  <si>
    <t>Multiplier derived from comparing energy content of lignite and subb,</t>
  </si>
  <si>
    <t>based upon EIA fuel heat content estimates</t>
  </si>
  <si>
    <t>Natural gas turbine</t>
  </si>
  <si>
    <t>Summary of 2013, 2020 and 2030 Emission Factors for Gaseous and Liquid Fuel Boilers, by boiler size.</t>
  </si>
  <si>
    <t>Boilers</t>
  </si>
  <si>
    <t>Engines</t>
  </si>
  <si>
    <t>Turbines</t>
  </si>
  <si>
    <t>Natural Gas: EGU &gt;250 mmBtu/hr</t>
  </si>
  <si>
    <t>Diesel:</t>
  </si>
  <si>
    <t>Natural Gas (&gt;1 MW) Single-cycle</t>
  </si>
  <si>
    <t>Pollutant</t>
  </si>
  <si>
    <t>Emission Factor 
(lb/MMBtu Lower Heating Value (LHV) Basis)</t>
  </si>
  <si>
    <t>Black Carbon</t>
  </si>
  <si>
    <t xml:space="preserve">CO </t>
  </si>
  <si>
    <t>PM-con</t>
  </si>
  <si>
    <t>Included in  PM10/PM2.5 factors</t>
  </si>
  <si>
    <t>PM10-fil</t>
  </si>
  <si>
    <t>PM10-pri</t>
  </si>
  <si>
    <t>PM2.5-fil</t>
  </si>
  <si>
    <t>PM2.5-pri</t>
  </si>
  <si>
    <t>Condensable PM</t>
  </si>
  <si>
    <t>Gasoline:</t>
  </si>
  <si>
    <t>Coal: &gt;250 mmBtu/hr (EGU-Bituminous)</t>
  </si>
  <si>
    <t>Coal Type Applicability</t>
  </si>
  <si>
    <t>Bit</t>
  </si>
  <si>
    <t>Included in PRI values</t>
  </si>
  <si>
    <t>Not available</t>
  </si>
  <si>
    <t>Natural Gas:</t>
  </si>
  <si>
    <t>Natural Gas (&gt;1 MW) Combined-cycle</t>
  </si>
  <si>
    <t>Coal: &gt;250 mmBtu/hr (EGU-Sub-bituminous)</t>
  </si>
  <si>
    <t>Sub-bit</t>
  </si>
  <si>
    <t>Biogas:</t>
  </si>
  <si>
    <t>IGCC:</t>
  </si>
  <si>
    <t>Emission Factor 
(g/kWh Net Output Basis)</t>
  </si>
  <si>
    <t xml:space="preserve">Small LPG </t>
  </si>
  <si>
    <t>Biogas (&lt;1 MW)</t>
  </si>
  <si>
    <t>(Projections same as baseline)</t>
  </si>
  <si>
    <t>Wet Biomass (Forest Residue): &gt;250 mmBtu/hr</t>
  </si>
  <si>
    <t>Emission Factor 
(lb/MMBtu Higher Heating Value (HHV) Basis)</t>
  </si>
  <si>
    <t>Distillate Liquid: EGU &gt;250 mmBtu/hr</t>
  </si>
  <si>
    <t>Residual Oil: EGU &gt;250 mmBtu/hr</t>
  </si>
  <si>
    <t>State to Census Region Conversion</t>
  </si>
  <si>
    <t>GDP Deflators (Conversion to US$2005)</t>
  </si>
  <si>
    <t>Standard Conversions</t>
  </si>
  <si>
    <t xml:space="preserve">Alabama </t>
  </si>
  <si>
    <t>AL</t>
  </si>
  <si>
    <t>Deflator</t>
  </si>
  <si>
    <t>Multiply By (for $2005)</t>
  </si>
  <si>
    <t>from</t>
  </si>
  <si>
    <t>to</t>
  </si>
  <si>
    <t>multiply  by</t>
  </si>
  <si>
    <t>Alaska</t>
  </si>
  <si>
    <t>AK</t>
  </si>
  <si>
    <t>Btu</t>
  </si>
  <si>
    <t>J</t>
  </si>
  <si>
    <t xml:space="preserve">Arizona </t>
  </si>
  <si>
    <t>AZ</t>
  </si>
  <si>
    <t>kWh</t>
  </si>
  <si>
    <t>MJ</t>
  </si>
  <si>
    <t xml:space="preserve">Arkansas </t>
  </si>
  <si>
    <t>AR</t>
  </si>
  <si>
    <t>MWh</t>
  </si>
  <si>
    <t xml:space="preserve">California </t>
  </si>
  <si>
    <t xml:space="preserve">Colorado </t>
  </si>
  <si>
    <t xml:space="preserve">Connecticut </t>
  </si>
  <si>
    <t>CT</t>
  </si>
  <si>
    <t>yr</t>
  </si>
  <si>
    <t>hr</t>
  </si>
  <si>
    <t xml:space="preserve">Delaware </t>
  </si>
  <si>
    <t>DE</t>
  </si>
  <si>
    <t>GW</t>
  </si>
  <si>
    <t>Pja</t>
  </si>
  <si>
    <t>District of Columbia</t>
  </si>
  <si>
    <t>DC</t>
  </si>
  <si>
    <t>$mills/kWh</t>
  </si>
  <si>
    <t>$Million/PJ</t>
  </si>
  <si>
    <t xml:space="preserve">Florida </t>
  </si>
  <si>
    <t>FL</t>
  </si>
  <si>
    <t xml:space="preserve">Georgia </t>
  </si>
  <si>
    <t>GA</t>
  </si>
  <si>
    <t>Hawaii</t>
  </si>
  <si>
    <t>HI</t>
  </si>
  <si>
    <t xml:space="preserve">Idaho </t>
  </si>
  <si>
    <t>ID</t>
  </si>
  <si>
    <t xml:space="preserve">Illinois </t>
  </si>
  <si>
    <t>IL</t>
  </si>
  <si>
    <t xml:space="preserve">Indiana </t>
  </si>
  <si>
    <t>IN</t>
  </si>
  <si>
    <t xml:space="preserve">Iowa </t>
  </si>
  <si>
    <t>IA</t>
  </si>
  <si>
    <t xml:space="preserve">Kansas </t>
  </si>
  <si>
    <t>KS</t>
  </si>
  <si>
    <t xml:space="preserve">Kentucky </t>
  </si>
  <si>
    <t>KY</t>
  </si>
  <si>
    <t xml:space="preserve">Louisiana </t>
  </si>
  <si>
    <t>LA</t>
  </si>
  <si>
    <t xml:space="preserve">Maine </t>
  </si>
  <si>
    <t>ME</t>
  </si>
  <si>
    <t xml:space="preserve">Maryland </t>
  </si>
  <si>
    <t>MD</t>
  </si>
  <si>
    <t xml:space="preserve">Massachusetts </t>
  </si>
  <si>
    <t>MA</t>
  </si>
  <si>
    <t xml:space="preserve">Michigan </t>
  </si>
  <si>
    <t>MI</t>
  </si>
  <si>
    <t xml:space="preserve">Minnesota </t>
  </si>
  <si>
    <t>MN</t>
  </si>
  <si>
    <t xml:space="preserve">Mississippi </t>
  </si>
  <si>
    <t>MS</t>
  </si>
  <si>
    <t xml:space="preserve">Missouri </t>
  </si>
  <si>
    <t>MO</t>
  </si>
  <si>
    <t xml:space="preserve">Montana </t>
  </si>
  <si>
    <t>MT</t>
  </si>
  <si>
    <t xml:space="preserve">Nebraska </t>
  </si>
  <si>
    <t>NE</t>
  </si>
  <si>
    <t xml:space="preserve">Nevada </t>
  </si>
  <si>
    <t>NV</t>
  </si>
  <si>
    <t xml:space="preserve">New Hampshire </t>
  </si>
  <si>
    <t>NH</t>
  </si>
  <si>
    <t xml:space="preserve">New Jersey </t>
  </si>
  <si>
    <t>NJ</t>
  </si>
  <si>
    <t xml:space="preserve">New Mexico </t>
  </si>
  <si>
    <t>NM</t>
  </si>
  <si>
    <t xml:space="preserve">New York </t>
  </si>
  <si>
    <t>NY</t>
  </si>
  <si>
    <t xml:space="preserve">North Carolina </t>
  </si>
  <si>
    <t>NC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</si>
  <si>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</si>
  <si>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 xml:space="preserve">North Dakota </t>
  </si>
  <si>
    <t>ND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</si>
  <si>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</si>
  <si>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 xml:space="preserve">Ohio </t>
  </si>
  <si>
    <t>OH</t>
  </si>
  <si>
    <t>US Department of Commerce: Bureau of Economic Analysis</t>
  </si>
  <si>
    <t xml:space="preserve">Oklahoma </t>
  </si>
  <si>
    <t>OK</t>
  </si>
  <si>
    <t>http://www.bea.gov/national/nipaweb/SelectTable.asp?Selected=Y</t>
  </si>
  <si>
    <t xml:space="preserve">Oregon </t>
  </si>
  <si>
    <t>OR</t>
  </si>
  <si>
    <t>Downloaded on 4/20/2012    Last Revised March 29,2012</t>
  </si>
  <si>
    <t xml:space="preserve">Pennsylvania </t>
  </si>
  <si>
    <t>PA</t>
  </si>
  <si>
    <t xml:space="preserve">Rhode Island </t>
  </si>
  <si>
    <t>RI</t>
  </si>
  <si>
    <t xml:space="preserve">South Carolina </t>
  </si>
  <si>
    <t>SC</t>
  </si>
  <si>
    <t xml:space="preserve">South Dakota </t>
  </si>
  <si>
    <t>SD</t>
  </si>
  <si>
    <t xml:space="preserve">Tennessee </t>
  </si>
  <si>
    <t>TN</t>
  </si>
  <si>
    <t xml:space="preserve">Texas </t>
  </si>
  <si>
    <t>TX</t>
  </si>
  <si>
    <t xml:space="preserve">Utah </t>
  </si>
  <si>
    <t>UT</t>
  </si>
  <si>
    <t xml:space="preserve">Vermont </t>
  </si>
  <si>
    <t>VT</t>
  </si>
  <si>
    <t xml:space="preserve">Virginia </t>
  </si>
  <si>
    <t>VA</t>
  </si>
  <si>
    <t xml:space="preserve">Washington </t>
  </si>
  <si>
    <t>WA</t>
  </si>
  <si>
    <t xml:space="preserve">West Virginia </t>
  </si>
  <si>
    <t>WV</t>
  </si>
  <si>
    <t xml:space="preserve">Wisconsin </t>
  </si>
  <si>
    <t xml:space="preserve">Wyoming 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</si>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</sst>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-* #,##0.0000_-;\-* #,##0.0000_-;_-* &quot;-&quot;??_-;_-@_-"/>
    <numFmt numFmtId="166" formatCode="0.00000"/>
    <numFmt numFmtId="168" formatCode="0.000"/>
    <numFmt numFmtId="169" formatCode="_(* #,##0_);_(* \(#,##0\);_(* &quot;-&quot;??_);_(@_)"/>
    <numFmt numFmtId="170" formatCode="0.0000"/>
    <numFmt numFmtId="171" formatCode="_-&quot;$&quot;* #,##0.00_-;\-&quot;$&quot;* #,##0.00_-;_-&quot;$&quot;* &quot;-&quot;??_-;_-@_-"/>
    <numFmt numFmtId="172" formatCode="_-* #,##0.00_-;\-* #,##0.00_-;_-* &quot;-&quot;??_-;_-@_-"/>
    <numFmt numFmtId="173" formatCode="m\o\n\th\ d\,\ yyyy"/>
    <numFmt numFmtId="174" formatCode="#.00"/>
    <numFmt numFmtId="175" formatCode="#."/>
    <numFmt numFmtId="176" formatCode="yyyy"/>
    <numFmt numFmtId="177" formatCode="_(* #,##0.0000_);_(* \(#,##0.0000\);_(* &quot;-&quot;??_);_(@_)"/>
    <numFmt numFmtId="178" formatCode="_-* #,##0.0_-;\-* #,##0.0_-;_-* &quot;-&quot;??_-;_-@_-"/>
    <numFmt numFmtId="179" formatCode="#,##0.0"/>
    <numFmt numFmtId="180" formatCode="#,##0.00000"/>
    <numFmt numFmtId="181" formatCode="#,##0.000000"/>
    <numFmt numFmtId="182" formatCode="#,##0.0000"/>
    <numFmt numFmtId="183" formatCode="0.0"/>
    <numFmt numFmtId="184" formatCode="#,##0.000"/>
    <numFmt numFmtId="185" formatCode="_(* #,##0.000_);_(* \(#,##0.00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0"/>
      <color indexed="56"/>
      <name val="Arial"/>
      <family val="2"/>
    </font>
    <font>
      <i/>
      <sz val="10"/>
      <color theme="1"/>
      <name val="Arial"/>
      <family val="2"/>
    </font>
    <font>
      <b/>
      <vertAlign val="subscript"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i/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4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3" fillId="0" borderId="0">
      <protection locked="0"/>
    </xf>
    <xf numFmtId="174" fontId="13" fillId="0" borderId="0">
      <protection locked="0"/>
    </xf>
    <xf numFmtId="175" fontId="14" fillId="0" borderId="0">
      <protection locked="0"/>
    </xf>
    <xf numFmtId="175" fontId="14" fillId="0" borderId="0">
      <protection locked="0"/>
    </xf>
    <xf numFmtId="0" fontId="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ill="0" applyBorder="0" applyAlignment="0" applyProtection="0">
      <alignment wrapText="1"/>
    </xf>
    <xf numFmtId="176" fontId="1" fillId="0" borderId="0" applyFill="0" applyBorder="0" applyAlignment="0" applyProtection="0">
      <alignment wrapText="1"/>
    </xf>
    <xf numFmtId="176" fontId="1" fillId="0" borderId="0" applyFill="0" applyBorder="0" applyAlignment="0" applyProtection="0">
      <alignment wrapText="1"/>
    </xf>
    <xf numFmtId="176" fontId="1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175" fontId="13" fillId="0" borderId="3">
      <protection locked="0"/>
    </xf>
    <xf numFmtId="0" fontId="11" fillId="0" borderId="2" applyNumberFormat="0" applyProtection="0">
      <alignment wrapText="1"/>
    </xf>
    <xf numFmtId="0" fontId="5" fillId="0" borderId="4" applyNumberFormat="0" applyProtection="0">
      <alignment vertical="top"/>
    </xf>
    <xf numFmtId="0" fontId="11" fillId="0" borderId="5" applyNumberFormat="0" applyFill="0" applyProtection="0">
      <alignment wrapText="1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26" fillId="0" borderId="0"/>
    <xf numFmtId="0" fontId="1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3" borderId="1" xfId="0" applyFont="1" applyFill="1" applyBorder="1"/>
    <xf numFmtId="165" fontId="4" fillId="3" borderId="1" xfId="3" applyNumberFormat="1" applyFont="1" applyFill="1" applyBorder="1"/>
    <xf numFmtId="165" fontId="4" fillId="0" borderId="0" xfId="3" applyNumberFormat="1" applyFont="1" applyFill="1" applyBorder="1"/>
    <xf numFmtId="0" fontId="1" fillId="4" borderId="0" xfId="0" applyFont="1" applyFill="1"/>
    <xf numFmtId="0" fontId="1" fillId="4" borderId="0" xfId="2" applyFill="1"/>
    <xf numFmtId="0" fontId="6" fillId="2" borderId="0" xfId="0" applyFont="1" applyFill="1"/>
    <xf numFmtId="0" fontId="1" fillId="2" borderId="0" xfId="0" applyFont="1" applyFill="1"/>
    <xf numFmtId="0" fontId="4" fillId="2" borderId="0" xfId="0" applyFont="1" applyFill="1"/>
    <xf numFmtId="168" fontId="1" fillId="2" borderId="0" xfId="0" applyNumberFormat="1" applyFont="1" applyFill="1"/>
    <xf numFmtId="166" fontId="1" fillId="2" borderId="0" xfId="0" applyNumberFormat="1" applyFont="1" applyFill="1"/>
    <xf numFmtId="0" fontId="1" fillId="2" borderId="0" xfId="0" applyFont="1" applyFill="1" applyAlignment="1">
      <alignment wrapText="1"/>
    </xf>
    <xf numFmtId="0" fontId="0" fillId="5" borderId="0" xfId="0" applyFill="1"/>
    <xf numFmtId="43" fontId="4" fillId="3" borderId="1" xfId="7" applyFont="1" applyFill="1" applyBorder="1"/>
    <xf numFmtId="11" fontId="1" fillId="4" borderId="0" xfId="4" applyNumberFormat="1" applyFont="1" applyFill="1"/>
    <xf numFmtId="11" fontId="1" fillId="4" borderId="0" xfId="0" applyNumberFormat="1" applyFont="1" applyFill="1"/>
    <xf numFmtId="0" fontId="1" fillId="4" borderId="0" xfId="35" applyFill="1" applyAlignment="1">
      <alignment vertical="center"/>
    </xf>
    <xf numFmtId="0" fontId="0" fillId="2" borderId="0" xfId="0" applyFill="1"/>
    <xf numFmtId="0" fontId="18" fillId="2" borderId="0" xfId="0" applyFont="1" applyFill="1"/>
    <xf numFmtId="0" fontId="19" fillId="2" borderId="0" xfId="0" applyFont="1" applyFill="1"/>
    <xf numFmtId="0" fontId="21" fillId="2" borderId="0" xfId="0" applyFont="1" applyFill="1"/>
    <xf numFmtId="0" fontId="1" fillId="2" borderId="0" xfId="0" applyFont="1" applyFill="1" applyAlignment="1">
      <alignment horizontal="center" vertical="center" wrapText="1"/>
    </xf>
    <xf numFmtId="170" fontId="1" fillId="2" borderId="0" xfId="0" applyNumberFormat="1" applyFont="1" applyFill="1"/>
    <xf numFmtId="0" fontId="1" fillId="2" borderId="0" xfId="0" applyFont="1" applyFill="1" applyAlignment="1">
      <alignment horizontal="center" wrapText="1"/>
    </xf>
    <xf numFmtId="168" fontId="1" fillId="2" borderId="0" xfId="0" applyNumberFormat="1" applyFont="1" applyFill="1" applyAlignment="1">
      <alignment wrapText="1"/>
    </xf>
    <xf numFmtId="2" fontId="1" fillId="2" borderId="0" xfId="0" applyNumberFormat="1" applyFont="1" applyFill="1"/>
    <xf numFmtId="0" fontId="1" fillId="2" borderId="0" xfId="0" pivotButton="1" applyFont="1" applyFill="1"/>
    <xf numFmtId="0" fontId="0" fillId="4" borderId="0" xfId="0" applyFill="1"/>
    <xf numFmtId="43" fontId="1" fillId="4" borderId="0" xfId="4" applyFont="1" applyFill="1"/>
    <xf numFmtId="43" fontId="0" fillId="4" borderId="0" xfId="4" applyFont="1" applyFill="1"/>
    <xf numFmtId="0" fontId="1" fillId="4" borderId="7" xfId="0" applyFont="1" applyFill="1" applyBorder="1"/>
    <xf numFmtId="0" fontId="1" fillId="4" borderId="7" xfId="2" applyFill="1" applyBorder="1"/>
    <xf numFmtId="0" fontId="0" fillId="4" borderId="7" xfId="0" applyFill="1" applyBorder="1"/>
    <xf numFmtId="43" fontId="0" fillId="4" borderId="7" xfId="4" applyFont="1" applyFill="1" applyBorder="1"/>
    <xf numFmtId="43" fontId="1" fillId="4" borderId="7" xfId="4" applyFont="1" applyFill="1" applyBorder="1"/>
    <xf numFmtId="0" fontId="7" fillId="0" borderId="0" xfId="18" applyFont="1"/>
    <xf numFmtId="0" fontId="7" fillId="0" borderId="0" xfId="18" applyFont="1" applyAlignment="1">
      <alignment horizontal="right"/>
    </xf>
    <xf numFmtId="0" fontId="7" fillId="0" borderId="0" xfId="18" applyFont="1" applyAlignment="1">
      <alignment horizontal="center"/>
    </xf>
    <xf numFmtId="10" fontId="7" fillId="0" borderId="0" xfId="18" applyNumberFormat="1" applyFont="1"/>
    <xf numFmtId="0" fontId="1" fillId="0" borderId="0" xfId="35" applyAlignment="1">
      <alignment horizontal="right"/>
    </xf>
    <xf numFmtId="0" fontId="1" fillId="0" borderId="0" xfId="35" applyAlignment="1">
      <alignment horizontal="center"/>
    </xf>
    <xf numFmtId="0" fontId="7" fillId="6" borderId="0" xfId="18" applyFont="1" applyFill="1"/>
    <xf numFmtId="0" fontId="7" fillId="6" borderId="0" xfId="18" applyFont="1" applyFill="1" applyAlignment="1">
      <alignment horizontal="right"/>
    </xf>
    <xf numFmtId="0" fontId="7" fillId="6" borderId="0" xfId="18" applyFont="1" applyFill="1" applyAlignment="1">
      <alignment horizontal="center"/>
    </xf>
    <xf numFmtId="0" fontId="7" fillId="7" borderId="0" xfId="18" applyFont="1" applyFill="1"/>
    <xf numFmtId="0" fontId="7" fillId="7" borderId="0" xfId="18" applyFont="1" applyFill="1" applyAlignment="1">
      <alignment horizontal="right"/>
    </xf>
    <xf numFmtId="0" fontId="7" fillId="7" borderId="0" xfId="18" applyFont="1" applyFill="1" applyAlignment="1">
      <alignment horizontal="center"/>
    </xf>
    <xf numFmtId="0" fontId="6" fillId="0" borderId="7" xfId="18" applyFont="1" applyBorder="1" applyAlignment="1">
      <alignment horizontal="center"/>
    </xf>
    <xf numFmtId="0" fontId="6" fillId="0" borderId="0" xfId="18" applyFont="1" applyAlignment="1">
      <alignment horizontal="center"/>
    </xf>
    <xf numFmtId="4" fontId="7" fillId="0" borderId="0" xfId="18" applyNumberFormat="1" applyFont="1" applyAlignment="1">
      <alignment horizontal="right"/>
    </xf>
    <xf numFmtId="3" fontId="7" fillId="0" borderId="0" xfId="18" applyNumberFormat="1" applyFont="1"/>
    <xf numFmtId="0" fontId="7" fillId="0" borderId="8" xfId="18" applyFont="1" applyBorder="1"/>
    <xf numFmtId="0" fontId="7" fillId="0" borderId="8" xfId="18" applyFont="1" applyBorder="1" applyAlignment="1">
      <alignment horizontal="right"/>
    </xf>
    <xf numFmtId="0" fontId="7" fillId="0" borderId="8" xfId="18" applyFont="1" applyBorder="1" applyAlignment="1">
      <alignment horizontal="center"/>
    </xf>
    <xf numFmtId="0" fontId="7" fillId="0" borderId="0" xfId="40" applyFont="1"/>
    <xf numFmtId="0" fontId="7" fillId="8" borderId="0" xfId="18" applyFont="1" applyFill="1"/>
    <xf numFmtId="0" fontId="6" fillId="8" borderId="7" xfId="18" applyFont="1" applyFill="1" applyBorder="1" applyAlignment="1">
      <alignment horizontal="center" wrapText="1"/>
    </xf>
    <xf numFmtId="2" fontId="1" fillId="0" borderId="0" xfId="1" applyNumberFormat="1" applyAlignment="1">
      <alignment horizontal="center"/>
    </xf>
    <xf numFmtId="2" fontId="7" fillId="0" borderId="0" xfId="18" applyNumberFormat="1" applyFont="1"/>
    <xf numFmtId="0" fontId="1" fillId="0" borderId="0" xfId="41"/>
    <xf numFmtId="0" fontId="1" fillId="0" borderId="0" xfId="41" applyAlignment="1">
      <alignment horizontal="center"/>
    </xf>
    <xf numFmtId="0" fontId="1" fillId="0" borderId="0" xfId="2"/>
    <xf numFmtId="0" fontId="1" fillId="0" borderId="0" xfId="42"/>
    <xf numFmtId="0" fontId="4" fillId="11" borderId="0" xfId="2" applyFont="1" applyFill="1" applyAlignment="1">
      <alignment horizontal="right"/>
    </xf>
    <xf numFmtId="0" fontId="4" fillId="11" borderId="0" xfId="41" applyFont="1" applyFill="1" applyAlignment="1">
      <alignment horizontal="center"/>
    </xf>
    <xf numFmtId="168" fontId="1" fillId="0" borderId="0" xfId="2" applyNumberFormat="1"/>
    <xf numFmtId="11" fontId="1" fillId="0" borderId="0" xfId="9" applyNumberFormat="1" applyFont="1" applyAlignment="1">
      <alignment horizontal="center"/>
    </xf>
    <xf numFmtId="168" fontId="1" fillId="0" borderId="0" xfId="41" applyNumberFormat="1" applyAlignment="1">
      <alignment horizontal="center"/>
    </xf>
    <xf numFmtId="0" fontId="26" fillId="0" borderId="0" xfId="43" applyAlignment="1">
      <alignment horizontal="right" wrapText="1"/>
    </xf>
    <xf numFmtId="0" fontId="4" fillId="0" borderId="0" xfId="2" applyFont="1"/>
    <xf numFmtId="0" fontId="17" fillId="0" borderId="0" xfId="39" applyAlignment="1" applyProtection="1"/>
    <xf numFmtId="2" fontId="0" fillId="4" borderId="0" xfId="0" applyNumberFormat="1" applyFill="1"/>
    <xf numFmtId="2" fontId="0" fillId="4" borderId="7" xfId="0" applyNumberFormat="1" applyFill="1" applyBorder="1"/>
    <xf numFmtId="2" fontId="1" fillId="4" borderId="0" xfId="0" applyNumberFormat="1" applyFont="1" applyFill="1"/>
    <xf numFmtId="0" fontId="4" fillId="12" borderId="1" xfId="44" applyFont="1" applyFill="1" applyBorder="1" applyAlignment="1">
      <alignment vertical="center"/>
    </xf>
    <xf numFmtId="177" fontId="1" fillId="2" borderId="0" xfId="0" applyNumberFormat="1" applyFont="1" applyFill="1"/>
    <xf numFmtId="177" fontId="4" fillId="2" borderId="0" xfId="0" applyNumberFormat="1" applyFont="1" applyFill="1"/>
    <xf numFmtId="177" fontId="1" fillId="2" borderId="0" xfId="9" applyNumberFormat="1" applyFont="1" applyFill="1" applyBorder="1"/>
    <xf numFmtId="177" fontId="27" fillId="2" borderId="0" xfId="0" applyNumberFormat="1" applyFont="1" applyFill="1"/>
    <xf numFmtId="177" fontId="28" fillId="2" borderId="0" xfId="0" applyNumberFormat="1" applyFont="1" applyFill="1"/>
    <xf numFmtId="43" fontId="4" fillId="2" borderId="0" xfId="0" applyNumberFormat="1" applyFont="1" applyFill="1"/>
    <xf numFmtId="43" fontId="1" fillId="2" borderId="0" xfId="0" applyNumberFormat="1" applyFont="1" applyFill="1"/>
    <xf numFmtId="0" fontId="29" fillId="2" borderId="0" xfId="0" applyFont="1" applyFill="1"/>
    <xf numFmtId="165" fontId="1" fillId="2" borderId="0" xfId="9" applyNumberFormat="1" applyFont="1" applyFill="1" applyBorder="1"/>
    <xf numFmtId="178" fontId="1" fillId="2" borderId="0" xfId="9" applyNumberFormat="1" applyFont="1" applyFill="1" applyBorder="1"/>
    <xf numFmtId="0" fontId="1" fillId="2" borderId="0" xfId="0" applyFont="1" applyFill="1" applyAlignment="1">
      <alignment horizontal="left"/>
    </xf>
    <xf numFmtId="0" fontId="24" fillId="2" borderId="0" xfId="0" applyFont="1" applyFill="1"/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15" fillId="2" borderId="0" xfId="0" applyFont="1" applyFill="1"/>
    <xf numFmtId="169" fontId="1" fillId="2" borderId="0" xfId="9" applyNumberFormat="1" applyFont="1" applyFill="1" applyBorder="1"/>
    <xf numFmtId="1" fontId="1" fillId="2" borderId="0" xfId="0" applyNumberFormat="1" applyFont="1" applyFill="1"/>
    <xf numFmtId="179" fontId="1" fillId="2" borderId="0" xfId="0" applyNumberFormat="1" applyFont="1" applyFill="1"/>
    <xf numFmtId="180" fontId="1" fillId="2" borderId="0" xfId="0" applyNumberFormat="1" applyFont="1" applyFill="1"/>
    <xf numFmtId="181" fontId="1" fillId="2" borderId="0" xfId="0" applyNumberFormat="1" applyFont="1" applyFill="1"/>
    <xf numFmtId="182" fontId="1" fillId="2" borderId="0" xfId="0" applyNumberFormat="1" applyFont="1" applyFill="1"/>
    <xf numFmtId="183" fontId="1" fillId="2" borderId="0" xfId="0" applyNumberFormat="1" applyFont="1" applyFill="1"/>
    <xf numFmtId="184" fontId="1" fillId="2" borderId="0" xfId="0" applyNumberFormat="1" applyFont="1" applyFill="1"/>
    <xf numFmtId="4" fontId="1" fillId="2" borderId="0" xfId="0" applyNumberFormat="1" applyFont="1" applyFill="1"/>
    <xf numFmtId="1" fontId="1" fillId="2" borderId="0" xfId="9" applyNumberFormat="1" applyFont="1" applyFill="1" applyBorder="1"/>
    <xf numFmtId="169" fontId="1" fillId="2" borderId="0" xfId="9" applyNumberFormat="1" applyFont="1" applyFill="1" applyBorder="1" applyAlignment="1">
      <alignment wrapText="1"/>
    </xf>
    <xf numFmtId="170" fontId="1" fillId="2" borderId="0" xfId="9" applyNumberFormat="1" applyFont="1" applyFill="1" applyBorder="1"/>
    <xf numFmtId="166" fontId="1" fillId="2" borderId="0" xfId="9" applyNumberFormat="1" applyFont="1" applyFill="1" applyBorder="1"/>
    <xf numFmtId="168" fontId="1" fillId="2" borderId="0" xfId="9" applyNumberFormat="1" applyFont="1" applyFill="1" applyBorder="1"/>
    <xf numFmtId="2" fontId="1" fillId="2" borderId="0" xfId="9" applyNumberFormat="1" applyFont="1" applyFill="1" applyBorder="1"/>
    <xf numFmtId="183" fontId="1" fillId="2" borderId="0" xfId="9" applyNumberFormat="1" applyFont="1" applyFill="1" applyBorder="1"/>
    <xf numFmtId="170" fontId="1" fillId="2" borderId="0" xfId="9" applyNumberFormat="1" applyFont="1" applyFill="1" applyBorder="1" applyAlignment="1">
      <alignment wrapText="1"/>
    </xf>
    <xf numFmtId="185" fontId="1" fillId="2" borderId="0" xfId="9" applyNumberFormat="1" applyFont="1" applyFill="1" applyBorder="1"/>
    <xf numFmtId="43" fontId="1" fillId="2" borderId="0" xfId="9" applyNumberFormat="1" applyFont="1" applyFill="1" applyBorder="1"/>
    <xf numFmtId="185" fontId="1" fillId="2" borderId="0" xfId="0" applyNumberFormat="1" applyFont="1" applyFill="1"/>
    <xf numFmtId="0" fontId="15" fillId="2" borderId="0" xfId="0" applyFont="1" applyFill="1" applyAlignment="1">
      <alignment horizontal="left"/>
    </xf>
    <xf numFmtId="170" fontId="1" fillId="2" borderId="0" xfId="0" applyNumberFormat="1" applyFont="1" applyFill="1" applyAlignment="1">
      <alignment horizontal="center"/>
    </xf>
    <xf numFmtId="0" fontId="30" fillId="2" borderId="0" xfId="0" applyFont="1" applyFill="1"/>
    <xf numFmtId="11" fontId="1" fillId="2" borderId="0" xfId="0" applyNumberFormat="1" applyFont="1" applyFill="1"/>
    <xf numFmtId="0" fontId="28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right" wrapText="1"/>
    </xf>
    <xf numFmtId="177" fontId="1" fillId="4" borderId="0" xfId="4" applyNumberFormat="1" applyFont="1" applyFill="1"/>
    <xf numFmtId="177" fontId="1" fillId="4" borderId="7" xfId="4" applyNumberFormat="1" applyFont="1" applyFill="1" applyBorder="1"/>
    <xf numFmtId="1" fontId="1" fillId="4" borderId="0" xfId="0" applyNumberFormat="1" applyFont="1" applyFill="1"/>
    <xf numFmtId="0" fontId="1" fillId="2" borderId="0" xfId="0" applyFont="1" applyFill="1" applyAlignment="1">
      <alignment horizontal="center"/>
    </xf>
    <xf numFmtId="0" fontId="6" fillId="6" borderId="7" xfId="18" applyFont="1" applyFill="1" applyBorder="1" applyAlignment="1">
      <alignment horizontal="center"/>
    </xf>
    <xf numFmtId="0" fontId="6" fillId="7" borderId="7" xfId="18" applyFont="1" applyFill="1" applyBorder="1" applyAlignment="1">
      <alignment horizontal="center"/>
    </xf>
    <xf numFmtId="0" fontId="6" fillId="8" borderId="7" xfId="18" applyFont="1" applyFill="1" applyBorder="1" applyAlignment="1">
      <alignment horizontal="center"/>
    </xf>
    <xf numFmtId="0" fontId="7" fillId="0" borderId="0" xfId="18" applyFont="1" applyAlignment="1">
      <alignment horizontal="left" vertical="top" wrapText="1"/>
    </xf>
    <xf numFmtId="0" fontId="1" fillId="0" borderId="0" xfId="0" applyFont="1"/>
    <xf numFmtId="0" fontId="27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0" fontId="6" fillId="0" borderId="0" xfId="18" applyNumberFormat="1" applyFont="1" applyAlignment="1">
      <alignment horizontal="center" wrapText="1"/>
    </xf>
    <xf numFmtId="0" fontId="6" fillId="6" borderId="7" xfId="18" applyFont="1" applyFill="1" applyBorder="1" applyAlignment="1">
      <alignment horizontal="center"/>
    </xf>
    <xf numFmtId="0" fontId="6" fillId="7" borderId="7" xfId="18" applyFont="1" applyFill="1" applyBorder="1" applyAlignment="1">
      <alignment horizontal="center"/>
    </xf>
    <xf numFmtId="0" fontId="6" fillId="8" borderId="0" xfId="18" applyFont="1" applyFill="1" applyAlignment="1">
      <alignment horizontal="center"/>
    </xf>
    <xf numFmtId="0" fontId="6" fillId="8" borderId="7" xfId="18" applyFont="1" applyFill="1" applyBorder="1" applyAlignment="1">
      <alignment horizontal="center"/>
    </xf>
    <xf numFmtId="11" fontId="7" fillId="0" borderId="0" xfId="40" applyNumberFormat="1" applyFont="1" applyAlignment="1">
      <alignment horizontal="left" wrapText="1"/>
    </xf>
    <xf numFmtId="0" fontId="1" fillId="0" borderId="0" xfId="0" applyFont="1" applyAlignment="1">
      <alignment wrapText="1"/>
    </xf>
    <xf numFmtId="0" fontId="7" fillId="0" borderId="0" xfId="18" applyFont="1" applyAlignment="1">
      <alignment horizontal="left" vertical="top" wrapText="1"/>
    </xf>
    <xf numFmtId="0" fontId="6" fillId="6" borderId="0" xfId="35" applyFont="1" applyFill="1" applyAlignment="1">
      <alignment horizontal="center"/>
    </xf>
    <xf numFmtId="0" fontId="1" fillId="0" borderId="0" xfId="0" applyFont="1" applyAlignment="1"/>
    <xf numFmtId="0" fontId="6" fillId="7" borderId="0" xfId="35" applyFont="1" applyFill="1" applyAlignment="1">
      <alignment horizontal="center"/>
    </xf>
    <xf numFmtId="0" fontId="24" fillId="2" borderId="0" xfId="0" applyFont="1" applyFill="1" applyAlignment="1">
      <alignment horizontal="center" wrapText="1"/>
    </xf>
    <xf numFmtId="0" fontId="24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170" fontId="1" fillId="2" borderId="0" xfId="0" applyNumberFormat="1" applyFont="1" applyFill="1" applyAlignment="1">
      <alignment horizontal="center" wrapText="1"/>
    </xf>
    <xf numFmtId="169" fontId="1" fillId="2" borderId="0" xfId="0" applyNumberFormat="1" applyFont="1" applyFill="1" applyAlignment="1">
      <alignment horizontal="center" wrapText="1"/>
    </xf>
    <xf numFmtId="0" fontId="4" fillId="9" borderId="0" xfId="41" applyFont="1" applyFill="1" applyAlignment="1">
      <alignment horizontal="center" vertical="top" wrapText="1"/>
    </xf>
    <xf numFmtId="0" fontId="4" fillId="9" borderId="0" xfId="4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10" borderId="0" xfId="41" applyFont="1" applyFill="1" applyAlignment="1">
      <alignment horizontal="center"/>
    </xf>
  </cellXfs>
  <cellStyles count="45">
    <cellStyle name="Comma" xfId="4" builtinId="3"/>
    <cellStyle name="Comma 16 2" xfId="7" xr:uid="{03370A8C-335A-450E-85F0-707EC6407F28}"/>
    <cellStyle name="Comma 2" xfId="3" xr:uid="{9E48D508-B121-4E02-AA9A-77DCA8308F31}"/>
    <cellStyle name="Comma 2 4" xfId="6" xr:uid="{AC7EEA58-6C81-45AC-B232-AB3C9B9E60EE}"/>
    <cellStyle name="Comma 3" xfId="9" xr:uid="{115457FD-873B-42F0-BD7C-D73DBAB53EC6}"/>
    <cellStyle name="Comma 4" xfId="10" xr:uid="{3ADD6CBF-42FF-40DA-9EB9-21CF75E1E8F2}"/>
    <cellStyle name="Comma 4 2" xfId="11" xr:uid="{FD4AF3A4-1C4A-405C-A002-C04937DCF465}"/>
    <cellStyle name="Currency 2" xfId="12" xr:uid="{51AED232-971C-4B25-A522-97CCF2EA52EC}"/>
    <cellStyle name="Currency 3" xfId="13" xr:uid="{0E78E1D2-4E8B-4F20-8DC5-F85988C1FB9B}"/>
    <cellStyle name="Date" xfId="14" xr:uid="{1B242BE1-1A65-4C36-A857-C42B13CF057B}"/>
    <cellStyle name="Fixed" xfId="15" xr:uid="{BCD19B9D-8064-4B78-8B00-93C497F9DF14}"/>
    <cellStyle name="header-top" xfId="33" xr:uid="{60501F43-9290-4EF5-BDF2-B730E2D1FE16}"/>
    <cellStyle name="Heading1" xfId="16" xr:uid="{2B9A71CE-07B4-4DA7-8907-55115696E662}"/>
    <cellStyle name="Heading2" xfId="17" xr:uid="{34B0A422-67B4-416A-A3C6-8FFC142875BD}"/>
    <cellStyle name="Hyperlink" xfId="39" builtinId="8"/>
    <cellStyle name="Last Header Row" xfId="31" xr:uid="{54A62850-2220-41FC-8BC2-6F0D0FCBB9BF}"/>
    <cellStyle name="Normal" xfId="0" builtinId="0"/>
    <cellStyle name="Normal 10" xfId="37" xr:uid="{18469B37-2DAE-4284-9BEB-FA4B26300437}"/>
    <cellStyle name="Normal 10 2" xfId="38" xr:uid="{F6157409-14D4-4530-BA40-F4CBBEA6028B}"/>
    <cellStyle name="Normal 2" xfId="1" xr:uid="{667D538F-AB61-4EED-B4E8-D0D3FBEE2176}"/>
    <cellStyle name="Normal 2 2" xfId="35" xr:uid="{37305979-91F7-4F91-89CC-168A5CC4EAB4}"/>
    <cellStyle name="Normal 2 3" xfId="40" xr:uid="{1C31B6CF-AE4C-49A8-BE37-2BADCC1C8EC0}"/>
    <cellStyle name="Normal 3" xfId="18" xr:uid="{C2B3B3FE-8366-4736-B340-B9F49AFF00A4}"/>
    <cellStyle name="Normal 4" xfId="34" xr:uid="{A1AE1463-AF51-4062-BF0B-21EA217C0B82}"/>
    <cellStyle name="Normal 4 2 2" xfId="44" xr:uid="{490EE958-F4C0-4847-BB7E-020E4287EE77}"/>
    <cellStyle name="Normal 5" xfId="8" xr:uid="{89E3E94B-B273-4BD7-818F-BF98DFDAEC95}"/>
    <cellStyle name="normal cell" xfId="32" xr:uid="{39F9D8DD-249E-4FAD-A22E-054B9C9EB100}"/>
    <cellStyle name="Normal_Conv" xfId="43" xr:uid="{59836E48-8A18-4CF6-B03B-3C162BA7BA65}"/>
    <cellStyle name="Normal_conversion factors" xfId="42" xr:uid="{FA36D491-040C-45F3-BFFC-3CB03E38A6C1}"/>
    <cellStyle name="Normal_Data Improvement Calcs" xfId="41" xr:uid="{E63F1F46-FF48-4281-8058-B4CC5EC67CA8}"/>
    <cellStyle name="Normal_EPAUS9r_08_SRC_Coal_v0.1a" xfId="2" xr:uid="{48F8C4EF-C5B1-40DB-8228-8D8F86833639}"/>
    <cellStyle name="Percent 2" xfId="19" xr:uid="{1040F692-C476-421D-B880-C014741C850F}"/>
    <cellStyle name="Percent 2 2" xfId="36" xr:uid="{B866C722-6EC0-427D-A90B-21D91E39C0A3}"/>
    <cellStyle name="Percent 3" xfId="20" xr:uid="{8F37C263-A6D0-4A5A-AC16-926E3E5B289D}"/>
    <cellStyle name="Percent 3 2" xfId="21" xr:uid="{86BCD8F3-2F22-4D06-A791-9A01B71B040B}"/>
    <cellStyle name="Percent 4 2" xfId="5" xr:uid="{1F290CC6-4B3B-4816-AD8C-9B24DEBC50F6}"/>
    <cellStyle name="Style 29" xfId="22" xr:uid="{0CABEB03-07BC-4D35-A370-61E4CAD9E0CF}"/>
    <cellStyle name="Style 29 2" xfId="23" xr:uid="{FD992E94-C764-4C9F-ADFC-AECAF7B153A3}"/>
    <cellStyle name="Style 29 3" xfId="24" xr:uid="{BF7CA303-5E2B-401C-AFC5-FE3D6BC5454A}"/>
    <cellStyle name="Style 29 3 2" xfId="25" xr:uid="{3B96462A-F0D4-488F-9CEE-88C40BB9A27A}"/>
    <cellStyle name="Style 35" xfId="26" xr:uid="{6C2EF6F4-35A2-4A6D-915B-ADA203EEF3CC}"/>
    <cellStyle name="Style 35 2" xfId="27" xr:uid="{9C5F7240-9160-4305-9BA9-214C3BF7E5CE}"/>
    <cellStyle name="Style 36" xfId="28" xr:uid="{E6979729-2F1C-4DE4-B221-7BAF3C47BCFF}"/>
    <cellStyle name="Style 36 2" xfId="29" xr:uid="{1803FF4A-394D-48C0-B9D6-E547E95C8F1D}"/>
    <cellStyle name="Total 2" xfId="30" xr:uid="{1A5D7E3F-CD12-465C-878C-854ABBA1995C}"/>
  </cellStyles>
  <dxfs count="166"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2" formatCode="0.00"/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et%20MyDocuments\MARKAL\MARKAL%209R\ELC\Coal%20Plant%209R%20RESIDs%20for%202000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 Johnson" refreshedDate="39090.341990624998" createdVersion="1" refreshedVersion="2" recordCount="1028" upgradeOnRefresh="1" xr:uid="{32F1EE85-D312-40CA-B23B-A7D8CB007CE8}">
  <cacheSource type="worksheet">
    <worksheetSource ref="A1:S1029" sheet="Coal (OP only) w S in lbMMBtu" r:id="rId2"/>
  </cacheSource>
  <cacheFields count="19">
    <cacheField name="PLANT_ID" numFmtId="0">
      <sharedItems containsSemiMixedTypes="0" containsString="0" containsNumber="1" containsInteger="1" minValue="3" maxValue="8226"/>
    </cacheField>
    <cacheField name="BOILCODE" numFmtId="0">
      <sharedItems/>
    </cacheField>
    <cacheField name="EPA9Rregion" numFmtId="0">
      <sharedItems containsSemiMixedTypes="0" containsString="0" containsNumber="1" containsInteger="1" minValue="1" maxValue="9" count="9">
        <n v="6"/>
        <n v="7"/>
        <n v="4"/>
        <n v="8"/>
        <n v="5"/>
        <n v="3"/>
        <n v="1"/>
        <n v="2"/>
        <n v="9"/>
      </sharedItems>
    </cacheField>
    <cacheField name="EffNAMEPLATE" numFmtId="0">
      <sharedItems containsSemiMixedTypes="0" containsString="0" containsNumber="1" minValue="1" maxValue="1425.6189999999999"/>
    </cacheField>
    <cacheField name="Coal Type" numFmtId="0">
      <sharedItems count="7">
        <s v="BIT"/>
        <s v="NG"/>
        <s v="LIG"/>
        <s v="SUB"/>
        <s v="DFO"/>
        <s v="PC"/>
        <s v="COL"/>
      </sharedItems>
    </cacheField>
    <cacheField name="LOWNOXCON1" numFmtId="0">
      <sharedItems containsBlank="1" count="13">
        <s v="NA"/>
        <s v="LN"/>
        <s v="OV"/>
        <s v="LA"/>
        <s v="CF"/>
        <s v="SN"/>
        <s v="OT"/>
        <s v="AA"/>
        <s v="FU"/>
        <s v="SR"/>
        <m/>
        <s v="BF"/>
        <s v="FR"/>
      </sharedItems>
    </cacheField>
    <cacheField name="LOWNOXCON2" numFmtId="0">
      <sharedItems containsBlank="1" count="11">
        <m/>
        <s v="OV"/>
        <s v="LA"/>
        <s v="SR"/>
        <s v="LN"/>
        <s v="OT"/>
        <s v="FU"/>
        <s v="SN"/>
        <s v="AA"/>
        <s v="BF"/>
        <s v="OA"/>
      </sharedItems>
    </cacheField>
    <cacheField name="LOWNOXCON3" numFmtId="0">
      <sharedItems containsBlank="1" count="9">
        <m/>
        <s v="LN"/>
        <s v="SN"/>
        <s v="OV"/>
        <s v="LA"/>
        <s v="OT"/>
        <s v="FR"/>
        <s v="BF"/>
        <s v="AA"/>
      </sharedItems>
    </cacheField>
    <cacheField name="LNB" numFmtId="0">
      <sharedItems count="2">
        <s v="N"/>
        <s v="Y"/>
      </sharedItems>
    </cacheField>
    <cacheField name="SCR" numFmtId="0">
      <sharedItems count="2">
        <s v="N"/>
        <s v="Y"/>
      </sharedItems>
    </cacheField>
    <cacheField name="SNCR" numFmtId="0">
      <sharedItems count="2">
        <s v="N"/>
        <s v="Y"/>
      </sharedItems>
    </cacheField>
    <cacheField name="TYPEFGD1" numFmtId="0">
      <sharedItems containsBlank="1" count="8">
        <m/>
        <s v="SP"/>
        <s v="TR"/>
        <s v="SD"/>
        <s v="VE"/>
        <s v="PA"/>
        <s v="OT"/>
        <s v="BR"/>
      </sharedItems>
    </cacheField>
    <cacheField name="TYPEFGD2" numFmtId="0">
      <sharedItems containsBlank="1" count="5">
        <m/>
        <s v="TR"/>
        <s v="SP"/>
        <s v="PA"/>
        <s v="VE"/>
      </sharedItems>
    </cacheField>
    <cacheField name="SCRBCODE" numFmtId="0">
      <sharedItems containsBlank="1"/>
    </cacheField>
    <cacheField name="FGD" numFmtId="0">
      <sharedItems count="2">
        <s v="N"/>
        <s v="Y"/>
      </sharedItems>
    </cacheField>
    <cacheField name="AveSC (% wt)" numFmtId="0">
      <sharedItems containsSemiMixedTypes="0" containsString="0" containsNumber="1" minValue="6.083333333333333E-2" maxValue="4.1608333333333336"/>
    </cacheField>
    <cacheField name="AveSContent (lb/MMBtu)" numFmtId="0">
      <sharedItems containsSemiMixedTypes="0" containsString="0" containsNumber="1" minValue="0.21790103619648196" maxValue="3.7116359358475317"/>
    </cacheField>
    <cacheField name="Coal S Content" numFmtId="0">
      <sharedItems count="3">
        <s v="M"/>
        <s v="L"/>
        <s v="H"/>
      </sharedItems>
    </cacheField>
    <cacheField name="EffNPC(PJ)" numFmtId="0">
      <sharedItems containsSemiMixedTypes="0" containsString="0" containsNumber="1" minValue="3.15E-2" maxValue="44.90699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n v="3"/>
    <s v="1"/>
    <x v="0"/>
    <n v="153.125"/>
    <x v="0"/>
    <x v="0"/>
    <x v="0"/>
    <x v="0"/>
    <x v="0"/>
    <x v="0"/>
    <x v="0"/>
    <x v="0"/>
    <x v="0"/>
    <m/>
    <x v="0"/>
    <n v="0.76416666666666677"/>
    <n v="0.62488370074303068"/>
    <x v="0"/>
    <n v="4.8234374999999998"/>
  </r>
  <r>
    <n v="3"/>
    <s v="2"/>
    <x v="0"/>
    <n v="153.125"/>
    <x v="0"/>
    <x v="0"/>
    <x v="0"/>
    <x v="0"/>
    <x v="0"/>
    <x v="0"/>
    <x v="0"/>
    <x v="0"/>
    <x v="0"/>
    <m/>
    <x v="0"/>
    <n v="0.76500000000000001"/>
    <n v="0.62494669559166327"/>
    <x v="0"/>
    <n v="4.8234374999999998"/>
  </r>
  <r>
    <n v="3"/>
    <s v="3"/>
    <x v="0"/>
    <n v="272"/>
    <x v="0"/>
    <x v="1"/>
    <x v="0"/>
    <x v="0"/>
    <x v="1"/>
    <x v="0"/>
    <x v="0"/>
    <x v="0"/>
    <x v="0"/>
    <m/>
    <x v="0"/>
    <n v="0.7316666666666668"/>
    <n v="0.61103808725295716"/>
    <x v="0"/>
    <n v="8.5679999999999996"/>
  </r>
  <r>
    <n v="3"/>
    <s v="4"/>
    <x v="0"/>
    <n v="403.75"/>
    <x v="0"/>
    <x v="1"/>
    <x v="1"/>
    <x v="0"/>
    <x v="1"/>
    <x v="0"/>
    <x v="0"/>
    <x v="0"/>
    <x v="0"/>
    <m/>
    <x v="0"/>
    <n v="0.69499999999999995"/>
    <n v="0.57874701818653929"/>
    <x v="1"/>
    <n v="12.718125000000001"/>
  </r>
  <r>
    <n v="3"/>
    <s v="5"/>
    <x v="0"/>
    <n v="788.8"/>
    <x v="0"/>
    <x v="1"/>
    <x v="1"/>
    <x v="0"/>
    <x v="1"/>
    <x v="0"/>
    <x v="0"/>
    <x v="0"/>
    <x v="0"/>
    <m/>
    <x v="0"/>
    <n v="0.61333333333333329"/>
    <n v="0.52128680629038038"/>
    <x v="1"/>
    <n v="24.847199999999997"/>
  </r>
  <r>
    <n v="7"/>
    <s v="1"/>
    <x v="0"/>
    <n v="69"/>
    <x v="0"/>
    <x v="0"/>
    <x v="0"/>
    <x v="0"/>
    <x v="0"/>
    <x v="0"/>
    <x v="0"/>
    <x v="0"/>
    <x v="0"/>
    <m/>
    <x v="0"/>
    <n v="1.7716666666666665"/>
    <n v="1.4769620325140027"/>
    <x v="0"/>
    <n v="2.1735000000000002"/>
  </r>
  <r>
    <n v="7"/>
    <s v="2"/>
    <x v="0"/>
    <n v="69"/>
    <x v="0"/>
    <x v="0"/>
    <x v="0"/>
    <x v="0"/>
    <x v="0"/>
    <x v="0"/>
    <x v="0"/>
    <x v="0"/>
    <x v="0"/>
    <m/>
    <x v="0"/>
    <n v="1.7441666666666666"/>
    <n v="1.4632594149077656"/>
    <x v="0"/>
    <n v="2.1735000000000002"/>
  </r>
  <r>
    <n v="8"/>
    <s v="10"/>
    <x v="0"/>
    <n v="788.8"/>
    <x v="0"/>
    <x v="0"/>
    <x v="0"/>
    <x v="0"/>
    <x v="0"/>
    <x v="0"/>
    <x v="0"/>
    <x v="0"/>
    <x v="0"/>
    <m/>
    <x v="0"/>
    <n v="0.78083333333333338"/>
    <n v="0.63564392711941264"/>
    <x v="0"/>
    <n v="24.847199999999997"/>
  </r>
  <r>
    <n v="8"/>
    <s v="6"/>
    <x v="0"/>
    <n v="125"/>
    <x v="0"/>
    <x v="0"/>
    <x v="0"/>
    <x v="0"/>
    <x v="0"/>
    <x v="0"/>
    <x v="0"/>
    <x v="0"/>
    <x v="0"/>
    <m/>
    <x v="0"/>
    <n v="1.4991666666666668"/>
    <n v="1.2878911415607146"/>
    <x v="0"/>
    <n v="3.9375"/>
  </r>
  <r>
    <n v="8"/>
    <s v="7"/>
    <x v="0"/>
    <n v="125"/>
    <x v="0"/>
    <x v="0"/>
    <x v="0"/>
    <x v="0"/>
    <x v="0"/>
    <x v="0"/>
    <x v="0"/>
    <x v="0"/>
    <x v="0"/>
    <m/>
    <x v="0"/>
    <n v="1.51"/>
    <n v="1.296045994980185"/>
    <x v="0"/>
    <n v="3.9375"/>
  </r>
  <r>
    <n v="8"/>
    <s v="8"/>
    <x v="0"/>
    <n v="187.5"/>
    <x v="0"/>
    <x v="0"/>
    <x v="0"/>
    <x v="0"/>
    <x v="0"/>
    <x v="0"/>
    <x v="0"/>
    <x v="0"/>
    <x v="0"/>
    <m/>
    <x v="0"/>
    <n v="0.88916666666666666"/>
    <n v="0.72724895749050933"/>
    <x v="0"/>
    <n v="5.90625"/>
  </r>
  <r>
    <n v="8"/>
    <s v="9"/>
    <x v="0"/>
    <n v="190.4"/>
    <x v="0"/>
    <x v="1"/>
    <x v="0"/>
    <x v="0"/>
    <x v="1"/>
    <x v="0"/>
    <x v="0"/>
    <x v="0"/>
    <x v="0"/>
    <m/>
    <x v="0"/>
    <n v="0.83750000000000002"/>
    <n v="0.7489393458689203"/>
    <x v="0"/>
    <n v="5.9976000000000003"/>
  </r>
  <r>
    <n v="10"/>
    <s v="1"/>
    <x v="0"/>
    <n v="299.2"/>
    <x v="0"/>
    <x v="0"/>
    <x v="0"/>
    <x v="0"/>
    <x v="0"/>
    <x v="0"/>
    <x v="0"/>
    <x v="0"/>
    <x v="0"/>
    <m/>
    <x v="0"/>
    <n v="1.5458333333333334"/>
    <n v="1.2742760849675612"/>
    <x v="0"/>
    <n v="9.4247999999999994"/>
  </r>
  <r>
    <n v="10"/>
    <s v="2"/>
    <x v="0"/>
    <n v="269.27999999999997"/>
    <x v="1"/>
    <x v="1"/>
    <x v="0"/>
    <x v="0"/>
    <x v="1"/>
    <x v="0"/>
    <x v="0"/>
    <x v="0"/>
    <x v="0"/>
    <m/>
    <x v="0"/>
    <n v="1.5475000000000001"/>
    <n v="1.2765211113496628"/>
    <x v="0"/>
    <n v="8.4823199999999996"/>
  </r>
  <r>
    <n v="26"/>
    <s v="1"/>
    <x v="0"/>
    <n v="272"/>
    <x v="0"/>
    <x v="1"/>
    <x v="0"/>
    <x v="0"/>
    <x v="1"/>
    <x v="0"/>
    <x v="0"/>
    <x v="0"/>
    <x v="0"/>
    <m/>
    <x v="0"/>
    <n v="1.1058333333333332"/>
    <n v="0.90818937275075495"/>
    <x v="0"/>
    <n v="8.5679999999999996"/>
  </r>
  <r>
    <n v="26"/>
    <s v="2"/>
    <x v="0"/>
    <n v="272"/>
    <x v="0"/>
    <x v="1"/>
    <x v="0"/>
    <x v="0"/>
    <x v="1"/>
    <x v="0"/>
    <x v="0"/>
    <x v="0"/>
    <x v="0"/>
    <m/>
    <x v="0"/>
    <n v="1.1033333333333333"/>
    <n v="0.90694336030583234"/>
    <x v="0"/>
    <n v="8.5679999999999996"/>
  </r>
  <r>
    <n v="26"/>
    <s v="3"/>
    <x v="0"/>
    <n v="272"/>
    <x v="0"/>
    <x v="1"/>
    <x v="0"/>
    <x v="0"/>
    <x v="1"/>
    <x v="0"/>
    <x v="0"/>
    <x v="0"/>
    <x v="0"/>
    <m/>
    <x v="0"/>
    <n v="1.1166666666666669"/>
    <n v="0.92134586801430307"/>
    <x v="0"/>
    <n v="8.5679999999999996"/>
  </r>
  <r>
    <n v="26"/>
    <s v="4"/>
    <x v="0"/>
    <n v="244.8"/>
    <x v="0"/>
    <x v="1"/>
    <x v="0"/>
    <x v="0"/>
    <x v="1"/>
    <x v="0"/>
    <x v="0"/>
    <x v="0"/>
    <x v="0"/>
    <m/>
    <x v="0"/>
    <n v="1.1191666666666666"/>
    <n v="0.92475403264088207"/>
    <x v="0"/>
    <n v="7.7112000000000007"/>
  </r>
  <r>
    <n v="26"/>
    <s v="5"/>
    <x v="0"/>
    <n v="952"/>
    <x v="0"/>
    <x v="1"/>
    <x v="1"/>
    <x v="0"/>
    <x v="1"/>
    <x v="0"/>
    <x v="0"/>
    <x v="0"/>
    <x v="0"/>
    <m/>
    <x v="0"/>
    <n v="1.0325"/>
    <n v="0.92260062278238586"/>
    <x v="0"/>
    <n v="29.988"/>
  </r>
  <r>
    <n v="47"/>
    <s v="1"/>
    <x v="0"/>
    <n v="200"/>
    <x v="0"/>
    <x v="1"/>
    <x v="0"/>
    <x v="0"/>
    <x v="1"/>
    <x v="0"/>
    <x v="0"/>
    <x v="0"/>
    <x v="0"/>
    <m/>
    <x v="0"/>
    <n v="0.56666666666666676"/>
    <n v="0.51210102071312325"/>
    <x v="1"/>
    <n v="6.3"/>
  </r>
  <r>
    <n v="47"/>
    <s v="2"/>
    <x v="0"/>
    <n v="200"/>
    <x v="0"/>
    <x v="1"/>
    <x v="0"/>
    <x v="0"/>
    <x v="1"/>
    <x v="0"/>
    <x v="0"/>
    <x v="0"/>
    <x v="0"/>
    <m/>
    <x v="0"/>
    <n v="0.56666666666666676"/>
    <n v="0.51175814047416968"/>
    <x v="1"/>
    <n v="6.3"/>
  </r>
  <r>
    <n v="47"/>
    <s v="3"/>
    <x v="0"/>
    <n v="200"/>
    <x v="0"/>
    <x v="1"/>
    <x v="0"/>
    <x v="0"/>
    <x v="1"/>
    <x v="0"/>
    <x v="0"/>
    <x v="0"/>
    <x v="0"/>
    <m/>
    <x v="0"/>
    <n v="0.56666666666666665"/>
    <n v="0.51252752426456083"/>
    <x v="1"/>
    <n v="6.3"/>
  </r>
  <r>
    <n v="47"/>
    <s v="4"/>
    <x v="0"/>
    <n v="200"/>
    <x v="0"/>
    <x v="1"/>
    <x v="0"/>
    <x v="0"/>
    <x v="1"/>
    <x v="0"/>
    <x v="0"/>
    <x v="0"/>
    <x v="0"/>
    <m/>
    <x v="0"/>
    <n v="0.58333333333333337"/>
    <n v="0.52691944881247543"/>
    <x v="1"/>
    <n v="6.3"/>
  </r>
  <r>
    <n v="47"/>
    <s v="5"/>
    <x v="0"/>
    <n v="550"/>
    <x v="0"/>
    <x v="1"/>
    <x v="0"/>
    <x v="0"/>
    <x v="1"/>
    <x v="0"/>
    <x v="0"/>
    <x v="0"/>
    <x v="0"/>
    <m/>
    <x v="0"/>
    <n v="1.825"/>
    <n v="1.6734295338965557"/>
    <x v="2"/>
    <n v="17.324999999999999"/>
  </r>
  <r>
    <n v="50"/>
    <s v="1"/>
    <x v="0"/>
    <n v="140.625"/>
    <x v="0"/>
    <x v="0"/>
    <x v="0"/>
    <x v="0"/>
    <x v="0"/>
    <x v="0"/>
    <x v="0"/>
    <x v="0"/>
    <x v="0"/>
    <m/>
    <x v="0"/>
    <n v="0.76666666666666672"/>
    <n v="0.62421555437927601"/>
    <x v="0"/>
    <n v="4.4296875"/>
  </r>
  <r>
    <n v="50"/>
    <s v="2"/>
    <x v="0"/>
    <n v="140.625"/>
    <x v="0"/>
    <x v="0"/>
    <x v="0"/>
    <x v="0"/>
    <x v="0"/>
    <x v="0"/>
    <x v="0"/>
    <x v="0"/>
    <x v="0"/>
    <m/>
    <x v="0"/>
    <n v="0.77500000000000002"/>
    <n v="0.63032656638839157"/>
    <x v="0"/>
    <n v="4.4296875"/>
  </r>
  <r>
    <n v="50"/>
    <s v="3"/>
    <x v="0"/>
    <n v="140.625"/>
    <x v="0"/>
    <x v="0"/>
    <x v="0"/>
    <x v="0"/>
    <x v="0"/>
    <x v="0"/>
    <x v="0"/>
    <x v="0"/>
    <x v="0"/>
    <m/>
    <x v="0"/>
    <n v="0.77500000000000002"/>
    <n v="0.63045571463594052"/>
    <x v="0"/>
    <n v="4.4296875"/>
  </r>
  <r>
    <n v="50"/>
    <s v="4"/>
    <x v="0"/>
    <n v="140.625"/>
    <x v="0"/>
    <x v="0"/>
    <x v="0"/>
    <x v="0"/>
    <x v="0"/>
    <x v="0"/>
    <x v="0"/>
    <x v="0"/>
    <x v="0"/>
    <m/>
    <x v="0"/>
    <n v="0.63333333333333319"/>
    <n v="0.62060883303840864"/>
    <x v="0"/>
    <n v="4.4296875"/>
  </r>
  <r>
    <n v="50"/>
    <s v="5"/>
    <x v="0"/>
    <n v="140.625"/>
    <x v="0"/>
    <x v="0"/>
    <x v="0"/>
    <x v="0"/>
    <x v="0"/>
    <x v="0"/>
    <x v="0"/>
    <x v="0"/>
    <x v="0"/>
    <m/>
    <x v="0"/>
    <n v="0.77500000000000002"/>
    <n v="0.6304441906835544"/>
    <x v="0"/>
    <n v="4.4296875"/>
  </r>
  <r>
    <n v="50"/>
    <s v="6"/>
    <x v="0"/>
    <n v="140.625"/>
    <x v="0"/>
    <x v="0"/>
    <x v="0"/>
    <x v="0"/>
    <x v="0"/>
    <x v="0"/>
    <x v="0"/>
    <x v="0"/>
    <x v="0"/>
    <m/>
    <x v="0"/>
    <n v="0.77500000000000002"/>
    <n v="0.62918932209410006"/>
    <x v="0"/>
    <n v="4.4296875"/>
  </r>
  <r>
    <n v="50"/>
    <s v="7"/>
    <x v="0"/>
    <n v="575.01"/>
    <x v="0"/>
    <x v="1"/>
    <x v="1"/>
    <x v="0"/>
    <x v="1"/>
    <x v="0"/>
    <x v="0"/>
    <x v="1"/>
    <x v="0"/>
    <s v="7"/>
    <x v="1"/>
    <n v="2.8416666666666668"/>
    <n v="2.3891805704820928"/>
    <x v="2"/>
    <n v="18.112815000000001"/>
  </r>
  <r>
    <n v="50"/>
    <s v="8"/>
    <x v="0"/>
    <n v="550"/>
    <x v="0"/>
    <x v="1"/>
    <x v="1"/>
    <x v="0"/>
    <x v="1"/>
    <x v="0"/>
    <x v="0"/>
    <x v="2"/>
    <x v="0"/>
    <s v="8"/>
    <x v="1"/>
    <n v="2.8916666666666671"/>
    <n v="2.4184684033535055"/>
    <x v="2"/>
    <n v="17.324999999999999"/>
  </r>
  <r>
    <n v="51"/>
    <s v="1"/>
    <x v="1"/>
    <n v="720.75"/>
    <x v="2"/>
    <x v="1"/>
    <x v="0"/>
    <x v="0"/>
    <x v="1"/>
    <x v="0"/>
    <x v="0"/>
    <x v="1"/>
    <x v="0"/>
    <s v="1"/>
    <x v="1"/>
    <n v="1.0116666666666667"/>
    <n v="1.4845030240171446"/>
    <x v="0"/>
    <n v="22.703624999999999"/>
  </r>
  <r>
    <n v="56"/>
    <s v="1"/>
    <x v="0"/>
    <n v="66"/>
    <x v="0"/>
    <x v="1"/>
    <x v="0"/>
    <x v="0"/>
    <x v="1"/>
    <x v="0"/>
    <x v="0"/>
    <x v="0"/>
    <x v="0"/>
    <m/>
    <x v="0"/>
    <n v="0.60583333333333333"/>
    <n v="0.68906008327341972"/>
    <x v="0"/>
    <n v="2.0790000000000002"/>
  </r>
  <r>
    <n v="56"/>
    <s v="2"/>
    <x v="0"/>
    <n v="236"/>
    <x v="0"/>
    <x v="0"/>
    <x v="0"/>
    <x v="0"/>
    <x v="0"/>
    <x v="0"/>
    <x v="0"/>
    <x v="1"/>
    <x v="1"/>
    <s v="2"/>
    <x v="1"/>
    <n v="1.02"/>
    <n v="0.94519002421986009"/>
    <x v="0"/>
    <n v="7.4340000000000002"/>
  </r>
  <r>
    <n v="56"/>
    <s v="3"/>
    <x v="0"/>
    <n v="236"/>
    <x v="0"/>
    <x v="0"/>
    <x v="0"/>
    <x v="0"/>
    <x v="0"/>
    <x v="0"/>
    <x v="0"/>
    <x v="1"/>
    <x v="1"/>
    <s v="3"/>
    <x v="1"/>
    <n v="1.1291666666666667"/>
    <n v="0.9616123415345097"/>
    <x v="0"/>
    <n v="7.4340000000000002"/>
  </r>
  <r>
    <n v="59"/>
    <s v="1"/>
    <x v="2"/>
    <n v="109.8"/>
    <x v="3"/>
    <x v="1"/>
    <x v="0"/>
    <x v="0"/>
    <x v="1"/>
    <x v="0"/>
    <x v="0"/>
    <x v="0"/>
    <x v="0"/>
    <m/>
    <x v="0"/>
    <n v="0.3075"/>
    <n v="0.35772007950655316"/>
    <x v="1"/>
    <n v="3.4586999999999999"/>
  </r>
  <r>
    <n v="87"/>
    <s v="1"/>
    <x v="3"/>
    <n v="257.04000000000002"/>
    <x v="3"/>
    <x v="1"/>
    <x v="0"/>
    <x v="0"/>
    <x v="1"/>
    <x v="0"/>
    <x v="0"/>
    <x v="1"/>
    <x v="0"/>
    <s v="1"/>
    <x v="1"/>
    <n v="0.8008333333333334"/>
    <n v="0.87042636948475982"/>
    <x v="0"/>
    <n v="8.0967600000000015"/>
  </r>
  <r>
    <n v="108"/>
    <s v="SGU1"/>
    <x v="2"/>
    <n v="348.66"/>
    <x v="3"/>
    <x v="1"/>
    <x v="0"/>
    <x v="0"/>
    <x v="1"/>
    <x v="0"/>
    <x v="0"/>
    <x v="3"/>
    <x v="0"/>
    <s v="SDA1"/>
    <x v="1"/>
    <n v="0.29833333333333328"/>
    <n v="0.35052715387773398"/>
    <x v="1"/>
    <n v="10.982790000000001"/>
  </r>
  <r>
    <n v="113"/>
    <s v="1"/>
    <x v="3"/>
    <n v="113.636"/>
    <x v="3"/>
    <x v="0"/>
    <x v="0"/>
    <x v="0"/>
    <x v="0"/>
    <x v="0"/>
    <x v="0"/>
    <x v="4"/>
    <x v="2"/>
    <s v="1"/>
    <x v="1"/>
    <n v="0.51666666666666661"/>
    <n v="0.51832259357794908"/>
    <x v="1"/>
    <n v="3.5795339999999998"/>
  </r>
  <r>
    <n v="113"/>
    <s v="2"/>
    <x v="3"/>
    <n v="288.89999999999998"/>
    <x v="3"/>
    <x v="2"/>
    <x v="0"/>
    <x v="0"/>
    <x v="0"/>
    <x v="0"/>
    <x v="0"/>
    <x v="4"/>
    <x v="2"/>
    <s v="2"/>
    <x v="1"/>
    <n v="0.58333333333333337"/>
    <n v="0.59717597428738489"/>
    <x v="1"/>
    <n v="9.1003499999999988"/>
  </r>
  <r>
    <n v="113"/>
    <s v="3"/>
    <x v="3"/>
    <n v="288.89999999999998"/>
    <x v="3"/>
    <x v="2"/>
    <x v="0"/>
    <x v="0"/>
    <x v="0"/>
    <x v="0"/>
    <x v="0"/>
    <x v="0"/>
    <x v="0"/>
    <m/>
    <x v="0"/>
    <n v="0.38333333333333336"/>
    <n v="0.41152529570301921"/>
    <x v="1"/>
    <n v="9.1003499999999988"/>
  </r>
  <r>
    <n v="113"/>
    <s v="4"/>
    <x v="3"/>
    <n v="414"/>
    <x v="3"/>
    <x v="2"/>
    <x v="0"/>
    <x v="0"/>
    <x v="0"/>
    <x v="0"/>
    <x v="0"/>
    <x v="5"/>
    <x v="0"/>
    <s v="4"/>
    <x v="1"/>
    <n v="0.70833333333333337"/>
    <n v="0.69865860171659067"/>
    <x v="0"/>
    <n v="13.041"/>
  </r>
  <r>
    <n v="126"/>
    <s v="4"/>
    <x v="3"/>
    <n v="173.3"/>
    <x v="3"/>
    <x v="1"/>
    <x v="1"/>
    <x v="0"/>
    <x v="1"/>
    <x v="0"/>
    <x v="0"/>
    <x v="0"/>
    <x v="0"/>
    <m/>
    <x v="0"/>
    <n v="0.48833333333333329"/>
    <n v="0.43321445126288621"/>
    <x v="1"/>
    <n v="5.4589500000000006"/>
  </r>
  <r>
    <n v="127"/>
    <s v="1"/>
    <x v="1"/>
    <n v="720"/>
    <x v="3"/>
    <x v="1"/>
    <x v="0"/>
    <x v="0"/>
    <x v="1"/>
    <x v="0"/>
    <x v="0"/>
    <x v="1"/>
    <x v="0"/>
    <s v="1"/>
    <x v="1"/>
    <n v="0.33583333333333337"/>
    <n v="0.43677757396121369"/>
    <x v="1"/>
    <n v="22.68"/>
  </r>
  <r>
    <n v="130"/>
    <s v="1"/>
    <x v="4"/>
    <n v="590.91499999999996"/>
    <x v="0"/>
    <x v="1"/>
    <x v="1"/>
    <x v="0"/>
    <x v="1"/>
    <x v="0"/>
    <x v="0"/>
    <x v="1"/>
    <x v="0"/>
    <s v="1"/>
    <x v="1"/>
    <n v="1.1908333333333332"/>
    <n v="0.93082381524122149"/>
    <x v="0"/>
    <n v="18.613822499999998"/>
  </r>
  <r>
    <n v="130"/>
    <s v="2"/>
    <x v="4"/>
    <n v="556.20000000000005"/>
    <x v="0"/>
    <x v="1"/>
    <x v="1"/>
    <x v="0"/>
    <x v="1"/>
    <x v="0"/>
    <x v="0"/>
    <x v="1"/>
    <x v="0"/>
    <s v="2"/>
    <x v="1"/>
    <n v="1.165"/>
    <n v="0.90894194390486016"/>
    <x v="0"/>
    <n v="17.520300000000002"/>
  </r>
  <r>
    <n v="136"/>
    <s v="1"/>
    <x v="4"/>
    <n v="714.6"/>
    <x v="0"/>
    <x v="1"/>
    <x v="0"/>
    <x v="0"/>
    <x v="1"/>
    <x v="0"/>
    <x v="0"/>
    <x v="1"/>
    <x v="0"/>
    <s v="1"/>
    <x v="1"/>
    <n v="2.9649999999999999"/>
    <n v="2.3652273588887689"/>
    <x v="2"/>
    <n v="22.509900000000002"/>
  </r>
  <r>
    <n v="136"/>
    <s v="2"/>
    <x v="4"/>
    <n v="714.6"/>
    <x v="0"/>
    <x v="1"/>
    <x v="0"/>
    <x v="0"/>
    <x v="1"/>
    <x v="0"/>
    <x v="0"/>
    <x v="1"/>
    <x v="0"/>
    <s v="2"/>
    <x v="1"/>
    <n v="2.9674999999999998"/>
    <n v="2.365712029281648"/>
    <x v="2"/>
    <n v="22.509900000000002"/>
  </r>
  <r>
    <n v="160"/>
    <s v="2"/>
    <x v="3"/>
    <n v="194.703"/>
    <x v="3"/>
    <x v="2"/>
    <x v="0"/>
    <x v="0"/>
    <x v="0"/>
    <x v="0"/>
    <x v="0"/>
    <x v="5"/>
    <x v="0"/>
    <s v="2"/>
    <x v="1"/>
    <n v="0.50083333333333324"/>
    <n v="0.50185206892133361"/>
    <x v="1"/>
    <n v="6.1331445000000002"/>
  </r>
  <r>
    <n v="160"/>
    <s v="3"/>
    <x v="3"/>
    <n v="194.703"/>
    <x v="3"/>
    <x v="2"/>
    <x v="0"/>
    <x v="0"/>
    <x v="0"/>
    <x v="0"/>
    <x v="0"/>
    <x v="5"/>
    <x v="0"/>
    <s v="3"/>
    <x v="1"/>
    <n v="0.50083333333333324"/>
    <n v="0.50185206892133361"/>
    <x v="1"/>
    <n v="6.1331445000000002"/>
  </r>
  <r>
    <n v="165"/>
    <s v="1"/>
    <x v="1"/>
    <n v="490"/>
    <x v="0"/>
    <x v="0"/>
    <x v="0"/>
    <x v="0"/>
    <x v="0"/>
    <x v="0"/>
    <x v="0"/>
    <x v="0"/>
    <x v="0"/>
    <m/>
    <x v="0"/>
    <n v="0.33916666666666662"/>
    <n v="0.40199066145524048"/>
    <x v="1"/>
    <n v="15.435"/>
  </r>
  <r>
    <n v="165"/>
    <s v="2"/>
    <x v="1"/>
    <n v="520"/>
    <x v="0"/>
    <x v="1"/>
    <x v="0"/>
    <x v="0"/>
    <x v="1"/>
    <x v="0"/>
    <x v="0"/>
    <x v="3"/>
    <x v="0"/>
    <s v="2"/>
    <x v="1"/>
    <n v="0.43916666666666665"/>
    <n v="0.55567407280846115"/>
    <x v="1"/>
    <n v="16.38"/>
  </r>
  <r>
    <n v="207"/>
    <s v="1"/>
    <x v="4"/>
    <n v="679"/>
    <x v="0"/>
    <x v="1"/>
    <x v="0"/>
    <x v="0"/>
    <x v="1"/>
    <x v="0"/>
    <x v="0"/>
    <x v="1"/>
    <x v="0"/>
    <s v="1"/>
    <x v="1"/>
    <n v="1.55"/>
    <n v="1.2752350518883164"/>
    <x v="0"/>
    <n v="21.388500000000001"/>
  </r>
  <r>
    <n v="207"/>
    <s v="2"/>
    <x v="4"/>
    <n v="679"/>
    <x v="0"/>
    <x v="1"/>
    <x v="0"/>
    <x v="0"/>
    <x v="1"/>
    <x v="0"/>
    <x v="0"/>
    <x v="1"/>
    <x v="0"/>
    <s v="2"/>
    <x v="1"/>
    <n v="1.575"/>
    <n v="1.3106559092417902"/>
    <x v="0"/>
    <n v="21.388500000000001"/>
  </r>
  <r>
    <n v="298"/>
    <s v="LIM1"/>
    <x v="1"/>
    <n v="813.4"/>
    <x v="2"/>
    <x v="3"/>
    <x v="1"/>
    <x v="0"/>
    <x v="0"/>
    <x v="0"/>
    <x v="0"/>
    <x v="1"/>
    <x v="0"/>
    <s v="FGD1"/>
    <x v="1"/>
    <n v="0.99416666666666675"/>
    <n v="1.4706060989432812"/>
    <x v="0"/>
    <n v="25.6221"/>
  </r>
  <r>
    <n v="298"/>
    <s v="LIM2"/>
    <x v="1"/>
    <n v="813.4"/>
    <x v="2"/>
    <x v="2"/>
    <x v="2"/>
    <x v="1"/>
    <x v="1"/>
    <x v="0"/>
    <x v="0"/>
    <x v="1"/>
    <x v="0"/>
    <s v="FGD2"/>
    <x v="1"/>
    <n v="0.99416666666666675"/>
    <n v="1.4606393983807686"/>
    <x v="0"/>
    <n v="25.6221"/>
  </r>
  <r>
    <n v="384"/>
    <s v="71"/>
    <x v="5"/>
    <n v="330"/>
    <x v="3"/>
    <x v="1"/>
    <x v="0"/>
    <x v="0"/>
    <x v="1"/>
    <x v="0"/>
    <x v="0"/>
    <x v="0"/>
    <x v="0"/>
    <m/>
    <x v="0"/>
    <n v="0.27583333333333332"/>
    <n v="0.38648176266598183"/>
    <x v="1"/>
    <n v="10.395"/>
  </r>
  <r>
    <n v="384"/>
    <s v="72"/>
    <x v="5"/>
    <n v="330"/>
    <x v="3"/>
    <x v="1"/>
    <x v="0"/>
    <x v="0"/>
    <x v="1"/>
    <x v="0"/>
    <x v="0"/>
    <x v="0"/>
    <x v="0"/>
    <m/>
    <x v="0"/>
    <n v="0.27583333333333332"/>
    <n v="0.38648176266598183"/>
    <x v="1"/>
    <n v="10.395"/>
  </r>
  <r>
    <n v="384"/>
    <s v="81"/>
    <x v="5"/>
    <n v="330"/>
    <x v="3"/>
    <x v="0"/>
    <x v="0"/>
    <x v="0"/>
    <x v="0"/>
    <x v="0"/>
    <x v="0"/>
    <x v="0"/>
    <x v="0"/>
    <m/>
    <x v="0"/>
    <n v="0.3208333333333333"/>
    <n v="0.37326578961015072"/>
    <x v="1"/>
    <n v="10.395"/>
  </r>
  <r>
    <n v="384"/>
    <s v="82"/>
    <x v="5"/>
    <n v="330"/>
    <x v="3"/>
    <x v="0"/>
    <x v="0"/>
    <x v="0"/>
    <x v="0"/>
    <x v="0"/>
    <x v="0"/>
    <x v="0"/>
    <x v="0"/>
    <m/>
    <x v="0"/>
    <n v="0.3208333333333333"/>
    <n v="0.37326578961015072"/>
    <x v="1"/>
    <n v="10.395"/>
  </r>
  <r>
    <n v="465"/>
    <s v="1"/>
    <x v="3"/>
    <n v="44"/>
    <x v="0"/>
    <x v="0"/>
    <x v="0"/>
    <x v="0"/>
    <x v="0"/>
    <x v="0"/>
    <x v="0"/>
    <x v="0"/>
    <x v="0"/>
    <m/>
    <x v="0"/>
    <n v="0.25083333333333335"/>
    <n v="0.28153891210067156"/>
    <x v="1"/>
    <n v="1.3860000000000001"/>
  </r>
  <r>
    <n v="465"/>
    <s v="2"/>
    <x v="3"/>
    <n v="44"/>
    <x v="0"/>
    <x v="0"/>
    <x v="0"/>
    <x v="0"/>
    <x v="0"/>
    <x v="0"/>
    <x v="0"/>
    <x v="0"/>
    <x v="0"/>
    <m/>
    <x v="0"/>
    <n v="0.16333333333333333"/>
    <n v="0.27287793518445996"/>
    <x v="1"/>
    <n v="1.3860000000000001"/>
  </r>
  <r>
    <n v="465"/>
    <s v="3"/>
    <x v="3"/>
    <n v="44"/>
    <x v="0"/>
    <x v="0"/>
    <x v="0"/>
    <x v="0"/>
    <x v="0"/>
    <x v="0"/>
    <x v="0"/>
    <x v="0"/>
    <x v="0"/>
    <m/>
    <x v="0"/>
    <n v="0.25083333333333335"/>
    <n v="0.28153891210067156"/>
    <x v="1"/>
    <n v="1.3860000000000001"/>
  </r>
  <r>
    <n v="465"/>
    <s v="4"/>
    <x v="3"/>
    <n v="100"/>
    <x v="0"/>
    <x v="1"/>
    <x v="1"/>
    <x v="0"/>
    <x v="1"/>
    <x v="0"/>
    <x v="0"/>
    <x v="6"/>
    <x v="0"/>
    <s v="4"/>
    <x v="1"/>
    <n v="0.25083333333333335"/>
    <n v="0.28153891210067156"/>
    <x v="1"/>
    <n v="3.15"/>
  </r>
  <r>
    <n v="469"/>
    <s v="1"/>
    <x v="3"/>
    <n v="100"/>
    <x v="0"/>
    <x v="1"/>
    <x v="1"/>
    <x v="0"/>
    <x v="1"/>
    <x v="0"/>
    <x v="0"/>
    <x v="6"/>
    <x v="0"/>
    <s v="1"/>
    <x v="1"/>
    <n v="0.48"/>
    <n v="0.41834600693430773"/>
    <x v="1"/>
    <n v="3.15"/>
  </r>
  <r>
    <n v="469"/>
    <s v="2"/>
    <x v="3"/>
    <n v="110"/>
    <x v="0"/>
    <x v="2"/>
    <x v="0"/>
    <x v="0"/>
    <x v="0"/>
    <x v="0"/>
    <x v="0"/>
    <x v="0"/>
    <x v="0"/>
    <m/>
    <x v="0"/>
    <n v="0.48"/>
    <n v="0.41834600693430773"/>
    <x v="1"/>
    <n v="3.4649999999999999"/>
  </r>
  <r>
    <n v="469"/>
    <s v="3"/>
    <x v="3"/>
    <n v="150"/>
    <x v="0"/>
    <x v="1"/>
    <x v="1"/>
    <x v="0"/>
    <x v="1"/>
    <x v="0"/>
    <x v="0"/>
    <x v="0"/>
    <x v="0"/>
    <m/>
    <x v="0"/>
    <n v="0.48"/>
    <n v="0.41834600693430773"/>
    <x v="1"/>
    <n v="4.7249999999999996"/>
  </r>
  <r>
    <n v="469"/>
    <s v="4"/>
    <x v="3"/>
    <n v="350"/>
    <x v="0"/>
    <x v="1"/>
    <x v="1"/>
    <x v="0"/>
    <x v="1"/>
    <x v="0"/>
    <x v="0"/>
    <x v="3"/>
    <x v="0"/>
    <s v="4"/>
    <x v="1"/>
    <n v="0.48"/>
    <n v="0.41834600693430773"/>
    <x v="1"/>
    <n v="11.025"/>
  </r>
  <r>
    <n v="470"/>
    <s v="1"/>
    <x v="3"/>
    <n v="350"/>
    <x v="0"/>
    <x v="0"/>
    <x v="0"/>
    <x v="0"/>
    <x v="0"/>
    <x v="0"/>
    <x v="0"/>
    <x v="0"/>
    <x v="0"/>
    <m/>
    <x v="0"/>
    <n v="0.28000000000000003"/>
    <n v="0.35516535813405076"/>
    <x v="1"/>
    <n v="11.025"/>
  </r>
  <r>
    <n v="470"/>
    <s v="2"/>
    <x v="3"/>
    <n v="350"/>
    <x v="0"/>
    <x v="2"/>
    <x v="0"/>
    <x v="0"/>
    <x v="0"/>
    <x v="0"/>
    <x v="0"/>
    <x v="0"/>
    <x v="0"/>
    <m/>
    <x v="0"/>
    <n v="0.3075"/>
    <n v="0.35756359108768493"/>
    <x v="1"/>
    <n v="11.025"/>
  </r>
  <r>
    <n v="477"/>
    <s v="5"/>
    <x v="3"/>
    <n v="166.25"/>
    <x v="0"/>
    <x v="1"/>
    <x v="1"/>
    <x v="0"/>
    <x v="1"/>
    <x v="0"/>
    <x v="0"/>
    <x v="0"/>
    <x v="0"/>
    <m/>
    <x v="0"/>
    <n v="0.38750000000000001"/>
    <n v="0.34862373593503743"/>
    <x v="1"/>
    <n v="5.2368750000000004"/>
  </r>
  <r>
    <n v="492"/>
    <s v="5"/>
    <x v="3"/>
    <n v="50"/>
    <x v="0"/>
    <x v="1"/>
    <x v="0"/>
    <x v="0"/>
    <x v="1"/>
    <x v="0"/>
    <x v="0"/>
    <x v="0"/>
    <x v="0"/>
    <m/>
    <x v="0"/>
    <n v="0.46500000000000002"/>
    <n v="0.42308991382487804"/>
    <x v="1"/>
    <n v="1.575"/>
  </r>
  <r>
    <n v="492"/>
    <s v="6"/>
    <x v="3"/>
    <n v="75"/>
    <x v="0"/>
    <x v="1"/>
    <x v="0"/>
    <x v="0"/>
    <x v="1"/>
    <x v="0"/>
    <x v="0"/>
    <x v="0"/>
    <x v="0"/>
    <m/>
    <x v="0"/>
    <n v="0.44416666666666677"/>
    <n v="0.40652534150302361"/>
    <x v="1"/>
    <n v="2.3624999999999998"/>
  </r>
  <r>
    <n v="492"/>
    <s v="7"/>
    <x v="3"/>
    <n v="132"/>
    <x v="0"/>
    <x v="1"/>
    <x v="0"/>
    <x v="0"/>
    <x v="1"/>
    <x v="0"/>
    <x v="0"/>
    <x v="0"/>
    <x v="0"/>
    <m/>
    <x v="0"/>
    <n v="0.44583333333333336"/>
    <n v="0.40728226537799861"/>
    <x v="1"/>
    <n v="4.1580000000000004"/>
  </r>
  <r>
    <n v="525"/>
    <s v="H1"/>
    <x v="3"/>
    <n v="190"/>
    <x v="0"/>
    <x v="1"/>
    <x v="1"/>
    <x v="0"/>
    <x v="1"/>
    <x v="0"/>
    <x v="0"/>
    <x v="3"/>
    <x v="0"/>
    <s v="H1"/>
    <x v="1"/>
    <n v="0.33"/>
    <n v="0.37883515433068887"/>
    <x v="1"/>
    <n v="5.9850000000000003"/>
  </r>
  <r>
    <n v="525"/>
    <s v="H2"/>
    <x v="3"/>
    <n v="275.39999999999998"/>
    <x v="0"/>
    <x v="1"/>
    <x v="1"/>
    <x v="0"/>
    <x v="1"/>
    <x v="0"/>
    <x v="0"/>
    <x v="3"/>
    <x v="0"/>
    <s v="H2"/>
    <x v="1"/>
    <n v="0.39916666666666667"/>
    <n v="0.38331876036565588"/>
    <x v="1"/>
    <n v="8.6750999999999987"/>
  </r>
  <r>
    <n v="527"/>
    <s v="1"/>
    <x v="3"/>
    <n v="114"/>
    <x v="0"/>
    <x v="4"/>
    <x v="0"/>
    <x v="0"/>
    <x v="0"/>
    <x v="0"/>
    <x v="0"/>
    <x v="0"/>
    <x v="0"/>
    <m/>
    <x v="0"/>
    <n v="0.88249999999999995"/>
    <n v="0.82099248827653237"/>
    <x v="0"/>
    <n v="3.5910000000000002"/>
  </r>
  <r>
    <n v="564"/>
    <s v="1"/>
    <x v="4"/>
    <n v="464.58"/>
    <x v="0"/>
    <x v="1"/>
    <x v="0"/>
    <x v="0"/>
    <x v="1"/>
    <x v="0"/>
    <x v="0"/>
    <x v="1"/>
    <x v="0"/>
    <s v="1"/>
    <x v="1"/>
    <n v="1.0783333333333334"/>
    <n v="0.86094046981082661"/>
    <x v="0"/>
    <n v="14.634269999999999"/>
  </r>
  <r>
    <n v="564"/>
    <s v="2"/>
    <x v="4"/>
    <n v="464.58"/>
    <x v="0"/>
    <x v="1"/>
    <x v="3"/>
    <x v="0"/>
    <x v="1"/>
    <x v="1"/>
    <x v="0"/>
    <x v="1"/>
    <x v="0"/>
    <s v="2"/>
    <x v="1"/>
    <n v="1.0791666666666666"/>
    <n v="0.85943268601687184"/>
    <x v="0"/>
    <n v="14.634269999999999"/>
  </r>
  <r>
    <n v="568"/>
    <s v="BHB3"/>
    <x v="6"/>
    <n v="399.5"/>
    <x v="3"/>
    <x v="3"/>
    <x v="1"/>
    <x v="1"/>
    <x v="1"/>
    <x v="0"/>
    <x v="0"/>
    <x v="0"/>
    <x v="0"/>
    <m/>
    <x v="0"/>
    <n v="0.54"/>
    <n v="0.41315990818668707"/>
    <x v="1"/>
    <n v="12.584250000000001"/>
  </r>
  <r>
    <n v="593"/>
    <s v="3"/>
    <x v="4"/>
    <n v="75"/>
    <x v="0"/>
    <x v="5"/>
    <x v="0"/>
    <x v="0"/>
    <x v="0"/>
    <x v="0"/>
    <x v="1"/>
    <x v="0"/>
    <x v="0"/>
    <m/>
    <x v="0"/>
    <n v="0.75916666666666677"/>
    <n v="0.60948754063742128"/>
    <x v="0"/>
    <n v="2.3624999999999998"/>
  </r>
  <r>
    <n v="593"/>
    <s v="4"/>
    <x v="4"/>
    <n v="176.8"/>
    <x v="0"/>
    <x v="1"/>
    <x v="1"/>
    <x v="0"/>
    <x v="1"/>
    <x v="0"/>
    <x v="0"/>
    <x v="0"/>
    <x v="0"/>
    <m/>
    <x v="0"/>
    <n v="0.7533333333333333"/>
    <n v="0.60615907400646485"/>
    <x v="0"/>
    <n v="5.5692000000000004"/>
  </r>
  <r>
    <n v="594"/>
    <s v="1"/>
    <x v="4"/>
    <n v="81.599999999999994"/>
    <x v="0"/>
    <x v="1"/>
    <x v="1"/>
    <x v="0"/>
    <x v="1"/>
    <x v="0"/>
    <x v="0"/>
    <x v="0"/>
    <x v="0"/>
    <m/>
    <x v="0"/>
    <n v="1.365"/>
    <n v="1.0664865747359069"/>
    <x v="0"/>
    <n v="2.5703999999999998"/>
  </r>
  <r>
    <n v="594"/>
    <s v="2"/>
    <x v="4"/>
    <n v="81.599999999999994"/>
    <x v="0"/>
    <x v="1"/>
    <x v="1"/>
    <x v="0"/>
    <x v="1"/>
    <x v="0"/>
    <x v="0"/>
    <x v="0"/>
    <x v="0"/>
    <m/>
    <x v="0"/>
    <n v="1.365"/>
    <n v="1.0654200790396708"/>
    <x v="0"/>
    <n v="2.5703999999999998"/>
  </r>
  <r>
    <n v="594"/>
    <s v="3"/>
    <x v="4"/>
    <n v="176.8"/>
    <x v="0"/>
    <x v="1"/>
    <x v="1"/>
    <x v="2"/>
    <x v="1"/>
    <x v="0"/>
    <x v="1"/>
    <x v="0"/>
    <x v="0"/>
    <m/>
    <x v="0"/>
    <n v="1.365"/>
    <n v="1.0674599030804488"/>
    <x v="0"/>
    <n v="5.5692000000000004"/>
  </r>
  <r>
    <n v="594"/>
    <s v="4"/>
    <x v="4"/>
    <n v="442.4"/>
    <x v="0"/>
    <x v="2"/>
    <x v="4"/>
    <x v="2"/>
    <x v="1"/>
    <x v="0"/>
    <x v="1"/>
    <x v="0"/>
    <x v="0"/>
    <m/>
    <x v="0"/>
    <n v="0.67916666666666659"/>
    <n v="0.53607764706591399"/>
    <x v="1"/>
    <n v="13.935599999999999"/>
  </r>
  <r>
    <n v="602"/>
    <s v="1"/>
    <x v="4"/>
    <n v="685.08"/>
    <x v="0"/>
    <x v="1"/>
    <x v="1"/>
    <x v="0"/>
    <x v="1"/>
    <x v="0"/>
    <x v="0"/>
    <x v="0"/>
    <x v="0"/>
    <m/>
    <x v="0"/>
    <n v="0.69416666666666671"/>
    <n v="0.55963551607031692"/>
    <x v="1"/>
    <n v="21.580020000000001"/>
  </r>
  <r>
    <n v="602"/>
    <s v="2"/>
    <x v="4"/>
    <n v="685.08"/>
    <x v="0"/>
    <x v="1"/>
    <x v="1"/>
    <x v="0"/>
    <x v="1"/>
    <x v="0"/>
    <x v="0"/>
    <x v="0"/>
    <x v="0"/>
    <m/>
    <x v="0"/>
    <n v="0.57833333333333337"/>
    <n v="0.55827935467604772"/>
    <x v="1"/>
    <n v="21.580020000000001"/>
  </r>
  <r>
    <n v="628"/>
    <s v="1"/>
    <x v="4"/>
    <n v="440.55"/>
    <x v="0"/>
    <x v="1"/>
    <x v="0"/>
    <x v="0"/>
    <x v="1"/>
    <x v="0"/>
    <x v="0"/>
    <x v="0"/>
    <x v="0"/>
    <m/>
    <x v="0"/>
    <n v="1.0216666666666667"/>
    <n v="0.81122613486819894"/>
    <x v="0"/>
    <n v="13.877325000000001"/>
  </r>
  <r>
    <n v="628"/>
    <s v="2"/>
    <x v="4"/>
    <n v="523.79999999999995"/>
    <x v="0"/>
    <x v="0"/>
    <x v="0"/>
    <x v="0"/>
    <x v="0"/>
    <x v="0"/>
    <x v="0"/>
    <x v="0"/>
    <x v="0"/>
    <m/>
    <x v="0"/>
    <n v="0.87"/>
    <n v="0.82793342700698125"/>
    <x v="0"/>
    <n v="16.499699999999997"/>
  </r>
  <r>
    <n v="628"/>
    <s v="4"/>
    <x v="4"/>
    <n v="739.26"/>
    <x v="0"/>
    <x v="1"/>
    <x v="0"/>
    <x v="0"/>
    <x v="1"/>
    <x v="0"/>
    <x v="0"/>
    <x v="0"/>
    <x v="0"/>
    <m/>
    <x v="0"/>
    <n v="0.6791666666666667"/>
    <n v="0.54717213008573184"/>
    <x v="1"/>
    <n v="23.28669"/>
  </r>
  <r>
    <n v="628"/>
    <s v="5"/>
    <x v="4"/>
    <n v="739.26"/>
    <x v="0"/>
    <x v="1"/>
    <x v="0"/>
    <x v="0"/>
    <x v="1"/>
    <x v="0"/>
    <x v="0"/>
    <x v="0"/>
    <x v="0"/>
    <m/>
    <x v="0"/>
    <n v="0.6791666666666667"/>
    <n v="0.54717213008573184"/>
    <x v="1"/>
    <n v="23.28669"/>
  </r>
  <r>
    <n v="641"/>
    <s v="4"/>
    <x v="4"/>
    <n v="93.75"/>
    <x v="0"/>
    <x v="6"/>
    <x v="0"/>
    <x v="0"/>
    <x v="0"/>
    <x v="0"/>
    <x v="0"/>
    <x v="0"/>
    <x v="0"/>
    <m/>
    <x v="0"/>
    <n v="0.99416666666666675"/>
    <n v="0.90266578433877165"/>
    <x v="0"/>
    <n v="2.953125"/>
  </r>
  <r>
    <n v="641"/>
    <s v="5"/>
    <x v="4"/>
    <n v="93.75"/>
    <x v="0"/>
    <x v="6"/>
    <x v="0"/>
    <x v="0"/>
    <x v="0"/>
    <x v="0"/>
    <x v="0"/>
    <x v="0"/>
    <x v="0"/>
    <m/>
    <x v="0"/>
    <n v="1.105"/>
    <n v="0.91831400340460656"/>
    <x v="0"/>
    <n v="2.953125"/>
  </r>
  <r>
    <n v="641"/>
    <s v="6"/>
    <x v="4"/>
    <n v="369.75"/>
    <x v="0"/>
    <x v="1"/>
    <x v="0"/>
    <x v="0"/>
    <x v="1"/>
    <x v="0"/>
    <x v="0"/>
    <x v="0"/>
    <x v="0"/>
    <m/>
    <x v="0"/>
    <n v="1.1008333333333333"/>
    <n v="0.91501291228488968"/>
    <x v="0"/>
    <n v="11.647125000000001"/>
  </r>
  <r>
    <n v="641"/>
    <s v="7"/>
    <x v="4"/>
    <n v="578"/>
    <x v="0"/>
    <x v="1"/>
    <x v="0"/>
    <x v="0"/>
    <x v="1"/>
    <x v="0"/>
    <x v="0"/>
    <x v="0"/>
    <x v="0"/>
    <m/>
    <x v="0"/>
    <n v="1.0858333333333332"/>
    <n v="0.90457970177040059"/>
    <x v="0"/>
    <n v="18.207000000000001"/>
  </r>
  <r>
    <n v="643"/>
    <s v="1"/>
    <x v="4"/>
    <n v="149.6"/>
    <x v="0"/>
    <x v="6"/>
    <x v="0"/>
    <x v="0"/>
    <x v="0"/>
    <x v="0"/>
    <x v="0"/>
    <x v="0"/>
    <x v="0"/>
    <m/>
    <x v="0"/>
    <n v="1.0058333333333334"/>
    <n v="0.83035561677043557"/>
    <x v="0"/>
    <n v="4.7123999999999997"/>
  </r>
  <r>
    <n v="643"/>
    <s v="2"/>
    <x v="4"/>
    <n v="190.4"/>
    <x v="0"/>
    <x v="1"/>
    <x v="1"/>
    <x v="0"/>
    <x v="1"/>
    <x v="0"/>
    <x v="0"/>
    <x v="0"/>
    <x v="0"/>
    <m/>
    <x v="0"/>
    <n v="0.95833333333333337"/>
    <n v="0.79555879329546297"/>
    <x v="0"/>
    <n v="5.9976000000000003"/>
  </r>
  <r>
    <n v="645"/>
    <s v="BB01"/>
    <x v="4"/>
    <n v="445.5"/>
    <x v="0"/>
    <x v="0"/>
    <x v="0"/>
    <x v="0"/>
    <x v="0"/>
    <x v="0"/>
    <x v="0"/>
    <x v="1"/>
    <x v="1"/>
    <s v="FGD1"/>
    <x v="1"/>
    <n v="2.5533333333333332"/>
    <n v="2.1142023725173753"/>
    <x v="2"/>
    <n v="14.033250000000001"/>
  </r>
  <r>
    <n v="645"/>
    <s v="BB02"/>
    <x v="4"/>
    <n v="445.5"/>
    <x v="0"/>
    <x v="0"/>
    <x v="0"/>
    <x v="0"/>
    <x v="0"/>
    <x v="0"/>
    <x v="0"/>
    <x v="1"/>
    <x v="1"/>
    <s v="FGD1"/>
    <x v="1"/>
    <n v="2.5058333333333329"/>
    <n v="2.0803659988711023"/>
    <x v="2"/>
    <n v="14.033250000000001"/>
  </r>
  <r>
    <n v="645"/>
    <s v="BB03"/>
    <x v="4"/>
    <n v="445.5"/>
    <x v="0"/>
    <x v="0"/>
    <x v="0"/>
    <x v="0"/>
    <x v="0"/>
    <x v="0"/>
    <x v="0"/>
    <x v="1"/>
    <x v="3"/>
    <s v="FGD4"/>
    <x v="1"/>
    <n v="2.3641666666666663"/>
    <n v="1.9867199772956095"/>
    <x v="2"/>
    <n v="14.033250000000001"/>
  </r>
  <r>
    <n v="645"/>
    <s v="BB04"/>
    <x v="4"/>
    <n v="486"/>
    <x v="0"/>
    <x v="1"/>
    <x v="0"/>
    <x v="0"/>
    <x v="1"/>
    <x v="0"/>
    <x v="0"/>
    <x v="1"/>
    <x v="3"/>
    <s v="FGD4"/>
    <x v="1"/>
    <n v="2.7616666666666672"/>
    <n v="2.5487676291306736"/>
    <x v="2"/>
    <n v="15.308999999999999"/>
  </r>
  <r>
    <n v="646"/>
    <s v="GB01"/>
    <x v="4"/>
    <n v="125"/>
    <x v="0"/>
    <x v="0"/>
    <x v="0"/>
    <x v="0"/>
    <x v="0"/>
    <x v="0"/>
    <x v="0"/>
    <x v="0"/>
    <x v="0"/>
    <m/>
    <x v="0"/>
    <n v="1.2141666666666668"/>
    <n v="1.0247947189666959"/>
    <x v="0"/>
    <n v="3.9375"/>
  </r>
  <r>
    <n v="646"/>
    <s v="GB02"/>
    <x v="4"/>
    <n v="125"/>
    <x v="0"/>
    <x v="0"/>
    <x v="0"/>
    <x v="0"/>
    <x v="0"/>
    <x v="0"/>
    <x v="0"/>
    <x v="0"/>
    <x v="0"/>
    <m/>
    <x v="0"/>
    <n v="1.2033333333333334"/>
    <n v="1.0208856813336482"/>
    <x v="0"/>
    <n v="3.9375"/>
  </r>
  <r>
    <n v="646"/>
    <s v="GB03"/>
    <x v="4"/>
    <n v="179.52"/>
    <x v="0"/>
    <x v="0"/>
    <x v="0"/>
    <x v="0"/>
    <x v="0"/>
    <x v="0"/>
    <x v="0"/>
    <x v="0"/>
    <x v="0"/>
    <m/>
    <x v="0"/>
    <n v="0.84333333333333338"/>
    <n v="0.85283983249271544"/>
    <x v="0"/>
    <n v="5.6548800000000004"/>
  </r>
  <r>
    <n v="646"/>
    <s v="GB04"/>
    <x v="4"/>
    <n v="187.5"/>
    <x v="0"/>
    <x v="0"/>
    <x v="0"/>
    <x v="0"/>
    <x v="0"/>
    <x v="0"/>
    <x v="0"/>
    <x v="0"/>
    <x v="0"/>
    <m/>
    <x v="0"/>
    <n v="0.8308333333333332"/>
    <n v="0.84136238602218871"/>
    <x v="0"/>
    <n v="5.90625"/>
  </r>
  <r>
    <n v="646"/>
    <s v="GB05"/>
    <x v="4"/>
    <n v="239.36"/>
    <x v="0"/>
    <x v="0"/>
    <x v="0"/>
    <x v="0"/>
    <x v="0"/>
    <x v="0"/>
    <x v="0"/>
    <x v="0"/>
    <x v="0"/>
    <m/>
    <x v="0"/>
    <n v="1.2091666666666667"/>
    <n v="1.0120216156155861"/>
    <x v="0"/>
    <n v="7.5398400000000008"/>
  </r>
  <r>
    <n v="646"/>
    <s v="GB06"/>
    <x v="4"/>
    <n v="414"/>
    <x v="0"/>
    <x v="0"/>
    <x v="0"/>
    <x v="0"/>
    <x v="0"/>
    <x v="0"/>
    <x v="0"/>
    <x v="0"/>
    <x v="0"/>
    <m/>
    <x v="0"/>
    <n v="0.79666666666666675"/>
    <n v="0.99854595168621496"/>
    <x v="0"/>
    <n v="13.041"/>
  </r>
  <r>
    <n v="663"/>
    <s v="B2"/>
    <x v="4"/>
    <n v="250.75"/>
    <x v="0"/>
    <x v="2"/>
    <x v="2"/>
    <x v="0"/>
    <x v="0"/>
    <x v="0"/>
    <x v="0"/>
    <x v="0"/>
    <x v="0"/>
    <m/>
    <x v="0"/>
    <n v="0.6991666666666666"/>
    <n v="0.53373629754346263"/>
    <x v="1"/>
    <n v="7.898625"/>
  </r>
  <r>
    <n v="676"/>
    <s v="3"/>
    <x v="4"/>
    <n v="363.87"/>
    <x v="0"/>
    <x v="1"/>
    <x v="0"/>
    <x v="0"/>
    <x v="1"/>
    <x v="0"/>
    <x v="0"/>
    <x v="1"/>
    <x v="0"/>
    <s v="3"/>
    <x v="1"/>
    <n v="1.6658333333333333"/>
    <n v="1.3114843761206194"/>
    <x v="0"/>
    <n v="11.461905"/>
  </r>
  <r>
    <n v="699"/>
    <s v="3"/>
    <x v="4"/>
    <n v="40.25"/>
    <x v="0"/>
    <x v="0"/>
    <x v="0"/>
    <x v="0"/>
    <x v="0"/>
    <x v="0"/>
    <x v="0"/>
    <x v="0"/>
    <x v="0"/>
    <m/>
    <x v="0"/>
    <n v="1.585"/>
    <n v="1.475817620702031"/>
    <x v="0"/>
    <n v="1.2678750000000001"/>
  </r>
  <r>
    <n v="699"/>
    <s v="4"/>
    <x v="4"/>
    <n v="49"/>
    <x v="0"/>
    <x v="0"/>
    <x v="0"/>
    <x v="0"/>
    <x v="0"/>
    <x v="0"/>
    <x v="0"/>
    <x v="0"/>
    <x v="0"/>
    <m/>
    <x v="0"/>
    <n v="1.585"/>
    <n v="1.475817620702031"/>
    <x v="0"/>
    <n v="1.5435000000000001"/>
  </r>
  <r>
    <n v="703"/>
    <s v="1BLR"/>
    <x v="4"/>
    <n v="805.8"/>
    <x v="0"/>
    <x v="1"/>
    <x v="1"/>
    <x v="0"/>
    <x v="1"/>
    <x v="0"/>
    <x v="0"/>
    <x v="0"/>
    <x v="0"/>
    <m/>
    <x v="0"/>
    <n v="0.88333333333333319"/>
    <n v="0.7843420383619446"/>
    <x v="0"/>
    <n v="25.3827"/>
  </r>
  <r>
    <n v="703"/>
    <s v="2BLR"/>
    <x v="4"/>
    <n v="788.8"/>
    <x v="0"/>
    <x v="1"/>
    <x v="1"/>
    <x v="0"/>
    <x v="1"/>
    <x v="0"/>
    <x v="0"/>
    <x v="0"/>
    <x v="0"/>
    <m/>
    <x v="0"/>
    <n v="0.87666666666666648"/>
    <n v="0.78026914248589463"/>
    <x v="0"/>
    <n v="24.847199999999997"/>
  </r>
  <r>
    <n v="703"/>
    <s v="3BLR"/>
    <x v="4"/>
    <n v="952"/>
    <x v="0"/>
    <x v="1"/>
    <x v="1"/>
    <x v="0"/>
    <x v="1"/>
    <x v="0"/>
    <x v="0"/>
    <x v="0"/>
    <x v="0"/>
    <m/>
    <x v="0"/>
    <n v="0.96166666666666656"/>
    <n v="0.78016211106272948"/>
    <x v="0"/>
    <n v="29.988"/>
  </r>
  <r>
    <n v="703"/>
    <s v="4BLR"/>
    <x v="4"/>
    <n v="952"/>
    <x v="0"/>
    <x v="1"/>
    <x v="1"/>
    <x v="0"/>
    <x v="1"/>
    <x v="0"/>
    <x v="0"/>
    <x v="0"/>
    <x v="0"/>
    <m/>
    <x v="0"/>
    <n v="0.96166666666666656"/>
    <n v="0.77996555665322453"/>
    <x v="0"/>
    <n v="29.988"/>
  </r>
  <r>
    <n v="708"/>
    <s v="1"/>
    <x v="4"/>
    <n v="125"/>
    <x v="0"/>
    <x v="0"/>
    <x v="0"/>
    <x v="0"/>
    <x v="0"/>
    <x v="0"/>
    <x v="0"/>
    <x v="0"/>
    <x v="0"/>
    <m/>
    <x v="0"/>
    <n v="0.58750000000000002"/>
    <n v="0.54739260608523987"/>
    <x v="1"/>
    <n v="3.9375"/>
  </r>
  <r>
    <n v="708"/>
    <s v="2"/>
    <x v="4"/>
    <n v="125"/>
    <x v="0"/>
    <x v="0"/>
    <x v="0"/>
    <x v="0"/>
    <x v="0"/>
    <x v="0"/>
    <x v="0"/>
    <x v="0"/>
    <x v="0"/>
    <m/>
    <x v="0"/>
    <n v="0.7058333333333332"/>
    <n v="0.55067978824487618"/>
    <x v="1"/>
    <n v="3.9375"/>
  </r>
  <r>
    <n v="708"/>
    <s v="3"/>
    <x v="4"/>
    <n v="125"/>
    <x v="0"/>
    <x v="0"/>
    <x v="0"/>
    <x v="0"/>
    <x v="0"/>
    <x v="0"/>
    <x v="0"/>
    <x v="0"/>
    <x v="0"/>
    <m/>
    <x v="0"/>
    <n v="0.7058333333333332"/>
    <n v="0.55067978824487618"/>
    <x v="1"/>
    <n v="3.9375"/>
  </r>
  <r>
    <n v="708"/>
    <s v="4"/>
    <x v="4"/>
    <n v="578"/>
    <x v="0"/>
    <x v="7"/>
    <x v="4"/>
    <x v="0"/>
    <x v="1"/>
    <x v="0"/>
    <x v="0"/>
    <x v="0"/>
    <x v="0"/>
    <m/>
    <x v="0"/>
    <n v="0.7058333333333332"/>
    <n v="0.55067978824487618"/>
    <x v="1"/>
    <n v="18.207000000000001"/>
  </r>
  <r>
    <n v="709"/>
    <s v="1"/>
    <x v="4"/>
    <n v="299.2"/>
    <x v="0"/>
    <x v="0"/>
    <x v="0"/>
    <x v="0"/>
    <x v="0"/>
    <x v="0"/>
    <x v="0"/>
    <x v="0"/>
    <x v="0"/>
    <m/>
    <x v="0"/>
    <n v="0.95750000000000002"/>
    <n v="0.85577656339379438"/>
    <x v="0"/>
    <n v="9.4247999999999994"/>
  </r>
  <r>
    <n v="709"/>
    <s v="2"/>
    <x v="4"/>
    <n v="359.04"/>
    <x v="0"/>
    <x v="0"/>
    <x v="0"/>
    <x v="0"/>
    <x v="0"/>
    <x v="0"/>
    <x v="0"/>
    <x v="0"/>
    <x v="0"/>
    <m/>
    <x v="0"/>
    <n v="0.93833333333333346"/>
    <n v="0.83717390603891351"/>
    <x v="0"/>
    <n v="11.309760000000001"/>
  </r>
  <r>
    <n v="709"/>
    <s v="3"/>
    <x v="4"/>
    <n v="544"/>
    <x v="0"/>
    <x v="0"/>
    <x v="0"/>
    <x v="0"/>
    <x v="0"/>
    <x v="0"/>
    <x v="0"/>
    <x v="0"/>
    <x v="0"/>
    <m/>
    <x v="0"/>
    <n v="1.0191666666666666"/>
    <n v="0.83355031367915233"/>
    <x v="0"/>
    <n v="17.135999999999999"/>
  </r>
  <r>
    <n v="709"/>
    <s v="4"/>
    <x v="4"/>
    <n v="544"/>
    <x v="0"/>
    <x v="0"/>
    <x v="0"/>
    <x v="0"/>
    <x v="0"/>
    <x v="0"/>
    <x v="0"/>
    <x v="0"/>
    <x v="0"/>
    <m/>
    <x v="0"/>
    <n v="1.0225"/>
    <n v="0.83612997876711814"/>
    <x v="0"/>
    <n v="17.135999999999999"/>
  </r>
  <r>
    <n v="710"/>
    <s v="MB1"/>
    <x v="4"/>
    <n v="299.2"/>
    <x v="0"/>
    <x v="3"/>
    <x v="4"/>
    <x v="3"/>
    <x v="1"/>
    <x v="0"/>
    <x v="0"/>
    <x v="0"/>
    <x v="0"/>
    <m/>
    <x v="0"/>
    <n v="1.1008333333333333"/>
    <n v="0.85181016704924584"/>
    <x v="0"/>
    <n v="9.4247999999999994"/>
  </r>
  <r>
    <n v="710"/>
    <s v="MB2"/>
    <x v="4"/>
    <n v="299.2"/>
    <x v="0"/>
    <x v="3"/>
    <x v="4"/>
    <x v="3"/>
    <x v="1"/>
    <x v="0"/>
    <x v="0"/>
    <x v="0"/>
    <x v="0"/>
    <m/>
    <x v="0"/>
    <n v="1.1008333333333333"/>
    <n v="0.85181016704924584"/>
    <x v="0"/>
    <n v="9.4247999999999994"/>
  </r>
  <r>
    <n v="727"/>
    <s v="1"/>
    <x v="4"/>
    <n v="27.562999999999999"/>
    <x v="0"/>
    <x v="0"/>
    <x v="0"/>
    <x v="0"/>
    <x v="0"/>
    <x v="0"/>
    <x v="0"/>
    <x v="0"/>
    <x v="0"/>
    <m/>
    <x v="0"/>
    <n v="1.0024999999999999"/>
    <n v="0.85209585445349523"/>
    <x v="0"/>
    <n v="0.86823450000000002"/>
  </r>
  <r>
    <n v="727"/>
    <s v="2"/>
    <x v="4"/>
    <n v="27.562999999999999"/>
    <x v="0"/>
    <x v="0"/>
    <x v="0"/>
    <x v="0"/>
    <x v="0"/>
    <x v="0"/>
    <x v="0"/>
    <x v="0"/>
    <x v="0"/>
    <m/>
    <x v="0"/>
    <n v="1.0024999999999999"/>
    <n v="0.85209585445349523"/>
    <x v="0"/>
    <n v="0.86823450000000002"/>
  </r>
  <r>
    <n v="727"/>
    <s v="3"/>
    <x v="4"/>
    <n v="163.19999999999999"/>
    <x v="0"/>
    <x v="0"/>
    <x v="0"/>
    <x v="0"/>
    <x v="0"/>
    <x v="0"/>
    <x v="0"/>
    <x v="0"/>
    <x v="0"/>
    <m/>
    <x v="0"/>
    <n v="1.0983333333333334"/>
    <n v="0.85664832809252867"/>
    <x v="0"/>
    <n v="5.1407999999999996"/>
  </r>
  <r>
    <n v="728"/>
    <s v="Y1BR"/>
    <x v="4"/>
    <n v="122.5"/>
    <x v="0"/>
    <x v="0"/>
    <x v="0"/>
    <x v="0"/>
    <x v="0"/>
    <x v="0"/>
    <x v="0"/>
    <x v="7"/>
    <x v="0"/>
    <s v="Y1FG"/>
    <x v="1"/>
    <n v="1.0008333333333335"/>
    <n v="0.79260410719055407"/>
    <x v="0"/>
    <n v="3.8587500000000001"/>
  </r>
  <r>
    <n v="728"/>
    <s v="Y2BR"/>
    <x v="4"/>
    <n v="122.5"/>
    <x v="0"/>
    <x v="0"/>
    <x v="0"/>
    <x v="0"/>
    <x v="0"/>
    <x v="0"/>
    <x v="0"/>
    <x v="0"/>
    <x v="0"/>
    <m/>
    <x v="0"/>
    <n v="1.0008333333333335"/>
    <n v="0.79187966250175457"/>
    <x v="0"/>
    <n v="3.8587500000000001"/>
  </r>
  <r>
    <n v="728"/>
    <s v="Y3BR"/>
    <x v="4"/>
    <n v="122.5"/>
    <x v="0"/>
    <x v="0"/>
    <x v="0"/>
    <x v="0"/>
    <x v="0"/>
    <x v="0"/>
    <x v="0"/>
    <x v="0"/>
    <x v="0"/>
    <m/>
    <x v="0"/>
    <n v="0.89"/>
    <n v="0.76754984205596866"/>
    <x v="0"/>
    <n v="3.8587500000000001"/>
  </r>
  <r>
    <n v="728"/>
    <s v="Y4BR"/>
    <x v="4"/>
    <n v="156.25"/>
    <x v="0"/>
    <x v="1"/>
    <x v="0"/>
    <x v="0"/>
    <x v="1"/>
    <x v="0"/>
    <x v="0"/>
    <x v="0"/>
    <x v="0"/>
    <m/>
    <x v="0"/>
    <n v="1.0008333333333335"/>
    <n v="0.79187966250175457"/>
    <x v="0"/>
    <n v="4.921875"/>
  </r>
  <r>
    <n v="728"/>
    <s v="Y5BR"/>
    <x v="4"/>
    <n v="156.25"/>
    <x v="0"/>
    <x v="1"/>
    <x v="1"/>
    <x v="0"/>
    <x v="1"/>
    <x v="0"/>
    <x v="0"/>
    <x v="0"/>
    <x v="0"/>
    <m/>
    <x v="0"/>
    <n v="1.0008333333333335"/>
    <n v="0.79187966250175457"/>
    <x v="0"/>
    <n v="4.921875"/>
  </r>
  <r>
    <n v="728"/>
    <s v="Y6BR"/>
    <x v="4"/>
    <n v="403.75"/>
    <x v="0"/>
    <x v="1"/>
    <x v="1"/>
    <x v="0"/>
    <x v="1"/>
    <x v="0"/>
    <x v="0"/>
    <x v="0"/>
    <x v="0"/>
    <m/>
    <x v="0"/>
    <n v="1.0008333333333335"/>
    <n v="0.79187966250175457"/>
    <x v="0"/>
    <n v="12.718125000000001"/>
  </r>
  <r>
    <n v="728"/>
    <s v="Y7BR"/>
    <x v="4"/>
    <n v="403.75"/>
    <x v="0"/>
    <x v="1"/>
    <x v="1"/>
    <x v="0"/>
    <x v="1"/>
    <x v="0"/>
    <x v="0"/>
    <x v="0"/>
    <x v="0"/>
    <m/>
    <x v="0"/>
    <n v="1.0008333333333335"/>
    <n v="0.79187966250175457"/>
    <x v="0"/>
    <n v="12.718125000000001"/>
  </r>
  <r>
    <n v="733"/>
    <s v="1"/>
    <x v="4"/>
    <n v="50"/>
    <x v="0"/>
    <x v="0"/>
    <x v="0"/>
    <x v="0"/>
    <x v="0"/>
    <x v="0"/>
    <x v="0"/>
    <x v="0"/>
    <x v="0"/>
    <m/>
    <x v="0"/>
    <n v="0.74583333333333324"/>
    <n v="0.59677568406057879"/>
    <x v="1"/>
    <n v="1.575"/>
  </r>
  <r>
    <n v="733"/>
    <s v="2"/>
    <x v="4"/>
    <n v="54.4"/>
    <x v="0"/>
    <x v="0"/>
    <x v="0"/>
    <x v="0"/>
    <x v="0"/>
    <x v="0"/>
    <x v="0"/>
    <x v="0"/>
    <x v="0"/>
    <m/>
    <x v="0"/>
    <n v="0.71333333333333326"/>
    <n v="0.56816148919702691"/>
    <x v="1"/>
    <n v="1.7136"/>
  </r>
  <r>
    <n v="733"/>
    <s v="3"/>
    <x v="4"/>
    <n v="103.5"/>
    <x v="0"/>
    <x v="0"/>
    <x v="0"/>
    <x v="0"/>
    <x v="0"/>
    <x v="0"/>
    <x v="0"/>
    <x v="0"/>
    <x v="0"/>
    <m/>
    <x v="0"/>
    <n v="0.74416666666666664"/>
    <n v="0.59499387612034849"/>
    <x v="1"/>
    <n v="3.2602500000000001"/>
  </r>
  <r>
    <n v="856"/>
    <s v="1"/>
    <x v="5"/>
    <n v="136"/>
    <x v="0"/>
    <x v="1"/>
    <x v="0"/>
    <x v="0"/>
    <x v="1"/>
    <x v="0"/>
    <x v="0"/>
    <x v="0"/>
    <x v="0"/>
    <m/>
    <x v="0"/>
    <n v="2.6541666666666668"/>
    <n v="2.4798616290708697"/>
    <x v="2"/>
    <n v="4.2839999999999998"/>
  </r>
  <r>
    <n v="856"/>
    <s v="2"/>
    <x v="5"/>
    <n v="280.5"/>
    <x v="0"/>
    <x v="1"/>
    <x v="0"/>
    <x v="0"/>
    <x v="1"/>
    <x v="0"/>
    <x v="0"/>
    <x v="0"/>
    <x v="0"/>
    <m/>
    <x v="0"/>
    <n v="1.1683333333333332"/>
    <n v="1.0553892795180999"/>
    <x v="0"/>
    <n v="8.8357500000000009"/>
  </r>
  <r>
    <n v="856"/>
    <s v="3"/>
    <x v="5"/>
    <n v="363.8"/>
    <x v="0"/>
    <x v="1"/>
    <x v="0"/>
    <x v="0"/>
    <x v="1"/>
    <x v="0"/>
    <x v="0"/>
    <x v="0"/>
    <x v="0"/>
    <m/>
    <x v="0"/>
    <n v="1.2966666666666666"/>
    <n v="1.2180215274388486"/>
    <x v="0"/>
    <n v="11.4597"/>
  </r>
  <r>
    <n v="861"/>
    <s v="01"/>
    <x v="5"/>
    <n v="388.96"/>
    <x v="0"/>
    <x v="0"/>
    <x v="0"/>
    <x v="0"/>
    <x v="0"/>
    <x v="0"/>
    <x v="0"/>
    <x v="0"/>
    <x v="0"/>
    <m/>
    <x v="0"/>
    <n v="0.93916666666666682"/>
    <n v="0.92383795810203528"/>
    <x v="0"/>
    <n v="12.252239999999999"/>
  </r>
  <r>
    <n v="861"/>
    <s v="02"/>
    <x v="5"/>
    <n v="616.5"/>
    <x v="0"/>
    <x v="0"/>
    <x v="0"/>
    <x v="0"/>
    <x v="0"/>
    <x v="0"/>
    <x v="0"/>
    <x v="0"/>
    <x v="0"/>
    <m/>
    <x v="0"/>
    <n v="0.93916666666666682"/>
    <n v="0.92078582523531738"/>
    <x v="0"/>
    <n v="19.419750000000001"/>
  </r>
  <r>
    <n v="863"/>
    <s v="05"/>
    <x v="5"/>
    <n v="75"/>
    <x v="0"/>
    <x v="0"/>
    <x v="0"/>
    <x v="0"/>
    <x v="0"/>
    <x v="0"/>
    <x v="0"/>
    <x v="0"/>
    <x v="0"/>
    <m/>
    <x v="0"/>
    <n v="2.4458333333333337"/>
    <n v="2.328291805957392"/>
    <x v="2"/>
    <n v="2.3624999999999998"/>
  </r>
  <r>
    <n v="863"/>
    <s v="06"/>
    <x v="5"/>
    <n v="75"/>
    <x v="0"/>
    <x v="0"/>
    <x v="0"/>
    <x v="0"/>
    <x v="0"/>
    <x v="0"/>
    <x v="0"/>
    <x v="0"/>
    <x v="0"/>
    <m/>
    <x v="0"/>
    <n v="2.6608333333333336"/>
    <n v="2.3139322565956664"/>
    <x v="2"/>
    <n v="2.3624999999999998"/>
  </r>
  <r>
    <n v="864"/>
    <s v="01"/>
    <x v="5"/>
    <n v="29"/>
    <x v="0"/>
    <x v="0"/>
    <x v="0"/>
    <x v="0"/>
    <x v="0"/>
    <x v="0"/>
    <x v="0"/>
    <x v="0"/>
    <x v="0"/>
    <m/>
    <x v="0"/>
    <n v="1.9083333333333332"/>
    <n v="1.8166127963875989"/>
    <x v="2"/>
    <n v="0.91349999999999998"/>
  </r>
  <r>
    <n v="864"/>
    <s v="02"/>
    <x v="5"/>
    <n v="29"/>
    <x v="0"/>
    <x v="0"/>
    <x v="0"/>
    <x v="0"/>
    <x v="0"/>
    <x v="0"/>
    <x v="0"/>
    <x v="0"/>
    <x v="0"/>
    <m/>
    <x v="0"/>
    <n v="2.0516666666666663"/>
    <n v="1.7863688068756953"/>
    <x v="2"/>
    <n v="0.91349999999999998"/>
  </r>
  <r>
    <n v="864"/>
    <s v="03"/>
    <x v="5"/>
    <n v="29"/>
    <x v="0"/>
    <x v="0"/>
    <x v="0"/>
    <x v="0"/>
    <x v="0"/>
    <x v="0"/>
    <x v="0"/>
    <x v="0"/>
    <x v="0"/>
    <m/>
    <x v="0"/>
    <n v="2.0516666666666663"/>
    <n v="1.7863688068756953"/>
    <x v="2"/>
    <n v="0.91349999999999998"/>
  </r>
  <r>
    <n v="864"/>
    <s v="04"/>
    <x v="5"/>
    <n v="29"/>
    <x v="0"/>
    <x v="0"/>
    <x v="0"/>
    <x v="0"/>
    <x v="0"/>
    <x v="0"/>
    <x v="0"/>
    <x v="0"/>
    <x v="0"/>
    <m/>
    <x v="0"/>
    <n v="2.0516666666666663"/>
    <n v="1.7863688068756953"/>
    <x v="2"/>
    <n v="0.91349999999999998"/>
  </r>
  <r>
    <n v="864"/>
    <s v="05"/>
    <x v="5"/>
    <n v="239.36"/>
    <x v="0"/>
    <x v="1"/>
    <x v="0"/>
    <x v="0"/>
    <x v="1"/>
    <x v="0"/>
    <x v="0"/>
    <x v="0"/>
    <x v="0"/>
    <m/>
    <x v="0"/>
    <n v="1.2383333333333335"/>
    <n v="1.2412660663127049"/>
    <x v="0"/>
    <n v="7.5398400000000008"/>
  </r>
  <r>
    <n v="867"/>
    <s v="7"/>
    <x v="5"/>
    <n v="239.36"/>
    <x v="3"/>
    <x v="0"/>
    <x v="0"/>
    <x v="0"/>
    <x v="0"/>
    <x v="0"/>
    <x v="0"/>
    <x v="0"/>
    <x v="0"/>
    <m/>
    <x v="0"/>
    <n v="0.31166666666666665"/>
    <n v="0.34934905508564545"/>
    <x v="1"/>
    <n v="7.5398400000000008"/>
  </r>
  <r>
    <n v="867"/>
    <s v="8"/>
    <x v="5"/>
    <n v="358.16"/>
    <x v="3"/>
    <x v="0"/>
    <x v="0"/>
    <x v="0"/>
    <x v="0"/>
    <x v="0"/>
    <x v="0"/>
    <x v="0"/>
    <x v="0"/>
    <m/>
    <x v="0"/>
    <n v="0.28416666666666668"/>
    <n v="0.34758224200606641"/>
    <x v="1"/>
    <n v="11.28204"/>
  </r>
  <r>
    <n v="874"/>
    <s v="5"/>
    <x v="5"/>
    <n v="360.4"/>
    <x v="3"/>
    <x v="8"/>
    <x v="0"/>
    <x v="0"/>
    <x v="0"/>
    <x v="0"/>
    <x v="0"/>
    <x v="0"/>
    <x v="0"/>
    <m/>
    <x v="0"/>
    <n v="0.3075"/>
    <n v="0.37839279267509962"/>
    <x v="1"/>
    <n v="11.352599999999999"/>
  </r>
  <r>
    <n v="876"/>
    <s v="1"/>
    <x v="5"/>
    <n v="659.7"/>
    <x v="3"/>
    <x v="2"/>
    <x v="0"/>
    <x v="0"/>
    <x v="0"/>
    <x v="0"/>
    <x v="0"/>
    <x v="0"/>
    <x v="0"/>
    <m/>
    <x v="0"/>
    <n v="0.36749999999999999"/>
    <n v="0.33246183670087492"/>
    <x v="1"/>
    <n v="20.780550000000002"/>
  </r>
  <r>
    <n v="876"/>
    <s v="2"/>
    <x v="5"/>
    <n v="659.7"/>
    <x v="3"/>
    <x v="2"/>
    <x v="0"/>
    <x v="0"/>
    <x v="0"/>
    <x v="0"/>
    <x v="0"/>
    <x v="0"/>
    <x v="0"/>
    <m/>
    <x v="0"/>
    <n v="0.38500000000000001"/>
    <n v="0.3195577633401474"/>
    <x v="1"/>
    <n v="20.780550000000002"/>
  </r>
  <r>
    <n v="879"/>
    <s v="51"/>
    <x v="5"/>
    <n v="446"/>
    <x v="3"/>
    <x v="0"/>
    <x v="0"/>
    <x v="0"/>
    <x v="0"/>
    <x v="0"/>
    <x v="0"/>
    <x v="0"/>
    <x v="0"/>
    <m/>
    <x v="0"/>
    <n v="0.2591666666666666"/>
    <n v="0.32292387499576264"/>
    <x v="1"/>
    <n v="14.048999999999999"/>
  </r>
  <r>
    <n v="879"/>
    <s v="52"/>
    <x v="5"/>
    <n v="446"/>
    <x v="3"/>
    <x v="0"/>
    <x v="0"/>
    <x v="0"/>
    <x v="0"/>
    <x v="0"/>
    <x v="0"/>
    <x v="0"/>
    <x v="0"/>
    <m/>
    <x v="0"/>
    <n v="0.2591666666666666"/>
    <n v="0.32292387499576264"/>
    <x v="1"/>
    <n v="14.048999999999999"/>
  </r>
  <r>
    <n v="879"/>
    <s v="61"/>
    <x v="5"/>
    <n v="446"/>
    <x v="3"/>
    <x v="0"/>
    <x v="0"/>
    <x v="0"/>
    <x v="0"/>
    <x v="0"/>
    <x v="0"/>
    <x v="0"/>
    <x v="0"/>
    <m/>
    <x v="0"/>
    <n v="0.28749999999999998"/>
    <n v="0.32808707721302788"/>
    <x v="1"/>
    <n v="14.048999999999999"/>
  </r>
  <r>
    <n v="879"/>
    <s v="62"/>
    <x v="5"/>
    <n v="446"/>
    <x v="3"/>
    <x v="2"/>
    <x v="0"/>
    <x v="0"/>
    <x v="0"/>
    <x v="0"/>
    <x v="0"/>
    <x v="0"/>
    <x v="0"/>
    <m/>
    <x v="0"/>
    <n v="0.28749999999999998"/>
    <n v="0.32808707721302788"/>
    <x v="1"/>
    <n v="14.048999999999999"/>
  </r>
  <r>
    <n v="883"/>
    <s v="17"/>
    <x v="5"/>
    <n v="121"/>
    <x v="3"/>
    <x v="0"/>
    <x v="0"/>
    <x v="0"/>
    <x v="0"/>
    <x v="0"/>
    <x v="0"/>
    <x v="0"/>
    <x v="0"/>
    <m/>
    <x v="0"/>
    <n v="0.32916666666666666"/>
    <n v="0.38843511098801936"/>
    <x v="1"/>
    <n v="3.8115000000000001"/>
  </r>
  <r>
    <n v="883"/>
    <s v="7"/>
    <x v="5"/>
    <n v="326.39999999999998"/>
    <x v="3"/>
    <x v="1"/>
    <x v="0"/>
    <x v="0"/>
    <x v="1"/>
    <x v="0"/>
    <x v="0"/>
    <x v="0"/>
    <x v="0"/>
    <m/>
    <x v="0"/>
    <n v="0.36083333333333334"/>
    <n v="0.42165328927637463"/>
    <x v="1"/>
    <n v="10.281599999999999"/>
  </r>
  <r>
    <n v="883"/>
    <s v="8"/>
    <x v="5"/>
    <n v="355.3"/>
    <x v="3"/>
    <x v="1"/>
    <x v="0"/>
    <x v="0"/>
    <x v="1"/>
    <x v="0"/>
    <x v="0"/>
    <x v="0"/>
    <x v="0"/>
    <m/>
    <x v="0"/>
    <n v="0.35583333333333328"/>
    <n v="0.41503422894503311"/>
    <x v="1"/>
    <n v="11.19195"/>
  </r>
  <r>
    <n v="884"/>
    <s v="1"/>
    <x v="5"/>
    <n v="187.5"/>
    <x v="3"/>
    <x v="0"/>
    <x v="0"/>
    <x v="0"/>
    <x v="0"/>
    <x v="0"/>
    <x v="0"/>
    <x v="0"/>
    <x v="0"/>
    <m/>
    <x v="0"/>
    <n v="0.25583333333333336"/>
    <n v="0.35709198780565654"/>
    <x v="1"/>
    <n v="5.90625"/>
  </r>
  <r>
    <n v="884"/>
    <s v="2"/>
    <x v="5"/>
    <n v="183.75"/>
    <x v="3"/>
    <x v="0"/>
    <x v="0"/>
    <x v="0"/>
    <x v="0"/>
    <x v="0"/>
    <x v="0"/>
    <x v="0"/>
    <x v="0"/>
    <m/>
    <x v="0"/>
    <n v="0.245"/>
    <n v="0.34227201210421121"/>
    <x v="1"/>
    <n v="5.788125"/>
  </r>
  <r>
    <n v="884"/>
    <s v="3"/>
    <x v="5"/>
    <n v="299.2"/>
    <x v="3"/>
    <x v="0"/>
    <x v="0"/>
    <x v="0"/>
    <x v="0"/>
    <x v="0"/>
    <x v="0"/>
    <x v="0"/>
    <x v="0"/>
    <m/>
    <x v="0"/>
    <n v="0.28999999999999998"/>
    <n v="0.33293825354228118"/>
    <x v="1"/>
    <n v="9.4247999999999994"/>
  </r>
  <r>
    <n v="884"/>
    <s v="4"/>
    <x v="5"/>
    <n v="598.4"/>
    <x v="3"/>
    <x v="1"/>
    <x v="0"/>
    <x v="0"/>
    <x v="1"/>
    <x v="0"/>
    <x v="0"/>
    <x v="0"/>
    <x v="0"/>
    <m/>
    <x v="0"/>
    <n v="0.26583333333333342"/>
    <n v="0.33211702422445727"/>
    <x v="1"/>
    <n v="18.849599999999999"/>
  </r>
  <r>
    <n v="886"/>
    <s v="19"/>
    <x v="5"/>
    <n v="374.08199999999999"/>
    <x v="3"/>
    <x v="1"/>
    <x v="0"/>
    <x v="0"/>
    <x v="1"/>
    <x v="0"/>
    <x v="0"/>
    <x v="0"/>
    <x v="0"/>
    <m/>
    <x v="0"/>
    <n v="0.31583333333333335"/>
    <n v="0.34080710079557064"/>
    <x v="1"/>
    <n v="11.783583"/>
  </r>
  <r>
    <n v="887"/>
    <s v="1"/>
    <x v="5"/>
    <n v="183.375"/>
    <x v="0"/>
    <x v="1"/>
    <x v="0"/>
    <x v="0"/>
    <x v="1"/>
    <x v="0"/>
    <x v="0"/>
    <x v="0"/>
    <x v="0"/>
    <m/>
    <x v="0"/>
    <n v="0.24916666666666665"/>
    <n v="0.29617567093880459"/>
    <x v="1"/>
    <n v="5.7763125000000004"/>
  </r>
  <r>
    <n v="887"/>
    <s v="2"/>
    <x v="5"/>
    <n v="183.375"/>
    <x v="0"/>
    <x v="1"/>
    <x v="0"/>
    <x v="0"/>
    <x v="1"/>
    <x v="0"/>
    <x v="0"/>
    <x v="0"/>
    <x v="0"/>
    <m/>
    <x v="0"/>
    <n v="0.2258333333333333"/>
    <n v="0.29241781793306604"/>
    <x v="1"/>
    <n v="5.7763125000000004"/>
  </r>
  <r>
    <n v="887"/>
    <s v="3"/>
    <x v="5"/>
    <n v="183.375"/>
    <x v="0"/>
    <x v="1"/>
    <x v="0"/>
    <x v="0"/>
    <x v="1"/>
    <x v="0"/>
    <x v="0"/>
    <x v="0"/>
    <x v="0"/>
    <m/>
    <x v="0"/>
    <n v="0.20749999999999999"/>
    <n v="0.29606151577366702"/>
    <x v="1"/>
    <n v="5.7763125000000004"/>
  </r>
  <r>
    <n v="887"/>
    <s v="4"/>
    <x v="5"/>
    <n v="183.375"/>
    <x v="0"/>
    <x v="1"/>
    <x v="0"/>
    <x v="0"/>
    <x v="1"/>
    <x v="0"/>
    <x v="0"/>
    <x v="0"/>
    <x v="0"/>
    <m/>
    <x v="0"/>
    <n v="0.24916666666666665"/>
    <n v="0.29617567093880459"/>
    <x v="1"/>
    <n v="5.7763125000000004"/>
  </r>
  <r>
    <n v="887"/>
    <s v="5"/>
    <x v="5"/>
    <n v="183.375"/>
    <x v="0"/>
    <x v="1"/>
    <x v="0"/>
    <x v="0"/>
    <x v="1"/>
    <x v="0"/>
    <x v="0"/>
    <x v="0"/>
    <x v="0"/>
    <m/>
    <x v="0"/>
    <n v="0.24916666666666665"/>
    <n v="0.29617567093880459"/>
    <x v="1"/>
    <n v="5.7763125000000004"/>
  </r>
  <r>
    <n v="887"/>
    <s v="6"/>
    <x v="5"/>
    <n v="183.375"/>
    <x v="0"/>
    <x v="1"/>
    <x v="0"/>
    <x v="0"/>
    <x v="1"/>
    <x v="0"/>
    <x v="0"/>
    <x v="0"/>
    <x v="0"/>
    <m/>
    <x v="0"/>
    <n v="0.24916666666666665"/>
    <n v="0.29617567093880459"/>
    <x v="1"/>
    <n v="5.7763125000000004"/>
  </r>
  <r>
    <n v="889"/>
    <s v="1"/>
    <x v="5"/>
    <n v="623.04999999999995"/>
    <x v="3"/>
    <x v="0"/>
    <x v="0"/>
    <x v="0"/>
    <x v="0"/>
    <x v="0"/>
    <x v="0"/>
    <x v="0"/>
    <x v="0"/>
    <m/>
    <x v="0"/>
    <n v="0.26833333333333337"/>
    <n v="0.30926620436652597"/>
    <x v="1"/>
    <n v="19.626075"/>
  </r>
  <r>
    <n v="889"/>
    <s v="2"/>
    <x v="5"/>
    <n v="634.5"/>
    <x v="3"/>
    <x v="0"/>
    <x v="0"/>
    <x v="0"/>
    <x v="0"/>
    <x v="0"/>
    <x v="0"/>
    <x v="0"/>
    <x v="0"/>
    <m/>
    <x v="0"/>
    <n v="0.14833333333333332"/>
    <n v="0.22724382522412093"/>
    <x v="1"/>
    <n v="19.986750000000001"/>
  </r>
  <r>
    <n v="889"/>
    <s v="3"/>
    <x v="5"/>
    <n v="634.5"/>
    <x v="3"/>
    <x v="1"/>
    <x v="1"/>
    <x v="0"/>
    <x v="1"/>
    <x v="0"/>
    <x v="0"/>
    <x v="0"/>
    <x v="0"/>
    <m/>
    <x v="0"/>
    <n v="0.45500000000000002"/>
    <n v="0.46408309109288054"/>
    <x v="1"/>
    <n v="19.986750000000001"/>
  </r>
  <r>
    <n v="891"/>
    <s v="9"/>
    <x v="5"/>
    <n v="488.47500000000002"/>
    <x v="0"/>
    <x v="1"/>
    <x v="0"/>
    <x v="0"/>
    <x v="1"/>
    <x v="0"/>
    <x v="0"/>
    <x v="0"/>
    <x v="0"/>
    <m/>
    <x v="0"/>
    <n v="0.54166666666666685"/>
    <n v="0.45555816762916956"/>
    <x v="1"/>
    <n v="15.386962500000001"/>
  </r>
  <r>
    <n v="892"/>
    <s v="1"/>
    <x v="5"/>
    <n v="75"/>
    <x v="3"/>
    <x v="0"/>
    <x v="0"/>
    <x v="0"/>
    <x v="0"/>
    <x v="0"/>
    <x v="0"/>
    <x v="0"/>
    <x v="0"/>
    <m/>
    <x v="0"/>
    <n v="0.29083333333333333"/>
    <n v="0.32991851232492264"/>
    <x v="1"/>
    <n v="2.3624999999999998"/>
  </r>
  <r>
    <n v="892"/>
    <s v="2"/>
    <x v="5"/>
    <n v="231.25"/>
    <x v="3"/>
    <x v="0"/>
    <x v="0"/>
    <x v="0"/>
    <x v="0"/>
    <x v="0"/>
    <x v="0"/>
    <x v="0"/>
    <x v="0"/>
    <m/>
    <x v="0"/>
    <n v="0.29083333333333333"/>
    <n v="0.32991851232492264"/>
    <x v="1"/>
    <n v="7.2843749999999998"/>
  </r>
  <r>
    <n v="897"/>
    <s v="1"/>
    <x v="5"/>
    <n v="73.5"/>
    <x v="0"/>
    <x v="0"/>
    <x v="0"/>
    <x v="0"/>
    <x v="0"/>
    <x v="0"/>
    <x v="0"/>
    <x v="0"/>
    <x v="0"/>
    <m/>
    <x v="0"/>
    <n v="1.3625"/>
    <n v="1.3972580846899585"/>
    <x v="0"/>
    <n v="2.3152499999999998"/>
  </r>
  <r>
    <n v="897"/>
    <s v="2"/>
    <x v="5"/>
    <n v="108.8"/>
    <x v="0"/>
    <x v="1"/>
    <x v="1"/>
    <x v="0"/>
    <x v="1"/>
    <x v="0"/>
    <x v="0"/>
    <x v="0"/>
    <x v="0"/>
    <m/>
    <x v="0"/>
    <n v="1.23"/>
    <n v="1.3840551637177694"/>
    <x v="0"/>
    <n v="3.4272"/>
  </r>
  <r>
    <n v="898"/>
    <s v="4"/>
    <x v="5"/>
    <n v="112.5"/>
    <x v="0"/>
    <x v="0"/>
    <x v="0"/>
    <x v="0"/>
    <x v="0"/>
    <x v="0"/>
    <x v="0"/>
    <x v="0"/>
    <x v="0"/>
    <m/>
    <x v="0"/>
    <n v="0.88666666666666671"/>
    <n v="0.74027070690338126"/>
    <x v="0"/>
    <n v="3.5437500000000002"/>
  </r>
  <r>
    <n v="898"/>
    <s v="5"/>
    <x v="5"/>
    <n v="387.6"/>
    <x v="0"/>
    <x v="0"/>
    <x v="0"/>
    <x v="0"/>
    <x v="0"/>
    <x v="0"/>
    <x v="0"/>
    <x v="0"/>
    <x v="0"/>
    <m/>
    <x v="0"/>
    <n v="0.88666666666666671"/>
    <n v="0.74027070690338126"/>
    <x v="0"/>
    <n v="12.2094"/>
  </r>
  <r>
    <n v="963"/>
    <s v="31"/>
    <x v="5"/>
    <n v="90.25"/>
    <x v="0"/>
    <x v="0"/>
    <x v="0"/>
    <x v="0"/>
    <x v="0"/>
    <x v="0"/>
    <x v="0"/>
    <x v="0"/>
    <x v="0"/>
    <m/>
    <x v="0"/>
    <n v="2.5908333333333338"/>
    <n v="2.969851520139998"/>
    <x v="2"/>
    <n v="2.8428749999999998"/>
  </r>
  <r>
    <n v="963"/>
    <s v="32"/>
    <x v="5"/>
    <n v="90.25"/>
    <x v="0"/>
    <x v="0"/>
    <x v="0"/>
    <x v="0"/>
    <x v="0"/>
    <x v="0"/>
    <x v="0"/>
    <x v="0"/>
    <x v="0"/>
    <m/>
    <x v="0"/>
    <n v="2.5908333333333338"/>
    <n v="2.969851520139998"/>
    <x v="2"/>
    <n v="2.8428749999999998"/>
  </r>
  <r>
    <n v="963"/>
    <s v="33"/>
    <x v="5"/>
    <n v="207.36"/>
    <x v="0"/>
    <x v="0"/>
    <x v="0"/>
    <x v="0"/>
    <x v="0"/>
    <x v="0"/>
    <x v="0"/>
    <x v="5"/>
    <x v="0"/>
    <s v="33"/>
    <x v="1"/>
    <n v="2.8616666666666668"/>
    <n v="2.9844154946194603"/>
    <x v="2"/>
    <n v="6.5318400000000008"/>
  </r>
  <r>
    <n v="964"/>
    <s v="7"/>
    <x v="5"/>
    <n v="37.5"/>
    <x v="0"/>
    <x v="0"/>
    <x v="0"/>
    <x v="0"/>
    <x v="0"/>
    <x v="0"/>
    <x v="0"/>
    <x v="0"/>
    <x v="0"/>
    <m/>
    <x v="0"/>
    <n v="1.2375"/>
    <n v="1.5825033079435269"/>
    <x v="0"/>
    <n v="1.1812499999999999"/>
  </r>
  <r>
    <n v="964"/>
    <s v="8"/>
    <x v="5"/>
    <n v="37.5"/>
    <x v="0"/>
    <x v="0"/>
    <x v="0"/>
    <x v="0"/>
    <x v="0"/>
    <x v="0"/>
    <x v="0"/>
    <x v="0"/>
    <x v="0"/>
    <m/>
    <x v="0"/>
    <n v="1.4941666666666666"/>
    <n v="1.7191177356016696"/>
    <x v="2"/>
    <n v="1.1812499999999999"/>
  </r>
  <r>
    <n v="976"/>
    <s v="1"/>
    <x v="5"/>
    <n v="33"/>
    <x v="0"/>
    <x v="0"/>
    <x v="0"/>
    <x v="0"/>
    <x v="0"/>
    <x v="0"/>
    <x v="0"/>
    <x v="0"/>
    <x v="0"/>
    <m/>
    <x v="0"/>
    <n v="2.2691666666666666"/>
    <n v="2.1925311400576399"/>
    <x v="2"/>
    <n v="1.0395000000000001"/>
  </r>
  <r>
    <n v="976"/>
    <s v="2"/>
    <x v="5"/>
    <n v="33"/>
    <x v="0"/>
    <x v="0"/>
    <x v="0"/>
    <x v="0"/>
    <x v="0"/>
    <x v="0"/>
    <x v="0"/>
    <x v="0"/>
    <x v="0"/>
    <m/>
    <x v="0"/>
    <n v="2.3233333333333328"/>
    <n v="2.2516531041775711"/>
    <x v="2"/>
    <n v="1.0395000000000001"/>
  </r>
  <r>
    <n v="976"/>
    <s v="3"/>
    <x v="5"/>
    <n v="33"/>
    <x v="0"/>
    <x v="0"/>
    <x v="0"/>
    <x v="0"/>
    <x v="0"/>
    <x v="0"/>
    <x v="0"/>
    <x v="0"/>
    <x v="0"/>
    <m/>
    <x v="0"/>
    <n v="2.2400000000000002"/>
    <n v="2.160054502364277"/>
    <x v="2"/>
    <n v="1.0395000000000001"/>
  </r>
  <r>
    <n v="976"/>
    <s v="4"/>
    <x v="5"/>
    <n v="173"/>
    <x v="0"/>
    <x v="0"/>
    <x v="0"/>
    <x v="0"/>
    <x v="0"/>
    <x v="0"/>
    <x v="0"/>
    <x v="4"/>
    <x v="0"/>
    <s v="4"/>
    <x v="1"/>
    <n v="2.4649999999999999"/>
    <n v="2.581269598849087"/>
    <x v="2"/>
    <n v="5.4495000000000005"/>
  </r>
  <r>
    <n v="981"/>
    <s v="3"/>
    <x v="5"/>
    <n v="207"/>
    <x v="3"/>
    <x v="0"/>
    <x v="0"/>
    <x v="0"/>
    <x v="0"/>
    <x v="0"/>
    <x v="0"/>
    <x v="0"/>
    <x v="0"/>
    <m/>
    <x v="0"/>
    <n v="0.29333333333333333"/>
    <n v="0.31791129835464688"/>
    <x v="1"/>
    <n v="6.5205000000000002"/>
  </r>
  <r>
    <n v="981"/>
    <s v="4"/>
    <x v="5"/>
    <n v="325"/>
    <x v="3"/>
    <x v="0"/>
    <x v="0"/>
    <x v="0"/>
    <x v="0"/>
    <x v="0"/>
    <x v="0"/>
    <x v="0"/>
    <x v="0"/>
    <m/>
    <x v="0"/>
    <n v="0.29416666666666663"/>
    <n v="0.32059510528070678"/>
    <x v="1"/>
    <n v="10.237500000000001"/>
  </r>
  <r>
    <n v="983"/>
    <s v="1"/>
    <x v="5"/>
    <n v="217.26"/>
    <x v="0"/>
    <x v="2"/>
    <x v="0"/>
    <x v="0"/>
    <x v="0"/>
    <x v="0"/>
    <x v="0"/>
    <x v="0"/>
    <x v="0"/>
    <m/>
    <x v="0"/>
    <n v="0.53833333333333333"/>
    <n v="0.55204677528098922"/>
    <x v="1"/>
    <n v="6.8436899999999996"/>
  </r>
  <r>
    <n v="983"/>
    <s v="2"/>
    <x v="5"/>
    <n v="217.26"/>
    <x v="0"/>
    <x v="2"/>
    <x v="0"/>
    <x v="0"/>
    <x v="0"/>
    <x v="0"/>
    <x v="0"/>
    <x v="0"/>
    <x v="0"/>
    <m/>
    <x v="0"/>
    <n v="0.55833333333333324"/>
    <n v="0.5682620772864293"/>
    <x v="1"/>
    <n v="6.8436899999999996"/>
  </r>
  <r>
    <n v="983"/>
    <s v="3"/>
    <x v="5"/>
    <n v="217.26"/>
    <x v="0"/>
    <x v="2"/>
    <x v="0"/>
    <x v="0"/>
    <x v="0"/>
    <x v="0"/>
    <x v="0"/>
    <x v="0"/>
    <x v="0"/>
    <m/>
    <x v="0"/>
    <n v="0.56166666666666665"/>
    <n v="0.57190760978471744"/>
    <x v="1"/>
    <n v="6.8436899999999996"/>
  </r>
  <r>
    <n v="983"/>
    <s v="4"/>
    <x v="5"/>
    <n v="217.26"/>
    <x v="0"/>
    <x v="2"/>
    <x v="0"/>
    <x v="0"/>
    <x v="0"/>
    <x v="0"/>
    <x v="0"/>
    <x v="0"/>
    <x v="0"/>
    <m/>
    <x v="0"/>
    <n v="0.56333333333333335"/>
    <n v="0.57247925402978073"/>
    <x v="1"/>
    <n v="6.8436899999999996"/>
  </r>
  <r>
    <n v="983"/>
    <s v="5"/>
    <x v="5"/>
    <n v="217.26"/>
    <x v="0"/>
    <x v="2"/>
    <x v="0"/>
    <x v="0"/>
    <x v="0"/>
    <x v="0"/>
    <x v="0"/>
    <x v="0"/>
    <x v="0"/>
    <m/>
    <x v="0"/>
    <n v="0.56000000000000005"/>
    <n v="0.57047950180584328"/>
    <x v="1"/>
    <n v="6.8436899999999996"/>
  </r>
  <r>
    <n v="983"/>
    <s v="6"/>
    <x v="5"/>
    <n v="217.26"/>
    <x v="0"/>
    <x v="2"/>
    <x v="0"/>
    <x v="0"/>
    <x v="0"/>
    <x v="0"/>
    <x v="0"/>
    <x v="0"/>
    <x v="0"/>
    <m/>
    <x v="0"/>
    <n v="0.56333333333333335"/>
    <n v="0.57261634814459839"/>
    <x v="1"/>
    <n v="6.8436899999999996"/>
  </r>
  <r>
    <n v="988"/>
    <s v="U1"/>
    <x v="5"/>
    <n v="152.5"/>
    <x v="0"/>
    <x v="1"/>
    <x v="0"/>
    <x v="0"/>
    <x v="1"/>
    <x v="0"/>
    <x v="0"/>
    <x v="0"/>
    <x v="0"/>
    <m/>
    <x v="0"/>
    <n v="0.69166666666666676"/>
    <n v="0.57632012905253482"/>
    <x v="1"/>
    <n v="4.80375"/>
  </r>
  <r>
    <n v="988"/>
    <s v="U2"/>
    <x v="5"/>
    <n v="152.5"/>
    <x v="0"/>
    <x v="1"/>
    <x v="0"/>
    <x v="0"/>
    <x v="1"/>
    <x v="0"/>
    <x v="0"/>
    <x v="0"/>
    <x v="0"/>
    <m/>
    <x v="0"/>
    <n v="0.69166666666666676"/>
    <n v="0.57629209148757077"/>
    <x v="1"/>
    <n v="4.80375"/>
  </r>
  <r>
    <n v="988"/>
    <s v="U3"/>
    <x v="5"/>
    <n v="215.4"/>
    <x v="0"/>
    <x v="1"/>
    <x v="0"/>
    <x v="0"/>
    <x v="1"/>
    <x v="0"/>
    <x v="0"/>
    <x v="0"/>
    <x v="0"/>
    <m/>
    <x v="0"/>
    <n v="0.69166666666666676"/>
    <n v="0.57651138155463066"/>
    <x v="1"/>
    <n v="6.7850999999999999"/>
  </r>
  <r>
    <n v="988"/>
    <s v="U4"/>
    <x v="5"/>
    <n v="579.70000000000005"/>
    <x v="0"/>
    <x v="6"/>
    <x v="0"/>
    <x v="0"/>
    <x v="0"/>
    <x v="0"/>
    <x v="0"/>
    <x v="0"/>
    <x v="0"/>
    <m/>
    <x v="0"/>
    <n v="2.2999999999999998"/>
    <n v="1.8777403693580197"/>
    <x v="2"/>
    <n v="18.260550000000002"/>
  </r>
  <r>
    <n v="990"/>
    <s v="50"/>
    <x v="5"/>
    <n v="113.59099999999999"/>
    <x v="0"/>
    <x v="1"/>
    <x v="1"/>
    <x v="0"/>
    <x v="1"/>
    <x v="0"/>
    <x v="0"/>
    <x v="0"/>
    <x v="0"/>
    <m/>
    <x v="0"/>
    <n v="1.1541666666666668"/>
    <n v="1.0588424070183964"/>
    <x v="0"/>
    <n v="3.5781164999999997"/>
  </r>
  <r>
    <n v="990"/>
    <s v="60"/>
    <x v="5"/>
    <n v="113.636"/>
    <x v="0"/>
    <x v="1"/>
    <x v="1"/>
    <x v="0"/>
    <x v="1"/>
    <x v="0"/>
    <x v="0"/>
    <x v="0"/>
    <x v="0"/>
    <m/>
    <x v="0"/>
    <n v="1.1541666666666668"/>
    <n v="1.0588424070183964"/>
    <x v="0"/>
    <n v="3.5795339999999998"/>
  </r>
  <r>
    <n v="990"/>
    <s v="70"/>
    <x v="5"/>
    <n v="470.9"/>
    <x v="0"/>
    <x v="1"/>
    <x v="1"/>
    <x v="0"/>
    <x v="1"/>
    <x v="0"/>
    <x v="0"/>
    <x v="0"/>
    <x v="0"/>
    <m/>
    <x v="0"/>
    <n v="1.0575000000000001"/>
    <n v="1.0584510546965336"/>
    <x v="0"/>
    <n v="14.833349999999999"/>
  </r>
  <r>
    <n v="991"/>
    <s v="3"/>
    <x v="5"/>
    <n v="50"/>
    <x v="0"/>
    <x v="0"/>
    <x v="0"/>
    <x v="0"/>
    <x v="0"/>
    <x v="0"/>
    <x v="0"/>
    <x v="0"/>
    <x v="0"/>
    <m/>
    <x v="0"/>
    <n v="1.1866666666666665"/>
    <n v="1.0797115913620872"/>
    <x v="0"/>
    <n v="1.575"/>
  </r>
  <r>
    <n v="991"/>
    <s v="4"/>
    <x v="5"/>
    <n v="69"/>
    <x v="0"/>
    <x v="0"/>
    <x v="0"/>
    <x v="0"/>
    <x v="0"/>
    <x v="0"/>
    <x v="0"/>
    <x v="0"/>
    <x v="0"/>
    <m/>
    <x v="0"/>
    <n v="1.1866666666666665"/>
    <n v="1.0797115913620872"/>
    <x v="0"/>
    <n v="2.1735000000000002"/>
  </r>
  <r>
    <n v="991"/>
    <s v="5"/>
    <x v="5"/>
    <n v="69"/>
    <x v="0"/>
    <x v="0"/>
    <x v="0"/>
    <x v="0"/>
    <x v="0"/>
    <x v="0"/>
    <x v="0"/>
    <x v="0"/>
    <x v="0"/>
    <m/>
    <x v="0"/>
    <n v="1.1866666666666665"/>
    <n v="1.0797115913620872"/>
    <x v="0"/>
    <n v="2.1735000000000002"/>
  </r>
  <r>
    <n v="991"/>
    <s v="6"/>
    <x v="5"/>
    <n v="113.636"/>
    <x v="0"/>
    <x v="1"/>
    <x v="1"/>
    <x v="0"/>
    <x v="1"/>
    <x v="0"/>
    <x v="0"/>
    <x v="0"/>
    <x v="0"/>
    <m/>
    <x v="0"/>
    <n v="1.1866666666666665"/>
    <n v="1.0797115913620872"/>
    <x v="0"/>
    <n v="3.5795339999999998"/>
  </r>
  <r>
    <n v="994"/>
    <s v="1"/>
    <x v="5"/>
    <n v="253.44"/>
    <x v="0"/>
    <x v="1"/>
    <x v="1"/>
    <x v="0"/>
    <x v="1"/>
    <x v="0"/>
    <x v="0"/>
    <x v="1"/>
    <x v="0"/>
    <s v="1"/>
    <x v="1"/>
    <n v="2.8933333333333331"/>
    <n v="2.5649776698275315"/>
    <x v="2"/>
    <n v="7.9833600000000002"/>
  </r>
  <r>
    <n v="994"/>
    <s v="2"/>
    <x v="5"/>
    <n v="471"/>
    <x v="0"/>
    <x v="1"/>
    <x v="1"/>
    <x v="0"/>
    <x v="1"/>
    <x v="0"/>
    <x v="0"/>
    <x v="1"/>
    <x v="0"/>
    <s v="2"/>
    <x v="1"/>
    <n v="2.8933333333333331"/>
    <n v="2.5649776698275315"/>
    <x v="2"/>
    <n v="14.836500000000001"/>
  </r>
  <r>
    <n v="994"/>
    <s v="3"/>
    <x v="5"/>
    <n v="574.38"/>
    <x v="0"/>
    <x v="2"/>
    <x v="0"/>
    <x v="0"/>
    <x v="0"/>
    <x v="0"/>
    <x v="0"/>
    <x v="2"/>
    <x v="0"/>
    <s v="3"/>
    <x v="1"/>
    <n v="2.8933333333333331"/>
    <n v="2.5649776698275315"/>
    <x v="2"/>
    <n v="18.092970000000001"/>
  </r>
  <r>
    <n v="994"/>
    <s v="4"/>
    <x v="5"/>
    <n v="574.20000000000005"/>
    <x v="0"/>
    <x v="2"/>
    <x v="0"/>
    <x v="0"/>
    <x v="0"/>
    <x v="0"/>
    <x v="0"/>
    <x v="1"/>
    <x v="0"/>
    <s v="4"/>
    <x v="1"/>
    <n v="2.8933333333333331"/>
    <n v="2.5649776698275315"/>
    <x v="2"/>
    <n v="18.087300000000003"/>
  </r>
  <r>
    <n v="995"/>
    <s v="7"/>
    <x v="5"/>
    <n v="194"/>
    <x v="0"/>
    <x v="0"/>
    <x v="0"/>
    <x v="0"/>
    <x v="0"/>
    <x v="0"/>
    <x v="0"/>
    <x v="5"/>
    <x v="0"/>
    <s v="78"/>
    <x v="1"/>
    <n v="2.6966666666666668"/>
    <n v="2.3720163719998593"/>
    <x v="2"/>
    <n v="6.1109999999999998"/>
  </r>
  <r>
    <n v="995"/>
    <s v="8"/>
    <x v="5"/>
    <n v="421.6"/>
    <x v="0"/>
    <x v="0"/>
    <x v="0"/>
    <x v="0"/>
    <x v="0"/>
    <x v="0"/>
    <x v="0"/>
    <x v="5"/>
    <x v="0"/>
    <s v="78"/>
    <x v="1"/>
    <n v="2.7466666666666666"/>
    <n v="2.3773325734741313"/>
    <x v="2"/>
    <n v="13.2804"/>
  </r>
  <r>
    <n v="996"/>
    <s v="11"/>
    <x v="5"/>
    <n v="115.1"/>
    <x v="3"/>
    <x v="1"/>
    <x v="0"/>
    <x v="0"/>
    <x v="1"/>
    <x v="0"/>
    <x v="0"/>
    <x v="0"/>
    <x v="0"/>
    <m/>
    <x v="0"/>
    <n v="0.27250000000000002"/>
    <n v="0.30205011209658439"/>
    <x v="1"/>
    <n v="3.6256499999999998"/>
  </r>
  <r>
    <n v="996"/>
    <s v="4"/>
    <x v="5"/>
    <n v="138.1"/>
    <x v="1"/>
    <x v="0"/>
    <x v="0"/>
    <x v="0"/>
    <x v="0"/>
    <x v="0"/>
    <x v="0"/>
    <x v="0"/>
    <x v="0"/>
    <m/>
    <x v="0"/>
    <n v="0.18583333333333332"/>
    <n v="0.34855945276418032"/>
    <x v="1"/>
    <n v="4.3501500000000002"/>
  </r>
  <r>
    <n v="996"/>
    <s v="5"/>
    <x v="5"/>
    <n v="138.1"/>
    <x v="3"/>
    <x v="0"/>
    <x v="0"/>
    <x v="0"/>
    <x v="0"/>
    <x v="0"/>
    <x v="0"/>
    <x v="0"/>
    <x v="0"/>
    <m/>
    <x v="0"/>
    <n v="0.27583333333333332"/>
    <n v="0.303204572348166"/>
    <x v="1"/>
    <n v="4.3501500000000002"/>
  </r>
  <r>
    <n v="996"/>
    <s v="6"/>
    <x v="5"/>
    <n v="138.1"/>
    <x v="3"/>
    <x v="1"/>
    <x v="1"/>
    <x v="0"/>
    <x v="1"/>
    <x v="0"/>
    <x v="0"/>
    <x v="0"/>
    <x v="0"/>
    <m/>
    <x v="0"/>
    <n v="0.28416666666666668"/>
    <n v="0.31283522060436453"/>
    <x v="1"/>
    <n v="4.3501500000000002"/>
  </r>
  <r>
    <n v="997"/>
    <s v="12"/>
    <x v="5"/>
    <n v="540"/>
    <x v="3"/>
    <x v="2"/>
    <x v="0"/>
    <x v="0"/>
    <x v="0"/>
    <x v="0"/>
    <x v="0"/>
    <x v="0"/>
    <x v="0"/>
    <m/>
    <x v="0"/>
    <n v="0.39666666666666672"/>
    <n v="0.41434559466303772"/>
    <x v="1"/>
    <n v="17.010000000000002"/>
  </r>
  <r>
    <n v="1001"/>
    <s v="1"/>
    <x v="5"/>
    <n v="531"/>
    <x v="0"/>
    <x v="1"/>
    <x v="1"/>
    <x v="0"/>
    <x v="1"/>
    <x v="0"/>
    <x v="0"/>
    <x v="0"/>
    <x v="0"/>
    <m/>
    <x v="0"/>
    <n v="1.2841666666666665"/>
    <n v="1.1951775044475106"/>
    <x v="0"/>
    <n v="16.726500000000001"/>
  </r>
  <r>
    <n v="1001"/>
    <s v="2"/>
    <x v="5"/>
    <n v="531"/>
    <x v="0"/>
    <x v="1"/>
    <x v="1"/>
    <x v="0"/>
    <x v="1"/>
    <x v="0"/>
    <x v="0"/>
    <x v="0"/>
    <x v="0"/>
    <m/>
    <x v="0"/>
    <n v="1.3458333333333332"/>
    <n v="1.2529660363557575"/>
    <x v="0"/>
    <n v="16.726500000000001"/>
  </r>
  <r>
    <n v="1004"/>
    <s v="7-1"/>
    <x v="5"/>
    <n v="36"/>
    <x v="4"/>
    <x v="0"/>
    <x v="0"/>
    <x v="0"/>
    <x v="0"/>
    <x v="0"/>
    <x v="0"/>
    <x v="0"/>
    <x v="0"/>
    <m/>
    <x v="0"/>
    <n v="1.5366666666666671"/>
    <n v="1.5338814968825309"/>
    <x v="0"/>
    <n v="1.1339999999999999"/>
  </r>
  <r>
    <n v="1004"/>
    <s v="7-2"/>
    <x v="5"/>
    <n v="36"/>
    <x v="4"/>
    <x v="0"/>
    <x v="0"/>
    <x v="0"/>
    <x v="0"/>
    <x v="0"/>
    <x v="0"/>
    <x v="0"/>
    <x v="0"/>
    <m/>
    <x v="0"/>
    <n v="1.5366666666666671"/>
    <n v="1.5338814968825309"/>
    <x v="0"/>
    <n v="1.1339999999999999"/>
  </r>
  <r>
    <n v="1004"/>
    <s v="8-1"/>
    <x v="5"/>
    <n v="36"/>
    <x v="4"/>
    <x v="0"/>
    <x v="0"/>
    <x v="0"/>
    <x v="0"/>
    <x v="0"/>
    <x v="0"/>
    <x v="0"/>
    <x v="0"/>
    <m/>
    <x v="0"/>
    <n v="1.5366666666666671"/>
    <n v="1.5338814968825309"/>
    <x v="0"/>
    <n v="1.1339999999999999"/>
  </r>
  <r>
    <n v="1007"/>
    <s v="1"/>
    <x v="5"/>
    <n v="33"/>
    <x v="0"/>
    <x v="0"/>
    <x v="0"/>
    <x v="0"/>
    <x v="0"/>
    <x v="0"/>
    <x v="0"/>
    <x v="0"/>
    <x v="0"/>
    <m/>
    <x v="0"/>
    <n v="2.101666666666667"/>
    <n v="1.9654441497272093"/>
    <x v="2"/>
    <n v="1.0395000000000001"/>
  </r>
  <r>
    <n v="1007"/>
    <s v="2"/>
    <x v="5"/>
    <n v="33"/>
    <x v="0"/>
    <x v="0"/>
    <x v="0"/>
    <x v="0"/>
    <x v="0"/>
    <x v="0"/>
    <x v="0"/>
    <x v="0"/>
    <x v="0"/>
    <m/>
    <x v="0"/>
    <n v="2.101666666666667"/>
    <n v="1.9654441497272093"/>
    <x v="2"/>
    <n v="1.0395000000000001"/>
  </r>
  <r>
    <n v="1007"/>
    <s v="3"/>
    <x v="5"/>
    <n v="33"/>
    <x v="0"/>
    <x v="0"/>
    <x v="0"/>
    <x v="0"/>
    <x v="0"/>
    <x v="0"/>
    <x v="0"/>
    <x v="0"/>
    <x v="0"/>
    <m/>
    <x v="0"/>
    <n v="2.101666666666667"/>
    <n v="1.9654441497272093"/>
    <x v="2"/>
    <n v="1.0395000000000001"/>
  </r>
  <r>
    <n v="1008"/>
    <s v="1"/>
    <x v="5"/>
    <n v="150"/>
    <x v="0"/>
    <x v="1"/>
    <x v="1"/>
    <x v="0"/>
    <x v="1"/>
    <x v="0"/>
    <x v="0"/>
    <x v="0"/>
    <x v="0"/>
    <m/>
    <x v="0"/>
    <n v="2.4458333333333333"/>
    <n v="1.8990620275484702"/>
    <x v="2"/>
    <n v="4.7249999999999996"/>
  </r>
  <r>
    <n v="1008"/>
    <s v="2"/>
    <x v="5"/>
    <n v="150"/>
    <x v="0"/>
    <x v="1"/>
    <x v="1"/>
    <x v="0"/>
    <x v="1"/>
    <x v="0"/>
    <x v="0"/>
    <x v="0"/>
    <x v="0"/>
    <m/>
    <x v="0"/>
    <n v="2.5458333333333334"/>
    <n v="1.9726467720025997"/>
    <x v="2"/>
    <n v="4.7249999999999996"/>
  </r>
  <r>
    <n v="1008"/>
    <s v="3"/>
    <x v="5"/>
    <n v="150"/>
    <x v="0"/>
    <x v="1"/>
    <x v="1"/>
    <x v="0"/>
    <x v="1"/>
    <x v="0"/>
    <x v="0"/>
    <x v="0"/>
    <x v="0"/>
    <m/>
    <x v="0"/>
    <n v="2.5649999999999999"/>
    <n v="1.9854961742790342"/>
    <x v="2"/>
    <n v="4.7249999999999996"/>
  </r>
  <r>
    <n v="1008"/>
    <s v="4"/>
    <x v="5"/>
    <n v="150"/>
    <x v="0"/>
    <x v="1"/>
    <x v="1"/>
    <x v="0"/>
    <x v="1"/>
    <x v="0"/>
    <x v="0"/>
    <x v="0"/>
    <x v="0"/>
    <m/>
    <x v="0"/>
    <n v="2.5425"/>
    <n v="1.9706187458946374"/>
    <x v="2"/>
    <n v="4.7249999999999996"/>
  </r>
  <r>
    <n v="1010"/>
    <s v="2"/>
    <x v="5"/>
    <n v="112.5"/>
    <x v="0"/>
    <x v="1"/>
    <x v="1"/>
    <x v="0"/>
    <x v="1"/>
    <x v="0"/>
    <x v="0"/>
    <x v="0"/>
    <x v="0"/>
    <m/>
    <x v="0"/>
    <n v="1.8466666666666665"/>
    <n v="1.7320675234760863"/>
    <x v="2"/>
    <n v="3.5437500000000002"/>
  </r>
  <r>
    <n v="1010"/>
    <s v="3"/>
    <x v="5"/>
    <n v="123.25"/>
    <x v="0"/>
    <x v="1"/>
    <x v="1"/>
    <x v="0"/>
    <x v="1"/>
    <x v="0"/>
    <x v="0"/>
    <x v="0"/>
    <x v="0"/>
    <m/>
    <x v="0"/>
    <n v="1.8608333333333336"/>
    <n v="1.7429296688192473"/>
    <x v="2"/>
    <n v="3.8823750000000001"/>
  </r>
  <r>
    <n v="1010"/>
    <s v="4"/>
    <x v="5"/>
    <n v="112.5"/>
    <x v="0"/>
    <x v="1"/>
    <x v="1"/>
    <x v="0"/>
    <x v="1"/>
    <x v="0"/>
    <x v="0"/>
    <x v="0"/>
    <x v="0"/>
    <m/>
    <x v="0"/>
    <n v="1.86"/>
    <n v="1.7442297296349178"/>
    <x v="2"/>
    <n v="3.5437500000000002"/>
  </r>
  <r>
    <n v="1010"/>
    <s v="5"/>
    <x v="5"/>
    <n v="125"/>
    <x v="0"/>
    <x v="0"/>
    <x v="0"/>
    <x v="0"/>
    <x v="0"/>
    <x v="0"/>
    <x v="0"/>
    <x v="0"/>
    <x v="0"/>
    <m/>
    <x v="0"/>
    <n v="1.8525"/>
    <n v="1.7359063372906858"/>
    <x v="2"/>
    <n v="3.9375"/>
  </r>
  <r>
    <n v="1010"/>
    <s v="6"/>
    <x v="5"/>
    <n v="387"/>
    <x v="0"/>
    <x v="1"/>
    <x v="0"/>
    <x v="0"/>
    <x v="1"/>
    <x v="0"/>
    <x v="0"/>
    <x v="0"/>
    <x v="0"/>
    <m/>
    <x v="0"/>
    <n v="1.6758333333333331"/>
    <n v="1.5679028148005558"/>
    <x v="0"/>
    <n v="12.1905"/>
  </r>
  <r>
    <n v="1012"/>
    <s v="1"/>
    <x v="5"/>
    <n v="46"/>
    <x v="0"/>
    <x v="0"/>
    <x v="0"/>
    <x v="0"/>
    <x v="0"/>
    <x v="0"/>
    <x v="0"/>
    <x v="0"/>
    <x v="0"/>
    <m/>
    <x v="0"/>
    <n v="1.530833333333333"/>
    <n v="1.3392854883146197"/>
    <x v="0"/>
    <n v="1.4490000000000001"/>
  </r>
  <r>
    <n v="1012"/>
    <s v="2"/>
    <x v="5"/>
    <n v="103.7"/>
    <x v="0"/>
    <x v="1"/>
    <x v="0"/>
    <x v="0"/>
    <x v="1"/>
    <x v="0"/>
    <x v="0"/>
    <x v="1"/>
    <x v="0"/>
    <s v="2-3"/>
    <x v="1"/>
    <n v="4.1608333333333336"/>
    <n v="3.7116359358475317"/>
    <x v="2"/>
    <n v="3.2665500000000001"/>
  </r>
  <r>
    <n v="1012"/>
    <s v="3"/>
    <x v="5"/>
    <n v="265.23"/>
    <x v="0"/>
    <x v="1"/>
    <x v="0"/>
    <x v="0"/>
    <x v="1"/>
    <x v="0"/>
    <x v="0"/>
    <x v="1"/>
    <x v="0"/>
    <s v="2-3"/>
    <x v="1"/>
    <n v="4.0741666666666667"/>
    <n v="3.6586688311848063"/>
    <x v="2"/>
    <n v="8.3547450000000012"/>
  </r>
  <r>
    <n v="1043"/>
    <s v="1SG1"/>
    <x v="5"/>
    <n v="116.6"/>
    <x v="0"/>
    <x v="1"/>
    <x v="0"/>
    <x v="0"/>
    <x v="1"/>
    <x v="0"/>
    <x v="0"/>
    <x v="0"/>
    <x v="0"/>
    <m/>
    <x v="0"/>
    <n v="1.5091666666666665"/>
    <n v="1.3543104452629249"/>
    <x v="0"/>
    <n v="3.6728999999999998"/>
  </r>
  <r>
    <n v="1043"/>
    <s v="2SG1"/>
    <x v="5"/>
    <n v="116.6"/>
    <x v="0"/>
    <x v="1"/>
    <x v="0"/>
    <x v="0"/>
    <x v="1"/>
    <x v="0"/>
    <x v="0"/>
    <x v="0"/>
    <x v="0"/>
    <m/>
    <x v="0"/>
    <n v="1.5091666666666665"/>
    <n v="1.3543104452629249"/>
    <x v="0"/>
    <n v="3.6728999999999998"/>
  </r>
  <r>
    <n v="1047"/>
    <s v="1"/>
    <x v="2"/>
    <n v="15"/>
    <x v="0"/>
    <x v="0"/>
    <x v="0"/>
    <x v="0"/>
    <x v="0"/>
    <x v="0"/>
    <x v="0"/>
    <x v="0"/>
    <x v="0"/>
    <m/>
    <x v="0"/>
    <n v="0.5"/>
    <n v="1.8181818181818181"/>
    <x v="2"/>
    <n v="0.47249999999999998"/>
  </r>
  <r>
    <n v="1047"/>
    <s v="2"/>
    <x v="2"/>
    <n v="11.5"/>
    <x v="0"/>
    <x v="0"/>
    <x v="0"/>
    <x v="0"/>
    <x v="0"/>
    <x v="0"/>
    <x v="0"/>
    <x v="0"/>
    <x v="0"/>
    <m/>
    <x v="0"/>
    <n v="1.5"/>
    <n v="1.8181818181818181"/>
    <x v="2"/>
    <n v="0.36225000000000002"/>
  </r>
  <r>
    <n v="1047"/>
    <s v="3"/>
    <x v="2"/>
    <n v="37.5"/>
    <x v="0"/>
    <x v="0"/>
    <x v="0"/>
    <x v="0"/>
    <x v="0"/>
    <x v="0"/>
    <x v="0"/>
    <x v="0"/>
    <x v="0"/>
    <m/>
    <x v="0"/>
    <n v="1.6666666666666667"/>
    <n v="1.8181818181818179"/>
    <x v="2"/>
    <n v="1.1812499999999999"/>
  </r>
  <r>
    <n v="1047"/>
    <s v="4"/>
    <x v="2"/>
    <n v="274.5"/>
    <x v="3"/>
    <x v="1"/>
    <x v="0"/>
    <x v="0"/>
    <x v="1"/>
    <x v="0"/>
    <x v="0"/>
    <x v="0"/>
    <x v="0"/>
    <m/>
    <x v="0"/>
    <n v="0.4"/>
    <n v="0.46494355317884722"/>
    <x v="1"/>
    <n v="8.6467500000000008"/>
  </r>
  <r>
    <n v="1048"/>
    <s v="2"/>
    <x v="2"/>
    <n v="218.45"/>
    <x v="0"/>
    <x v="1"/>
    <x v="1"/>
    <x v="4"/>
    <x v="1"/>
    <x v="0"/>
    <x v="0"/>
    <x v="0"/>
    <x v="0"/>
    <m/>
    <x v="0"/>
    <n v="0.5"/>
    <n v="0.44765177289565844"/>
    <x v="1"/>
    <n v="6.8811749999999998"/>
  </r>
  <r>
    <n v="1073"/>
    <s v="1"/>
    <x v="2"/>
    <n v="23"/>
    <x v="3"/>
    <x v="0"/>
    <x v="0"/>
    <x v="0"/>
    <x v="0"/>
    <x v="0"/>
    <x v="0"/>
    <x v="0"/>
    <x v="0"/>
    <m/>
    <x v="0"/>
    <n v="0.33"/>
    <n v="0.38949201782245441"/>
    <x v="1"/>
    <n v="0.72450000000000003"/>
  </r>
  <r>
    <n v="1073"/>
    <s v="2"/>
    <x v="2"/>
    <n v="23"/>
    <x v="3"/>
    <x v="0"/>
    <x v="0"/>
    <x v="0"/>
    <x v="0"/>
    <x v="0"/>
    <x v="0"/>
    <x v="0"/>
    <x v="0"/>
    <m/>
    <x v="0"/>
    <n v="0.33"/>
    <n v="0.38949201782245441"/>
    <x v="1"/>
    <n v="0.72450000000000003"/>
  </r>
  <r>
    <n v="1073"/>
    <s v="3"/>
    <x v="2"/>
    <n v="50"/>
    <x v="3"/>
    <x v="0"/>
    <x v="0"/>
    <x v="0"/>
    <x v="0"/>
    <x v="0"/>
    <x v="0"/>
    <x v="0"/>
    <x v="0"/>
    <m/>
    <x v="0"/>
    <n v="0.33"/>
    <n v="0.38949201782245441"/>
    <x v="1"/>
    <n v="1.575"/>
  </r>
  <r>
    <n v="1073"/>
    <s v="4"/>
    <x v="2"/>
    <n v="148.75"/>
    <x v="3"/>
    <x v="2"/>
    <x v="5"/>
    <x v="0"/>
    <x v="0"/>
    <x v="0"/>
    <x v="0"/>
    <x v="0"/>
    <x v="0"/>
    <m/>
    <x v="0"/>
    <n v="0.33"/>
    <n v="0.38949201782245441"/>
    <x v="1"/>
    <n v="4.6856249999999999"/>
  </r>
  <r>
    <n v="1077"/>
    <s v="1"/>
    <x v="2"/>
    <n v="37.5"/>
    <x v="3"/>
    <x v="0"/>
    <x v="0"/>
    <x v="0"/>
    <x v="0"/>
    <x v="0"/>
    <x v="0"/>
    <x v="0"/>
    <x v="0"/>
    <m/>
    <x v="0"/>
    <n v="0.32250000000000001"/>
    <n v="0.36442362856499355"/>
    <x v="1"/>
    <n v="1.1812499999999999"/>
  </r>
  <r>
    <n v="1077"/>
    <s v="2"/>
    <x v="2"/>
    <n v="37.5"/>
    <x v="3"/>
    <x v="0"/>
    <x v="0"/>
    <x v="0"/>
    <x v="0"/>
    <x v="0"/>
    <x v="0"/>
    <x v="0"/>
    <x v="0"/>
    <m/>
    <x v="0"/>
    <n v="0.32250000000000001"/>
    <n v="0.37241033545029462"/>
    <x v="1"/>
    <n v="1.1812499999999999"/>
  </r>
  <r>
    <n v="1077"/>
    <s v="3"/>
    <x v="2"/>
    <n v="81.599999999999994"/>
    <x v="3"/>
    <x v="0"/>
    <x v="0"/>
    <x v="0"/>
    <x v="0"/>
    <x v="0"/>
    <x v="0"/>
    <x v="0"/>
    <x v="0"/>
    <m/>
    <x v="0"/>
    <n v="0.32250000000000001"/>
    <n v="0.33884404419048259"/>
    <x v="1"/>
    <n v="2.5703999999999998"/>
  </r>
  <r>
    <n v="1081"/>
    <s v="6"/>
    <x v="2"/>
    <n v="1"/>
    <x v="3"/>
    <x v="0"/>
    <x v="0"/>
    <x v="0"/>
    <x v="0"/>
    <x v="0"/>
    <x v="0"/>
    <x v="0"/>
    <x v="0"/>
    <m/>
    <x v="0"/>
    <n v="0.10416666666666667"/>
    <n v="0.37294358318272153"/>
    <x v="1"/>
    <n v="3.15E-2"/>
  </r>
  <r>
    <n v="1081"/>
    <s v="7"/>
    <x v="2"/>
    <n v="2"/>
    <x v="3"/>
    <x v="0"/>
    <x v="0"/>
    <x v="0"/>
    <x v="0"/>
    <x v="0"/>
    <x v="0"/>
    <x v="0"/>
    <x v="0"/>
    <m/>
    <x v="0"/>
    <n v="0.28666666666666668"/>
    <n v="0.37059522121817068"/>
    <x v="1"/>
    <n v="6.3E-2"/>
  </r>
  <r>
    <n v="1081"/>
    <s v="8"/>
    <x v="2"/>
    <n v="2"/>
    <x v="3"/>
    <x v="0"/>
    <x v="0"/>
    <x v="0"/>
    <x v="0"/>
    <x v="0"/>
    <x v="0"/>
    <x v="0"/>
    <x v="0"/>
    <m/>
    <x v="0"/>
    <n v="0.3125"/>
    <n v="0.37065411547745813"/>
    <x v="1"/>
    <n v="6.3E-2"/>
  </r>
  <r>
    <n v="1081"/>
    <s v="9"/>
    <x v="2"/>
    <n v="136"/>
    <x v="3"/>
    <x v="7"/>
    <x v="4"/>
    <x v="0"/>
    <x v="1"/>
    <x v="0"/>
    <x v="0"/>
    <x v="0"/>
    <x v="0"/>
    <m/>
    <x v="0"/>
    <n v="0.3125"/>
    <n v="0.36956076650742969"/>
    <x v="1"/>
    <n v="4.2839999999999998"/>
  </r>
  <r>
    <n v="1082"/>
    <s v="1"/>
    <x v="2"/>
    <n v="49"/>
    <x v="3"/>
    <x v="0"/>
    <x v="0"/>
    <x v="0"/>
    <x v="0"/>
    <x v="0"/>
    <x v="0"/>
    <x v="0"/>
    <x v="0"/>
    <m/>
    <x v="0"/>
    <n v="0.33833333333333332"/>
    <n v="0.40589069034032565"/>
    <x v="1"/>
    <n v="1.5435000000000001"/>
  </r>
  <r>
    <n v="1082"/>
    <s v="2"/>
    <x v="2"/>
    <n v="81.599999999999994"/>
    <x v="3"/>
    <x v="0"/>
    <x v="0"/>
    <x v="0"/>
    <x v="0"/>
    <x v="0"/>
    <x v="0"/>
    <x v="0"/>
    <x v="0"/>
    <m/>
    <x v="0"/>
    <n v="0.33833333333333332"/>
    <n v="0.4064271829284678"/>
    <x v="1"/>
    <n v="2.5703999999999998"/>
  </r>
  <r>
    <n v="1082"/>
    <s v="3"/>
    <x v="2"/>
    <n v="725.85"/>
    <x v="3"/>
    <x v="1"/>
    <x v="0"/>
    <x v="0"/>
    <x v="1"/>
    <x v="0"/>
    <x v="0"/>
    <x v="0"/>
    <x v="0"/>
    <m/>
    <x v="0"/>
    <n v="0.33833333333333332"/>
    <n v="0.40569199709597736"/>
    <x v="1"/>
    <n v="22.864274999999999"/>
  </r>
  <r>
    <n v="1091"/>
    <s v="1"/>
    <x v="2"/>
    <n v="147.05000000000001"/>
    <x v="3"/>
    <x v="0"/>
    <x v="0"/>
    <x v="0"/>
    <x v="0"/>
    <x v="0"/>
    <x v="0"/>
    <x v="0"/>
    <x v="0"/>
    <m/>
    <x v="0"/>
    <n v="0.34166666666666662"/>
    <n v="0.3999416025681774"/>
    <x v="1"/>
    <n v="4.6320750000000004"/>
  </r>
  <r>
    <n v="1091"/>
    <s v="2"/>
    <x v="2"/>
    <n v="349.2"/>
    <x v="3"/>
    <x v="1"/>
    <x v="1"/>
    <x v="0"/>
    <x v="1"/>
    <x v="0"/>
    <x v="0"/>
    <x v="0"/>
    <x v="0"/>
    <m/>
    <x v="0"/>
    <n v="0.34166666666666662"/>
    <n v="0.39753097070323645"/>
    <x v="1"/>
    <n v="10.9998"/>
  </r>
  <r>
    <n v="1091"/>
    <s v="3"/>
    <x v="2"/>
    <n v="549.80999999999995"/>
    <x v="3"/>
    <x v="2"/>
    <x v="4"/>
    <x v="0"/>
    <x v="1"/>
    <x v="0"/>
    <x v="0"/>
    <x v="0"/>
    <x v="0"/>
    <m/>
    <x v="0"/>
    <n v="0.34083333333333332"/>
    <n v="0.40258573451101815"/>
    <x v="1"/>
    <n v="17.319014999999997"/>
  </r>
  <r>
    <n v="1104"/>
    <s v="1"/>
    <x v="2"/>
    <n v="212"/>
    <x v="3"/>
    <x v="7"/>
    <x v="4"/>
    <x v="3"/>
    <x v="1"/>
    <x v="0"/>
    <x v="0"/>
    <x v="0"/>
    <x v="0"/>
    <m/>
    <x v="0"/>
    <n v="0.3666666666666667"/>
    <n v="0.44069041570791129"/>
    <x v="1"/>
    <n v="6.6779999999999999"/>
  </r>
  <r>
    <n v="1122"/>
    <s v="7"/>
    <x v="2"/>
    <n v="33"/>
    <x v="3"/>
    <x v="3"/>
    <x v="0"/>
    <x v="0"/>
    <x v="0"/>
    <x v="0"/>
    <x v="0"/>
    <x v="0"/>
    <x v="0"/>
    <m/>
    <x v="0"/>
    <n v="0.14916666666666664"/>
    <n v="0.22557651811784585"/>
    <x v="1"/>
    <n v="1.0395000000000001"/>
  </r>
  <r>
    <n v="1122"/>
    <s v="8"/>
    <x v="2"/>
    <n v="65"/>
    <x v="3"/>
    <x v="2"/>
    <x v="0"/>
    <x v="0"/>
    <x v="0"/>
    <x v="0"/>
    <x v="0"/>
    <x v="0"/>
    <x v="0"/>
    <m/>
    <x v="0"/>
    <n v="0.16166666666666665"/>
    <n v="0.2195131004787699"/>
    <x v="1"/>
    <n v="2.0474999999999999"/>
  </r>
  <r>
    <n v="1167"/>
    <s v="7"/>
    <x v="2"/>
    <n v="25"/>
    <x v="3"/>
    <x v="0"/>
    <x v="0"/>
    <x v="0"/>
    <x v="0"/>
    <x v="0"/>
    <x v="0"/>
    <x v="0"/>
    <x v="0"/>
    <m/>
    <x v="0"/>
    <n v="0.72250000000000003"/>
    <n v="0.92391339687255603"/>
    <x v="0"/>
    <n v="0.78749999999999998"/>
  </r>
  <r>
    <n v="1167"/>
    <s v="8"/>
    <x v="2"/>
    <n v="93"/>
    <x v="3"/>
    <x v="0"/>
    <x v="0"/>
    <x v="0"/>
    <x v="0"/>
    <x v="0"/>
    <x v="0"/>
    <x v="0"/>
    <x v="0"/>
    <m/>
    <x v="0"/>
    <n v="0.42416666666666658"/>
    <n v="0.51735585405966156"/>
    <x v="1"/>
    <n v="2.9295"/>
  </r>
  <r>
    <n v="1167"/>
    <s v="9"/>
    <x v="2"/>
    <n v="175.5"/>
    <x v="3"/>
    <x v="2"/>
    <x v="0"/>
    <x v="0"/>
    <x v="0"/>
    <x v="0"/>
    <x v="0"/>
    <x v="1"/>
    <x v="3"/>
    <s v="9"/>
    <x v="1"/>
    <n v="0.7616666666666666"/>
    <n v="0.93493673170971092"/>
    <x v="0"/>
    <n v="5.5282499999999999"/>
  </r>
  <r>
    <n v="1241"/>
    <s v="1"/>
    <x v="2"/>
    <n v="893.4"/>
    <x v="3"/>
    <x v="2"/>
    <x v="0"/>
    <x v="0"/>
    <x v="0"/>
    <x v="0"/>
    <x v="0"/>
    <x v="4"/>
    <x v="0"/>
    <s v="1"/>
    <x v="1"/>
    <n v="1.1083333333333332"/>
    <n v="1.2506054320433286"/>
    <x v="0"/>
    <n v="28.142099999999999"/>
  </r>
  <r>
    <n v="1241"/>
    <s v="2"/>
    <x v="2"/>
    <n v="685.17"/>
    <x v="3"/>
    <x v="1"/>
    <x v="0"/>
    <x v="0"/>
    <x v="1"/>
    <x v="0"/>
    <x v="0"/>
    <x v="0"/>
    <x v="0"/>
    <m/>
    <x v="0"/>
    <n v="0.32500000000000001"/>
    <n v="0.38111823931043132"/>
    <x v="1"/>
    <n v="21.582854999999999"/>
  </r>
  <r>
    <n v="1250"/>
    <s v="3"/>
    <x v="2"/>
    <n v="49.04"/>
    <x v="0"/>
    <x v="0"/>
    <x v="0"/>
    <x v="0"/>
    <x v="0"/>
    <x v="0"/>
    <x v="0"/>
    <x v="0"/>
    <x v="0"/>
    <m/>
    <x v="0"/>
    <n v="0.35166666666666663"/>
    <n v="0.36779000731096384"/>
    <x v="1"/>
    <n v="1.5447599999999999"/>
  </r>
  <r>
    <n v="1250"/>
    <s v="4"/>
    <x v="2"/>
    <n v="114.495"/>
    <x v="0"/>
    <x v="0"/>
    <x v="0"/>
    <x v="0"/>
    <x v="0"/>
    <x v="0"/>
    <x v="0"/>
    <x v="4"/>
    <x v="2"/>
    <s v="4N"/>
    <x v="1"/>
    <n v="0.26500000000000001"/>
    <n v="0.36706385138088571"/>
    <x v="1"/>
    <n v="3.6065925000000001"/>
  </r>
  <r>
    <n v="1250"/>
    <s v="5"/>
    <x v="2"/>
    <n v="403.2"/>
    <x v="0"/>
    <x v="1"/>
    <x v="0"/>
    <x v="0"/>
    <x v="1"/>
    <x v="0"/>
    <x v="0"/>
    <x v="4"/>
    <x v="2"/>
    <s v="5"/>
    <x v="1"/>
    <n v="0.34416666666666668"/>
    <n v="0.34301593840121852"/>
    <x v="1"/>
    <n v="12.700799999999999"/>
  </r>
  <r>
    <n v="1252"/>
    <s v="10"/>
    <x v="2"/>
    <n v="149.6"/>
    <x v="0"/>
    <x v="0"/>
    <x v="0"/>
    <x v="0"/>
    <x v="0"/>
    <x v="0"/>
    <x v="0"/>
    <x v="0"/>
    <x v="0"/>
    <m/>
    <x v="0"/>
    <n v="0.34250000000000003"/>
    <n v="0.35331506323323519"/>
    <x v="1"/>
    <n v="4.7123999999999997"/>
  </r>
  <r>
    <n v="1252"/>
    <s v="9"/>
    <x v="2"/>
    <n v="81.599999999999994"/>
    <x v="0"/>
    <x v="0"/>
    <x v="0"/>
    <x v="0"/>
    <x v="0"/>
    <x v="0"/>
    <x v="0"/>
    <x v="0"/>
    <x v="0"/>
    <m/>
    <x v="0"/>
    <n v="0.34250000000000003"/>
    <n v="0.35331506323323519"/>
    <x v="1"/>
    <n v="2.5703999999999998"/>
  </r>
  <r>
    <n v="1295"/>
    <s v="1"/>
    <x v="2"/>
    <n v="81.599999999999994"/>
    <x v="0"/>
    <x v="0"/>
    <x v="0"/>
    <x v="0"/>
    <x v="0"/>
    <x v="0"/>
    <x v="0"/>
    <x v="0"/>
    <x v="0"/>
    <m/>
    <x v="0"/>
    <n v="0.17666666666666667"/>
    <n v="0.34393401099921783"/>
    <x v="1"/>
    <n v="2.5703999999999998"/>
  </r>
  <r>
    <n v="1295"/>
    <s v="2"/>
    <x v="2"/>
    <n v="157.5"/>
    <x v="0"/>
    <x v="1"/>
    <x v="0"/>
    <x v="0"/>
    <x v="1"/>
    <x v="0"/>
    <x v="0"/>
    <x v="0"/>
    <x v="0"/>
    <m/>
    <x v="0"/>
    <n v="0.29416666666666669"/>
    <n v="0.33466294804636582"/>
    <x v="1"/>
    <n v="4.9612499999999997"/>
  </r>
  <r>
    <n v="1353"/>
    <s v="BSU1"/>
    <x v="0"/>
    <n v="280.5"/>
    <x v="0"/>
    <x v="1"/>
    <x v="0"/>
    <x v="0"/>
    <x v="1"/>
    <x v="0"/>
    <x v="0"/>
    <x v="0"/>
    <x v="0"/>
    <m/>
    <x v="0"/>
    <n v="0.90833333333333355"/>
    <n v="0.75012601563547321"/>
    <x v="0"/>
    <n v="8.8357500000000009"/>
  </r>
  <r>
    <n v="1353"/>
    <s v="BSU2"/>
    <x v="0"/>
    <n v="816.3"/>
    <x v="0"/>
    <x v="1"/>
    <x v="0"/>
    <x v="0"/>
    <x v="1"/>
    <x v="0"/>
    <x v="0"/>
    <x v="0"/>
    <x v="0"/>
    <m/>
    <x v="0"/>
    <n v="0.92500000000000004"/>
    <n v="0.76538466750996015"/>
    <x v="0"/>
    <n v="25.713449999999998"/>
  </r>
  <r>
    <n v="1355"/>
    <s v="1"/>
    <x v="0"/>
    <n v="113.636"/>
    <x v="0"/>
    <x v="1"/>
    <x v="0"/>
    <x v="0"/>
    <x v="1"/>
    <x v="0"/>
    <x v="0"/>
    <x v="0"/>
    <x v="0"/>
    <m/>
    <x v="0"/>
    <n v="1.3316666666666668"/>
    <n v="1.1092104273872332"/>
    <x v="0"/>
    <n v="3.5795339999999998"/>
  </r>
  <r>
    <n v="1355"/>
    <s v="2"/>
    <x v="0"/>
    <n v="179.52"/>
    <x v="0"/>
    <x v="1"/>
    <x v="1"/>
    <x v="0"/>
    <x v="1"/>
    <x v="0"/>
    <x v="0"/>
    <x v="0"/>
    <x v="0"/>
    <m/>
    <x v="0"/>
    <n v="1.365"/>
    <n v="1.1373269305097022"/>
    <x v="0"/>
    <n v="5.6548800000000004"/>
  </r>
  <r>
    <n v="1355"/>
    <s v="3"/>
    <x v="0"/>
    <n v="446.37799999999999"/>
    <x v="0"/>
    <x v="1"/>
    <x v="1"/>
    <x v="0"/>
    <x v="1"/>
    <x v="0"/>
    <x v="0"/>
    <x v="0"/>
    <x v="0"/>
    <m/>
    <x v="0"/>
    <n v="1.3141666666666667"/>
    <n v="1.0949827938730941"/>
    <x v="0"/>
    <n v="14.060907"/>
  </r>
  <r>
    <n v="1356"/>
    <s v="1"/>
    <x v="0"/>
    <n v="556.91999999999996"/>
    <x v="0"/>
    <x v="1"/>
    <x v="1"/>
    <x v="0"/>
    <x v="1"/>
    <x v="0"/>
    <x v="0"/>
    <x v="1"/>
    <x v="1"/>
    <s v="1"/>
    <x v="1"/>
    <n v="2.6441666666666666"/>
    <n v="2.6394755566947814"/>
    <x v="2"/>
    <n v="17.54298"/>
  </r>
  <r>
    <n v="1356"/>
    <s v="2"/>
    <x v="0"/>
    <n v="556.38"/>
    <x v="0"/>
    <x v="1"/>
    <x v="1"/>
    <x v="0"/>
    <x v="1"/>
    <x v="0"/>
    <x v="0"/>
    <x v="0"/>
    <x v="0"/>
    <m/>
    <x v="0"/>
    <n v="0.71416666666666673"/>
    <n v="0.58765292206631481"/>
    <x v="1"/>
    <n v="17.525970000000001"/>
  </r>
  <r>
    <n v="1356"/>
    <s v="3"/>
    <x v="0"/>
    <n v="556.55999999999995"/>
    <x v="0"/>
    <x v="1"/>
    <x v="1"/>
    <x v="0"/>
    <x v="1"/>
    <x v="0"/>
    <x v="0"/>
    <x v="0"/>
    <x v="0"/>
    <m/>
    <x v="0"/>
    <n v="0.69499999999999995"/>
    <n v="0.57297722026993081"/>
    <x v="1"/>
    <n v="17.531639999999999"/>
  </r>
  <r>
    <n v="1356"/>
    <s v="4"/>
    <x v="0"/>
    <n v="556.20000000000005"/>
    <x v="0"/>
    <x v="1"/>
    <x v="1"/>
    <x v="0"/>
    <x v="1"/>
    <x v="0"/>
    <x v="0"/>
    <x v="0"/>
    <x v="0"/>
    <m/>
    <x v="0"/>
    <n v="0.69666666666666666"/>
    <n v="0.57408363878934354"/>
    <x v="1"/>
    <n v="17.520300000000002"/>
  </r>
  <r>
    <n v="1357"/>
    <s v="4"/>
    <x v="0"/>
    <n v="75"/>
    <x v="0"/>
    <x v="0"/>
    <x v="0"/>
    <x v="0"/>
    <x v="0"/>
    <x v="0"/>
    <x v="0"/>
    <x v="0"/>
    <x v="0"/>
    <m/>
    <x v="0"/>
    <n v="2.2966666666666664"/>
    <n v="1.9732473674310835"/>
    <x v="2"/>
    <n v="2.3624999999999998"/>
  </r>
  <r>
    <n v="1357"/>
    <s v="5"/>
    <x v="0"/>
    <n v="113.636"/>
    <x v="0"/>
    <x v="1"/>
    <x v="0"/>
    <x v="0"/>
    <x v="1"/>
    <x v="0"/>
    <x v="0"/>
    <x v="0"/>
    <x v="0"/>
    <m/>
    <x v="0"/>
    <n v="2.2974999999999999"/>
    <n v="1.967554721846007"/>
    <x v="2"/>
    <n v="3.5795339999999998"/>
  </r>
  <r>
    <n v="1361"/>
    <s v="5"/>
    <x v="0"/>
    <n v="75"/>
    <x v="0"/>
    <x v="0"/>
    <x v="0"/>
    <x v="0"/>
    <x v="0"/>
    <x v="0"/>
    <x v="0"/>
    <x v="0"/>
    <x v="0"/>
    <m/>
    <x v="0"/>
    <n v="0.8633333333333334"/>
    <n v="0.68128126401439237"/>
    <x v="0"/>
    <n v="2.3624999999999998"/>
  </r>
  <r>
    <n v="1363"/>
    <s v="4"/>
    <x v="0"/>
    <n v="163.19999999999999"/>
    <x v="0"/>
    <x v="1"/>
    <x v="0"/>
    <x v="0"/>
    <x v="1"/>
    <x v="0"/>
    <x v="0"/>
    <x v="1"/>
    <x v="0"/>
    <s v="4"/>
    <x v="1"/>
    <n v="3.4674999999999998"/>
    <n v="3.0598867038739548"/>
    <x v="2"/>
    <n v="5.1407999999999996"/>
  </r>
  <r>
    <n v="1363"/>
    <s v="5"/>
    <x v="0"/>
    <n v="209.44"/>
    <x v="0"/>
    <x v="1"/>
    <x v="0"/>
    <x v="0"/>
    <x v="1"/>
    <x v="0"/>
    <x v="0"/>
    <x v="1"/>
    <x v="0"/>
    <s v="5"/>
    <x v="1"/>
    <n v="3.4674999999999998"/>
    <n v="3.0598867038739548"/>
    <x v="2"/>
    <n v="6.5973600000000001"/>
  </r>
  <r>
    <n v="1363"/>
    <s v="6"/>
    <x v="0"/>
    <n v="272"/>
    <x v="0"/>
    <x v="2"/>
    <x v="0"/>
    <x v="0"/>
    <x v="0"/>
    <x v="0"/>
    <x v="0"/>
    <x v="2"/>
    <x v="0"/>
    <s v="6"/>
    <x v="1"/>
    <n v="3.4674999999999998"/>
    <n v="3.0598867038739548"/>
    <x v="2"/>
    <n v="8.5679999999999996"/>
  </r>
  <r>
    <n v="1364"/>
    <s v="1"/>
    <x v="0"/>
    <n v="355.5"/>
    <x v="0"/>
    <x v="1"/>
    <x v="0"/>
    <x v="0"/>
    <x v="1"/>
    <x v="0"/>
    <x v="0"/>
    <x v="1"/>
    <x v="0"/>
    <s v="1"/>
    <x v="1"/>
    <n v="3.0666666666666664"/>
    <n v="2.9417421127007723"/>
    <x v="2"/>
    <n v="11.19825"/>
  </r>
  <r>
    <n v="1364"/>
    <s v="2"/>
    <x v="0"/>
    <n v="355.5"/>
    <x v="0"/>
    <x v="1"/>
    <x v="0"/>
    <x v="0"/>
    <x v="1"/>
    <x v="0"/>
    <x v="0"/>
    <x v="1"/>
    <x v="0"/>
    <s v="2"/>
    <x v="1"/>
    <n v="3.3583333333333329"/>
    <n v="2.9526695149274196"/>
    <x v="2"/>
    <n v="11.19825"/>
  </r>
  <r>
    <n v="1364"/>
    <s v="3"/>
    <x v="0"/>
    <n v="462.6"/>
    <x v="0"/>
    <x v="1"/>
    <x v="0"/>
    <x v="0"/>
    <x v="1"/>
    <x v="0"/>
    <x v="0"/>
    <x v="1"/>
    <x v="0"/>
    <s v="3"/>
    <x v="1"/>
    <n v="3.06"/>
    <n v="2.9384587184515918"/>
    <x v="2"/>
    <n v="14.571900000000001"/>
  </r>
  <r>
    <n v="1364"/>
    <s v="4"/>
    <x v="0"/>
    <n v="543.6"/>
    <x v="0"/>
    <x v="1"/>
    <x v="0"/>
    <x v="0"/>
    <x v="1"/>
    <x v="0"/>
    <x v="0"/>
    <x v="1"/>
    <x v="0"/>
    <s v="4"/>
    <x v="1"/>
    <n v="3.3583333333333329"/>
    <n v="2.9526695149274196"/>
    <x v="2"/>
    <n v="17.1234"/>
  </r>
  <r>
    <n v="1374"/>
    <s v="1"/>
    <x v="0"/>
    <n v="163.19999999999999"/>
    <x v="0"/>
    <x v="0"/>
    <x v="0"/>
    <x v="0"/>
    <x v="0"/>
    <x v="0"/>
    <x v="0"/>
    <x v="1"/>
    <x v="0"/>
    <s v="FGD"/>
    <x v="1"/>
    <n v="3.3583333333333329"/>
    <n v="3.0952250448386907"/>
    <x v="2"/>
    <n v="5.1407999999999996"/>
  </r>
  <r>
    <n v="1374"/>
    <s v="2"/>
    <x v="0"/>
    <n v="282.14999999999998"/>
    <x v="0"/>
    <x v="1"/>
    <x v="0"/>
    <x v="0"/>
    <x v="1"/>
    <x v="0"/>
    <x v="0"/>
    <x v="1"/>
    <x v="0"/>
    <s v="FGD"/>
    <x v="1"/>
    <n v="3.3583333333333329"/>
    <n v="3.0952250448386907"/>
    <x v="2"/>
    <n v="8.8877249999999997"/>
  </r>
  <r>
    <n v="1378"/>
    <s v="1"/>
    <x v="0"/>
    <n v="704"/>
    <x v="0"/>
    <x v="2"/>
    <x v="0"/>
    <x v="0"/>
    <x v="0"/>
    <x v="0"/>
    <x v="0"/>
    <x v="1"/>
    <x v="0"/>
    <s v="1"/>
    <x v="1"/>
    <n v="2.6166666666666667"/>
    <n v="2.4412866902023964"/>
    <x v="2"/>
    <n v="22.176000000000002"/>
  </r>
  <r>
    <n v="1378"/>
    <s v="2"/>
    <x v="0"/>
    <n v="704"/>
    <x v="0"/>
    <x v="2"/>
    <x v="0"/>
    <x v="0"/>
    <x v="0"/>
    <x v="0"/>
    <x v="0"/>
    <x v="1"/>
    <x v="0"/>
    <s v="2"/>
    <x v="1"/>
    <n v="2.8166666666666664"/>
    <n v="2.4059177389238662"/>
    <x v="2"/>
    <n v="22.176000000000002"/>
  </r>
  <r>
    <n v="1378"/>
    <s v="3"/>
    <x v="0"/>
    <n v="1150.2"/>
    <x v="0"/>
    <x v="2"/>
    <x v="0"/>
    <x v="0"/>
    <x v="0"/>
    <x v="0"/>
    <x v="0"/>
    <x v="0"/>
    <x v="0"/>
    <m/>
    <x v="0"/>
    <n v="2.2000000000000002"/>
    <n v="2.1367648875950853"/>
    <x v="2"/>
    <n v="36.231300000000005"/>
  </r>
  <r>
    <n v="1379"/>
    <s v="1"/>
    <x v="0"/>
    <n v="175"/>
    <x v="0"/>
    <x v="1"/>
    <x v="0"/>
    <x v="0"/>
    <x v="1"/>
    <x v="0"/>
    <x v="0"/>
    <x v="0"/>
    <x v="0"/>
    <m/>
    <x v="0"/>
    <n v="0.39166666666666666"/>
    <n v="0.34722905554081157"/>
    <x v="1"/>
    <n v="5.5125000000000002"/>
  </r>
  <r>
    <n v="1379"/>
    <s v="10"/>
    <x v="0"/>
    <n v="175"/>
    <x v="0"/>
    <x v="6"/>
    <x v="0"/>
    <x v="0"/>
    <x v="0"/>
    <x v="0"/>
    <x v="0"/>
    <x v="0"/>
    <x v="0"/>
    <m/>
    <x v="0"/>
    <n v="2.6166666666666667"/>
    <n v="2.4304389161534972"/>
    <x v="2"/>
    <n v="5.5125000000000002"/>
  </r>
  <r>
    <n v="1379"/>
    <s v="2"/>
    <x v="0"/>
    <n v="175"/>
    <x v="0"/>
    <x v="1"/>
    <x v="0"/>
    <x v="0"/>
    <x v="1"/>
    <x v="0"/>
    <x v="0"/>
    <x v="0"/>
    <x v="0"/>
    <m/>
    <x v="0"/>
    <n v="0.36666666666666664"/>
    <n v="0.35796097848377068"/>
    <x v="1"/>
    <n v="5.5125000000000002"/>
  </r>
  <r>
    <n v="1379"/>
    <s v="3"/>
    <x v="0"/>
    <n v="175"/>
    <x v="0"/>
    <x v="1"/>
    <x v="0"/>
    <x v="0"/>
    <x v="1"/>
    <x v="0"/>
    <x v="0"/>
    <x v="0"/>
    <x v="0"/>
    <m/>
    <x v="0"/>
    <n v="0.39166666666666666"/>
    <n v="0.35090267142511528"/>
    <x v="1"/>
    <n v="5.5125000000000002"/>
  </r>
  <r>
    <n v="1379"/>
    <s v="4"/>
    <x v="0"/>
    <n v="175"/>
    <x v="0"/>
    <x v="1"/>
    <x v="0"/>
    <x v="0"/>
    <x v="1"/>
    <x v="0"/>
    <x v="0"/>
    <x v="0"/>
    <x v="0"/>
    <m/>
    <x v="0"/>
    <n v="0.39166666666666666"/>
    <n v="0.35136220263730067"/>
    <x v="1"/>
    <n v="5.5125000000000002"/>
  </r>
  <r>
    <n v="1379"/>
    <s v="5"/>
    <x v="0"/>
    <n v="175"/>
    <x v="0"/>
    <x v="1"/>
    <x v="0"/>
    <x v="0"/>
    <x v="1"/>
    <x v="0"/>
    <x v="0"/>
    <x v="0"/>
    <x v="0"/>
    <m/>
    <x v="0"/>
    <n v="0.39166666666666666"/>
    <n v="0.34781173172835483"/>
    <x v="1"/>
    <n v="5.5125000000000002"/>
  </r>
  <r>
    <n v="1379"/>
    <s v="6"/>
    <x v="0"/>
    <n v="175"/>
    <x v="0"/>
    <x v="1"/>
    <x v="0"/>
    <x v="0"/>
    <x v="1"/>
    <x v="0"/>
    <x v="0"/>
    <x v="0"/>
    <x v="0"/>
    <m/>
    <x v="0"/>
    <n v="0.39166666666666666"/>
    <n v="0.35095283579126679"/>
    <x v="1"/>
    <n v="5.5125000000000002"/>
  </r>
  <r>
    <n v="1379"/>
    <s v="7"/>
    <x v="0"/>
    <n v="175"/>
    <x v="0"/>
    <x v="1"/>
    <x v="0"/>
    <x v="0"/>
    <x v="1"/>
    <x v="0"/>
    <x v="0"/>
    <x v="0"/>
    <x v="0"/>
    <m/>
    <x v="0"/>
    <n v="0.39166666666666666"/>
    <n v="0.35075493838257327"/>
    <x v="1"/>
    <n v="5.5125000000000002"/>
  </r>
  <r>
    <n v="1379"/>
    <s v="8"/>
    <x v="0"/>
    <n v="175"/>
    <x v="0"/>
    <x v="0"/>
    <x v="0"/>
    <x v="0"/>
    <x v="0"/>
    <x v="0"/>
    <x v="0"/>
    <x v="0"/>
    <x v="0"/>
    <m/>
    <x v="0"/>
    <n v="0.39166666666666666"/>
    <n v="0.34929264798264342"/>
    <x v="1"/>
    <n v="5.5125000000000002"/>
  </r>
  <r>
    <n v="1379"/>
    <s v="9"/>
    <x v="0"/>
    <n v="175"/>
    <x v="0"/>
    <x v="1"/>
    <x v="0"/>
    <x v="0"/>
    <x v="1"/>
    <x v="0"/>
    <x v="0"/>
    <x v="0"/>
    <x v="0"/>
    <m/>
    <x v="0"/>
    <n v="0.38333333333333336"/>
    <n v="0.34247249528628504"/>
    <x v="1"/>
    <n v="5.5125000000000002"/>
  </r>
  <r>
    <n v="1381"/>
    <s v="C1"/>
    <x v="0"/>
    <n v="174.25"/>
    <x v="0"/>
    <x v="1"/>
    <x v="0"/>
    <x v="0"/>
    <x v="1"/>
    <x v="0"/>
    <x v="0"/>
    <x v="0"/>
    <x v="0"/>
    <m/>
    <x v="0"/>
    <n v="1.6316666666666666"/>
    <n v="1.3846410214423786"/>
    <x v="0"/>
    <n v="5.4888750000000002"/>
  </r>
  <r>
    <n v="1381"/>
    <s v="C2"/>
    <x v="0"/>
    <n v="174.25"/>
    <x v="0"/>
    <x v="1"/>
    <x v="0"/>
    <x v="0"/>
    <x v="1"/>
    <x v="0"/>
    <x v="0"/>
    <x v="0"/>
    <x v="0"/>
    <m/>
    <x v="0"/>
    <n v="1.63"/>
    <n v="1.3834806136270379"/>
    <x v="0"/>
    <n v="5.4888750000000002"/>
  </r>
  <r>
    <n v="1381"/>
    <s v="C3"/>
    <x v="0"/>
    <n v="172.8"/>
    <x v="0"/>
    <x v="1"/>
    <x v="0"/>
    <x v="0"/>
    <x v="1"/>
    <x v="0"/>
    <x v="0"/>
    <x v="0"/>
    <x v="0"/>
    <m/>
    <x v="0"/>
    <n v="1.6316666666666666"/>
    <n v="1.3855550691828318"/>
    <x v="0"/>
    <n v="5.4432"/>
  </r>
  <r>
    <n v="1382"/>
    <s v="H1"/>
    <x v="0"/>
    <n v="180"/>
    <x v="0"/>
    <x v="1"/>
    <x v="0"/>
    <x v="0"/>
    <x v="1"/>
    <x v="0"/>
    <x v="0"/>
    <x v="2"/>
    <x v="0"/>
    <s v="H1"/>
    <x v="1"/>
    <n v="3.1349999999999998"/>
    <n v="2.6387068941013339"/>
    <x v="2"/>
    <n v="5.67"/>
  </r>
  <r>
    <n v="1382"/>
    <s v="H2"/>
    <x v="0"/>
    <n v="184.5"/>
    <x v="0"/>
    <x v="1"/>
    <x v="0"/>
    <x v="0"/>
    <x v="1"/>
    <x v="0"/>
    <x v="0"/>
    <x v="2"/>
    <x v="0"/>
    <s v="H2"/>
    <x v="1"/>
    <n v="3.1225000000000001"/>
    <n v="2.6293679234308023"/>
    <x v="2"/>
    <n v="5.81175"/>
  </r>
  <r>
    <n v="1384"/>
    <s v="1"/>
    <x v="0"/>
    <n v="100"/>
    <x v="0"/>
    <x v="0"/>
    <x v="0"/>
    <x v="0"/>
    <x v="0"/>
    <x v="0"/>
    <x v="0"/>
    <x v="0"/>
    <x v="0"/>
    <m/>
    <x v="0"/>
    <n v="1.1191666666666669"/>
    <n v="0.99542822052457869"/>
    <x v="0"/>
    <n v="3.15"/>
  </r>
  <r>
    <n v="1384"/>
    <s v="2"/>
    <x v="0"/>
    <n v="220.85"/>
    <x v="0"/>
    <x v="0"/>
    <x v="0"/>
    <x v="0"/>
    <x v="0"/>
    <x v="0"/>
    <x v="0"/>
    <x v="0"/>
    <x v="0"/>
    <m/>
    <x v="0"/>
    <n v="1.2208333333333334"/>
    <n v="0.99598717706675732"/>
    <x v="0"/>
    <n v="6.9567749999999995"/>
  </r>
  <r>
    <n v="1385"/>
    <s v="1"/>
    <x v="0"/>
    <n v="22"/>
    <x v="0"/>
    <x v="0"/>
    <x v="0"/>
    <x v="0"/>
    <x v="0"/>
    <x v="0"/>
    <x v="0"/>
    <x v="0"/>
    <x v="0"/>
    <m/>
    <x v="0"/>
    <n v="0.79666666666666675"/>
    <n v="0.64736637793089891"/>
    <x v="0"/>
    <n v="0.69300000000000006"/>
  </r>
  <r>
    <n v="1385"/>
    <s v="2"/>
    <x v="0"/>
    <n v="22"/>
    <x v="0"/>
    <x v="0"/>
    <x v="0"/>
    <x v="0"/>
    <x v="0"/>
    <x v="0"/>
    <x v="0"/>
    <x v="0"/>
    <x v="0"/>
    <m/>
    <x v="0"/>
    <n v="0.79583333333333339"/>
    <n v="0.64667334462793147"/>
    <x v="0"/>
    <n v="0.69300000000000006"/>
  </r>
  <r>
    <n v="1385"/>
    <s v="3"/>
    <x v="0"/>
    <n v="66"/>
    <x v="0"/>
    <x v="1"/>
    <x v="0"/>
    <x v="0"/>
    <x v="1"/>
    <x v="0"/>
    <x v="0"/>
    <x v="0"/>
    <x v="0"/>
    <m/>
    <x v="0"/>
    <n v="0.79666666666666675"/>
    <n v="0.64735311731194589"/>
    <x v="0"/>
    <n v="2.0790000000000002"/>
  </r>
  <r>
    <n v="1385"/>
    <s v="4"/>
    <x v="0"/>
    <n v="66"/>
    <x v="0"/>
    <x v="1"/>
    <x v="0"/>
    <x v="0"/>
    <x v="1"/>
    <x v="0"/>
    <x v="0"/>
    <x v="0"/>
    <x v="0"/>
    <m/>
    <x v="0"/>
    <n v="0.79666666666666675"/>
    <n v="0.64735311731194589"/>
    <x v="0"/>
    <n v="2.0790000000000002"/>
  </r>
  <r>
    <n v="1393"/>
    <s v="6"/>
    <x v="1"/>
    <n v="614.6"/>
    <x v="3"/>
    <x v="1"/>
    <x v="0"/>
    <x v="0"/>
    <x v="1"/>
    <x v="0"/>
    <x v="0"/>
    <x v="0"/>
    <x v="0"/>
    <m/>
    <x v="0"/>
    <n v="0.42249999999999999"/>
    <n v="0.49671983441190631"/>
    <x v="1"/>
    <n v="19.3599"/>
  </r>
  <r>
    <n v="1552"/>
    <s v="1"/>
    <x v="4"/>
    <n v="190.4"/>
    <x v="0"/>
    <x v="2"/>
    <x v="6"/>
    <x v="0"/>
    <x v="0"/>
    <x v="0"/>
    <x v="0"/>
    <x v="0"/>
    <x v="0"/>
    <m/>
    <x v="0"/>
    <n v="1.7516666666666669"/>
    <n v="1.335787693261653"/>
    <x v="0"/>
    <n v="5.9976000000000003"/>
  </r>
  <r>
    <n v="1552"/>
    <s v="2"/>
    <x v="4"/>
    <n v="209.44"/>
    <x v="0"/>
    <x v="2"/>
    <x v="6"/>
    <x v="0"/>
    <x v="0"/>
    <x v="0"/>
    <x v="0"/>
    <x v="0"/>
    <x v="0"/>
    <m/>
    <x v="0"/>
    <n v="1.7516666666666669"/>
    <n v="1.3339206998030522"/>
    <x v="0"/>
    <n v="6.5973600000000001"/>
  </r>
  <r>
    <n v="1554"/>
    <s v="2"/>
    <x v="4"/>
    <n v="136"/>
    <x v="0"/>
    <x v="1"/>
    <x v="0"/>
    <x v="0"/>
    <x v="1"/>
    <x v="0"/>
    <x v="0"/>
    <x v="0"/>
    <x v="0"/>
    <m/>
    <x v="0"/>
    <n v="0.87250000000000005"/>
    <n v="0.68022954160429505"/>
    <x v="0"/>
    <n v="4.2839999999999998"/>
  </r>
  <r>
    <n v="1554"/>
    <s v="3"/>
    <x v="4"/>
    <n v="359.041"/>
    <x v="0"/>
    <x v="1"/>
    <x v="1"/>
    <x v="0"/>
    <x v="1"/>
    <x v="0"/>
    <x v="0"/>
    <x v="0"/>
    <x v="0"/>
    <m/>
    <x v="0"/>
    <n v="0.87250000000000005"/>
    <n v="0.68022954160429505"/>
    <x v="0"/>
    <n v="11.309791499999999"/>
  </r>
  <r>
    <n v="1570"/>
    <s v="11"/>
    <x v="4"/>
    <n v="75"/>
    <x v="0"/>
    <x v="1"/>
    <x v="0"/>
    <x v="0"/>
    <x v="1"/>
    <x v="0"/>
    <x v="0"/>
    <x v="0"/>
    <x v="0"/>
    <m/>
    <x v="0"/>
    <n v="0.95083333333333331"/>
    <n v="0.79099742873174839"/>
    <x v="0"/>
    <n v="2.3624999999999998"/>
  </r>
  <r>
    <n v="1570"/>
    <s v="9"/>
    <x v="4"/>
    <n v="34.5"/>
    <x v="0"/>
    <x v="1"/>
    <x v="0"/>
    <x v="0"/>
    <x v="1"/>
    <x v="0"/>
    <x v="0"/>
    <x v="0"/>
    <x v="0"/>
    <m/>
    <x v="0"/>
    <n v="0.95083333333333331"/>
    <n v="0.79099742873174839"/>
    <x v="0"/>
    <n v="1.0867500000000001"/>
  </r>
  <r>
    <n v="1571"/>
    <s v="1"/>
    <x v="4"/>
    <n v="364"/>
    <x v="0"/>
    <x v="1"/>
    <x v="1"/>
    <x v="0"/>
    <x v="1"/>
    <x v="0"/>
    <x v="0"/>
    <x v="0"/>
    <x v="0"/>
    <m/>
    <x v="0"/>
    <n v="1.5916666666666666"/>
    <n v="1.4522258970765503"/>
    <x v="0"/>
    <n v="11.465999999999999"/>
  </r>
  <r>
    <n v="1571"/>
    <s v="2"/>
    <x v="4"/>
    <n v="364"/>
    <x v="0"/>
    <x v="1"/>
    <x v="1"/>
    <x v="0"/>
    <x v="1"/>
    <x v="0"/>
    <x v="0"/>
    <x v="0"/>
    <x v="0"/>
    <m/>
    <x v="0"/>
    <n v="1.6066666666666665"/>
    <n v="1.4638952779867627"/>
    <x v="0"/>
    <n v="11.465999999999999"/>
  </r>
  <r>
    <n v="1572"/>
    <s v="1"/>
    <x v="4"/>
    <n v="196"/>
    <x v="0"/>
    <x v="0"/>
    <x v="0"/>
    <x v="0"/>
    <x v="0"/>
    <x v="0"/>
    <x v="0"/>
    <x v="0"/>
    <x v="0"/>
    <m/>
    <x v="0"/>
    <n v="1.878333333333333"/>
    <n v="1.5595975282595154"/>
    <x v="0"/>
    <n v="6.1740000000000004"/>
  </r>
  <r>
    <n v="1572"/>
    <s v="2"/>
    <x v="4"/>
    <n v="196"/>
    <x v="0"/>
    <x v="0"/>
    <x v="0"/>
    <x v="0"/>
    <x v="0"/>
    <x v="0"/>
    <x v="0"/>
    <x v="0"/>
    <x v="0"/>
    <m/>
    <x v="0"/>
    <n v="2.063333333333333"/>
    <n v="1.5696373801355328"/>
    <x v="0"/>
    <n v="6.1740000000000004"/>
  </r>
  <r>
    <n v="1572"/>
    <s v="3"/>
    <x v="4"/>
    <n v="196"/>
    <x v="0"/>
    <x v="0"/>
    <x v="0"/>
    <x v="0"/>
    <x v="0"/>
    <x v="0"/>
    <x v="0"/>
    <x v="0"/>
    <x v="0"/>
    <m/>
    <x v="0"/>
    <n v="1.905"/>
    <n v="1.5785467385303831"/>
    <x v="0"/>
    <n v="6.1740000000000004"/>
  </r>
  <r>
    <n v="1573"/>
    <s v="1"/>
    <x v="4"/>
    <n v="626"/>
    <x v="0"/>
    <x v="1"/>
    <x v="1"/>
    <x v="0"/>
    <x v="1"/>
    <x v="0"/>
    <x v="0"/>
    <x v="0"/>
    <x v="0"/>
    <m/>
    <x v="0"/>
    <n v="2.2808333333333333"/>
    <n v="1.72768714470379"/>
    <x v="2"/>
    <n v="19.719000000000001"/>
  </r>
  <r>
    <n v="1573"/>
    <s v="2"/>
    <x v="4"/>
    <n v="626"/>
    <x v="0"/>
    <x v="1"/>
    <x v="1"/>
    <x v="0"/>
    <x v="1"/>
    <x v="0"/>
    <x v="0"/>
    <x v="0"/>
    <x v="0"/>
    <m/>
    <x v="0"/>
    <n v="2.1549999999999998"/>
    <n v="1.6328381097456834"/>
    <x v="0"/>
    <n v="19.719000000000001"/>
  </r>
  <r>
    <n v="1606"/>
    <s v="1"/>
    <x v="6"/>
    <n v="136"/>
    <x v="0"/>
    <x v="2"/>
    <x v="4"/>
    <x v="0"/>
    <x v="1"/>
    <x v="0"/>
    <x v="0"/>
    <x v="0"/>
    <x v="0"/>
    <m/>
    <x v="0"/>
    <n v="0.80416666666666659"/>
    <n v="0.6277871321565015"/>
    <x v="0"/>
    <n v="4.2839999999999998"/>
  </r>
  <r>
    <n v="1613"/>
    <s v="8"/>
    <x v="6"/>
    <n v="100"/>
    <x v="0"/>
    <x v="6"/>
    <x v="0"/>
    <x v="0"/>
    <x v="0"/>
    <x v="0"/>
    <x v="0"/>
    <x v="0"/>
    <x v="0"/>
    <m/>
    <x v="0"/>
    <n v="0.68666666666666654"/>
    <n v="0.54590334711073363"/>
    <x v="1"/>
    <n v="3.15"/>
  </r>
  <r>
    <n v="1619"/>
    <s v="1"/>
    <x v="6"/>
    <n v="241.02"/>
    <x v="0"/>
    <x v="1"/>
    <x v="0"/>
    <x v="0"/>
    <x v="1"/>
    <x v="0"/>
    <x v="0"/>
    <x v="0"/>
    <x v="0"/>
    <m/>
    <x v="0"/>
    <n v="0.67916666666666659"/>
    <n v="0.54897040796830698"/>
    <x v="1"/>
    <n v="7.59213"/>
  </r>
  <r>
    <n v="1619"/>
    <s v="2"/>
    <x v="6"/>
    <n v="241.02"/>
    <x v="0"/>
    <x v="1"/>
    <x v="0"/>
    <x v="0"/>
    <x v="1"/>
    <x v="0"/>
    <x v="0"/>
    <x v="0"/>
    <x v="0"/>
    <m/>
    <x v="0"/>
    <n v="0.68083333333333318"/>
    <n v="0.54981040372397449"/>
    <x v="1"/>
    <n v="7.59213"/>
  </r>
  <r>
    <n v="1619"/>
    <s v="3"/>
    <x v="6"/>
    <n v="642.649"/>
    <x v="0"/>
    <x v="1"/>
    <x v="0"/>
    <x v="0"/>
    <x v="1"/>
    <x v="0"/>
    <x v="0"/>
    <x v="0"/>
    <x v="0"/>
    <m/>
    <x v="0"/>
    <n v="0.6825"/>
    <n v="0.55123079266823805"/>
    <x v="1"/>
    <n v="20.243443500000001"/>
  </r>
  <r>
    <n v="1626"/>
    <s v="1"/>
    <x v="6"/>
    <n v="81.938000000000002"/>
    <x v="0"/>
    <x v="1"/>
    <x v="7"/>
    <x v="0"/>
    <x v="1"/>
    <x v="0"/>
    <x v="1"/>
    <x v="0"/>
    <x v="0"/>
    <m/>
    <x v="0"/>
    <n v="0.68333333333333346"/>
    <n v="0.54942816484286439"/>
    <x v="1"/>
    <n v="2.5810470000000003"/>
  </r>
  <r>
    <n v="1626"/>
    <s v="2"/>
    <x v="6"/>
    <n v="82"/>
    <x v="0"/>
    <x v="5"/>
    <x v="0"/>
    <x v="0"/>
    <x v="0"/>
    <x v="0"/>
    <x v="1"/>
    <x v="0"/>
    <x v="0"/>
    <m/>
    <x v="0"/>
    <n v="0.68333333333333346"/>
    <n v="0.5502670194182856"/>
    <x v="1"/>
    <n v="2.5830000000000002"/>
  </r>
  <r>
    <n v="1626"/>
    <s v="3"/>
    <x v="6"/>
    <n v="165.75"/>
    <x v="0"/>
    <x v="1"/>
    <x v="7"/>
    <x v="0"/>
    <x v="1"/>
    <x v="0"/>
    <x v="1"/>
    <x v="0"/>
    <x v="0"/>
    <m/>
    <x v="0"/>
    <n v="0.6216666666666667"/>
    <n v="0.5457429687722497"/>
    <x v="1"/>
    <n v="5.2211249999999998"/>
  </r>
  <r>
    <n v="1695"/>
    <s v="4"/>
    <x v="5"/>
    <n v="156.25"/>
    <x v="0"/>
    <x v="0"/>
    <x v="0"/>
    <x v="0"/>
    <x v="0"/>
    <x v="0"/>
    <x v="0"/>
    <x v="0"/>
    <x v="0"/>
    <m/>
    <x v="0"/>
    <n v="0.70499999999999996"/>
    <n v="0.72719050613841463"/>
    <x v="0"/>
    <n v="4.921875"/>
  </r>
  <r>
    <n v="1695"/>
    <s v="5"/>
    <x v="5"/>
    <n v="156.25"/>
    <x v="0"/>
    <x v="0"/>
    <x v="0"/>
    <x v="0"/>
    <x v="0"/>
    <x v="0"/>
    <x v="0"/>
    <x v="0"/>
    <x v="0"/>
    <m/>
    <x v="0"/>
    <n v="0.65166666666666673"/>
    <n v="0.72977351706790283"/>
    <x v="0"/>
    <n v="4.921875"/>
  </r>
  <r>
    <n v="1702"/>
    <s v="1"/>
    <x v="5"/>
    <n v="265"/>
    <x v="0"/>
    <x v="0"/>
    <x v="0"/>
    <x v="0"/>
    <x v="0"/>
    <x v="0"/>
    <x v="0"/>
    <x v="0"/>
    <x v="0"/>
    <m/>
    <x v="0"/>
    <n v="0.63666666666666671"/>
    <n v="0.62313213621917363"/>
    <x v="0"/>
    <n v="8.3475000000000001"/>
  </r>
  <r>
    <n v="1702"/>
    <s v="2"/>
    <x v="5"/>
    <n v="265"/>
    <x v="0"/>
    <x v="0"/>
    <x v="0"/>
    <x v="0"/>
    <x v="0"/>
    <x v="0"/>
    <x v="0"/>
    <x v="0"/>
    <x v="0"/>
    <m/>
    <x v="0"/>
    <n v="0.63666666666666671"/>
    <n v="0.61823562848790115"/>
    <x v="0"/>
    <n v="8.3475000000000001"/>
  </r>
  <r>
    <n v="1710"/>
    <s v="1"/>
    <x v="5"/>
    <n v="265"/>
    <x v="0"/>
    <x v="1"/>
    <x v="0"/>
    <x v="0"/>
    <x v="1"/>
    <x v="0"/>
    <x v="0"/>
    <x v="0"/>
    <x v="0"/>
    <m/>
    <x v="0"/>
    <n v="0.64749999999999996"/>
    <n v="0.576817826029841"/>
    <x v="1"/>
    <n v="8.3475000000000001"/>
  </r>
  <r>
    <n v="1710"/>
    <s v="2"/>
    <x v="5"/>
    <n v="385"/>
    <x v="0"/>
    <x v="1"/>
    <x v="0"/>
    <x v="0"/>
    <x v="1"/>
    <x v="0"/>
    <x v="0"/>
    <x v="0"/>
    <x v="0"/>
    <m/>
    <x v="0"/>
    <n v="0.54500000000000004"/>
    <n v="0.56307752309180403"/>
    <x v="1"/>
    <n v="12.1275"/>
  </r>
  <r>
    <n v="1710"/>
    <s v="3"/>
    <x v="5"/>
    <n v="871"/>
    <x v="0"/>
    <x v="1"/>
    <x v="0"/>
    <x v="0"/>
    <x v="1"/>
    <x v="0"/>
    <x v="0"/>
    <x v="0"/>
    <x v="0"/>
    <m/>
    <x v="0"/>
    <n v="0.45166666666666672"/>
    <n v="0.45414068093494114"/>
    <x v="1"/>
    <n v="27.436499999999999"/>
  </r>
  <r>
    <n v="1720"/>
    <s v="7"/>
    <x v="5"/>
    <n v="156.25"/>
    <x v="0"/>
    <x v="0"/>
    <x v="0"/>
    <x v="0"/>
    <x v="0"/>
    <x v="0"/>
    <x v="0"/>
    <x v="0"/>
    <x v="0"/>
    <m/>
    <x v="0"/>
    <n v="0.44916666666666666"/>
    <n v="0.45848256472145549"/>
    <x v="1"/>
    <n v="4.921875"/>
  </r>
  <r>
    <n v="1720"/>
    <s v="8"/>
    <x v="5"/>
    <n v="156.25"/>
    <x v="0"/>
    <x v="0"/>
    <x v="0"/>
    <x v="0"/>
    <x v="0"/>
    <x v="0"/>
    <x v="0"/>
    <x v="0"/>
    <x v="0"/>
    <m/>
    <x v="0"/>
    <n v="0.44916666666666666"/>
    <n v="0.45917576043513364"/>
    <x v="1"/>
    <n v="4.921875"/>
  </r>
  <r>
    <n v="1723"/>
    <s v="1"/>
    <x v="5"/>
    <n v="100"/>
    <x v="0"/>
    <x v="1"/>
    <x v="0"/>
    <x v="0"/>
    <x v="1"/>
    <x v="0"/>
    <x v="0"/>
    <x v="0"/>
    <x v="0"/>
    <m/>
    <x v="0"/>
    <n v="0.49833333333333335"/>
    <n v="0.49044554113783195"/>
    <x v="1"/>
    <n v="3.15"/>
  </r>
  <r>
    <n v="1723"/>
    <s v="2"/>
    <x v="5"/>
    <n v="100"/>
    <x v="0"/>
    <x v="1"/>
    <x v="0"/>
    <x v="0"/>
    <x v="1"/>
    <x v="0"/>
    <x v="0"/>
    <x v="0"/>
    <x v="0"/>
    <m/>
    <x v="0"/>
    <n v="0.45083333333333342"/>
    <n v="0.48742796024178631"/>
    <x v="1"/>
    <n v="3.15"/>
  </r>
  <r>
    <n v="1723"/>
    <s v="3"/>
    <x v="5"/>
    <n v="125"/>
    <x v="0"/>
    <x v="1"/>
    <x v="0"/>
    <x v="0"/>
    <x v="1"/>
    <x v="0"/>
    <x v="0"/>
    <x v="0"/>
    <x v="0"/>
    <m/>
    <x v="0"/>
    <n v="0.49833333333333335"/>
    <n v="0.49044319992365426"/>
    <x v="1"/>
    <n v="3.9375"/>
  </r>
  <r>
    <n v="1731"/>
    <s v="1"/>
    <x v="5"/>
    <n v="121.005"/>
    <x v="0"/>
    <x v="0"/>
    <x v="0"/>
    <x v="0"/>
    <x v="0"/>
    <x v="0"/>
    <x v="0"/>
    <x v="0"/>
    <x v="0"/>
    <m/>
    <x v="0"/>
    <n v="0.9"/>
    <n v="0.68677756747711827"/>
    <x v="0"/>
    <n v="3.8116574999999999"/>
  </r>
  <r>
    <n v="1732"/>
    <s v="10"/>
    <x v="5"/>
    <n v="50"/>
    <x v="0"/>
    <x v="0"/>
    <x v="0"/>
    <x v="0"/>
    <x v="0"/>
    <x v="0"/>
    <x v="0"/>
    <x v="0"/>
    <x v="0"/>
    <m/>
    <x v="0"/>
    <n v="0.81916666666666649"/>
    <n v="0.67857973896015511"/>
    <x v="0"/>
    <n v="1.575"/>
  </r>
  <r>
    <n v="1732"/>
    <s v="11"/>
    <x v="5"/>
    <n v="50"/>
    <x v="0"/>
    <x v="0"/>
    <x v="0"/>
    <x v="0"/>
    <x v="0"/>
    <x v="0"/>
    <x v="0"/>
    <x v="0"/>
    <x v="0"/>
    <m/>
    <x v="0"/>
    <n v="0.74583333333333324"/>
    <n v="0.68053491947640588"/>
    <x v="0"/>
    <n v="1.575"/>
  </r>
  <r>
    <n v="1732"/>
    <s v="12"/>
    <x v="5"/>
    <n v="50"/>
    <x v="0"/>
    <x v="0"/>
    <x v="0"/>
    <x v="0"/>
    <x v="0"/>
    <x v="0"/>
    <x v="0"/>
    <x v="0"/>
    <x v="0"/>
    <m/>
    <x v="0"/>
    <n v="0.88749999999999996"/>
    <n v="0.67476183353288033"/>
    <x v="0"/>
    <n v="1.575"/>
  </r>
  <r>
    <n v="1732"/>
    <s v="9"/>
    <x v="5"/>
    <n v="50"/>
    <x v="0"/>
    <x v="0"/>
    <x v="0"/>
    <x v="0"/>
    <x v="0"/>
    <x v="0"/>
    <x v="0"/>
    <x v="0"/>
    <x v="0"/>
    <m/>
    <x v="0"/>
    <n v="0.88749999999999996"/>
    <n v="0.67476183353288033"/>
    <x v="0"/>
    <n v="1.575"/>
  </r>
  <r>
    <n v="1733"/>
    <s v="1"/>
    <x v="5"/>
    <n v="817.2"/>
    <x v="0"/>
    <x v="1"/>
    <x v="0"/>
    <x v="0"/>
    <x v="1"/>
    <x v="0"/>
    <x v="0"/>
    <x v="0"/>
    <x v="0"/>
    <m/>
    <x v="0"/>
    <n v="0.6841666666666667"/>
    <n v="0.63846848798969869"/>
    <x v="0"/>
    <n v="25.741800000000001"/>
  </r>
  <r>
    <n v="1733"/>
    <s v="2"/>
    <x v="5"/>
    <n v="822.6"/>
    <x v="0"/>
    <x v="1"/>
    <x v="0"/>
    <x v="0"/>
    <x v="1"/>
    <x v="0"/>
    <x v="0"/>
    <x v="0"/>
    <x v="0"/>
    <m/>
    <x v="0"/>
    <n v="0.68333333333333324"/>
    <n v="0.63738296042639708"/>
    <x v="0"/>
    <n v="25.911899999999999"/>
  </r>
  <r>
    <n v="1733"/>
    <s v="3"/>
    <x v="5"/>
    <n v="822.6"/>
    <x v="0"/>
    <x v="1"/>
    <x v="0"/>
    <x v="0"/>
    <x v="1"/>
    <x v="0"/>
    <x v="0"/>
    <x v="0"/>
    <x v="0"/>
    <m/>
    <x v="0"/>
    <n v="0.68333333333333346"/>
    <n v="0.63631962778801654"/>
    <x v="0"/>
    <n v="25.911899999999999"/>
  </r>
  <r>
    <n v="1733"/>
    <s v="4"/>
    <x v="5"/>
    <n v="817.2"/>
    <x v="0"/>
    <x v="1"/>
    <x v="0"/>
    <x v="0"/>
    <x v="1"/>
    <x v="0"/>
    <x v="0"/>
    <x v="0"/>
    <x v="0"/>
    <m/>
    <x v="0"/>
    <n v="0.50249999999999995"/>
    <n v="0.62911629965279059"/>
    <x v="0"/>
    <n v="25.741800000000001"/>
  </r>
  <r>
    <n v="1740"/>
    <s v="2"/>
    <x v="5"/>
    <n v="292.5"/>
    <x v="0"/>
    <x v="2"/>
    <x v="0"/>
    <x v="0"/>
    <x v="0"/>
    <x v="0"/>
    <x v="0"/>
    <x v="0"/>
    <x v="0"/>
    <m/>
    <x v="0"/>
    <n v="0.50416666666666676"/>
    <n v="0.48503846664118883"/>
    <x v="1"/>
    <n v="9.2137499999999992"/>
  </r>
  <r>
    <n v="1740"/>
    <s v="3"/>
    <x v="5"/>
    <n v="358.12299999999999"/>
    <x v="0"/>
    <x v="1"/>
    <x v="0"/>
    <x v="0"/>
    <x v="1"/>
    <x v="0"/>
    <x v="0"/>
    <x v="0"/>
    <x v="0"/>
    <m/>
    <x v="0"/>
    <n v="0.55000000000000004"/>
    <n v="0.55278992277648908"/>
    <x v="1"/>
    <n v="11.280874499999999"/>
  </r>
  <r>
    <n v="1743"/>
    <s v="1"/>
    <x v="5"/>
    <n v="168.75"/>
    <x v="0"/>
    <x v="0"/>
    <x v="0"/>
    <x v="0"/>
    <x v="0"/>
    <x v="0"/>
    <x v="0"/>
    <x v="0"/>
    <x v="0"/>
    <m/>
    <x v="0"/>
    <n v="0.6333333333333333"/>
    <n v="0.64188476837296793"/>
    <x v="0"/>
    <n v="5.3156249999999998"/>
  </r>
  <r>
    <n v="1743"/>
    <s v="2"/>
    <x v="5"/>
    <n v="156.25"/>
    <x v="0"/>
    <x v="1"/>
    <x v="0"/>
    <x v="0"/>
    <x v="1"/>
    <x v="0"/>
    <x v="0"/>
    <x v="0"/>
    <x v="0"/>
    <m/>
    <x v="0"/>
    <n v="0.64833333333333332"/>
    <n v="0.65439894273203758"/>
    <x v="0"/>
    <n v="4.921875"/>
  </r>
  <r>
    <n v="1743"/>
    <s v="3"/>
    <x v="5"/>
    <n v="156.25"/>
    <x v="0"/>
    <x v="0"/>
    <x v="0"/>
    <x v="0"/>
    <x v="0"/>
    <x v="0"/>
    <x v="0"/>
    <x v="0"/>
    <x v="0"/>
    <m/>
    <x v="0"/>
    <n v="0.65083333333333337"/>
    <n v="0.6566379656380178"/>
    <x v="0"/>
    <n v="4.921875"/>
  </r>
  <r>
    <n v="1743"/>
    <s v="4"/>
    <x v="5"/>
    <n v="168.75"/>
    <x v="0"/>
    <x v="0"/>
    <x v="0"/>
    <x v="0"/>
    <x v="0"/>
    <x v="0"/>
    <x v="0"/>
    <x v="0"/>
    <x v="0"/>
    <m/>
    <x v="0"/>
    <n v="0.6366666666666666"/>
    <n v="0.64365413424170326"/>
    <x v="0"/>
    <n v="5.3156249999999998"/>
  </r>
  <r>
    <n v="1743"/>
    <s v="6"/>
    <x v="5"/>
    <n v="352.75"/>
    <x v="0"/>
    <x v="1"/>
    <x v="0"/>
    <x v="0"/>
    <x v="1"/>
    <x v="0"/>
    <x v="0"/>
    <x v="0"/>
    <x v="0"/>
    <m/>
    <x v="0"/>
    <n v="0.53916666666666668"/>
    <n v="0.65043378345529057"/>
    <x v="0"/>
    <n v="11.111625"/>
  </r>
  <r>
    <n v="1743"/>
    <s v="7"/>
    <x v="5"/>
    <n v="544.5"/>
    <x v="0"/>
    <x v="0"/>
    <x v="0"/>
    <x v="0"/>
    <x v="0"/>
    <x v="0"/>
    <x v="0"/>
    <x v="0"/>
    <x v="0"/>
    <m/>
    <x v="0"/>
    <n v="0.75916666666666666"/>
    <n v="0.75177521525253344"/>
    <x v="0"/>
    <n v="17.15175"/>
  </r>
  <r>
    <n v="1745"/>
    <s v="16"/>
    <x v="5"/>
    <n v="60"/>
    <x v="0"/>
    <x v="0"/>
    <x v="0"/>
    <x v="0"/>
    <x v="0"/>
    <x v="0"/>
    <x v="0"/>
    <x v="0"/>
    <x v="0"/>
    <m/>
    <x v="0"/>
    <n v="0.77333333333333343"/>
    <n v="0.7235276461850576"/>
    <x v="0"/>
    <n v="1.89"/>
  </r>
  <r>
    <n v="1745"/>
    <s v="17"/>
    <x v="5"/>
    <n v="60"/>
    <x v="0"/>
    <x v="0"/>
    <x v="0"/>
    <x v="0"/>
    <x v="0"/>
    <x v="0"/>
    <x v="0"/>
    <x v="0"/>
    <x v="0"/>
    <m/>
    <x v="0"/>
    <n v="0.77333333333333343"/>
    <n v="0.7235276461850576"/>
    <x v="0"/>
    <n v="1.89"/>
  </r>
  <r>
    <n v="1745"/>
    <s v="18"/>
    <x v="5"/>
    <n v="60"/>
    <x v="0"/>
    <x v="0"/>
    <x v="0"/>
    <x v="0"/>
    <x v="0"/>
    <x v="0"/>
    <x v="0"/>
    <x v="0"/>
    <x v="0"/>
    <m/>
    <x v="0"/>
    <n v="0.77333333333333343"/>
    <n v="0.7235276461850576"/>
    <x v="0"/>
    <n v="1.89"/>
  </r>
  <r>
    <n v="1745"/>
    <s v="19"/>
    <x v="5"/>
    <n v="60"/>
    <x v="0"/>
    <x v="0"/>
    <x v="0"/>
    <x v="0"/>
    <x v="0"/>
    <x v="0"/>
    <x v="0"/>
    <x v="0"/>
    <x v="0"/>
    <m/>
    <x v="0"/>
    <n v="0.77333333333333343"/>
    <n v="0.7235276461850576"/>
    <x v="0"/>
    <n v="1.89"/>
  </r>
  <r>
    <n v="1745"/>
    <s v="9A"/>
    <x v="5"/>
    <n v="535.5"/>
    <x v="0"/>
    <x v="0"/>
    <x v="0"/>
    <x v="0"/>
    <x v="0"/>
    <x v="0"/>
    <x v="0"/>
    <x v="0"/>
    <x v="0"/>
    <m/>
    <x v="0"/>
    <n v="0.63333333333333341"/>
    <n v="0.70866244411384738"/>
    <x v="0"/>
    <n v="16.86825"/>
  </r>
  <r>
    <n v="1769"/>
    <s v="1"/>
    <x v="5"/>
    <n v="25"/>
    <x v="0"/>
    <x v="0"/>
    <x v="0"/>
    <x v="0"/>
    <x v="0"/>
    <x v="0"/>
    <x v="0"/>
    <x v="0"/>
    <x v="0"/>
    <m/>
    <x v="0"/>
    <n v="0.46166666666666667"/>
    <n v="0.69289413229403585"/>
    <x v="0"/>
    <n v="0.78749999999999998"/>
  </r>
  <r>
    <n v="1769"/>
    <s v="2"/>
    <x v="5"/>
    <n v="37.5"/>
    <x v="0"/>
    <x v="0"/>
    <x v="0"/>
    <x v="0"/>
    <x v="0"/>
    <x v="0"/>
    <x v="0"/>
    <x v="0"/>
    <x v="0"/>
    <m/>
    <x v="0"/>
    <n v="0.59250000000000003"/>
    <n v="0.6970239920792799"/>
    <x v="0"/>
    <n v="1.1812499999999999"/>
  </r>
  <r>
    <n v="1769"/>
    <s v="3"/>
    <x v="5"/>
    <n v="54.4"/>
    <x v="0"/>
    <x v="0"/>
    <x v="0"/>
    <x v="0"/>
    <x v="0"/>
    <x v="0"/>
    <x v="0"/>
    <x v="0"/>
    <x v="0"/>
    <m/>
    <x v="0"/>
    <n v="0.82166666666666677"/>
    <n v="0.68994905598243461"/>
    <x v="0"/>
    <n v="1.7136"/>
  </r>
  <r>
    <n v="1769"/>
    <s v="4"/>
    <x v="5"/>
    <n v="57.8"/>
    <x v="0"/>
    <x v="0"/>
    <x v="0"/>
    <x v="0"/>
    <x v="0"/>
    <x v="0"/>
    <x v="0"/>
    <x v="0"/>
    <x v="0"/>
    <m/>
    <x v="0"/>
    <n v="0.81"/>
    <n v="0.69018305324359153"/>
    <x v="0"/>
    <n v="1.8207"/>
  </r>
  <r>
    <n v="1769"/>
    <s v="5"/>
    <x v="5"/>
    <n v="90"/>
    <x v="0"/>
    <x v="0"/>
    <x v="0"/>
    <x v="0"/>
    <x v="0"/>
    <x v="0"/>
    <x v="0"/>
    <x v="0"/>
    <x v="0"/>
    <m/>
    <x v="0"/>
    <n v="0.82"/>
    <n v="0.68987568413119604"/>
    <x v="0"/>
    <n v="2.835"/>
  </r>
  <r>
    <n v="1769"/>
    <s v="6"/>
    <x v="5"/>
    <n v="90"/>
    <x v="0"/>
    <x v="0"/>
    <x v="0"/>
    <x v="0"/>
    <x v="0"/>
    <x v="0"/>
    <x v="0"/>
    <x v="0"/>
    <x v="0"/>
    <m/>
    <x v="0"/>
    <n v="0.75083333333333335"/>
    <n v="0.68946527606678931"/>
    <x v="0"/>
    <n v="2.835"/>
  </r>
  <r>
    <n v="1769"/>
    <s v="7"/>
    <x v="5"/>
    <n v="90"/>
    <x v="3"/>
    <x v="1"/>
    <x v="0"/>
    <x v="0"/>
    <x v="1"/>
    <x v="0"/>
    <x v="0"/>
    <x v="0"/>
    <x v="0"/>
    <m/>
    <x v="0"/>
    <n v="0.25833333333333336"/>
    <n v="0.31878783403885136"/>
    <x v="1"/>
    <n v="2.835"/>
  </r>
  <r>
    <n v="1769"/>
    <s v="8"/>
    <x v="5"/>
    <n v="90"/>
    <x v="3"/>
    <x v="1"/>
    <x v="0"/>
    <x v="0"/>
    <x v="1"/>
    <x v="0"/>
    <x v="0"/>
    <x v="0"/>
    <x v="0"/>
    <m/>
    <x v="0"/>
    <n v="0.27750000000000002"/>
    <n v="0.31386519700392201"/>
    <x v="1"/>
    <n v="2.835"/>
  </r>
  <r>
    <n v="1769"/>
    <s v="9"/>
    <x v="5"/>
    <n v="90"/>
    <x v="3"/>
    <x v="1"/>
    <x v="0"/>
    <x v="0"/>
    <x v="1"/>
    <x v="0"/>
    <x v="0"/>
    <x v="0"/>
    <x v="0"/>
    <m/>
    <x v="0"/>
    <n v="0.27916666666666673"/>
    <n v="0.31462897413409258"/>
    <x v="1"/>
    <n v="2.835"/>
  </r>
  <r>
    <n v="1831"/>
    <s v="1"/>
    <x v="5"/>
    <n v="44"/>
    <x v="0"/>
    <x v="6"/>
    <x v="0"/>
    <x v="0"/>
    <x v="0"/>
    <x v="0"/>
    <x v="0"/>
    <x v="0"/>
    <x v="0"/>
    <m/>
    <x v="0"/>
    <n v="0.30583333333333335"/>
    <n v="0.34290840398175165"/>
    <x v="1"/>
    <n v="1.3860000000000001"/>
  </r>
  <r>
    <n v="1831"/>
    <s v="2"/>
    <x v="5"/>
    <n v="44"/>
    <x v="0"/>
    <x v="6"/>
    <x v="0"/>
    <x v="0"/>
    <x v="0"/>
    <x v="0"/>
    <x v="0"/>
    <x v="0"/>
    <x v="0"/>
    <m/>
    <x v="0"/>
    <n v="0.30583333333333335"/>
    <n v="0.34289235195654727"/>
    <x v="1"/>
    <n v="1.3860000000000001"/>
  </r>
  <r>
    <n v="1831"/>
    <s v="3"/>
    <x v="5"/>
    <n v="47"/>
    <x v="0"/>
    <x v="6"/>
    <x v="0"/>
    <x v="0"/>
    <x v="0"/>
    <x v="0"/>
    <x v="0"/>
    <x v="0"/>
    <x v="0"/>
    <m/>
    <x v="0"/>
    <n v="0.2475"/>
    <n v="0.33470540949895344"/>
    <x v="1"/>
    <n v="1.4804999999999999"/>
  </r>
  <r>
    <n v="1831"/>
    <s v="4"/>
    <x v="5"/>
    <n v="80"/>
    <x v="0"/>
    <x v="1"/>
    <x v="0"/>
    <x v="0"/>
    <x v="1"/>
    <x v="0"/>
    <x v="0"/>
    <x v="0"/>
    <x v="0"/>
    <m/>
    <x v="0"/>
    <n v="0.30583333333333335"/>
    <n v="0.34289235195654727"/>
    <x v="1"/>
    <n v="2.52"/>
  </r>
  <r>
    <n v="1831"/>
    <s v="5"/>
    <x v="5"/>
    <n v="80"/>
    <x v="0"/>
    <x v="1"/>
    <x v="0"/>
    <x v="0"/>
    <x v="1"/>
    <x v="0"/>
    <x v="0"/>
    <x v="0"/>
    <x v="0"/>
    <m/>
    <x v="0"/>
    <n v="0.30583333333333335"/>
    <n v="0.34289235195654727"/>
    <x v="1"/>
    <n v="2.52"/>
  </r>
  <r>
    <n v="1831"/>
    <s v="6"/>
    <x v="5"/>
    <n v="80"/>
    <x v="0"/>
    <x v="1"/>
    <x v="0"/>
    <x v="0"/>
    <x v="1"/>
    <x v="0"/>
    <x v="0"/>
    <x v="0"/>
    <x v="0"/>
    <m/>
    <x v="0"/>
    <n v="0.22750000000000001"/>
    <n v="0.34053952510602109"/>
    <x v="1"/>
    <n v="2.52"/>
  </r>
  <r>
    <n v="1832"/>
    <s v="1"/>
    <x v="5"/>
    <n v="154.71600000000001"/>
    <x v="0"/>
    <x v="1"/>
    <x v="0"/>
    <x v="0"/>
    <x v="1"/>
    <x v="0"/>
    <x v="0"/>
    <x v="0"/>
    <x v="0"/>
    <m/>
    <x v="0"/>
    <n v="0.90166666666666684"/>
    <n v="0.72842528869287826"/>
    <x v="0"/>
    <n v="4.8735540000000004"/>
  </r>
  <r>
    <n v="1891"/>
    <s v="1"/>
    <x v="2"/>
    <n v="58"/>
    <x v="3"/>
    <x v="0"/>
    <x v="0"/>
    <x v="0"/>
    <x v="0"/>
    <x v="0"/>
    <x v="0"/>
    <x v="1"/>
    <x v="0"/>
    <s v="SCR1"/>
    <x v="1"/>
    <n v="0.37666666666666665"/>
    <n v="0.40438492102678519"/>
    <x v="1"/>
    <n v="1.827"/>
  </r>
  <r>
    <n v="1891"/>
    <s v="2"/>
    <x v="2"/>
    <n v="58"/>
    <x v="3"/>
    <x v="0"/>
    <x v="0"/>
    <x v="0"/>
    <x v="0"/>
    <x v="0"/>
    <x v="0"/>
    <x v="1"/>
    <x v="0"/>
    <s v="SCR2"/>
    <x v="1"/>
    <n v="0.34416666666666668"/>
    <n v="0.40301991971313544"/>
    <x v="1"/>
    <n v="1.827"/>
  </r>
  <r>
    <n v="1893"/>
    <s v="1"/>
    <x v="2"/>
    <n v="75"/>
    <x v="3"/>
    <x v="1"/>
    <x v="0"/>
    <x v="0"/>
    <x v="1"/>
    <x v="0"/>
    <x v="0"/>
    <x v="0"/>
    <x v="0"/>
    <m/>
    <x v="0"/>
    <n v="0.47749999999999998"/>
    <n v="0.52654208746253905"/>
    <x v="1"/>
    <n v="2.3624999999999998"/>
  </r>
  <r>
    <n v="1893"/>
    <s v="2"/>
    <x v="2"/>
    <n v="75"/>
    <x v="3"/>
    <x v="1"/>
    <x v="0"/>
    <x v="0"/>
    <x v="1"/>
    <x v="0"/>
    <x v="0"/>
    <x v="0"/>
    <x v="0"/>
    <m/>
    <x v="0"/>
    <n v="0.47"/>
    <n v="0.51816572575956588"/>
    <x v="1"/>
    <n v="2.3624999999999998"/>
  </r>
  <r>
    <n v="1893"/>
    <s v="3"/>
    <x v="2"/>
    <n v="364.5"/>
    <x v="3"/>
    <x v="1"/>
    <x v="0"/>
    <x v="0"/>
    <x v="1"/>
    <x v="0"/>
    <x v="0"/>
    <x v="1"/>
    <x v="0"/>
    <s v="SCR3"/>
    <x v="1"/>
    <n v="0.46166666666666673"/>
    <n v="0.50637469202796481"/>
    <x v="1"/>
    <n v="11.48175"/>
  </r>
  <r>
    <n v="1893"/>
    <s v="4"/>
    <x v="2"/>
    <n v="558"/>
    <x v="3"/>
    <x v="2"/>
    <x v="4"/>
    <x v="0"/>
    <x v="1"/>
    <x v="0"/>
    <x v="0"/>
    <x v="1"/>
    <x v="0"/>
    <s v="AQCS2"/>
    <x v="1"/>
    <n v="0.48333333333333334"/>
    <n v="0.53543136869062524"/>
    <x v="1"/>
    <n v="17.577000000000002"/>
  </r>
  <r>
    <n v="1904"/>
    <s v="3"/>
    <x v="2"/>
    <n v="114"/>
    <x v="3"/>
    <x v="0"/>
    <x v="0"/>
    <x v="0"/>
    <x v="0"/>
    <x v="0"/>
    <x v="0"/>
    <x v="0"/>
    <x v="0"/>
    <m/>
    <x v="0"/>
    <n v="0.20166666666666666"/>
    <n v="0.25653964610180335"/>
    <x v="1"/>
    <n v="3.5910000000000002"/>
  </r>
  <r>
    <n v="1904"/>
    <s v="4"/>
    <x v="2"/>
    <n v="180"/>
    <x v="3"/>
    <x v="0"/>
    <x v="0"/>
    <x v="0"/>
    <x v="0"/>
    <x v="0"/>
    <x v="0"/>
    <x v="0"/>
    <x v="0"/>
    <m/>
    <x v="0"/>
    <n v="0.22583333333333336"/>
    <n v="0.26044643749144253"/>
    <x v="1"/>
    <n v="5.67"/>
  </r>
  <r>
    <n v="1912"/>
    <s v="5"/>
    <x v="2"/>
    <n v="113.63500000000001"/>
    <x v="3"/>
    <x v="0"/>
    <x v="0"/>
    <x v="0"/>
    <x v="0"/>
    <x v="0"/>
    <x v="0"/>
    <x v="0"/>
    <x v="0"/>
    <m/>
    <x v="0"/>
    <n v="0.17583333333333331"/>
    <n v="0.21898773105402178"/>
    <x v="1"/>
    <n v="3.5795025000000003"/>
  </r>
  <r>
    <n v="1912"/>
    <s v="6"/>
    <x v="2"/>
    <n v="163.19999999999999"/>
    <x v="3"/>
    <x v="0"/>
    <x v="0"/>
    <x v="0"/>
    <x v="0"/>
    <x v="0"/>
    <x v="0"/>
    <x v="0"/>
    <x v="0"/>
    <m/>
    <x v="0"/>
    <n v="0.17499999999999999"/>
    <n v="0.21790103619648196"/>
    <x v="1"/>
    <n v="5.1407999999999996"/>
  </r>
  <r>
    <n v="1915"/>
    <s v="1"/>
    <x v="2"/>
    <n v="598.4"/>
    <x v="3"/>
    <x v="2"/>
    <x v="0"/>
    <x v="0"/>
    <x v="0"/>
    <x v="0"/>
    <x v="0"/>
    <x v="0"/>
    <x v="0"/>
    <m/>
    <x v="0"/>
    <n v="0.76749999999999996"/>
    <n v="0.88087320626478227"/>
    <x v="0"/>
    <n v="18.849599999999999"/>
  </r>
  <r>
    <n v="1927"/>
    <s v="6"/>
    <x v="2"/>
    <n v="83"/>
    <x v="3"/>
    <x v="0"/>
    <x v="0"/>
    <x v="0"/>
    <x v="0"/>
    <x v="0"/>
    <x v="0"/>
    <x v="3"/>
    <x v="0"/>
    <s v="7"/>
    <x v="1"/>
    <n v="0.20166666666666666"/>
    <n v="0.22999188822561301"/>
    <x v="1"/>
    <n v="2.6145"/>
  </r>
  <r>
    <n v="1927"/>
    <s v="7"/>
    <x v="2"/>
    <n v="83"/>
    <x v="3"/>
    <x v="0"/>
    <x v="0"/>
    <x v="0"/>
    <x v="0"/>
    <x v="0"/>
    <x v="0"/>
    <x v="3"/>
    <x v="0"/>
    <s v="7"/>
    <x v="1"/>
    <n v="0.20166666666666666"/>
    <n v="0.22999188822561301"/>
    <x v="1"/>
    <n v="2.6145"/>
  </r>
  <r>
    <n v="1927"/>
    <s v="8"/>
    <x v="2"/>
    <n v="238.85"/>
    <x v="3"/>
    <x v="0"/>
    <x v="0"/>
    <x v="0"/>
    <x v="0"/>
    <x v="0"/>
    <x v="0"/>
    <x v="0"/>
    <x v="0"/>
    <m/>
    <x v="0"/>
    <n v="0.71666666666666679"/>
    <n v="0.78417268367826232"/>
    <x v="0"/>
    <n v="7.5237749999999997"/>
  </r>
  <r>
    <n v="1943"/>
    <s v="1"/>
    <x v="2"/>
    <n v="7.5"/>
    <x v="3"/>
    <x v="0"/>
    <x v="0"/>
    <x v="0"/>
    <x v="0"/>
    <x v="0"/>
    <x v="0"/>
    <x v="0"/>
    <x v="0"/>
    <m/>
    <x v="0"/>
    <n v="6.083333333333333E-2"/>
    <n v="0.39273126119401369"/>
    <x v="1"/>
    <n v="0.23624999999999999"/>
  </r>
  <r>
    <n v="1943"/>
    <s v="2"/>
    <x v="2"/>
    <n v="54.4"/>
    <x v="3"/>
    <x v="0"/>
    <x v="0"/>
    <x v="0"/>
    <x v="0"/>
    <x v="0"/>
    <x v="0"/>
    <x v="0"/>
    <x v="0"/>
    <m/>
    <x v="0"/>
    <n v="0.3658333333333334"/>
    <n v="0.39288747140785207"/>
    <x v="1"/>
    <n v="1.7136"/>
  </r>
  <r>
    <n v="1943"/>
    <s v="3"/>
    <x v="2"/>
    <n v="75"/>
    <x v="3"/>
    <x v="0"/>
    <x v="0"/>
    <x v="0"/>
    <x v="0"/>
    <x v="0"/>
    <x v="0"/>
    <x v="0"/>
    <x v="0"/>
    <m/>
    <x v="0"/>
    <n v="0.33333333333333331"/>
    <n v="0.39027782945899026"/>
    <x v="1"/>
    <n v="2.3624999999999998"/>
  </r>
  <r>
    <n v="2049"/>
    <s v="4"/>
    <x v="0"/>
    <n v="250"/>
    <x v="0"/>
    <x v="1"/>
    <x v="0"/>
    <x v="0"/>
    <x v="1"/>
    <x v="0"/>
    <x v="0"/>
    <x v="0"/>
    <x v="0"/>
    <m/>
    <x v="0"/>
    <n v="1.9733333333333336"/>
    <n v="1.6467763809169254"/>
    <x v="0"/>
    <n v="7.875"/>
  </r>
  <r>
    <n v="2049"/>
    <s v="5"/>
    <x v="0"/>
    <n v="500"/>
    <x v="0"/>
    <x v="1"/>
    <x v="0"/>
    <x v="0"/>
    <x v="1"/>
    <x v="0"/>
    <x v="0"/>
    <x v="0"/>
    <x v="0"/>
    <m/>
    <x v="0"/>
    <n v="1.9733333333333336"/>
    <n v="1.6467763809169254"/>
    <x v="0"/>
    <n v="15.75"/>
  </r>
  <r>
    <n v="2076"/>
    <s v="1"/>
    <x v="2"/>
    <n v="232"/>
    <x v="3"/>
    <x v="0"/>
    <x v="0"/>
    <x v="0"/>
    <x v="0"/>
    <x v="0"/>
    <x v="0"/>
    <x v="0"/>
    <x v="0"/>
    <m/>
    <x v="0"/>
    <n v="0.25666666666666665"/>
    <n v="0.27566368442681555"/>
    <x v="1"/>
    <n v="7.3079999999999998"/>
  </r>
  <r>
    <n v="2080"/>
    <s v="1"/>
    <x v="2"/>
    <n v="187.5"/>
    <x v="3"/>
    <x v="0"/>
    <x v="0"/>
    <x v="0"/>
    <x v="0"/>
    <x v="0"/>
    <x v="0"/>
    <x v="0"/>
    <x v="0"/>
    <m/>
    <x v="0"/>
    <n v="0.20833333333333329"/>
    <n v="0.23854936553625503"/>
    <x v="1"/>
    <n v="5.90625"/>
  </r>
  <r>
    <n v="2080"/>
    <s v="2"/>
    <x v="2"/>
    <n v="187.5"/>
    <x v="3"/>
    <x v="0"/>
    <x v="0"/>
    <x v="0"/>
    <x v="0"/>
    <x v="0"/>
    <x v="0"/>
    <x v="0"/>
    <x v="0"/>
    <m/>
    <x v="0"/>
    <n v="0.16666666666666666"/>
    <n v="0.22823601269975299"/>
    <x v="1"/>
    <n v="5.90625"/>
  </r>
  <r>
    <n v="2080"/>
    <s v="3"/>
    <x v="2"/>
    <n v="188.1"/>
    <x v="3"/>
    <x v="0"/>
    <x v="0"/>
    <x v="0"/>
    <x v="0"/>
    <x v="0"/>
    <x v="0"/>
    <x v="0"/>
    <x v="0"/>
    <m/>
    <x v="0"/>
    <n v="0.20833333333333329"/>
    <n v="0.23854936553625503"/>
    <x v="1"/>
    <n v="5.9251499999999995"/>
  </r>
  <r>
    <n v="2094"/>
    <s v="1"/>
    <x v="2"/>
    <n v="55"/>
    <x v="0"/>
    <x v="0"/>
    <x v="0"/>
    <x v="0"/>
    <x v="0"/>
    <x v="0"/>
    <x v="0"/>
    <x v="0"/>
    <x v="0"/>
    <m/>
    <x v="0"/>
    <n v="0.50333333333333341"/>
    <n v="0.52388446801592392"/>
    <x v="1"/>
    <n v="1.7324999999999999"/>
  </r>
  <r>
    <n v="2094"/>
    <s v="2"/>
    <x v="2"/>
    <n v="50"/>
    <x v="0"/>
    <x v="0"/>
    <x v="0"/>
    <x v="0"/>
    <x v="0"/>
    <x v="0"/>
    <x v="0"/>
    <x v="0"/>
    <x v="0"/>
    <m/>
    <x v="0"/>
    <n v="0.50333333333333341"/>
    <n v="0.52388446801592392"/>
    <x v="1"/>
    <n v="1.575"/>
  </r>
  <r>
    <n v="2094"/>
    <s v="3"/>
    <x v="2"/>
    <n v="418.5"/>
    <x v="0"/>
    <x v="0"/>
    <x v="0"/>
    <x v="0"/>
    <x v="0"/>
    <x v="0"/>
    <x v="0"/>
    <x v="0"/>
    <x v="0"/>
    <m/>
    <x v="0"/>
    <n v="0.50333333333333341"/>
    <n v="0.52388446801592392"/>
    <x v="1"/>
    <n v="13.18275"/>
  </r>
  <r>
    <n v="2098"/>
    <s v="5"/>
    <x v="2"/>
    <n v="24"/>
    <x v="1"/>
    <x v="0"/>
    <x v="0"/>
    <x v="0"/>
    <x v="0"/>
    <x v="0"/>
    <x v="0"/>
    <x v="0"/>
    <x v="0"/>
    <m/>
    <x v="0"/>
    <n v="0.30916666666666665"/>
    <n v="0.32122293002074837"/>
    <x v="1"/>
    <n v="0.75600000000000001"/>
  </r>
  <r>
    <n v="2098"/>
    <s v="6"/>
    <x v="2"/>
    <n v="90"/>
    <x v="3"/>
    <x v="0"/>
    <x v="0"/>
    <x v="0"/>
    <x v="0"/>
    <x v="0"/>
    <x v="0"/>
    <x v="0"/>
    <x v="0"/>
    <m/>
    <x v="0"/>
    <n v="0.27500000000000002"/>
    <n v="0.32172238076591286"/>
    <x v="1"/>
    <n v="2.835"/>
  </r>
  <r>
    <n v="2103"/>
    <s v="1"/>
    <x v="2"/>
    <n v="573.75"/>
    <x v="0"/>
    <x v="1"/>
    <x v="8"/>
    <x v="3"/>
    <x v="1"/>
    <x v="0"/>
    <x v="0"/>
    <x v="0"/>
    <x v="0"/>
    <m/>
    <x v="0"/>
    <n v="0.22083333333333333"/>
    <n v="0.27539932831798564"/>
    <x v="1"/>
    <n v="18.073125000000001"/>
  </r>
  <r>
    <n v="2103"/>
    <s v="2"/>
    <x v="2"/>
    <n v="573.75"/>
    <x v="0"/>
    <x v="1"/>
    <x v="8"/>
    <x v="3"/>
    <x v="1"/>
    <x v="0"/>
    <x v="0"/>
    <x v="0"/>
    <x v="0"/>
    <m/>
    <x v="0"/>
    <n v="0.23916666666666667"/>
    <n v="0.27333493149282351"/>
    <x v="1"/>
    <n v="18.073125000000001"/>
  </r>
  <r>
    <n v="2103"/>
    <s v="3"/>
    <x v="2"/>
    <n v="621"/>
    <x v="0"/>
    <x v="1"/>
    <x v="8"/>
    <x v="3"/>
    <x v="1"/>
    <x v="0"/>
    <x v="0"/>
    <x v="0"/>
    <x v="0"/>
    <m/>
    <x v="0"/>
    <n v="0.23916666666666667"/>
    <n v="0.27333493149282351"/>
    <x v="1"/>
    <n v="19.561499999999999"/>
  </r>
  <r>
    <n v="2103"/>
    <s v="4"/>
    <x v="2"/>
    <n v="621"/>
    <x v="0"/>
    <x v="1"/>
    <x v="8"/>
    <x v="3"/>
    <x v="1"/>
    <x v="0"/>
    <x v="0"/>
    <x v="0"/>
    <x v="0"/>
    <m/>
    <x v="0"/>
    <n v="0.22166666666666668"/>
    <n v="0.27638033059734574"/>
    <x v="1"/>
    <n v="19.561499999999999"/>
  </r>
  <r>
    <n v="2104"/>
    <s v="1"/>
    <x v="2"/>
    <n v="137.5"/>
    <x v="0"/>
    <x v="0"/>
    <x v="0"/>
    <x v="0"/>
    <x v="0"/>
    <x v="0"/>
    <x v="0"/>
    <x v="0"/>
    <x v="0"/>
    <m/>
    <x v="0"/>
    <n v="0.41"/>
    <n v="0.47566401231175559"/>
    <x v="1"/>
    <n v="4.3312499999999998"/>
  </r>
  <r>
    <n v="2104"/>
    <s v="2"/>
    <x v="2"/>
    <n v="137.5"/>
    <x v="0"/>
    <x v="0"/>
    <x v="0"/>
    <x v="0"/>
    <x v="0"/>
    <x v="0"/>
    <x v="0"/>
    <x v="0"/>
    <x v="0"/>
    <m/>
    <x v="0"/>
    <n v="0.41"/>
    <n v="0.47566401231175559"/>
    <x v="1"/>
    <n v="4.3312499999999998"/>
  </r>
  <r>
    <n v="2104"/>
    <s v="3"/>
    <x v="2"/>
    <n v="289"/>
    <x v="0"/>
    <x v="0"/>
    <x v="0"/>
    <x v="0"/>
    <x v="0"/>
    <x v="0"/>
    <x v="0"/>
    <x v="0"/>
    <x v="0"/>
    <m/>
    <x v="0"/>
    <n v="0.49666666666666665"/>
    <n v="0.56177633335846489"/>
    <x v="1"/>
    <n v="9.1035000000000004"/>
  </r>
  <r>
    <n v="2104"/>
    <s v="4"/>
    <x v="2"/>
    <n v="359.04"/>
    <x v="0"/>
    <x v="1"/>
    <x v="0"/>
    <x v="0"/>
    <x v="1"/>
    <x v="0"/>
    <x v="0"/>
    <x v="0"/>
    <x v="0"/>
    <m/>
    <x v="0"/>
    <n v="0.54749999999999999"/>
    <n v="0.52286952630210515"/>
    <x v="1"/>
    <n v="11.309760000000001"/>
  </r>
  <r>
    <n v="2107"/>
    <s v="1"/>
    <x v="2"/>
    <n v="549.78"/>
    <x v="0"/>
    <x v="0"/>
    <x v="0"/>
    <x v="0"/>
    <x v="0"/>
    <x v="0"/>
    <x v="0"/>
    <x v="0"/>
    <x v="0"/>
    <m/>
    <x v="0"/>
    <n v="0.49416666666666681"/>
    <n v="0.52210850630566552"/>
    <x v="1"/>
    <n v="17.318069999999999"/>
  </r>
  <r>
    <n v="2107"/>
    <s v="2"/>
    <x v="2"/>
    <n v="549.78"/>
    <x v="0"/>
    <x v="2"/>
    <x v="0"/>
    <x v="0"/>
    <x v="0"/>
    <x v="0"/>
    <x v="0"/>
    <x v="0"/>
    <x v="0"/>
    <m/>
    <x v="0"/>
    <n v="0.45583333333333348"/>
    <n v="0.52562779005747773"/>
    <x v="1"/>
    <n v="17.318069999999999"/>
  </r>
  <r>
    <n v="2132"/>
    <s v="1"/>
    <x v="2"/>
    <n v="22"/>
    <x v="0"/>
    <x v="0"/>
    <x v="0"/>
    <x v="0"/>
    <x v="0"/>
    <x v="0"/>
    <x v="0"/>
    <x v="0"/>
    <x v="0"/>
    <m/>
    <x v="0"/>
    <n v="2.4750000000000001"/>
    <n v="2.5304592314901595"/>
    <x v="2"/>
    <n v="0.69300000000000006"/>
  </r>
  <r>
    <n v="2132"/>
    <s v="2"/>
    <x v="2"/>
    <n v="22"/>
    <x v="0"/>
    <x v="0"/>
    <x v="0"/>
    <x v="0"/>
    <x v="0"/>
    <x v="0"/>
    <x v="0"/>
    <x v="0"/>
    <x v="0"/>
    <m/>
    <x v="0"/>
    <n v="1.7333333333333334"/>
    <n v="2.4369669134876744"/>
    <x v="2"/>
    <n v="0.69300000000000006"/>
  </r>
  <r>
    <n v="2132"/>
    <s v="3"/>
    <x v="2"/>
    <n v="58.222000000000001"/>
    <x v="0"/>
    <x v="0"/>
    <x v="0"/>
    <x v="0"/>
    <x v="0"/>
    <x v="0"/>
    <x v="0"/>
    <x v="0"/>
    <x v="0"/>
    <m/>
    <x v="0"/>
    <n v="2.1749999999999998"/>
    <n v="2.7954501638712164"/>
    <x v="2"/>
    <n v="1.833993"/>
  </r>
  <r>
    <n v="2161"/>
    <s v="1"/>
    <x v="2"/>
    <n v="22"/>
    <x v="0"/>
    <x v="0"/>
    <x v="0"/>
    <x v="0"/>
    <x v="0"/>
    <x v="0"/>
    <x v="0"/>
    <x v="0"/>
    <x v="0"/>
    <m/>
    <x v="0"/>
    <n v="0.30083333333333334"/>
    <n v="0.42748049946794481"/>
    <x v="1"/>
    <n v="0.69300000000000006"/>
  </r>
  <r>
    <n v="2161"/>
    <s v="2"/>
    <x v="2"/>
    <n v="22"/>
    <x v="0"/>
    <x v="0"/>
    <x v="0"/>
    <x v="0"/>
    <x v="0"/>
    <x v="0"/>
    <x v="0"/>
    <x v="0"/>
    <x v="0"/>
    <m/>
    <x v="0"/>
    <n v="0.30416666666666664"/>
    <n v="0.43160431997955595"/>
    <x v="1"/>
    <n v="0.69300000000000006"/>
  </r>
  <r>
    <n v="2161"/>
    <s v="3"/>
    <x v="2"/>
    <n v="44"/>
    <x v="0"/>
    <x v="1"/>
    <x v="1"/>
    <x v="0"/>
    <x v="1"/>
    <x v="0"/>
    <x v="0"/>
    <x v="0"/>
    <x v="0"/>
    <m/>
    <x v="0"/>
    <n v="0.3775"/>
    <n v="0.40497919539710853"/>
    <x v="1"/>
    <n v="1.3860000000000001"/>
  </r>
  <r>
    <n v="2161"/>
    <s v="4"/>
    <x v="2"/>
    <n v="60"/>
    <x v="0"/>
    <x v="1"/>
    <x v="1"/>
    <x v="0"/>
    <x v="1"/>
    <x v="0"/>
    <x v="0"/>
    <x v="0"/>
    <x v="0"/>
    <m/>
    <x v="0"/>
    <n v="0.32166666666666671"/>
    <n v="0.41359075840917886"/>
    <x v="1"/>
    <n v="1.89"/>
  </r>
  <r>
    <n v="2161"/>
    <s v="5"/>
    <x v="2"/>
    <n v="105"/>
    <x v="0"/>
    <x v="1"/>
    <x v="1"/>
    <x v="0"/>
    <x v="1"/>
    <x v="0"/>
    <x v="0"/>
    <x v="0"/>
    <x v="0"/>
    <m/>
    <x v="0"/>
    <n v="0.38"/>
    <n v="0.4074900866576095"/>
    <x v="1"/>
    <n v="3.3075000000000001"/>
  </r>
  <r>
    <n v="2167"/>
    <s v="1"/>
    <x v="2"/>
    <n v="600"/>
    <x v="3"/>
    <x v="0"/>
    <x v="0"/>
    <x v="0"/>
    <x v="0"/>
    <x v="0"/>
    <x v="0"/>
    <x v="0"/>
    <x v="0"/>
    <m/>
    <x v="0"/>
    <n v="0.20666666666666667"/>
    <n v="0.23718136248388058"/>
    <x v="1"/>
    <n v="18.899999999999999"/>
  </r>
  <r>
    <n v="2167"/>
    <s v="2"/>
    <x v="2"/>
    <n v="600"/>
    <x v="3"/>
    <x v="0"/>
    <x v="0"/>
    <x v="0"/>
    <x v="0"/>
    <x v="0"/>
    <x v="0"/>
    <x v="0"/>
    <x v="0"/>
    <m/>
    <x v="0"/>
    <n v="0.20749999999999999"/>
    <n v="0.23804646184932435"/>
    <x v="1"/>
    <n v="18.899999999999999"/>
  </r>
  <r>
    <n v="2168"/>
    <s v="MB1"/>
    <x v="2"/>
    <n v="180"/>
    <x v="3"/>
    <x v="0"/>
    <x v="0"/>
    <x v="0"/>
    <x v="0"/>
    <x v="0"/>
    <x v="0"/>
    <x v="0"/>
    <x v="0"/>
    <m/>
    <x v="0"/>
    <n v="0.19833333333333336"/>
    <n v="0.22952912958360508"/>
    <x v="1"/>
    <n v="5.67"/>
  </r>
  <r>
    <n v="2168"/>
    <s v="MB2"/>
    <x v="2"/>
    <n v="285"/>
    <x v="3"/>
    <x v="0"/>
    <x v="0"/>
    <x v="0"/>
    <x v="0"/>
    <x v="0"/>
    <x v="0"/>
    <x v="0"/>
    <x v="0"/>
    <m/>
    <x v="0"/>
    <n v="0.19750000000000001"/>
    <n v="0.22844540594273974"/>
    <x v="1"/>
    <n v="8.9774999999999991"/>
  </r>
  <r>
    <n v="2168"/>
    <s v="MB3"/>
    <x v="2"/>
    <n v="670"/>
    <x v="3"/>
    <x v="1"/>
    <x v="0"/>
    <x v="0"/>
    <x v="1"/>
    <x v="0"/>
    <x v="0"/>
    <x v="0"/>
    <x v="0"/>
    <m/>
    <x v="0"/>
    <n v="0.19666666666666666"/>
    <n v="0.22783596615299814"/>
    <x v="1"/>
    <n v="21.105"/>
  </r>
  <r>
    <n v="2187"/>
    <s v="2"/>
    <x v="3"/>
    <n v="191"/>
    <x v="3"/>
    <x v="2"/>
    <x v="0"/>
    <x v="0"/>
    <x v="0"/>
    <x v="0"/>
    <x v="0"/>
    <x v="0"/>
    <x v="0"/>
    <m/>
    <x v="0"/>
    <n v="0.24083333333333332"/>
    <n v="0.28132272365369027"/>
    <x v="1"/>
    <n v="6.0164999999999997"/>
  </r>
  <r>
    <n v="2240"/>
    <s v="6"/>
    <x v="2"/>
    <n v="16.5"/>
    <x v="3"/>
    <x v="0"/>
    <x v="0"/>
    <x v="0"/>
    <x v="0"/>
    <x v="0"/>
    <x v="0"/>
    <x v="0"/>
    <x v="0"/>
    <m/>
    <x v="0"/>
    <n v="0.15833333333333333"/>
    <n v="0.24153852977376042"/>
    <x v="1"/>
    <n v="0.51975000000000005"/>
  </r>
  <r>
    <n v="2240"/>
    <s v="7"/>
    <x v="2"/>
    <n v="22"/>
    <x v="3"/>
    <x v="0"/>
    <x v="0"/>
    <x v="0"/>
    <x v="0"/>
    <x v="0"/>
    <x v="0"/>
    <x v="0"/>
    <x v="0"/>
    <m/>
    <x v="0"/>
    <n v="0.17833333333333334"/>
    <n v="0.24451558342084745"/>
    <x v="1"/>
    <n v="0.69300000000000006"/>
  </r>
  <r>
    <n v="2240"/>
    <s v="8"/>
    <x v="2"/>
    <n v="91.501999999999995"/>
    <x v="3"/>
    <x v="1"/>
    <x v="0"/>
    <x v="0"/>
    <x v="1"/>
    <x v="0"/>
    <x v="0"/>
    <x v="0"/>
    <x v="0"/>
    <m/>
    <x v="0"/>
    <n v="0.18666666666666665"/>
    <n v="0.25554836139942561"/>
    <x v="1"/>
    <n v="2.8823129999999999"/>
  </r>
  <r>
    <n v="2277"/>
    <s v="1"/>
    <x v="2"/>
    <n v="108.8"/>
    <x v="3"/>
    <x v="0"/>
    <x v="0"/>
    <x v="0"/>
    <x v="0"/>
    <x v="0"/>
    <x v="0"/>
    <x v="0"/>
    <x v="0"/>
    <m/>
    <x v="0"/>
    <n v="0.24583333333333326"/>
    <n v="0.28244966340857558"/>
    <x v="1"/>
    <n v="3.4272"/>
  </r>
  <r>
    <n v="2277"/>
    <s v="2"/>
    <x v="2"/>
    <n v="119.85"/>
    <x v="3"/>
    <x v="0"/>
    <x v="0"/>
    <x v="0"/>
    <x v="0"/>
    <x v="0"/>
    <x v="0"/>
    <x v="0"/>
    <x v="0"/>
    <m/>
    <x v="0"/>
    <n v="0.25666666666666665"/>
    <n v="0.29321707746625275"/>
    <x v="1"/>
    <n v="3.7752749999999997"/>
  </r>
  <r>
    <n v="2291"/>
    <s v="1"/>
    <x v="2"/>
    <n v="73.5"/>
    <x v="3"/>
    <x v="0"/>
    <x v="0"/>
    <x v="0"/>
    <x v="0"/>
    <x v="0"/>
    <x v="0"/>
    <x v="0"/>
    <x v="0"/>
    <m/>
    <x v="0"/>
    <n v="0.3175"/>
    <n v="0.37036361995119044"/>
    <x v="1"/>
    <n v="2.3152499999999998"/>
  </r>
  <r>
    <n v="2291"/>
    <s v="2"/>
    <x v="2"/>
    <n v="108.8"/>
    <x v="3"/>
    <x v="0"/>
    <x v="0"/>
    <x v="0"/>
    <x v="0"/>
    <x v="0"/>
    <x v="0"/>
    <x v="0"/>
    <x v="0"/>
    <m/>
    <x v="0"/>
    <n v="0.3175"/>
    <n v="0.37036361995119044"/>
    <x v="1"/>
    <n v="3.4272"/>
  </r>
  <r>
    <n v="2291"/>
    <s v="3"/>
    <x v="2"/>
    <n v="108.8"/>
    <x v="3"/>
    <x v="0"/>
    <x v="0"/>
    <x v="0"/>
    <x v="0"/>
    <x v="0"/>
    <x v="0"/>
    <x v="0"/>
    <x v="0"/>
    <m/>
    <x v="0"/>
    <n v="0.3175"/>
    <n v="0.37036361995119044"/>
    <x v="1"/>
    <n v="3.4272"/>
  </r>
  <r>
    <n v="2291"/>
    <s v="4"/>
    <x v="2"/>
    <n v="136"/>
    <x v="3"/>
    <x v="0"/>
    <x v="0"/>
    <x v="0"/>
    <x v="0"/>
    <x v="0"/>
    <x v="0"/>
    <x v="0"/>
    <x v="0"/>
    <m/>
    <x v="0"/>
    <n v="0.3175"/>
    <n v="0.37036361995119044"/>
    <x v="1"/>
    <n v="4.2839999999999998"/>
  </r>
  <r>
    <n v="2291"/>
    <s v="5"/>
    <x v="2"/>
    <n v="217.6"/>
    <x v="3"/>
    <x v="1"/>
    <x v="0"/>
    <x v="0"/>
    <x v="1"/>
    <x v="0"/>
    <x v="0"/>
    <x v="0"/>
    <x v="0"/>
    <m/>
    <x v="0"/>
    <n v="0.3175"/>
    <n v="0.37036361995119044"/>
    <x v="1"/>
    <n v="6.8544"/>
  </r>
  <r>
    <n v="2324"/>
    <s v="1"/>
    <x v="3"/>
    <n v="114"/>
    <x v="0"/>
    <x v="0"/>
    <x v="0"/>
    <x v="0"/>
    <x v="0"/>
    <x v="0"/>
    <x v="0"/>
    <x v="1"/>
    <x v="0"/>
    <s v="1"/>
    <x v="1"/>
    <n v="0.50083333333333335"/>
    <n v="0.45597304214127177"/>
    <x v="1"/>
    <n v="3.5910000000000002"/>
  </r>
  <r>
    <n v="2324"/>
    <s v="2"/>
    <x v="3"/>
    <n v="114"/>
    <x v="0"/>
    <x v="0"/>
    <x v="0"/>
    <x v="0"/>
    <x v="0"/>
    <x v="0"/>
    <x v="0"/>
    <x v="1"/>
    <x v="0"/>
    <s v="2"/>
    <x v="1"/>
    <n v="0.50083333333333335"/>
    <n v="0.45556567589366254"/>
    <x v="1"/>
    <n v="3.5910000000000002"/>
  </r>
  <r>
    <n v="2324"/>
    <s v="3"/>
    <x v="3"/>
    <n v="114"/>
    <x v="0"/>
    <x v="1"/>
    <x v="0"/>
    <x v="0"/>
    <x v="1"/>
    <x v="0"/>
    <x v="0"/>
    <x v="1"/>
    <x v="0"/>
    <s v="3"/>
    <x v="1"/>
    <n v="0.50083333333333335"/>
    <n v="0.45556902052645082"/>
    <x v="1"/>
    <n v="3.5910000000000002"/>
  </r>
  <r>
    <n v="2324"/>
    <s v="4"/>
    <x v="3"/>
    <n v="270"/>
    <x v="0"/>
    <x v="0"/>
    <x v="0"/>
    <x v="0"/>
    <x v="0"/>
    <x v="0"/>
    <x v="0"/>
    <x v="1"/>
    <x v="1"/>
    <s v="4"/>
    <x v="1"/>
    <n v="0.4916666666666667"/>
    <n v="0.45731285829052082"/>
    <x v="1"/>
    <n v="8.5050000000000008"/>
  </r>
  <r>
    <n v="2341"/>
    <s v="1"/>
    <x v="3"/>
    <n v="818.1"/>
    <x v="0"/>
    <x v="0"/>
    <x v="0"/>
    <x v="0"/>
    <x v="0"/>
    <x v="0"/>
    <x v="0"/>
    <x v="0"/>
    <x v="0"/>
    <m/>
    <x v="0"/>
    <n v="0.47833333333333322"/>
    <n v="0.38927639898809013"/>
    <x v="1"/>
    <n v="25.770150000000001"/>
  </r>
  <r>
    <n v="2341"/>
    <s v="2"/>
    <x v="3"/>
    <n v="818.1"/>
    <x v="0"/>
    <x v="0"/>
    <x v="0"/>
    <x v="0"/>
    <x v="0"/>
    <x v="0"/>
    <x v="0"/>
    <x v="0"/>
    <x v="0"/>
    <m/>
    <x v="0"/>
    <n v="0.47833333333333322"/>
    <n v="0.38927639898809013"/>
    <x v="1"/>
    <n v="25.770150000000001"/>
  </r>
  <r>
    <n v="2364"/>
    <s v="1"/>
    <x v="6"/>
    <n v="113.6"/>
    <x v="0"/>
    <x v="9"/>
    <x v="0"/>
    <x v="0"/>
    <x v="0"/>
    <x v="1"/>
    <x v="0"/>
    <x v="0"/>
    <x v="0"/>
    <m/>
    <x v="0"/>
    <n v="1.7533333333333336"/>
    <n v="1.3472560698944376"/>
    <x v="0"/>
    <n v="3.5783999999999998"/>
  </r>
  <r>
    <n v="2364"/>
    <s v="2"/>
    <x v="6"/>
    <n v="345.6"/>
    <x v="0"/>
    <x v="9"/>
    <x v="0"/>
    <x v="0"/>
    <x v="0"/>
    <x v="1"/>
    <x v="0"/>
    <x v="0"/>
    <x v="0"/>
    <m/>
    <x v="0"/>
    <n v="1.6216666666666668"/>
    <n v="1.2460420238242393"/>
    <x v="0"/>
    <n v="10.8864"/>
  </r>
  <r>
    <n v="2367"/>
    <s v="4"/>
    <x v="6"/>
    <n v="50"/>
    <x v="0"/>
    <x v="0"/>
    <x v="0"/>
    <x v="0"/>
    <x v="0"/>
    <x v="0"/>
    <x v="0"/>
    <x v="0"/>
    <x v="0"/>
    <m/>
    <x v="0"/>
    <n v="0.59166666666666667"/>
    <n v="0.45962115724624164"/>
    <x v="1"/>
    <n v="1.575"/>
  </r>
  <r>
    <n v="2367"/>
    <s v="5"/>
    <x v="6"/>
    <n v="50"/>
    <x v="0"/>
    <x v="3"/>
    <x v="1"/>
    <x v="0"/>
    <x v="0"/>
    <x v="0"/>
    <x v="0"/>
    <x v="0"/>
    <x v="0"/>
    <m/>
    <x v="0"/>
    <n v="0.59166666666666667"/>
    <n v="0.45962115724624164"/>
    <x v="1"/>
    <n v="1.575"/>
  </r>
  <r>
    <n v="2367"/>
    <s v="6"/>
    <x v="6"/>
    <n v="50"/>
    <x v="0"/>
    <x v="0"/>
    <x v="0"/>
    <x v="0"/>
    <x v="0"/>
    <x v="0"/>
    <x v="0"/>
    <x v="0"/>
    <x v="0"/>
    <m/>
    <x v="0"/>
    <n v="0.59166666666666667"/>
    <n v="0.45962115724624164"/>
    <x v="1"/>
    <n v="1.575"/>
  </r>
  <r>
    <n v="2378"/>
    <s v="1"/>
    <x v="7"/>
    <n v="136"/>
    <x v="0"/>
    <x v="5"/>
    <x v="0"/>
    <x v="0"/>
    <x v="0"/>
    <x v="0"/>
    <x v="1"/>
    <x v="0"/>
    <x v="0"/>
    <m/>
    <x v="0"/>
    <n v="2.3450000000000002"/>
    <n v="2.0088138691978306"/>
    <x v="2"/>
    <n v="4.2839999999999998"/>
  </r>
  <r>
    <n v="2378"/>
    <s v="2"/>
    <x v="7"/>
    <n v="163.19999999999999"/>
    <x v="0"/>
    <x v="5"/>
    <x v="1"/>
    <x v="0"/>
    <x v="0"/>
    <x v="0"/>
    <x v="1"/>
    <x v="1"/>
    <x v="0"/>
    <s v="2"/>
    <x v="1"/>
    <n v="2.5766666666666667"/>
    <n v="2.025717168738058"/>
    <x v="2"/>
    <n v="5.1407999999999996"/>
  </r>
  <r>
    <n v="2384"/>
    <s v="8"/>
    <x v="7"/>
    <n v="73.5"/>
    <x v="0"/>
    <x v="1"/>
    <x v="1"/>
    <x v="0"/>
    <x v="1"/>
    <x v="0"/>
    <x v="0"/>
    <x v="0"/>
    <x v="0"/>
    <m/>
    <x v="0"/>
    <n v="0.82166666666666677"/>
    <n v="0.64752887286318683"/>
    <x v="0"/>
    <n v="2.3152499999999998"/>
  </r>
  <r>
    <n v="2403"/>
    <s v="2"/>
    <x v="7"/>
    <n v="659.7"/>
    <x v="0"/>
    <x v="1"/>
    <x v="1"/>
    <x v="0"/>
    <x v="1"/>
    <x v="0"/>
    <x v="0"/>
    <x v="0"/>
    <x v="0"/>
    <m/>
    <x v="0"/>
    <n v="0.91083333333333327"/>
    <n v="0.72775988341120146"/>
    <x v="0"/>
    <n v="20.780550000000002"/>
  </r>
  <r>
    <n v="2408"/>
    <s v="1"/>
    <x v="7"/>
    <n v="326.39999999999998"/>
    <x v="0"/>
    <x v="5"/>
    <x v="6"/>
    <x v="0"/>
    <x v="0"/>
    <x v="0"/>
    <x v="1"/>
    <x v="0"/>
    <x v="0"/>
    <m/>
    <x v="0"/>
    <n v="0.81333333333333313"/>
    <n v="0.60354288921351151"/>
    <x v="0"/>
    <n v="10.281599999999999"/>
  </r>
  <r>
    <n v="2408"/>
    <s v="2"/>
    <x v="7"/>
    <n v="326.39999999999998"/>
    <x v="0"/>
    <x v="5"/>
    <x v="6"/>
    <x v="0"/>
    <x v="0"/>
    <x v="0"/>
    <x v="1"/>
    <x v="0"/>
    <x v="0"/>
    <m/>
    <x v="0"/>
    <n v="0.82166666666666643"/>
    <n v="0.60928559272427629"/>
    <x v="0"/>
    <n v="10.281599999999999"/>
  </r>
  <r>
    <n v="2442"/>
    <s v="1"/>
    <x v="3"/>
    <n v="190.08"/>
    <x v="3"/>
    <x v="1"/>
    <x v="0"/>
    <x v="0"/>
    <x v="1"/>
    <x v="0"/>
    <x v="0"/>
    <x v="4"/>
    <x v="0"/>
    <s v="1"/>
    <x v="1"/>
    <n v="0.8"/>
    <n v="0.88919537680157479"/>
    <x v="0"/>
    <n v="5.9875200000000008"/>
  </r>
  <r>
    <n v="2442"/>
    <s v="2"/>
    <x v="3"/>
    <n v="190.08"/>
    <x v="3"/>
    <x v="1"/>
    <x v="0"/>
    <x v="0"/>
    <x v="1"/>
    <x v="0"/>
    <x v="0"/>
    <x v="4"/>
    <x v="0"/>
    <s v="2"/>
    <x v="1"/>
    <n v="0.8"/>
    <n v="0.88919537680157479"/>
    <x v="0"/>
    <n v="5.9875200000000008"/>
  </r>
  <r>
    <n v="2442"/>
    <s v="3"/>
    <x v="3"/>
    <n v="253.44"/>
    <x v="3"/>
    <x v="1"/>
    <x v="0"/>
    <x v="0"/>
    <x v="1"/>
    <x v="0"/>
    <x v="0"/>
    <x v="4"/>
    <x v="0"/>
    <s v="3"/>
    <x v="1"/>
    <n v="0.70833333333333337"/>
    <n v="0.85757372481990934"/>
    <x v="0"/>
    <n v="7.9833600000000002"/>
  </r>
  <r>
    <n v="2442"/>
    <s v="4"/>
    <x v="3"/>
    <n v="818.1"/>
    <x v="3"/>
    <x v="1"/>
    <x v="0"/>
    <x v="0"/>
    <x v="1"/>
    <x v="0"/>
    <x v="0"/>
    <x v="2"/>
    <x v="0"/>
    <s v="4"/>
    <x v="1"/>
    <n v="0.74166666666666681"/>
    <n v="0.89701076264055535"/>
    <x v="0"/>
    <n v="25.770150000000001"/>
  </r>
  <r>
    <n v="2442"/>
    <s v="5"/>
    <x v="3"/>
    <n v="818.1"/>
    <x v="3"/>
    <x v="1"/>
    <x v="0"/>
    <x v="0"/>
    <x v="1"/>
    <x v="0"/>
    <x v="0"/>
    <x v="2"/>
    <x v="0"/>
    <s v="5"/>
    <x v="1"/>
    <n v="0.80833333333333357"/>
    <n v="0.89685611356257755"/>
    <x v="0"/>
    <n v="25.770150000000001"/>
  </r>
  <r>
    <n v="2451"/>
    <s v="1"/>
    <x v="3"/>
    <n v="369"/>
    <x v="0"/>
    <x v="1"/>
    <x v="0"/>
    <x v="0"/>
    <x v="1"/>
    <x v="0"/>
    <x v="0"/>
    <x v="1"/>
    <x v="0"/>
    <s v="1"/>
    <x v="1"/>
    <n v="0.79083333333333339"/>
    <n v="0.84489335324655002"/>
    <x v="0"/>
    <n v="11.6235"/>
  </r>
  <r>
    <n v="2451"/>
    <s v="2"/>
    <x v="3"/>
    <n v="369"/>
    <x v="0"/>
    <x v="3"/>
    <x v="1"/>
    <x v="0"/>
    <x v="0"/>
    <x v="0"/>
    <x v="0"/>
    <x v="1"/>
    <x v="0"/>
    <s v="2"/>
    <x v="1"/>
    <n v="0.79083333333333339"/>
    <n v="0.84489335324655002"/>
    <x v="0"/>
    <n v="11.6235"/>
  </r>
  <r>
    <n v="2451"/>
    <s v="3"/>
    <x v="3"/>
    <n v="555.03"/>
    <x v="0"/>
    <x v="1"/>
    <x v="1"/>
    <x v="0"/>
    <x v="1"/>
    <x v="0"/>
    <x v="0"/>
    <x v="1"/>
    <x v="0"/>
    <s v="3"/>
    <x v="1"/>
    <n v="0.79083333333333339"/>
    <n v="0.84489335324655002"/>
    <x v="0"/>
    <n v="17.483445"/>
  </r>
  <r>
    <n v="2451"/>
    <s v="4"/>
    <x v="3"/>
    <n v="555.03"/>
    <x v="0"/>
    <x v="1"/>
    <x v="1"/>
    <x v="0"/>
    <x v="1"/>
    <x v="0"/>
    <x v="0"/>
    <x v="1"/>
    <x v="0"/>
    <s v="4"/>
    <x v="1"/>
    <n v="0.79083333333333339"/>
    <n v="0.84489335324655002"/>
    <x v="0"/>
    <n v="17.483445"/>
  </r>
  <r>
    <n v="2480"/>
    <s v="3"/>
    <x v="7"/>
    <n v="147.05000000000001"/>
    <x v="0"/>
    <x v="2"/>
    <x v="4"/>
    <x v="0"/>
    <x v="1"/>
    <x v="0"/>
    <x v="0"/>
    <x v="0"/>
    <x v="0"/>
    <m/>
    <x v="0"/>
    <n v="0.57499999999999996"/>
    <n v="0.48565729877029629"/>
    <x v="1"/>
    <n v="4.6320750000000004"/>
  </r>
  <r>
    <n v="2480"/>
    <s v="4"/>
    <x v="7"/>
    <n v="239.36"/>
    <x v="0"/>
    <x v="2"/>
    <x v="4"/>
    <x v="0"/>
    <x v="1"/>
    <x v="0"/>
    <x v="0"/>
    <x v="0"/>
    <x v="0"/>
    <m/>
    <x v="0"/>
    <n v="0.625"/>
    <n v="0.48425751462581273"/>
    <x v="1"/>
    <n v="7.5398400000000008"/>
  </r>
  <r>
    <n v="2526"/>
    <s v="11"/>
    <x v="7"/>
    <n v="22"/>
    <x v="0"/>
    <x v="0"/>
    <x v="0"/>
    <x v="0"/>
    <x v="0"/>
    <x v="0"/>
    <x v="0"/>
    <x v="0"/>
    <x v="0"/>
    <m/>
    <x v="0"/>
    <n v="2.2025000000000001"/>
    <n v="1.6639774199122426"/>
    <x v="0"/>
    <n v="0.69300000000000006"/>
  </r>
  <r>
    <n v="2526"/>
    <s v="12"/>
    <x v="7"/>
    <n v="22"/>
    <x v="0"/>
    <x v="0"/>
    <x v="0"/>
    <x v="0"/>
    <x v="0"/>
    <x v="0"/>
    <x v="0"/>
    <x v="0"/>
    <x v="0"/>
    <m/>
    <x v="0"/>
    <n v="2.2025000000000001"/>
    <n v="1.6639774199122426"/>
    <x v="0"/>
    <n v="0.69300000000000006"/>
  </r>
  <r>
    <n v="2526"/>
    <s v="13"/>
    <x v="7"/>
    <n v="75"/>
    <x v="0"/>
    <x v="0"/>
    <x v="0"/>
    <x v="0"/>
    <x v="0"/>
    <x v="0"/>
    <x v="0"/>
    <x v="0"/>
    <x v="0"/>
    <m/>
    <x v="0"/>
    <n v="2.2025000000000001"/>
    <n v="1.6639774199122426"/>
    <x v="0"/>
    <n v="2.3624999999999998"/>
  </r>
  <r>
    <n v="2527"/>
    <s v="4"/>
    <x v="7"/>
    <n v="25"/>
    <x v="0"/>
    <x v="2"/>
    <x v="0"/>
    <x v="0"/>
    <x v="0"/>
    <x v="0"/>
    <x v="0"/>
    <x v="0"/>
    <x v="0"/>
    <m/>
    <x v="0"/>
    <n v="2.11"/>
    <n v="1.618051659110521"/>
    <x v="0"/>
    <n v="0.78749999999999998"/>
  </r>
  <r>
    <n v="2527"/>
    <s v="5"/>
    <x v="7"/>
    <n v="25"/>
    <x v="0"/>
    <x v="2"/>
    <x v="0"/>
    <x v="0"/>
    <x v="0"/>
    <x v="0"/>
    <x v="0"/>
    <x v="0"/>
    <x v="0"/>
    <m/>
    <x v="0"/>
    <n v="2.11"/>
    <n v="1.6192067106393038"/>
    <x v="0"/>
    <n v="0.78749999999999998"/>
  </r>
  <r>
    <n v="2527"/>
    <s v="6"/>
    <x v="7"/>
    <n v="112.5"/>
    <x v="0"/>
    <x v="8"/>
    <x v="1"/>
    <x v="0"/>
    <x v="0"/>
    <x v="0"/>
    <x v="0"/>
    <x v="0"/>
    <x v="0"/>
    <m/>
    <x v="0"/>
    <n v="2.15"/>
    <n v="1.6435364726606485"/>
    <x v="0"/>
    <n v="3.5437500000000002"/>
  </r>
  <r>
    <n v="2535"/>
    <s v="1"/>
    <x v="7"/>
    <n v="155.25"/>
    <x v="0"/>
    <x v="1"/>
    <x v="0"/>
    <x v="0"/>
    <x v="1"/>
    <x v="0"/>
    <x v="0"/>
    <x v="1"/>
    <x v="0"/>
    <s v="1"/>
    <x v="1"/>
    <n v="2.1983333333333328"/>
    <n v="1.5876387700538486"/>
    <x v="0"/>
    <n v="4.8903749999999997"/>
  </r>
  <r>
    <n v="2535"/>
    <s v="2"/>
    <x v="7"/>
    <n v="167.232"/>
    <x v="0"/>
    <x v="1"/>
    <x v="0"/>
    <x v="0"/>
    <x v="1"/>
    <x v="0"/>
    <x v="0"/>
    <x v="1"/>
    <x v="0"/>
    <s v="1"/>
    <x v="1"/>
    <n v="2.2116666666666669"/>
    <n v="1.5967052998595879"/>
    <x v="0"/>
    <n v="5.2678079999999996"/>
  </r>
  <r>
    <n v="2549"/>
    <s v="63"/>
    <x v="7"/>
    <n v="80"/>
    <x v="0"/>
    <x v="0"/>
    <x v="0"/>
    <x v="0"/>
    <x v="0"/>
    <x v="0"/>
    <x v="0"/>
    <x v="0"/>
    <x v="0"/>
    <m/>
    <x v="0"/>
    <n v="1.2075"/>
    <n v="1.2448679299454493"/>
    <x v="0"/>
    <n v="2.52"/>
  </r>
  <r>
    <n v="2549"/>
    <s v="64"/>
    <x v="7"/>
    <n v="100"/>
    <x v="0"/>
    <x v="0"/>
    <x v="0"/>
    <x v="0"/>
    <x v="0"/>
    <x v="0"/>
    <x v="0"/>
    <x v="0"/>
    <x v="0"/>
    <m/>
    <x v="0"/>
    <n v="1.595"/>
    <n v="1.2335630203847259"/>
    <x v="0"/>
    <n v="3.15"/>
  </r>
  <r>
    <n v="2549"/>
    <s v="65"/>
    <x v="7"/>
    <n v="100"/>
    <x v="0"/>
    <x v="0"/>
    <x v="0"/>
    <x v="0"/>
    <x v="0"/>
    <x v="0"/>
    <x v="0"/>
    <x v="0"/>
    <x v="0"/>
    <m/>
    <x v="0"/>
    <n v="1.595"/>
    <n v="1.2335630203847259"/>
    <x v="0"/>
    <n v="3.15"/>
  </r>
  <r>
    <n v="2549"/>
    <s v="66"/>
    <x v="7"/>
    <n v="100"/>
    <x v="0"/>
    <x v="0"/>
    <x v="0"/>
    <x v="0"/>
    <x v="0"/>
    <x v="0"/>
    <x v="0"/>
    <x v="0"/>
    <x v="0"/>
    <m/>
    <x v="0"/>
    <n v="1.595"/>
    <n v="1.2335630203847259"/>
    <x v="0"/>
    <n v="3.15"/>
  </r>
  <r>
    <n v="2549"/>
    <s v="67"/>
    <x v="7"/>
    <n v="217.6"/>
    <x v="0"/>
    <x v="0"/>
    <x v="0"/>
    <x v="0"/>
    <x v="0"/>
    <x v="0"/>
    <x v="0"/>
    <x v="0"/>
    <x v="0"/>
    <m/>
    <x v="0"/>
    <n v="1.595"/>
    <n v="1.2335630203847259"/>
    <x v="0"/>
    <n v="6.8544"/>
  </r>
  <r>
    <n v="2549"/>
    <s v="68"/>
    <x v="7"/>
    <n v="217.6"/>
    <x v="0"/>
    <x v="0"/>
    <x v="0"/>
    <x v="0"/>
    <x v="0"/>
    <x v="0"/>
    <x v="0"/>
    <x v="0"/>
    <x v="0"/>
    <m/>
    <x v="0"/>
    <n v="1.595"/>
    <n v="1.2335630203847259"/>
    <x v="0"/>
    <n v="6.8544"/>
  </r>
  <r>
    <n v="2554"/>
    <s v="1"/>
    <x v="7"/>
    <n v="96"/>
    <x v="0"/>
    <x v="1"/>
    <x v="1"/>
    <x v="0"/>
    <x v="1"/>
    <x v="0"/>
    <x v="0"/>
    <x v="0"/>
    <x v="0"/>
    <m/>
    <x v="0"/>
    <n v="2.0558333333333332"/>
    <n v="1.5779859254261994"/>
    <x v="0"/>
    <n v="3.024"/>
  </r>
  <r>
    <n v="2554"/>
    <s v="2"/>
    <x v="7"/>
    <n v="96"/>
    <x v="0"/>
    <x v="1"/>
    <x v="1"/>
    <x v="0"/>
    <x v="1"/>
    <x v="0"/>
    <x v="0"/>
    <x v="0"/>
    <x v="0"/>
    <m/>
    <x v="0"/>
    <n v="2.0558333333333332"/>
    <n v="1.5779859254261994"/>
    <x v="0"/>
    <n v="3.024"/>
  </r>
  <r>
    <n v="2554"/>
    <s v="3"/>
    <x v="7"/>
    <n v="218"/>
    <x v="0"/>
    <x v="1"/>
    <x v="1"/>
    <x v="0"/>
    <x v="1"/>
    <x v="0"/>
    <x v="0"/>
    <x v="0"/>
    <x v="0"/>
    <m/>
    <x v="0"/>
    <n v="2.0558333333333332"/>
    <n v="1.5779859254261994"/>
    <x v="0"/>
    <n v="6.867"/>
  </r>
  <r>
    <n v="2554"/>
    <s v="4"/>
    <x v="7"/>
    <n v="218"/>
    <x v="0"/>
    <x v="1"/>
    <x v="1"/>
    <x v="0"/>
    <x v="1"/>
    <x v="0"/>
    <x v="0"/>
    <x v="0"/>
    <x v="0"/>
    <m/>
    <x v="0"/>
    <n v="2.0558333333333332"/>
    <n v="1.5779859254261994"/>
    <x v="0"/>
    <n v="6.867"/>
  </r>
  <r>
    <n v="2629"/>
    <s v="4"/>
    <x v="7"/>
    <n v="179.5"/>
    <x v="0"/>
    <x v="1"/>
    <x v="0"/>
    <x v="0"/>
    <x v="1"/>
    <x v="0"/>
    <x v="0"/>
    <x v="0"/>
    <x v="0"/>
    <m/>
    <x v="0"/>
    <n v="0.62083333333333335"/>
    <n v="0.47987034889062991"/>
    <x v="1"/>
    <n v="5.6542500000000002"/>
  </r>
  <r>
    <n v="2629"/>
    <s v="5"/>
    <x v="7"/>
    <n v="200.6"/>
    <x v="0"/>
    <x v="0"/>
    <x v="0"/>
    <x v="0"/>
    <x v="0"/>
    <x v="0"/>
    <x v="0"/>
    <x v="0"/>
    <x v="0"/>
    <m/>
    <x v="0"/>
    <n v="0.56499999999999995"/>
    <n v="0.47623196533628387"/>
    <x v="1"/>
    <n v="6.3189000000000002"/>
  </r>
  <r>
    <n v="2642"/>
    <s v="1"/>
    <x v="7"/>
    <n v="46"/>
    <x v="0"/>
    <x v="0"/>
    <x v="0"/>
    <x v="0"/>
    <x v="0"/>
    <x v="0"/>
    <x v="0"/>
    <x v="0"/>
    <x v="0"/>
    <m/>
    <x v="0"/>
    <n v="2.2991666666666664"/>
    <n v="1.7358463186727899"/>
    <x v="2"/>
    <n v="1.4490000000000001"/>
  </r>
  <r>
    <n v="2642"/>
    <s v="2"/>
    <x v="7"/>
    <n v="62.5"/>
    <x v="0"/>
    <x v="0"/>
    <x v="0"/>
    <x v="0"/>
    <x v="0"/>
    <x v="0"/>
    <x v="0"/>
    <x v="0"/>
    <x v="0"/>
    <m/>
    <x v="0"/>
    <n v="2.3058333333333336"/>
    <n v="1.7401727229766839"/>
    <x v="2"/>
    <n v="1.96875"/>
  </r>
  <r>
    <n v="2642"/>
    <s v="3"/>
    <x v="7"/>
    <n v="62.5"/>
    <x v="0"/>
    <x v="2"/>
    <x v="4"/>
    <x v="0"/>
    <x v="1"/>
    <x v="0"/>
    <x v="0"/>
    <x v="0"/>
    <x v="0"/>
    <m/>
    <x v="0"/>
    <n v="2.2941666666666669"/>
    <n v="1.7304248567759108"/>
    <x v="2"/>
    <n v="1.96875"/>
  </r>
  <r>
    <n v="2642"/>
    <s v="4"/>
    <x v="7"/>
    <n v="81.599999999999994"/>
    <x v="0"/>
    <x v="2"/>
    <x v="4"/>
    <x v="0"/>
    <x v="1"/>
    <x v="0"/>
    <x v="0"/>
    <x v="0"/>
    <x v="0"/>
    <m/>
    <x v="0"/>
    <n v="2.3025000000000002"/>
    <n v="1.7376507611211645"/>
    <x v="2"/>
    <n v="2.5703999999999998"/>
  </r>
  <r>
    <n v="2706"/>
    <s v="1"/>
    <x v="4"/>
    <n v="206.63499999999999"/>
    <x v="0"/>
    <x v="1"/>
    <x v="9"/>
    <x v="5"/>
    <x v="1"/>
    <x v="0"/>
    <x v="0"/>
    <x v="0"/>
    <x v="0"/>
    <m/>
    <x v="0"/>
    <n v="0.9191666666666668"/>
    <n v="0.72973639896708542"/>
    <x v="0"/>
    <n v="6.5090024999999994"/>
  </r>
  <r>
    <n v="2706"/>
    <s v="2"/>
    <x v="4"/>
    <n v="207"/>
    <x v="0"/>
    <x v="1"/>
    <x v="1"/>
    <x v="0"/>
    <x v="1"/>
    <x v="0"/>
    <x v="0"/>
    <x v="0"/>
    <x v="0"/>
    <m/>
    <x v="0"/>
    <n v="0.91833333333333345"/>
    <n v="0.72946246635777368"/>
    <x v="0"/>
    <n v="6.5205000000000002"/>
  </r>
  <r>
    <n v="2708"/>
    <s v="5"/>
    <x v="4"/>
    <n v="140.625"/>
    <x v="0"/>
    <x v="7"/>
    <x v="0"/>
    <x v="0"/>
    <x v="0"/>
    <x v="0"/>
    <x v="0"/>
    <x v="0"/>
    <x v="0"/>
    <m/>
    <x v="0"/>
    <n v="0.98333333333333339"/>
    <n v="0.80559041414839505"/>
    <x v="0"/>
    <n v="4.4296875"/>
  </r>
  <r>
    <n v="2708"/>
    <s v="6"/>
    <x v="4"/>
    <n v="187.85"/>
    <x v="0"/>
    <x v="0"/>
    <x v="0"/>
    <x v="0"/>
    <x v="0"/>
    <x v="0"/>
    <x v="0"/>
    <x v="0"/>
    <x v="0"/>
    <m/>
    <x v="0"/>
    <n v="0.98333333333333339"/>
    <n v="0.80694622150105655"/>
    <x v="0"/>
    <n v="5.9172750000000001"/>
  </r>
  <r>
    <n v="2709"/>
    <s v="1"/>
    <x v="4"/>
    <n v="75"/>
    <x v="0"/>
    <x v="0"/>
    <x v="0"/>
    <x v="0"/>
    <x v="0"/>
    <x v="0"/>
    <x v="0"/>
    <x v="0"/>
    <x v="0"/>
    <m/>
    <x v="0"/>
    <n v="0.9425"/>
    <n v="0.75946746947698385"/>
    <x v="0"/>
    <n v="2.3624999999999998"/>
  </r>
  <r>
    <n v="2709"/>
    <s v="2"/>
    <x v="4"/>
    <n v="75"/>
    <x v="0"/>
    <x v="0"/>
    <x v="0"/>
    <x v="0"/>
    <x v="0"/>
    <x v="0"/>
    <x v="0"/>
    <x v="0"/>
    <x v="0"/>
    <m/>
    <x v="0"/>
    <n v="0.9375"/>
    <n v="0.75578541392070886"/>
    <x v="0"/>
    <n v="2.3624999999999998"/>
  </r>
  <r>
    <n v="2709"/>
    <s v="3"/>
    <x v="4"/>
    <n v="252.45"/>
    <x v="0"/>
    <x v="1"/>
    <x v="1"/>
    <x v="0"/>
    <x v="1"/>
    <x v="0"/>
    <x v="0"/>
    <x v="0"/>
    <x v="0"/>
    <m/>
    <x v="0"/>
    <n v="0.93"/>
    <n v="0.74927111193967111"/>
    <x v="0"/>
    <n v="7.9521749999999995"/>
  </r>
  <r>
    <n v="2712"/>
    <s v="1"/>
    <x v="4"/>
    <n v="410.85"/>
    <x v="0"/>
    <x v="1"/>
    <x v="1"/>
    <x v="0"/>
    <x v="1"/>
    <x v="0"/>
    <x v="0"/>
    <x v="0"/>
    <x v="0"/>
    <m/>
    <x v="0"/>
    <n v="0.89249999999999996"/>
    <n v="0.70359632367904734"/>
    <x v="0"/>
    <n v="12.941775000000002"/>
  </r>
  <r>
    <n v="2712"/>
    <s v="2"/>
    <x v="4"/>
    <n v="657"/>
    <x v="0"/>
    <x v="1"/>
    <x v="1"/>
    <x v="0"/>
    <x v="1"/>
    <x v="0"/>
    <x v="0"/>
    <x v="0"/>
    <x v="0"/>
    <m/>
    <x v="0"/>
    <n v="0.86750000000000005"/>
    <n v="0.68428518289355456"/>
    <x v="0"/>
    <n v="20.695499999999999"/>
  </r>
  <r>
    <n v="2712"/>
    <s v="3A"/>
    <x v="4"/>
    <n v="373"/>
    <x v="0"/>
    <x v="1"/>
    <x v="1"/>
    <x v="0"/>
    <x v="1"/>
    <x v="0"/>
    <x v="0"/>
    <x v="0"/>
    <x v="0"/>
    <m/>
    <x v="0"/>
    <n v="0.86499999999999999"/>
    <n v="0.68874107018926634"/>
    <x v="0"/>
    <n v="11.749499999999999"/>
  </r>
  <r>
    <n v="2712"/>
    <s v="3B"/>
    <x v="4"/>
    <n v="373"/>
    <x v="0"/>
    <x v="1"/>
    <x v="1"/>
    <x v="0"/>
    <x v="1"/>
    <x v="0"/>
    <x v="0"/>
    <x v="0"/>
    <x v="0"/>
    <m/>
    <x v="0"/>
    <n v="0.86499999999999999"/>
    <n v="0.69160619789686406"/>
    <x v="0"/>
    <n v="11.749499999999999"/>
  </r>
  <r>
    <n v="2712"/>
    <s v="4A"/>
    <x v="4"/>
    <n v="373"/>
    <x v="0"/>
    <x v="1"/>
    <x v="1"/>
    <x v="6"/>
    <x v="1"/>
    <x v="0"/>
    <x v="0"/>
    <x v="0"/>
    <x v="0"/>
    <m/>
    <x v="0"/>
    <n v="0.60666666666666658"/>
    <n v="0.54425982283192342"/>
    <x v="1"/>
    <n v="11.749499999999999"/>
  </r>
  <r>
    <n v="2712"/>
    <s v="4B"/>
    <x v="4"/>
    <n v="373"/>
    <x v="0"/>
    <x v="1"/>
    <x v="1"/>
    <x v="6"/>
    <x v="1"/>
    <x v="0"/>
    <x v="0"/>
    <x v="0"/>
    <x v="0"/>
    <m/>
    <x v="0"/>
    <n v="0.60666666666666658"/>
    <n v="0.54425982283192342"/>
    <x v="1"/>
    <n v="11.749499999999999"/>
  </r>
  <r>
    <n v="2713"/>
    <s v="1"/>
    <x v="4"/>
    <n v="112.5"/>
    <x v="0"/>
    <x v="1"/>
    <x v="1"/>
    <x v="4"/>
    <x v="1"/>
    <x v="0"/>
    <x v="0"/>
    <x v="0"/>
    <x v="0"/>
    <m/>
    <x v="0"/>
    <n v="1.0216666666666665"/>
    <n v="0.8241440368364582"/>
    <x v="0"/>
    <n v="3.5437500000000002"/>
  </r>
  <r>
    <n v="2713"/>
    <s v="2"/>
    <x v="4"/>
    <n v="112.5"/>
    <x v="0"/>
    <x v="0"/>
    <x v="0"/>
    <x v="0"/>
    <x v="0"/>
    <x v="0"/>
    <x v="0"/>
    <x v="0"/>
    <x v="0"/>
    <m/>
    <x v="0"/>
    <n v="1.0216666666666665"/>
    <n v="0.82382570119342569"/>
    <x v="0"/>
    <n v="3.5437500000000002"/>
  </r>
  <r>
    <n v="2713"/>
    <s v="3"/>
    <x v="4"/>
    <n v="446.61599999999999"/>
    <x v="0"/>
    <x v="1"/>
    <x v="1"/>
    <x v="4"/>
    <x v="1"/>
    <x v="0"/>
    <x v="0"/>
    <x v="0"/>
    <x v="0"/>
    <m/>
    <x v="0"/>
    <n v="1.0216666666666665"/>
    <n v="0.82548006287159215"/>
    <x v="0"/>
    <n v="14.068403999999999"/>
  </r>
  <r>
    <n v="2716"/>
    <s v="1"/>
    <x v="4"/>
    <n v="46"/>
    <x v="0"/>
    <x v="0"/>
    <x v="0"/>
    <x v="0"/>
    <x v="0"/>
    <x v="0"/>
    <x v="0"/>
    <x v="0"/>
    <x v="0"/>
    <m/>
    <x v="0"/>
    <n v="0.95416666666666672"/>
    <n v="0.73965798527755344"/>
    <x v="0"/>
    <n v="1.4490000000000001"/>
  </r>
  <r>
    <n v="2716"/>
    <s v="2"/>
    <x v="4"/>
    <n v="46"/>
    <x v="0"/>
    <x v="0"/>
    <x v="0"/>
    <x v="0"/>
    <x v="0"/>
    <x v="0"/>
    <x v="0"/>
    <x v="0"/>
    <x v="0"/>
    <m/>
    <x v="0"/>
    <n v="0.95416666666666661"/>
    <n v="0.73938606081741476"/>
    <x v="0"/>
    <n v="1.4490000000000001"/>
  </r>
  <r>
    <n v="2716"/>
    <s v="3"/>
    <x v="4"/>
    <n v="73.5"/>
    <x v="0"/>
    <x v="0"/>
    <x v="0"/>
    <x v="0"/>
    <x v="0"/>
    <x v="0"/>
    <x v="0"/>
    <x v="0"/>
    <x v="0"/>
    <m/>
    <x v="0"/>
    <n v="0.95499999999999996"/>
    <n v="0.74010766183749921"/>
    <x v="0"/>
    <n v="2.3152499999999998"/>
  </r>
  <r>
    <n v="2718"/>
    <s v="1"/>
    <x v="4"/>
    <n v="165"/>
    <x v="0"/>
    <x v="1"/>
    <x v="1"/>
    <x v="7"/>
    <x v="1"/>
    <x v="0"/>
    <x v="0"/>
    <x v="0"/>
    <x v="0"/>
    <m/>
    <x v="0"/>
    <n v="0.75666666666666671"/>
    <n v="0.6171760814059617"/>
    <x v="0"/>
    <n v="5.1974999999999998"/>
  </r>
  <r>
    <n v="2718"/>
    <s v="2"/>
    <x v="4"/>
    <n v="165"/>
    <x v="0"/>
    <x v="1"/>
    <x v="1"/>
    <x v="7"/>
    <x v="1"/>
    <x v="0"/>
    <x v="0"/>
    <x v="0"/>
    <x v="0"/>
    <m/>
    <x v="0"/>
    <n v="0.63666666666666671"/>
    <n v="0.62438915217319424"/>
    <x v="0"/>
    <n v="5.1974999999999998"/>
  </r>
  <r>
    <n v="2718"/>
    <s v="3"/>
    <x v="4"/>
    <n v="275"/>
    <x v="0"/>
    <x v="1"/>
    <x v="1"/>
    <x v="7"/>
    <x v="1"/>
    <x v="0"/>
    <x v="0"/>
    <x v="0"/>
    <x v="0"/>
    <m/>
    <x v="0"/>
    <n v="0.76166666666666671"/>
    <n v="0.62078251585710309"/>
    <x v="0"/>
    <n v="8.6624999999999996"/>
  </r>
  <r>
    <n v="2718"/>
    <s v="4"/>
    <x v="4"/>
    <n v="275"/>
    <x v="0"/>
    <x v="1"/>
    <x v="1"/>
    <x v="7"/>
    <x v="1"/>
    <x v="0"/>
    <x v="0"/>
    <x v="0"/>
    <x v="0"/>
    <m/>
    <x v="0"/>
    <n v="0.76249999999999996"/>
    <n v="0.62221258783127797"/>
    <x v="0"/>
    <n v="8.6624999999999996"/>
  </r>
  <r>
    <n v="2718"/>
    <s v="5"/>
    <x v="4"/>
    <n v="275"/>
    <x v="0"/>
    <x v="1"/>
    <x v="1"/>
    <x v="7"/>
    <x v="1"/>
    <x v="0"/>
    <x v="0"/>
    <x v="0"/>
    <x v="0"/>
    <m/>
    <x v="0"/>
    <n v="0.58250000000000002"/>
    <n v="0.63482651069931839"/>
    <x v="0"/>
    <n v="8.6624999999999996"/>
  </r>
  <r>
    <n v="2720"/>
    <s v="5"/>
    <x v="4"/>
    <n v="40"/>
    <x v="0"/>
    <x v="1"/>
    <x v="0"/>
    <x v="0"/>
    <x v="1"/>
    <x v="0"/>
    <x v="0"/>
    <x v="0"/>
    <x v="0"/>
    <m/>
    <x v="0"/>
    <n v="0.70666666666666667"/>
    <n v="0.57410066721739772"/>
    <x v="1"/>
    <n v="1.26"/>
  </r>
  <r>
    <n v="2720"/>
    <s v="6"/>
    <x v="4"/>
    <n v="40"/>
    <x v="0"/>
    <x v="1"/>
    <x v="0"/>
    <x v="0"/>
    <x v="1"/>
    <x v="0"/>
    <x v="0"/>
    <x v="0"/>
    <x v="0"/>
    <m/>
    <x v="0"/>
    <n v="0.70666666666666667"/>
    <n v="0.57410066721739772"/>
    <x v="1"/>
    <n v="1.26"/>
  </r>
  <r>
    <n v="2720"/>
    <s v="7"/>
    <x v="4"/>
    <n v="40"/>
    <x v="0"/>
    <x v="1"/>
    <x v="0"/>
    <x v="0"/>
    <x v="1"/>
    <x v="0"/>
    <x v="0"/>
    <x v="0"/>
    <x v="0"/>
    <m/>
    <x v="0"/>
    <n v="0.70583333333333342"/>
    <n v="0.57406600563990684"/>
    <x v="1"/>
    <n v="1.26"/>
  </r>
  <r>
    <n v="2720"/>
    <s v="8"/>
    <x v="4"/>
    <n v="125"/>
    <x v="0"/>
    <x v="1"/>
    <x v="0"/>
    <x v="0"/>
    <x v="1"/>
    <x v="0"/>
    <x v="0"/>
    <x v="0"/>
    <x v="0"/>
    <m/>
    <x v="0"/>
    <n v="0.68916666666666659"/>
    <n v="0.58136303462930394"/>
    <x v="1"/>
    <n v="3.9375"/>
  </r>
  <r>
    <n v="2720"/>
    <s v="9"/>
    <x v="4"/>
    <n v="125"/>
    <x v="0"/>
    <x v="1"/>
    <x v="0"/>
    <x v="0"/>
    <x v="1"/>
    <x v="0"/>
    <x v="0"/>
    <x v="0"/>
    <x v="0"/>
    <m/>
    <x v="0"/>
    <n v="0.6925"/>
    <n v="0.58355682769424211"/>
    <x v="1"/>
    <n v="3.9375"/>
  </r>
  <r>
    <n v="2721"/>
    <s v="1"/>
    <x v="4"/>
    <n v="40"/>
    <x v="0"/>
    <x v="10"/>
    <x v="0"/>
    <x v="0"/>
    <x v="0"/>
    <x v="0"/>
    <x v="0"/>
    <x v="0"/>
    <x v="0"/>
    <m/>
    <x v="0"/>
    <n v="0.94833333333333336"/>
    <n v="0.75200968977182914"/>
    <x v="0"/>
    <n v="1.26"/>
  </r>
  <r>
    <n v="2721"/>
    <s v="2"/>
    <x v="4"/>
    <n v="40"/>
    <x v="0"/>
    <x v="10"/>
    <x v="0"/>
    <x v="0"/>
    <x v="0"/>
    <x v="0"/>
    <x v="0"/>
    <x v="0"/>
    <x v="0"/>
    <m/>
    <x v="0"/>
    <n v="0.95666666666666667"/>
    <n v="0.75931341114160233"/>
    <x v="0"/>
    <n v="1.26"/>
  </r>
  <r>
    <n v="2721"/>
    <s v="3"/>
    <x v="4"/>
    <n v="65"/>
    <x v="0"/>
    <x v="1"/>
    <x v="0"/>
    <x v="0"/>
    <x v="1"/>
    <x v="0"/>
    <x v="0"/>
    <x v="0"/>
    <x v="0"/>
    <m/>
    <x v="0"/>
    <n v="0.95"/>
    <n v="0.75227089628322197"/>
    <x v="0"/>
    <n v="2.0474999999999999"/>
  </r>
  <r>
    <n v="2721"/>
    <s v="4"/>
    <x v="4"/>
    <n v="65"/>
    <x v="0"/>
    <x v="1"/>
    <x v="0"/>
    <x v="0"/>
    <x v="1"/>
    <x v="0"/>
    <x v="0"/>
    <x v="0"/>
    <x v="0"/>
    <m/>
    <x v="0"/>
    <n v="0.57750000000000001"/>
    <n v="0.78617025046895606"/>
    <x v="0"/>
    <n v="2.0474999999999999"/>
  </r>
  <r>
    <n v="2721"/>
    <s v="5"/>
    <x v="4"/>
    <n v="570.9"/>
    <x v="0"/>
    <x v="1"/>
    <x v="1"/>
    <x v="7"/>
    <x v="1"/>
    <x v="0"/>
    <x v="0"/>
    <x v="0"/>
    <x v="0"/>
    <m/>
    <x v="0"/>
    <n v="0.9425"/>
    <n v="0.75235828251014147"/>
    <x v="0"/>
    <n v="17.983349999999998"/>
  </r>
  <r>
    <n v="2723"/>
    <s v="1"/>
    <x v="4"/>
    <n v="70"/>
    <x v="0"/>
    <x v="10"/>
    <x v="0"/>
    <x v="0"/>
    <x v="0"/>
    <x v="0"/>
    <x v="0"/>
    <x v="0"/>
    <x v="0"/>
    <m/>
    <x v="0"/>
    <n v="0.7091666666666665"/>
    <n v="0.54928154131011742"/>
    <x v="1"/>
    <n v="2.2050000000000001"/>
  </r>
  <r>
    <n v="2723"/>
    <s v="2"/>
    <x v="4"/>
    <n v="70"/>
    <x v="0"/>
    <x v="10"/>
    <x v="0"/>
    <x v="0"/>
    <x v="0"/>
    <x v="0"/>
    <x v="0"/>
    <x v="0"/>
    <x v="0"/>
    <m/>
    <x v="0"/>
    <n v="0.70833333333333315"/>
    <n v="0.54860628312807147"/>
    <x v="1"/>
    <n v="2.2050000000000001"/>
  </r>
  <r>
    <n v="2723"/>
    <s v="3"/>
    <x v="4"/>
    <n v="150"/>
    <x v="0"/>
    <x v="1"/>
    <x v="0"/>
    <x v="0"/>
    <x v="1"/>
    <x v="0"/>
    <x v="0"/>
    <x v="0"/>
    <x v="0"/>
    <m/>
    <x v="0"/>
    <n v="0.65166666666666651"/>
    <n v="0.55165005902355302"/>
    <x v="1"/>
    <n v="4.7249999999999996"/>
  </r>
  <r>
    <n v="2727"/>
    <s v="1"/>
    <x v="4"/>
    <n v="350"/>
    <x v="0"/>
    <x v="1"/>
    <x v="1"/>
    <x v="0"/>
    <x v="1"/>
    <x v="0"/>
    <x v="0"/>
    <x v="0"/>
    <x v="0"/>
    <m/>
    <x v="0"/>
    <n v="0.80833333333333324"/>
    <n v="0.64596131600391149"/>
    <x v="0"/>
    <n v="11.025"/>
  </r>
  <r>
    <n v="2727"/>
    <s v="2"/>
    <x v="4"/>
    <n v="350"/>
    <x v="0"/>
    <x v="1"/>
    <x v="1"/>
    <x v="0"/>
    <x v="1"/>
    <x v="0"/>
    <x v="0"/>
    <x v="0"/>
    <x v="0"/>
    <m/>
    <x v="0"/>
    <n v="0.81166666666666654"/>
    <n v="0.6491221603175239"/>
    <x v="0"/>
    <n v="11.025"/>
  </r>
  <r>
    <n v="2727"/>
    <s v="3"/>
    <x v="4"/>
    <n v="648"/>
    <x v="0"/>
    <x v="1"/>
    <x v="1"/>
    <x v="5"/>
    <x v="1"/>
    <x v="0"/>
    <x v="0"/>
    <x v="0"/>
    <x v="0"/>
    <m/>
    <x v="0"/>
    <n v="0.80333333333333334"/>
    <n v="0.64182345222911419"/>
    <x v="0"/>
    <n v="20.411999999999999"/>
  </r>
  <r>
    <n v="2727"/>
    <s v="4"/>
    <x v="4"/>
    <n v="648"/>
    <x v="0"/>
    <x v="1"/>
    <x v="1"/>
    <x v="0"/>
    <x v="1"/>
    <x v="0"/>
    <x v="0"/>
    <x v="0"/>
    <x v="0"/>
    <m/>
    <x v="0"/>
    <n v="0.81166666666666654"/>
    <n v="0.64814110118082036"/>
    <x v="0"/>
    <n v="20.411999999999999"/>
  </r>
  <r>
    <n v="2732"/>
    <s v="10"/>
    <x v="4"/>
    <n v="133"/>
    <x v="0"/>
    <x v="1"/>
    <x v="1"/>
    <x v="7"/>
    <x v="1"/>
    <x v="0"/>
    <x v="0"/>
    <x v="0"/>
    <x v="0"/>
    <m/>
    <x v="0"/>
    <n v="0.90833333333333333"/>
    <n v="0.72933250263147753"/>
    <x v="0"/>
    <n v="4.1894999999999998"/>
  </r>
  <r>
    <n v="2732"/>
    <s v="7"/>
    <x v="4"/>
    <n v="100"/>
    <x v="0"/>
    <x v="1"/>
    <x v="1"/>
    <x v="7"/>
    <x v="1"/>
    <x v="0"/>
    <x v="0"/>
    <x v="0"/>
    <x v="0"/>
    <m/>
    <x v="0"/>
    <n v="0.82833333333333348"/>
    <n v="0.72457226407493069"/>
    <x v="0"/>
    <n v="3.15"/>
  </r>
  <r>
    <n v="2732"/>
    <s v="8"/>
    <x v="4"/>
    <n v="100"/>
    <x v="0"/>
    <x v="1"/>
    <x v="1"/>
    <x v="7"/>
    <x v="1"/>
    <x v="0"/>
    <x v="0"/>
    <x v="0"/>
    <x v="0"/>
    <m/>
    <x v="0"/>
    <n v="0.73333333333333339"/>
    <n v="0.70631553376821277"/>
    <x v="0"/>
    <n v="3.15"/>
  </r>
  <r>
    <n v="2732"/>
    <s v="9"/>
    <x v="4"/>
    <n v="133"/>
    <x v="0"/>
    <x v="1"/>
    <x v="1"/>
    <x v="7"/>
    <x v="1"/>
    <x v="0"/>
    <x v="0"/>
    <x v="0"/>
    <x v="0"/>
    <m/>
    <x v="0"/>
    <n v="0.88583333333333336"/>
    <n v="0.71257782394947211"/>
    <x v="0"/>
    <n v="4.1894999999999998"/>
  </r>
  <r>
    <n v="2790"/>
    <s v="B1"/>
    <x v="2"/>
    <n v="40"/>
    <x v="2"/>
    <x v="0"/>
    <x v="0"/>
    <x v="0"/>
    <x v="0"/>
    <x v="0"/>
    <x v="0"/>
    <x v="0"/>
    <x v="0"/>
    <m/>
    <x v="0"/>
    <n v="0.66666666666666663"/>
    <n v="0.94847684815025823"/>
    <x v="0"/>
    <n v="1.26"/>
  </r>
  <r>
    <n v="2790"/>
    <s v="B2"/>
    <x v="2"/>
    <n v="75"/>
    <x v="2"/>
    <x v="0"/>
    <x v="0"/>
    <x v="0"/>
    <x v="0"/>
    <x v="0"/>
    <x v="0"/>
    <x v="0"/>
    <x v="0"/>
    <m/>
    <x v="0"/>
    <n v="0.50083333333333335"/>
    <n v="0.94730957964124152"/>
    <x v="0"/>
    <n v="2.3624999999999998"/>
  </r>
  <r>
    <n v="2817"/>
    <s v="1"/>
    <x v="2"/>
    <n v="216"/>
    <x v="2"/>
    <x v="1"/>
    <x v="1"/>
    <x v="0"/>
    <x v="1"/>
    <x v="0"/>
    <x v="0"/>
    <x v="0"/>
    <x v="0"/>
    <m/>
    <x v="0"/>
    <n v="0.68333333333333324"/>
    <n v="1.0295894745238459"/>
    <x v="0"/>
    <n v="6.8040000000000003"/>
  </r>
  <r>
    <n v="2817"/>
    <s v="2"/>
    <x v="2"/>
    <n v="440"/>
    <x v="2"/>
    <x v="0"/>
    <x v="0"/>
    <x v="0"/>
    <x v="0"/>
    <x v="0"/>
    <x v="0"/>
    <x v="0"/>
    <x v="0"/>
    <m/>
    <x v="0"/>
    <n v="0.63583333333333325"/>
    <n v="1.0302395848104775"/>
    <x v="0"/>
    <n v="13.86"/>
  </r>
  <r>
    <n v="2823"/>
    <s v="B1"/>
    <x v="2"/>
    <n v="257"/>
    <x v="2"/>
    <x v="0"/>
    <x v="0"/>
    <x v="0"/>
    <x v="0"/>
    <x v="0"/>
    <x v="0"/>
    <x v="0"/>
    <x v="0"/>
    <m/>
    <x v="0"/>
    <n v="0.83916666666666673"/>
    <n v="1.381493396850211"/>
    <x v="0"/>
    <n v="8.0954999999999995"/>
  </r>
  <r>
    <n v="2823"/>
    <s v="B2"/>
    <x v="2"/>
    <n v="477"/>
    <x v="2"/>
    <x v="0"/>
    <x v="0"/>
    <x v="0"/>
    <x v="0"/>
    <x v="0"/>
    <x v="0"/>
    <x v="1"/>
    <x v="0"/>
    <s v="FGD2"/>
    <x v="1"/>
    <n v="0.9"/>
    <n v="1.3531462038049293"/>
    <x v="0"/>
    <n v="15.025500000000001"/>
  </r>
  <r>
    <n v="2824"/>
    <s v="1"/>
    <x v="2"/>
    <n v="119"/>
    <x v="2"/>
    <x v="0"/>
    <x v="0"/>
    <x v="0"/>
    <x v="0"/>
    <x v="0"/>
    <x v="0"/>
    <x v="0"/>
    <x v="0"/>
    <m/>
    <x v="0"/>
    <n v="0.64500000000000002"/>
    <n v="0.96989352355801828"/>
    <x v="0"/>
    <n v="3.7484999999999999"/>
  </r>
  <r>
    <n v="2824"/>
    <s v="10"/>
    <x v="2"/>
    <n v="53"/>
    <x v="2"/>
    <x v="2"/>
    <x v="0"/>
    <x v="0"/>
    <x v="0"/>
    <x v="0"/>
    <x v="0"/>
    <x v="3"/>
    <x v="0"/>
    <s v="10"/>
    <x v="1"/>
    <n v="0.64416666666666667"/>
    <n v="0.96865694048436746"/>
    <x v="0"/>
    <n v="1.6695"/>
  </r>
  <r>
    <n v="2828"/>
    <s v="1"/>
    <x v="5"/>
    <n v="615.23"/>
    <x v="0"/>
    <x v="1"/>
    <x v="0"/>
    <x v="0"/>
    <x v="1"/>
    <x v="0"/>
    <x v="0"/>
    <x v="0"/>
    <x v="0"/>
    <m/>
    <x v="0"/>
    <n v="2.2583333333333333"/>
    <n v="1.8627860980373745"/>
    <x v="2"/>
    <n v="19.379745"/>
  </r>
  <r>
    <n v="2828"/>
    <s v="2"/>
    <x v="5"/>
    <n v="615.23"/>
    <x v="0"/>
    <x v="1"/>
    <x v="0"/>
    <x v="0"/>
    <x v="1"/>
    <x v="0"/>
    <x v="0"/>
    <x v="0"/>
    <x v="0"/>
    <m/>
    <x v="0"/>
    <n v="1.4416666666666667"/>
    <n v="1.1909384145728763"/>
    <x v="0"/>
    <n v="19.379745"/>
  </r>
  <r>
    <n v="2828"/>
    <s v="3"/>
    <x v="5"/>
    <n v="650"/>
    <x v="0"/>
    <x v="1"/>
    <x v="0"/>
    <x v="0"/>
    <x v="1"/>
    <x v="0"/>
    <x v="0"/>
    <x v="0"/>
    <x v="0"/>
    <m/>
    <x v="0"/>
    <n v="0.7416666666666667"/>
    <n v="0.61450540188569569"/>
    <x v="0"/>
    <n v="20.475000000000001"/>
  </r>
  <r>
    <n v="2830"/>
    <s v="1"/>
    <x v="5"/>
    <n v="115"/>
    <x v="0"/>
    <x v="0"/>
    <x v="0"/>
    <x v="0"/>
    <x v="0"/>
    <x v="0"/>
    <x v="0"/>
    <x v="0"/>
    <x v="0"/>
    <m/>
    <x v="0"/>
    <n v="1.0125"/>
    <n v="0.85893579282998045"/>
    <x v="0"/>
    <n v="3.6225000000000001"/>
  </r>
  <r>
    <n v="2830"/>
    <s v="2"/>
    <x v="5"/>
    <n v="112.5"/>
    <x v="0"/>
    <x v="0"/>
    <x v="0"/>
    <x v="0"/>
    <x v="0"/>
    <x v="0"/>
    <x v="0"/>
    <x v="0"/>
    <x v="0"/>
    <m/>
    <x v="0"/>
    <n v="1.0049999999999999"/>
    <n v="0.8498058365786969"/>
    <x v="0"/>
    <n v="3.5437500000000002"/>
  </r>
  <r>
    <n v="2830"/>
    <s v="3"/>
    <x v="5"/>
    <n v="125"/>
    <x v="0"/>
    <x v="0"/>
    <x v="0"/>
    <x v="0"/>
    <x v="0"/>
    <x v="0"/>
    <x v="0"/>
    <x v="0"/>
    <x v="0"/>
    <m/>
    <x v="0"/>
    <n v="0.98083333333333333"/>
    <n v="0.82770716013644641"/>
    <x v="0"/>
    <n v="3.9375"/>
  </r>
  <r>
    <n v="2830"/>
    <s v="4"/>
    <x v="5"/>
    <n v="163.19999999999999"/>
    <x v="0"/>
    <x v="0"/>
    <x v="0"/>
    <x v="0"/>
    <x v="0"/>
    <x v="0"/>
    <x v="0"/>
    <x v="0"/>
    <x v="0"/>
    <m/>
    <x v="0"/>
    <n v="0.98"/>
    <n v="0.82885271305381003"/>
    <x v="0"/>
    <n v="5.1407999999999996"/>
  </r>
  <r>
    <n v="2830"/>
    <s v="5"/>
    <x v="5"/>
    <n v="244.8"/>
    <x v="0"/>
    <x v="0"/>
    <x v="0"/>
    <x v="0"/>
    <x v="0"/>
    <x v="0"/>
    <x v="0"/>
    <x v="0"/>
    <x v="0"/>
    <m/>
    <x v="0"/>
    <n v="1.4841666666666662"/>
    <n v="1.2398966392494433"/>
    <x v="0"/>
    <n v="7.7112000000000007"/>
  </r>
  <r>
    <n v="2830"/>
    <s v="6"/>
    <x v="5"/>
    <n v="460.8"/>
    <x v="0"/>
    <x v="0"/>
    <x v="0"/>
    <x v="0"/>
    <x v="0"/>
    <x v="0"/>
    <x v="0"/>
    <x v="0"/>
    <x v="0"/>
    <m/>
    <x v="0"/>
    <n v="1.345"/>
    <n v="1.1239920965712491"/>
    <x v="0"/>
    <n v="14.5152"/>
  </r>
  <r>
    <n v="2832"/>
    <s v="5-1"/>
    <x v="5"/>
    <n v="50"/>
    <x v="0"/>
    <x v="0"/>
    <x v="0"/>
    <x v="0"/>
    <x v="0"/>
    <x v="0"/>
    <x v="0"/>
    <x v="0"/>
    <x v="0"/>
    <m/>
    <x v="0"/>
    <n v="1.8491666666666668"/>
    <n v="1.5153534254269596"/>
    <x v="0"/>
    <n v="1.575"/>
  </r>
  <r>
    <n v="2832"/>
    <s v="5-2"/>
    <x v="5"/>
    <n v="50"/>
    <x v="0"/>
    <x v="0"/>
    <x v="0"/>
    <x v="0"/>
    <x v="0"/>
    <x v="0"/>
    <x v="0"/>
    <x v="0"/>
    <x v="0"/>
    <m/>
    <x v="0"/>
    <n v="1.8491666666666668"/>
    <n v="1.5153534254269596"/>
    <x v="0"/>
    <n v="1.575"/>
  </r>
  <r>
    <n v="2832"/>
    <s v="6"/>
    <x v="5"/>
    <n v="163.19999999999999"/>
    <x v="0"/>
    <x v="0"/>
    <x v="0"/>
    <x v="0"/>
    <x v="0"/>
    <x v="0"/>
    <x v="0"/>
    <x v="0"/>
    <x v="0"/>
    <m/>
    <x v="0"/>
    <n v="1.6108333333333336"/>
    <n v="1.3431807694748008"/>
    <x v="0"/>
    <n v="5.1407999999999996"/>
  </r>
  <r>
    <n v="2832"/>
    <s v="7"/>
    <x v="5"/>
    <n v="557.1"/>
    <x v="0"/>
    <x v="0"/>
    <x v="0"/>
    <x v="0"/>
    <x v="0"/>
    <x v="0"/>
    <x v="0"/>
    <x v="0"/>
    <x v="0"/>
    <m/>
    <x v="0"/>
    <n v="1.4383333333333335"/>
    <n v="1.2134118220744035"/>
    <x v="0"/>
    <n v="17.548650000000002"/>
  </r>
  <r>
    <n v="2832"/>
    <s v="8"/>
    <x v="5"/>
    <n v="557.65"/>
    <x v="0"/>
    <x v="1"/>
    <x v="0"/>
    <x v="0"/>
    <x v="1"/>
    <x v="0"/>
    <x v="0"/>
    <x v="0"/>
    <x v="0"/>
    <m/>
    <x v="0"/>
    <n v="0.76333333333333331"/>
    <n v="0.6286122577877179"/>
    <x v="0"/>
    <n v="17.565974999999998"/>
  </r>
  <r>
    <n v="2835"/>
    <s v="10"/>
    <x v="5"/>
    <n v="61"/>
    <x v="0"/>
    <x v="0"/>
    <x v="0"/>
    <x v="0"/>
    <x v="0"/>
    <x v="0"/>
    <x v="0"/>
    <x v="0"/>
    <x v="0"/>
    <m/>
    <x v="0"/>
    <n v="2.3383333333333334"/>
    <n v="2.2469390332956256"/>
    <x v="2"/>
    <n v="1.9215"/>
  </r>
  <r>
    <n v="2835"/>
    <s v="11"/>
    <x v="5"/>
    <n v="61"/>
    <x v="0"/>
    <x v="0"/>
    <x v="0"/>
    <x v="0"/>
    <x v="0"/>
    <x v="0"/>
    <x v="0"/>
    <x v="0"/>
    <x v="0"/>
    <m/>
    <x v="0"/>
    <n v="2.3383333333333334"/>
    <n v="2.2469390332956256"/>
    <x v="2"/>
    <n v="1.9215"/>
  </r>
  <r>
    <n v="2835"/>
    <s v="7"/>
    <x v="5"/>
    <n v="256"/>
    <x v="0"/>
    <x v="1"/>
    <x v="1"/>
    <x v="0"/>
    <x v="1"/>
    <x v="0"/>
    <x v="0"/>
    <x v="0"/>
    <x v="0"/>
    <m/>
    <x v="0"/>
    <n v="0.28000000000000003"/>
    <n v="0.31504864267358051"/>
    <x v="1"/>
    <n v="8.0640000000000001"/>
  </r>
  <r>
    <n v="2835"/>
    <s v="8"/>
    <x v="5"/>
    <n v="61"/>
    <x v="0"/>
    <x v="0"/>
    <x v="0"/>
    <x v="0"/>
    <x v="0"/>
    <x v="0"/>
    <x v="0"/>
    <x v="0"/>
    <x v="0"/>
    <m/>
    <x v="0"/>
    <n v="2.3358333333333334"/>
    <n v="2.2445365346970827"/>
    <x v="2"/>
    <n v="1.9215"/>
  </r>
  <r>
    <n v="2836"/>
    <s v="10"/>
    <x v="5"/>
    <n v="86"/>
    <x v="0"/>
    <x v="0"/>
    <x v="0"/>
    <x v="0"/>
    <x v="0"/>
    <x v="0"/>
    <x v="0"/>
    <x v="0"/>
    <x v="0"/>
    <m/>
    <x v="0"/>
    <n v="0.71083333333333332"/>
    <n v="0.55031412602410834"/>
    <x v="1"/>
    <n v="2.7090000000000001"/>
  </r>
  <r>
    <n v="2836"/>
    <s v="12"/>
    <x v="5"/>
    <n v="680"/>
    <x v="0"/>
    <x v="0"/>
    <x v="0"/>
    <x v="0"/>
    <x v="0"/>
    <x v="0"/>
    <x v="0"/>
    <x v="0"/>
    <x v="0"/>
    <m/>
    <x v="0"/>
    <n v="0.70416666666666661"/>
    <n v="0.54512325364027969"/>
    <x v="1"/>
    <n v="21.42"/>
  </r>
  <r>
    <n v="2837"/>
    <s v="1"/>
    <x v="5"/>
    <n v="123"/>
    <x v="0"/>
    <x v="1"/>
    <x v="1"/>
    <x v="0"/>
    <x v="1"/>
    <x v="0"/>
    <x v="0"/>
    <x v="0"/>
    <x v="0"/>
    <m/>
    <x v="0"/>
    <n v="0.6283333333333333"/>
    <n v="0.61653589834026745"/>
    <x v="0"/>
    <n v="3.8744999999999998"/>
  </r>
  <r>
    <n v="2837"/>
    <s v="2"/>
    <x v="5"/>
    <n v="123"/>
    <x v="0"/>
    <x v="1"/>
    <x v="1"/>
    <x v="0"/>
    <x v="1"/>
    <x v="0"/>
    <x v="0"/>
    <x v="0"/>
    <x v="0"/>
    <m/>
    <x v="0"/>
    <n v="1.0791666666666666"/>
    <n v="0.90315401341351897"/>
    <x v="0"/>
    <n v="3.8744999999999998"/>
  </r>
  <r>
    <n v="2837"/>
    <s v="3"/>
    <x v="5"/>
    <n v="123"/>
    <x v="0"/>
    <x v="1"/>
    <x v="7"/>
    <x v="3"/>
    <x v="1"/>
    <x v="0"/>
    <x v="1"/>
    <x v="0"/>
    <x v="0"/>
    <m/>
    <x v="0"/>
    <n v="0.980833333333333"/>
    <n v="0.86263228643483314"/>
    <x v="0"/>
    <n v="3.8744999999999998"/>
  </r>
  <r>
    <n v="2837"/>
    <s v="4"/>
    <x v="5"/>
    <n v="208"/>
    <x v="0"/>
    <x v="1"/>
    <x v="1"/>
    <x v="0"/>
    <x v="1"/>
    <x v="0"/>
    <x v="0"/>
    <x v="0"/>
    <x v="0"/>
    <m/>
    <x v="0"/>
    <n v="0.80166666666666675"/>
    <n v="0.79014454810435242"/>
    <x v="0"/>
    <n v="6.5519999999999996"/>
  </r>
  <r>
    <n v="2837"/>
    <s v="5"/>
    <x v="5"/>
    <n v="680"/>
    <x v="0"/>
    <x v="0"/>
    <x v="0"/>
    <x v="0"/>
    <x v="0"/>
    <x v="0"/>
    <x v="0"/>
    <x v="0"/>
    <x v="0"/>
    <m/>
    <x v="0"/>
    <n v="1.6983333333333333"/>
    <n v="1.4426947170916049"/>
    <x v="0"/>
    <n v="21.42"/>
  </r>
  <r>
    <n v="2838"/>
    <s v="18"/>
    <x v="5"/>
    <n v="256"/>
    <x v="0"/>
    <x v="0"/>
    <x v="0"/>
    <x v="0"/>
    <x v="0"/>
    <x v="0"/>
    <x v="0"/>
    <x v="0"/>
    <x v="0"/>
    <m/>
    <x v="0"/>
    <n v="0.25083333333333341"/>
    <n v="0.29818886955962082"/>
    <x v="1"/>
    <n v="8.0640000000000001"/>
  </r>
  <r>
    <n v="2840"/>
    <s v="1"/>
    <x v="5"/>
    <n v="148"/>
    <x v="0"/>
    <x v="0"/>
    <x v="0"/>
    <x v="0"/>
    <x v="0"/>
    <x v="0"/>
    <x v="0"/>
    <x v="0"/>
    <x v="0"/>
    <m/>
    <x v="0"/>
    <n v="2.7166666666666668"/>
    <n v="2.2230466768380488"/>
    <x v="2"/>
    <n v="4.6619999999999999"/>
  </r>
  <r>
    <n v="2840"/>
    <s v="2"/>
    <x v="5"/>
    <n v="136"/>
    <x v="0"/>
    <x v="0"/>
    <x v="0"/>
    <x v="0"/>
    <x v="0"/>
    <x v="0"/>
    <x v="0"/>
    <x v="0"/>
    <x v="0"/>
    <m/>
    <x v="0"/>
    <n v="2.4833333333333329"/>
    <n v="2.2171079994556542"/>
    <x v="2"/>
    <n v="4.2839999999999998"/>
  </r>
  <r>
    <n v="2840"/>
    <s v="3"/>
    <x v="5"/>
    <n v="161.5"/>
    <x v="0"/>
    <x v="1"/>
    <x v="0"/>
    <x v="0"/>
    <x v="1"/>
    <x v="0"/>
    <x v="0"/>
    <x v="0"/>
    <x v="0"/>
    <m/>
    <x v="0"/>
    <n v="2.7166666666666668"/>
    <n v="2.2227657222254797"/>
    <x v="2"/>
    <n v="5.08725"/>
  </r>
  <r>
    <n v="2840"/>
    <s v="4"/>
    <x v="5"/>
    <n v="841.5"/>
    <x v="0"/>
    <x v="6"/>
    <x v="0"/>
    <x v="0"/>
    <x v="0"/>
    <x v="0"/>
    <x v="0"/>
    <x v="0"/>
    <x v="0"/>
    <m/>
    <x v="0"/>
    <n v="2.2999999999999998"/>
    <n v="1.914329435032486"/>
    <x v="2"/>
    <n v="26.507249999999999"/>
  </r>
  <r>
    <n v="2840"/>
    <s v="5"/>
    <x v="5"/>
    <n v="443.95"/>
    <x v="0"/>
    <x v="2"/>
    <x v="0"/>
    <x v="0"/>
    <x v="0"/>
    <x v="0"/>
    <x v="0"/>
    <x v="1"/>
    <x v="0"/>
    <s v="5"/>
    <x v="1"/>
    <n v="2.7666666666666671"/>
    <n v="2.3451682696359706"/>
    <x v="2"/>
    <n v="13.984425"/>
  </r>
  <r>
    <n v="2840"/>
    <s v="6"/>
    <x v="5"/>
    <n v="443.95"/>
    <x v="0"/>
    <x v="2"/>
    <x v="0"/>
    <x v="0"/>
    <x v="0"/>
    <x v="0"/>
    <x v="0"/>
    <x v="1"/>
    <x v="0"/>
    <s v="6"/>
    <x v="1"/>
    <n v="2.7250000000000001"/>
    <n v="2.3022622238510198"/>
    <x v="2"/>
    <n v="13.984425"/>
  </r>
  <r>
    <n v="2843"/>
    <s v="9"/>
    <x v="5"/>
    <n v="106.25"/>
    <x v="0"/>
    <x v="1"/>
    <x v="0"/>
    <x v="0"/>
    <x v="1"/>
    <x v="0"/>
    <x v="0"/>
    <x v="0"/>
    <x v="0"/>
    <m/>
    <x v="0"/>
    <n v="2.5833333333333335"/>
    <n v="2.2677922039166529"/>
    <x v="2"/>
    <n v="3.3468749999999998"/>
  </r>
  <r>
    <n v="2848"/>
    <s v="H-1"/>
    <x v="5"/>
    <n v="69"/>
    <x v="0"/>
    <x v="0"/>
    <x v="0"/>
    <x v="0"/>
    <x v="0"/>
    <x v="0"/>
    <x v="0"/>
    <x v="0"/>
    <x v="0"/>
    <m/>
    <x v="0"/>
    <n v="0.66666666666666663"/>
    <n v="0.64152242076070121"/>
    <x v="0"/>
    <n v="2.1735000000000002"/>
  </r>
  <r>
    <n v="2848"/>
    <s v="H-2"/>
    <x v="5"/>
    <n v="69"/>
    <x v="0"/>
    <x v="0"/>
    <x v="0"/>
    <x v="0"/>
    <x v="0"/>
    <x v="0"/>
    <x v="0"/>
    <x v="0"/>
    <x v="0"/>
    <m/>
    <x v="0"/>
    <n v="0.66666666666666663"/>
    <n v="0.64152242076070121"/>
    <x v="0"/>
    <n v="2.1735000000000002"/>
  </r>
  <r>
    <n v="2848"/>
    <s v="H-3"/>
    <x v="5"/>
    <n v="69"/>
    <x v="0"/>
    <x v="0"/>
    <x v="0"/>
    <x v="0"/>
    <x v="0"/>
    <x v="0"/>
    <x v="0"/>
    <x v="0"/>
    <x v="0"/>
    <m/>
    <x v="0"/>
    <n v="0.74166666666666659"/>
    <n v="0.64920057273170295"/>
    <x v="0"/>
    <n v="2.1735000000000002"/>
  </r>
  <r>
    <n v="2848"/>
    <s v="H-4"/>
    <x v="5"/>
    <n v="69"/>
    <x v="0"/>
    <x v="0"/>
    <x v="0"/>
    <x v="0"/>
    <x v="0"/>
    <x v="0"/>
    <x v="0"/>
    <x v="0"/>
    <x v="0"/>
    <m/>
    <x v="0"/>
    <n v="0.72499999999999998"/>
    <n v="0.63310915986052441"/>
    <x v="0"/>
    <n v="2.1735000000000002"/>
  </r>
  <r>
    <n v="2848"/>
    <s v="H-5"/>
    <x v="5"/>
    <n v="69"/>
    <x v="0"/>
    <x v="0"/>
    <x v="0"/>
    <x v="0"/>
    <x v="0"/>
    <x v="0"/>
    <x v="0"/>
    <x v="0"/>
    <x v="0"/>
    <m/>
    <x v="0"/>
    <n v="0.66666666666666663"/>
    <n v="0.64152242076070121"/>
    <x v="0"/>
    <n v="2.1735000000000002"/>
  </r>
  <r>
    <n v="2848"/>
    <s v="H-6"/>
    <x v="5"/>
    <n v="69"/>
    <x v="0"/>
    <x v="0"/>
    <x v="0"/>
    <x v="0"/>
    <x v="0"/>
    <x v="0"/>
    <x v="0"/>
    <x v="0"/>
    <x v="0"/>
    <m/>
    <x v="0"/>
    <n v="0.74166666666666659"/>
    <n v="0.64920057273170295"/>
    <x v="0"/>
    <n v="2.1735000000000002"/>
  </r>
  <r>
    <n v="2850"/>
    <s v="1"/>
    <x v="5"/>
    <n v="610.20000000000005"/>
    <x v="0"/>
    <x v="0"/>
    <x v="0"/>
    <x v="0"/>
    <x v="0"/>
    <x v="0"/>
    <x v="0"/>
    <x v="0"/>
    <x v="0"/>
    <m/>
    <x v="0"/>
    <n v="0.85"/>
    <n v="0.7439530721171761"/>
    <x v="0"/>
    <n v="19.221300000000003"/>
  </r>
  <r>
    <n v="2850"/>
    <s v="2"/>
    <x v="5"/>
    <n v="610.20000000000005"/>
    <x v="0"/>
    <x v="0"/>
    <x v="0"/>
    <x v="0"/>
    <x v="0"/>
    <x v="0"/>
    <x v="0"/>
    <x v="0"/>
    <x v="0"/>
    <m/>
    <x v="0"/>
    <n v="0.85"/>
    <n v="0.7439530721171761"/>
    <x v="0"/>
    <n v="19.221300000000003"/>
  </r>
  <r>
    <n v="2850"/>
    <s v="3"/>
    <x v="5"/>
    <n v="610.20000000000005"/>
    <x v="0"/>
    <x v="0"/>
    <x v="0"/>
    <x v="0"/>
    <x v="0"/>
    <x v="0"/>
    <x v="0"/>
    <x v="0"/>
    <x v="0"/>
    <m/>
    <x v="0"/>
    <n v="0.77666666666666651"/>
    <n v="0.74111921344743148"/>
    <x v="0"/>
    <n v="19.221300000000003"/>
  </r>
  <r>
    <n v="2850"/>
    <s v="4"/>
    <x v="5"/>
    <n v="610.20000000000005"/>
    <x v="0"/>
    <x v="1"/>
    <x v="0"/>
    <x v="0"/>
    <x v="1"/>
    <x v="0"/>
    <x v="0"/>
    <x v="0"/>
    <x v="0"/>
    <m/>
    <x v="0"/>
    <n v="0.85"/>
    <n v="0.7439530721171761"/>
    <x v="0"/>
    <n v="19.221300000000003"/>
  </r>
  <r>
    <n v="2861"/>
    <s v="1"/>
    <x v="5"/>
    <n v="132.81299999999999"/>
    <x v="0"/>
    <x v="0"/>
    <x v="0"/>
    <x v="0"/>
    <x v="0"/>
    <x v="0"/>
    <x v="0"/>
    <x v="1"/>
    <x v="0"/>
    <s v="1"/>
    <x v="1"/>
    <n v="3.0516666666666672"/>
    <n v="2.5300304454236087"/>
    <x v="2"/>
    <n v="4.1836094999999993"/>
  </r>
  <r>
    <n v="2861"/>
    <s v="2"/>
    <x v="5"/>
    <n v="132.81299999999999"/>
    <x v="0"/>
    <x v="10"/>
    <x v="0"/>
    <x v="0"/>
    <x v="0"/>
    <x v="0"/>
    <x v="0"/>
    <x v="1"/>
    <x v="0"/>
    <s v="1"/>
    <x v="1"/>
    <n v="2.79"/>
    <n v="2.5248201730983024"/>
    <x v="2"/>
    <n v="4.1836094999999993"/>
  </r>
  <r>
    <n v="2864"/>
    <s v="5"/>
    <x v="5"/>
    <n v="52"/>
    <x v="0"/>
    <x v="0"/>
    <x v="0"/>
    <x v="0"/>
    <x v="0"/>
    <x v="0"/>
    <x v="0"/>
    <x v="0"/>
    <x v="0"/>
    <m/>
    <x v="0"/>
    <n v="2.1641666666666666"/>
    <n v="3.1106544871738615"/>
    <x v="2"/>
    <n v="1.6379999999999999"/>
  </r>
  <r>
    <n v="2864"/>
    <s v="6"/>
    <x v="5"/>
    <n v="52"/>
    <x v="0"/>
    <x v="0"/>
    <x v="0"/>
    <x v="0"/>
    <x v="0"/>
    <x v="0"/>
    <x v="0"/>
    <x v="0"/>
    <x v="0"/>
    <m/>
    <x v="0"/>
    <n v="2.1641666666666666"/>
    <n v="3.1106544871738615"/>
    <x v="2"/>
    <n v="1.6379999999999999"/>
  </r>
  <r>
    <n v="2864"/>
    <s v="7"/>
    <x v="5"/>
    <n v="156.25"/>
    <x v="0"/>
    <x v="0"/>
    <x v="0"/>
    <x v="0"/>
    <x v="0"/>
    <x v="0"/>
    <x v="0"/>
    <x v="0"/>
    <x v="0"/>
    <m/>
    <x v="0"/>
    <n v="3.08"/>
    <n v="2.6367705119367097"/>
    <x v="2"/>
    <n v="4.921875"/>
  </r>
  <r>
    <n v="2864"/>
    <s v="8"/>
    <x v="5"/>
    <n v="156.25"/>
    <x v="0"/>
    <x v="0"/>
    <x v="0"/>
    <x v="0"/>
    <x v="0"/>
    <x v="0"/>
    <x v="0"/>
    <x v="0"/>
    <x v="0"/>
    <m/>
    <x v="0"/>
    <n v="3.1133333333333333"/>
    <n v="2.6442720655867409"/>
    <x v="2"/>
    <n v="4.921875"/>
  </r>
  <r>
    <n v="2866"/>
    <s v="1"/>
    <x v="5"/>
    <n v="190.4"/>
    <x v="0"/>
    <x v="1"/>
    <x v="0"/>
    <x v="0"/>
    <x v="1"/>
    <x v="0"/>
    <x v="0"/>
    <x v="0"/>
    <x v="0"/>
    <m/>
    <x v="0"/>
    <n v="1.1666666666666667"/>
    <n v="0.99595530914617048"/>
    <x v="0"/>
    <n v="5.9976000000000003"/>
  </r>
  <r>
    <n v="2866"/>
    <s v="2"/>
    <x v="5"/>
    <n v="190.4"/>
    <x v="0"/>
    <x v="1"/>
    <x v="7"/>
    <x v="0"/>
    <x v="1"/>
    <x v="0"/>
    <x v="1"/>
    <x v="0"/>
    <x v="0"/>
    <m/>
    <x v="0"/>
    <n v="1.1666666666666667"/>
    <n v="1.0012339123459486"/>
    <x v="0"/>
    <n v="5.9976000000000003"/>
  </r>
  <r>
    <n v="2866"/>
    <s v="3"/>
    <x v="5"/>
    <n v="190.4"/>
    <x v="0"/>
    <x v="0"/>
    <x v="0"/>
    <x v="0"/>
    <x v="0"/>
    <x v="0"/>
    <x v="0"/>
    <x v="0"/>
    <x v="0"/>
    <m/>
    <x v="0"/>
    <n v="1.1666666666666667"/>
    <n v="1.0003596067501768"/>
    <x v="0"/>
    <n v="5.9976000000000003"/>
  </r>
  <r>
    <n v="2866"/>
    <s v="4"/>
    <x v="5"/>
    <n v="190.4"/>
    <x v="0"/>
    <x v="1"/>
    <x v="1"/>
    <x v="0"/>
    <x v="1"/>
    <x v="0"/>
    <x v="0"/>
    <x v="0"/>
    <x v="0"/>
    <m/>
    <x v="0"/>
    <n v="1.1666666666666667"/>
    <n v="0.99802027823786099"/>
    <x v="0"/>
    <n v="5.9976000000000003"/>
  </r>
  <r>
    <n v="2866"/>
    <s v="5"/>
    <x v="5"/>
    <n v="334.05"/>
    <x v="0"/>
    <x v="1"/>
    <x v="0"/>
    <x v="0"/>
    <x v="1"/>
    <x v="0"/>
    <x v="0"/>
    <x v="0"/>
    <x v="0"/>
    <m/>
    <x v="0"/>
    <n v="1.1666666666666667"/>
    <n v="0.97352497941967109"/>
    <x v="0"/>
    <n v="10.522575"/>
  </r>
  <r>
    <n v="2866"/>
    <s v="6"/>
    <x v="5"/>
    <n v="680"/>
    <x v="0"/>
    <x v="1"/>
    <x v="1"/>
    <x v="0"/>
    <x v="1"/>
    <x v="0"/>
    <x v="0"/>
    <x v="0"/>
    <x v="0"/>
    <m/>
    <x v="0"/>
    <n v="1.075"/>
    <n v="0.97781123992694241"/>
    <x v="0"/>
    <n v="21.42"/>
  </r>
  <r>
    <n v="2866"/>
    <s v="7"/>
    <x v="5"/>
    <n v="680"/>
    <x v="0"/>
    <x v="1"/>
    <x v="1"/>
    <x v="0"/>
    <x v="1"/>
    <x v="0"/>
    <x v="0"/>
    <x v="0"/>
    <x v="0"/>
    <m/>
    <x v="0"/>
    <n v="0.85"/>
    <n v="0.9431407948268381"/>
    <x v="0"/>
    <n v="21.42"/>
  </r>
  <r>
    <n v="2872"/>
    <s v="1"/>
    <x v="5"/>
    <n v="219.68799999999999"/>
    <x v="0"/>
    <x v="2"/>
    <x v="0"/>
    <x v="0"/>
    <x v="0"/>
    <x v="0"/>
    <x v="0"/>
    <x v="0"/>
    <x v="0"/>
    <m/>
    <x v="0"/>
    <n v="3.7583333333333333"/>
    <n v="3.2729334077576175"/>
    <x v="2"/>
    <n v="6.920172"/>
  </r>
  <r>
    <n v="2872"/>
    <s v="2"/>
    <x v="5"/>
    <n v="219.68799999999999"/>
    <x v="0"/>
    <x v="2"/>
    <x v="0"/>
    <x v="0"/>
    <x v="0"/>
    <x v="0"/>
    <x v="0"/>
    <x v="0"/>
    <x v="0"/>
    <m/>
    <x v="0"/>
    <n v="3.4333333333333336"/>
    <n v="3.258877272632513"/>
    <x v="2"/>
    <n v="6.920172"/>
  </r>
  <r>
    <n v="2872"/>
    <s v="3"/>
    <x v="5"/>
    <n v="237.5"/>
    <x v="0"/>
    <x v="2"/>
    <x v="0"/>
    <x v="0"/>
    <x v="0"/>
    <x v="0"/>
    <x v="0"/>
    <x v="0"/>
    <x v="0"/>
    <m/>
    <x v="0"/>
    <n v="3.75"/>
    <n v="3.2628464190570732"/>
    <x v="2"/>
    <n v="7.4812500000000002"/>
  </r>
  <r>
    <n v="2872"/>
    <s v="4"/>
    <x v="5"/>
    <n v="237.5"/>
    <x v="0"/>
    <x v="2"/>
    <x v="0"/>
    <x v="0"/>
    <x v="0"/>
    <x v="0"/>
    <x v="0"/>
    <x v="0"/>
    <x v="0"/>
    <m/>
    <x v="0"/>
    <n v="3.75"/>
    <n v="3.2603359299676256"/>
    <x v="2"/>
    <n v="7.4812500000000002"/>
  </r>
  <r>
    <n v="2872"/>
    <s v="5"/>
    <x v="5"/>
    <n v="615.23"/>
    <x v="0"/>
    <x v="1"/>
    <x v="0"/>
    <x v="0"/>
    <x v="1"/>
    <x v="0"/>
    <x v="0"/>
    <x v="0"/>
    <x v="0"/>
    <m/>
    <x v="0"/>
    <n v="0.79166666666666663"/>
    <n v="0.64357415277153762"/>
    <x v="0"/>
    <n v="19.379745"/>
  </r>
  <r>
    <n v="2876"/>
    <s v="1"/>
    <x v="5"/>
    <n v="217.26"/>
    <x v="0"/>
    <x v="2"/>
    <x v="0"/>
    <x v="0"/>
    <x v="0"/>
    <x v="0"/>
    <x v="0"/>
    <x v="0"/>
    <x v="0"/>
    <m/>
    <x v="0"/>
    <n v="2.188333333333333"/>
    <n v="1.716461668440598"/>
    <x v="2"/>
    <n v="6.8436899999999996"/>
  </r>
  <r>
    <n v="2876"/>
    <s v="2"/>
    <x v="5"/>
    <n v="217.26"/>
    <x v="0"/>
    <x v="2"/>
    <x v="0"/>
    <x v="0"/>
    <x v="0"/>
    <x v="0"/>
    <x v="0"/>
    <x v="0"/>
    <x v="0"/>
    <m/>
    <x v="0"/>
    <n v="2.1825000000000001"/>
    <n v="1.7123156820244498"/>
    <x v="2"/>
    <n v="6.8436899999999996"/>
  </r>
  <r>
    <n v="2876"/>
    <s v="3"/>
    <x v="5"/>
    <n v="217.26"/>
    <x v="0"/>
    <x v="2"/>
    <x v="0"/>
    <x v="0"/>
    <x v="0"/>
    <x v="0"/>
    <x v="0"/>
    <x v="0"/>
    <x v="0"/>
    <m/>
    <x v="0"/>
    <n v="2.1891666666666665"/>
    <n v="1.7176270275125978"/>
    <x v="2"/>
    <n v="6.8436899999999996"/>
  </r>
  <r>
    <n v="2876"/>
    <s v="4"/>
    <x v="5"/>
    <n v="217.26"/>
    <x v="0"/>
    <x v="2"/>
    <x v="0"/>
    <x v="0"/>
    <x v="0"/>
    <x v="0"/>
    <x v="0"/>
    <x v="0"/>
    <x v="0"/>
    <m/>
    <x v="0"/>
    <n v="2.1816666666666666"/>
    <n v="1.7114797144322145"/>
    <x v="2"/>
    <n v="6.8436899999999996"/>
  </r>
  <r>
    <n v="2876"/>
    <s v="5"/>
    <x v="5"/>
    <n v="217.26"/>
    <x v="0"/>
    <x v="2"/>
    <x v="0"/>
    <x v="0"/>
    <x v="0"/>
    <x v="0"/>
    <x v="0"/>
    <x v="0"/>
    <x v="0"/>
    <m/>
    <x v="0"/>
    <n v="2.1583333333333332"/>
    <n v="1.6915046080007394"/>
    <x v="2"/>
    <n v="6.8436899999999996"/>
  </r>
  <r>
    <n v="2878"/>
    <s v="1"/>
    <x v="5"/>
    <n v="140.625"/>
    <x v="5"/>
    <x v="0"/>
    <x v="0"/>
    <x v="0"/>
    <x v="0"/>
    <x v="0"/>
    <x v="0"/>
    <x v="0"/>
    <x v="0"/>
    <m/>
    <x v="0"/>
    <n v="0.10916666666666668"/>
    <n v="0.29248987720729874"/>
    <x v="1"/>
    <n v="4.4296875"/>
  </r>
  <r>
    <n v="2878"/>
    <s v="2"/>
    <x v="5"/>
    <n v="140.625"/>
    <x v="0"/>
    <x v="0"/>
    <x v="0"/>
    <x v="0"/>
    <x v="0"/>
    <x v="0"/>
    <x v="0"/>
    <x v="0"/>
    <x v="0"/>
    <m/>
    <x v="0"/>
    <n v="0.32500000000000001"/>
    <n v="0.35051395898744842"/>
    <x v="1"/>
    <n v="4.4296875"/>
  </r>
  <r>
    <n v="2878"/>
    <s v="3"/>
    <x v="5"/>
    <n v="140.625"/>
    <x v="0"/>
    <x v="0"/>
    <x v="0"/>
    <x v="0"/>
    <x v="0"/>
    <x v="0"/>
    <x v="0"/>
    <x v="0"/>
    <x v="0"/>
    <m/>
    <x v="0"/>
    <n v="0.33166666666666661"/>
    <n v="0.35267752137940539"/>
    <x v="1"/>
    <n v="4.4296875"/>
  </r>
  <r>
    <n v="2878"/>
    <s v="4"/>
    <x v="5"/>
    <n v="217.6"/>
    <x v="0"/>
    <x v="0"/>
    <x v="0"/>
    <x v="0"/>
    <x v="0"/>
    <x v="0"/>
    <x v="0"/>
    <x v="0"/>
    <x v="0"/>
    <m/>
    <x v="0"/>
    <n v="0.27083333333333343"/>
    <n v="0.30829370262716127"/>
    <x v="1"/>
    <n v="6.8544"/>
  </r>
  <r>
    <n v="2917"/>
    <s v="8"/>
    <x v="5"/>
    <n v="26"/>
    <x v="1"/>
    <x v="0"/>
    <x v="0"/>
    <x v="0"/>
    <x v="0"/>
    <x v="0"/>
    <x v="0"/>
    <x v="0"/>
    <x v="0"/>
    <m/>
    <x v="0"/>
    <n v="0.55833333333333324"/>
    <n v="0.60563468433395107"/>
    <x v="0"/>
    <n v="0.81899999999999995"/>
  </r>
  <r>
    <n v="2917"/>
    <s v="9"/>
    <x v="5"/>
    <n v="50.6"/>
    <x v="0"/>
    <x v="1"/>
    <x v="0"/>
    <x v="0"/>
    <x v="1"/>
    <x v="0"/>
    <x v="0"/>
    <x v="0"/>
    <x v="0"/>
    <m/>
    <x v="0"/>
    <n v="0.48166666666666669"/>
    <n v="0.58629721010294089"/>
    <x v="1"/>
    <n v="1.5939000000000001"/>
  </r>
  <r>
    <n v="2952"/>
    <s v="4"/>
    <x v="1"/>
    <n v="572.4"/>
    <x v="3"/>
    <x v="2"/>
    <x v="0"/>
    <x v="0"/>
    <x v="0"/>
    <x v="0"/>
    <x v="0"/>
    <x v="0"/>
    <x v="0"/>
    <m/>
    <x v="0"/>
    <n v="0.23166666666666669"/>
    <n v="0.28896078071596087"/>
    <x v="1"/>
    <n v="18.0306"/>
  </r>
  <r>
    <n v="2952"/>
    <s v="5"/>
    <x v="1"/>
    <n v="572.4"/>
    <x v="3"/>
    <x v="2"/>
    <x v="0"/>
    <x v="0"/>
    <x v="0"/>
    <x v="0"/>
    <x v="0"/>
    <x v="0"/>
    <x v="0"/>
    <m/>
    <x v="0"/>
    <n v="0.25333333333333335"/>
    <n v="0.28964262041820227"/>
    <x v="1"/>
    <n v="18.0306"/>
  </r>
  <r>
    <n v="2952"/>
    <s v="6"/>
    <x v="1"/>
    <n v="572.4"/>
    <x v="3"/>
    <x v="2"/>
    <x v="0"/>
    <x v="0"/>
    <x v="0"/>
    <x v="0"/>
    <x v="0"/>
    <x v="0"/>
    <x v="0"/>
    <m/>
    <x v="0"/>
    <n v="0.25333333333333335"/>
    <n v="0.28964262041820227"/>
    <x v="1"/>
    <n v="18.0306"/>
  </r>
  <r>
    <n v="2963"/>
    <s v="3313"/>
    <x v="1"/>
    <n v="472.5"/>
    <x v="3"/>
    <x v="1"/>
    <x v="0"/>
    <x v="0"/>
    <x v="1"/>
    <x v="0"/>
    <x v="0"/>
    <x v="0"/>
    <x v="0"/>
    <m/>
    <x v="0"/>
    <n v="0.22666666666666668"/>
    <n v="0.25940558191006347"/>
    <x v="1"/>
    <n v="14.883749999999999"/>
  </r>
  <r>
    <n v="2963"/>
    <s v="3314"/>
    <x v="1"/>
    <n v="472.5"/>
    <x v="3"/>
    <x v="1"/>
    <x v="0"/>
    <x v="0"/>
    <x v="1"/>
    <x v="0"/>
    <x v="0"/>
    <x v="0"/>
    <x v="0"/>
    <m/>
    <x v="0"/>
    <n v="0.22750000000000001"/>
    <n v="0.26037061803024431"/>
    <x v="1"/>
    <n v="14.883749999999999"/>
  </r>
  <r>
    <n v="3098"/>
    <s v="1"/>
    <x v="7"/>
    <n v="100"/>
    <x v="0"/>
    <x v="1"/>
    <x v="0"/>
    <x v="0"/>
    <x v="1"/>
    <x v="0"/>
    <x v="0"/>
    <x v="4"/>
    <x v="0"/>
    <s v="SCRB"/>
    <x v="1"/>
    <n v="2.4449999999999998"/>
    <n v="1.8334096008905689"/>
    <x v="2"/>
    <n v="3.15"/>
  </r>
  <r>
    <n v="3098"/>
    <s v="2"/>
    <x v="7"/>
    <n v="100"/>
    <x v="0"/>
    <x v="1"/>
    <x v="0"/>
    <x v="0"/>
    <x v="1"/>
    <x v="0"/>
    <x v="0"/>
    <x v="4"/>
    <x v="0"/>
    <s v="SCRB"/>
    <x v="1"/>
    <n v="1.8016666666666665"/>
    <n v="1.8144678512544488"/>
    <x v="2"/>
    <n v="3.15"/>
  </r>
  <r>
    <n v="3098"/>
    <s v="3"/>
    <x v="7"/>
    <n v="125"/>
    <x v="0"/>
    <x v="1"/>
    <x v="0"/>
    <x v="0"/>
    <x v="1"/>
    <x v="0"/>
    <x v="0"/>
    <x v="4"/>
    <x v="0"/>
    <s v="SCRB"/>
    <x v="1"/>
    <n v="1.4125000000000001"/>
    <n v="1.7913802509723402"/>
    <x v="2"/>
    <n v="3.9375"/>
  </r>
  <r>
    <n v="3098"/>
    <s v="4"/>
    <x v="7"/>
    <n v="185.27699999999999"/>
    <x v="0"/>
    <x v="1"/>
    <x v="0"/>
    <x v="0"/>
    <x v="1"/>
    <x v="0"/>
    <x v="0"/>
    <x v="4"/>
    <x v="0"/>
    <s v="SCRB"/>
    <x v="1"/>
    <n v="2.4449999999999998"/>
    <n v="1.8334096008905689"/>
    <x v="2"/>
    <n v="5.8362254999999994"/>
  </r>
  <r>
    <n v="3113"/>
    <s v="1"/>
    <x v="7"/>
    <n v="171.7"/>
    <x v="0"/>
    <x v="1"/>
    <x v="1"/>
    <x v="0"/>
    <x v="1"/>
    <x v="0"/>
    <x v="0"/>
    <x v="0"/>
    <x v="0"/>
    <m/>
    <x v="0"/>
    <n v="1.4641666666666671"/>
    <n v="1.1161281024177034"/>
    <x v="0"/>
    <n v="5.40855"/>
  </r>
  <r>
    <n v="3113"/>
    <s v="2"/>
    <x v="7"/>
    <n v="255"/>
    <x v="0"/>
    <x v="1"/>
    <x v="1"/>
    <x v="0"/>
    <x v="1"/>
    <x v="0"/>
    <x v="0"/>
    <x v="0"/>
    <x v="0"/>
    <m/>
    <x v="0"/>
    <n v="1.3566666666666671"/>
    <n v="1.1281618774154736"/>
    <x v="0"/>
    <n v="8.0325000000000006"/>
  </r>
  <r>
    <n v="3115"/>
    <s v="1"/>
    <x v="7"/>
    <n v="75"/>
    <x v="0"/>
    <x v="1"/>
    <x v="1"/>
    <x v="0"/>
    <x v="1"/>
    <x v="0"/>
    <x v="0"/>
    <x v="0"/>
    <x v="0"/>
    <m/>
    <x v="0"/>
    <n v="1.4658333333333333"/>
    <n v="1.1079048502233975"/>
    <x v="0"/>
    <n v="2.3624999999999998"/>
  </r>
  <r>
    <n v="3115"/>
    <s v="2"/>
    <x v="7"/>
    <n v="75"/>
    <x v="0"/>
    <x v="1"/>
    <x v="1"/>
    <x v="0"/>
    <x v="1"/>
    <x v="0"/>
    <x v="0"/>
    <x v="0"/>
    <x v="0"/>
    <m/>
    <x v="0"/>
    <n v="1.4658333333333333"/>
    <n v="1.1079048502233975"/>
    <x v="0"/>
    <n v="2.3624999999999998"/>
  </r>
  <r>
    <n v="3115"/>
    <s v="3"/>
    <x v="7"/>
    <n v="75"/>
    <x v="0"/>
    <x v="1"/>
    <x v="1"/>
    <x v="0"/>
    <x v="1"/>
    <x v="0"/>
    <x v="0"/>
    <x v="0"/>
    <x v="0"/>
    <m/>
    <x v="0"/>
    <n v="1.4658333333333333"/>
    <n v="1.1079048502233975"/>
    <x v="0"/>
    <n v="2.3624999999999998"/>
  </r>
  <r>
    <n v="3118"/>
    <s v="1"/>
    <x v="7"/>
    <n v="936"/>
    <x v="0"/>
    <x v="1"/>
    <x v="1"/>
    <x v="0"/>
    <x v="1"/>
    <x v="0"/>
    <x v="0"/>
    <x v="1"/>
    <x v="0"/>
    <s v="1"/>
    <x v="1"/>
    <n v="2.2783333333333338"/>
    <n v="1.9822177387200102"/>
    <x v="2"/>
    <n v="29.484000000000002"/>
  </r>
  <r>
    <n v="3118"/>
    <s v="2"/>
    <x v="7"/>
    <n v="936"/>
    <x v="0"/>
    <x v="1"/>
    <x v="1"/>
    <x v="0"/>
    <x v="1"/>
    <x v="0"/>
    <x v="0"/>
    <x v="1"/>
    <x v="0"/>
    <s v="2"/>
    <x v="1"/>
    <n v="2.4849999999999999"/>
    <n v="1.9840902925036896"/>
    <x v="2"/>
    <n v="29.484000000000002"/>
  </r>
  <r>
    <n v="3122"/>
    <s v="1"/>
    <x v="7"/>
    <n v="660"/>
    <x v="0"/>
    <x v="1"/>
    <x v="1"/>
    <x v="0"/>
    <x v="1"/>
    <x v="0"/>
    <x v="0"/>
    <x v="0"/>
    <x v="0"/>
    <m/>
    <x v="0"/>
    <n v="1.46"/>
    <n v="1.364795322226342"/>
    <x v="0"/>
    <n v="20.79"/>
  </r>
  <r>
    <n v="3122"/>
    <s v="2"/>
    <x v="7"/>
    <n v="660"/>
    <x v="0"/>
    <x v="1"/>
    <x v="1"/>
    <x v="0"/>
    <x v="1"/>
    <x v="0"/>
    <x v="0"/>
    <x v="0"/>
    <x v="0"/>
    <m/>
    <x v="0"/>
    <n v="1.4958333333333333"/>
    <n v="1.4005664484154789"/>
    <x v="0"/>
    <n v="20.79"/>
  </r>
  <r>
    <n v="3122"/>
    <s v="3"/>
    <x v="7"/>
    <n v="692"/>
    <x v="0"/>
    <x v="1"/>
    <x v="1"/>
    <x v="0"/>
    <x v="1"/>
    <x v="0"/>
    <x v="0"/>
    <x v="0"/>
    <x v="0"/>
    <m/>
    <x v="0"/>
    <n v="0.75916666666666666"/>
    <n v="0.62643690600030255"/>
    <x v="0"/>
    <n v="21.798000000000002"/>
  </r>
  <r>
    <n v="3130"/>
    <s v="12"/>
    <x v="7"/>
    <n v="31"/>
    <x v="0"/>
    <x v="0"/>
    <x v="0"/>
    <x v="0"/>
    <x v="0"/>
    <x v="0"/>
    <x v="0"/>
    <x v="0"/>
    <x v="0"/>
    <m/>
    <x v="0"/>
    <n v="1.1850000000000001"/>
    <n v="1.2974714488519568"/>
    <x v="0"/>
    <n v="0.97650000000000003"/>
  </r>
  <r>
    <n v="3130"/>
    <s v="14"/>
    <x v="7"/>
    <n v="13"/>
    <x v="0"/>
    <x v="1"/>
    <x v="0"/>
    <x v="0"/>
    <x v="1"/>
    <x v="0"/>
    <x v="0"/>
    <x v="0"/>
    <x v="0"/>
    <m/>
    <x v="0"/>
    <n v="1.1850000000000001"/>
    <n v="1.2974714488519568"/>
    <x v="0"/>
    <n v="0.40949999999999998"/>
  </r>
  <r>
    <n v="3130"/>
    <s v="15"/>
    <x v="7"/>
    <n v="156.19999999999999"/>
    <x v="0"/>
    <x v="5"/>
    <x v="0"/>
    <x v="0"/>
    <x v="0"/>
    <x v="0"/>
    <x v="1"/>
    <x v="0"/>
    <x v="0"/>
    <m/>
    <x v="0"/>
    <n v="1.4158333333333333"/>
    <n v="1.267857631945529"/>
    <x v="0"/>
    <n v="4.9203000000000001"/>
  </r>
  <r>
    <n v="3131"/>
    <s v="1"/>
    <x v="7"/>
    <n v="125"/>
    <x v="0"/>
    <x v="1"/>
    <x v="0"/>
    <x v="0"/>
    <x v="1"/>
    <x v="0"/>
    <x v="0"/>
    <x v="0"/>
    <x v="0"/>
    <m/>
    <x v="0"/>
    <n v="1.7450000000000001"/>
    <n v="1.4196419096495012"/>
    <x v="0"/>
    <n v="3.9375"/>
  </r>
  <r>
    <n v="3131"/>
    <s v="2"/>
    <x v="7"/>
    <n v="125"/>
    <x v="0"/>
    <x v="1"/>
    <x v="0"/>
    <x v="0"/>
    <x v="1"/>
    <x v="0"/>
    <x v="0"/>
    <x v="0"/>
    <x v="0"/>
    <m/>
    <x v="0"/>
    <n v="1.7450000000000001"/>
    <n v="1.4196419096495012"/>
    <x v="0"/>
    <n v="3.9375"/>
  </r>
  <r>
    <n v="3131"/>
    <s v="3"/>
    <x v="7"/>
    <n v="187.5"/>
    <x v="0"/>
    <x v="1"/>
    <x v="1"/>
    <x v="0"/>
    <x v="1"/>
    <x v="0"/>
    <x v="0"/>
    <x v="0"/>
    <x v="0"/>
    <m/>
    <x v="0"/>
    <n v="1.6025"/>
    <n v="1.4226730697300307"/>
    <x v="0"/>
    <n v="5.90625"/>
  </r>
  <r>
    <n v="3131"/>
    <s v="4"/>
    <x v="7"/>
    <n v="187.5"/>
    <x v="0"/>
    <x v="1"/>
    <x v="1"/>
    <x v="0"/>
    <x v="1"/>
    <x v="0"/>
    <x v="0"/>
    <x v="0"/>
    <x v="0"/>
    <m/>
    <x v="0"/>
    <n v="1.7450000000000001"/>
    <n v="1.4196419096495012"/>
    <x v="0"/>
    <n v="5.90625"/>
  </r>
  <r>
    <n v="3136"/>
    <s v="1"/>
    <x v="7"/>
    <n v="936"/>
    <x v="0"/>
    <x v="2"/>
    <x v="4"/>
    <x v="0"/>
    <x v="1"/>
    <x v="0"/>
    <x v="0"/>
    <x v="0"/>
    <x v="0"/>
    <m/>
    <x v="0"/>
    <n v="1.7725"/>
    <n v="1.3915314382609589"/>
    <x v="0"/>
    <n v="29.484000000000002"/>
  </r>
  <r>
    <n v="3136"/>
    <s v="2"/>
    <x v="7"/>
    <n v="936"/>
    <x v="0"/>
    <x v="2"/>
    <x v="4"/>
    <x v="0"/>
    <x v="1"/>
    <x v="0"/>
    <x v="0"/>
    <x v="0"/>
    <x v="0"/>
    <m/>
    <x v="0"/>
    <n v="1.7708333333333333"/>
    <n v="1.3907829565923737"/>
    <x v="0"/>
    <n v="29.484000000000002"/>
  </r>
  <r>
    <n v="3138"/>
    <s v="3"/>
    <x v="7"/>
    <n v="97.75"/>
    <x v="0"/>
    <x v="1"/>
    <x v="1"/>
    <x v="0"/>
    <x v="1"/>
    <x v="0"/>
    <x v="0"/>
    <x v="0"/>
    <x v="0"/>
    <m/>
    <x v="0"/>
    <n v="1.5666666666666667"/>
    <n v="1.2988555713175656"/>
    <x v="0"/>
    <n v="3.0791249999999999"/>
  </r>
  <r>
    <n v="3138"/>
    <s v="4"/>
    <x v="7"/>
    <n v="113.636"/>
    <x v="0"/>
    <x v="3"/>
    <x v="0"/>
    <x v="0"/>
    <x v="0"/>
    <x v="0"/>
    <x v="0"/>
    <x v="0"/>
    <x v="0"/>
    <m/>
    <x v="0"/>
    <n v="1.5641666666666667"/>
    <n v="1.2973832923606401"/>
    <x v="0"/>
    <n v="3.5795339999999998"/>
  </r>
  <r>
    <n v="3138"/>
    <s v="5"/>
    <x v="7"/>
    <n v="136"/>
    <x v="0"/>
    <x v="1"/>
    <x v="0"/>
    <x v="0"/>
    <x v="1"/>
    <x v="0"/>
    <x v="0"/>
    <x v="0"/>
    <x v="0"/>
    <m/>
    <x v="0"/>
    <n v="1.44"/>
    <n v="1.3038418823289306"/>
    <x v="0"/>
    <n v="4.2839999999999998"/>
  </r>
  <r>
    <n v="3140"/>
    <s v="1"/>
    <x v="7"/>
    <n v="363.33"/>
    <x v="0"/>
    <x v="1"/>
    <x v="1"/>
    <x v="0"/>
    <x v="1"/>
    <x v="0"/>
    <x v="0"/>
    <x v="0"/>
    <x v="0"/>
    <m/>
    <x v="0"/>
    <n v="1.1333333333333333"/>
    <n v="0.88840490080751378"/>
    <x v="0"/>
    <n v="11.444894999999999"/>
  </r>
  <r>
    <n v="3140"/>
    <s v="2"/>
    <x v="7"/>
    <n v="405"/>
    <x v="0"/>
    <x v="1"/>
    <x v="1"/>
    <x v="0"/>
    <x v="1"/>
    <x v="0"/>
    <x v="0"/>
    <x v="0"/>
    <x v="0"/>
    <m/>
    <x v="0"/>
    <n v="1.2166666666666666"/>
    <n v="0.95158163534872298"/>
    <x v="0"/>
    <n v="12.7575"/>
  </r>
  <r>
    <n v="3140"/>
    <s v="3"/>
    <x v="7"/>
    <n v="790.4"/>
    <x v="0"/>
    <x v="1"/>
    <x v="1"/>
    <x v="0"/>
    <x v="1"/>
    <x v="0"/>
    <x v="0"/>
    <x v="0"/>
    <x v="0"/>
    <m/>
    <x v="0"/>
    <n v="1.1499999999999999"/>
    <n v="0.90405514775112084"/>
    <x v="0"/>
    <n v="24.897600000000001"/>
  </r>
  <r>
    <n v="3148"/>
    <s v="1"/>
    <x v="7"/>
    <n v="156.25"/>
    <x v="0"/>
    <x v="1"/>
    <x v="1"/>
    <x v="0"/>
    <x v="1"/>
    <x v="0"/>
    <x v="0"/>
    <x v="0"/>
    <x v="0"/>
    <m/>
    <x v="0"/>
    <n v="1.875"/>
    <n v="1.4500879201451797"/>
    <x v="0"/>
    <n v="4.921875"/>
  </r>
  <r>
    <n v="3148"/>
    <s v="2"/>
    <x v="7"/>
    <n v="156.25"/>
    <x v="0"/>
    <x v="1"/>
    <x v="1"/>
    <x v="0"/>
    <x v="1"/>
    <x v="0"/>
    <x v="0"/>
    <x v="0"/>
    <x v="0"/>
    <m/>
    <x v="0"/>
    <n v="1.9"/>
    <n v="1.4762791102897539"/>
    <x v="0"/>
    <n v="4.921875"/>
  </r>
  <r>
    <n v="3149"/>
    <s v="1"/>
    <x v="7"/>
    <n v="823"/>
    <x v="0"/>
    <x v="1"/>
    <x v="10"/>
    <x v="0"/>
    <x v="1"/>
    <x v="0"/>
    <x v="0"/>
    <x v="0"/>
    <x v="0"/>
    <m/>
    <x v="0"/>
    <n v="1.7083333333333333"/>
    <n v="1.3496234875961142"/>
    <x v="0"/>
    <n v="25.924500000000002"/>
  </r>
  <r>
    <n v="3149"/>
    <s v="2"/>
    <x v="7"/>
    <n v="819"/>
    <x v="0"/>
    <x v="1"/>
    <x v="10"/>
    <x v="0"/>
    <x v="1"/>
    <x v="0"/>
    <x v="0"/>
    <x v="0"/>
    <x v="0"/>
    <m/>
    <x v="0"/>
    <n v="1.5249999999999999"/>
    <n v="1.3111697876319097"/>
    <x v="0"/>
    <n v="25.798500000000001"/>
  </r>
  <r>
    <n v="3152"/>
    <s v="1A"/>
    <x v="7"/>
    <n v="43"/>
    <x v="0"/>
    <x v="0"/>
    <x v="0"/>
    <x v="0"/>
    <x v="0"/>
    <x v="0"/>
    <x v="0"/>
    <x v="0"/>
    <x v="0"/>
    <m/>
    <x v="0"/>
    <n v="1.5"/>
    <n v="1.6666666666666667"/>
    <x v="0"/>
    <n v="1.3545"/>
  </r>
  <r>
    <n v="3152"/>
    <s v="1B"/>
    <x v="7"/>
    <n v="43"/>
    <x v="0"/>
    <x v="0"/>
    <x v="0"/>
    <x v="0"/>
    <x v="0"/>
    <x v="0"/>
    <x v="0"/>
    <x v="0"/>
    <x v="0"/>
    <m/>
    <x v="0"/>
    <n v="1.5"/>
    <n v="1.6666666666666667"/>
    <x v="0"/>
    <n v="1.3545"/>
  </r>
  <r>
    <n v="3152"/>
    <s v="2A"/>
    <x v="7"/>
    <n v="43"/>
    <x v="0"/>
    <x v="0"/>
    <x v="0"/>
    <x v="0"/>
    <x v="0"/>
    <x v="0"/>
    <x v="0"/>
    <x v="0"/>
    <x v="0"/>
    <m/>
    <x v="0"/>
    <n v="1.5"/>
    <n v="1.6666666666666667"/>
    <x v="0"/>
    <n v="1.3545"/>
  </r>
  <r>
    <n v="3152"/>
    <s v="2B"/>
    <x v="7"/>
    <n v="43"/>
    <x v="0"/>
    <x v="0"/>
    <x v="0"/>
    <x v="0"/>
    <x v="0"/>
    <x v="0"/>
    <x v="0"/>
    <x v="0"/>
    <x v="0"/>
    <m/>
    <x v="0"/>
    <n v="1.5"/>
    <n v="1.6666666666666667"/>
    <x v="0"/>
    <n v="1.3545"/>
  </r>
  <r>
    <n v="3152"/>
    <s v="3"/>
    <x v="7"/>
    <n v="95"/>
    <x v="0"/>
    <x v="1"/>
    <x v="8"/>
    <x v="0"/>
    <x v="1"/>
    <x v="0"/>
    <x v="0"/>
    <x v="0"/>
    <x v="0"/>
    <m/>
    <x v="0"/>
    <n v="1.6"/>
    <n v="1.3333333333333333"/>
    <x v="0"/>
    <n v="2.9925000000000002"/>
  </r>
  <r>
    <n v="3152"/>
    <s v="4"/>
    <x v="7"/>
    <n v="156.25"/>
    <x v="0"/>
    <x v="1"/>
    <x v="8"/>
    <x v="0"/>
    <x v="1"/>
    <x v="0"/>
    <x v="0"/>
    <x v="0"/>
    <x v="0"/>
    <m/>
    <x v="0"/>
    <n v="1.6"/>
    <n v="1.3333333333333333"/>
    <x v="0"/>
    <n v="4.921875"/>
  </r>
  <r>
    <n v="3159"/>
    <s v="1"/>
    <x v="7"/>
    <n v="187.5"/>
    <x v="0"/>
    <x v="1"/>
    <x v="1"/>
    <x v="0"/>
    <x v="1"/>
    <x v="0"/>
    <x v="0"/>
    <x v="1"/>
    <x v="0"/>
    <s v="1"/>
    <x v="1"/>
    <n v="1.7133333333333332"/>
    <n v="1.4182354981566929"/>
    <x v="0"/>
    <n v="5.90625"/>
  </r>
  <r>
    <n v="3161"/>
    <s v="1"/>
    <x v="7"/>
    <n v="353.6"/>
    <x v="0"/>
    <x v="11"/>
    <x v="2"/>
    <x v="1"/>
    <x v="1"/>
    <x v="0"/>
    <x v="0"/>
    <x v="1"/>
    <x v="0"/>
    <s v="1"/>
    <x v="1"/>
    <n v="1.5933333333333335"/>
    <n v="1.4787380465104445"/>
    <x v="0"/>
    <n v="11.138400000000001"/>
  </r>
  <r>
    <n v="3161"/>
    <s v="2"/>
    <x v="7"/>
    <n v="353.6"/>
    <x v="0"/>
    <x v="11"/>
    <x v="2"/>
    <x v="1"/>
    <x v="1"/>
    <x v="0"/>
    <x v="0"/>
    <x v="1"/>
    <x v="0"/>
    <s v="2"/>
    <x v="1"/>
    <n v="1.9116666666666668"/>
    <n v="1.4748583520254872"/>
    <x v="0"/>
    <n v="11.138400000000001"/>
  </r>
  <r>
    <n v="3178"/>
    <s v="1"/>
    <x v="7"/>
    <n v="163.19999999999999"/>
    <x v="0"/>
    <x v="1"/>
    <x v="1"/>
    <x v="0"/>
    <x v="1"/>
    <x v="0"/>
    <x v="0"/>
    <x v="0"/>
    <x v="0"/>
    <m/>
    <x v="0"/>
    <n v="1.8808333333333331"/>
    <n v="1.515809688646244"/>
    <x v="0"/>
    <n v="5.1407999999999996"/>
  </r>
  <r>
    <n v="3178"/>
    <s v="2"/>
    <x v="7"/>
    <n v="163.19999999999999"/>
    <x v="0"/>
    <x v="1"/>
    <x v="1"/>
    <x v="0"/>
    <x v="1"/>
    <x v="0"/>
    <x v="0"/>
    <x v="0"/>
    <x v="0"/>
    <m/>
    <x v="0"/>
    <n v="1.8808333333333331"/>
    <n v="1.515809688646244"/>
    <x v="0"/>
    <n v="5.1407999999999996"/>
  </r>
  <r>
    <n v="3179"/>
    <s v="1"/>
    <x v="7"/>
    <n v="576"/>
    <x v="0"/>
    <x v="1"/>
    <x v="0"/>
    <x v="0"/>
    <x v="1"/>
    <x v="0"/>
    <x v="0"/>
    <x v="0"/>
    <x v="0"/>
    <m/>
    <x v="0"/>
    <n v="2.2641666666666667"/>
    <n v="1.7559988972812046"/>
    <x v="2"/>
    <n v="18.143999999999998"/>
  </r>
  <r>
    <n v="3179"/>
    <s v="2"/>
    <x v="7"/>
    <n v="576"/>
    <x v="0"/>
    <x v="1"/>
    <x v="0"/>
    <x v="0"/>
    <x v="1"/>
    <x v="0"/>
    <x v="0"/>
    <x v="0"/>
    <x v="0"/>
    <m/>
    <x v="0"/>
    <n v="2.2641666666666667"/>
    <n v="1.7559988972812046"/>
    <x v="2"/>
    <n v="18.143999999999998"/>
  </r>
  <r>
    <n v="3179"/>
    <s v="3"/>
    <x v="7"/>
    <n v="576"/>
    <x v="0"/>
    <x v="1"/>
    <x v="0"/>
    <x v="0"/>
    <x v="1"/>
    <x v="0"/>
    <x v="0"/>
    <x v="0"/>
    <x v="0"/>
    <m/>
    <x v="0"/>
    <n v="2.0750000000000002"/>
    <n v="1.7552031958382224"/>
    <x v="2"/>
    <n v="18.143999999999998"/>
  </r>
  <r>
    <n v="3181"/>
    <s v="33"/>
    <x v="7"/>
    <n v="299.2"/>
    <x v="0"/>
    <x v="1"/>
    <x v="1"/>
    <x v="0"/>
    <x v="1"/>
    <x v="0"/>
    <x v="0"/>
    <x v="1"/>
    <x v="0"/>
    <s v="33"/>
    <x v="1"/>
    <n v="3.0216666666666669"/>
    <n v="2.4374163951820842"/>
    <x v="2"/>
    <n v="9.4247999999999994"/>
  </r>
  <r>
    <n v="3251"/>
    <s v="1"/>
    <x v="4"/>
    <n v="206.63499999999999"/>
    <x v="0"/>
    <x v="0"/>
    <x v="0"/>
    <x v="0"/>
    <x v="0"/>
    <x v="0"/>
    <x v="0"/>
    <x v="0"/>
    <x v="0"/>
    <m/>
    <x v="0"/>
    <n v="1.0608333333333333"/>
    <n v="0.83030080482054436"/>
    <x v="0"/>
    <n v="6.5090024999999994"/>
  </r>
  <r>
    <n v="3264"/>
    <s v="1"/>
    <x v="4"/>
    <n v="90"/>
    <x v="0"/>
    <x v="10"/>
    <x v="0"/>
    <x v="0"/>
    <x v="0"/>
    <x v="0"/>
    <x v="0"/>
    <x v="0"/>
    <x v="0"/>
    <m/>
    <x v="0"/>
    <n v="0.90500000000000003"/>
    <n v="0.72357096565164403"/>
    <x v="0"/>
    <n v="2.835"/>
  </r>
  <r>
    <n v="3264"/>
    <s v="2"/>
    <x v="4"/>
    <n v="90"/>
    <x v="0"/>
    <x v="10"/>
    <x v="0"/>
    <x v="0"/>
    <x v="0"/>
    <x v="0"/>
    <x v="0"/>
    <x v="0"/>
    <x v="0"/>
    <m/>
    <x v="0"/>
    <n v="0.90249999999999997"/>
    <n v="0.72211710939227058"/>
    <x v="0"/>
    <n v="2.835"/>
  </r>
  <r>
    <n v="3264"/>
    <s v="3"/>
    <x v="4"/>
    <n v="175"/>
    <x v="0"/>
    <x v="1"/>
    <x v="0"/>
    <x v="0"/>
    <x v="1"/>
    <x v="0"/>
    <x v="0"/>
    <x v="0"/>
    <x v="0"/>
    <m/>
    <x v="0"/>
    <n v="0.90500000000000003"/>
    <n v="0.72614168729074946"/>
    <x v="0"/>
    <n v="5.5125000000000002"/>
  </r>
  <r>
    <n v="3280"/>
    <s v="CAN1"/>
    <x v="4"/>
    <n v="136"/>
    <x v="0"/>
    <x v="0"/>
    <x v="0"/>
    <x v="0"/>
    <x v="0"/>
    <x v="0"/>
    <x v="0"/>
    <x v="0"/>
    <x v="0"/>
    <m/>
    <x v="0"/>
    <n v="1.0266666666666666"/>
    <n v="0.87409292606938571"/>
    <x v="0"/>
    <n v="4.2839999999999998"/>
  </r>
  <r>
    <n v="3280"/>
    <s v="CAN2"/>
    <x v="4"/>
    <n v="136"/>
    <x v="0"/>
    <x v="1"/>
    <x v="0"/>
    <x v="0"/>
    <x v="1"/>
    <x v="0"/>
    <x v="0"/>
    <x v="0"/>
    <x v="0"/>
    <m/>
    <x v="0"/>
    <n v="1.0266666666666666"/>
    <n v="0.87409292606938571"/>
    <x v="0"/>
    <n v="4.2839999999999998"/>
  </r>
  <r>
    <n v="3280"/>
    <s v="CAN3"/>
    <x v="4"/>
    <n v="217.6"/>
    <x v="0"/>
    <x v="1"/>
    <x v="0"/>
    <x v="0"/>
    <x v="1"/>
    <x v="0"/>
    <x v="0"/>
    <x v="0"/>
    <x v="0"/>
    <m/>
    <x v="0"/>
    <n v="1.1058333333333332"/>
    <n v="0.86351426861118508"/>
    <x v="0"/>
    <n v="6.8544"/>
  </r>
  <r>
    <n v="3287"/>
    <s v="MCM1"/>
    <x v="4"/>
    <n v="146.88"/>
    <x v="0"/>
    <x v="1"/>
    <x v="0"/>
    <x v="0"/>
    <x v="1"/>
    <x v="0"/>
    <x v="0"/>
    <x v="0"/>
    <x v="0"/>
    <m/>
    <x v="0"/>
    <n v="1.3625"/>
    <n v="1.0840902324454131"/>
    <x v="0"/>
    <n v="4.6267199999999997"/>
  </r>
  <r>
    <n v="3287"/>
    <s v="MCM2"/>
    <x v="4"/>
    <n v="146.88"/>
    <x v="0"/>
    <x v="1"/>
    <x v="0"/>
    <x v="0"/>
    <x v="1"/>
    <x v="0"/>
    <x v="0"/>
    <x v="0"/>
    <x v="0"/>
    <m/>
    <x v="0"/>
    <n v="1.3625"/>
    <n v="1.0840902324454131"/>
    <x v="0"/>
    <n v="4.6267199999999997"/>
  </r>
  <r>
    <n v="3295"/>
    <s v="URQ1"/>
    <x v="4"/>
    <n v="75"/>
    <x v="0"/>
    <x v="0"/>
    <x v="0"/>
    <x v="0"/>
    <x v="0"/>
    <x v="0"/>
    <x v="0"/>
    <x v="0"/>
    <x v="0"/>
    <m/>
    <x v="0"/>
    <n v="1.2150000000000001"/>
    <n v="1.0343909533101434"/>
    <x v="0"/>
    <n v="2.3624999999999998"/>
  </r>
  <r>
    <n v="3295"/>
    <s v="URQ2"/>
    <x v="4"/>
    <n v="75"/>
    <x v="0"/>
    <x v="0"/>
    <x v="0"/>
    <x v="0"/>
    <x v="0"/>
    <x v="0"/>
    <x v="0"/>
    <x v="0"/>
    <x v="0"/>
    <m/>
    <x v="0"/>
    <n v="1.3125"/>
    <n v="1.0248667622497223"/>
    <x v="0"/>
    <n v="2.3624999999999998"/>
  </r>
  <r>
    <n v="3295"/>
    <s v="URQ3"/>
    <x v="4"/>
    <n v="100"/>
    <x v="0"/>
    <x v="1"/>
    <x v="1"/>
    <x v="0"/>
    <x v="1"/>
    <x v="0"/>
    <x v="0"/>
    <x v="0"/>
    <x v="0"/>
    <m/>
    <x v="0"/>
    <n v="1.3125"/>
    <n v="1.0248667622497223"/>
    <x v="0"/>
    <n v="3.15"/>
  </r>
  <r>
    <n v="3297"/>
    <s v="WAT1"/>
    <x v="4"/>
    <n v="385.9"/>
    <x v="0"/>
    <x v="1"/>
    <x v="0"/>
    <x v="0"/>
    <x v="1"/>
    <x v="0"/>
    <x v="0"/>
    <x v="0"/>
    <x v="0"/>
    <m/>
    <x v="0"/>
    <n v="1.03"/>
    <n v="0.81060310160177995"/>
    <x v="0"/>
    <n v="12.155849999999999"/>
  </r>
  <r>
    <n v="3297"/>
    <s v="WAT2"/>
    <x v="4"/>
    <n v="385.9"/>
    <x v="0"/>
    <x v="1"/>
    <x v="0"/>
    <x v="0"/>
    <x v="1"/>
    <x v="0"/>
    <x v="0"/>
    <x v="0"/>
    <x v="0"/>
    <m/>
    <x v="0"/>
    <n v="1.03"/>
    <n v="0.81060310160177995"/>
    <x v="0"/>
    <n v="12.155849999999999"/>
  </r>
  <r>
    <n v="3298"/>
    <s v="WIL1"/>
    <x v="4"/>
    <n v="632.70000000000005"/>
    <x v="0"/>
    <x v="1"/>
    <x v="0"/>
    <x v="0"/>
    <x v="1"/>
    <x v="0"/>
    <x v="0"/>
    <x v="0"/>
    <x v="0"/>
    <m/>
    <x v="0"/>
    <n v="0.73833333333333329"/>
    <n v="0.57358705731572479"/>
    <x v="1"/>
    <n v="19.930050000000001"/>
  </r>
  <r>
    <n v="3317"/>
    <s v="1"/>
    <x v="4"/>
    <n v="81.599999999999994"/>
    <x v="0"/>
    <x v="1"/>
    <x v="0"/>
    <x v="0"/>
    <x v="1"/>
    <x v="0"/>
    <x v="0"/>
    <x v="0"/>
    <x v="0"/>
    <m/>
    <x v="0"/>
    <n v="1.2516666666666667"/>
    <n v="0.98882198656226084"/>
    <x v="0"/>
    <n v="2.5703999999999998"/>
  </r>
  <r>
    <n v="3317"/>
    <s v="2"/>
    <x v="4"/>
    <n v="81.599999999999994"/>
    <x v="0"/>
    <x v="0"/>
    <x v="0"/>
    <x v="0"/>
    <x v="0"/>
    <x v="0"/>
    <x v="0"/>
    <x v="0"/>
    <x v="0"/>
    <m/>
    <x v="0"/>
    <n v="1.165"/>
    <n v="1.0010622311261763"/>
    <x v="0"/>
    <n v="2.5703999999999998"/>
  </r>
  <r>
    <n v="3319"/>
    <s v="3"/>
    <x v="4"/>
    <n v="172.8"/>
    <x v="0"/>
    <x v="1"/>
    <x v="0"/>
    <x v="0"/>
    <x v="1"/>
    <x v="0"/>
    <x v="0"/>
    <x v="0"/>
    <x v="0"/>
    <m/>
    <x v="0"/>
    <n v="1.1975"/>
    <n v="0.94451581016094954"/>
    <x v="0"/>
    <n v="5.4432"/>
  </r>
  <r>
    <n v="3319"/>
    <s v="4"/>
    <x v="4"/>
    <n v="172.8"/>
    <x v="0"/>
    <x v="1"/>
    <x v="0"/>
    <x v="0"/>
    <x v="1"/>
    <x v="0"/>
    <x v="0"/>
    <x v="0"/>
    <x v="0"/>
    <m/>
    <x v="0"/>
    <n v="1.1975"/>
    <n v="0.94451581016094954"/>
    <x v="0"/>
    <n v="5.4432"/>
  </r>
  <r>
    <n v="3393"/>
    <s v="1"/>
    <x v="0"/>
    <n v="330"/>
    <x v="3"/>
    <x v="2"/>
    <x v="0"/>
    <x v="0"/>
    <x v="0"/>
    <x v="0"/>
    <x v="0"/>
    <x v="0"/>
    <x v="0"/>
    <m/>
    <x v="0"/>
    <n v="0.42499999999999999"/>
    <n v="0.40542583106578473"/>
    <x v="1"/>
    <n v="10.395"/>
  </r>
  <r>
    <n v="3393"/>
    <s v="2"/>
    <x v="0"/>
    <n v="330"/>
    <x v="3"/>
    <x v="2"/>
    <x v="0"/>
    <x v="0"/>
    <x v="0"/>
    <x v="0"/>
    <x v="0"/>
    <x v="0"/>
    <x v="0"/>
    <m/>
    <x v="0"/>
    <n v="0.4"/>
    <n v="0.38053299886170261"/>
    <x v="1"/>
    <n v="10.395"/>
  </r>
  <r>
    <n v="3393"/>
    <s v="3"/>
    <x v="0"/>
    <n v="330"/>
    <x v="3"/>
    <x v="2"/>
    <x v="0"/>
    <x v="0"/>
    <x v="0"/>
    <x v="0"/>
    <x v="0"/>
    <x v="0"/>
    <x v="0"/>
    <m/>
    <x v="0"/>
    <n v="0.4"/>
    <n v="0.38223103044711643"/>
    <x v="1"/>
    <n v="10.395"/>
  </r>
  <r>
    <n v="3396"/>
    <s v="1"/>
    <x v="0"/>
    <n v="950"/>
    <x v="0"/>
    <x v="6"/>
    <x v="0"/>
    <x v="0"/>
    <x v="0"/>
    <x v="0"/>
    <x v="0"/>
    <x v="0"/>
    <x v="0"/>
    <m/>
    <x v="0"/>
    <n v="1"/>
    <n v="0.77194075084927449"/>
    <x v="0"/>
    <n v="29.925000000000001"/>
  </r>
  <r>
    <n v="3399"/>
    <s v="1"/>
    <x v="0"/>
    <n v="1300"/>
    <x v="0"/>
    <x v="1"/>
    <x v="0"/>
    <x v="0"/>
    <x v="1"/>
    <x v="0"/>
    <x v="0"/>
    <x v="1"/>
    <x v="0"/>
    <s v="1"/>
    <x v="1"/>
    <n v="2.5666666666666669"/>
    <n v="2.1853249383228497"/>
    <x v="2"/>
    <n v="40.950000000000003"/>
  </r>
  <r>
    <n v="3399"/>
    <s v="2"/>
    <x v="0"/>
    <n v="1300"/>
    <x v="0"/>
    <x v="1"/>
    <x v="0"/>
    <x v="0"/>
    <x v="1"/>
    <x v="0"/>
    <x v="0"/>
    <x v="1"/>
    <x v="0"/>
    <s v="2"/>
    <x v="1"/>
    <n v="2.5583333333333331"/>
    <n v="2.1777862825774741"/>
    <x v="2"/>
    <n v="40.950000000000003"/>
  </r>
  <r>
    <n v="3403"/>
    <s v="1"/>
    <x v="0"/>
    <n v="300"/>
    <x v="3"/>
    <x v="1"/>
    <x v="1"/>
    <x v="0"/>
    <x v="1"/>
    <x v="0"/>
    <x v="0"/>
    <x v="0"/>
    <x v="0"/>
    <m/>
    <x v="0"/>
    <n v="0.95833333333333337"/>
    <n v="1.0225941335601456"/>
    <x v="0"/>
    <n v="9.4499999999999993"/>
  </r>
  <r>
    <n v="3403"/>
    <s v="2"/>
    <x v="0"/>
    <n v="300"/>
    <x v="3"/>
    <x v="1"/>
    <x v="1"/>
    <x v="0"/>
    <x v="1"/>
    <x v="0"/>
    <x v="0"/>
    <x v="0"/>
    <x v="0"/>
    <m/>
    <x v="0"/>
    <n v="1.0416666666666667"/>
    <n v="1.0223370292101157"/>
    <x v="0"/>
    <n v="9.4499999999999993"/>
  </r>
  <r>
    <n v="3403"/>
    <s v="3"/>
    <x v="0"/>
    <n v="327.60000000000002"/>
    <x v="3"/>
    <x v="1"/>
    <x v="1"/>
    <x v="0"/>
    <x v="1"/>
    <x v="0"/>
    <x v="0"/>
    <x v="0"/>
    <x v="0"/>
    <m/>
    <x v="0"/>
    <n v="0.99166666666666659"/>
    <n v="1.0576299317835411"/>
    <x v="0"/>
    <n v="10.3194"/>
  </r>
  <r>
    <n v="3403"/>
    <s v="4"/>
    <x v="0"/>
    <n v="327.60000000000002"/>
    <x v="3"/>
    <x v="1"/>
    <x v="1"/>
    <x v="0"/>
    <x v="1"/>
    <x v="0"/>
    <x v="0"/>
    <x v="0"/>
    <x v="0"/>
    <m/>
    <x v="0"/>
    <n v="1.0833333333333333"/>
    <n v="1.0577654925748663"/>
    <x v="0"/>
    <n v="10.3194"/>
  </r>
  <r>
    <n v="3405"/>
    <s v="1"/>
    <x v="0"/>
    <n v="200"/>
    <x v="0"/>
    <x v="1"/>
    <x v="1"/>
    <x v="0"/>
    <x v="1"/>
    <x v="0"/>
    <x v="0"/>
    <x v="0"/>
    <x v="0"/>
    <m/>
    <x v="0"/>
    <n v="1.3916666666666668"/>
    <n v="1.1052370369319207"/>
    <x v="0"/>
    <n v="6.3"/>
  </r>
  <r>
    <n v="3405"/>
    <s v="2"/>
    <x v="0"/>
    <n v="200"/>
    <x v="0"/>
    <x v="1"/>
    <x v="1"/>
    <x v="0"/>
    <x v="1"/>
    <x v="0"/>
    <x v="0"/>
    <x v="0"/>
    <x v="0"/>
    <m/>
    <x v="0"/>
    <n v="1.4"/>
    <n v="1.1089654655572292"/>
    <x v="0"/>
    <n v="6.3"/>
  </r>
  <r>
    <n v="3405"/>
    <s v="3"/>
    <x v="0"/>
    <n v="200"/>
    <x v="0"/>
    <x v="1"/>
    <x v="1"/>
    <x v="0"/>
    <x v="1"/>
    <x v="0"/>
    <x v="0"/>
    <x v="0"/>
    <x v="0"/>
    <m/>
    <x v="0"/>
    <n v="1.216666666666667"/>
    <n v="1.0523345547174563"/>
    <x v="0"/>
    <n v="6.3"/>
  </r>
  <r>
    <n v="3405"/>
    <s v="4"/>
    <x v="0"/>
    <n v="200"/>
    <x v="0"/>
    <x v="1"/>
    <x v="1"/>
    <x v="0"/>
    <x v="1"/>
    <x v="0"/>
    <x v="0"/>
    <x v="0"/>
    <x v="0"/>
    <m/>
    <x v="0"/>
    <n v="1.3166666666666671"/>
    <n v="1.0438845128391507"/>
    <x v="0"/>
    <n v="6.3"/>
  </r>
  <r>
    <n v="3406"/>
    <s v="1"/>
    <x v="0"/>
    <n v="125"/>
    <x v="0"/>
    <x v="6"/>
    <x v="0"/>
    <x v="0"/>
    <x v="0"/>
    <x v="0"/>
    <x v="0"/>
    <x v="0"/>
    <x v="0"/>
    <m/>
    <x v="0"/>
    <n v="1.425"/>
    <n v="1.189638979898703"/>
    <x v="0"/>
    <n v="3.9375"/>
  </r>
  <r>
    <n v="3406"/>
    <s v="10"/>
    <x v="0"/>
    <n v="172.8"/>
    <x v="0"/>
    <x v="1"/>
    <x v="0"/>
    <x v="0"/>
    <x v="1"/>
    <x v="0"/>
    <x v="0"/>
    <x v="0"/>
    <x v="0"/>
    <m/>
    <x v="0"/>
    <n v="1.5333333333333334"/>
    <n v="1.2676002162678783"/>
    <x v="0"/>
    <n v="5.4432"/>
  </r>
  <r>
    <n v="3406"/>
    <s v="2"/>
    <x v="0"/>
    <n v="125"/>
    <x v="0"/>
    <x v="6"/>
    <x v="0"/>
    <x v="0"/>
    <x v="0"/>
    <x v="0"/>
    <x v="0"/>
    <x v="0"/>
    <x v="0"/>
    <m/>
    <x v="0"/>
    <n v="1.4083333333333334"/>
    <n v="1.1773865293402299"/>
    <x v="0"/>
    <n v="3.9375"/>
  </r>
  <r>
    <n v="3406"/>
    <s v="3"/>
    <x v="0"/>
    <n v="125"/>
    <x v="0"/>
    <x v="6"/>
    <x v="0"/>
    <x v="0"/>
    <x v="0"/>
    <x v="0"/>
    <x v="0"/>
    <x v="0"/>
    <x v="0"/>
    <m/>
    <x v="0"/>
    <n v="1.3666666666666665"/>
    <n v="1.1450576696402337"/>
    <x v="0"/>
    <n v="3.9375"/>
  </r>
  <r>
    <n v="3406"/>
    <s v="4"/>
    <x v="0"/>
    <n v="125"/>
    <x v="0"/>
    <x v="6"/>
    <x v="0"/>
    <x v="0"/>
    <x v="0"/>
    <x v="0"/>
    <x v="0"/>
    <x v="0"/>
    <x v="0"/>
    <m/>
    <x v="0"/>
    <n v="1.3916666666666668"/>
    <n v="1.1646445736161841"/>
    <x v="0"/>
    <n v="3.9375"/>
  </r>
  <r>
    <n v="3406"/>
    <s v="5"/>
    <x v="0"/>
    <n v="147"/>
    <x v="0"/>
    <x v="6"/>
    <x v="0"/>
    <x v="0"/>
    <x v="0"/>
    <x v="0"/>
    <x v="0"/>
    <x v="0"/>
    <x v="0"/>
    <m/>
    <x v="0"/>
    <n v="1.3916666666666666"/>
    <n v="1.1657843446842471"/>
    <x v="0"/>
    <n v="4.6304999999999996"/>
  </r>
  <r>
    <n v="3406"/>
    <s v="6"/>
    <x v="0"/>
    <n v="147"/>
    <x v="0"/>
    <x v="6"/>
    <x v="0"/>
    <x v="0"/>
    <x v="0"/>
    <x v="0"/>
    <x v="0"/>
    <x v="0"/>
    <x v="0"/>
    <m/>
    <x v="0"/>
    <n v="1.425"/>
    <n v="1.1896914384890291"/>
    <x v="0"/>
    <n v="4.6304999999999996"/>
  </r>
  <r>
    <n v="3406"/>
    <s v="7"/>
    <x v="0"/>
    <n v="172.8"/>
    <x v="0"/>
    <x v="1"/>
    <x v="0"/>
    <x v="0"/>
    <x v="1"/>
    <x v="0"/>
    <x v="0"/>
    <x v="0"/>
    <x v="0"/>
    <m/>
    <x v="0"/>
    <n v="1.5333333333333334"/>
    <n v="1.2682555804249065"/>
    <x v="0"/>
    <n v="5.4432"/>
  </r>
  <r>
    <n v="3406"/>
    <s v="8"/>
    <x v="0"/>
    <n v="172.8"/>
    <x v="0"/>
    <x v="1"/>
    <x v="0"/>
    <x v="0"/>
    <x v="1"/>
    <x v="0"/>
    <x v="0"/>
    <x v="0"/>
    <x v="0"/>
    <m/>
    <x v="0"/>
    <n v="1.55"/>
    <n v="1.2809921725747111"/>
    <x v="0"/>
    <n v="5.4432"/>
  </r>
  <r>
    <n v="3406"/>
    <s v="9"/>
    <x v="0"/>
    <n v="172.8"/>
    <x v="0"/>
    <x v="1"/>
    <x v="0"/>
    <x v="0"/>
    <x v="1"/>
    <x v="0"/>
    <x v="0"/>
    <x v="0"/>
    <x v="0"/>
    <m/>
    <x v="0"/>
    <n v="1.5333333333333334"/>
    <n v="1.2687426118192382"/>
    <x v="0"/>
    <n v="5.4432"/>
  </r>
  <r>
    <n v="3407"/>
    <s v="1"/>
    <x v="0"/>
    <n v="175"/>
    <x v="0"/>
    <x v="0"/>
    <x v="0"/>
    <x v="0"/>
    <x v="0"/>
    <x v="0"/>
    <x v="0"/>
    <x v="0"/>
    <x v="0"/>
    <m/>
    <x v="0"/>
    <n v="1.175"/>
    <n v="0.94994297204909328"/>
    <x v="0"/>
    <n v="5.5125000000000002"/>
  </r>
  <r>
    <n v="3407"/>
    <s v="2"/>
    <x v="0"/>
    <n v="175"/>
    <x v="0"/>
    <x v="0"/>
    <x v="0"/>
    <x v="0"/>
    <x v="0"/>
    <x v="0"/>
    <x v="0"/>
    <x v="0"/>
    <x v="0"/>
    <m/>
    <x v="0"/>
    <n v="1.2083333333333333"/>
    <n v="0.97940101145558789"/>
    <x v="0"/>
    <n v="5.5125000000000002"/>
  </r>
  <r>
    <n v="3407"/>
    <s v="3"/>
    <x v="0"/>
    <n v="175"/>
    <x v="0"/>
    <x v="0"/>
    <x v="0"/>
    <x v="0"/>
    <x v="0"/>
    <x v="0"/>
    <x v="0"/>
    <x v="0"/>
    <x v="0"/>
    <m/>
    <x v="0"/>
    <n v="1.2083333333333333"/>
    <n v="0.97980159077738926"/>
    <x v="0"/>
    <n v="5.5125000000000002"/>
  </r>
  <r>
    <n v="3407"/>
    <s v="4"/>
    <x v="0"/>
    <n v="175"/>
    <x v="0"/>
    <x v="0"/>
    <x v="0"/>
    <x v="0"/>
    <x v="0"/>
    <x v="0"/>
    <x v="0"/>
    <x v="0"/>
    <x v="0"/>
    <m/>
    <x v="0"/>
    <n v="1.1083333333333334"/>
    <n v="0.97886151716905989"/>
    <x v="0"/>
    <n v="5.5125000000000002"/>
  </r>
  <r>
    <n v="3407"/>
    <s v="5"/>
    <x v="0"/>
    <n v="200"/>
    <x v="0"/>
    <x v="1"/>
    <x v="1"/>
    <x v="0"/>
    <x v="1"/>
    <x v="0"/>
    <x v="0"/>
    <x v="0"/>
    <x v="0"/>
    <m/>
    <x v="0"/>
    <n v="1.0916666666666668"/>
    <n v="0.96459861348628084"/>
    <x v="0"/>
    <n v="6.3"/>
  </r>
  <r>
    <n v="3407"/>
    <s v="6"/>
    <x v="0"/>
    <n v="200"/>
    <x v="0"/>
    <x v="1"/>
    <x v="1"/>
    <x v="0"/>
    <x v="1"/>
    <x v="0"/>
    <x v="0"/>
    <x v="0"/>
    <x v="0"/>
    <m/>
    <x v="0"/>
    <n v="1.1083333333333334"/>
    <n v="0.97858040735408314"/>
    <x v="0"/>
    <n v="6.3"/>
  </r>
  <r>
    <n v="3407"/>
    <s v="7"/>
    <x v="0"/>
    <n v="200"/>
    <x v="0"/>
    <x v="1"/>
    <x v="1"/>
    <x v="0"/>
    <x v="1"/>
    <x v="0"/>
    <x v="0"/>
    <x v="0"/>
    <x v="0"/>
    <m/>
    <x v="0"/>
    <n v="1.1000000000000001"/>
    <n v="0.97242206572215584"/>
    <x v="0"/>
    <n v="6.3"/>
  </r>
  <r>
    <n v="3407"/>
    <s v="8"/>
    <x v="0"/>
    <n v="200"/>
    <x v="0"/>
    <x v="1"/>
    <x v="1"/>
    <x v="0"/>
    <x v="1"/>
    <x v="0"/>
    <x v="0"/>
    <x v="0"/>
    <x v="0"/>
    <m/>
    <x v="0"/>
    <n v="1.2"/>
    <n v="0.97246766672031715"/>
    <x v="0"/>
    <n v="6.3"/>
  </r>
  <r>
    <n v="3407"/>
    <s v="9"/>
    <x v="0"/>
    <n v="200"/>
    <x v="0"/>
    <x v="6"/>
    <x v="0"/>
    <x v="0"/>
    <x v="0"/>
    <x v="0"/>
    <x v="0"/>
    <x v="0"/>
    <x v="0"/>
    <m/>
    <x v="0"/>
    <n v="1.1916666666666667"/>
    <n v="0.9662261453068729"/>
    <x v="0"/>
    <n v="6.3"/>
  </r>
  <r>
    <n v="3470"/>
    <s v="WAP5"/>
    <x v="1"/>
    <n v="734.1"/>
    <x v="3"/>
    <x v="1"/>
    <x v="0"/>
    <x v="0"/>
    <x v="1"/>
    <x v="0"/>
    <x v="0"/>
    <x v="0"/>
    <x v="0"/>
    <m/>
    <x v="0"/>
    <n v="0.28416666666666673"/>
    <n v="0.45574296080648341"/>
    <x v="1"/>
    <n v="23.12415"/>
  </r>
  <r>
    <n v="3470"/>
    <s v="WAP6"/>
    <x v="1"/>
    <n v="734.1"/>
    <x v="3"/>
    <x v="1"/>
    <x v="0"/>
    <x v="0"/>
    <x v="1"/>
    <x v="0"/>
    <x v="0"/>
    <x v="0"/>
    <x v="0"/>
    <m/>
    <x v="0"/>
    <n v="0.27"/>
    <n v="0.43196209205897929"/>
    <x v="1"/>
    <n v="23.12415"/>
  </r>
  <r>
    <n v="3470"/>
    <s v="WAP7"/>
    <x v="1"/>
    <n v="614.6"/>
    <x v="3"/>
    <x v="7"/>
    <x v="4"/>
    <x v="0"/>
    <x v="1"/>
    <x v="0"/>
    <x v="0"/>
    <x v="0"/>
    <x v="0"/>
    <m/>
    <x v="0"/>
    <n v="0.3691666666666667"/>
    <n v="0.44345813844154641"/>
    <x v="1"/>
    <n v="19.3599"/>
  </r>
  <r>
    <n v="3470"/>
    <s v="WAP8"/>
    <x v="1"/>
    <n v="614.6"/>
    <x v="3"/>
    <x v="7"/>
    <x v="5"/>
    <x v="0"/>
    <x v="0"/>
    <x v="0"/>
    <x v="0"/>
    <x v="1"/>
    <x v="0"/>
    <s v="FGD8"/>
    <x v="1"/>
    <n v="0.3691666666666667"/>
    <n v="0.44372811442090138"/>
    <x v="1"/>
    <n v="19.3599"/>
  </r>
  <r>
    <n v="3497"/>
    <s v="1"/>
    <x v="1"/>
    <n v="593.4"/>
    <x v="2"/>
    <x v="0"/>
    <x v="0"/>
    <x v="0"/>
    <x v="0"/>
    <x v="0"/>
    <x v="0"/>
    <x v="0"/>
    <x v="0"/>
    <m/>
    <x v="0"/>
    <n v="0.64083333333333325"/>
    <n v="0.89084549413950376"/>
    <x v="0"/>
    <n v="18.6921"/>
  </r>
  <r>
    <n v="3497"/>
    <s v="2"/>
    <x v="1"/>
    <n v="593.4"/>
    <x v="2"/>
    <x v="0"/>
    <x v="0"/>
    <x v="0"/>
    <x v="0"/>
    <x v="0"/>
    <x v="0"/>
    <x v="0"/>
    <x v="0"/>
    <m/>
    <x v="0"/>
    <n v="0.63333333333333319"/>
    <n v="0.8819936559075483"/>
    <x v="0"/>
    <n v="18.6921"/>
  </r>
  <r>
    <n v="3644"/>
    <s v="1"/>
    <x v="3"/>
    <n v="75"/>
    <x v="0"/>
    <x v="3"/>
    <x v="9"/>
    <x v="0"/>
    <x v="0"/>
    <x v="0"/>
    <x v="0"/>
    <x v="0"/>
    <x v="0"/>
    <m/>
    <x v="0"/>
    <n v="0.39333333333333331"/>
    <n v="0.3471157314676771"/>
    <x v="1"/>
    <n v="2.3624999999999998"/>
  </r>
  <r>
    <n v="3644"/>
    <s v="2"/>
    <x v="3"/>
    <n v="113.636"/>
    <x v="0"/>
    <x v="3"/>
    <x v="9"/>
    <x v="0"/>
    <x v="0"/>
    <x v="0"/>
    <x v="0"/>
    <x v="0"/>
    <x v="0"/>
    <m/>
    <x v="0"/>
    <n v="0.4291666666666667"/>
    <n v="0.34748588073845038"/>
    <x v="1"/>
    <n v="3.5795339999999998"/>
  </r>
  <r>
    <n v="3775"/>
    <s v="1"/>
    <x v="4"/>
    <n v="237.5"/>
    <x v="0"/>
    <x v="1"/>
    <x v="0"/>
    <x v="0"/>
    <x v="1"/>
    <x v="0"/>
    <x v="0"/>
    <x v="0"/>
    <x v="0"/>
    <m/>
    <x v="0"/>
    <n v="0.71666666666666667"/>
    <n v="0.59021990826389048"/>
    <x v="1"/>
    <n v="7.4812500000000002"/>
  </r>
  <r>
    <n v="3775"/>
    <s v="2"/>
    <x v="4"/>
    <n v="237.5"/>
    <x v="0"/>
    <x v="1"/>
    <x v="0"/>
    <x v="0"/>
    <x v="1"/>
    <x v="0"/>
    <x v="0"/>
    <x v="0"/>
    <x v="0"/>
    <m/>
    <x v="0"/>
    <n v="0.70833333333333337"/>
    <n v="0.58349234525665317"/>
    <x v="1"/>
    <n v="7.4812500000000002"/>
  </r>
  <r>
    <n v="3775"/>
    <s v="3"/>
    <x v="4"/>
    <n v="237.5"/>
    <x v="0"/>
    <x v="1"/>
    <x v="0"/>
    <x v="0"/>
    <x v="1"/>
    <x v="0"/>
    <x v="0"/>
    <x v="0"/>
    <x v="0"/>
    <m/>
    <x v="0"/>
    <n v="0.71666666666666667"/>
    <n v="0.59031185163842748"/>
    <x v="1"/>
    <n v="7.4812500000000002"/>
  </r>
  <r>
    <n v="3776"/>
    <s v="51"/>
    <x v="4"/>
    <n v="100"/>
    <x v="0"/>
    <x v="0"/>
    <x v="0"/>
    <x v="0"/>
    <x v="0"/>
    <x v="0"/>
    <x v="0"/>
    <x v="0"/>
    <x v="0"/>
    <m/>
    <x v="0"/>
    <n v="0.9"/>
    <n v="0.70370739277893524"/>
    <x v="0"/>
    <n v="3.15"/>
  </r>
  <r>
    <n v="3776"/>
    <s v="52"/>
    <x v="4"/>
    <n v="100"/>
    <x v="0"/>
    <x v="0"/>
    <x v="0"/>
    <x v="0"/>
    <x v="0"/>
    <x v="0"/>
    <x v="0"/>
    <x v="0"/>
    <x v="0"/>
    <m/>
    <x v="0"/>
    <n v="0.9"/>
    <n v="0.70475310750534359"/>
    <x v="0"/>
    <n v="3.15"/>
  </r>
  <r>
    <n v="3776"/>
    <s v="6"/>
    <x v="4"/>
    <n v="237.5"/>
    <x v="0"/>
    <x v="1"/>
    <x v="0"/>
    <x v="0"/>
    <x v="1"/>
    <x v="0"/>
    <x v="0"/>
    <x v="0"/>
    <x v="0"/>
    <m/>
    <x v="0"/>
    <n v="0.9"/>
    <n v="0.70305286156621827"/>
    <x v="0"/>
    <n v="7.4812500000000002"/>
  </r>
  <r>
    <n v="3788"/>
    <s v="1"/>
    <x v="4"/>
    <n v="92"/>
    <x v="0"/>
    <x v="3"/>
    <x v="0"/>
    <x v="0"/>
    <x v="0"/>
    <x v="0"/>
    <x v="0"/>
    <x v="0"/>
    <x v="0"/>
    <m/>
    <x v="0"/>
    <n v="0.7058333333333332"/>
    <n v="0.57906850852418712"/>
    <x v="1"/>
    <n v="2.8980000000000001"/>
  </r>
  <r>
    <n v="3788"/>
    <s v="2"/>
    <x v="4"/>
    <n v="92"/>
    <x v="0"/>
    <x v="3"/>
    <x v="0"/>
    <x v="0"/>
    <x v="0"/>
    <x v="0"/>
    <x v="0"/>
    <x v="0"/>
    <x v="0"/>
    <m/>
    <x v="0"/>
    <n v="0.7058333333333332"/>
    <n v="0.57924239309713499"/>
    <x v="1"/>
    <n v="2.8980000000000001"/>
  </r>
  <r>
    <n v="3788"/>
    <s v="3"/>
    <x v="4"/>
    <n v="110"/>
    <x v="0"/>
    <x v="3"/>
    <x v="0"/>
    <x v="0"/>
    <x v="0"/>
    <x v="0"/>
    <x v="0"/>
    <x v="0"/>
    <x v="0"/>
    <m/>
    <x v="0"/>
    <n v="0.77"/>
    <n v="0.57917793829461595"/>
    <x v="1"/>
    <n v="3.4649999999999999"/>
  </r>
  <r>
    <n v="3788"/>
    <s v="4"/>
    <x v="4"/>
    <n v="110"/>
    <x v="0"/>
    <x v="3"/>
    <x v="0"/>
    <x v="0"/>
    <x v="0"/>
    <x v="0"/>
    <x v="0"/>
    <x v="0"/>
    <x v="0"/>
    <m/>
    <x v="0"/>
    <n v="0.77"/>
    <n v="0.57917793829461595"/>
    <x v="1"/>
    <n v="3.4649999999999999"/>
  </r>
  <r>
    <n v="3788"/>
    <s v="5"/>
    <x v="4"/>
    <n v="110"/>
    <x v="0"/>
    <x v="3"/>
    <x v="0"/>
    <x v="0"/>
    <x v="0"/>
    <x v="0"/>
    <x v="0"/>
    <x v="0"/>
    <x v="0"/>
    <m/>
    <x v="0"/>
    <n v="0.77"/>
    <n v="0.57917793829461595"/>
    <x v="1"/>
    <n v="3.4649999999999999"/>
  </r>
  <r>
    <n v="3796"/>
    <s v="3"/>
    <x v="4"/>
    <n v="69"/>
    <x v="0"/>
    <x v="0"/>
    <x v="0"/>
    <x v="0"/>
    <x v="0"/>
    <x v="0"/>
    <x v="0"/>
    <x v="0"/>
    <x v="0"/>
    <m/>
    <x v="0"/>
    <n v="0.86833333333333329"/>
    <n v="0.68495344814133619"/>
    <x v="0"/>
    <n v="2.1735000000000002"/>
  </r>
  <r>
    <n v="3796"/>
    <s v="4"/>
    <x v="4"/>
    <n v="185.27699999999999"/>
    <x v="0"/>
    <x v="0"/>
    <x v="0"/>
    <x v="0"/>
    <x v="0"/>
    <x v="0"/>
    <x v="0"/>
    <x v="0"/>
    <x v="0"/>
    <m/>
    <x v="0"/>
    <n v="0.84916666666666663"/>
    <n v="0.66764626587701426"/>
    <x v="0"/>
    <n v="5.8362254999999994"/>
  </r>
  <r>
    <n v="3797"/>
    <s v="3"/>
    <x v="4"/>
    <n v="112.5"/>
    <x v="0"/>
    <x v="0"/>
    <x v="0"/>
    <x v="0"/>
    <x v="0"/>
    <x v="0"/>
    <x v="0"/>
    <x v="0"/>
    <x v="0"/>
    <m/>
    <x v="0"/>
    <n v="1.0308333333333335"/>
    <n v="0.80739230339847312"/>
    <x v="0"/>
    <n v="3.5437500000000002"/>
  </r>
  <r>
    <n v="3797"/>
    <s v="4"/>
    <x v="4"/>
    <n v="187.5"/>
    <x v="0"/>
    <x v="0"/>
    <x v="0"/>
    <x v="0"/>
    <x v="0"/>
    <x v="0"/>
    <x v="0"/>
    <x v="0"/>
    <x v="0"/>
    <m/>
    <x v="0"/>
    <n v="0.93083333333333351"/>
    <n v="0.79513675045183918"/>
    <x v="0"/>
    <n v="5.90625"/>
  </r>
  <r>
    <n v="3797"/>
    <s v="5"/>
    <x v="4"/>
    <n v="359.04"/>
    <x v="0"/>
    <x v="0"/>
    <x v="0"/>
    <x v="0"/>
    <x v="0"/>
    <x v="0"/>
    <x v="0"/>
    <x v="0"/>
    <x v="0"/>
    <m/>
    <x v="0"/>
    <n v="1.0308333333333335"/>
    <n v="0.80589239628415654"/>
    <x v="0"/>
    <n v="11.309760000000001"/>
  </r>
  <r>
    <n v="3797"/>
    <s v="6"/>
    <x v="4"/>
    <n v="693.9"/>
    <x v="0"/>
    <x v="0"/>
    <x v="0"/>
    <x v="0"/>
    <x v="0"/>
    <x v="0"/>
    <x v="0"/>
    <x v="0"/>
    <x v="0"/>
    <m/>
    <x v="0"/>
    <n v="1.0283333333333333"/>
    <n v="0.80415503447459147"/>
    <x v="0"/>
    <n v="21.857849999999999"/>
  </r>
  <r>
    <n v="3803"/>
    <s v="1"/>
    <x v="4"/>
    <n v="112.5"/>
    <x v="0"/>
    <x v="2"/>
    <x v="4"/>
    <x v="0"/>
    <x v="1"/>
    <x v="0"/>
    <x v="0"/>
    <x v="0"/>
    <x v="0"/>
    <m/>
    <x v="0"/>
    <n v="0.7583333333333333"/>
    <n v="0.58016982854047705"/>
    <x v="1"/>
    <n v="3.5437500000000002"/>
  </r>
  <r>
    <n v="3803"/>
    <s v="2"/>
    <x v="4"/>
    <n v="112.5"/>
    <x v="0"/>
    <x v="2"/>
    <x v="4"/>
    <x v="0"/>
    <x v="1"/>
    <x v="0"/>
    <x v="0"/>
    <x v="0"/>
    <x v="0"/>
    <m/>
    <x v="0"/>
    <n v="0.71416666666666673"/>
    <n v="0.54840633572025432"/>
    <x v="1"/>
    <n v="3.5437500000000002"/>
  </r>
  <r>
    <n v="3803"/>
    <s v="3"/>
    <x v="4"/>
    <n v="185.27699999999999"/>
    <x v="0"/>
    <x v="0"/>
    <x v="0"/>
    <x v="0"/>
    <x v="0"/>
    <x v="0"/>
    <x v="0"/>
    <x v="0"/>
    <x v="0"/>
    <m/>
    <x v="0"/>
    <n v="0.89833333333333343"/>
    <n v="0.68535179732812868"/>
    <x v="0"/>
    <n v="5.8362254999999994"/>
  </r>
  <r>
    <n v="3803"/>
    <s v="4"/>
    <x v="4"/>
    <n v="239.36"/>
    <x v="0"/>
    <x v="0"/>
    <x v="0"/>
    <x v="0"/>
    <x v="0"/>
    <x v="0"/>
    <x v="0"/>
    <x v="0"/>
    <x v="0"/>
    <m/>
    <x v="0"/>
    <n v="0.90333333333333343"/>
    <n v="0.68959285137457182"/>
    <x v="0"/>
    <n v="7.5398400000000008"/>
  </r>
  <r>
    <n v="3804"/>
    <s v="3"/>
    <x v="4"/>
    <n v="113.636"/>
    <x v="0"/>
    <x v="0"/>
    <x v="0"/>
    <x v="0"/>
    <x v="0"/>
    <x v="0"/>
    <x v="0"/>
    <x v="0"/>
    <x v="0"/>
    <m/>
    <x v="0"/>
    <n v="1.0733333333333333"/>
    <n v="0.83913664834420365"/>
    <x v="0"/>
    <n v="3.5795339999999998"/>
  </r>
  <r>
    <n v="3804"/>
    <s v="4"/>
    <x v="4"/>
    <n v="239.36"/>
    <x v="0"/>
    <x v="0"/>
    <x v="0"/>
    <x v="0"/>
    <x v="0"/>
    <x v="0"/>
    <x v="0"/>
    <x v="0"/>
    <x v="0"/>
    <m/>
    <x v="0"/>
    <n v="1.0608333333333333"/>
    <n v="0.82874387310011022"/>
    <x v="0"/>
    <n v="7.5398400000000008"/>
  </r>
  <r>
    <n v="3809"/>
    <s v="1"/>
    <x v="4"/>
    <n v="187.5"/>
    <x v="0"/>
    <x v="0"/>
    <x v="0"/>
    <x v="0"/>
    <x v="0"/>
    <x v="0"/>
    <x v="0"/>
    <x v="0"/>
    <x v="0"/>
    <m/>
    <x v="0"/>
    <n v="1.2916666666666667"/>
    <n v="1.0987032436732476"/>
    <x v="0"/>
    <n v="5.90625"/>
  </r>
  <r>
    <n v="3809"/>
    <s v="2"/>
    <x v="4"/>
    <n v="187.5"/>
    <x v="0"/>
    <x v="0"/>
    <x v="0"/>
    <x v="0"/>
    <x v="0"/>
    <x v="0"/>
    <x v="0"/>
    <x v="0"/>
    <x v="0"/>
    <m/>
    <x v="0"/>
    <n v="1.43"/>
    <n v="1.1173911794624394"/>
    <x v="0"/>
    <n v="5.90625"/>
  </r>
  <r>
    <n v="3845"/>
    <s v="BW21"/>
    <x v="8"/>
    <n v="729.99"/>
    <x v="3"/>
    <x v="0"/>
    <x v="0"/>
    <x v="0"/>
    <x v="0"/>
    <x v="0"/>
    <x v="0"/>
    <x v="0"/>
    <x v="0"/>
    <m/>
    <x v="0"/>
    <n v="0.7383333333333334"/>
    <n v="0.92596728295544528"/>
    <x v="0"/>
    <n v="22.994685"/>
  </r>
  <r>
    <n v="3845"/>
    <s v="BW22"/>
    <x v="8"/>
    <n v="729.99"/>
    <x v="3"/>
    <x v="0"/>
    <x v="0"/>
    <x v="0"/>
    <x v="0"/>
    <x v="0"/>
    <x v="0"/>
    <x v="0"/>
    <x v="0"/>
    <m/>
    <x v="0"/>
    <n v="0.7383333333333334"/>
    <n v="0.92596728295544528"/>
    <x v="0"/>
    <n v="22.994685"/>
  </r>
  <r>
    <n v="3935"/>
    <s v="1"/>
    <x v="4"/>
    <n v="816.3"/>
    <x v="0"/>
    <x v="1"/>
    <x v="0"/>
    <x v="0"/>
    <x v="1"/>
    <x v="0"/>
    <x v="0"/>
    <x v="0"/>
    <x v="0"/>
    <m/>
    <x v="0"/>
    <n v="0.76666666666666672"/>
    <n v="0.63236900085576142"/>
    <x v="0"/>
    <n v="25.713449999999998"/>
  </r>
  <r>
    <n v="3935"/>
    <s v="2"/>
    <x v="4"/>
    <n v="816.3"/>
    <x v="0"/>
    <x v="1"/>
    <x v="0"/>
    <x v="0"/>
    <x v="1"/>
    <x v="0"/>
    <x v="0"/>
    <x v="0"/>
    <x v="0"/>
    <m/>
    <x v="0"/>
    <n v="0.70833333333333337"/>
    <n v="0.63643078469885428"/>
    <x v="0"/>
    <n v="25.713449999999998"/>
  </r>
  <r>
    <n v="3935"/>
    <s v="3"/>
    <x v="4"/>
    <n v="1300"/>
    <x v="0"/>
    <x v="1"/>
    <x v="0"/>
    <x v="0"/>
    <x v="1"/>
    <x v="0"/>
    <x v="0"/>
    <x v="0"/>
    <x v="0"/>
    <m/>
    <x v="0"/>
    <n v="0.75"/>
    <n v="0.61928931919844921"/>
    <x v="0"/>
    <n v="40.950000000000003"/>
  </r>
  <r>
    <n v="3936"/>
    <s v="1"/>
    <x v="4"/>
    <n v="219.68799999999999"/>
    <x v="0"/>
    <x v="1"/>
    <x v="0"/>
    <x v="0"/>
    <x v="1"/>
    <x v="0"/>
    <x v="0"/>
    <x v="0"/>
    <x v="0"/>
    <m/>
    <x v="0"/>
    <n v="0.78333333333333333"/>
    <n v="0.64621448323912967"/>
    <x v="0"/>
    <n v="6.920172"/>
  </r>
  <r>
    <n v="3936"/>
    <s v="2"/>
    <x v="4"/>
    <n v="219.68799999999999"/>
    <x v="0"/>
    <x v="1"/>
    <x v="0"/>
    <x v="0"/>
    <x v="1"/>
    <x v="0"/>
    <x v="0"/>
    <x v="0"/>
    <x v="0"/>
    <m/>
    <x v="0"/>
    <n v="0.72499999999999998"/>
    <n v="0.65298609203981339"/>
    <x v="0"/>
    <n v="6.920172"/>
  </r>
  <r>
    <n v="3938"/>
    <s v="11"/>
    <x v="4"/>
    <n v="152.5"/>
    <x v="0"/>
    <x v="1"/>
    <x v="0"/>
    <x v="0"/>
    <x v="1"/>
    <x v="0"/>
    <x v="0"/>
    <x v="0"/>
    <x v="0"/>
    <m/>
    <x v="0"/>
    <n v="1.0416666666666667"/>
    <n v="0.87191123148818228"/>
    <x v="0"/>
    <n v="4.80375"/>
  </r>
  <r>
    <n v="3938"/>
    <s v="21"/>
    <x v="4"/>
    <n v="152.5"/>
    <x v="0"/>
    <x v="1"/>
    <x v="0"/>
    <x v="0"/>
    <x v="1"/>
    <x v="0"/>
    <x v="0"/>
    <x v="0"/>
    <x v="0"/>
    <m/>
    <x v="0"/>
    <n v="1.0416666666666667"/>
    <n v="0.87173150459716398"/>
    <x v="0"/>
    <n v="4.80375"/>
  </r>
  <r>
    <n v="3938"/>
    <s v="31"/>
    <x v="4"/>
    <n v="152.5"/>
    <x v="0"/>
    <x v="1"/>
    <x v="0"/>
    <x v="0"/>
    <x v="1"/>
    <x v="0"/>
    <x v="0"/>
    <x v="0"/>
    <x v="0"/>
    <m/>
    <x v="0"/>
    <n v="1.0249999999999999"/>
    <n v="0.85629260819737352"/>
    <x v="0"/>
    <n v="4.80375"/>
  </r>
  <r>
    <n v="3938"/>
    <s v="41"/>
    <x v="4"/>
    <n v="152.5"/>
    <x v="0"/>
    <x v="1"/>
    <x v="0"/>
    <x v="0"/>
    <x v="1"/>
    <x v="0"/>
    <x v="0"/>
    <x v="0"/>
    <x v="0"/>
    <m/>
    <x v="0"/>
    <n v="1.0333333333333334"/>
    <n v="0.86494348070141269"/>
    <x v="0"/>
    <n v="4.80375"/>
  </r>
  <r>
    <n v="3938"/>
    <s v="51"/>
    <x v="4"/>
    <n v="495.55"/>
    <x v="0"/>
    <x v="1"/>
    <x v="0"/>
    <x v="0"/>
    <x v="1"/>
    <x v="0"/>
    <x v="0"/>
    <x v="0"/>
    <x v="0"/>
    <m/>
    <x v="0"/>
    <n v="1.0249999999999999"/>
    <n v="0.85770870399263544"/>
    <x v="0"/>
    <n v="15.609825000000001"/>
  </r>
  <r>
    <n v="3942"/>
    <s v="1"/>
    <x v="4"/>
    <n v="69"/>
    <x v="0"/>
    <x v="1"/>
    <x v="1"/>
    <x v="0"/>
    <x v="1"/>
    <x v="0"/>
    <x v="0"/>
    <x v="0"/>
    <x v="0"/>
    <m/>
    <x v="0"/>
    <n v="1.6166666666666669"/>
    <n v="1.2983363652299815"/>
    <x v="0"/>
    <n v="2.1735000000000002"/>
  </r>
  <r>
    <n v="3942"/>
    <s v="2"/>
    <x v="4"/>
    <n v="69"/>
    <x v="0"/>
    <x v="1"/>
    <x v="1"/>
    <x v="0"/>
    <x v="1"/>
    <x v="0"/>
    <x v="0"/>
    <x v="0"/>
    <x v="0"/>
    <m/>
    <x v="0"/>
    <n v="1.6166666666666669"/>
    <n v="1.2983363652299815"/>
    <x v="0"/>
    <n v="2.1735000000000002"/>
  </r>
  <r>
    <n v="3942"/>
    <s v="3"/>
    <x v="4"/>
    <n v="140.25"/>
    <x v="0"/>
    <x v="1"/>
    <x v="0"/>
    <x v="0"/>
    <x v="1"/>
    <x v="0"/>
    <x v="0"/>
    <x v="0"/>
    <x v="0"/>
    <m/>
    <x v="0"/>
    <n v="1.6166666666666669"/>
    <n v="1.2983363652299815"/>
    <x v="0"/>
    <n v="4.4178750000000004"/>
  </r>
  <r>
    <n v="3943"/>
    <s v="1"/>
    <x v="4"/>
    <n v="576"/>
    <x v="0"/>
    <x v="1"/>
    <x v="1"/>
    <x v="0"/>
    <x v="1"/>
    <x v="0"/>
    <x v="0"/>
    <x v="0"/>
    <x v="0"/>
    <m/>
    <x v="0"/>
    <n v="1.4591666666666667"/>
    <n v="1.269193112794385"/>
    <x v="0"/>
    <n v="18.143999999999998"/>
  </r>
  <r>
    <n v="3943"/>
    <s v="2"/>
    <x v="4"/>
    <n v="576"/>
    <x v="0"/>
    <x v="0"/>
    <x v="0"/>
    <x v="0"/>
    <x v="0"/>
    <x v="0"/>
    <x v="0"/>
    <x v="0"/>
    <x v="0"/>
    <m/>
    <x v="0"/>
    <n v="1.5858333333333332"/>
    <n v="1.2643888139931845"/>
    <x v="0"/>
    <n v="18.143999999999998"/>
  </r>
  <r>
    <n v="3944"/>
    <s v="1"/>
    <x v="4"/>
    <n v="684"/>
    <x v="0"/>
    <x v="1"/>
    <x v="0"/>
    <x v="0"/>
    <x v="1"/>
    <x v="0"/>
    <x v="0"/>
    <x v="1"/>
    <x v="0"/>
    <s v="1"/>
    <x v="1"/>
    <n v="3.1391666666666662"/>
    <n v="2.7642506351369174"/>
    <x v="2"/>
    <n v="21.545999999999999"/>
  </r>
  <r>
    <n v="3944"/>
    <s v="2"/>
    <x v="4"/>
    <n v="684"/>
    <x v="0"/>
    <x v="1"/>
    <x v="0"/>
    <x v="0"/>
    <x v="1"/>
    <x v="0"/>
    <x v="0"/>
    <x v="1"/>
    <x v="0"/>
    <s v="2"/>
    <x v="1"/>
    <n v="3.4041666666666663"/>
    <n v="2.7503819967855367"/>
    <x v="2"/>
    <n v="21.545999999999999"/>
  </r>
  <r>
    <n v="3944"/>
    <s v="3"/>
    <x v="4"/>
    <n v="684"/>
    <x v="0"/>
    <x v="1"/>
    <x v="0"/>
    <x v="0"/>
    <x v="1"/>
    <x v="0"/>
    <x v="0"/>
    <x v="1"/>
    <x v="0"/>
    <s v="3"/>
    <x v="1"/>
    <n v="3.4041666666666663"/>
    <n v="2.7503819967855367"/>
    <x v="2"/>
    <n v="21.545999999999999"/>
  </r>
  <r>
    <n v="3945"/>
    <s v="7"/>
    <x v="4"/>
    <n v="35"/>
    <x v="0"/>
    <x v="0"/>
    <x v="0"/>
    <x v="0"/>
    <x v="0"/>
    <x v="0"/>
    <x v="0"/>
    <x v="0"/>
    <x v="0"/>
    <m/>
    <x v="0"/>
    <n v="0.92833333333333323"/>
    <n v="0.84442700985612429"/>
    <x v="0"/>
    <n v="1.1025"/>
  </r>
  <r>
    <n v="3945"/>
    <s v="8"/>
    <x v="4"/>
    <n v="74.75"/>
    <x v="0"/>
    <x v="0"/>
    <x v="0"/>
    <x v="0"/>
    <x v="0"/>
    <x v="0"/>
    <x v="0"/>
    <x v="0"/>
    <x v="0"/>
    <m/>
    <x v="0"/>
    <n v="1.0133333333333334"/>
    <n v="0.84406303389339798"/>
    <x v="0"/>
    <n v="2.354625"/>
  </r>
  <r>
    <n v="3946"/>
    <s v="1"/>
    <x v="4"/>
    <n v="50"/>
    <x v="0"/>
    <x v="0"/>
    <x v="0"/>
    <x v="0"/>
    <x v="0"/>
    <x v="0"/>
    <x v="0"/>
    <x v="0"/>
    <x v="0"/>
    <m/>
    <x v="0"/>
    <n v="1.4541666666666666"/>
    <n v="1.1178393723938651"/>
    <x v="0"/>
    <n v="1.575"/>
  </r>
  <r>
    <n v="3946"/>
    <s v="2"/>
    <x v="4"/>
    <n v="163.19999999999999"/>
    <x v="0"/>
    <x v="0"/>
    <x v="0"/>
    <x v="0"/>
    <x v="0"/>
    <x v="0"/>
    <x v="0"/>
    <x v="0"/>
    <x v="0"/>
    <m/>
    <x v="0"/>
    <n v="1.3916666666666666"/>
    <n v="1.1018845890990738"/>
    <x v="0"/>
    <n v="5.1407999999999996"/>
  </r>
  <r>
    <n v="3947"/>
    <s v="1"/>
    <x v="4"/>
    <n v="237.5"/>
    <x v="0"/>
    <x v="2"/>
    <x v="0"/>
    <x v="0"/>
    <x v="0"/>
    <x v="0"/>
    <x v="0"/>
    <x v="0"/>
    <x v="0"/>
    <m/>
    <x v="0"/>
    <n v="1.4666666666666668"/>
    <n v="1.1162050155330876"/>
    <x v="0"/>
    <n v="7.4812500000000002"/>
  </r>
  <r>
    <n v="3947"/>
    <s v="2"/>
    <x v="4"/>
    <n v="237.5"/>
    <x v="0"/>
    <x v="2"/>
    <x v="0"/>
    <x v="0"/>
    <x v="0"/>
    <x v="0"/>
    <x v="0"/>
    <x v="0"/>
    <x v="0"/>
    <m/>
    <x v="0"/>
    <n v="1.4583333333333333"/>
    <n v="1.1089522610384863"/>
    <x v="0"/>
    <n v="7.4812500000000002"/>
  </r>
  <r>
    <n v="3947"/>
    <s v="3"/>
    <x v="4"/>
    <n v="237.5"/>
    <x v="0"/>
    <x v="2"/>
    <x v="0"/>
    <x v="0"/>
    <x v="0"/>
    <x v="0"/>
    <x v="0"/>
    <x v="0"/>
    <x v="0"/>
    <m/>
    <x v="0"/>
    <n v="1.3583333333333334"/>
    <n v="1.1272660132832888"/>
    <x v="0"/>
    <n v="7.4812500000000002"/>
  </r>
  <r>
    <n v="3948"/>
    <s v="1"/>
    <x v="4"/>
    <n v="816.3"/>
    <x v="0"/>
    <x v="1"/>
    <x v="0"/>
    <x v="0"/>
    <x v="1"/>
    <x v="0"/>
    <x v="0"/>
    <x v="0"/>
    <x v="0"/>
    <m/>
    <x v="0"/>
    <n v="0.78333333333333333"/>
    <n v="0.63169802518327589"/>
    <x v="0"/>
    <n v="25.713449999999998"/>
  </r>
  <r>
    <n v="3948"/>
    <s v="2"/>
    <x v="4"/>
    <n v="816.3"/>
    <x v="0"/>
    <x v="1"/>
    <x v="0"/>
    <x v="0"/>
    <x v="1"/>
    <x v="0"/>
    <x v="0"/>
    <x v="0"/>
    <x v="0"/>
    <m/>
    <x v="0"/>
    <n v="0.72499999999999998"/>
    <n v="0.63763138990236934"/>
    <x v="0"/>
    <n v="25.713449999999998"/>
  </r>
  <r>
    <n v="3954"/>
    <s v="1"/>
    <x v="4"/>
    <n v="570.24"/>
    <x v="0"/>
    <x v="1"/>
    <x v="0"/>
    <x v="0"/>
    <x v="1"/>
    <x v="0"/>
    <x v="0"/>
    <x v="0"/>
    <x v="0"/>
    <m/>
    <x v="0"/>
    <n v="1.7433333333333332"/>
    <n v="1.4226456049151199"/>
    <x v="0"/>
    <n v="17.96256"/>
  </r>
  <r>
    <n v="3954"/>
    <s v="2"/>
    <x v="4"/>
    <n v="570.24"/>
    <x v="0"/>
    <x v="0"/>
    <x v="0"/>
    <x v="0"/>
    <x v="0"/>
    <x v="0"/>
    <x v="0"/>
    <x v="0"/>
    <x v="0"/>
    <m/>
    <x v="0"/>
    <n v="1.7375"/>
    <n v="1.4173538167263431"/>
    <x v="0"/>
    <n v="17.96256"/>
  </r>
  <r>
    <n v="3954"/>
    <s v="3"/>
    <x v="4"/>
    <n v="522"/>
    <x v="0"/>
    <x v="1"/>
    <x v="0"/>
    <x v="0"/>
    <x v="1"/>
    <x v="0"/>
    <x v="0"/>
    <x v="1"/>
    <x v="0"/>
    <s v="3"/>
    <x v="1"/>
    <n v="1.740833333333333"/>
    <n v="1.4196558052770689"/>
    <x v="0"/>
    <n v="16.443000000000001"/>
  </r>
  <r>
    <n v="3992"/>
    <s v="7"/>
    <x v="5"/>
    <n v="20"/>
    <x v="0"/>
    <x v="0"/>
    <x v="0"/>
    <x v="0"/>
    <x v="0"/>
    <x v="0"/>
    <x v="0"/>
    <x v="0"/>
    <x v="0"/>
    <m/>
    <x v="0"/>
    <n v="1.27"/>
    <n v="1.2801882323789422"/>
    <x v="0"/>
    <n v="0.63"/>
  </r>
  <r>
    <n v="3992"/>
    <s v="8"/>
    <x v="5"/>
    <n v="50"/>
    <x v="0"/>
    <x v="0"/>
    <x v="0"/>
    <x v="0"/>
    <x v="0"/>
    <x v="0"/>
    <x v="0"/>
    <x v="0"/>
    <x v="0"/>
    <m/>
    <x v="0"/>
    <n v="1.4"/>
    <n v="1.2920088872215862"/>
    <x v="0"/>
    <n v="1.575"/>
  </r>
  <r>
    <n v="3992"/>
    <s v="9"/>
    <x v="5"/>
    <n v="50"/>
    <x v="0"/>
    <x v="0"/>
    <x v="0"/>
    <x v="0"/>
    <x v="0"/>
    <x v="0"/>
    <x v="0"/>
    <x v="0"/>
    <x v="0"/>
    <m/>
    <x v="0"/>
    <n v="1.2825"/>
    <n v="1.2934708896802227"/>
    <x v="0"/>
    <n v="1.575"/>
  </r>
  <r>
    <n v="4040"/>
    <s v="1"/>
    <x v="5"/>
    <n v="80"/>
    <x v="0"/>
    <x v="0"/>
    <x v="0"/>
    <x v="0"/>
    <x v="0"/>
    <x v="0"/>
    <x v="0"/>
    <x v="1"/>
    <x v="0"/>
    <s v="1"/>
    <x v="1"/>
    <n v="1.3683333333333334"/>
    <n v="1.0410345819924516"/>
    <x v="0"/>
    <n v="2.52"/>
  </r>
  <r>
    <n v="4040"/>
    <s v="2"/>
    <x v="5"/>
    <n v="80"/>
    <x v="0"/>
    <x v="0"/>
    <x v="0"/>
    <x v="0"/>
    <x v="0"/>
    <x v="0"/>
    <x v="0"/>
    <x v="0"/>
    <x v="0"/>
    <m/>
    <x v="0"/>
    <n v="1.3674999999999999"/>
    <n v="1.0406672044774543"/>
    <x v="0"/>
    <n v="2.52"/>
  </r>
  <r>
    <n v="4040"/>
    <s v="3"/>
    <x v="5"/>
    <n v="80"/>
    <x v="0"/>
    <x v="0"/>
    <x v="0"/>
    <x v="0"/>
    <x v="0"/>
    <x v="0"/>
    <x v="0"/>
    <x v="0"/>
    <x v="0"/>
    <m/>
    <x v="0"/>
    <n v="1.3674999999999999"/>
    <n v="1.0398464638480702"/>
    <x v="0"/>
    <n v="2.52"/>
  </r>
  <r>
    <n v="4040"/>
    <s v="4"/>
    <x v="5"/>
    <n v="80"/>
    <x v="0"/>
    <x v="0"/>
    <x v="0"/>
    <x v="0"/>
    <x v="0"/>
    <x v="0"/>
    <x v="0"/>
    <x v="1"/>
    <x v="0"/>
    <s v="4"/>
    <x v="1"/>
    <n v="1.3383333333333332"/>
    <n v="1.0251266530268157"/>
    <x v="0"/>
    <n v="2.52"/>
  </r>
  <r>
    <n v="4041"/>
    <s v="5"/>
    <x v="5"/>
    <n v="275"/>
    <x v="0"/>
    <x v="0"/>
    <x v="0"/>
    <x v="0"/>
    <x v="0"/>
    <x v="0"/>
    <x v="0"/>
    <x v="0"/>
    <x v="0"/>
    <m/>
    <x v="0"/>
    <n v="0.81583333333333308"/>
    <n v="0.72167238125269917"/>
    <x v="0"/>
    <n v="8.6624999999999996"/>
  </r>
  <r>
    <n v="4041"/>
    <s v="6"/>
    <x v="5"/>
    <n v="275"/>
    <x v="0"/>
    <x v="0"/>
    <x v="0"/>
    <x v="0"/>
    <x v="0"/>
    <x v="0"/>
    <x v="0"/>
    <x v="0"/>
    <x v="0"/>
    <m/>
    <x v="0"/>
    <n v="0.41"/>
    <n v="0.41867947593066829"/>
    <x v="1"/>
    <n v="8.6624999999999996"/>
  </r>
  <r>
    <n v="4041"/>
    <s v="7"/>
    <x v="5"/>
    <n v="317.60000000000002"/>
    <x v="0"/>
    <x v="1"/>
    <x v="5"/>
    <x v="0"/>
    <x v="1"/>
    <x v="0"/>
    <x v="0"/>
    <x v="0"/>
    <x v="0"/>
    <m/>
    <x v="0"/>
    <n v="0.22083333333333333"/>
    <n v="0.24742984106797941"/>
    <x v="1"/>
    <n v="10.0044"/>
  </r>
  <r>
    <n v="4041"/>
    <s v="8"/>
    <x v="5"/>
    <n v="324"/>
    <x v="0"/>
    <x v="1"/>
    <x v="5"/>
    <x v="0"/>
    <x v="1"/>
    <x v="0"/>
    <x v="0"/>
    <x v="0"/>
    <x v="0"/>
    <m/>
    <x v="0"/>
    <n v="0.21666666666666667"/>
    <n v="0.24310578083637582"/>
    <x v="1"/>
    <n v="10.206"/>
  </r>
  <r>
    <n v="4042"/>
    <s v="1"/>
    <x v="5"/>
    <n v="68"/>
    <x v="0"/>
    <x v="1"/>
    <x v="0"/>
    <x v="0"/>
    <x v="1"/>
    <x v="0"/>
    <x v="0"/>
    <x v="0"/>
    <x v="0"/>
    <m/>
    <x v="0"/>
    <n v="1.2224999999999999"/>
    <n v="0.98117306644108371"/>
    <x v="0"/>
    <n v="2.1419999999999999"/>
  </r>
  <r>
    <n v="4042"/>
    <s v="2"/>
    <x v="5"/>
    <n v="68"/>
    <x v="0"/>
    <x v="1"/>
    <x v="0"/>
    <x v="0"/>
    <x v="1"/>
    <x v="0"/>
    <x v="0"/>
    <x v="0"/>
    <x v="0"/>
    <m/>
    <x v="0"/>
    <n v="1.2224999999999999"/>
    <n v="0.98117306644108371"/>
    <x v="0"/>
    <n v="2.1419999999999999"/>
  </r>
  <r>
    <n v="4042"/>
    <s v="3"/>
    <x v="5"/>
    <n v="68"/>
    <x v="0"/>
    <x v="1"/>
    <x v="0"/>
    <x v="0"/>
    <x v="1"/>
    <x v="0"/>
    <x v="0"/>
    <x v="0"/>
    <x v="0"/>
    <m/>
    <x v="0"/>
    <n v="1.2066666666666666"/>
    <n v="0.96999098345289581"/>
    <x v="0"/>
    <n v="2.1419999999999999"/>
  </r>
  <r>
    <n v="4042"/>
    <s v="4"/>
    <x v="5"/>
    <n v="68"/>
    <x v="0"/>
    <x v="1"/>
    <x v="0"/>
    <x v="0"/>
    <x v="1"/>
    <x v="0"/>
    <x v="0"/>
    <x v="0"/>
    <x v="0"/>
    <m/>
    <x v="0"/>
    <n v="1.2066666666666666"/>
    <n v="0.96999098345289581"/>
    <x v="0"/>
    <n v="2.1419999999999999"/>
  </r>
  <r>
    <n v="4050"/>
    <s v="3"/>
    <x v="5"/>
    <n v="60"/>
    <x v="0"/>
    <x v="0"/>
    <x v="0"/>
    <x v="0"/>
    <x v="0"/>
    <x v="0"/>
    <x v="0"/>
    <x v="0"/>
    <x v="0"/>
    <m/>
    <x v="0"/>
    <n v="0.37333333333333329"/>
    <n v="0.40625174747082454"/>
    <x v="1"/>
    <n v="1.89"/>
  </r>
  <r>
    <n v="4050"/>
    <s v="4"/>
    <x v="5"/>
    <n v="330"/>
    <x v="0"/>
    <x v="0"/>
    <x v="0"/>
    <x v="0"/>
    <x v="0"/>
    <x v="0"/>
    <x v="0"/>
    <x v="0"/>
    <x v="0"/>
    <m/>
    <x v="0"/>
    <n v="0.36666666666666653"/>
    <n v="0.4009317493864884"/>
    <x v="1"/>
    <n v="10.395"/>
  </r>
  <r>
    <n v="4050"/>
    <s v="5"/>
    <x v="5"/>
    <n v="380"/>
    <x v="0"/>
    <x v="1"/>
    <x v="0"/>
    <x v="0"/>
    <x v="1"/>
    <x v="0"/>
    <x v="0"/>
    <x v="0"/>
    <x v="0"/>
    <m/>
    <x v="0"/>
    <n v="0.315"/>
    <n v="0.35334932048994266"/>
    <x v="1"/>
    <n v="11.97"/>
  </r>
  <r>
    <n v="4054"/>
    <s v="1"/>
    <x v="5"/>
    <n v="100"/>
    <x v="0"/>
    <x v="0"/>
    <x v="0"/>
    <x v="0"/>
    <x v="0"/>
    <x v="0"/>
    <x v="0"/>
    <x v="0"/>
    <x v="0"/>
    <m/>
    <x v="0"/>
    <n v="1.1583333333333334"/>
    <n v="1.2633522968033688"/>
    <x v="0"/>
    <n v="3.15"/>
  </r>
  <r>
    <n v="4054"/>
    <s v="2"/>
    <x v="5"/>
    <n v="100"/>
    <x v="0"/>
    <x v="12"/>
    <x v="0"/>
    <x v="0"/>
    <x v="0"/>
    <x v="0"/>
    <x v="0"/>
    <x v="0"/>
    <x v="0"/>
    <m/>
    <x v="0"/>
    <n v="1.2083333333333333"/>
    <n v="1.2109498788261031"/>
    <x v="0"/>
    <n v="3.15"/>
  </r>
  <r>
    <n v="4072"/>
    <s v="3"/>
    <x v="5"/>
    <n v="30"/>
    <x v="3"/>
    <x v="0"/>
    <x v="0"/>
    <x v="0"/>
    <x v="0"/>
    <x v="0"/>
    <x v="0"/>
    <x v="0"/>
    <x v="0"/>
    <m/>
    <x v="0"/>
    <n v="0.18333333333333332"/>
    <n v="0.22768670309653907"/>
    <x v="1"/>
    <n v="0.94499999999999995"/>
  </r>
  <r>
    <n v="4072"/>
    <s v="4"/>
    <x v="5"/>
    <n v="30"/>
    <x v="3"/>
    <x v="0"/>
    <x v="0"/>
    <x v="0"/>
    <x v="0"/>
    <x v="0"/>
    <x v="0"/>
    <x v="0"/>
    <x v="0"/>
    <m/>
    <x v="0"/>
    <n v="0.21"/>
    <n v="0.23787947439963744"/>
    <x v="1"/>
    <n v="0.94499999999999995"/>
  </r>
  <r>
    <n v="4072"/>
    <s v="5"/>
    <x v="5"/>
    <n v="50"/>
    <x v="3"/>
    <x v="0"/>
    <x v="0"/>
    <x v="0"/>
    <x v="0"/>
    <x v="0"/>
    <x v="0"/>
    <x v="0"/>
    <x v="0"/>
    <m/>
    <x v="0"/>
    <n v="0.2"/>
    <n v="0.22706630336058128"/>
    <x v="1"/>
    <n v="1.575"/>
  </r>
  <r>
    <n v="4072"/>
    <s v="6"/>
    <x v="5"/>
    <n v="60"/>
    <x v="3"/>
    <x v="0"/>
    <x v="0"/>
    <x v="0"/>
    <x v="0"/>
    <x v="0"/>
    <x v="0"/>
    <x v="0"/>
    <x v="0"/>
    <m/>
    <x v="0"/>
    <n v="0.21"/>
    <n v="0.23752969121140136"/>
    <x v="1"/>
    <n v="1.89"/>
  </r>
  <r>
    <n v="4072"/>
    <s v="7"/>
    <x v="5"/>
    <n v="81.599999999999994"/>
    <x v="3"/>
    <x v="1"/>
    <x v="0"/>
    <x v="0"/>
    <x v="1"/>
    <x v="0"/>
    <x v="0"/>
    <x v="0"/>
    <x v="0"/>
    <m/>
    <x v="0"/>
    <n v="0.2"/>
    <n v="0.22609088853719195"/>
    <x v="1"/>
    <n v="2.5703999999999998"/>
  </r>
  <r>
    <n v="4072"/>
    <s v="8"/>
    <x v="5"/>
    <n v="136"/>
    <x v="3"/>
    <x v="1"/>
    <x v="0"/>
    <x v="0"/>
    <x v="1"/>
    <x v="0"/>
    <x v="0"/>
    <x v="0"/>
    <x v="0"/>
    <m/>
    <x v="0"/>
    <n v="0.1925"/>
    <n v="0.23761031907671415"/>
    <x v="1"/>
    <n v="4.2839999999999998"/>
  </r>
  <r>
    <n v="4078"/>
    <s v="1"/>
    <x v="5"/>
    <n v="60"/>
    <x v="3"/>
    <x v="0"/>
    <x v="0"/>
    <x v="0"/>
    <x v="0"/>
    <x v="0"/>
    <x v="0"/>
    <x v="0"/>
    <x v="0"/>
    <m/>
    <x v="0"/>
    <n v="0.23333333333333339"/>
    <n v="0.31897926634768753"/>
    <x v="1"/>
    <n v="1.89"/>
  </r>
  <r>
    <n v="4078"/>
    <s v="2"/>
    <x v="5"/>
    <n v="81.599999999999994"/>
    <x v="3"/>
    <x v="0"/>
    <x v="0"/>
    <x v="0"/>
    <x v="0"/>
    <x v="0"/>
    <x v="0"/>
    <x v="0"/>
    <x v="0"/>
    <m/>
    <x v="0"/>
    <n v="0.28000000000000003"/>
    <n v="0.32258064516129042"/>
    <x v="1"/>
    <n v="2.5703999999999998"/>
  </r>
  <r>
    <n v="4078"/>
    <s v="3"/>
    <x v="5"/>
    <n v="350.46"/>
    <x v="3"/>
    <x v="1"/>
    <x v="0"/>
    <x v="0"/>
    <x v="1"/>
    <x v="0"/>
    <x v="0"/>
    <x v="0"/>
    <x v="0"/>
    <m/>
    <x v="0"/>
    <n v="0.28000000000000003"/>
    <n v="0.32254348577352848"/>
    <x v="1"/>
    <n v="11.039489999999999"/>
  </r>
  <r>
    <n v="4140"/>
    <s v="B1"/>
    <x v="5"/>
    <n v="14"/>
    <x v="0"/>
    <x v="0"/>
    <x v="0"/>
    <x v="0"/>
    <x v="0"/>
    <x v="0"/>
    <x v="0"/>
    <x v="0"/>
    <x v="0"/>
    <m/>
    <x v="0"/>
    <n v="0.43583333333333346"/>
    <n v="0.43809979562954715"/>
    <x v="1"/>
    <n v="0.441"/>
  </r>
  <r>
    <n v="4140"/>
    <s v="B2"/>
    <x v="5"/>
    <n v="14"/>
    <x v="0"/>
    <x v="0"/>
    <x v="0"/>
    <x v="0"/>
    <x v="0"/>
    <x v="0"/>
    <x v="0"/>
    <x v="0"/>
    <x v="0"/>
    <m/>
    <x v="0"/>
    <n v="0.47916666666666674"/>
    <n v="0.44184538860096628"/>
    <x v="1"/>
    <n v="0.441"/>
  </r>
  <r>
    <n v="4140"/>
    <s v="B3"/>
    <x v="5"/>
    <n v="17"/>
    <x v="0"/>
    <x v="0"/>
    <x v="0"/>
    <x v="0"/>
    <x v="0"/>
    <x v="0"/>
    <x v="0"/>
    <x v="0"/>
    <x v="0"/>
    <m/>
    <x v="0"/>
    <n v="0.47916666666666674"/>
    <n v="0.44184538860096628"/>
    <x v="1"/>
    <n v="0.53549999999999998"/>
  </r>
  <r>
    <n v="4140"/>
    <s v="B4"/>
    <x v="5"/>
    <n v="54.4"/>
    <x v="0"/>
    <x v="0"/>
    <x v="0"/>
    <x v="0"/>
    <x v="0"/>
    <x v="0"/>
    <x v="0"/>
    <x v="0"/>
    <x v="0"/>
    <m/>
    <x v="0"/>
    <n v="0.47583333333333333"/>
    <n v="0.43671944594087675"/>
    <x v="1"/>
    <n v="1.7136"/>
  </r>
  <r>
    <n v="4140"/>
    <s v="B5"/>
    <x v="5"/>
    <n v="81.599999999999994"/>
    <x v="0"/>
    <x v="0"/>
    <x v="0"/>
    <x v="0"/>
    <x v="0"/>
    <x v="0"/>
    <x v="0"/>
    <x v="0"/>
    <x v="0"/>
    <m/>
    <x v="0"/>
    <n v="0.47499999999999998"/>
    <n v="0.43560412621303923"/>
    <x v="1"/>
    <n v="2.5703999999999998"/>
  </r>
  <r>
    <n v="4143"/>
    <s v="1"/>
    <x v="5"/>
    <n v="345.6"/>
    <x v="0"/>
    <x v="1"/>
    <x v="8"/>
    <x v="0"/>
    <x v="1"/>
    <x v="0"/>
    <x v="0"/>
    <x v="0"/>
    <x v="0"/>
    <m/>
    <x v="0"/>
    <n v="0.46333333333333337"/>
    <n v="0.47531669312160268"/>
    <x v="1"/>
    <n v="10.8864"/>
  </r>
  <r>
    <n v="4158"/>
    <s v="BW41"/>
    <x v="3"/>
    <n v="113.636"/>
    <x v="3"/>
    <x v="0"/>
    <x v="0"/>
    <x v="0"/>
    <x v="0"/>
    <x v="0"/>
    <x v="0"/>
    <x v="0"/>
    <x v="0"/>
    <m/>
    <x v="0"/>
    <n v="0.37333333333333329"/>
    <n v="0.45863636343449765"/>
    <x v="1"/>
    <n v="3.5795339999999998"/>
  </r>
  <r>
    <n v="4158"/>
    <s v="BW42"/>
    <x v="3"/>
    <n v="113.636"/>
    <x v="3"/>
    <x v="0"/>
    <x v="0"/>
    <x v="0"/>
    <x v="0"/>
    <x v="0"/>
    <x v="0"/>
    <x v="0"/>
    <x v="0"/>
    <m/>
    <x v="0"/>
    <n v="0.3725"/>
    <n v="0.45821164435719736"/>
    <x v="1"/>
    <n v="3.5795339999999998"/>
  </r>
  <r>
    <n v="4158"/>
    <s v="BW43"/>
    <x v="3"/>
    <n v="229.5"/>
    <x v="3"/>
    <x v="0"/>
    <x v="0"/>
    <x v="0"/>
    <x v="0"/>
    <x v="0"/>
    <x v="0"/>
    <x v="0"/>
    <x v="0"/>
    <m/>
    <x v="0"/>
    <n v="0.33500000000000002"/>
    <n v="0.40432465623412556"/>
    <x v="1"/>
    <n v="7.2292500000000004"/>
  </r>
  <r>
    <n v="4158"/>
    <s v="BW44"/>
    <x v="3"/>
    <n v="360"/>
    <x v="3"/>
    <x v="3"/>
    <x v="9"/>
    <x v="0"/>
    <x v="0"/>
    <x v="0"/>
    <x v="0"/>
    <x v="4"/>
    <x v="0"/>
    <s v="SC44"/>
    <x v="1"/>
    <n v="0.36416666666666669"/>
    <n v="0.44447968243183339"/>
    <x v="1"/>
    <n v="11.34"/>
  </r>
  <r>
    <n v="4162"/>
    <s v="1"/>
    <x v="3"/>
    <n v="163.19999999999999"/>
    <x v="0"/>
    <x v="3"/>
    <x v="9"/>
    <x v="0"/>
    <x v="0"/>
    <x v="0"/>
    <x v="0"/>
    <x v="0"/>
    <x v="0"/>
    <m/>
    <x v="0"/>
    <n v="0.56833333333333325"/>
    <n v="0.57351536568329697"/>
    <x v="1"/>
    <n v="5.1407999999999996"/>
  </r>
  <r>
    <n v="4162"/>
    <s v="2"/>
    <x v="3"/>
    <n v="217.6"/>
    <x v="0"/>
    <x v="3"/>
    <x v="9"/>
    <x v="0"/>
    <x v="0"/>
    <x v="0"/>
    <x v="0"/>
    <x v="0"/>
    <x v="0"/>
    <m/>
    <x v="0"/>
    <n v="0.55583333333333329"/>
    <n v="0.5607529307792386"/>
    <x v="1"/>
    <n v="6.8544"/>
  </r>
  <r>
    <n v="4162"/>
    <s v="3"/>
    <x v="3"/>
    <n v="326.39999999999998"/>
    <x v="0"/>
    <x v="1"/>
    <x v="1"/>
    <x v="0"/>
    <x v="1"/>
    <x v="0"/>
    <x v="0"/>
    <x v="2"/>
    <x v="0"/>
    <s v="3"/>
    <x v="1"/>
    <n v="1.1091666666666666"/>
    <n v="1.1221324208271586"/>
    <x v="0"/>
    <n v="10.281599999999999"/>
  </r>
  <r>
    <n v="4271"/>
    <s v="B1"/>
    <x v="5"/>
    <n v="387"/>
    <x v="3"/>
    <x v="6"/>
    <x v="0"/>
    <x v="0"/>
    <x v="0"/>
    <x v="0"/>
    <x v="0"/>
    <x v="0"/>
    <x v="0"/>
    <m/>
    <x v="0"/>
    <n v="0.24916666666666668"/>
    <n v="0.28482722044406183"/>
    <x v="1"/>
    <n v="12.1905"/>
  </r>
  <r>
    <n v="4941"/>
    <s v="1"/>
    <x v="3"/>
    <n v="803.16"/>
    <x v="3"/>
    <x v="6"/>
    <x v="0"/>
    <x v="0"/>
    <x v="0"/>
    <x v="0"/>
    <x v="0"/>
    <x v="1"/>
    <x v="0"/>
    <s v="1"/>
    <x v="1"/>
    <n v="0.52583333333333337"/>
    <n v="0.4814672504831366"/>
    <x v="1"/>
    <n v="25.29954"/>
  </r>
  <r>
    <n v="4941"/>
    <s v="2"/>
    <x v="3"/>
    <n v="803.16"/>
    <x v="3"/>
    <x v="6"/>
    <x v="0"/>
    <x v="0"/>
    <x v="0"/>
    <x v="0"/>
    <x v="0"/>
    <x v="1"/>
    <x v="0"/>
    <s v="2"/>
    <x v="1"/>
    <n v="0.52583333333333337"/>
    <n v="0.4814672504831366"/>
    <x v="1"/>
    <n v="25.29954"/>
  </r>
  <r>
    <n v="4941"/>
    <s v="3"/>
    <x v="3"/>
    <n v="803.16"/>
    <x v="3"/>
    <x v="6"/>
    <x v="0"/>
    <x v="0"/>
    <x v="0"/>
    <x v="0"/>
    <x v="0"/>
    <x v="1"/>
    <x v="0"/>
    <s v="3"/>
    <x v="1"/>
    <n v="0.52583333333333337"/>
    <n v="0.4814672504831366"/>
    <x v="1"/>
    <n v="25.29954"/>
  </r>
  <r>
    <n v="6002"/>
    <s v="1"/>
    <x v="0"/>
    <n v="705.5"/>
    <x v="0"/>
    <x v="1"/>
    <x v="0"/>
    <x v="0"/>
    <x v="1"/>
    <x v="0"/>
    <x v="0"/>
    <x v="0"/>
    <x v="0"/>
    <m/>
    <x v="0"/>
    <n v="0.30333333333333334"/>
    <n v="0.3476922548582268"/>
    <x v="1"/>
    <n v="22.22325"/>
  </r>
  <r>
    <n v="6002"/>
    <s v="2"/>
    <x v="0"/>
    <n v="705.5"/>
    <x v="0"/>
    <x v="1"/>
    <x v="0"/>
    <x v="0"/>
    <x v="1"/>
    <x v="0"/>
    <x v="0"/>
    <x v="0"/>
    <x v="0"/>
    <m/>
    <x v="0"/>
    <n v="0.30249999999999999"/>
    <n v="0.34585703589026712"/>
    <x v="1"/>
    <n v="22.22325"/>
  </r>
  <r>
    <n v="6002"/>
    <s v="3"/>
    <x v="0"/>
    <n v="705.5"/>
    <x v="0"/>
    <x v="1"/>
    <x v="0"/>
    <x v="0"/>
    <x v="1"/>
    <x v="0"/>
    <x v="0"/>
    <x v="0"/>
    <x v="0"/>
    <m/>
    <x v="0"/>
    <n v="0.30583333333333335"/>
    <n v="0.34965446971094422"/>
    <x v="1"/>
    <n v="22.22325"/>
  </r>
  <r>
    <n v="6002"/>
    <s v="4"/>
    <x v="0"/>
    <n v="705.5"/>
    <x v="0"/>
    <x v="1"/>
    <x v="0"/>
    <x v="0"/>
    <x v="1"/>
    <x v="0"/>
    <x v="0"/>
    <x v="0"/>
    <x v="0"/>
    <m/>
    <x v="0"/>
    <n v="0.30166666666666669"/>
    <n v="0.34535713128124074"/>
    <x v="1"/>
    <n v="22.22325"/>
  </r>
  <r>
    <n v="6004"/>
    <s v="1"/>
    <x v="4"/>
    <n v="684"/>
    <x v="0"/>
    <x v="1"/>
    <x v="0"/>
    <x v="0"/>
    <x v="1"/>
    <x v="0"/>
    <x v="0"/>
    <x v="2"/>
    <x v="0"/>
    <s v="1"/>
    <x v="1"/>
    <n v="4.0324999999999998"/>
    <n v="3.304936013017191"/>
    <x v="2"/>
    <n v="21.545999999999999"/>
  </r>
  <r>
    <n v="6004"/>
    <s v="2"/>
    <x v="4"/>
    <n v="684"/>
    <x v="0"/>
    <x v="1"/>
    <x v="0"/>
    <x v="0"/>
    <x v="1"/>
    <x v="0"/>
    <x v="0"/>
    <x v="2"/>
    <x v="0"/>
    <s v="2"/>
    <x v="1"/>
    <n v="3.3308333333333331"/>
    <n v="3.2752551604155316"/>
    <x v="2"/>
    <n v="21.545999999999999"/>
  </r>
  <r>
    <n v="6009"/>
    <s v="1"/>
    <x v="1"/>
    <n v="850"/>
    <x v="3"/>
    <x v="2"/>
    <x v="0"/>
    <x v="0"/>
    <x v="0"/>
    <x v="0"/>
    <x v="0"/>
    <x v="0"/>
    <x v="0"/>
    <m/>
    <x v="0"/>
    <n v="0.33750000000000002"/>
    <n v="0.39981714118168438"/>
    <x v="1"/>
    <n v="26.774999999999999"/>
  </r>
  <r>
    <n v="6009"/>
    <s v="2"/>
    <x v="1"/>
    <n v="850"/>
    <x v="3"/>
    <x v="2"/>
    <x v="0"/>
    <x v="0"/>
    <x v="0"/>
    <x v="0"/>
    <x v="0"/>
    <x v="0"/>
    <x v="0"/>
    <m/>
    <x v="0"/>
    <n v="0.30666666666666664"/>
    <n v="0.39660998066180525"/>
    <x v="1"/>
    <n v="26.774999999999999"/>
  </r>
  <r>
    <n v="6016"/>
    <s v="1"/>
    <x v="5"/>
    <n v="441"/>
    <x v="0"/>
    <x v="1"/>
    <x v="0"/>
    <x v="0"/>
    <x v="1"/>
    <x v="0"/>
    <x v="0"/>
    <x v="4"/>
    <x v="0"/>
    <s v="1"/>
    <x v="1"/>
    <n v="3.355"/>
    <n v="3.1575426129114597"/>
    <x v="2"/>
    <n v="13.891500000000001"/>
  </r>
  <r>
    <n v="6017"/>
    <s v="1"/>
    <x v="5"/>
    <n v="617.4"/>
    <x v="0"/>
    <x v="1"/>
    <x v="0"/>
    <x v="0"/>
    <x v="1"/>
    <x v="0"/>
    <x v="0"/>
    <x v="0"/>
    <x v="0"/>
    <m/>
    <x v="0"/>
    <n v="0.21333333333333329"/>
    <n v="0.26629270399846078"/>
    <x v="1"/>
    <n v="19.4481"/>
  </r>
  <r>
    <n v="6017"/>
    <s v="2"/>
    <x v="5"/>
    <n v="617.4"/>
    <x v="0"/>
    <x v="1"/>
    <x v="0"/>
    <x v="0"/>
    <x v="1"/>
    <x v="0"/>
    <x v="0"/>
    <x v="0"/>
    <x v="0"/>
    <m/>
    <x v="0"/>
    <n v="0.23166666666666666"/>
    <n v="0.26503346718151216"/>
    <x v="1"/>
    <n v="19.4481"/>
  </r>
  <r>
    <n v="6018"/>
    <s v="2"/>
    <x v="0"/>
    <n v="669.28499999999997"/>
    <x v="0"/>
    <x v="1"/>
    <x v="0"/>
    <x v="0"/>
    <x v="1"/>
    <x v="0"/>
    <x v="0"/>
    <x v="3"/>
    <x v="0"/>
    <s v="2"/>
    <x v="1"/>
    <n v="2.9108333333333332"/>
    <n v="2.3828924909410447"/>
    <x v="2"/>
    <n v="21.0824775"/>
  </r>
  <r>
    <n v="6019"/>
    <s v="1"/>
    <x v="5"/>
    <n v="1425.6189999999999"/>
    <x v="0"/>
    <x v="1"/>
    <x v="0"/>
    <x v="0"/>
    <x v="1"/>
    <x v="0"/>
    <x v="0"/>
    <x v="1"/>
    <x v="0"/>
    <s v="1"/>
    <x v="1"/>
    <n v="3.7958333333333338"/>
    <n v="3.109665266618423"/>
    <x v="2"/>
    <n v="44.9069985"/>
  </r>
  <r>
    <n v="6021"/>
    <s v="C1"/>
    <x v="3"/>
    <n v="446.4"/>
    <x v="0"/>
    <x v="1"/>
    <x v="0"/>
    <x v="0"/>
    <x v="1"/>
    <x v="0"/>
    <x v="0"/>
    <x v="1"/>
    <x v="0"/>
    <s v="C1"/>
    <x v="1"/>
    <n v="0.43583333333333329"/>
    <n v="0.43140938994398148"/>
    <x v="1"/>
    <n v="14.061599999999999"/>
  </r>
  <r>
    <n v="6021"/>
    <s v="C2"/>
    <x v="3"/>
    <n v="446.4"/>
    <x v="0"/>
    <x v="1"/>
    <x v="0"/>
    <x v="0"/>
    <x v="1"/>
    <x v="0"/>
    <x v="0"/>
    <x v="1"/>
    <x v="0"/>
    <s v="C2"/>
    <x v="1"/>
    <n v="0.41416666666666674"/>
    <n v="0.40692124160921678"/>
    <x v="1"/>
    <n v="14.061599999999999"/>
  </r>
  <r>
    <n v="6021"/>
    <s v="C3"/>
    <x v="3"/>
    <n v="446.4"/>
    <x v="0"/>
    <x v="1"/>
    <x v="0"/>
    <x v="0"/>
    <x v="1"/>
    <x v="0"/>
    <x v="0"/>
    <x v="3"/>
    <x v="0"/>
    <s v="C3"/>
    <x v="1"/>
    <n v="0.38916666666666666"/>
    <n v="0.37795637831219481"/>
    <x v="1"/>
    <n v="14.061599999999999"/>
  </r>
  <r>
    <n v="6030"/>
    <s v="1"/>
    <x v="2"/>
    <n v="604.99900000000002"/>
    <x v="2"/>
    <x v="2"/>
    <x v="2"/>
    <x v="0"/>
    <x v="0"/>
    <x v="0"/>
    <x v="0"/>
    <x v="1"/>
    <x v="0"/>
    <s v="1"/>
    <x v="1"/>
    <n v="0.61916666666666664"/>
    <n v="0.99854518459214869"/>
    <x v="0"/>
    <n v="19.057468500000002"/>
  </r>
  <r>
    <n v="6030"/>
    <s v="2"/>
    <x v="2"/>
    <n v="604.99900000000002"/>
    <x v="2"/>
    <x v="2"/>
    <x v="2"/>
    <x v="0"/>
    <x v="0"/>
    <x v="0"/>
    <x v="0"/>
    <x v="1"/>
    <x v="0"/>
    <s v="2"/>
    <x v="1"/>
    <n v="0.61916666666666664"/>
    <n v="0.99854518459214869"/>
    <x v="0"/>
    <n v="19.057468500000002"/>
  </r>
  <r>
    <n v="6031"/>
    <s v="2"/>
    <x v="5"/>
    <n v="666.44799999999998"/>
    <x v="0"/>
    <x v="1"/>
    <x v="0"/>
    <x v="0"/>
    <x v="1"/>
    <x v="0"/>
    <x v="0"/>
    <x v="0"/>
    <x v="0"/>
    <m/>
    <x v="0"/>
    <n v="0.64416666666666667"/>
    <n v="0.54817978051738159"/>
    <x v="1"/>
    <n v="20.993112"/>
  </r>
  <r>
    <n v="6034"/>
    <s v="1"/>
    <x v="5"/>
    <n v="697.5"/>
    <x v="3"/>
    <x v="1"/>
    <x v="0"/>
    <x v="0"/>
    <x v="1"/>
    <x v="0"/>
    <x v="0"/>
    <x v="0"/>
    <x v="0"/>
    <m/>
    <x v="0"/>
    <n v="0.35083333333333333"/>
    <n v="0.37638031437037284"/>
    <x v="1"/>
    <n v="21.971250000000001"/>
  </r>
  <r>
    <n v="6034"/>
    <s v="2"/>
    <x v="5"/>
    <n v="697.5"/>
    <x v="3"/>
    <x v="1"/>
    <x v="0"/>
    <x v="0"/>
    <x v="1"/>
    <x v="0"/>
    <x v="0"/>
    <x v="0"/>
    <x v="0"/>
    <m/>
    <x v="0"/>
    <n v="0.35333333333333328"/>
    <n v="0.37966903277688951"/>
    <x v="1"/>
    <n v="21.971250000000001"/>
  </r>
  <r>
    <n v="6041"/>
    <s v="1"/>
    <x v="0"/>
    <n v="305.22000000000003"/>
    <x v="0"/>
    <x v="1"/>
    <x v="0"/>
    <x v="0"/>
    <x v="1"/>
    <x v="0"/>
    <x v="0"/>
    <x v="0"/>
    <x v="0"/>
    <m/>
    <x v="0"/>
    <n v="0.89916666666666678"/>
    <n v="0.73690046056551317"/>
    <x v="0"/>
    <n v="9.6144300000000005"/>
  </r>
  <r>
    <n v="6041"/>
    <s v="2"/>
    <x v="0"/>
    <n v="508.29"/>
    <x v="0"/>
    <x v="1"/>
    <x v="0"/>
    <x v="0"/>
    <x v="1"/>
    <x v="0"/>
    <x v="0"/>
    <x v="3"/>
    <x v="0"/>
    <s v="2"/>
    <x v="1"/>
    <n v="0.70250000000000001"/>
    <n v="0.56600947473631946"/>
    <x v="1"/>
    <n v="16.011134999999999"/>
  </r>
  <r>
    <n v="6052"/>
    <s v="1"/>
    <x v="4"/>
    <n v="952"/>
    <x v="0"/>
    <x v="2"/>
    <x v="4"/>
    <x v="0"/>
    <x v="1"/>
    <x v="0"/>
    <x v="0"/>
    <x v="0"/>
    <x v="0"/>
    <m/>
    <x v="0"/>
    <n v="0.86833333333333318"/>
    <n v="0.75382659761425674"/>
    <x v="0"/>
    <n v="29.988"/>
  </r>
  <r>
    <n v="6052"/>
    <s v="2"/>
    <x v="4"/>
    <n v="952"/>
    <x v="0"/>
    <x v="2"/>
    <x v="0"/>
    <x v="0"/>
    <x v="0"/>
    <x v="0"/>
    <x v="0"/>
    <x v="0"/>
    <x v="0"/>
    <m/>
    <x v="0"/>
    <n v="0.80166666666666664"/>
    <n v="0.76999192843748443"/>
    <x v="0"/>
    <n v="29.988"/>
  </r>
  <r>
    <n v="6055"/>
    <s v="2B1"/>
    <x v="1"/>
    <n v="559.10299999999995"/>
    <x v="3"/>
    <x v="1"/>
    <x v="0"/>
    <x v="0"/>
    <x v="1"/>
    <x v="0"/>
    <x v="0"/>
    <x v="0"/>
    <x v="0"/>
    <m/>
    <x v="0"/>
    <n v="0.3175"/>
    <n v="0.42405940809596382"/>
    <x v="1"/>
    <n v="17.6117445"/>
  </r>
  <r>
    <n v="6055"/>
    <s v="2B2"/>
    <x v="1"/>
    <n v="559.10299999999995"/>
    <x v="3"/>
    <x v="1"/>
    <x v="0"/>
    <x v="0"/>
    <x v="1"/>
    <x v="0"/>
    <x v="0"/>
    <x v="0"/>
    <x v="0"/>
    <m/>
    <x v="0"/>
    <n v="0.34416666666666668"/>
    <n v="0.42206125501580671"/>
    <x v="1"/>
    <n v="17.6117445"/>
  </r>
  <r>
    <n v="6055"/>
    <s v="2B3"/>
    <x v="1"/>
    <n v="560.00199999999995"/>
    <x v="3"/>
    <x v="1"/>
    <x v="0"/>
    <x v="0"/>
    <x v="1"/>
    <x v="0"/>
    <x v="0"/>
    <x v="0"/>
    <x v="0"/>
    <m/>
    <x v="0"/>
    <n v="0.34416666666666668"/>
    <n v="0.4239415368699308"/>
    <x v="1"/>
    <n v="17.640062999999998"/>
  </r>
  <r>
    <n v="6061"/>
    <s v="1"/>
    <x v="0"/>
    <n v="200"/>
    <x v="0"/>
    <x v="1"/>
    <x v="0"/>
    <x v="0"/>
    <x v="1"/>
    <x v="0"/>
    <x v="0"/>
    <x v="1"/>
    <x v="4"/>
    <s v="1"/>
    <x v="1"/>
    <n v="0.91749999999999998"/>
    <n v="0.74255295842159652"/>
    <x v="0"/>
    <n v="6.3"/>
  </r>
  <r>
    <n v="6061"/>
    <s v="2"/>
    <x v="0"/>
    <n v="200"/>
    <x v="0"/>
    <x v="1"/>
    <x v="0"/>
    <x v="0"/>
    <x v="1"/>
    <x v="0"/>
    <x v="0"/>
    <x v="1"/>
    <x v="4"/>
    <s v="2"/>
    <x v="1"/>
    <n v="0.91749999999999998"/>
    <n v="0.74255295842159652"/>
    <x v="0"/>
    <n v="6.3"/>
  </r>
  <r>
    <n v="6064"/>
    <s v="N1"/>
    <x v="2"/>
    <n v="261"/>
    <x v="3"/>
    <x v="1"/>
    <x v="0"/>
    <x v="0"/>
    <x v="1"/>
    <x v="0"/>
    <x v="0"/>
    <x v="0"/>
    <x v="0"/>
    <m/>
    <x v="0"/>
    <n v="0.3658333333333334"/>
    <n v="0.44441284045001267"/>
    <x v="1"/>
    <n v="8.2215000000000007"/>
  </r>
  <r>
    <n v="6065"/>
    <s v="1"/>
    <x v="2"/>
    <n v="725.85"/>
    <x v="3"/>
    <x v="1"/>
    <x v="0"/>
    <x v="0"/>
    <x v="1"/>
    <x v="0"/>
    <x v="0"/>
    <x v="0"/>
    <x v="0"/>
    <m/>
    <x v="0"/>
    <n v="0.28333333333333327"/>
    <n v="0.35215283548916998"/>
    <x v="1"/>
    <n v="22.864274999999999"/>
  </r>
  <r>
    <n v="6068"/>
    <s v="1"/>
    <x v="2"/>
    <n v="720"/>
    <x v="3"/>
    <x v="6"/>
    <x v="0"/>
    <x v="0"/>
    <x v="0"/>
    <x v="0"/>
    <x v="0"/>
    <x v="1"/>
    <x v="0"/>
    <s v="1"/>
    <x v="1"/>
    <n v="0.33916666666666662"/>
    <n v="0.40452824663500947"/>
    <x v="1"/>
    <n v="22.68"/>
  </r>
  <r>
    <n v="6068"/>
    <s v="2"/>
    <x v="2"/>
    <n v="720"/>
    <x v="3"/>
    <x v="6"/>
    <x v="0"/>
    <x v="0"/>
    <x v="0"/>
    <x v="0"/>
    <x v="0"/>
    <x v="1"/>
    <x v="0"/>
    <s v="2"/>
    <x v="1"/>
    <n v="0.33916666666666662"/>
    <n v="0.40411833208087838"/>
    <x v="1"/>
    <n v="22.68"/>
  </r>
  <r>
    <n v="6068"/>
    <s v="3"/>
    <x v="2"/>
    <n v="720"/>
    <x v="3"/>
    <x v="6"/>
    <x v="0"/>
    <x v="0"/>
    <x v="0"/>
    <x v="0"/>
    <x v="0"/>
    <x v="1"/>
    <x v="0"/>
    <s v="3"/>
    <x v="1"/>
    <n v="0.33916666666666662"/>
    <n v="0.40411833208087838"/>
    <x v="1"/>
    <n v="22.68"/>
  </r>
  <r>
    <n v="6071"/>
    <s v="1"/>
    <x v="0"/>
    <n v="566.1"/>
    <x v="0"/>
    <x v="1"/>
    <x v="0"/>
    <x v="0"/>
    <x v="1"/>
    <x v="0"/>
    <x v="0"/>
    <x v="1"/>
    <x v="0"/>
    <s v="1"/>
    <x v="1"/>
    <n v="3.56"/>
    <n v="3.0639914473700078"/>
    <x v="2"/>
    <n v="17.832150000000002"/>
  </r>
  <r>
    <n v="6073"/>
    <s v="1"/>
    <x v="0"/>
    <n v="500"/>
    <x v="0"/>
    <x v="0"/>
    <x v="0"/>
    <x v="0"/>
    <x v="0"/>
    <x v="0"/>
    <x v="0"/>
    <x v="0"/>
    <x v="0"/>
    <m/>
    <x v="0"/>
    <n v="0.44"/>
    <n v="0.41629239514525124"/>
    <x v="1"/>
    <n v="15.75"/>
  </r>
  <r>
    <n v="6073"/>
    <s v="2"/>
    <x v="0"/>
    <n v="500"/>
    <x v="0"/>
    <x v="0"/>
    <x v="0"/>
    <x v="0"/>
    <x v="0"/>
    <x v="0"/>
    <x v="0"/>
    <x v="0"/>
    <x v="0"/>
    <m/>
    <x v="0"/>
    <n v="0.45083333333333325"/>
    <n v="0.4209020104559657"/>
    <x v="1"/>
    <n v="15.75"/>
  </r>
  <r>
    <n v="6076"/>
    <s v="1"/>
    <x v="3"/>
    <n v="358.4"/>
    <x v="3"/>
    <x v="1"/>
    <x v="1"/>
    <x v="0"/>
    <x v="1"/>
    <x v="0"/>
    <x v="0"/>
    <x v="4"/>
    <x v="0"/>
    <s v="1"/>
    <x v="1"/>
    <n v="0.69166666666666654"/>
    <n v="0.81631965607317758"/>
    <x v="0"/>
    <n v="11.2896"/>
  </r>
  <r>
    <n v="6076"/>
    <s v="2"/>
    <x v="3"/>
    <n v="358.4"/>
    <x v="3"/>
    <x v="1"/>
    <x v="1"/>
    <x v="0"/>
    <x v="1"/>
    <x v="0"/>
    <x v="0"/>
    <x v="4"/>
    <x v="0"/>
    <s v="2"/>
    <x v="1"/>
    <n v="0.69166666666666654"/>
    <n v="0.81631965607317758"/>
    <x v="0"/>
    <n v="11.2896"/>
  </r>
  <r>
    <n v="6076"/>
    <s v="3"/>
    <x v="3"/>
    <n v="805"/>
    <x v="3"/>
    <x v="2"/>
    <x v="0"/>
    <x v="0"/>
    <x v="0"/>
    <x v="0"/>
    <x v="0"/>
    <x v="4"/>
    <x v="0"/>
    <s v="3"/>
    <x v="1"/>
    <n v="0.76083333333333325"/>
    <n v="0.90205679288873941"/>
    <x v="0"/>
    <n v="25.357500000000002"/>
  </r>
  <r>
    <n v="6076"/>
    <s v="4"/>
    <x v="3"/>
    <n v="805"/>
    <x v="3"/>
    <x v="2"/>
    <x v="0"/>
    <x v="0"/>
    <x v="0"/>
    <x v="0"/>
    <x v="0"/>
    <x v="4"/>
    <x v="0"/>
    <s v="4"/>
    <x v="1"/>
    <n v="0.76083333333333325"/>
    <n v="0.90205679288873941"/>
    <x v="0"/>
    <n v="25.357500000000002"/>
  </r>
  <r>
    <n v="6077"/>
    <s v="1"/>
    <x v="2"/>
    <n v="681.3"/>
    <x v="3"/>
    <x v="2"/>
    <x v="0"/>
    <x v="0"/>
    <x v="0"/>
    <x v="0"/>
    <x v="0"/>
    <x v="0"/>
    <x v="0"/>
    <m/>
    <x v="0"/>
    <n v="0.24916666666666668"/>
    <n v="0.34739704103877289"/>
    <x v="1"/>
    <n v="21.46095"/>
  </r>
  <r>
    <n v="6077"/>
    <s v="2"/>
    <x v="2"/>
    <n v="681.3"/>
    <x v="3"/>
    <x v="1"/>
    <x v="0"/>
    <x v="0"/>
    <x v="1"/>
    <x v="0"/>
    <x v="0"/>
    <x v="0"/>
    <x v="0"/>
    <m/>
    <x v="0"/>
    <n v="0.29583333333333339"/>
    <n v="0.34324366485448166"/>
    <x v="1"/>
    <n v="21.46095"/>
  </r>
  <r>
    <n v="6082"/>
    <s v="1"/>
    <x v="7"/>
    <n v="655.10500000000002"/>
    <x v="0"/>
    <x v="1"/>
    <x v="3"/>
    <x v="0"/>
    <x v="1"/>
    <x v="1"/>
    <x v="0"/>
    <x v="1"/>
    <x v="0"/>
    <s v="1"/>
    <x v="1"/>
    <n v="2.3624999999999998"/>
    <n v="1.8007021896227655"/>
    <x v="2"/>
    <n v="20.635807500000002"/>
  </r>
  <r>
    <n v="6085"/>
    <s v="14"/>
    <x v="5"/>
    <n v="540"/>
    <x v="3"/>
    <x v="0"/>
    <x v="0"/>
    <x v="0"/>
    <x v="0"/>
    <x v="0"/>
    <x v="0"/>
    <x v="0"/>
    <x v="0"/>
    <m/>
    <x v="0"/>
    <n v="0.44750000000000001"/>
    <n v="0.45942133332860707"/>
    <x v="1"/>
    <n v="17.010000000000002"/>
  </r>
  <r>
    <n v="6085"/>
    <s v="15"/>
    <x v="5"/>
    <n v="556.38"/>
    <x v="3"/>
    <x v="2"/>
    <x v="9"/>
    <x v="1"/>
    <x v="1"/>
    <x v="0"/>
    <x v="0"/>
    <x v="0"/>
    <x v="0"/>
    <m/>
    <x v="0"/>
    <n v="0.36583333333333329"/>
    <n v="0.41650115179382063"/>
    <x v="1"/>
    <n v="17.525970000000001"/>
  </r>
  <r>
    <n v="6085"/>
    <s v="17"/>
    <x v="5"/>
    <n v="423.54"/>
    <x v="0"/>
    <x v="1"/>
    <x v="1"/>
    <x v="0"/>
    <x v="1"/>
    <x v="0"/>
    <x v="0"/>
    <x v="1"/>
    <x v="0"/>
    <s v="17"/>
    <x v="1"/>
    <n v="3.0375000000000001"/>
    <n v="2.5732311013025511"/>
    <x v="2"/>
    <n v="13.341510000000001"/>
  </r>
  <r>
    <n v="6085"/>
    <s v="18"/>
    <x v="5"/>
    <n v="423.54"/>
    <x v="0"/>
    <x v="1"/>
    <x v="1"/>
    <x v="0"/>
    <x v="1"/>
    <x v="0"/>
    <x v="0"/>
    <x v="1"/>
    <x v="0"/>
    <s v="18"/>
    <x v="1"/>
    <n v="3.0758333333333336"/>
    <n v="2.5970664800541341"/>
    <x v="2"/>
    <n v="13.341510000000001"/>
  </r>
  <r>
    <n v="6090"/>
    <s v="1"/>
    <x v="2"/>
    <n v="660"/>
    <x v="3"/>
    <x v="2"/>
    <x v="0"/>
    <x v="0"/>
    <x v="0"/>
    <x v="0"/>
    <x v="0"/>
    <x v="4"/>
    <x v="2"/>
    <s v="1"/>
    <x v="1"/>
    <n v="0.41583333333333333"/>
    <n v="0.47430209975916121"/>
    <x v="1"/>
    <n v="20.79"/>
  </r>
  <r>
    <n v="6090"/>
    <s v="2"/>
    <x v="2"/>
    <n v="660"/>
    <x v="3"/>
    <x v="1"/>
    <x v="0"/>
    <x v="0"/>
    <x v="1"/>
    <x v="0"/>
    <x v="0"/>
    <x v="1"/>
    <x v="4"/>
    <s v="2"/>
    <x v="1"/>
    <n v="0.38583333333333342"/>
    <n v="0.48041807353543731"/>
    <x v="1"/>
    <n v="20.79"/>
  </r>
  <r>
    <n v="6090"/>
    <s v="3"/>
    <x v="2"/>
    <n v="809"/>
    <x v="3"/>
    <x v="1"/>
    <x v="0"/>
    <x v="0"/>
    <x v="1"/>
    <x v="0"/>
    <x v="0"/>
    <x v="3"/>
    <x v="0"/>
    <s v="3"/>
    <x v="1"/>
    <n v="0.59333333333333327"/>
    <n v="0.67751934217234311"/>
    <x v="0"/>
    <n v="25.483499999999999"/>
  </r>
  <r>
    <n v="6094"/>
    <s v="1"/>
    <x v="7"/>
    <n v="913.75"/>
    <x v="0"/>
    <x v="1"/>
    <x v="1"/>
    <x v="0"/>
    <x v="1"/>
    <x v="0"/>
    <x v="0"/>
    <x v="4"/>
    <x v="0"/>
    <s v="1"/>
    <x v="1"/>
    <n v="3.5283333333333329"/>
    <n v="2.885879378284999"/>
    <x v="2"/>
    <n v="28.783124999999998"/>
  </r>
  <r>
    <n v="6094"/>
    <s v="2"/>
    <x v="7"/>
    <n v="913.75"/>
    <x v="0"/>
    <x v="1"/>
    <x v="1"/>
    <x v="0"/>
    <x v="1"/>
    <x v="0"/>
    <x v="0"/>
    <x v="4"/>
    <x v="0"/>
    <s v="2"/>
    <x v="1"/>
    <n v="3.5274999999999999"/>
    <n v="2.8852392334405956"/>
    <x v="2"/>
    <n v="28.783124999999998"/>
  </r>
  <r>
    <n v="6094"/>
    <s v="3"/>
    <x v="7"/>
    <n v="913.75"/>
    <x v="0"/>
    <x v="2"/>
    <x v="4"/>
    <x v="0"/>
    <x v="1"/>
    <x v="0"/>
    <x v="0"/>
    <x v="1"/>
    <x v="0"/>
    <s v="3"/>
    <x v="1"/>
    <n v="3.7574999999999998"/>
    <n v="3.0978409738308721"/>
    <x v="2"/>
    <n v="28.783124999999998"/>
  </r>
  <r>
    <n v="6095"/>
    <s v="1"/>
    <x v="1"/>
    <n v="568.79999999999995"/>
    <x v="3"/>
    <x v="2"/>
    <x v="0"/>
    <x v="0"/>
    <x v="0"/>
    <x v="0"/>
    <x v="0"/>
    <x v="0"/>
    <x v="0"/>
    <m/>
    <x v="0"/>
    <n v="0.22500000000000001"/>
    <n v="0.25645118159456387"/>
    <x v="1"/>
    <n v="17.917199999999998"/>
  </r>
  <r>
    <n v="6095"/>
    <s v="2"/>
    <x v="1"/>
    <n v="568.79999999999995"/>
    <x v="3"/>
    <x v="2"/>
    <x v="0"/>
    <x v="0"/>
    <x v="0"/>
    <x v="0"/>
    <x v="0"/>
    <x v="0"/>
    <x v="0"/>
    <m/>
    <x v="0"/>
    <n v="0.22500000000000001"/>
    <n v="0.25645118159456387"/>
    <x v="1"/>
    <n v="17.917199999999998"/>
  </r>
  <r>
    <n v="6096"/>
    <s v="1"/>
    <x v="2"/>
    <n v="651.6"/>
    <x v="3"/>
    <x v="1"/>
    <x v="0"/>
    <x v="0"/>
    <x v="1"/>
    <x v="0"/>
    <x v="0"/>
    <x v="0"/>
    <x v="0"/>
    <m/>
    <x v="0"/>
    <n v="0.31166666666666665"/>
    <n v="0.3640146899921472"/>
    <x v="1"/>
    <n v="20.525400000000001"/>
  </r>
  <r>
    <n v="6098"/>
    <s v="1"/>
    <x v="2"/>
    <n v="456"/>
    <x v="3"/>
    <x v="0"/>
    <x v="0"/>
    <x v="0"/>
    <x v="0"/>
    <x v="0"/>
    <x v="0"/>
    <x v="0"/>
    <x v="0"/>
    <m/>
    <x v="0"/>
    <n v="0.31166666666666665"/>
    <n v="0.36873658772891243"/>
    <x v="1"/>
    <n v="14.364000000000001"/>
  </r>
  <r>
    <n v="6101"/>
    <s v="BW91"/>
    <x v="3"/>
    <n v="362.07"/>
    <x v="3"/>
    <x v="1"/>
    <x v="0"/>
    <x v="0"/>
    <x v="1"/>
    <x v="0"/>
    <x v="0"/>
    <x v="3"/>
    <x v="0"/>
    <s v="SC91"/>
    <x v="1"/>
    <n v="0.5625"/>
    <n v="0.69877358600045181"/>
    <x v="0"/>
    <n v="11.405205"/>
  </r>
  <r>
    <n v="6106"/>
    <s v="1SG"/>
    <x v="8"/>
    <n v="594.70000000000005"/>
    <x v="0"/>
    <x v="1"/>
    <x v="1"/>
    <x v="0"/>
    <x v="1"/>
    <x v="0"/>
    <x v="0"/>
    <x v="0"/>
    <x v="0"/>
    <m/>
    <x v="0"/>
    <n v="0.32416666666666666"/>
    <n v="0.41597101494791616"/>
    <x v="1"/>
    <n v="18.733050000000002"/>
  </r>
  <r>
    <n v="6113"/>
    <s v="1"/>
    <x v="5"/>
    <n v="667.98"/>
    <x v="0"/>
    <x v="1"/>
    <x v="8"/>
    <x v="0"/>
    <x v="1"/>
    <x v="0"/>
    <x v="0"/>
    <x v="0"/>
    <x v="0"/>
    <m/>
    <x v="0"/>
    <n v="1.4366666666666665"/>
    <n v="1.3081931629351715"/>
    <x v="0"/>
    <n v="21.041370000000001"/>
  </r>
  <r>
    <n v="6113"/>
    <s v="2"/>
    <x v="5"/>
    <n v="667.98"/>
    <x v="0"/>
    <x v="1"/>
    <x v="8"/>
    <x v="0"/>
    <x v="1"/>
    <x v="0"/>
    <x v="0"/>
    <x v="0"/>
    <x v="0"/>
    <m/>
    <x v="0"/>
    <n v="1.4466666666666665"/>
    <n v="1.333162331837791"/>
    <x v="0"/>
    <n v="21.041370000000001"/>
  </r>
  <r>
    <n v="6113"/>
    <s v="3"/>
    <x v="5"/>
    <n v="667.98"/>
    <x v="0"/>
    <x v="1"/>
    <x v="1"/>
    <x v="0"/>
    <x v="1"/>
    <x v="0"/>
    <x v="0"/>
    <x v="0"/>
    <x v="0"/>
    <m/>
    <x v="0"/>
    <n v="1.5125"/>
    <n v="1.3821507339355323"/>
    <x v="0"/>
    <n v="21.041370000000001"/>
  </r>
  <r>
    <n v="6113"/>
    <s v="4"/>
    <x v="5"/>
    <n v="667.98"/>
    <x v="0"/>
    <x v="1"/>
    <x v="8"/>
    <x v="0"/>
    <x v="1"/>
    <x v="0"/>
    <x v="0"/>
    <x v="1"/>
    <x v="0"/>
    <s v="4"/>
    <x v="1"/>
    <n v="3.1825000000000001"/>
    <n v="2.8587117836586593"/>
    <x v="2"/>
    <n v="21.041370000000001"/>
  </r>
  <r>
    <n v="6113"/>
    <s v="5"/>
    <x v="5"/>
    <n v="667.98"/>
    <x v="0"/>
    <x v="1"/>
    <x v="0"/>
    <x v="0"/>
    <x v="1"/>
    <x v="0"/>
    <x v="0"/>
    <x v="1"/>
    <x v="0"/>
    <s v="5"/>
    <x v="1"/>
    <n v="3.1483333333333334"/>
    <n v="2.8362584970140947"/>
    <x v="2"/>
    <n v="21.041370000000001"/>
  </r>
  <r>
    <n v="6124"/>
    <s v="1"/>
    <x v="4"/>
    <n v="177.66"/>
    <x v="0"/>
    <x v="0"/>
    <x v="0"/>
    <x v="0"/>
    <x v="0"/>
    <x v="0"/>
    <x v="0"/>
    <x v="0"/>
    <x v="0"/>
    <m/>
    <x v="0"/>
    <n v="0.89666666666666661"/>
    <n v="0.76924074081654192"/>
    <x v="0"/>
    <n v="5.5962899999999998"/>
  </r>
  <r>
    <n v="6136"/>
    <s v="1"/>
    <x v="1"/>
    <n v="453.51"/>
    <x v="3"/>
    <x v="1"/>
    <x v="0"/>
    <x v="0"/>
    <x v="1"/>
    <x v="0"/>
    <x v="0"/>
    <x v="1"/>
    <x v="0"/>
    <s v="1"/>
    <x v="1"/>
    <n v="0.30083333333333329"/>
    <n v="0.35693109362545966"/>
    <x v="1"/>
    <n v="14.285565"/>
  </r>
  <r>
    <n v="6137"/>
    <s v="1"/>
    <x v="5"/>
    <n v="265.23"/>
    <x v="0"/>
    <x v="1"/>
    <x v="0"/>
    <x v="0"/>
    <x v="1"/>
    <x v="0"/>
    <x v="0"/>
    <x v="1"/>
    <x v="0"/>
    <s v="1"/>
    <x v="1"/>
    <n v="3.1549999999999998"/>
    <n v="2.724886275496349"/>
    <x v="2"/>
    <n v="8.3547450000000012"/>
  </r>
  <r>
    <n v="6137"/>
    <s v="2"/>
    <x v="5"/>
    <n v="265.23"/>
    <x v="0"/>
    <x v="1"/>
    <x v="0"/>
    <x v="0"/>
    <x v="1"/>
    <x v="0"/>
    <x v="0"/>
    <x v="1"/>
    <x v="0"/>
    <s v="2"/>
    <x v="1"/>
    <n v="3.1724999999999999"/>
    <n v="2.7408378840682115"/>
    <x v="2"/>
    <n v="8.3547450000000012"/>
  </r>
  <r>
    <n v="6138"/>
    <s v="1"/>
    <x v="1"/>
    <n v="558"/>
    <x v="3"/>
    <x v="1"/>
    <x v="0"/>
    <x v="0"/>
    <x v="1"/>
    <x v="0"/>
    <x v="0"/>
    <x v="0"/>
    <x v="0"/>
    <m/>
    <x v="0"/>
    <n v="0.36249999999999999"/>
    <n v="0.44439577397233099"/>
    <x v="1"/>
    <n v="17.577000000000002"/>
  </r>
  <r>
    <n v="6139"/>
    <s v="1"/>
    <x v="1"/>
    <n v="558"/>
    <x v="3"/>
    <x v="1"/>
    <x v="0"/>
    <x v="0"/>
    <x v="1"/>
    <x v="0"/>
    <x v="0"/>
    <x v="0"/>
    <x v="0"/>
    <m/>
    <x v="0"/>
    <n v="0.30833333333333329"/>
    <n v="0.36604646806875912"/>
    <x v="1"/>
    <n v="17.577000000000002"/>
  </r>
  <r>
    <n v="6139"/>
    <s v="2"/>
    <x v="1"/>
    <n v="558"/>
    <x v="3"/>
    <x v="1"/>
    <x v="0"/>
    <x v="0"/>
    <x v="1"/>
    <x v="0"/>
    <x v="0"/>
    <x v="0"/>
    <x v="0"/>
    <m/>
    <x v="0"/>
    <n v="0.30833333333333329"/>
    <n v="0.36604635312101408"/>
    <x v="1"/>
    <n v="17.577000000000002"/>
  </r>
  <r>
    <n v="6139"/>
    <s v="3"/>
    <x v="1"/>
    <n v="558"/>
    <x v="3"/>
    <x v="1"/>
    <x v="0"/>
    <x v="0"/>
    <x v="1"/>
    <x v="0"/>
    <x v="0"/>
    <x v="0"/>
    <x v="0"/>
    <m/>
    <x v="0"/>
    <n v="0.28249999999999997"/>
    <n v="0.3656587779374334"/>
    <x v="1"/>
    <n v="17.577000000000002"/>
  </r>
  <r>
    <n v="6146"/>
    <s v="1"/>
    <x v="1"/>
    <n v="793.25"/>
    <x v="2"/>
    <x v="0"/>
    <x v="0"/>
    <x v="0"/>
    <x v="0"/>
    <x v="0"/>
    <x v="0"/>
    <x v="1"/>
    <x v="3"/>
    <s v="1"/>
    <x v="1"/>
    <n v="1.03"/>
    <n v="1.529667812423215"/>
    <x v="0"/>
    <n v="24.987375"/>
  </r>
  <r>
    <n v="6146"/>
    <s v="2"/>
    <x v="1"/>
    <n v="793.25"/>
    <x v="2"/>
    <x v="0"/>
    <x v="0"/>
    <x v="0"/>
    <x v="0"/>
    <x v="0"/>
    <x v="0"/>
    <x v="1"/>
    <x v="3"/>
    <s v="2"/>
    <x v="1"/>
    <n v="1.0049999999999999"/>
    <n v="1.4857623954676382"/>
    <x v="0"/>
    <n v="24.987375"/>
  </r>
  <r>
    <n v="6146"/>
    <s v="3"/>
    <x v="1"/>
    <n v="793.25"/>
    <x v="2"/>
    <x v="0"/>
    <x v="0"/>
    <x v="0"/>
    <x v="0"/>
    <x v="0"/>
    <x v="0"/>
    <x v="1"/>
    <x v="3"/>
    <s v="3"/>
    <x v="1"/>
    <n v="1.1116666666666666"/>
    <n v="1.6885444386694948"/>
    <x v="2"/>
    <n v="24.987375"/>
  </r>
  <r>
    <n v="6147"/>
    <s v="1"/>
    <x v="1"/>
    <n v="593.4"/>
    <x v="2"/>
    <x v="0"/>
    <x v="0"/>
    <x v="0"/>
    <x v="0"/>
    <x v="0"/>
    <x v="0"/>
    <x v="0"/>
    <x v="0"/>
    <m/>
    <x v="0"/>
    <n v="0.5083333333333333"/>
    <n v="0.87051132996317948"/>
    <x v="0"/>
    <n v="18.6921"/>
  </r>
  <r>
    <n v="6147"/>
    <s v="2"/>
    <x v="1"/>
    <n v="593.4"/>
    <x v="2"/>
    <x v="0"/>
    <x v="0"/>
    <x v="0"/>
    <x v="0"/>
    <x v="0"/>
    <x v="0"/>
    <x v="0"/>
    <x v="0"/>
    <m/>
    <x v="0"/>
    <n v="0.53333333333333333"/>
    <n v="0.89440411352655202"/>
    <x v="0"/>
    <n v="18.6921"/>
  </r>
  <r>
    <n v="6147"/>
    <s v="3"/>
    <x v="1"/>
    <n v="793.25"/>
    <x v="2"/>
    <x v="1"/>
    <x v="0"/>
    <x v="0"/>
    <x v="1"/>
    <x v="0"/>
    <x v="0"/>
    <x v="1"/>
    <x v="0"/>
    <s v="3"/>
    <x v="1"/>
    <n v="0.435"/>
    <n v="0.7136976998634027"/>
    <x v="0"/>
    <n v="24.987375"/>
  </r>
  <r>
    <n v="6155"/>
    <s v="1"/>
    <x v="2"/>
    <n v="621"/>
    <x v="0"/>
    <x v="1"/>
    <x v="1"/>
    <x v="8"/>
    <x v="1"/>
    <x v="0"/>
    <x v="0"/>
    <x v="0"/>
    <x v="0"/>
    <m/>
    <x v="0"/>
    <n v="0.315"/>
    <n v="0.37374888458621908"/>
    <x v="1"/>
    <n v="19.561499999999999"/>
  </r>
  <r>
    <n v="6155"/>
    <s v="2"/>
    <x v="2"/>
    <n v="621"/>
    <x v="0"/>
    <x v="1"/>
    <x v="1"/>
    <x v="8"/>
    <x v="1"/>
    <x v="0"/>
    <x v="0"/>
    <x v="0"/>
    <x v="0"/>
    <m/>
    <x v="0"/>
    <n v="0.315"/>
    <n v="0.37374888458621908"/>
    <x v="1"/>
    <n v="19.561499999999999"/>
  </r>
  <r>
    <n v="6165"/>
    <s v="1"/>
    <x v="3"/>
    <n v="446.4"/>
    <x v="0"/>
    <x v="1"/>
    <x v="1"/>
    <x v="0"/>
    <x v="1"/>
    <x v="0"/>
    <x v="0"/>
    <x v="1"/>
    <x v="0"/>
    <s v="1"/>
    <x v="1"/>
    <n v="0.41666666666666669"/>
    <n v="0.37414431592512715"/>
    <x v="1"/>
    <n v="14.061599999999999"/>
  </r>
  <r>
    <n v="6165"/>
    <s v="2"/>
    <x v="3"/>
    <n v="446.4"/>
    <x v="0"/>
    <x v="1"/>
    <x v="1"/>
    <x v="0"/>
    <x v="1"/>
    <x v="0"/>
    <x v="0"/>
    <x v="1"/>
    <x v="0"/>
    <s v="2"/>
    <x v="1"/>
    <n v="0.45500000000000002"/>
    <n v="0.37788881788132517"/>
    <x v="1"/>
    <n v="14.061599999999999"/>
  </r>
  <r>
    <n v="6165"/>
    <s v="3"/>
    <x v="3"/>
    <n v="446.4"/>
    <x v="0"/>
    <x v="1"/>
    <x v="1"/>
    <x v="0"/>
    <x v="1"/>
    <x v="0"/>
    <x v="0"/>
    <x v="1"/>
    <x v="0"/>
    <s v="3"/>
    <x v="1"/>
    <n v="0.45250000000000001"/>
    <n v="0.38050412599224298"/>
    <x v="1"/>
    <n v="14.061599999999999"/>
  </r>
  <r>
    <n v="6166"/>
    <s v="MB1"/>
    <x v="5"/>
    <n v="1300"/>
    <x v="0"/>
    <x v="6"/>
    <x v="0"/>
    <x v="0"/>
    <x v="0"/>
    <x v="0"/>
    <x v="0"/>
    <x v="0"/>
    <x v="0"/>
    <m/>
    <x v="0"/>
    <n v="0.3166666666666666"/>
    <n v="0.35596900620137834"/>
    <x v="1"/>
    <n v="40.950000000000003"/>
  </r>
  <r>
    <n v="6166"/>
    <s v="MB2"/>
    <x v="5"/>
    <n v="1300"/>
    <x v="0"/>
    <x v="6"/>
    <x v="0"/>
    <x v="0"/>
    <x v="0"/>
    <x v="0"/>
    <x v="0"/>
    <x v="0"/>
    <x v="0"/>
    <m/>
    <x v="0"/>
    <n v="0.3166666666666666"/>
    <n v="0.35676797346961514"/>
    <x v="1"/>
    <n v="40.950000000000003"/>
  </r>
  <r>
    <n v="6170"/>
    <s v="1"/>
    <x v="5"/>
    <n v="616.59"/>
    <x v="3"/>
    <x v="1"/>
    <x v="0"/>
    <x v="0"/>
    <x v="1"/>
    <x v="0"/>
    <x v="0"/>
    <x v="0"/>
    <x v="0"/>
    <m/>
    <x v="0"/>
    <n v="0.28333333333333327"/>
    <n v="0.36667082885583296"/>
    <x v="1"/>
    <n v="19.422585000000002"/>
  </r>
  <r>
    <n v="6170"/>
    <s v="2"/>
    <x v="5"/>
    <n v="616.59"/>
    <x v="3"/>
    <x v="1"/>
    <x v="0"/>
    <x v="0"/>
    <x v="1"/>
    <x v="0"/>
    <x v="0"/>
    <x v="0"/>
    <x v="0"/>
    <m/>
    <x v="0"/>
    <n v="0.30833333333333329"/>
    <n v="0.36553592448740951"/>
    <x v="1"/>
    <n v="19.422585000000002"/>
  </r>
  <r>
    <n v="6177"/>
    <s v="U1B"/>
    <x v="3"/>
    <n v="410.94"/>
    <x v="3"/>
    <x v="2"/>
    <x v="0"/>
    <x v="0"/>
    <x v="0"/>
    <x v="0"/>
    <x v="0"/>
    <x v="1"/>
    <x v="0"/>
    <s v="FGD1"/>
    <x v="1"/>
    <n v="0.45250000000000001"/>
    <n v="0.46467952980783606"/>
    <x v="1"/>
    <n v="12.944610000000001"/>
  </r>
  <r>
    <n v="6177"/>
    <s v="U2B"/>
    <x v="3"/>
    <n v="410.94"/>
    <x v="3"/>
    <x v="2"/>
    <x v="0"/>
    <x v="0"/>
    <x v="0"/>
    <x v="0"/>
    <x v="0"/>
    <x v="1"/>
    <x v="0"/>
    <s v="FGD2"/>
    <x v="1"/>
    <n v="0.45750000000000002"/>
    <n v="0.47836851173552558"/>
    <x v="1"/>
    <n v="12.944610000000001"/>
  </r>
  <r>
    <n v="6178"/>
    <s v="1"/>
    <x v="1"/>
    <n v="600.39"/>
    <x v="0"/>
    <x v="2"/>
    <x v="0"/>
    <x v="0"/>
    <x v="0"/>
    <x v="0"/>
    <x v="0"/>
    <x v="0"/>
    <x v="0"/>
    <m/>
    <x v="0"/>
    <n v="0.33"/>
    <n v="0.34741392076877725"/>
    <x v="1"/>
    <n v="18.912285000000001"/>
  </r>
  <r>
    <n v="6179"/>
    <s v="1"/>
    <x v="1"/>
    <n v="614"/>
    <x v="3"/>
    <x v="2"/>
    <x v="0"/>
    <x v="0"/>
    <x v="0"/>
    <x v="0"/>
    <x v="0"/>
    <x v="0"/>
    <x v="0"/>
    <m/>
    <x v="0"/>
    <n v="0.3116666666666667"/>
    <n v="0.36229099734509429"/>
    <x v="1"/>
    <n v="19.341000000000001"/>
  </r>
  <r>
    <n v="6179"/>
    <s v="2"/>
    <x v="1"/>
    <n v="614"/>
    <x v="3"/>
    <x v="2"/>
    <x v="0"/>
    <x v="0"/>
    <x v="0"/>
    <x v="0"/>
    <x v="0"/>
    <x v="0"/>
    <x v="0"/>
    <m/>
    <x v="0"/>
    <n v="0.28916666666666663"/>
    <n v="0.3673551017118053"/>
    <x v="1"/>
    <n v="19.341000000000001"/>
  </r>
  <r>
    <n v="6179"/>
    <s v="3"/>
    <x v="1"/>
    <n v="475"/>
    <x v="3"/>
    <x v="2"/>
    <x v="0"/>
    <x v="0"/>
    <x v="0"/>
    <x v="0"/>
    <x v="0"/>
    <x v="1"/>
    <x v="0"/>
    <s v="3"/>
    <x v="1"/>
    <n v="0.31083333333333329"/>
    <n v="0.36238280132064754"/>
    <x v="1"/>
    <n v="14.9625"/>
  </r>
  <r>
    <n v="6181"/>
    <s v="1"/>
    <x v="1"/>
    <n v="446"/>
    <x v="3"/>
    <x v="2"/>
    <x v="4"/>
    <x v="0"/>
    <x v="1"/>
    <x v="0"/>
    <x v="0"/>
    <x v="0"/>
    <x v="0"/>
    <m/>
    <x v="0"/>
    <n v="0.26250000000000001"/>
    <n v="0.37370473685479627"/>
    <x v="1"/>
    <n v="14.048999999999999"/>
  </r>
  <r>
    <n v="6181"/>
    <s v="2"/>
    <x v="1"/>
    <n v="446"/>
    <x v="3"/>
    <x v="2"/>
    <x v="4"/>
    <x v="0"/>
    <x v="1"/>
    <x v="0"/>
    <x v="0"/>
    <x v="0"/>
    <x v="0"/>
    <m/>
    <x v="0"/>
    <n v="0.3175"/>
    <n v="0.37741501030411367"/>
    <x v="1"/>
    <n v="14.048999999999999"/>
  </r>
  <r>
    <n v="6183"/>
    <s v="SM-1"/>
    <x v="1"/>
    <n v="410"/>
    <x v="2"/>
    <x v="1"/>
    <x v="0"/>
    <x v="0"/>
    <x v="1"/>
    <x v="0"/>
    <x v="0"/>
    <x v="1"/>
    <x v="1"/>
    <s v="SM-1"/>
    <x v="1"/>
    <n v="1.9308333333333334"/>
    <n v="3.7052384831020162"/>
    <x v="2"/>
    <n v="12.914999999999999"/>
  </r>
  <r>
    <n v="6190"/>
    <s v="2"/>
    <x v="1"/>
    <n v="558"/>
    <x v="3"/>
    <x v="1"/>
    <x v="0"/>
    <x v="0"/>
    <x v="1"/>
    <x v="0"/>
    <x v="0"/>
    <x v="0"/>
    <x v="0"/>
    <m/>
    <x v="0"/>
    <n v="0.41416666666666663"/>
    <n v="0.48431419874853948"/>
    <x v="1"/>
    <n v="17.577000000000002"/>
  </r>
  <r>
    <n v="6193"/>
    <s v="061B"/>
    <x v="1"/>
    <n v="360"/>
    <x v="3"/>
    <x v="2"/>
    <x v="0"/>
    <x v="0"/>
    <x v="0"/>
    <x v="0"/>
    <x v="0"/>
    <x v="0"/>
    <x v="0"/>
    <m/>
    <x v="0"/>
    <n v="0.28249999999999997"/>
    <n v="0.31922796803513048"/>
    <x v="1"/>
    <n v="11.34"/>
  </r>
  <r>
    <n v="6193"/>
    <s v="062B"/>
    <x v="1"/>
    <n v="360"/>
    <x v="3"/>
    <x v="2"/>
    <x v="0"/>
    <x v="0"/>
    <x v="0"/>
    <x v="0"/>
    <x v="0"/>
    <x v="0"/>
    <x v="0"/>
    <m/>
    <x v="0"/>
    <n v="0.28083333333333332"/>
    <n v="0.31959137510396701"/>
    <x v="1"/>
    <n v="11.34"/>
  </r>
  <r>
    <n v="6193"/>
    <s v="063B"/>
    <x v="1"/>
    <n v="360"/>
    <x v="3"/>
    <x v="2"/>
    <x v="0"/>
    <x v="0"/>
    <x v="0"/>
    <x v="0"/>
    <x v="0"/>
    <x v="0"/>
    <x v="0"/>
    <m/>
    <x v="0"/>
    <n v="0.27916666666666667"/>
    <n v="0.3177326505393106"/>
    <x v="1"/>
    <n v="11.34"/>
  </r>
  <r>
    <n v="6194"/>
    <s v="171B"/>
    <x v="1"/>
    <n v="568"/>
    <x v="3"/>
    <x v="2"/>
    <x v="0"/>
    <x v="0"/>
    <x v="0"/>
    <x v="0"/>
    <x v="0"/>
    <x v="0"/>
    <x v="0"/>
    <m/>
    <x v="0"/>
    <n v="0.30166666666666664"/>
    <n v="0.34502737092493746"/>
    <x v="1"/>
    <n v="17.891999999999999"/>
  </r>
  <r>
    <n v="6194"/>
    <s v="172B"/>
    <x v="1"/>
    <n v="568"/>
    <x v="3"/>
    <x v="2"/>
    <x v="0"/>
    <x v="0"/>
    <x v="0"/>
    <x v="0"/>
    <x v="0"/>
    <x v="0"/>
    <x v="0"/>
    <m/>
    <x v="0"/>
    <n v="0.30166666666666664"/>
    <n v="0.34502737092493746"/>
    <x v="1"/>
    <n v="17.891999999999999"/>
  </r>
  <r>
    <n v="6195"/>
    <s v="1"/>
    <x v="2"/>
    <n v="194"/>
    <x v="3"/>
    <x v="3"/>
    <x v="0"/>
    <x v="0"/>
    <x v="0"/>
    <x v="0"/>
    <x v="0"/>
    <x v="2"/>
    <x v="0"/>
    <s v="1"/>
    <x v="1"/>
    <n v="0.17249999999999999"/>
    <n v="0.23455202522500271"/>
    <x v="1"/>
    <n v="6.1109999999999998"/>
  </r>
  <r>
    <n v="6204"/>
    <s v="1"/>
    <x v="3"/>
    <n v="570"/>
    <x v="6"/>
    <x v="1"/>
    <x v="0"/>
    <x v="0"/>
    <x v="1"/>
    <x v="0"/>
    <x v="0"/>
    <x v="1"/>
    <x v="0"/>
    <s v="1"/>
    <x v="1"/>
    <n v="0.35583333333333339"/>
    <n v="0.46791643722328069"/>
    <x v="1"/>
    <n v="17.954999999999998"/>
  </r>
  <r>
    <n v="6204"/>
    <s v="2"/>
    <x v="3"/>
    <n v="570"/>
    <x v="6"/>
    <x v="1"/>
    <x v="0"/>
    <x v="0"/>
    <x v="1"/>
    <x v="0"/>
    <x v="0"/>
    <x v="1"/>
    <x v="0"/>
    <s v="2"/>
    <x v="1"/>
    <n v="0.38500000000000001"/>
    <n v="0.46446469741629409"/>
    <x v="1"/>
    <n v="17.954999999999998"/>
  </r>
  <r>
    <n v="6204"/>
    <s v="3"/>
    <x v="3"/>
    <n v="570"/>
    <x v="6"/>
    <x v="1"/>
    <x v="0"/>
    <x v="0"/>
    <x v="1"/>
    <x v="0"/>
    <x v="0"/>
    <x v="3"/>
    <x v="0"/>
    <s v="3"/>
    <x v="1"/>
    <n v="0.38666666666666671"/>
    <n v="0.46643125930894774"/>
    <x v="1"/>
    <n v="17.954999999999998"/>
  </r>
  <r>
    <n v="6213"/>
    <s v="1SG1"/>
    <x v="5"/>
    <n v="540"/>
    <x v="0"/>
    <x v="1"/>
    <x v="1"/>
    <x v="0"/>
    <x v="1"/>
    <x v="0"/>
    <x v="0"/>
    <x v="1"/>
    <x v="0"/>
    <s v="1FGD"/>
    <x v="1"/>
    <n v="2.9141666666666666"/>
    <n v="2.5855649288997964"/>
    <x v="2"/>
    <n v="17.010000000000002"/>
  </r>
  <r>
    <n v="6213"/>
    <s v="2SG1"/>
    <x v="5"/>
    <n v="540"/>
    <x v="0"/>
    <x v="1"/>
    <x v="1"/>
    <x v="0"/>
    <x v="1"/>
    <x v="0"/>
    <x v="0"/>
    <x v="1"/>
    <x v="0"/>
    <s v="2FGD"/>
    <x v="1"/>
    <n v="2.8916666666666671"/>
    <n v="2.5758891756406688"/>
    <x v="2"/>
    <n v="17.010000000000002"/>
  </r>
  <r>
    <n v="6248"/>
    <s v="1"/>
    <x v="3"/>
    <n v="500"/>
    <x v="0"/>
    <x v="1"/>
    <x v="1"/>
    <x v="0"/>
    <x v="1"/>
    <x v="0"/>
    <x v="0"/>
    <x v="0"/>
    <x v="0"/>
    <m/>
    <x v="0"/>
    <n v="0.32833333333333331"/>
    <n v="0.39193088228983947"/>
    <x v="1"/>
    <n v="15.75"/>
  </r>
  <r>
    <n v="6249"/>
    <s v="1"/>
    <x v="4"/>
    <n v="315"/>
    <x v="0"/>
    <x v="1"/>
    <x v="0"/>
    <x v="0"/>
    <x v="1"/>
    <x v="0"/>
    <x v="0"/>
    <x v="0"/>
    <x v="0"/>
    <m/>
    <x v="0"/>
    <n v="1.2858333333333334"/>
    <n v="1.008571317914764"/>
    <x v="0"/>
    <n v="9.9224999999999994"/>
  </r>
  <r>
    <n v="6249"/>
    <s v="2"/>
    <x v="4"/>
    <n v="315"/>
    <x v="0"/>
    <x v="1"/>
    <x v="1"/>
    <x v="0"/>
    <x v="1"/>
    <x v="0"/>
    <x v="0"/>
    <x v="4"/>
    <x v="1"/>
    <s v="2"/>
    <x v="1"/>
    <n v="1.1108333333333331"/>
    <n v="0.87637707120101005"/>
    <x v="0"/>
    <n v="9.9224999999999994"/>
  </r>
  <r>
    <n v="6249"/>
    <s v="3"/>
    <x v="4"/>
    <n v="315"/>
    <x v="0"/>
    <x v="1"/>
    <x v="1"/>
    <x v="0"/>
    <x v="1"/>
    <x v="0"/>
    <x v="0"/>
    <x v="1"/>
    <x v="0"/>
    <s v="3"/>
    <x v="1"/>
    <n v="1.1566666666666665"/>
    <n v="0.91094648694124869"/>
    <x v="0"/>
    <n v="9.9224999999999994"/>
  </r>
  <r>
    <n v="6249"/>
    <s v="4"/>
    <x v="4"/>
    <n v="315"/>
    <x v="0"/>
    <x v="1"/>
    <x v="1"/>
    <x v="0"/>
    <x v="1"/>
    <x v="0"/>
    <x v="0"/>
    <x v="1"/>
    <x v="0"/>
    <s v="4"/>
    <x v="1"/>
    <n v="1.0825"/>
    <n v="0.93006805796929182"/>
    <x v="0"/>
    <n v="9.9224999999999994"/>
  </r>
  <r>
    <n v="6250"/>
    <s v="1A"/>
    <x v="4"/>
    <n v="368"/>
    <x v="0"/>
    <x v="2"/>
    <x v="4"/>
    <x v="0"/>
    <x v="1"/>
    <x v="0"/>
    <x v="0"/>
    <x v="0"/>
    <x v="0"/>
    <m/>
    <x v="0"/>
    <n v="0.65333333333333343"/>
    <n v="0.534070778393409"/>
    <x v="1"/>
    <n v="11.592000000000001"/>
  </r>
  <r>
    <n v="6250"/>
    <s v="1B"/>
    <x v="4"/>
    <n v="368"/>
    <x v="0"/>
    <x v="2"/>
    <x v="4"/>
    <x v="0"/>
    <x v="1"/>
    <x v="0"/>
    <x v="0"/>
    <x v="0"/>
    <x v="0"/>
    <m/>
    <x v="0"/>
    <n v="0.65333333333333343"/>
    <n v="0.534070778393409"/>
    <x v="1"/>
    <n v="11.592000000000001"/>
  </r>
  <r>
    <n v="6254"/>
    <s v="1"/>
    <x v="2"/>
    <n v="726"/>
    <x v="3"/>
    <x v="2"/>
    <x v="4"/>
    <x v="0"/>
    <x v="1"/>
    <x v="0"/>
    <x v="0"/>
    <x v="0"/>
    <x v="0"/>
    <m/>
    <x v="0"/>
    <n v="0.31416666666666665"/>
    <n v="0.37511647156599731"/>
    <x v="1"/>
    <n v="22.869"/>
  </r>
  <r>
    <n v="6257"/>
    <s v="1"/>
    <x v="4"/>
    <n v="891"/>
    <x v="0"/>
    <x v="2"/>
    <x v="0"/>
    <x v="0"/>
    <x v="0"/>
    <x v="0"/>
    <x v="0"/>
    <x v="0"/>
    <x v="0"/>
    <m/>
    <x v="0"/>
    <n v="0.64416666666666667"/>
    <n v="0.50854839696520127"/>
    <x v="1"/>
    <n v="28.066500000000001"/>
  </r>
  <r>
    <n v="6257"/>
    <s v="2"/>
    <x v="4"/>
    <n v="891"/>
    <x v="0"/>
    <x v="2"/>
    <x v="0"/>
    <x v="0"/>
    <x v="0"/>
    <x v="0"/>
    <x v="0"/>
    <x v="0"/>
    <x v="0"/>
    <m/>
    <x v="0"/>
    <n v="0.64416666666666667"/>
    <n v="0.50751688532407513"/>
    <x v="1"/>
    <n v="28.066500000000001"/>
  </r>
  <r>
    <n v="6257"/>
    <s v="3"/>
    <x v="4"/>
    <n v="891"/>
    <x v="0"/>
    <x v="2"/>
    <x v="0"/>
    <x v="0"/>
    <x v="0"/>
    <x v="0"/>
    <x v="0"/>
    <x v="0"/>
    <x v="0"/>
    <m/>
    <x v="0"/>
    <n v="0.32416666666666666"/>
    <n v="0.37265366329246125"/>
    <x v="1"/>
    <n v="28.066500000000001"/>
  </r>
  <r>
    <n v="6257"/>
    <s v="4"/>
    <x v="4"/>
    <n v="891"/>
    <x v="0"/>
    <x v="2"/>
    <x v="0"/>
    <x v="0"/>
    <x v="0"/>
    <x v="0"/>
    <x v="0"/>
    <x v="0"/>
    <x v="0"/>
    <m/>
    <x v="0"/>
    <n v="0.31083333333333335"/>
    <n v="0.35678642469547289"/>
    <x v="1"/>
    <n v="28.066500000000001"/>
  </r>
  <r>
    <n v="6264"/>
    <s v="1"/>
    <x v="4"/>
    <n v="1300"/>
    <x v="0"/>
    <x v="1"/>
    <x v="0"/>
    <x v="0"/>
    <x v="1"/>
    <x v="0"/>
    <x v="0"/>
    <x v="0"/>
    <x v="0"/>
    <m/>
    <x v="0"/>
    <n v="0.7"/>
    <n v="0.57307911056065519"/>
    <x v="1"/>
    <n v="40.950000000000003"/>
  </r>
  <r>
    <n v="6469"/>
    <s v="B1"/>
    <x v="2"/>
    <n v="434.99900000000002"/>
    <x v="2"/>
    <x v="1"/>
    <x v="1"/>
    <x v="0"/>
    <x v="1"/>
    <x v="0"/>
    <x v="0"/>
    <x v="3"/>
    <x v="0"/>
    <s v="FGD1"/>
    <x v="1"/>
    <n v="0.70499999999999996"/>
    <n v="1.1427538652671625"/>
    <x v="0"/>
    <n v="13.7024685"/>
  </r>
  <r>
    <n v="6469"/>
    <s v="B2"/>
    <x v="2"/>
    <n v="434.99900000000002"/>
    <x v="2"/>
    <x v="1"/>
    <x v="1"/>
    <x v="0"/>
    <x v="1"/>
    <x v="0"/>
    <x v="0"/>
    <x v="3"/>
    <x v="0"/>
    <s v="FGD2"/>
    <x v="1"/>
    <n v="0.68500000000000005"/>
    <n v="1.0945631471405324"/>
    <x v="0"/>
    <n v="13.7024685"/>
  </r>
  <r>
    <n v="6481"/>
    <s v="1SGA"/>
    <x v="3"/>
    <n v="820"/>
    <x v="0"/>
    <x v="1"/>
    <x v="0"/>
    <x v="0"/>
    <x v="1"/>
    <x v="0"/>
    <x v="0"/>
    <x v="1"/>
    <x v="0"/>
    <s v="1CCC"/>
    <x v="1"/>
    <n v="0.50083333333333335"/>
    <n v="0.42086569231947751"/>
    <x v="1"/>
    <n v="25.83"/>
  </r>
  <r>
    <n v="6481"/>
    <s v="2SGA"/>
    <x v="3"/>
    <n v="820"/>
    <x v="0"/>
    <x v="1"/>
    <x v="0"/>
    <x v="0"/>
    <x v="1"/>
    <x v="0"/>
    <x v="0"/>
    <x v="1"/>
    <x v="0"/>
    <s v="2CCC"/>
    <x v="1"/>
    <n v="0.46416666666666662"/>
    <n v="0.42569816367236263"/>
    <x v="1"/>
    <n v="25.83"/>
  </r>
  <r>
    <n v="6639"/>
    <s v="G1"/>
    <x v="0"/>
    <n v="263.7"/>
    <x v="0"/>
    <x v="1"/>
    <x v="0"/>
    <x v="0"/>
    <x v="1"/>
    <x v="0"/>
    <x v="0"/>
    <x v="1"/>
    <x v="0"/>
    <s v="G1"/>
    <x v="1"/>
    <n v="3.4175"/>
    <n v="2.978849599633683"/>
    <x v="2"/>
    <n v="8.3065499999999997"/>
  </r>
  <r>
    <n v="6639"/>
    <s v="G2"/>
    <x v="0"/>
    <n v="263.7"/>
    <x v="0"/>
    <x v="1"/>
    <x v="0"/>
    <x v="0"/>
    <x v="1"/>
    <x v="0"/>
    <x v="0"/>
    <x v="1"/>
    <x v="0"/>
    <s v="G2"/>
    <x v="1"/>
    <n v="3.1475"/>
    <n v="3.0077133169586703"/>
    <x v="2"/>
    <n v="8.3065499999999997"/>
  </r>
  <r>
    <n v="6641"/>
    <s v="1"/>
    <x v="1"/>
    <n v="850"/>
    <x v="3"/>
    <x v="1"/>
    <x v="0"/>
    <x v="0"/>
    <x v="1"/>
    <x v="0"/>
    <x v="0"/>
    <x v="0"/>
    <x v="0"/>
    <m/>
    <x v="0"/>
    <n v="0.19750000000000001"/>
    <n v="0.22536863059895984"/>
    <x v="1"/>
    <n v="26.774999999999999"/>
  </r>
  <r>
    <n v="6641"/>
    <s v="2"/>
    <x v="1"/>
    <n v="850"/>
    <x v="3"/>
    <x v="1"/>
    <x v="0"/>
    <x v="0"/>
    <x v="1"/>
    <x v="0"/>
    <x v="0"/>
    <x v="0"/>
    <x v="0"/>
    <m/>
    <x v="0"/>
    <n v="0.1608333333333333"/>
    <n v="0.21813367300561798"/>
    <x v="1"/>
    <n v="26.774999999999999"/>
  </r>
  <r>
    <n v="6648"/>
    <s v="4"/>
    <x v="1"/>
    <n v="590.64"/>
    <x v="2"/>
    <x v="2"/>
    <x v="0"/>
    <x v="0"/>
    <x v="0"/>
    <x v="0"/>
    <x v="0"/>
    <x v="1"/>
    <x v="0"/>
    <s v="4"/>
    <x v="1"/>
    <n v="1.0083333333333331"/>
    <n v="1.6709193189020757"/>
    <x v="2"/>
    <n v="18.605160000000001"/>
  </r>
  <r>
    <n v="6664"/>
    <s v="101"/>
    <x v="2"/>
    <n v="738.09"/>
    <x v="3"/>
    <x v="1"/>
    <x v="0"/>
    <x v="0"/>
    <x v="1"/>
    <x v="0"/>
    <x v="0"/>
    <x v="0"/>
    <x v="0"/>
    <m/>
    <x v="0"/>
    <n v="0.34416666666666657"/>
    <n v="0.41047271054895967"/>
    <x v="1"/>
    <n v="23.249835000000001"/>
  </r>
  <r>
    <n v="6705"/>
    <s v="1"/>
    <x v="5"/>
    <n v="144"/>
    <x v="0"/>
    <x v="0"/>
    <x v="0"/>
    <x v="0"/>
    <x v="0"/>
    <x v="0"/>
    <x v="0"/>
    <x v="0"/>
    <x v="0"/>
    <m/>
    <x v="0"/>
    <n v="1.718333333333333"/>
    <n v="1.542140319725875"/>
    <x v="0"/>
    <n v="4.5359999999999996"/>
  </r>
  <r>
    <n v="6705"/>
    <s v="2"/>
    <x v="5"/>
    <n v="144"/>
    <x v="0"/>
    <x v="0"/>
    <x v="0"/>
    <x v="0"/>
    <x v="0"/>
    <x v="0"/>
    <x v="0"/>
    <x v="0"/>
    <x v="0"/>
    <m/>
    <x v="0"/>
    <n v="1.7516666666666669"/>
    <n v="1.5752797517285668"/>
    <x v="0"/>
    <n v="4.5359999999999996"/>
  </r>
  <r>
    <n v="6705"/>
    <s v="3"/>
    <x v="5"/>
    <n v="144"/>
    <x v="0"/>
    <x v="0"/>
    <x v="0"/>
    <x v="0"/>
    <x v="0"/>
    <x v="0"/>
    <x v="0"/>
    <x v="0"/>
    <x v="0"/>
    <m/>
    <x v="0"/>
    <n v="1.7591666666666665"/>
    <n v="1.5801835426650144"/>
    <x v="0"/>
    <n v="4.5359999999999996"/>
  </r>
  <r>
    <n v="6705"/>
    <s v="4"/>
    <x v="5"/>
    <n v="323"/>
    <x v="0"/>
    <x v="0"/>
    <x v="0"/>
    <x v="0"/>
    <x v="0"/>
    <x v="0"/>
    <x v="0"/>
    <x v="0"/>
    <x v="0"/>
    <m/>
    <x v="0"/>
    <n v="1.6625000000000001"/>
    <n v="1.486452098458118"/>
    <x v="0"/>
    <n v="10.1745"/>
  </r>
  <r>
    <n v="6761"/>
    <s v="101"/>
    <x v="3"/>
    <n v="293.625"/>
    <x v="3"/>
    <x v="2"/>
    <x v="0"/>
    <x v="0"/>
    <x v="0"/>
    <x v="0"/>
    <x v="0"/>
    <x v="3"/>
    <x v="0"/>
    <s v="101"/>
    <x v="1"/>
    <n v="0.20250000000000001"/>
    <n v="0.22875982401454029"/>
    <x v="1"/>
    <n v="9.2491874999999997"/>
  </r>
  <r>
    <n v="6768"/>
    <s v="1"/>
    <x v="2"/>
    <n v="261"/>
    <x v="3"/>
    <x v="1"/>
    <x v="0"/>
    <x v="0"/>
    <x v="1"/>
    <x v="0"/>
    <x v="0"/>
    <x v="4"/>
    <x v="1"/>
    <s v="1"/>
    <x v="1"/>
    <n v="0.30666666666666664"/>
    <n v="0.36819712101616009"/>
    <x v="1"/>
    <n v="8.2215000000000007"/>
  </r>
  <r>
    <n v="6772"/>
    <s v="1"/>
    <x v="1"/>
    <n v="400"/>
    <x v="3"/>
    <x v="1"/>
    <x v="0"/>
    <x v="0"/>
    <x v="1"/>
    <x v="0"/>
    <x v="0"/>
    <x v="0"/>
    <x v="0"/>
    <m/>
    <x v="0"/>
    <n v="0.22666666666666671"/>
    <n v="0.28402724574030602"/>
    <x v="1"/>
    <n v="12.6"/>
  </r>
  <r>
    <n v="6823"/>
    <s v="W1"/>
    <x v="0"/>
    <n v="509.49"/>
    <x v="0"/>
    <x v="1"/>
    <x v="0"/>
    <x v="0"/>
    <x v="1"/>
    <x v="0"/>
    <x v="0"/>
    <x v="1"/>
    <x v="0"/>
    <s v="W1"/>
    <x v="1"/>
    <n v="3.5425"/>
    <n v="3.0948411246520684"/>
    <x v="2"/>
    <n v="16.048935"/>
  </r>
  <r>
    <n v="7030"/>
    <s v="U1"/>
    <x v="1"/>
    <n v="174.6"/>
    <x v="2"/>
    <x v="4"/>
    <x v="0"/>
    <x v="0"/>
    <x v="0"/>
    <x v="0"/>
    <x v="0"/>
    <x v="0"/>
    <x v="0"/>
    <m/>
    <x v="0"/>
    <n v="0.90416666666666667"/>
    <n v="1.3614708589274871"/>
    <x v="0"/>
    <n v="5.4999000000000002"/>
  </r>
  <r>
    <n v="7030"/>
    <s v="U2"/>
    <x v="1"/>
    <n v="174.6"/>
    <x v="2"/>
    <x v="4"/>
    <x v="0"/>
    <x v="0"/>
    <x v="0"/>
    <x v="0"/>
    <x v="0"/>
    <x v="0"/>
    <x v="0"/>
    <m/>
    <x v="0"/>
    <n v="0.92333333333333323"/>
    <n v="1.3847770007101525"/>
    <x v="0"/>
    <n v="5.4999000000000002"/>
  </r>
  <r>
    <n v="7097"/>
    <s v="BLR1"/>
    <x v="1"/>
    <n v="546"/>
    <x v="3"/>
    <x v="1"/>
    <x v="1"/>
    <x v="0"/>
    <x v="1"/>
    <x v="0"/>
    <x v="0"/>
    <x v="1"/>
    <x v="0"/>
    <s v="FGD1"/>
    <x v="1"/>
    <n v="0.32750000000000001"/>
    <n v="0.38753694955154688"/>
    <x v="1"/>
    <n v="17.199000000000002"/>
  </r>
  <r>
    <n v="7210"/>
    <s v="COP1"/>
    <x v="4"/>
    <n v="417.35899999999998"/>
    <x v="0"/>
    <x v="1"/>
    <x v="1"/>
    <x v="0"/>
    <x v="1"/>
    <x v="0"/>
    <x v="0"/>
    <x v="3"/>
    <x v="0"/>
    <s v="COP1"/>
    <x v="1"/>
    <n v="0.91583333333333339"/>
    <n v="0.79713187596518187"/>
    <x v="0"/>
    <n v="13.146808499999999"/>
  </r>
  <r>
    <n v="7213"/>
    <s v="1"/>
    <x v="4"/>
    <n v="424.02800000000002"/>
    <x v="0"/>
    <x v="1"/>
    <x v="8"/>
    <x v="0"/>
    <x v="1"/>
    <x v="0"/>
    <x v="0"/>
    <x v="1"/>
    <x v="0"/>
    <s v="1"/>
    <x v="1"/>
    <n v="1.0466666666666669"/>
    <n v="0.82026115825708468"/>
    <x v="0"/>
    <n v="13.356882000000001"/>
  </r>
  <r>
    <n v="7213"/>
    <s v="2"/>
    <x v="4"/>
    <n v="424.02800000000002"/>
    <x v="0"/>
    <x v="1"/>
    <x v="8"/>
    <x v="0"/>
    <x v="1"/>
    <x v="0"/>
    <x v="0"/>
    <x v="1"/>
    <x v="0"/>
    <s v="2"/>
    <x v="1"/>
    <n v="1.0425"/>
    <n v="0.81636525407501226"/>
    <x v="0"/>
    <n v="13.356882000000001"/>
  </r>
  <r>
    <n v="7286"/>
    <s v="1"/>
    <x v="5"/>
    <n v="50"/>
    <x v="0"/>
    <x v="1"/>
    <x v="0"/>
    <x v="0"/>
    <x v="1"/>
    <x v="0"/>
    <x v="0"/>
    <x v="0"/>
    <x v="0"/>
    <m/>
    <x v="0"/>
    <n v="2.0058333333333334"/>
    <n v="1.6908323957189024"/>
    <x v="2"/>
    <n v="1.575"/>
  </r>
  <r>
    <n v="7286"/>
    <s v="2"/>
    <x v="5"/>
    <n v="50"/>
    <x v="0"/>
    <x v="1"/>
    <x v="0"/>
    <x v="0"/>
    <x v="1"/>
    <x v="0"/>
    <x v="0"/>
    <x v="0"/>
    <x v="0"/>
    <m/>
    <x v="0"/>
    <n v="2.0058333333333334"/>
    <n v="1.6908323957189024"/>
    <x v="2"/>
    <n v="1.575"/>
  </r>
  <r>
    <n v="7286"/>
    <s v="3"/>
    <x v="5"/>
    <n v="50"/>
    <x v="0"/>
    <x v="1"/>
    <x v="0"/>
    <x v="0"/>
    <x v="1"/>
    <x v="0"/>
    <x v="0"/>
    <x v="0"/>
    <x v="0"/>
    <m/>
    <x v="0"/>
    <n v="2.0033333333333334"/>
    <n v="1.6887468029934498"/>
    <x v="2"/>
    <n v="1.575"/>
  </r>
  <r>
    <n v="7286"/>
    <s v="4"/>
    <x v="5"/>
    <n v="50"/>
    <x v="0"/>
    <x v="1"/>
    <x v="0"/>
    <x v="0"/>
    <x v="1"/>
    <x v="0"/>
    <x v="0"/>
    <x v="0"/>
    <x v="0"/>
    <m/>
    <x v="0"/>
    <n v="2.0058333333333334"/>
    <n v="1.6908573085396152"/>
    <x v="2"/>
    <n v="1.575"/>
  </r>
  <r>
    <n v="7343"/>
    <s v="4"/>
    <x v="2"/>
    <n v="639.99900000000002"/>
    <x v="3"/>
    <x v="2"/>
    <x v="0"/>
    <x v="0"/>
    <x v="0"/>
    <x v="0"/>
    <x v="0"/>
    <x v="0"/>
    <x v="0"/>
    <m/>
    <x v="0"/>
    <n v="0.32250000000000001"/>
    <n v="0.38027650966290077"/>
    <x v="1"/>
    <n v="20.159968500000002"/>
  </r>
  <r>
    <n v="7790"/>
    <s v="1-1"/>
    <x v="3"/>
    <n v="400"/>
    <x v="0"/>
    <x v="1"/>
    <x v="0"/>
    <x v="0"/>
    <x v="1"/>
    <x v="0"/>
    <x v="0"/>
    <x v="1"/>
    <x v="0"/>
    <s v="1-1"/>
    <x v="1"/>
    <n v="0.3658333333333334"/>
    <n v="0.39990782918732659"/>
    <x v="1"/>
    <n v="12.6"/>
  </r>
  <r>
    <n v="7902"/>
    <s v="1"/>
    <x v="1"/>
    <n v="720.75"/>
    <x v="2"/>
    <x v="1"/>
    <x v="0"/>
    <x v="0"/>
    <x v="1"/>
    <x v="0"/>
    <x v="0"/>
    <x v="1"/>
    <x v="0"/>
    <s v="1"/>
    <x v="1"/>
    <n v="0.33583333333333337"/>
    <n v="0.50802120431138686"/>
    <x v="1"/>
    <n v="22.703624999999999"/>
  </r>
  <r>
    <n v="8023"/>
    <s v="1"/>
    <x v="5"/>
    <n v="512"/>
    <x v="3"/>
    <x v="2"/>
    <x v="0"/>
    <x v="0"/>
    <x v="0"/>
    <x v="0"/>
    <x v="0"/>
    <x v="0"/>
    <x v="0"/>
    <m/>
    <x v="0"/>
    <n v="0.37"/>
    <n v="0.44048553881655206"/>
    <x v="1"/>
    <n v="16.128"/>
  </r>
  <r>
    <n v="8023"/>
    <s v="2"/>
    <x v="5"/>
    <n v="511"/>
    <x v="3"/>
    <x v="2"/>
    <x v="0"/>
    <x v="0"/>
    <x v="0"/>
    <x v="0"/>
    <x v="0"/>
    <x v="0"/>
    <x v="0"/>
    <m/>
    <x v="0"/>
    <n v="0.31416666666666671"/>
    <n v="0.40481886945305523"/>
    <x v="1"/>
    <n v="16.096499999999999"/>
  </r>
  <r>
    <n v="8042"/>
    <s v="1"/>
    <x v="4"/>
    <n v="1080.0719999999999"/>
    <x v="0"/>
    <x v="1"/>
    <x v="1"/>
    <x v="0"/>
    <x v="1"/>
    <x v="0"/>
    <x v="0"/>
    <x v="0"/>
    <x v="0"/>
    <m/>
    <x v="0"/>
    <n v="0.66500000000000004"/>
    <n v="0.6442801619080879"/>
    <x v="0"/>
    <n v="34.022267999999997"/>
  </r>
  <r>
    <n v="8042"/>
    <s v="2"/>
    <x v="4"/>
    <n v="1080.0719999999999"/>
    <x v="0"/>
    <x v="1"/>
    <x v="0"/>
    <x v="0"/>
    <x v="1"/>
    <x v="0"/>
    <x v="0"/>
    <x v="0"/>
    <x v="0"/>
    <m/>
    <x v="0"/>
    <n v="0.82416666666666671"/>
    <n v="0.66889866004399989"/>
    <x v="0"/>
    <n v="34.022267999999997"/>
  </r>
  <r>
    <n v="8066"/>
    <s v="BW71"/>
    <x v="3"/>
    <n v="560.6"/>
    <x v="3"/>
    <x v="1"/>
    <x v="1"/>
    <x v="0"/>
    <x v="1"/>
    <x v="0"/>
    <x v="0"/>
    <x v="2"/>
    <x v="0"/>
    <s v="SC71"/>
    <x v="1"/>
    <n v="0.52583333333333349"/>
    <n v="0.56595630658013585"/>
    <x v="1"/>
    <n v="17.658899999999999"/>
  </r>
  <r>
    <n v="8066"/>
    <s v="BW72"/>
    <x v="3"/>
    <n v="560.6"/>
    <x v="3"/>
    <x v="1"/>
    <x v="1"/>
    <x v="0"/>
    <x v="1"/>
    <x v="0"/>
    <x v="0"/>
    <x v="2"/>
    <x v="0"/>
    <s v="SC72"/>
    <x v="1"/>
    <n v="0.52583333333333337"/>
    <n v="0.56684902415207306"/>
    <x v="1"/>
    <n v="17.658899999999999"/>
  </r>
  <r>
    <n v="8066"/>
    <s v="BW73"/>
    <x v="3"/>
    <n v="577.9"/>
    <x v="3"/>
    <x v="1"/>
    <x v="1"/>
    <x v="0"/>
    <x v="1"/>
    <x v="0"/>
    <x v="0"/>
    <x v="2"/>
    <x v="0"/>
    <s v="SC73"/>
    <x v="1"/>
    <n v="0.52583333333333337"/>
    <n v="0.56645102945899062"/>
    <x v="1"/>
    <n v="18.203849999999999"/>
  </r>
  <r>
    <n v="8066"/>
    <s v="BW74"/>
    <x v="3"/>
    <n v="560.6"/>
    <x v="3"/>
    <x v="1"/>
    <x v="1"/>
    <x v="0"/>
    <x v="1"/>
    <x v="0"/>
    <x v="0"/>
    <x v="2"/>
    <x v="0"/>
    <s v="SC74"/>
    <x v="1"/>
    <n v="0.57833333333333337"/>
    <n v="0.63149908454375481"/>
    <x v="0"/>
    <n v="17.658899999999999"/>
  </r>
  <r>
    <n v="8069"/>
    <s v="1"/>
    <x v="3"/>
    <n v="446.4"/>
    <x v="0"/>
    <x v="1"/>
    <x v="1"/>
    <x v="0"/>
    <x v="1"/>
    <x v="0"/>
    <x v="0"/>
    <x v="1"/>
    <x v="0"/>
    <s v="1"/>
    <x v="1"/>
    <n v="0.42333333333333334"/>
    <n v="0.35599822339007797"/>
    <x v="1"/>
    <n v="14.061599999999999"/>
  </r>
  <r>
    <n v="8069"/>
    <s v="2"/>
    <x v="3"/>
    <n v="446.4"/>
    <x v="0"/>
    <x v="1"/>
    <x v="1"/>
    <x v="0"/>
    <x v="1"/>
    <x v="0"/>
    <x v="0"/>
    <x v="0"/>
    <x v="0"/>
    <m/>
    <x v="0"/>
    <n v="0.42166666666666669"/>
    <n v="0.35439177965240853"/>
    <x v="1"/>
    <n v="14.061599999999999"/>
  </r>
  <r>
    <n v="8102"/>
    <s v="1"/>
    <x v="5"/>
    <n v="1300"/>
    <x v="0"/>
    <x v="1"/>
    <x v="0"/>
    <x v="0"/>
    <x v="1"/>
    <x v="0"/>
    <x v="0"/>
    <x v="1"/>
    <x v="1"/>
    <s v="1"/>
    <x v="1"/>
    <n v="3.4916666666666667"/>
    <n v="3.0605388184053273"/>
    <x v="2"/>
    <n v="40.950000000000003"/>
  </r>
  <r>
    <n v="8102"/>
    <s v="2"/>
    <x v="5"/>
    <n v="1300"/>
    <x v="0"/>
    <x v="1"/>
    <x v="0"/>
    <x v="0"/>
    <x v="1"/>
    <x v="0"/>
    <x v="0"/>
    <x v="1"/>
    <x v="1"/>
    <s v="2"/>
    <x v="1"/>
    <n v="3.4583333333333335"/>
    <n v="3.027254622231498"/>
    <x v="2"/>
    <n v="40.950000000000003"/>
  </r>
  <r>
    <n v="8219"/>
    <s v="1"/>
    <x v="3"/>
    <n v="207"/>
    <x v="0"/>
    <x v="1"/>
    <x v="0"/>
    <x v="0"/>
    <x v="1"/>
    <x v="0"/>
    <x v="0"/>
    <x v="0"/>
    <x v="0"/>
    <m/>
    <x v="0"/>
    <n v="0.31583333333333335"/>
    <n v="0.32194092511358802"/>
    <x v="1"/>
    <n v="6.5205000000000002"/>
  </r>
  <r>
    <n v="8222"/>
    <s v="B1"/>
    <x v="2"/>
    <n v="450"/>
    <x v="2"/>
    <x v="0"/>
    <x v="0"/>
    <x v="0"/>
    <x v="0"/>
    <x v="0"/>
    <x v="0"/>
    <x v="3"/>
    <x v="0"/>
    <s v="FGD1"/>
    <x v="1"/>
    <n v="1.04"/>
    <n v="1.4943211862754919"/>
    <x v="0"/>
    <n v="14.175000000000001"/>
  </r>
  <r>
    <n v="8223"/>
    <s v="1"/>
    <x v="3"/>
    <n v="424.8"/>
    <x v="3"/>
    <x v="1"/>
    <x v="0"/>
    <x v="0"/>
    <x v="1"/>
    <x v="0"/>
    <x v="0"/>
    <x v="3"/>
    <x v="0"/>
    <s v="1"/>
    <x v="1"/>
    <n v="0.77833333333333332"/>
    <n v="0.91754925583342084"/>
    <x v="0"/>
    <n v="13.3812"/>
  </r>
  <r>
    <n v="8223"/>
    <s v="2"/>
    <x v="3"/>
    <n v="424.8"/>
    <x v="3"/>
    <x v="1"/>
    <x v="0"/>
    <x v="0"/>
    <x v="1"/>
    <x v="0"/>
    <x v="0"/>
    <x v="3"/>
    <x v="0"/>
    <s v="2"/>
    <x v="1"/>
    <n v="0.84916666666666651"/>
    <n v="0.91681515182919415"/>
    <x v="0"/>
    <n v="13.3812"/>
  </r>
  <r>
    <n v="8224"/>
    <s v="1"/>
    <x v="3"/>
    <n v="254.26"/>
    <x v="3"/>
    <x v="1"/>
    <x v="0"/>
    <x v="0"/>
    <x v="1"/>
    <x v="0"/>
    <x v="0"/>
    <x v="0"/>
    <x v="0"/>
    <m/>
    <x v="0"/>
    <n v="0.4308333333333334"/>
    <n v="0.37571815491111926"/>
    <x v="1"/>
    <n v="8.0091900000000003"/>
  </r>
  <r>
    <n v="8224"/>
    <s v="2"/>
    <x v="3"/>
    <n v="267"/>
    <x v="3"/>
    <x v="1"/>
    <x v="0"/>
    <x v="0"/>
    <x v="1"/>
    <x v="0"/>
    <x v="0"/>
    <x v="3"/>
    <x v="0"/>
    <s v="2"/>
    <x v="1"/>
    <n v="0.4308333333333334"/>
    <n v="0.37571815491111926"/>
    <x v="1"/>
    <n v="8.4105000000000008"/>
  </r>
  <r>
    <n v="8226"/>
    <s v="1"/>
    <x v="7"/>
    <n v="565"/>
    <x v="0"/>
    <x v="1"/>
    <x v="1"/>
    <x v="0"/>
    <x v="1"/>
    <x v="0"/>
    <x v="0"/>
    <x v="0"/>
    <x v="0"/>
    <m/>
    <x v="0"/>
    <n v="1.6758333333333333"/>
    <n v="1.3334349303219521"/>
    <x v="0"/>
    <n v="17.7974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10BD1-BCDE-49C9-AE50-9A2CE8391920}" name="PivotTable2" cacheId="0" dataOnRows="1" applyNumberFormats="0" applyBorderFormats="0" applyFontFormats="0" applyPatternFormats="0" applyAlignmentFormats="0" applyWidthHeightFormats="1" dataCaption="Data" updatedVersion="2" showMemberPropertyTips="0" useAutoFormatting="1" itemPrintTitles="1" createdVersion="1" indent="0" compact="0" compactData="0" gridDropZones="1">
  <location ref="B46:G82" firstHeaderRow="1" firstDataRow="2" firstDataCol="3"/>
  <pivotFields count="19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9">
        <item x="6"/>
        <item x="7"/>
        <item x="5"/>
        <item x="2"/>
        <item x="4"/>
        <item x="0"/>
        <item x="1"/>
        <item x="3"/>
        <item x="8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7">
        <item x="0"/>
        <item h="1" x="6"/>
        <item h="1" x="4"/>
        <item x="2"/>
        <item h="1" x="1"/>
        <item h="1" x="5"/>
        <item x="3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dataField="1" compact="0" numFmtId="2" outline="0" subtotalTop="0" showAll="0" includeNewItemsInFilter="1"/>
  </pivotFields>
  <rowFields count="3">
    <field x="2"/>
    <field x="4"/>
    <field x="17"/>
  </rowFields>
  <rowItems count="35">
    <i>
      <x/>
      <x/>
      <x v="1"/>
    </i>
    <i r="2">
      <x v="2"/>
    </i>
    <i r="1">
      <x v="6"/>
      <x v="1"/>
    </i>
    <i>
      <x v="1"/>
      <x/>
      <x/>
    </i>
    <i r="2">
      <x v="1"/>
    </i>
    <i r="2">
      <x v="2"/>
    </i>
    <i>
      <x v="2"/>
      <x/>
      <x/>
    </i>
    <i r="2">
      <x v="1"/>
    </i>
    <i r="2">
      <x v="2"/>
    </i>
    <i r="1">
      <x v="6"/>
      <x v="1"/>
    </i>
    <i>
      <x v="3"/>
      <x/>
      <x/>
    </i>
    <i r="2">
      <x v="1"/>
    </i>
    <i r="1">
      <x v="3"/>
      <x v="2"/>
    </i>
    <i r="1">
      <x v="6"/>
      <x v="1"/>
    </i>
    <i r="2">
      <x v="2"/>
    </i>
    <i>
      <x v="4"/>
      <x/>
      <x/>
    </i>
    <i r="2">
      <x v="1"/>
    </i>
    <i r="2">
      <x v="2"/>
    </i>
    <i>
      <x v="5"/>
      <x/>
      <x/>
    </i>
    <i r="2">
      <x v="1"/>
    </i>
    <i r="2">
      <x v="2"/>
    </i>
    <i r="1">
      <x v="6"/>
      <x v="1"/>
    </i>
    <i r="2">
      <x v="2"/>
    </i>
    <i>
      <x v="6"/>
      <x/>
      <x v="1"/>
    </i>
    <i r="1">
      <x v="3"/>
      <x/>
    </i>
    <i r="2">
      <x v="1"/>
    </i>
    <i r="2">
      <x v="2"/>
    </i>
    <i r="1">
      <x v="6"/>
      <x v="1"/>
    </i>
    <i>
      <x v="7"/>
      <x/>
      <x v="1"/>
    </i>
    <i r="2">
      <x v="2"/>
    </i>
    <i r="1">
      <x v="6"/>
      <x v="1"/>
    </i>
    <i r="2">
      <x v="2"/>
    </i>
    <i>
      <x v="8"/>
      <x/>
      <x v="1"/>
    </i>
    <i r="1">
      <x v="6"/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Sum of EffNPC(PJ)" fld="18" baseField="0" baseItem="0" numFmtId="2"/>
  </dataFields>
  <formats count="79">
    <format dxfId="78">
      <pivotArea outline="0" fieldPosition="0"/>
    </format>
    <format dxfId="77">
      <pivotArea type="all" dataOnly="0" outline="0" fieldPosition="0"/>
    </format>
    <format dxfId="76">
      <pivotArea outline="0" fieldPosition="0"/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2" type="button" dataOnly="0" labelOnly="1" outline="0" axis="axisRow" fieldPosition="0"/>
    </format>
    <format dxfId="71">
      <pivotArea field="4" type="button" dataOnly="0" labelOnly="1" outline="0" axis="axisRow" fieldPosition="1"/>
    </format>
    <format dxfId="70">
      <pivotArea field="17" type="button" dataOnly="0" labelOnly="1" outline="0" axis="axisRow" fieldPosition="2"/>
    </format>
    <format dxfId="69">
      <pivotArea dataOnly="0" labelOnly="1" outline="0" fieldPosition="0">
        <references count="1">
          <reference field="2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2">
          <reference field="2" count="1" selected="0">
            <x v="0"/>
          </reference>
          <reference field="4" count="2">
            <x v="0"/>
            <x v="6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1"/>
          </reference>
          <reference field="4" count="1">
            <x v="0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2"/>
          </reference>
          <reference field="4" count="1">
            <x v="6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3"/>
          </reference>
          <reference field="4" count="0"/>
        </references>
      </pivotArea>
    </format>
    <format dxfId="63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62">
      <pivotArea dataOnly="0" labelOnly="1" outline="0" fieldPosition="0">
        <references count="2">
          <reference field="2" count="1" selected="0">
            <x v="5"/>
          </reference>
          <reference field="4" count="1">
            <x v="6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6"/>
          </reference>
          <reference field="4" count="0"/>
        </references>
      </pivotArea>
    </format>
    <format dxfId="60">
      <pivotArea dataOnly="0" labelOnly="1" outline="0" fieldPosition="0">
        <references count="2">
          <reference field="2" count="1" selected="0">
            <x v="7"/>
          </reference>
          <reference field="4" count="2">
            <x v="0"/>
            <x v="6"/>
          </reference>
        </references>
      </pivotArea>
    </format>
    <format dxfId="59">
      <pivotArea dataOnly="0" labelOnly="1" outline="0" fieldPosition="0">
        <references count="2">
          <reference field="2" count="1" selected="0">
            <x v="8"/>
          </reference>
          <reference field="4" count="2">
            <x v="0"/>
            <x v="6"/>
          </reference>
        </references>
      </pivotArea>
    </format>
    <format dxfId="58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17" count="2">
            <x v="1"/>
            <x v="2"/>
          </reference>
        </references>
      </pivotArea>
    </format>
    <format dxfId="57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56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17" count="0"/>
        </references>
      </pivotArea>
    </format>
    <format dxfId="55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0"/>
          </reference>
          <reference field="17" count="0"/>
        </references>
      </pivotArea>
    </format>
    <format dxfId="54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53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0"/>
          </reference>
          <reference field="17" count="2">
            <x v="0"/>
            <x v="1"/>
          </reference>
        </references>
      </pivotArea>
    </format>
    <format dxfId="52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3"/>
          </reference>
          <reference field="17" count="1">
            <x v="2"/>
          </reference>
        </references>
      </pivotArea>
    </format>
    <format dxfId="51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50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0"/>
          </reference>
          <reference field="17" count="0"/>
        </references>
      </pivotArea>
    </format>
    <format dxfId="49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0"/>
          </reference>
          <reference field="17" count="0"/>
        </references>
      </pivotArea>
    </format>
    <format dxfId="48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47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0"/>
          </reference>
          <reference field="17" count="1">
            <x v="1"/>
          </reference>
        </references>
      </pivotArea>
    </format>
    <format dxfId="46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3"/>
          </reference>
          <reference field="17" count="0"/>
        </references>
      </pivotArea>
    </format>
    <format dxfId="45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44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17" count="2">
            <x v="1"/>
            <x v="2"/>
          </reference>
        </references>
      </pivotArea>
    </format>
    <format dxfId="43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42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0"/>
          </reference>
          <reference field="17" count="1">
            <x v="1"/>
          </reference>
        </references>
      </pivotArea>
    </format>
    <format dxfId="41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6"/>
          </reference>
          <reference field="17" count="1">
            <x v="2"/>
          </reference>
        </references>
      </pivotArea>
    </format>
    <format dxfId="40">
      <pivotArea dataOnly="0" labelOnly="1" outline="0" fieldPosition="0">
        <references count="1">
          <reference field="14" count="0"/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outline="0" fieldPosition="0"/>
    </format>
    <format dxfId="36">
      <pivotArea type="origin" dataOnly="0" labelOnly="1" outline="0" fieldPosition="0"/>
    </format>
    <format dxfId="35">
      <pivotArea field="14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2">
      <pivotArea field="4" type="button" dataOnly="0" labelOnly="1" outline="0" axis="axisRow" fieldPosition="1"/>
    </format>
    <format dxfId="31">
      <pivotArea field="17" type="button" dataOnly="0" labelOnly="1" outline="0" axis="axisRow" fieldPosition="2"/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2">
          <reference field="2" count="1" selected="0">
            <x v="0"/>
          </reference>
          <reference field="4" count="2">
            <x v="0"/>
            <x v="6"/>
          </reference>
        </references>
      </pivotArea>
    </format>
    <format dxfId="27">
      <pivotArea dataOnly="0" labelOnly="1" outline="0" fieldPosition="0">
        <references count="2">
          <reference field="2" count="1" selected="0">
            <x v="1"/>
          </reference>
          <reference field="4" count="1">
            <x v="0"/>
          </reference>
        </references>
      </pivotArea>
    </format>
    <format dxfId="26">
      <pivotArea dataOnly="0" labelOnly="1" outline="0" fieldPosition="0">
        <references count="2">
          <reference field="2" count="1" selected="0">
            <x v="2"/>
          </reference>
          <reference field="4" count="1">
            <x v="6"/>
          </reference>
        </references>
      </pivotArea>
    </format>
    <format dxfId="25">
      <pivotArea dataOnly="0" labelOnly="1" outline="0" fieldPosition="0">
        <references count="2">
          <reference field="2" count="1" selected="0">
            <x v="3"/>
          </reference>
          <reference field="4" count="0"/>
        </references>
      </pivotArea>
    </format>
    <format dxfId="24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23">
      <pivotArea dataOnly="0" labelOnly="1" outline="0" fieldPosition="0">
        <references count="2">
          <reference field="2" count="1" selected="0">
            <x v="5"/>
          </reference>
          <reference field="4" count="1">
            <x v="6"/>
          </reference>
        </references>
      </pivotArea>
    </format>
    <format dxfId="22">
      <pivotArea dataOnly="0" labelOnly="1" outline="0" fieldPosition="0">
        <references count="2">
          <reference field="2" count="1" selected="0">
            <x v="6"/>
          </reference>
          <reference field="4" count="0"/>
        </references>
      </pivotArea>
    </format>
    <format dxfId="21">
      <pivotArea dataOnly="0" labelOnly="1" outline="0" fieldPosition="0">
        <references count="2">
          <reference field="2" count="1" selected="0">
            <x v="7"/>
          </reference>
          <reference field="4" count="2">
            <x v="0"/>
            <x v="6"/>
          </reference>
        </references>
      </pivotArea>
    </format>
    <format dxfId="20">
      <pivotArea dataOnly="0" labelOnly="1" outline="0" fieldPosition="0">
        <references count="2">
          <reference field="2" count="1" selected="0">
            <x v="8"/>
          </reference>
          <reference field="4" count="2">
            <x v="0"/>
            <x v="6"/>
          </reference>
        </references>
      </pivotArea>
    </format>
    <format dxfId="19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17" count="2">
            <x v="1"/>
            <x v="2"/>
          </reference>
        </references>
      </pivotArea>
    </format>
    <format dxfId="18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17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17" count="0"/>
        </references>
      </pivotArea>
    </format>
    <format dxfId="16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0"/>
          </reference>
          <reference field="17" count="0"/>
        </references>
      </pivotArea>
    </format>
    <format dxfId="15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14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0"/>
          </reference>
          <reference field="17" count="2">
            <x v="0"/>
            <x v="1"/>
          </reference>
        </references>
      </pivotArea>
    </format>
    <format dxfId="13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3"/>
          </reference>
          <reference field="17" count="1">
            <x v="2"/>
          </reference>
        </references>
      </pivotArea>
    </format>
    <format dxfId="12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11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0"/>
          </reference>
          <reference field="17" count="0"/>
        </references>
      </pivotArea>
    </format>
    <format dxfId="10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0"/>
          </reference>
          <reference field="17" count="0"/>
        </references>
      </pivotArea>
    </format>
    <format dxfId="9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8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0"/>
          </reference>
          <reference field="17" count="1">
            <x v="1"/>
          </reference>
        </references>
      </pivotArea>
    </format>
    <format dxfId="7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3"/>
          </reference>
          <reference field="17" count="0"/>
        </references>
      </pivotArea>
    </format>
    <format dxfId="6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17" count="1">
            <x v="1"/>
          </reference>
        </references>
      </pivotArea>
    </format>
    <format dxfId="5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17" count="2">
            <x v="1"/>
            <x v="2"/>
          </reference>
        </references>
      </pivotArea>
    </format>
    <format dxfId="4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6"/>
          </reference>
          <reference field="17" count="2">
            <x v="1"/>
            <x v="2"/>
          </reference>
        </references>
      </pivotArea>
    </format>
    <format dxfId="3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0"/>
          </reference>
          <reference field="17" count="1">
            <x v="1"/>
          </reference>
        </references>
      </pivotArea>
    </format>
    <format dxfId="2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6"/>
          </reference>
          <reference field="17" count="1">
            <x v="2"/>
          </reference>
        </references>
      </pivotArea>
    </format>
    <format dxfId="1">
      <pivotArea dataOnly="0" labelOnly="1" outline="0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665F2-B76B-46E8-885A-7F372344AEBB}" name="PivotTable1" cacheId="0" dataOnRows="1" applyNumberFormats="0" applyBorderFormats="0" applyFontFormats="0" applyPatternFormats="0" applyAlignmentFormats="0" applyWidthHeightFormats="1" dataCaption="Data" updatedVersion="2" asteriskTotals="1" showMemberPropertyTips="0" useAutoFormatting="1" itemPrintTitles="1" createdVersion="1" indent="0" compact="0" compactData="0" gridDropZones="1">
  <location ref="B88:I124" firstHeaderRow="1" firstDataRow="3" firstDataCol="4"/>
  <pivotFields count="19"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9">
        <item x="6"/>
        <item x="7"/>
        <item x="5"/>
        <item x="2"/>
        <item x="4"/>
        <item x="0"/>
        <item x="1"/>
        <item x="3"/>
        <item x="8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7">
        <item x="0"/>
        <item h="1" x="6"/>
        <item h="1" x="4"/>
        <item x="2"/>
        <item h="1" x="1"/>
        <item h="1" x="5"/>
        <item x="3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">
        <item sd="0" x="0"/>
        <item sd="0" x="1"/>
        <item t="default" sd="0"/>
      </items>
    </pivotField>
    <pivotField axis="axisCol" compact="0" outline="0" subtotalTop="0" showAll="0" includeNewItemsInFilter="1" defaultSubtotal="0">
      <items count="2">
        <item x="0"/>
        <item x="1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dataField="1" compact="0" numFmtId="2" outline="0" subtotalTop="0" showAll="0" includeNewItemsInFilter="1"/>
  </pivotFields>
  <rowFields count="4">
    <field x="2"/>
    <field x="4"/>
    <field x="8"/>
    <field x="17"/>
  </rowFields>
  <rowItems count="34">
    <i>
      <x/>
      <x/>
      <x/>
    </i>
    <i r="2">
      <x v="1"/>
    </i>
    <i r="1">
      <x v="6"/>
      <x v="1"/>
    </i>
    <i>
      <x v="1"/>
      <x/>
      <x/>
    </i>
    <i r="2">
      <x v="1"/>
    </i>
    <i>
      <x v="2"/>
      <x/>
      <x/>
    </i>
    <i r="2">
      <x v="1"/>
    </i>
    <i r="1">
      <x v="6"/>
      <x/>
    </i>
    <i r="2">
      <x v="1"/>
    </i>
    <i>
      <x v="3"/>
      <x/>
      <x/>
    </i>
    <i r="2">
      <x v="1"/>
    </i>
    <i r="1">
      <x v="3"/>
      <x/>
    </i>
    <i r="2">
      <x v="1"/>
    </i>
    <i r="1">
      <x v="6"/>
      <x/>
    </i>
    <i r="2">
      <x v="1"/>
    </i>
    <i>
      <x v="4"/>
      <x/>
      <x/>
    </i>
    <i r="2">
      <x v="1"/>
    </i>
    <i>
      <x v="5"/>
      <x/>
      <x/>
    </i>
    <i r="2">
      <x v="1"/>
    </i>
    <i r="1">
      <x v="6"/>
      <x/>
    </i>
    <i r="2">
      <x v="1"/>
    </i>
    <i>
      <x v="6"/>
      <x/>
      <x/>
    </i>
    <i r="2">
      <x v="1"/>
    </i>
    <i r="1">
      <x v="3"/>
      <x/>
    </i>
    <i r="2">
      <x v="1"/>
    </i>
    <i r="1">
      <x v="6"/>
      <x/>
    </i>
    <i r="2">
      <x v="1"/>
    </i>
    <i>
      <x v="7"/>
      <x/>
      <x/>
    </i>
    <i r="2">
      <x v="1"/>
    </i>
    <i r="1">
      <x v="6"/>
      <x/>
    </i>
    <i r="2">
      <x v="1"/>
    </i>
    <i>
      <x v="8"/>
      <x/>
      <x v="1"/>
    </i>
    <i r="1">
      <x v="6"/>
      <x/>
    </i>
    <i t="grand">
      <x/>
    </i>
  </rowItems>
  <colFields count="2">
    <field x="9"/>
    <field x="10"/>
  </colFields>
  <colItems count="4">
    <i>
      <x/>
      <x/>
    </i>
    <i r="1">
      <x v="1"/>
    </i>
    <i>
      <x v="1"/>
      <x/>
    </i>
    <i t="grand">
      <x/>
    </i>
  </colItems>
  <dataFields count="1">
    <dataField name="Sum of EffNPC(PJ)" fld="18" baseField="0" baseItem="0" numFmtId="2"/>
  </dataFields>
  <formats count="87">
    <format dxfId="165">
      <pivotArea outline="0" fieldPosition="0"/>
    </format>
    <format dxfId="164">
      <pivotArea type="all" dataOnly="0" outline="0" fieldPosition="0"/>
    </format>
    <format dxfId="163">
      <pivotArea outline="0" fieldPosition="0"/>
    </format>
    <format dxfId="162">
      <pivotArea type="origin" dataOnly="0" labelOnly="1" outline="0" fieldPosition="0"/>
    </format>
    <format dxfId="161">
      <pivotArea field="9" type="button" dataOnly="0" labelOnly="1" outline="0" axis="axisCol" fieldPosition="0"/>
    </format>
    <format dxfId="160">
      <pivotArea field="10" type="button" dataOnly="0" labelOnly="1" outline="0" axis="axisCol" fieldPosition="1"/>
    </format>
    <format dxfId="159">
      <pivotArea type="topRight" dataOnly="0" labelOnly="1" outline="0" fieldPosition="0"/>
    </format>
    <format dxfId="158">
      <pivotArea field="2" type="button" dataOnly="0" labelOnly="1" outline="0" axis="axisRow" fieldPosition="0"/>
    </format>
    <format dxfId="157">
      <pivotArea field="4" type="button" dataOnly="0" labelOnly="1" outline="0" axis="axisRow" fieldPosition="1"/>
    </format>
    <format dxfId="156">
      <pivotArea field="8" type="button" dataOnly="0" labelOnly="1" outline="0" axis="axisRow" fieldPosition="2"/>
    </format>
    <format dxfId="155">
      <pivotArea field="17" type="button" dataOnly="0" labelOnly="1" outline="0" axis="axisRow" fieldPosition="3"/>
    </format>
    <format dxfId="154">
      <pivotArea dataOnly="0" labelOnly="1" outline="0" fieldPosition="0">
        <references count="1">
          <reference field="2" count="0"/>
        </references>
      </pivotArea>
    </format>
    <format dxfId="153">
      <pivotArea dataOnly="0" labelOnly="1" grandRow="1" outline="0" fieldPosition="0"/>
    </format>
    <format dxfId="152">
      <pivotArea dataOnly="0" labelOnly="1" outline="0" fieldPosition="0">
        <references count="2">
          <reference field="2" count="1" selected="0">
            <x v="0"/>
          </reference>
          <reference field="4" count="2">
            <x v="0"/>
            <x v="6"/>
          </reference>
        </references>
      </pivotArea>
    </format>
    <format dxfId="151">
      <pivotArea dataOnly="0" labelOnly="1" outline="0" fieldPosition="0">
        <references count="2">
          <reference field="2" count="1" selected="0">
            <x v="1"/>
          </reference>
          <reference field="4" count="1">
            <x v="0"/>
          </reference>
        </references>
      </pivotArea>
    </format>
    <format dxfId="150">
      <pivotArea dataOnly="0" labelOnly="1" outline="0" fieldPosition="0">
        <references count="2">
          <reference field="2" count="1" selected="0">
            <x v="2"/>
          </reference>
          <reference field="4" count="1">
            <x v="6"/>
          </reference>
        </references>
      </pivotArea>
    </format>
    <format dxfId="149">
      <pivotArea dataOnly="0" labelOnly="1" outline="0" fieldPosition="0">
        <references count="2">
          <reference field="2" count="1" selected="0">
            <x v="3"/>
          </reference>
          <reference field="4" count="0"/>
        </references>
      </pivotArea>
    </format>
    <format dxfId="148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147">
      <pivotArea dataOnly="0" labelOnly="1" outline="0" fieldPosition="0">
        <references count="2">
          <reference field="2" count="1" selected="0">
            <x v="5"/>
          </reference>
          <reference field="4" count="1">
            <x v="6"/>
          </reference>
        </references>
      </pivotArea>
    </format>
    <format dxfId="146">
      <pivotArea dataOnly="0" labelOnly="1" outline="0" fieldPosition="0">
        <references count="2">
          <reference field="2" count="1" selected="0">
            <x v="6"/>
          </reference>
          <reference field="4" count="0"/>
        </references>
      </pivotArea>
    </format>
    <format dxfId="145">
      <pivotArea dataOnly="0" labelOnly="1" outline="0" fieldPosition="0">
        <references count="2">
          <reference field="2" count="1" selected="0">
            <x v="7"/>
          </reference>
          <reference field="4" count="2">
            <x v="0"/>
            <x v="6"/>
          </reference>
        </references>
      </pivotArea>
    </format>
    <format dxfId="144">
      <pivotArea dataOnly="0" labelOnly="1" outline="0" fieldPosition="0">
        <references count="2">
          <reference field="2" count="1" selected="0">
            <x v="8"/>
          </reference>
          <reference field="4" count="2">
            <x v="0"/>
            <x v="6"/>
          </reference>
        </references>
      </pivotArea>
    </format>
    <format dxfId="143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8" count="0"/>
        </references>
      </pivotArea>
    </format>
    <format dxfId="142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6"/>
          </reference>
          <reference field="8" count="1">
            <x v="1"/>
          </reference>
        </references>
      </pivotArea>
    </format>
    <format dxfId="141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8" count="0"/>
        </references>
      </pivotArea>
    </format>
    <format dxfId="140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0"/>
          </reference>
          <reference field="8" count="0"/>
        </references>
      </pivotArea>
    </format>
    <format dxfId="139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6"/>
          </reference>
          <reference field="8" count="0"/>
        </references>
      </pivotArea>
    </format>
    <format dxfId="138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0"/>
          </reference>
          <reference field="8" count="0"/>
        </references>
      </pivotArea>
    </format>
    <format dxfId="137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3"/>
          </reference>
          <reference field="8" count="0"/>
        </references>
      </pivotArea>
    </format>
    <format dxfId="136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6"/>
          </reference>
          <reference field="8" count="0"/>
        </references>
      </pivotArea>
    </format>
    <format dxfId="135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0"/>
          </reference>
          <reference field="8" count="0"/>
        </references>
      </pivotArea>
    </format>
    <format dxfId="134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0"/>
          </reference>
          <reference field="8" count="0"/>
        </references>
      </pivotArea>
    </format>
    <format dxfId="133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6"/>
          </reference>
          <reference field="8" count="0"/>
        </references>
      </pivotArea>
    </format>
    <format dxfId="132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0"/>
          </reference>
          <reference field="8" count="0"/>
        </references>
      </pivotArea>
    </format>
    <format dxfId="131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3"/>
          </reference>
          <reference field="8" count="0"/>
        </references>
      </pivotArea>
    </format>
    <format dxfId="130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8" count="0"/>
        </references>
      </pivotArea>
    </format>
    <format dxfId="129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8" count="0"/>
        </references>
      </pivotArea>
    </format>
    <format dxfId="128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6"/>
          </reference>
          <reference field="8" count="0"/>
        </references>
      </pivotArea>
    </format>
    <format dxfId="127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0"/>
          </reference>
          <reference field="8" count="1">
            <x v="1"/>
          </reference>
        </references>
      </pivotArea>
    </format>
    <format dxfId="126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6"/>
          </reference>
          <reference field="8" count="1">
            <x v="0"/>
          </reference>
        </references>
      </pivotArea>
    </format>
    <format dxfId="125">
      <pivotArea dataOnly="0" labelOnly="1" outline="0" fieldPosition="0">
        <references count="1">
          <reference field="9" count="0"/>
        </references>
      </pivotArea>
    </format>
    <format dxfId="124">
      <pivotArea dataOnly="0" labelOnly="1" grandCol="1" outline="0" fieldPosition="0"/>
    </format>
    <format dxfId="123">
      <pivotArea dataOnly="0" labelOnly="1" outline="0" fieldPosition="0">
        <references count="2">
          <reference field="9" count="1" selected="0">
            <x v="0"/>
          </reference>
          <reference field="10" count="0"/>
        </references>
      </pivotArea>
    </format>
    <format dxfId="122">
      <pivotArea dataOnly="0" labelOnly="1" outline="0" fieldPosition="0">
        <references count="2">
          <reference field="9" count="1" selected="0">
            <x v="1"/>
          </reference>
          <reference field="10" count="1">
            <x v="0"/>
          </reference>
        </references>
      </pivotArea>
    </format>
    <format dxfId="121">
      <pivotArea type="all" dataOnly="0" outline="0" fieldPosition="0"/>
    </format>
    <format dxfId="120">
      <pivotArea outline="0" fieldPosition="0"/>
    </format>
    <format dxfId="119">
      <pivotArea type="origin" dataOnly="0" labelOnly="1" outline="0" fieldPosition="0"/>
    </format>
    <format dxfId="118">
      <pivotArea field="9" type="button" dataOnly="0" labelOnly="1" outline="0" axis="axisCol" fieldPosition="0"/>
    </format>
    <format dxfId="117">
      <pivotArea field="10" type="button" dataOnly="0" labelOnly="1" outline="0" axis="axisCol" fieldPosition="1"/>
    </format>
    <format dxfId="116">
      <pivotArea type="topRight" dataOnly="0" labelOnly="1" outline="0" fieldPosition="0"/>
    </format>
    <format dxfId="115">
      <pivotArea field="2" type="button" dataOnly="0" labelOnly="1" outline="0" axis="axisRow" fieldPosition="0"/>
    </format>
    <format dxfId="114">
      <pivotArea field="4" type="button" dataOnly="0" labelOnly="1" outline="0" axis="axisRow" fieldPosition="1"/>
    </format>
    <format dxfId="113">
      <pivotArea field="8" type="button" dataOnly="0" labelOnly="1" outline="0" axis="axisRow" fieldPosition="2"/>
    </format>
    <format dxfId="112">
      <pivotArea field="17" type="button" dataOnly="0" labelOnly="1" outline="0" axis="axisRow" fieldPosition="3"/>
    </format>
    <format dxfId="111">
      <pivotArea dataOnly="0" labelOnly="1" outline="0" fieldPosition="0">
        <references count="1">
          <reference field="2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2">
          <reference field="2" count="1" selected="0">
            <x v="0"/>
          </reference>
          <reference field="4" count="2">
            <x v="0"/>
            <x v="6"/>
          </reference>
        </references>
      </pivotArea>
    </format>
    <format dxfId="108">
      <pivotArea dataOnly="0" labelOnly="1" outline="0" fieldPosition="0">
        <references count="2">
          <reference field="2" count="1" selected="0">
            <x v="1"/>
          </reference>
          <reference field="4" count="1">
            <x v="0"/>
          </reference>
        </references>
      </pivotArea>
    </format>
    <format dxfId="107">
      <pivotArea dataOnly="0" labelOnly="1" outline="0" fieldPosition="0">
        <references count="2">
          <reference field="2" count="1" selected="0">
            <x v="2"/>
          </reference>
          <reference field="4" count="1">
            <x v="6"/>
          </reference>
        </references>
      </pivotArea>
    </format>
    <format dxfId="106">
      <pivotArea dataOnly="0" labelOnly="1" outline="0" fieldPosition="0">
        <references count="2">
          <reference field="2" count="1" selected="0">
            <x v="3"/>
          </reference>
          <reference field="4" count="0"/>
        </references>
      </pivotArea>
    </format>
    <format dxfId="105">
      <pivotArea dataOnly="0" labelOnly="1" outline="0" fieldPosition="0">
        <references count="2">
          <reference field="2" count="1" selected="0">
            <x v="4"/>
          </reference>
          <reference field="4" count="1">
            <x v="0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5"/>
          </reference>
          <reference field="4" count="1">
            <x v="6"/>
          </reference>
        </references>
      </pivotArea>
    </format>
    <format dxfId="103">
      <pivotArea dataOnly="0" labelOnly="1" outline="0" fieldPosition="0">
        <references count="2">
          <reference field="2" count="1" selected="0">
            <x v="6"/>
          </reference>
          <reference field="4" count="0"/>
        </references>
      </pivotArea>
    </format>
    <format dxfId="102">
      <pivotArea dataOnly="0" labelOnly="1" outline="0" fieldPosition="0">
        <references count="2">
          <reference field="2" count="1" selected="0">
            <x v="7"/>
          </reference>
          <reference field="4" count="2">
            <x v="0"/>
            <x v="6"/>
          </reference>
        </references>
      </pivotArea>
    </format>
    <format dxfId="101">
      <pivotArea dataOnly="0" labelOnly="1" outline="0" fieldPosition="0">
        <references count="2">
          <reference field="2" count="1" selected="0">
            <x v="8"/>
          </reference>
          <reference field="4" count="2">
            <x v="0"/>
            <x v="6"/>
          </reference>
        </references>
      </pivotArea>
    </format>
    <format dxfId="100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0"/>
          </reference>
          <reference field="8" count="0"/>
        </references>
      </pivotArea>
    </format>
    <format dxfId="99">
      <pivotArea dataOnly="0" labelOnly="1" outline="0" fieldPosition="0">
        <references count="3">
          <reference field="2" count="1" selected="0">
            <x v="0"/>
          </reference>
          <reference field="4" count="1" selected="0">
            <x v="6"/>
          </reference>
          <reference field="8" count="1">
            <x v="1"/>
          </reference>
        </references>
      </pivotArea>
    </format>
    <format dxfId="98">
      <pivotArea dataOnly="0" labelOnly="1" outline="0" fieldPosition="0">
        <references count="3">
          <reference field="2" count="1" selected="0">
            <x v="1"/>
          </reference>
          <reference field="4" count="1" selected="0">
            <x v="0"/>
          </reference>
          <reference field="8" count="0"/>
        </references>
      </pivotArea>
    </format>
    <format dxfId="97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0"/>
          </reference>
          <reference field="8" count="0"/>
        </references>
      </pivotArea>
    </format>
    <format dxfId="96">
      <pivotArea dataOnly="0" labelOnly="1" outline="0" fieldPosition="0">
        <references count="3">
          <reference field="2" count="1" selected="0">
            <x v="2"/>
          </reference>
          <reference field="4" count="1" selected="0">
            <x v="6"/>
          </reference>
          <reference field="8" count="0"/>
        </references>
      </pivotArea>
    </format>
    <format dxfId="95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0"/>
          </reference>
          <reference field="8" count="0"/>
        </references>
      </pivotArea>
    </format>
    <format dxfId="94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3"/>
          </reference>
          <reference field="8" count="0"/>
        </references>
      </pivotArea>
    </format>
    <format dxfId="93">
      <pivotArea dataOnly="0" labelOnly="1" outline="0" fieldPosition="0">
        <references count="3">
          <reference field="2" count="1" selected="0">
            <x v="3"/>
          </reference>
          <reference field="4" count="1" selected="0">
            <x v="6"/>
          </reference>
          <reference field="8" count="0"/>
        </references>
      </pivotArea>
    </format>
    <format dxfId="92">
      <pivotArea dataOnly="0" labelOnly="1" outline="0" fieldPosition="0">
        <references count="3">
          <reference field="2" count="1" selected="0">
            <x v="4"/>
          </reference>
          <reference field="4" count="1" selected="0">
            <x v="0"/>
          </reference>
          <reference field="8" count="0"/>
        </references>
      </pivotArea>
    </format>
    <format dxfId="91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0"/>
          </reference>
          <reference field="8" count="0"/>
        </references>
      </pivotArea>
    </format>
    <format dxfId="90">
      <pivotArea dataOnly="0" labelOnly="1" outline="0" fieldPosition="0">
        <references count="3">
          <reference field="2" count="1" selected="0">
            <x v="5"/>
          </reference>
          <reference field="4" count="1" selected="0">
            <x v="6"/>
          </reference>
          <reference field="8" count="0"/>
        </references>
      </pivotArea>
    </format>
    <format dxfId="89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0"/>
          </reference>
          <reference field="8" count="0"/>
        </references>
      </pivotArea>
    </format>
    <format dxfId="88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3"/>
          </reference>
          <reference field="8" count="0"/>
        </references>
      </pivotArea>
    </format>
    <format dxfId="87">
      <pivotArea dataOnly="0" labelOnly="1" outline="0" fieldPosition="0">
        <references count="3">
          <reference field="2" count="1" selected="0">
            <x v="6"/>
          </reference>
          <reference field="4" count="1" selected="0">
            <x v="6"/>
          </reference>
          <reference field="8" count="0"/>
        </references>
      </pivotArea>
    </format>
    <format dxfId="86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0"/>
          </reference>
          <reference field="8" count="0"/>
        </references>
      </pivotArea>
    </format>
    <format dxfId="85">
      <pivotArea dataOnly="0" labelOnly="1" outline="0" fieldPosition="0">
        <references count="3">
          <reference field="2" count="1" selected="0">
            <x v="7"/>
          </reference>
          <reference field="4" count="1" selected="0">
            <x v="6"/>
          </reference>
          <reference field="8" count="0"/>
        </references>
      </pivotArea>
    </format>
    <format dxfId="84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0"/>
          </reference>
          <reference field="8" count="1">
            <x v="1"/>
          </reference>
        </references>
      </pivotArea>
    </format>
    <format dxfId="83">
      <pivotArea dataOnly="0" labelOnly="1" outline="0" fieldPosition="0">
        <references count="3">
          <reference field="2" count="1" selected="0">
            <x v="8"/>
          </reference>
          <reference field="4" count="1" selected="0">
            <x v="6"/>
          </reference>
          <reference field="8" count="1">
            <x v="0"/>
          </reference>
        </references>
      </pivotArea>
    </format>
    <format dxfId="82">
      <pivotArea dataOnly="0" labelOnly="1" outline="0" fieldPosition="0">
        <references count="1">
          <reference field="9" count="0"/>
        </references>
      </pivotArea>
    </format>
    <format dxfId="81">
      <pivotArea dataOnly="0" labelOnly="1" grandCol="1" outline="0" fieldPosition="0"/>
    </format>
    <format dxfId="80">
      <pivotArea dataOnly="0" labelOnly="1" outline="0" fieldPosition="0">
        <references count="2">
          <reference field="9" count="1" selected="0">
            <x v="0"/>
          </reference>
          <reference field="10" count="0"/>
        </references>
      </pivotArea>
    </format>
    <format dxfId="79">
      <pivotArea dataOnly="0" labelOnly="1" outline="0" fieldPosition="0">
        <references count="2">
          <reference field="9" count="1" selected="0">
            <x v="1"/>
          </reference>
          <reference field="10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ea.gov/national/nipaweb/SelectTable.asp?Selected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21F5-0CE9-4B2C-86DA-5F58204CF821}">
  <sheetPr>
    <tabColor theme="7"/>
  </sheetPr>
  <dimension ref="A2:Z1340"/>
  <sheetViews>
    <sheetView workbookViewId="0">
      <pane xSplit="2" ySplit="3" topLeftCell="F1332" activePane="bottomRight" state="frozen"/>
      <selection pane="topRight" activeCell="I825" sqref="I825"/>
      <selection pane="bottomLeft" activeCell="I825" sqref="I825"/>
      <selection pane="bottomRight" activeCell="M813" sqref="M813"/>
    </sheetView>
  </sheetViews>
  <sheetFormatPr defaultRowHeight="15" x14ac:dyDescent="0.25"/>
  <cols>
    <col min="5" max="5" width="10.140625" bestFit="1" customWidth="1"/>
    <col min="8" max="8" width="13.140625" bestFit="1" customWidth="1"/>
    <col min="11" max="12" width="10.140625" bestFit="1" customWidth="1"/>
    <col min="13" max="13" width="11.85546875" bestFit="1" customWidth="1"/>
    <col min="15" max="20" width="9.5703125" bestFit="1" customWidth="1"/>
  </cols>
  <sheetData>
    <row r="2" spans="1:26" s="1" customFormat="1" ht="12.75" x14ac:dyDescent="0.2">
      <c r="A2" s="127"/>
      <c r="B2" s="127"/>
      <c r="C2" s="2" t="s">
        <v>0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s="3" customFormat="1" ht="13.5" thickBot="1" x14ac:dyDescent="0.25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16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6"/>
      <c r="V3" s="6"/>
      <c r="W3" s="6"/>
      <c r="X3" s="6"/>
      <c r="Y3" s="6"/>
      <c r="Z3" s="6"/>
    </row>
    <row r="4" spans="1:26" s="1" customFormat="1" ht="12.75" x14ac:dyDescent="0.2">
      <c r="A4" s="2"/>
      <c r="B4" s="127"/>
      <c r="C4" s="7"/>
      <c r="D4" s="7"/>
      <c r="E4" s="7" t="s">
        <v>19</v>
      </c>
      <c r="F4" s="7">
        <v>2010</v>
      </c>
      <c r="G4" s="8" t="s">
        <v>20</v>
      </c>
      <c r="H4" s="7" t="str">
        <f>"SEC"&amp;J4</f>
        <v>SECC*</v>
      </c>
      <c r="I4" s="7"/>
      <c r="J4" s="8" t="s">
        <v>21</v>
      </c>
      <c r="K4" s="7"/>
      <c r="L4" s="7" t="s">
        <v>22</v>
      </c>
      <c r="M4" s="7"/>
      <c r="N4" s="7" t="e">
        <f>#REF!</f>
        <v>#REF!</v>
      </c>
      <c r="O4" s="7"/>
      <c r="P4" s="7"/>
      <c r="Q4" s="7"/>
      <c r="R4" s="7"/>
      <c r="S4" s="7"/>
      <c r="T4" s="7"/>
      <c r="U4" s="127"/>
      <c r="V4" s="127"/>
      <c r="W4" s="127"/>
      <c r="X4" s="127"/>
      <c r="Y4" s="127"/>
      <c r="Z4" s="127"/>
    </row>
    <row r="5" spans="1:26" s="1" customFormat="1" ht="12.75" x14ac:dyDescent="0.2">
      <c r="A5" s="2"/>
      <c r="B5" s="127"/>
      <c r="C5" s="7"/>
      <c r="D5" s="7"/>
      <c r="E5" s="7" t="s">
        <v>19</v>
      </c>
      <c r="F5" s="7">
        <v>2015</v>
      </c>
      <c r="G5" s="8" t="s">
        <v>20</v>
      </c>
      <c r="H5" s="7" t="str">
        <f t="shared" ref="H5:H47" si="0">"SEC"&amp;J5</f>
        <v>SECC*</v>
      </c>
      <c r="I5" s="7"/>
      <c r="J5" s="8" t="s">
        <v>21</v>
      </c>
      <c r="K5" s="7"/>
      <c r="L5" s="7" t="s">
        <v>22</v>
      </c>
      <c r="M5" s="7"/>
      <c r="N5" s="7" t="e">
        <f>N4</f>
        <v>#REF!</v>
      </c>
      <c r="O5" s="7"/>
      <c r="P5" s="7"/>
      <c r="Q5" s="7"/>
      <c r="R5" s="7"/>
      <c r="S5" s="7"/>
      <c r="T5" s="7"/>
      <c r="U5" s="127"/>
      <c r="V5" s="127"/>
      <c r="W5" s="127"/>
      <c r="X5" s="127"/>
      <c r="Y5" s="127"/>
      <c r="Z5" s="127"/>
    </row>
    <row r="6" spans="1:26" s="1" customFormat="1" ht="12.75" x14ac:dyDescent="0.2">
      <c r="A6" s="2"/>
      <c r="B6" s="127"/>
      <c r="C6" s="7"/>
      <c r="D6" s="7"/>
      <c r="E6" s="7" t="s">
        <v>19</v>
      </c>
      <c r="F6" s="7">
        <v>2020</v>
      </c>
      <c r="G6" s="8" t="s">
        <v>20</v>
      </c>
      <c r="H6" s="7" t="str">
        <f t="shared" si="0"/>
        <v>SECC*</v>
      </c>
      <c r="I6" s="7"/>
      <c r="J6" s="8" t="s">
        <v>21</v>
      </c>
      <c r="K6" s="7"/>
      <c r="L6" s="7" t="s">
        <v>22</v>
      </c>
      <c r="M6" s="7"/>
      <c r="N6" s="7" t="e">
        <f t="shared" ref="N6:N7" si="1">N5</f>
        <v>#REF!</v>
      </c>
      <c r="O6" s="7"/>
      <c r="P6" s="7"/>
      <c r="Q6" s="7"/>
      <c r="R6" s="7"/>
      <c r="S6" s="7"/>
      <c r="T6" s="7"/>
      <c r="U6" s="127"/>
      <c r="V6" s="127"/>
      <c r="W6" s="127"/>
      <c r="X6" s="127"/>
      <c r="Y6" s="127"/>
      <c r="Z6" s="127"/>
    </row>
    <row r="7" spans="1:26" s="1" customFormat="1" ht="12.75" x14ac:dyDescent="0.2">
      <c r="A7" s="2"/>
      <c r="B7" s="127"/>
      <c r="C7" s="7"/>
      <c r="D7" s="7"/>
      <c r="E7" s="7" t="s">
        <v>19</v>
      </c>
      <c r="F7" s="7">
        <v>2055</v>
      </c>
      <c r="G7" s="8" t="s">
        <v>20</v>
      </c>
      <c r="H7" s="7" t="str">
        <f t="shared" si="0"/>
        <v>SECC*</v>
      </c>
      <c r="I7" s="7"/>
      <c r="J7" s="8" t="s">
        <v>21</v>
      </c>
      <c r="K7" s="7"/>
      <c r="L7" s="7" t="s">
        <v>22</v>
      </c>
      <c r="M7" s="7"/>
      <c r="N7" s="7" t="e">
        <f t="shared" si="1"/>
        <v>#REF!</v>
      </c>
      <c r="O7" s="7"/>
      <c r="P7" s="7"/>
      <c r="Q7" s="7"/>
      <c r="R7" s="7"/>
      <c r="S7" s="7"/>
      <c r="T7" s="7"/>
      <c r="U7" s="127"/>
      <c r="V7" s="127"/>
      <c r="W7" s="127"/>
      <c r="X7" s="127"/>
      <c r="Y7" s="127"/>
      <c r="Z7" s="127"/>
    </row>
    <row r="8" spans="1:26" s="1" customFormat="1" ht="12.75" x14ac:dyDescent="0.2">
      <c r="A8" s="2"/>
      <c r="B8" s="127"/>
      <c r="C8" s="7"/>
      <c r="D8" s="7"/>
      <c r="E8" s="7" t="s">
        <v>19</v>
      </c>
      <c r="F8" s="7">
        <v>2010</v>
      </c>
      <c r="G8" s="8" t="s">
        <v>20</v>
      </c>
      <c r="H8" s="7" t="str">
        <f t="shared" si="0"/>
        <v>SECC*</v>
      </c>
      <c r="I8" s="7"/>
      <c r="J8" s="8" t="s">
        <v>21</v>
      </c>
      <c r="K8" s="7"/>
      <c r="L8" s="7" t="s">
        <v>23</v>
      </c>
      <c r="M8" s="7"/>
      <c r="N8" s="7" t="e">
        <f>#REF!</f>
        <v>#REF!</v>
      </c>
      <c r="O8" s="7"/>
      <c r="P8" s="7"/>
      <c r="Q8" s="7"/>
      <c r="R8" s="7"/>
      <c r="S8" s="7"/>
      <c r="T8" s="7"/>
      <c r="U8" s="127"/>
      <c r="V8" s="127"/>
      <c r="W8" s="127"/>
      <c r="X8" s="127"/>
      <c r="Y8" s="127"/>
      <c r="Z8" s="127"/>
    </row>
    <row r="9" spans="1:26" s="1" customFormat="1" ht="12.75" x14ac:dyDescent="0.2">
      <c r="A9" s="2"/>
      <c r="B9" s="127"/>
      <c r="C9" s="7"/>
      <c r="D9" s="7"/>
      <c r="E9" s="7" t="s">
        <v>19</v>
      </c>
      <c r="F9" s="7">
        <v>2015</v>
      </c>
      <c r="G9" s="8" t="s">
        <v>20</v>
      </c>
      <c r="H9" s="7" t="str">
        <f t="shared" si="0"/>
        <v>SECC*</v>
      </c>
      <c r="I9" s="7"/>
      <c r="J9" s="8" t="s">
        <v>21</v>
      </c>
      <c r="K9" s="7"/>
      <c r="L9" s="7" t="s">
        <v>23</v>
      </c>
      <c r="M9" s="7"/>
      <c r="N9" s="7" t="e">
        <f>N8</f>
        <v>#REF!</v>
      </c>
      <c r="O9" s="7"/>
      <c r="P9" s="7"/>
      <c r="Q9" s="7"/>
      <c r="R9" s="7"/>
      <c r="S9" s="7"/>
      <c r="T9" s="7"/>
      <c r="U9" s="127"/>
      <c r="V9" s="127"/>
      <c r="W9" s="127"/>
      <c r="X9" s="127"/>
      <c r="Y9" s="127"/>
      <c r="Z9" s="127"/>
    </row>
    <row r="10" spans="1:26" s="1" customFormat="1" ht="12.75" x14ac:dyDescent="0.2">
      <c r="A10" s="2"/>
      <c r="B10" s="127"/>
      <c r="C10" s="7"/>
      <c r="D10" s="7"/>
      <c r="E10" s="7" t="s">
        <v>19</v>
      </c>
      <c r="F10" s="7">
        <v>2020</v>
      </c>
      <c r="G10" s="8" t="s">
        <v>20</v>
      </c>
      <c r="H10" s="7" t="str">
        <f t="shared" si="0"/>
        <v>SECC*</v>
      </c>
      <c r="I10" s="7"/>
      <c r="J10" s="8" t="s">
        <v>21</v>
      </c>
      <c r="K10" s="7"/>
      <c r="L10" s="7" t="s">
        <v>23</v>
      </c>
      <c r="M10" s="7"/>
      <c r="N10" s="7" t="e">
        <f t="shared" ref="N10:N15" si="2">N9</f>
        <v>#REF!</v>
      </c>
      <c r="O10" s="7"/>
      <c r="P10" s="7"/>
      <c r="Q10" s="7"/>
      <c r="R10" s="7"/>
      <c r="S10" s="7"/>
      <c r="T10" s="7"/>
      <c r="U10" s="127"/>
      <c r="V10" s="127"/>
      <c r="W10" s="127"/>
      <c r="X10" s="127"/>
      <c r="Y10" s="127"/>
      <c r="Z10" s="127"/>
    </row>
    <row r="11" spans="1:26" s="1" customFormat="1" ht="12.75" x14ac:dyDescent="0.2">
      <c r="A11" s="2"/>
      <c r="B11" s="127"/>
      <c r="C11" s="7"/>
      <c r="D11" s="7"/>
      <c r="E11" s="7" t="s">
        <v>19</v>
      </c>
      <c r="F11" s="7">
        <v>2055</v>
      </c>
      <c r="G11" s="8" t="s">
        <v>20</v>
      </c>
      <c r="H11" s="7" t="str">
        <f t="shared" si="0"/>
        <v>SECC*</v>
      </c>
      <c r="I11" s="7"/>
      <c r="J11" s="8" t="s">
        <v>21</v>
      </c>
      <c r="K11" s="7"/>
      <c r="L11" s="7" t="s">
        <v>23</v>
      </c>
      <c r="M11" s="7"/>
      <c r="N11" s="7" t="e">
        <f t="shared" si="2"/>
        <v>#REF!</v>
      </c>
      <c r="O11" s="7"/>
      <c r="P11" s="7"/>
      <c r="Q11" s="7"/>
      <c r="R11" s="7"/>
      <c r="S11" s="7"/>
      <c r="T11" s="7"/>
      <c r="U11" s="127"/>
      <c r="V11" s="127"/>
      <c r="W11" s="127"/>
      <c r="X11" s="127"/>
      <c r="Y11" s="127"/>
      <c r="Z11" s="127"/>
    </row>
    <row r="12" spans="1:26" s="1" customFormat="1" ht="12.75" x14ac:dyDescent="0.2">
      <c r="A12" s="2"/>
      <c r="B12" s="127"/>
      <c r="C12" s="7"/>
      <c r="D12" s="7"/>
      <c r="E12" s="7" t="s">
        <v>19</v>
      </c>
      <c r="F12" s="7">
        <v>2010</v>
      </c>
      <c r="G12" s="8" t="s">
        <v>20</v>
      </c>
      <c r="H12" s="7" t="str">
        <f t="shared" si="0"/>
        <v>SECC*</v>
      </c>
      <c r="I12" s="7"/>
      <c r="J12" s="8" t="s">
        <v>21</v>
      </c>
      <c r="K12" s="7"/>
      <c r="L12" s="7" t="s">
        <v>24</v>
      </c>
      <c r="M12" s="7"/>
      <c r="N12" s="7" t="e">
        <f>#REF!</f>
        <v>#REF!</v>
      </c>
      <c r="O12" s="7"/>
      <c r="P12" s="7"/>
      <c r="Q12" s="7"/>
      <c r="R12" s="7"/>
      <c r="S12" s="7"/>
      <c r="T12" s="7"/>
      <c r="U12" s="127"/>
      <c r="V12" s="127"/>
      <c r="W12" s="127"/>
      <c r="X12" s="127"/>
      <c r="Y12" s="127"/>
      <c r="Z12" s="127"/>
    </row>
    <row r="13" spans="1:26" s="1" customFormat="1" ht="12.75" x14ac:dyDescent="0.2">
      <c r="A13" s="2"/>
      <c r="B13" s="127"/>
      <c r="C13" s="7"/>
      <c r="D13" s="7"/>
      <c r="E13" s="7" t="s">
        <v>19</v>
      </c>
      <c r="F13" s="7">
        <v>2015</v>
      </c>
      <c r="G13" s="8" t="s">
        <v>20</v>
      </c>
      <c r="H13" s="7" t="str">
        <f t="shared" si="0"/>
        <v>SECC*</v>
      </c>
      <c r="I13" s="7"/>
      <c r="J13" s="8" t="s">
        <v>21</v>
      </c>
      <c r="K13" s="7"/>
      <c r="L13" s="7" t="s">
        <v>24</v>
      </c>
      <c r="M13" s="7"/>
      <c r="N13" s="7" t="e">
        <f>N12</f>
        <v>#REF!</v>
      </c>
      <c r="O13" s="7"/>
      <c r="P13" s="7"/>
      <c r="Q13" s="7"/>
      <c r="R13" s="7"/>
      <c r="S13" s="7"/>
      <c r="T13" s="7"/>
      <c r="U13" s="127"/>
      <c r="V13" s="127"/>
      <c r="W13" s="127"/>
      <c r="X13" s="127"/>
      <c r="Y13" s="127"/>
      <c r="Z13" s="127"/>
    </row>
    <row r="14" spans="1:26" s="1" customFormat="1" ht="12.75" x14ac:dyDescent="0.2">
      <c r="A14" s="2"/>
      <c r="B14" s="127"/>
      <c r="C14" s="7"/>
      <c r="D14" s="7"/>
      <c r="E14" s="7" t="s">
        <v>19</v>
      </c>
      <c r="F14" s="7">
        <v>2020</v>
      </c>
      <c r="G14" s="8" t="s">
        <v>20</v>
      </c>
      <c r="H14" s="7" t="str">
        <f t="shared" si="0"/>
        <v>SECC*</v>
      </c>
      <c r="I14" s="7"/>
      <c r="J14" s="8" t="s">
        <v>21</v>
      </c>
      <c r="K14" s="7"/>
      <c r="L14" s="7" t="s">
        <v>24</v>
      </c>
      <c r="M14" s="7"/>
      <c r="N14" s="7" t="e">
        <f t="shared" si="2"/>
        <v>#REF!</v>
      </c>
      <c r="O14" s="7"/>
      <c r="P14" s="7"/>
      <c r="Q14" s="7"/>
      <c r="R14" s="7"/>
      <c r="S14" s="7"/>
      <c r="T14" s="7"/>
      <c r="U14" s="127"/>
      <c r="V14" s="127"/>
      <c r="W14" s="127"/>
      <c r="X14" s="127"/>
      <c r="Y14" s="127"/>
      <c r="Z14" s="127"/>
    </row>
    <row r="15" spans="1:26" s="1" customFormat="1" ht="12.75" x14ac:dyDescent="0.2">
      <c r="A15" s="2"/>
      <c r="B15" s="127"/>
      <c r="C15" s="7"/>
      <c r="D15" s="7"/>
      <c r="E15" s="7" t="s">
        <v>19</v>
      </c>
      <c r="F15" s="7">
        <v>2055</v>
      </c>
      <c r="G15" s="8" t="s">
        <v>20</v>
      </c>
      <c r="H15" s="7" t="str">
        <f t="shared" si="0"/>
        <v>SECC*</v>
      </c>
      <c r="I15" s="7"/>
      <c r="J15" s="8" t="s">
        <v>21</v>
      </c>
      <c r="K15" s="7"/>
      <c r="L15" s="7" t="s">
        <v>24</v>
      </c>
      <c r="M15" s="7"/>
      <c r="N15" s="7" t="e">
        <f t="shared" si="2"/>
        <v>#REF!</v>
      </c>
      <c r="O15" s="7"/>
      <c r="P15" s="7"/>
      <c r="Q15" s="7"/>
      <c r="R15" s="7"/>
      <c r="S15" s="7"/>
      <c r="T15" s="7"/>
      <c r="U15" s="127"/>
      <c r="V15" s="127"/>
      <c r="W15" s="127"/>
      <c r="X15" s="127"/>
      <c r="Y15" s="127"/>
      <c r="Z15" s="127"/>
    </row>
    <row r="16" spans="1:26" s="1" customFormat="1" ht="12.75" x14ac:dyDescent="0.2">
      <c r="A16" s="2"/>
      <c r="B16" s="127"/>
      <c r="C16" s="7"/>
      <c r="D16" s="7"/>
      <c r="E16" s="7" t="s">
        <v>19</v>
      </c>
      <c r="F16" s="7">
        <v>2010</v>
      </c>
      <c r="G16" s="8" t="s">
        <v>20</v>
      </c>
      <c r="H16" s="7" t="str">
        <f t="shared" si="0"/>
        <v>SECC*</v>
      </c>
      <c r="I16" s="7"/>
      <c r="J16" s="8" t="s">
        <v>21</v>
      </c>
      <c r="K16" s="7"/>
      <c r="L16" s="7" t="s">
        <v>25</v>
      </c>
      <c r="M16" s="7"/>
      <c r="N16" s="7" t="e">
        <f>#REF!</f>
        <v>#REF!</v>
      </c>
      <c r="O16" s="7"/>
      <c r="P16" s="7"/>
      <c r="Q16" s="7"/>
      <c r="R16" s="7"/>
      <c r="S16" s="7"/>
      <c r="T16" s="7"/>
      <c r="U16" s="127"/>
      <c r="V16" s="127"/>
      <c r="W16" s="127"/>
      <c r="X16" s="127"/>
      <c r="Y16" s="127"/>
      <c r="Z16" s="127"/>
    </row>
    <row r="17" spans="1:20" s="1" customFormat="1" ht="12.75" x14ac:dyDescent="0.2">
      <c r="A17" s="2"/>
      <c r="B17" s="127"/>
      <c r="C17" s="7"/>
      <c r="D17" s="7"/>
      <c r="E17" s="7" t="s">
        <v>19</v>
      </c>
      <c r="F17" s="7">
        <v>2015</v>
      </c>
      <c r="G17" s="8" t="s">
        <v>20</v>
      </c>
      <c r="H17" s="7" t="str">
        <f t="shared" si="0"/>
        <v>SECC*</v>
      </c>
      <c r="I17" s="7"/>
      <c r="J17" s="8" t="s">
        <v>21</v>
      </c>
      <c r="K17" s="7"/>
      <c r="L17" s="7" t="s">
        <v>25</v>
      </c>
      <c r="M17" s="7"/>
      <c r="N17" s="7" t="e">
        <f>N16</f>
        <v>#REF!</v>
      </c>
      <c r="O17" s="7"/>
      <c r="P17" s="7"/>
      <c r="Q17" s="7"/>
      <c r="R17" s="7"/>
      <c r="S17" s="7"/>
      <c r="T17" s="7"/>
    </row>
    <row r="18" spans="1:20" s="1" customFormat="1" ht="12.75" x14ac:dyDescent="0.2">
      <c r="A18" s="2"/>
      <c r="B18" s="127"/>
      <c r="C18" s="7"/>
      <c r="D18" s="7"/>
      <c r="E18" s="7" t="s">
        <v>19</v>
      </c>
      <c r="F18" s="7">
        <v>2020</v>
      </c>
      <c r="G18" s="8" t="s">
        <v>20</v>
      </c>
      <c r="H18" s="7" t="str">
        <f t="shared" si="0"/>
        <v>SECC*</v>
      </c>
      <c r="I18" s="7"/>
      <c r="J18" s="8" t="s">
        <v>21</v>
      </c>
      <c r="K18" s="7"/>
      <c r="L18" s="7" t="s">
        <v>25</v>
      </c>
      <c r="M18" s="7"/>
      <c r="N18" s="7" t="e">
        <f t="shared" ref="N18:N19" si="3">N17</f>
        <v>#REF!</v>
      </c>
      <c r="O18" s="7"/>
      <c r="P18" s="7"/>
      <c r="Q18" s="7"/>
      <c r="R18" s="7"/>
      <c r="S18" s="7"/>
      <c r="T18" s="7"/>
    </row>
    <row r="19" spans="1:20" s="1" customFormat="1" ht="12.75" x14ac:dyDescent="0.2">
      <c r="A19" s="2"/>
      <c r="B19" s="127"/>
      <c r="C19" s="7"/>
      <c r="D19" s="7"/>
      <c r="E19" s="7" t="s">
        <v>19</v>
      </c>
      <c r="F19" s="7">
        <v>2055</v>
      </c>
      <c r="G19" s="8" t="s">
        <v>20</v>
      </c>
      <c r="H19" s="7" t="str">
        <f t="shared" si="0"/>
        <v>SECC*</v>
      </c>
      <c r="I19" s="7"/>
      <c r="J19" s="8" t="s">
        <v>21</v>
      </c>
      <c r="K19" s="7"/>
      <c r="L19" s="7" t="s">
        <v>25</v>
      </c>
      <c r="M19" s="7"/>
      <c r="N19" s="7" t="e">
        <f t="shared" si="3"/>
        <v>#REF!</v>
      </c>
      <c r="O19" s="7"/>
      <c r="P19" s="7"/>
      <c r="Q19" s="7"/>
      <c r="R19" s="7"/>
      <c r="S19" s="7"/>
      <c r="T19" s="7"/>
    </row>
    <row r="20" spans="1:20" s="1" customFormat="1" ht="12.75" x14ac:dyDescent="0.2">
      <c r="A20" s="2"/>
      <c r="B20" s="127"/>
      <c r="C20" s="7"/>
      <c r="D20" s="7"/>
      <c r="E20" s="7" t="s">
        <v>19</v>
      </c>
      <c r="F20" s="7">
        <v>2010</v>
      </c>
      <c r="G20" s="8" t="s">
        <v>20</v>
      </c>
      <c r="H20" s="7" t="str">
        <f t="shared" si="0"/>
        <v>SECC*</v>
      </c>
      <c r="I20" s="7"/>
      <c r="J20" s="8" t="s">
        <v>21</v>
      </c>
      <c r="K20" s="7"/>
      <c r="L20" s="7" t="s">
        <v>26</v>
      </c>
      <c r="M20" s="7"/>
      <c r="N20" s="7" t="e">
        <f>#REF!</f>
        <v>#REF!</v>
      </c>
      <c r="O20" s="7"/>
      <c r="P20" s="7"/>
      <c r="Q20" s="7"/>
      <c r="R20" s="7"/>
      <c r="S20" s="7"/>
      <c r="T20" s="7"/>
    </row>
    <row r="21" spans="1:20" s="1" customFormat="1" ht="12.75" x14ac:dyDescent="0.2">
      <c r="A21" s="2"/>
      <c r="B21" s="127"/>
      <c r="C21" s="7"/>
      <c r="D21" s="7"/>
      <c r="E21" s="7" t="s">
        <v>19</v>
      </c>
      <c r="F21" s="7">
        <v>2015</v>
      </c>
      <c r="G21" s="8" t="s">
        <v>20</v>
      </c>
      <c r="H21" s="7" t="str">
        <f t="shared" si="0"/>
        <v>SECC*</v>
      </c>
      <c r="I21" s="7"/>
      <c r="J21" s="8" t="s">
        <v>21</v>
      </c>
      <c r="K21" s="7"/>
      <c r="L21" s="7" t="s">
        <v>26</v>
      </c>
      <c r="M21" s="7"/>
      <c r="N21" s="7" t="e">
        <f>N20</f>
        <v>#REF!</v>
      </c>
      <c r="O21" s="7"/>
      <c r="P21" s="7"/>
      <c r="Q21" s="7"/>
      <c r="R21" s="7"/>
      <c r="S21" s="7"/>
      <c r="T21" s="7"/>
    </row>
    <row r="22" spans="1:20" s="1" customFormat="1" ht="12.75" x14ac:dyDescent="0.2">
      <c r="A22" s="2"/>
      <c r="B22" s="127"/>
      <c r="C22" s="7"/>
      <c r="D22" s="7"/>
      <c r="E22" s="7" t="s">
        <v>19</v>
      </c>
      <c r="F22" s="7">
        <v>2020</v>
      </c>
      <c r="G22" s="8" t="s">
        <v>20</v>
      </c>
      <c r="H22" s="7" t="str">
        <f t="shared" si="0"/>
        <v>SECC*</v>
      </c>
      <c r="I22" s="7"/>
      <c r="J22" s="8" t="s">
        <v>21</v>
      </c>
      <c r="K22" s="7"/>
      <c r="L22" s="7" t="s">
        <v>26</v>
      </c>
      <c r="M22" s="7"/>
      <c r="N22" s="7" t="e">
        <f t="shared" ref="N22:N23" si="4">N21</f>
        <v>#REF!</v>
      </c>
      <c r="O22" s="7"/>
      <c r="P22" s="7"/>
      <c r="Q22" s="7"/>
      <c r="R22" s="7"/>
      <c r="S22" s="7"/>
      <c r="T22" s="7"/>
    </row>
    <row r="23" spans="1:20" s="1" customFormat="1" ht="12.75" x14ac:dyDescent="0.2">
      <c r="A23" s="2"/>
      <c r="B23" s="127"/>
      <c r="C23" s="7"/>
      <c r="D23" s="7"/>
      <c r="E23" s="7" t="s">
        <v>19</v>
      </c>
      <c r="F23" s="7">
        <v>2055</v>
      </c>
      <c r="G23" s="8" t="s">
        <v>20</v>
      </c>
      <c r="H23" s="7" t="str">
        <f t="shared" si="0"/>
        <v>SECC*</v>
      </c>
      <c r="I23" s="7"/>
      <c r="J23" s="8" t="s">
        <v>21</v>
      </c>
      <c r="K23" s="7"/>
      <c r="L23" s="7" t="s">
        <v>26</v>
      </c>
      <c r="M23" s="7"/>
      <c r="N23" s="7" t="e">
        <f t="shared" si="4"/>
        <v>#REF!</v>
      </c>
      <c r="O23" s="7"/>
      <c r="P23" s="7"/>
      <c r="Q23" s="7"/>
      <c r="R23" s="7"/>
      <c r="S23" s="7"/>
      <c r="T23" s="7"/>
    </row>
    <row r="24" spans="1:20" s="1" customFormat="1" ht="12.75" x14ac:dyDescent="0.2">
      <c r="A24" s="2"/>
      <c r="B24" s="127"/>
      <c r="C24" s="7"/>
      <c r="D24" s="7"/>
      <c r="E24" s="7" t="s">
        <v>19</v>
      </c>
      <c r="F24" s="7">
        <v>2010</v>
      </c>
      <c r="G24" s="8" t="s">
        <v>20</v>
      </c>
      <c r="H24" s="7" t="str">
        <f t="shared" si="0"/>
        <v>SECC*</v>
      </c>
      <c r="I24" s="7"/>
      <c r="J24" s="8" t="s">
        <v>21</v>
      </c>
      <c r="K24" s="7"/>
      <c r="L24" s="7" t="s">
        <v>27</v>
      </c>
      <c r="M24" s="7"/>
      <c r="N24" s="7" t="e">
        <f>#REF!</f>
        <v>#REF!</v>
      </c>
      <c r="O24" s="7"/>
      <c r="P24" s="7"/>
      <c r="Q24" s="7"/>
      <c r="R24" s="7"/>
      <c r="S24" s="7"/>
      <c r="T24" s="7"/>
    </row>
    <row r="25" spans="1:20" s="1" customFormat="1" ht="12.75" x14ac:dyDescent="0.2">
      <c r="A25" s="2"/>
      <c r="B25" s="127"/>
      <c r="C25" s="7"/>
      <c r="D25" s="7"/>
      <c r="E25" s="7" t="s">
        <v>19</v>
      </c>
      <c r="F25" s="7">
        <v>2015</v>
      </c>
      <c r="G25" s="8" t="s">
        <v>20</v>
      </c>
      <c r="H25" s="7" t="str">
        <f t="shared" si="0"/>
        <v>SECC*</v>
      </c>
      <c r="I25" s="7"/>
      <c r="J25" s="8" t="s">
        <v>21</v>
      </c>
      <c r="K25" s="7"/>
      <c r="L25" s="7" t="s">
        <v>27</v>
      </c>
      <c r="M25" s="7"/>
      <c r="N25" s="7" t="e">
        <f>N24</f>
        <v>#REF!</v>
      </c>
      <c r="O25" s="7"/>
      <c r="P25" s="7"/>
      <c r="Q25" s="7"/>
      <c r="R25" s="7"/>
      <c r="S25" s="7"/>
      <c r="T25" s="7"/>
    </row>
    <row r="26" spans="1:20" s="1" customFormat="1" ht="12.75" x14ac:dyDescent="0.2">
      <c r="A26" s="2"/>
      <c r="B26" s="127"/>
      <c r="C26" s="7"/>
      <c r="D26" s="7"/>
      <c r="E26" s="7" t="s">
        <v>19</v>
      </c>
      <c r="F26" s="7">
        <v>2020</v>
      </c>
      <c r="G26" s="8" t="s">
        <v>20</v>
      </c>
      <c r="H26" s="7" t="str">
        <f t="shared" si="0"/>
        <v>SECC*</v>
      </c>
      <c r="I26" s="7"/>
      <c r="J26" s="8" t="s">
        <v>21</v>
      </c>
      <c r="K26" s="7"/>
      <c r="L26" s="7" t="s">
        <v>27</v>
      </c>
      <c r="M26" s="7"/>
      <c r="N26" s="7" t="e">
        <f t="shared" ref="N26:N27" si="5">N25</f>
        <v>#REF!</v>
      </c>
      <c r="O26" s="7"/>
      <c r="P26" s="7"/>
      <c r="Q26" s="7"/>
      <c r="R26" s="7"/>
      <c r="S26" s="7"/>
      <c r="T26" s="7"/>
    </row>
    <row r="27" spans="1:20" s="1" customFormat="1" ht="12.75" x14ac:dyDescent="0.2">
      <c r="A27" s="2"/>
      <c r="B27" s="127"/>
      <c r="C27" s="7"/>
      <c r="D27" s="7"/>
      <c r="E27" s="7" t="s">
        <v>19</v>
      </c>
      <c r="F27" s="7">
        <v>2055</v>
      </c>
      <c r="G27" s="8" t="s">
        <v>20</v>
      </c>
      <c r="H27" s="7" t="str">
        <f t="shared" si="0"/>
        <v>SECC*</v>
      </c>
      <c r="I27" s="7"/>
      <c r="J27" s="8" t="s">
        <v>21</v>
      </c>
      <c r="K27" s="7"/>
      <c r="L27" s="7" t="s">
        <v>27</v>
      </c>
      <c r="M27" s="7"/>
      <c r="N27" s="7" t="e">
        <f t="shared" si="5"/>
        <v>#REF!</v>
      </c>
      <c r="O27" s="7"/>
      <c r="P27" s="7"/>
      <c r="Q27" s="7"/>
      <c r="R27" s="7"/>
      <c r="S27" s="7"/>
      <c r="T27" s="7"/>
    </row>
    <row r="28" spans="1:20" s="1" customFormat="1" ht="12.75" x14ac:dyDescent="0.2">
      <c r="A28" s="2"/>
      <c r="B28" s="127"/>
      <c r="C28" s="7"/>
      <c r="D28" s="7"/>
      <c r="E28" s="7" t="s">
        <v>19</v>
      </c>
      <c r="F28" s="7">
        <v>2010</v>
      </c>
      <c r="G28" s="8" t="s">
        <v>20</v>
      </c>
      <c r="H28" s="7" t="str">
        <f t="shared" si="0"/>
        <v>SECC*</v>
      </c>
      <c r="I28" s="7"/>
      <c r="J28" s="8" t="s">
        <v>21</v>
      </c>
      <c r="K28" s="7"/>
      <c r="L28" s="7" t="s">
        <v>28</v>
      </c>
      <c r="M28" s="7"/>
      <c r="N28" s="7" t="e">
        <f>#REF!</f>
        <v>#REF!</v>
      </c>
      <c r="O28" s="7"/>
      <c r="P28" s="7"/>
      <c r="Q28" s="7"/>
      <c r="R28" s="7"/>
      <c r="S28" s="7"/>
      <c r="T28" s="7"/>
    </row>
    <row r="29" spans="1:20" s="1" customFormat="1" ht="12.75" x14ac:dyDescent="0.2">
      <c r="A29" s="2"/>
      <c r="B29" s="127"/>
      <c r="C29" s="7"/>
      <c r="D29" s="7"/>
      <c r="E29" s="7" t="s">
        <v>19</v>
      </c>
      <c r="F29" s="7">
        <v>2015</v>
      </c>
      <c r="G29" s="8" t="s">
        <v>20</v>
      </c>
      <c r="H29" s="7" t="str">
        <f t="shared" si="0"/>
        <v>SECC*</v>
      </c>
      <c r="I29" s="7"/>
      <c r="J29" s="8" t="s">
        <v>21</v>
      </c>
      <c r="K29" s="7"/>
      <c r="L29" s="7" t="s">
        <v>28</v>
      </c>
      <c r="M29" s="7"/>
      <c r="N29" s="7" t="e">
        <f>N28</f>
        <v>#REF!</v>
      </c>
      <c r="O29" s="7"/>
      <c r="P29" s="7"/>
      <c r="Q29" s="7"/>
      <c r="R29" s="7"/>
      <c r="S29" s="7"/>
      <c r="T29" s="7"/>
    </row>
    <row r="30" spans="1:20" s="1" customFormat="1" ht="12.75" x14ac:dyDescent="0.2">
      <c r="A30" s="2"/>
      <c r="B30" s="127"/>
      <c r="C30" s="7"/>
      <c r="D30" s="7"/>
      <c r="E30" s="7" t="s">
        <v>19</v>
      </c>
      <c r="F30" s="7">
        <v>2020</v>
      </c>
      <c r="G30" s="8" t="s">
        <v>20</v>
      </c>
      <c r="H30" s="7" t="str">
        <f t="shared" si="0"/>
        <v>SECC*</v>
      </c>
      <c r="I30" s="7"/>
      <c r="J30" s="8" t="s">
        <v>21</v>
      </c>
      <c r="K30" s="7"/>
      <c r="L30" s="7" t="s">
        <v>28</v>
      </c>
      <c r="M30" s="7"/>
      <c r="N30" s="7" t="e">
        <f t="shared" ref="N30:N31" si="6">N29</f>
        <v>#REF!</v>
      </c>
      <c r="O30" s="7"/>
      <c r="P30" s="7"/>
      <c r="Q30" s="7"/>
      <c r="R30" s="7"/>
      <c r="S30" s="7"/>
      <c r="T30" s="7"/>
    </row>
    <row r="31" spans="1:20" s="1" customFormat="1" ht="12.75" x14ac:dyDescent="0.2">
      <c r="A31" s="2"/>
      <c r="B31" s="127"/>
      <c r="C31" s="7"/>
      <c r="D31" s="7"/>
      <c r="E31" s="7" t="s">
        <v>19</v>
      </c>
      <c r="F31" s="7">
        <v>2055</v>
      </c>
      <c r="G31" s="8" t="s">
        <v>20</v>
      </c>
      <c r="H31" s="7" t="str">
        <f t="shared" si="0"/>
        <v>SECC*</v>
      </c>
      <c r="I31" s="7"/>
      <c r="J31" s="8" t="s">
        <v>21</v>
      </c>
      <c r="K31" s="7"/>
      <c r="L31" s="7" t="s">
        <v>28</v>
      </c>
      <c r="M31" s="7"/>
      <c r="N31" s="7" t="e">
        <f t="shared" si="6"/>
        <v>#REF!</v>
      </c>
      <c r="O31" s="7"/>
      <c r="P31" s="7"/>
      <c r="Q31" s="7"/>
      <c r="R31" s="7"/>
      <c r="S31" s="7"/>
      <c r="T31" s="7"/>
    </row>
    <row r="32" spans="1:20" s="1" customFormat="1" ht="12.75" x14ac:dyDescent="0.2">
      <c r="A32" s="2"/>
      <c r="B32" s="127"/>
      <c r="C32" s="7"/>
      <c r="D32" s="7"/>
      <c r="E32" s="7" t="s">
        <v>19</v>
      </c>
      <c r="F32" s="7">
        <v>2010</v>
      </c>
      <c r="G32" s="8" t="s">
        <v>20</v>
      </c>
      <c r="H32" s="7" t="str">
        <f t="shared" si="0"/>
        <v>SECC*</v>
      </c>
      <c r="I32" s="7"/>
      <c r="J32" s="8" t="s">
        <v>21</v>
      </c>
      <c r="K32" s="7"/>
      <c r="L32" s="7" t="s">
        <v>29</v>
      </c>
      <c r="M32" s="7"/>
      <c r="N32" s="7" t="e">
        <f>#REF!</f>
        <v>#REF!</v>
      </c>
      <c r="O32" s="7"/>
      <c r="P32" s="7"/>
      <c r="Q32" s="7"/>
      <c r="R32" s="7"/>
      <c r="S32" s="7"/>
      <c r="T32" s="7"/>
    </row>
    <row r="33" spans="1:20" s="1" customFormat="1" ht="12.75" x14ac:dyDescent="0.2">
      <c r="A33" s="2"/>
      <c r="B33" s="127"/>
      <c r="C33" s="7"/>
      <c r="D33" s="7"/>
      <c r="E33" s="7" t="s">
        <v>19</v>
      </c>
      <c r="F33" s="7">
        <v>2015</v>
      </c>
      <c r="G33" s="8" t="s">
        <v>20</v>
      </c>
      <c r="H33" s="7" t="str">
        <f t="shared" si="0"/>
        <v>SECC*</v>
      </c>
      <c r="I33" s="7"/>
      <c r="J33" s="8" t="s">
        <v>21</v>
      </c>
      <c r="K33" s="7"/>
      <c r="L33" s="7" t="s">
        <v>29</v>
      </c>
      <c r="M33" s="7"/>
      <c r="N33" s="7" t="e">
        <f>N32</f>
        <v>#REF!</v>
      </c>
      <c r="O33" s="7"/>
      <c r="P33" s="7"/>
      <c r="Q33" s="7"/>
      <c r="R33" s="7"/>
      <c r="S33" s="7"/>
      <c r="T33" s="7"/>
    </row>
    <row r="34" spans="1:20" s="1" customFormat="1" ht="12.75" x14ac:dyDescent="0.2">
      <c r="A34" s="2"/>
      <c r="B34" s="127"/>
      <c r="C34" s="7"/>
      <c r="D34" s="7"/>
      <c r="E34" s="7" t="s">
        <v>19</v>
      </c>
      <c r="F34" s="7">
        <v>2020</v>
      </c>
      <c r="G34" s="8" t="s">
        <v>20</v>
      </c>
      <c r="H34" s="7" t="str">
        <f t="shared" si="0"/>
        <v>SECC*</v>
      </c>
      <c r="I34" s="7"/>
      <c r="J34" s="8" t="s">
        <v>21</v>
      </c>
      <c r="K34" s="7"/>
      <c r="L34" s="7" t="s">
        <v>29</v>
      </c>
      <c r="M34" s="7"/>
      <c r="N34" s="7" t="e">
        <f t="shared" ref="N34:N35" si="7">N33</f>
        <v>#REF!</v>
      </c>
      <c r="O34" s="7"/>
      <c r="P34" s="7"/>
      <c r="Q34" s="7"/>
      <c r="R34" s="7"/>
      <c r="S34" s="7"/>
      <c r="T34" s="7"/>
    </row>
    <row r="35" spans="1:20" s="1" customFormat="1" ht="12.75" x14ac:dyDescent="0.2">
      <c r="A35" s="2"/>
      <c r="B35" s="127"/>
      <c r="C35" s="7"/>
      <c r="D35" s="7"/>
      <c r="E35" s="7" t="s">
        <v>19</v>
      </c>
      <c r="F35" s="7">
        <v>2055</v>
      </c>
      <c r="G35" s="8" t="s">
        <v>20</v>
      </c>
      <c r="H35" s="7" t="str">
        <f t="shared" si="0"/>
        <v>SECC*</v>
      </c>
      <c r="I35" s="7"/>
      <c r="J35" s="8" t="s">
        <v>21</v>
      </c>
      <c r="K35" s="7"/>
      <c r="L35" s="7" t="s">
        <v>29</v>
      </c>
      <c r="M35" s="7"/>
      <c r="N35" s="7" t="e">
        <f t="shared" si="7"/>
        <v>#REF!</v>
      </c>
      <c r="O35" s="7"/>
      <c r="P35" s="7"/>
      <c r="Q35" s="7"/>
      <c r="R35" s="7"/>
      <c r="S35" s="7"/>
      <c r="T35" s="7"/>
    </row>
    <row r="36" spans="1:20" s="1" customFormat="1" ht="12.75" x14ac:dyDescent="0.2">
      <c r="A36" s="2"/>
      <c r="B36" s="127"/>
      <c r="C36" s="7"/>
      <c r="D36" s="7"/>
      <c r="E36" s="7" t="s">
        <v>19</v>
      </c>
      <c r="F36" s="7">
        <v>2010</v>
      </c>
      <c r="G36" s="8" t="s">
        <v>20</v>
      </c>
      <c r="H36" s="7" t="str">
        <f t="shared" si="0"/>
        <v>SECC*</v>
      </c>
      <c r="I36" s="7"/>
      <c r="J36" s="8" t="s">
        <v>21</v>
      </c>
      <c r="K36" s="7"/>
      <c r="L36" s="7" t="s">
        <v>30</v>
      </c>
      <c r="M36" s="7"/>
      <c r="N36" s="7" t="e">
        <f>#REF!</f>
        <v>#REF!</v>
      </c>
      <c r="O36" s="7"/>
      <c r="P36" s="7"/>
      <c r="Q36" s="7"/>
      <c r="R36" s="7"/>
      <c r="S36" s="7"/>
      <c r="T36" s="7"/>
    </row>
    <row r="37" spans="1:20" s="1" customFormat="1" ht="12.75" x14ac:dyDescent="0.2">
      <c r="A37" s="2"/>
      <c r="B37" s="127"/>
      <c r="C37" s="7"/>
      <c r="D37" s="7"/>
      <c r="E37" s="7" t="s">
        <v>19</v>
      </c>
      <c r="F37" s="7">
        <v>2015</v>
      </c>
      <c r="G37" s="8" t="s">
        <v>20</v>
      </c>
      <c r="H37" s="7" t="str">
        <f t="shared" si="0"/>
        <v>SECC*</v>
      </c>
      <c r="I37" s="7"/>
      <c r="J37" s="8" t="s">
        <v>21</v>
      </c>
      <c r="K37" s="7"/>
      <c r="L37" s="7" t="s">
        <v>30</v>
      </c>
      <c r="M37" s="7"/>
      <c r="N37" s="7" t="e">
        <f>N36</f>
        <v>#REF!</v>
      </c>
      <c r="O37" s="7"/>
      <c r="P37" s="7"/>
      <c r="Q37" s="7"/>
      <c r="R37" s="7"/>
      <c r="S37" s="7"/>
      <c r="T37" s="7"/>
    </row>
    <row r="38" spans="1:20" s="1" customFormat="1" ht="12.75" x14ac:dyDescent="0.2">
      <c r="A38" s="2"/>
      <c r="B38" s="127"/>
      <c r="C38" s="7"/>
      <c r="D38" s="7"/>
      <c r="E38" s="7" t="s">
        <v>19</v>
      </c>
      <c r="F38" s="7">
        <v>2020</v>
      </c>
      <c r="G38" s="8" t="s">
        <v>20</v>
      </c>
      <c r="H38" s="7" t="str">
        <f t="shared" si="0"/>
        <v>SECC*</v>
      </c>
      <c r="I38" s="7"/>
      <c r="J38" s="8" t="s">
        <v>21</v>
      </c>
      <c r="K38" s="7"/>
      <c r="L38" s="7" t="s">
        <v>30</v>
      </c>
      <c r="M38" s="7"/>
      <c r="N38" s="7" t="e">
        <f t="shared" ref="N38:N39" si="8">N37</f>
        <v>#REF!</v>
      </c>
      <c r="O38" s="7"/>
      <c r="P38" s="7"/>
      <c r="Q38" s="7"/>
      <c r="R38" s="7"/>
      <c r="S38" s="7"/>
      <c r="T38" s="7"/>
    </row>
    <row r="39" spans="1:20" s="1" customFormat="1" ht="12.75" x14ac:dyDescent="0.2">
      <c r="A39" s="2"/>
      <c r="B39" s="127"/>
      <c r="C39" s="7"/>
      <c r="D39" s="7"/>
      <c r="E39" s="7" t="s">
        <v>19</v>
      </c>
      <c r="F39" s="7">
        <v>2055</v>
      </c>
      <c r="G39" s="8" t="s">
        <v>20</v>
      </c>
      <c r="H39" s="7" t="str">
        <f t="shared" si="0"/>
        <v>SECC*</v>
      </c>
      <c r="I39" s="7"/>
      <c r="J39" s="8" t="s">
        <v>21</v>
      </c>
      <c r="K39" s="7"/>
      <c r="L39" s="7" t="s">
        <v>30</v>
      </c>
      <c r="M39" s="7"/>
      <c r="N39" s="7" t="e">
        <f t="shared" si="8"/>
        <v>#REF!</v>
      </c>
      <c r="O39" s="7"/>
      <c r="P39" s="7"/>
      <c r="Q39" s="7"/>
      <c r="R39" s="7"/>
      <c r="S39" s="7"/>
      <c r="T39" s="7"/>
    </row>
    <row r="40" spans="1:20" s="1" customFormat="1" ht="12.75" x14ac:dyDescent="0.2">
      <c r="A40" s="2"/>
      <c r="B40" s="127"/>
      <c r="C40" s="7"/>
      <c r="D40" s="7"/>
      <c r="E40" s="7" t="s">
        <v>19</v>
      </c>
      <c r="F40" s="7">
        <v>2010</v>
      </c>
      <c r="G40" s="8" t="s">
        <v>20</v>
      </c>
      <c r="H40" s="7" t="str">
        <f t="shared" si="0"/>
        <v>SECC*</v>
      </c>
      <c r="I40" s="7"/>
      <c r="J40" s="8" t="s">
        <v>21</v>
      </c>
      <c r="K40" s="7"/>
      <c r="L40" s="7" t="s">
        <v>31</v>
      </c>
      <c r="M40" s="7"/>
      <c r="N40" s="7" t="e">
        <f>#REF!</f>
        <v>#REF!</v>
      </c>
      <c r="O40" s="7"/>
      <c r="P40" s="7"/>
      <c r="Q40" s="7"/>
      <c r="R40" s="7"/>
      <c r="S40" s="7"/>
      <c r="T40" s="7"/>
    </row>
    <row r="41" spans="1:20" s="1" customFormat="1" ht="12.75" x14ac:dyDescent="0.2">
      <c r="A41" s="2"/>
      <c r="B41" s="127"/>
      <c r="C41" s="7"/>
      <c r="D41" s="7"/>
      <c r="E41" s="7" t="s">
        <v>19</v>
      </c>
      <c r="F41" s="7">
        <v>2015</v>
      </c>
      <c r="G41" s="8" t="s">
        <v>20</v>
      </c>
      <c r="H41" s="7" t="str">
        <f t="shared" si="0"/>
        <v>SECC*</v>
      </c>
      <c r="I41" s="7"/>
      <c r="J41" s="8" t="s">
        <v>21</v>
      </c>
      <c r="K41" s="7"/>
      <c r="L41" s="7" t="s">
        <v>31</v>
      </c>
      <c r="M41" s="7"/>
      <c r="N41" s="7" t="e">
        <f>N40</f>
        <v>#REF!</v>
      </c>
      <c r="O41" s="7"/>
      <c r="P41" s="7"/>
      <c r="Q41" s="7"/>
      <c r="R41" s="7"/>
      <c r="S41" s="7"/>
      <c r="T41" s="7"/>
    </row>
    <row r="42" spans="1:20" s="1" customFormat="1" ht="12.75" x14ac:dyDescent="0.2">
      <c r="A42" s="2"/>
      <c r="B42" s="127"/>
      <c r="C42" s="7"/>
      <c r="D42" s="7"/>
      <c r="E42" s="7" t="s">
        <v>19</v>
      </c>
      <c r="F42" s="7">
        <v>2020</v>
      </c>
      <c r="G42" s="8" t="s">
        <v>20</v>
      </c>
      <c r="H42" s="7" t="str">
        <f t="shared" si="0"/>
        <v>SECC*</v>
      </c>
      <c r="I42" s="7"/>
      <c r="J42" s="8" t="s">
        <v>21</v>
      </c>
      <c r="K42" s="7"/>
      <c r="L42" s="7" t="s">
        <v>31</v>
      </c>
      <c r="M42" s="7"/>
      <c r="N42" s="7" t="e">
        <f t="shared" ref="N42:N43" si="9">N41</f>
        <v>#REF!</v>
      </c>
      <c r="O42" s="7"/>
      <c r="P42" s="7"/>
      <c r="Q42" s="7"/>
      <c r="R42" s="7"/>
      <c r="S42" s="7"/>
      <c r="T42" s="7"/>
    </row>
    <row r="43" spans="1:20" s="1" customFormat="1" ht="12.75" x14ac:dyDescent="0.2">
      <c r="A43" s="2"/>
      <c r="B43" s="127"/>
      <c r="C43" s="7"/>
      <c r="D43" s="7"/>
      <c r="E43" s="7" t="s">
        <v>19</v>
      </c>
      <c r="F43" s="7">
        <v>2055</v>
      </c>
      <c r="G43" s="8" t="s">
        <v>20</v>
      </c>
      <c r="H43" s="7" t="str">
        <f t="shared" si="0"/>
        <v>SECC*</v>
      </c>
      <c r="I43" s="7"/>
      <c r="J43" s="8" t="s">
        <v>21</v>
      </c>
      <c r="K43" s="7"/>
      <c r="L43" s="7" t="s">
        <v>31</v>
      </c>
      <c r="M43" s="7"/>
      <c r="N43" s="7" t="e">
        <f t="shared" si="9"/>
        <v>#REF!</v>
      </c>
      <c r="O43" s="7"/>
      <c r="P43" s="7"/>
      <c r="Q43" s="7"/>
      <c r="R43" s="7"/>
      <c r="S43" s="7"/>
      <c r="T43" s="7"/>
    </row>
    <row r="44" spans="1:20" s="1" customFormat="1" ht="12.75" x14ac:dyDescent="0.2">
      <c r="A44" s="2"/>
      <c r="B44" s="127"/>
      <c r="C44" s="7"/>
      <c r="D44" s="7"/>
      <c r="E44" s="7" t="s">
        <v>19</v>
      </c>
      <c r="F44" s="7">
        <v>2010</v>
      </c>
      <c r="G44" s="8" t="s">
        <v>20</v>
      </c>
      <c r="H44" s="7" t="str">
        <f t="shared" si="0"/>
        <v>SECC*</v>
      </c>
      <c r="I44" s="7"/>
      <c r="J44" s="8" t="s">
        <v>21</v>
      </c>
      <c r="K44" s="7"/>
      <c r="L44" s="7" t="s">
        <v>32</v>
      </c>
      <c r="M44" s="7"/>
      <c r="N44" s="7" t="e">
        <f>#REF!</f>
        <v>#REF!</v>
      </c>
      <c r="O44" s="7"/>
      <c r="P44" s="7"/>
      <c r="Q44" s="7"/>
      <c r="R44" s="7"/>
      <c r="S44" s="7"/>
      <c r="T44" s="7"/>
    </row>
    <row r="45" spans="1:20" s="1" customFormat="1" ht="12.75" x14ac:dyDescent="0.2">
      <c r="A45" s="2"/>
      <c r="B45" s="127"/>
      <c r="C45" s="7"/>
      <c r="D45" s="7"/>
      <c r="E45" s="7" t="s">
        <v>19</v>
      </c>
      <c r="F45" s="7">
        <v>2015</v>
      </c>
      <c r="G45" s="8" t="s">
        <v>20</v>
      </c>
      <c r="H45" s="7" t="str">
        <f t="shared" si="0"/>
        <v>SECC*</v>
      </c>
      <c r="I45" s="7"/>
      <c r="J45" s="8" t="s">
        <v>21</v>
      </c>
      <c r="K45" s="7"/>
      <c r="L45" s="7" t="s">
        <v>32</v>
      </c>
      <c r="M45" s="7"/>
      <c r="N45" s="7" t="e">
        <f>N44</f>
        <v>#REF!</v>
      </c>
      <c r="O45" s="7"/>
      <c r="P45" s="7"/>
      <c r="Q45" s="7"/>
      <c r="R45" s="7"/>
      <c r="S45" s="7"/>
      <c r="T45" s="7"/>
    </row>
    <row r="46" spans="1:20" s="1" customFormat="1" ht="12.75" x14ac:dyDescent="0.2">
      <c r="A46" s="2"/>
      <c r="B46" s="127"/>
      <c r="C46" s="7"/>
      <c r="D46" s="7"/>
      <c r="E46" s="7" t="s">
        <v>19</v>
      </c>
      <c r="F46" s="7">
        <v>2020</v>
      </c>
      <c r="G46" s="8" t="s">
        <v>20</v>
      </c>
      <c r="H46" s="7" t="str">
        <f t="shared" si="0"/>
        <v>SECC*</v>
      </c>
      <c r="I46" s="7"/>
      <c r="J46" s="8" t="s">
        <v>21</v>
      </c>
      <c r="K46" s="7"/>
      <c r="L46" s="7" t="s">
        <v>32</v>
      </c>
      <c r="M46" s="7"/>
      <c r="N46" s="7" t="e">
        <f t="shared" ref="N46:N47" si="10">N45</f>
        <v>#REF!</v>
      </c>
      <c r="O46" s="7"/>
      <c r="P46" s="7"/>
      <c r="Q46" s="7"/>
      <c r="R46" s="7"/>
      <c r="S46" s="7"/>
      <c r="T46" s="7"/>
    </row>
    <row r="47" spans="1:20" s="1" customFormat="1" ht="12.75" x14ac:dyDescent="0.2">
      <c r="A47" s="2"/>
      <c r="B47" s="127"/>
      <c r="C47" s="7"/>
      <c r="D47" s="7"/>
      <c r="E47" s="7" t="s">
        <v>19</v>
      </c>
      <c r="F47" s="7">
        <v>2055</v>
      </c>
      <c r="G47" s="8" t="s">
        <v>20</v>
      </c>
      <c r="H47" s="7" t="str">
        <f t="shared" si="0"/>
        <v>SECC*</v>
      </c>
      <c r="I47" s="7"/>
      <c r="J47" s="8" t="s">
        <v>21</v>
      </c>
      <c r="K47" s="7"/>
      <c r="L47" s="7" t="s">
        <v>32</v>
      </c>
      <c r="M47" s="7"/>
      <c r="N47" s="7" t="e">
        <f t="shared" si="10"/>
        <v>#REF!</v>
      </c>
      <c r="O47" s="7"/>
      <c r="P47" s="7"/>
      <c r="Q47" s="7"/>
      <c r="R47" s="7"/>
      <c r="S47" s="7"/>
      <c r="T47" s="7"/>
    </row>
    <row r="48" spans="1:20" x14ac:dyDescent="0.25">
      <c r="C48" s="15" t="s">
        <v>33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3:20" x14ac:dyDescent="0.25">
      <c r="C49" s="7"/>
      <c r="D49" s="7"/>
      <c r="E49" s="7" t="s">
        <v>19</v>
      </c>
      <c r="F49" s="7">
        <v>2010</v>
      </c>
      <c r="G49" s="8" t="s">
        <v>20</v>
      </c>
      <c r="H49" s="7" t="s">
        <v>34</v>
      </c>
      <c r="I49" s="7" t="s">
        <v>35</v>
      </c>
      <c r="J49" s="8"/>
      <c r="K49" s="7"/>
      <c r="L49" s="7" t="s">
        <v>22</v>
      </c>
      <c r="M49" s="7"/>
      <c r="N49" s="7"/>
      <c r="O49" s="17" t="e">
        <f>P49</f>
        <v>#REF!</v>
      </c>
      <c r="P49" s="17" t="e">
        <f>#REF!/1000</f>
        <v>#REF!</v>
      </c>
      <c r="Q49" s="17" t="e">
        <f>#REF!/1000</f>
        <v>#REF!</v>
      </c>
      <c r="R49" s="17" t="e">
        <f>#REF!/1000</f>
        <v>#REF!</v>
      </c>
      <c r="S49" s="17" t="e">
        <f>#REF!/1000</f>
        <v>#REF!</v>
      </c>
      <c r="T49" s="17" t="e">
        <f>#REF!/1000</f>
        <v>#REF!</v>
      </c>
    </row>
    <row r="50" spans="3:20" x14ac:dyDescent="0.25">
      <c r="C50" s="7"/>
      <c r="D50" s="7"/>
      <c r="E50" s="7" t="s">
        <v>19</v>
      </c>
      <c r="F50" s="7">
        <v>2015</v>
      </c>
      <c r="G50" s="8" t="s">
        <v>20</v>
      </c>
      <c r="H50" s="7" t="s">
        <v>34</v>
      </c>
      <c r="I50" s="7" t="s">
        <v>35</v>
      </c>
      <c r="J50" s="8"/>
      <c r="K50" s="7"/>
      <c r="L50" s="7" t="s">
        <v>22</v>
      </c>
      <c r="M50" s="7"/>
      <c r="N50" s="7"/>
      <c r="O50" s="17" t="e">
        <f>P50</f>
        <v>#REF!</v>
      </c>
      <c r="P50" s="17" t="e">
        <f>#REF!/1000</f>
        <v>#REF!</v>
      </c>
      <c r="Q50" s="17" t="e">
        <f>#REF!/1000</f>
        <v>#REF!</v>
      </c>
      <c r="R50" s="17" t="e">
        <f>#REF!/1000</f>
        <v>#REF!</v>
      </c>
      <c r="S50" s="17" t="e">
        <f>#REF!/1000</f>
        <v>#REF!</v>
      </c>
      <c r="T50" s="17" t="e">
        <f>#REF!/1000</f>
        <v>#REF!</v>
      </c>
    </row>
    <row r="51" spans="3:20" x14ac:dyDescent="0.25">
      <c r="C51" s="7"/>
      <c r="D51" s="7"/>
      <c r="E51" s="7" t="s">
        <v>19</v>
      </c>
      <c r="F51" s="7">
        <v>2020</v>
      </c>
      <c r="G51" s="8" t="s">
        <v>20</v>
      </c>
      <c r="H51" s="7" t="s">
        <v>34</v>
      </c>
      <c r="I51" s="7" t="s">
        <v>35</v>
      </c>
      <c r="J51" s="8"/>
      <c r="K51" s="7"/>
      <c r="L51" s="7" t="s">
        <v>22</v>
      </c>
      <c r="M51" s="7"/>
      <c r="N51" s="7"/>
      <c r="O51" s="17" t="e">
        <f>O50</f>
        <v>#REF!</v>
      </c>
      <c r="P51" s="17" t="e">
        <f t="shared" ref="P51:T52" si="11">P50</f>
        <v>#REF!</v>
      </c>
      <c r="Q51" s="17" t="e">
        <f t="shared" si="11"/>
        <v>#REF!</v>
      </c>
      <c r="R51" s="17" t="e">
        <f t="shared" si="11"/>
        <v>#REF!</v>
      </c>
      <c r="S51" s="17" t="e">
        <f t="shared" si="11"/>
        <v>#REF!</v>
      </c>
      <c r="T51" s="17" t="e">
        <f t="shared" si="11"/>
        <v>#REF!</v>
      </c>
    </row>
    <row r="52" spans="3:20" x14ac:dyDescent="0.25">
      <c r="C52" s="7"/>
      <c r="D52" s="7"/>
      <c r="E52" s="7" t="s">
        <v>19</v>
      </c>
      <c r="F52" s="7">
        <v>2055</v>
      </c>
      <c r="G52" s="8" t="s">
        <v>20</v>
      </c>
      <c r="H52" s="7" t="s">
        <v>34</v>
      </c>
      <c r="I52" s="7" t="s">
        <v>35</v>
      </c>
      <c r="J52" s="8"/>
      <c r="K52" s="7"/>
      <c r="L52" s="7" t="s">
        <v>22</v>
      </c>
      <c r="M52" s="7"/>
      <c r="N52" s="7"/>
      <c r="O52" s="17" t="e">
        <f>O51</f>
        <v>#REF!</v>
      </c>
      <c r="P52" s="17" t="e">
        <f t="shared" si="11"/>
        <v>#REF!</v>
      </c>
      <c r="Q52" s="17" t="e">
        <f t="shared" si="11"/>
        <v>#REF!</v>
      </c>
      <c r="R52" s="17" t="e">
        <f t="shared" si="11"/>
        <v>#REF!</v>
      </c>
      <c r="S52" s="17" t="e">
        <f t="shared" si="11"/>
        <v>#REF!</v>
      </c>
      <c r="T52" s="17" t="e">
        <f t="shared" si="11"/>
        <v>#REF!</v>
      </c>
    </row>
    <row r="53" spans="3:20" x14ac:dyDescent="0.25">
      <c r="C53" s="7"/>
      <c r="D53" s="7"/>
      <c r="E53" s="7" t="s">
        <v>19</v>
      </c>
      <c r="F53" s="7">
        <v>2010</v>
      </c>
      <c r="G53" s="8" t="s">
        <v>20</v>
      </c>
      <c r="H53" s="7" t="s">
        <v>34</v>
      </c>
      <c r="I53" s="7" t="s">
        <v>35</v>
      </c>
      <c r="J53" s="8"/>
      <c r="K53" s="7"/>
      <c r="L53" s="7" t="s">
        <v>23</v>
      </c>
      <c r="M53" s="7"/>
      <c r="N53" s="7"/>
      <c r="O53" s="17" t="e">
        <f>P53</f>
        <v>#REF!</v>
      </c>
      <c r="P53" s="17" t="e">
        <f>#REF!</f>
        <v>#REF!</v>
      </c>
      <c r="Q53" s="17" t="e">
        <f>P53</f>
        <v>#REF!</v>
      </c>
      <c r="R53" s="17" t="e">
        <f t="shared" ref="R53:T53" si="12">Q53</f>
        <v>#REF!</v>
      </c>
      <c r="S53" s="17" t="e">
        <f t="shared" si="12"/>
        <v>#REF!</v>
      </c>
      <c r="T53" s="17" t="e">
        <f t="shared" si="12"/>
        <v>#REF!</v>
      </c>
    </row>
    <row r="54" spans="3:20" x14ac:dyDescent="0.25">
      <c r="C54" s="7"/>
      <c r="D54" s="7"/>
      <c r="E54" s="7" t="s">
        <v>19</v>
      </c>
      <c r="F54" s="7">
        <v>2015</v>
      </c>
      <c r="G54" s="8" t="s">
        <v>20</v>
      </c>
      <c r="H54" s="7" t="s">
        <v>34</v>
      </c>
      <c r="I54" s="7" t="s">
        <v>35</v>
      </c>
      <c r="J54" s="8"/>
      <c r="K54" s="7"/>
      <c r="L54" s="7" t="s">
        <v>23</v>
      </c>
      <c r="M54" s="7"/>
      <c r="N54" s="7"/>
      <c r="O54" s="17" t="e">
        <f>P54</f>
        <v>#REF!</v>
      </c>
      <c r="P54" s="17" t="e">
        <f>#REF!</f>
        <v>#REF!</v>
      </c>
      <c r="Q54" s="17" t="e">
        <f>P54</f>
        <v>#REF!</v>
      </c>
      <c r="R54" s="17" t="e">
        <f t="shared" ref="R54:T55" si="13">Q54</f>
        <v>#REF!</v>
      </c>
      <c r="S54" s="17" t="e">
        <f t="shared" si="13"/>
        <v>#REF!</v>
      </c>
      <c r="T54" s="17" t="e">
        <f t="shared" si="13"/>
        <v>#REF!</v>
      </c>
    </row>
    <row r="55" spans="3:20" x14ac:dyDescent="0.25">
      <c r="C55" s="7"/>
      <c r="D55" s="7"/>
      <c r="E55" s="7" t="s">
        <v>19</v>
      </c>
      <c r="F55" s="7">
        <v>2020</v>
      </c>
      <c r="G55" s="8" t="s">
        <v>20</v>
      </c>
      <c r="H55" s="7" t="s">
        <v>34</v>
      </c>
      <c r="I55" s="7" t="s">
        <v>35</v>
      </c>
      <c r="J55" s="8"/>
      <c r="K55" s="7"/>
      <c r="L55" s="7" t="s">
        <v>23</v>
      </c>
      <c r="M55" s="7"/>
      <c r="N55" s="7"/>
      <c r="O55" s="17" t="e">
        <f>P55</f>
        <v>#REF!</v>
      </c>
      <c r="P55" s="17" t="e">
        <f>#REF!</f>
        <v>#REF!</v>
      </c>
      <c r="Q55" s="17" t="e">
        <f>P55</f>
        <v>#REF!</v>
      </c>
      <c r="R55" s="17" t="e">
        <f t="shared" si="13"/>
        <v>#REF!</v>
      </c>
      <c r="S55" s="17" t="e">
        <f t="shared" si="13"/>
        <v>#REF!</v>
      </c>
      <c r="T55" s="17" t="e">
        <f t="shared" si="13"/>
        <v>#REF!</v>
      </c>
    </row>
    <row r="56" spans="3:20" x14ac:dyDescent="0.25">
      <c r="C56" s="7"/>
      <c r="D56" s="7"/>
      <c r="E56" s="7" t="s">
        <v>19</v>
      </c>
      <c r="F56" s="7">
        <v>2055</v>
      </c>
      <c r="G56" s="8" t="s">
        <v>20</v>
      </c>
      <c r="H56" s="7" t="s">
        <v>34</v>
      </c>
      <c r="I56" s="7" t="s">
        <v>35</v>
      </c>
      <c r="J56" s="8"/>
      <c r="K56" s="7"/>
      <c r="L56" s="7" t="s">
        <v>23</v>
      </c>
      <c r="M56" s="7"/>
      <c r="N56" s="7"/>
      <c r="O56" s="17" t="e">
        <f>O55</f>
        <v>#REF!</v>
      </c>
      <c r="P56" s="17" t="e">
        <f t="shared" ref="P56:T56" si="14">P55</f>
        <v>#REF!</v>
      </c>
      <c r="Q56" s="17" t="e">
        <f t="shared" si="14"/>
        <v>#REF!</v>
      </c>
      <c r="R56" s="17" t="e">
        <f t="shared" si="14"/>
        <v>#REF!</v>
      </c>
      <c r="S56" s="17" t="e">
        <f t="shared" si="14"/>
        <v>#REF!</v>
      </c>
      <c r="T56" s="17" t="e">
        <f t="shared" si="14"/>
        <v>#REF!</v>
      </c>
    </row>
    <row r="57" spans="3:20" x14ac:dyDescent="0.25">
      <c r="C57" s="7"/>
      <c r="D57" s="7"/>
      <c r="E57" s="7" t="s">
        <v>19</v>
      </c>
      <c r="F57" s="7">
        <v>2010</v>
      </c>
      <c r="G57" s="8" t="s">
        <v>20</v>
      </c>
      <c r="H57" s="7" t="s">
        <v>34</v>
      </c>
      <c r="I57" s="7" t="s">
        <v>35</v>
      </c>
      <c r="J57" s="8"/>
      <c r="K57" s="7"/>
      <c r="L57" s="7" t="s">
        <v>24</v>
      </c>
      <c r="M57" s="7"/>
      <c r="N57" s="7"/>
      <c r="O57" s="17" t="e">
        <f>P57</f>
        <v>#REF!</v>
      </c>
      <c r="P57" s="17" t="e">
        <f>#REF!</f>
        <v>#REF!</v>
      </c>
      <c r="Q57" s="17" t="e">
        <f>P57</f>
        <v>#REF!</v>
      </c>
      <c r="R57" s="17" t="e">
        <f t="shared" ref="R57:T57" si="15">Q57</f>
        <v>#REF!</v>
      </c>
      <c r="S57" s="17" t="e">
        <f t="shared" si="15"/>
        <v>#REF!</v>
      </c>
      <c r="T57" s="17" t="e">
        <f t="shared" si="15"/>
        <v>#REF!</v>
      </c>
    </row>
    <row r="58" spans="3:20" x14ac:dyDescent="0.25">
      <c r="C58" s="7"/>
      <c r="D58" s="7"/>
      <c r="E58" s="7" t="s">
        <v>19</v>
      </c>
      <c r="F58" s="7">
        <v>2015</v>
      </c>
      <c r="G58" s="8" t="s">
        <v>20</v>
      </c>
      <c r="H58" s="7" t="s">
        <v>34</v>
      </c>
      <c r="I58" s="7" t="s">
        <v>35</v>
      </c>
      <c r="J58" s="8"/>
      <c r="K58" s="7"/>
      <c r="L58" s="7" t="s">
        <v>24</v>
      </c>
      <c r="M58" s="7"/>
      <c r="N58" s="7"/>
      <c r="O58" s="17" t="e">
        <f>P58</f>
        <v>#REF!</v>
      </c>
      <c r="P58" s="17" t="e">
        <f>#REF!</f>
        <v>#REF!</v>
      </c>
      <c r="Q58" s="17" t="e">
        <f>P58</f>
        <v>#REF!</v>
      </c>
      <c r="R58" s="17" t="e">
        <f t="shared" ref="R58:T58" si="16">Q58</f>
        <v>#REF!</v>
      </c>
      <c r="S58" s="17" t="e">
        <f t="shared" si="16"/>
        <v>#REF!</v>
      </c>
      <c r="T58" s="17" t="e">
        <f t="shared" si="16"/>
        <v>#REF!</v>
      </c>
    </row>
    <row r="59" spans="3:20" x14ac:dyDescent="0.25">
      <c r="C59" s="7"/>
      <c r="D59" s="7"/>
      <c r="E59" s="7" t="s">
        <v>19</v>
      </c>
      <c r="F59" s="7">
        <v>2020</v>
      </c>
      <c r="G59" s="8" t="s">
        <v>20</v>
      </c>
      <c r="H59" s="7" t="s">
        <v>34</v>
      </c>
      <c r="I59" s="7" t="s">
        <v>35</v>
      </c>
      <c r="J59" s="8"/>
      <c r="K59" s="7"/>
      <c r="L59" s="7" t="s">
        <v>24</v>
      </c>
      <c r="M59" s="7"/>
      <c r="N59" s="7"/>
      <c r="O59" s="17" t="e">
        <f>P59</f>
        <v>#REF!</v>
      </c>
      <c r="P59" s="17" t="e">
        <f>#REF!</f>
        <v>#REF!</v>
      </c>
      <c r="Q59" s="17" t="e">
        <f>P59</f>
        <v>#REF!</v>
      </c>
      <c r="R59" s="17" t="e">
        <f t="shared" ref="R59:T59" si="17">Q59</f>
        <v>#REF!</v>
      </c>
      <c r="S59" s="17" t="e">
        <f t="shared" si="17"/>
        <v>#REF!</v>
      </c>
      <c r="T59" s="17" t="e">
        <f t="shared" si="17"/>
        <v>#REF!</v>
      </c>
    </row>
    <row r="60" spans="3:20" x14ac:dyDescent="0.25">
      <c r="C60" s="7"/>
      <c r="D60" s="7"/>
      <c r="E60" s="7" t="s">
        <v>19</v>
      </c>
      <c r="F60" s="7">
        <v>2055</v>
      </c>
      <c r="G60" s="8" t="s">
        <v>20</v>
      </c>
      <c r="H60" s="7" t="s">
        <v>34</v>
      </c>
      <c r="I60" s="7" t="s">
        <v>35</v>
      </c>
      <c r="J60" s="8"/>
      <c r="K60" s="7"/>
      <c r="L60" s="7" t="s">
        <v>24</v>
      </c>
      <c r="M60" s="7"/>
      <c r="N60" s="7"/>
      <c r="O60" s="17" t="e">
        <f>O59</f>
        <v>#REF!</v>
      </c>
      <c r="P60" s="17" t="e">
        <f t="shared" ref="P60" si="18">P59</f>
        <v>#REF!</v>
      </c>
      <c r="Q60" s="17" t="e">
        <f t="shared" ref="Q60" si="19">Q59</f>
        <v>#REF!</v>
      </c>
      <c r="R60" s="17" t="e">
        <f t="shared" ref="R60" si="20">R59</f>
        <v>#REF!</v>
      </c>
      <c r="S60" s="17" t="e">
        <f t="shared" ref="S60" si="21">S59</f>
        <v>#REF!</v>
      </c>
      <c r="T60" s="17" t="e">
        <f t="shared" ref="T60" si="22">T59</f>
        <v>#REF!</v>
      </c>
    </row>
    <row r="61" spans="3:20" x14ac:dyDescent="0.25">
      <c r="C61" s="7"/>
      <c r="D61" s="7"/>
      <c r="E61" s="7" t="s">
        <v>19</v>
      </c>
      <c r="F61" s="7">
        <v>2010</v>
      </c>
      <c r="G61" s="8" t="s">
        <v>20</v>
      </c>
      <c r="H61" s="7" t="s">
        <v>34</v>
      </c>
      <c r="I61" s="7" t="s">
        <v>35</v>
      </c>
      <c r="J61" s="8"/>
      <c r="K61" s="7"/>
      <c r="L61" s="7" t="s">
        <v>25</v>
      </c>
      <c r="M61" s="7"/>
      <c r="N61" s="7"/>
      <c r="O61" s="17" t="e">
        <f>P61</f>
        <v>#REF!</v>
      </c>
      <c r="P61" s="17" t="e">
        <f>#REF!</f>
        <v>#REF!</v>
      </c>
      <c r="Q61" s="17" t="e">
        <f>P61</f>
        <v>#REF!</v>
      </c>
      <c r="R61" s="17" t="e">
        <f t="shared" ref="R61:T61" si="23">Q61</f>
        <v>#REF!</v>
      </c>
      <c r="S61" s="17" t="e">
        <f t="shared" si="23"/>
        <v>#REF!</v>
      </c>
      <c r="T61" s="17" t="e">
        <f t="shared" si="23"/>
        <v>#REF!</v>
      </c>
    </row>
    <row r="62" spans="3:20" x14ac:dyDescent="0.25">
      <c r="C62" s="7"/>
      <c r="D62" s="7"/>
      <c r="E62" s="7" t="s">
        <v>19</v>
      </c>
      <c r="F62" s="7">
        <v>2015</v>
      </c>
      <c r="G62" s="8" t="s">
        <v>20</v>
      </c>
      <c r="H62" s="7" t="s">
        <v>34</v>
      </c>
      <c r="I62" s="7" t="s">
        <v>35</v>
      </c>
      <c r="J62" s="8"/>
      <c r="K62" s="7"/>
      <c r="L62" s="7" t="s">
        <v>25</v>
      </c>
      <c r="M62" s="7"/>
      <c r="N62" s="7"/>
      <c r="O62" s="17" t="e">
        <f>P62</f>
        <v>#REF!</v>
      </c>
      <c r="P62" s="17" t="e">
        <f>#REF!</f>
        <v>#REF!</v>
      </c>
      <c r="Q62" s="17" t="e">
        <f>P62</f>
        <v>#REF!</v>
      </c>
      <c r="R62" s="17" t="e">
        <f t="shared" ref="R62:T62" si="24">Q62</f>
        <v>#REF!</v>
      </c>
      <c r="S62" s="17" t="e">
        <f t="shared" si="24"/>
        <v>#REF!</v>
      </c>
      <c r="T62" s="17" t="e">
        <f t="shared" si="24"/>
        <v>#REF!</v>
      </c>
    </row>
    <row r="63" spans="3:20" x14ac:dyDescent="0.25">
      <c r="C63" s="7"/>
      <c r="D63" s="7"/>
      <c r="E63" s="7" t="s">
        <v>19</v>
      </c>
      <c r="F63" s="7">
        <v>2020</v>
      </c>
      <c r="G63" s="8" t="s">
        <v>20</v>
      </c>
      <c r="H63" s="7" t="s">
        <v>34</v>
      </c>
      <c r="I63" s="7" t="s">
        <v>35</v>
      </c>
      <c r="J63" s="8"/>
      <c r="K63" s="7"/>
      <c r="L63" s="7" t="s">
        <v>25</v>
      </c>
      <c r="M63" s="7"/>
      <c r="N63" s="7"/>
      <c r="O63" s="17" t="e">
        <f>P63</f>
        <v>#REF!</v>
      </c>
      <c r="P63" s="17" t="e">
        <f>#REF!</f>
        <v>#REF!</v>
      </c>
      <c r="Q63" s="17" t="e">
        <f>P63</f>
        <v>#REF!</v>
      </c>
      <c r="R63" s="17" t="e">
        <f t="shared" ref="R63:T63" si="25">Q63</f>
        <v>#REF!</v>
      </c>
      <c r="S63" s="17" t="e">
        <f t="shared" si="25"/>
        <v>#REF!</v>
      </c>
      <c r="T63" s="17" t="e">
        <f t="shared" si="25"/>
        <v>#REF!</v>
      </c>
    </row>
    <row r="64" spans="3:20" x14ac:dyDescent="0.25">
      <c r="C64" s="7"/>
      <c r="D64" s="7"/>
      <c r="E64" s="7" t="s">
        <v>19</v>
      </c>
      <c r="F64" s="7">
        <v>2055</v>
      </c>
      <c r="G64" s="8" t="s">
        <v>20</v>
      </c>
      <c r="H64" s="7" t="s">
        <v>34</v>
      </c>
      <c r="I64" s="7" t="s">
        <v>35</v>
      </c>
      <c r="J64" s="8"/>
      <c r="K64" s="7"/>
      <c r="L64" s="7" t="s">
        <v>25</v>
      </c>
      <c r="M64" s="7"/>
      <c r="N64" s="7"/>
      <c r="O64" s="17" t="e">
        <f>O63</f>
        <v>#REF!</v>
      </c>
      <c r="P64" s="17" t="e">
        <f t="shared" ref="P64" si="26">P63</f>
        <v>#REF!</v>
      </c>
      <c r="Q64" s="17" t="e">
        <f t="shared" ref="Q64" si="27">Q63</f>
        <v>#REF!</v>
      </c>
      <c r="R64" s="17" t="e">
        <f t="shared" ref="R64" si="28">R63</f>
        <v>#REF!</v>
      </c>
      <c r="S64" s="17" t="e">
        <f t="shared" ref="S64" si="29">S63</f>
        <v>#REF!</v>
      </c>
      <c r="T64" s="17" t="e">
        <f t="shared" ref="T64" si="30">T63</f>
        <v>#REF!</v>
      </c>
    </row>
    <row r="65" spans="3:20" x14ac:dyDescent="0.25">
      <c r="C65" s="7"/>
      <c r="D65" s="7"/>
      <c r="E65" s="7" t="s">
        <v>19</v>
      </c>
      <c r="F65" s="7">
        <v>2010</v>
      </c>
      <c r="G65" s="8" t="s">
        <v>20</v>
      </c>
      <c r="H65" s="7" t="s">
        <v>34</v>
      </c>
      <c r="I65" s="7" t="s">
        <v>35</v>
      </c>
      <c r="J65" s="8"/>
      <c r="K65" s="7"/>
      <c r="L65" s="7" t="s">
        <v>26</v>
      </c>
      <c r="M65" s="7"/>
      <c r="N65" s="7"/>
      <c r="O65" s="17" t="e">
        <f>P65</f>
        <v>#REF!</v>
      </c>
      <c r="P65" s="17" t="e">
        <f>#REF!</f>
        <v>#REF!</v>
      </c>
      <c r="Q65" s="17" t="e">
        <f>P65</f>
        <v>#REF!</v>
      </c>
      <c r="R65" s="17" t="e">
        <f t="shared" ref="R65:T65" si="31">Q65</f>
        <v>#REF!</v>
      </c>
      <c r="S65" s="17" t="e">
        <f t="shared" si="31"/>
        <v>#REF!</v>
      </c>
      <c r="T65" s="17" t="e">
        <f t="shared" si="31"/>
        <v>#REF!</v>
      </c>
    </row>
    <row r="66" spans="3:20" x14ac:dyDescent="0.25">
      <c r="C66" s="7"/>
      <c r="D66" s="7"/>
      <c r="E66" s="7" t="s">
        <v>19</v>
      </c>
      <c r="F66" s="7">
        <v>2015</v>
      </c>
      <c r="G66" s="8" t="s">
        <v>20</v>
      </c>
      <c r="H66" s="7" t="s">
        <v>34</v>
      </c>
      <c r="I66" s="7" t="s">
        <v>35</v>
      </c>
      <c r="J66" s="8"/>
      <c r="K66" s="7"/>
      <c r="L66" s="7" t="s">
        <v>26</v>
      </c>
      <c r="M66" s="7"/>
      <c r="N66" s="7"/>
      <c r="O66" s="17" t="e">
        <f>P66</f>
        <v>#REF!</v>
      </c>
      <c r="P66" s="17" t="e">
        <f>#REF!</f>
        <v>#REF!</v>
      </c>
      <c r="Q66" s="17" t="e">
        <f>P66</f>
        <v>#REF!</v>
      </c>
      <c r="R66" s="17" t="e">
        <f t="shared" ref="R66:T66" si="32">Q66</f>
        <v>#REF!</v>
      </c>
      <c r="S66" s="17" t="e">
        <f t="shared" si="32"/>
        <v>#REF!</v>
      </c>
      <c r="T66" s="17" t="e">
        <f t="shared" si="32"/>
        <v>#REF!</v>
      </c>
    </row>
    <row r="67" spans="3:20" x14ac:dyDescent="0.25">
      <c r="C67" s="7"/>
      <c r="D67" s="7"/>
      <c r="E67" s="7" t="s">
        <v>19</v>
      </c>
      <c r="F67" s="7">
        <v>2020</v>
      </c>
      <c r="G67" s="8" t="s">
        <v>20</v>
      </c>
      <c r="H67" s="7" t="s">
        <v>34</v>
      </c>
      <c r="I67" s="7" t="s">
        <v>35</v>
      </c>
      <c r="J67" s="8"/>
      <c r="K67" s="7"/>
      <c r="L67" s="7" t="s">
        <v>26</v>
      </c>
      <c r="M67" s="7"/>
      <c r="N67" s="7"/>
      <c r="O67" s="17" t="e">
        <f>P67</f>
        <v>#REF!</v>
      </c>
      <c r="P67" s="17" t="e">
        <f>#REF!</f>
        <v>#REF!</v>
      </c>
      <c r="Q67" s="17" t="e">
        <f>P67</f>
        <v>#REF!</v>
      </c>
      <c r="R67" s="17" t="e">
        <f t="shared" ref="R67:T67" si="33">Q67</f>
        <v>#REF!</v>
      </c>
      <c r="S67" s="17" t="e">
        <f t="shared" si="33"/>
        <v>#REF!</v>
      </c>
      <c r="T67" s="17" t="e">
        <f t="shared" si="33"/>
        <v>#REF!</v>
      </c>
    </row>
    <row r="68" spans="3:20" x14ac:dyDescent="0.25">
      <c r="C68" s="7"/>
      <c r="D68" s="7"/>
      <c r="E68" s="7" t="s">
        <v>19</v>
      </c>
      <c r="F68" s="7">
        <v>2055</v>
      </c>
      <c r="G68" s="8" t="s">
        <v>20</v>
      </c>
      <c r="H68" s="7" t="s">
        <v>34</v>
      </c>
      <c r="I68" s="7" t="s">
        <v>35</v>
      </c>
      <c r="J68" s="8"/>
      <c r="K68" s="7"/>
      <c r="L68" s="7" t="s">
        <v>26</v>
      </c>
      <c r="M68" s="7"/>
      <c r="N68" s="7"/>
      <c r="O68" s="17" t="e">
        <f>O67</f>
        <v>#REF!</v>
      </c>
      <c r="P68" s="17" t="e">
        <f t="shared" ref="P68" si="34">P67</f>
        <v>#REF!</v>
      </c>
      <c r="Q68" s="17" t="e">
        <f t="shared" ref="Q68" si="35">Q67</f>
        <v>#REF!</v>
      </c>
      <c r="R68" s="17" t="e">
        <f t="shared" ref="R68" si="36">R67</f>
        <v>#REF!</v>
      </c>
      <c r="S68" s="17" t="e">
        <f t="shared" ref="S68" si="37">S67</f>
        <v>#REF!</v>
      </c>
      <c r="T68" s="17" t="e">
        <f t="shared" ref="T68" si="38">T67</f>
        <v>#REF!</v>
      </c>
    </row>
    <row r="69" spans="3:20" x14ac:dyDescent="0.25">
      <c r="C69" s="7"/>
      <c r="D69" s="7"/>
      <c r="E69" s="7" t="s">
        <v>19</v>
      </c>
      <c r="F69" s="7">
        <v>2010</v>
      </c>
      <c r="G69" s="8" t="s">
        <v>20</v>
      </c>
      <c r="H69" s="7" t="s">
        <v>34</v>
      </c>
      <c r="I69" s="7" t="s">
        <v>35</v>
      </c>
      <c r="J69" s="8"/>
      <c r="K69" s="7"/>
      <c r="L69" s="7" t="s">
        <v>27</v>
      </c>
      <c r="M69" s="7"/>
      <c r="N69" s="7"/>
      <c r="O69" s="17" t="e">
        <f>P69</f>
        <v>#REF!</v>
      </c>
      <c r="P69" s="17" t="e">
        <f>#REF!</f>
        <v>#REF!</v>
      </c>
      <c r="Q69" s="17" t="e">
        <f>P69</f>
        <v>#REF!</v>
      </c>
      <c r="R69" s="17" t="e">
        <f t="shared" ref="R69:T69" si="39">Q69</f>
        <v>#REF!</v>
      </c>
      <c r="S69" s="17" t="e">
        <f t="shared" si="39"/>
        <v>#REF!</v>
      </c>
      <c r="T69" s="17" t="e">
        <f t="shared" si="39"/>
        <v>#REF!</v>
      </c>
    </row>
    <row r="70" spans="3:20" x14ac:dyDescent="0.25">
      <c r="C70" s="7"/>
      <c r="D70" s="7"/>
      <c r="E70" s="7" t="s">
        <v>19</v>
      </c>
      <c r="F70" s="7">
        <v>2015</v>
      </c>
      <c r="G70" s="8" t="s">
        <v>20</v>
      </c>
      <c r="H70" s="7" t="s">
        <v>34</v>
      </c>
      <c r="I70" s="7" t="s">
        <v>35</v>
      </c>
      <c r="J70" s="8"/>
      <c r="K70" s="7"/>
      <c r="L70" s="7" t="s">
        <v>27</v>
      </c>
      <c r="M70" s="7"/>
      <c r="N70" s="7"/>
      <c r="O70" s="17" t="e">
        <f>P70</f>
        <v>#REF!</v>
      </c>
      <c r="P70" s="17" t="e">
        <f>#REF!</f>
        <v>#REF!</v>
      </c>
      <c r="Q70" s="17" t="e">
        <f>P70</f>
        <v>#REF!</v>
      </c>
      <c r="R70" s="17" t="e">
        <f t="shared" ref="R70:T70" si="40">Q70</f>
        <v>#REF!</v>
      </c>
      <c r="S70" s="17" t="e">
        <f t="shared" si="40"/>
        <v>#REF!</v>
      </c>
      <c r="T70" s="17" t="e">
        <f t="shared" si="40"/>
        <v>#REF!</v>
      </c>
    </row>
    <row r="71" spans="3:20" x14ac:dyDescent="0.25">
      <c r="C71" s="7"/>
      <c r="D71" s="7"/>
      <c r="E71" s="7" t="s">
        <v>19</v>
      </c>
      <c r="F71" s="7">
        <v>2020</v>
      </c>
      <c r="G71" s="8" t="s">
        <v>20</v>
      </c>
      <c r="H71" s="7" t="s">
        <v>34</v>
      </c>
      <c r="I71" s="7" t="s">
        <v>35</v>
      </c>
      <c r="J71" s="8"/>
      <c r="K71" s="7"/>
      <c r="L71" s="7" t="s">
        <v>27</v>
      </c>
      <c r="M71" s="7"/>
      <c r="N71" s="7"/>
      <c r="O71" s="17" t="e">
        <f>P71</f>
        <v>#REF!</v>
      </c>
      <c r="P71" s="17" t="e">
        <f>#REF!</f>
        <v>#REF!</v>
      </c>
      <c r="Q71" s="17" t="e">
        <f>P71</f>
        <v>#REF!</v>
      </c>
      <c r="R71" s="17" t="e">
        <f t="shared" ref="R71:T71" si="41">Q71</f>
        <v>#REF!</v>
      </c>
      <c r="S71" s="17" t="e">
        <f t="shared" si="41"/>
        <v>#REF!</v>
      </c>
      <c r="T71" s="17" t="e">
        <f t="shared" si="41"/>
        <v>#REF!</v>
      </c>
    </row>
    <row r="72" spans="3:20" x14ac:dyDescent="0.25">
      <c r="C72" s="7"/>
      <c r="D72" s="7"/>
      <c r="E72" s="7" t="s">
        <v>19</v>
      </c>
      <c r="F72" s="7">
        <v>2055</v>
      </c>
      <c r="G72" s="8" t="s">
        <v>20</v>
      </c>
      <c r="H72" s="7" t="s">
        <v>34</v>
      </c>
      <c r="I72" s="7" t="s">
        <v>35</v>
      </c>
      <c r="J72" s="8"/>
      <c r="K72" s="7"/>
      <c r="L72" s="7" t="s">
        <v>27</v>
      </c>
      <c r="M72" s="7"/>
      <c r="N72" s="7"/>
      <c r="O72" s="17" t="e">
        <f>O71</f>
        <v>#REF!</v>
      </c>
      <c r="P72" s="17" t="e">
        <f t="shared" ref="P72" si="42">P71</f>
        <v>#REF!</v>
      </c>
      <c r="Q72" s="17" t="e">
        <f t="shared" ref="Q72" si="43">Q71</f>
        <v>#REF!</v>
      </c>
      <c r="R72" s="17" t="e">
        <f t="shared" ref="R72" si="44">R71</f>
        <v>#REF!</v>
      </c>
      <c r="S72" s="17" t="e">
        <f t="shared" ref="S72" si="45">S71</f>
        <v>#REF!</v>
      </c>
      <c r="T72" s="17" t="e">
        <f t="shared" ref="T72" si="46">T71</f>
        <v>#REF!</v>
      </c>
    </row>
    <row r="73" spans="3:20" x14ac:dyDescent="0.25">
      <c r="C73" s="7"/>
      <c r="D73" s="7"/>
      <c r="E73" s="7" t="s">
        <v>19</v>
      </c>
      <c r="F73" s="7">
        <v>2010</v>
      </c>
      <c r="G73" s="8" t="s">
        <v>20</v>
      </c>
      <c r="H73" s="7" t="s">
        <v>34</v>
      </c>
      <c r="I73" s="7" t="s">
        <v>35</v>
      </c>
      <c r="J73" s="8"/>
      <c r="K73" s="7"/>
      <c r="L73" s="7" t="s">
        <v>28</v>
      </c>
      <c r="M73" s="7"/>
      <c r="N73" s="7"/>
      <c r="O73" s="17" t="e">
        <f>P73</f>
        <v>#REF!</v>
      </c>
      <c r="P73" s="17" t="e">
        <f>#REF!</f>
        <v>#REF!</v>
      </c>
      <c r="Q73" s="17" t="e">
        <f>P73</f>
        <v>#REF!</v>
      </c>
      <c r="R73" s="17" t="e">
        <f t="shared" ref="R73:T73" si="47">Q73</f>
        <v>#REF!</v>
      </c>
      <c r="S73" s="17" t="e">
        <f t="shared" si="47"/>
        <v>#REF!</v>
      </c>
      <c r="T73" s="17" t="e">
        <f t="shared" si="47"/>
        <v>#REF!</v>
      </c>
    </row>
    <row r="74" spans="3:20" x14ac:dyDescent="0.25">
      <c r="C74" s="7"/>
      <c r="D74" s="7"/>
      <c r="E74" s="7" t="s">
        <v>19</v>
      </c>
      <c r="F74" s="7">
        <v>2015</v>
      </c>
      <c r="G74" s="8" t="s">
        <v>20</v>
      </c>
      <c r="H74" s="7" t="s">
        <v>34</v>
      </c>
      <c r="I74" s="7" t="s">
        <v>35</v>
      </c>
      <c r="J74" s="8"/>
      <c r="K74" s="7"/>
      <c r="L74" s="7" t="s">
        <v>28</v>
      </c>
      <c r="M74" s="7"/>
      <c r="N74" s="7"/>
      <c r="O74" s="17" t="e">
        <f>P74</f>
        <v>#REF!</v>
      </c>
      <c r="P74" s="17" t="e">
        <f>#REF!</f>
        <v>#REF!</v>
      </c>
      <c r="Q74" s="17" t="e">
        <f>P74</f>
        <v>#REF!</v>
      </c>
      <c r="R74" s="17" t="e">
        <f t="shared" ref="R74:T74" si="48">Q74</f>
        <v>#REF!</v>
      </c>
      <c r="S74" s="17" t="e">
        <f t="shared" si="48"/>
        <v>#REF!</v>
      </c>
      <c r="T74" s="17" t="e">
        <f t="shared" si="48"/>
        <v>#REF!</v>
      </c>
    </row>
    <row r="75" spans="3:20" x14ac:dyDescent="0.25">
      <c r="C75" s="7"/>
      <c r="D75" s="7"/>
      <c r="E75" s="7" t="s">
        <v>19</v>
      </c>
      <c r="F75" s="7">
        <v>2020</v>
      </c>
      <c r="G75" s="8" t="s">
        <v>20</v>
      </c>
      <c r="H75" s="7" t="s">
        <v>34</v>
      </c>
      <c r="I75" s="7" t="s">
        <v>35</v>
      </c>
      <c r="J75" s="8"/>
      <c r="K75" s="7"/>
      <c r="L75" s="7" t="s">
        <v>28</v>
      </c>
      <c r="M75" s="7"/>
      <c r="N75" s="7"/>
      <c r="O75" s="17" t="e">
        <f>P75</f>
        <v>#REF!</v>
      </c>
      <c r="P75" s="17" t="e">
        <f>#REF!</f>
        <v>#REF!</v>
      </c>
      <c r="Q75" s="17" t="e">
        <f>P75</f>
        <v>#REF!</v>
      </c>
      <c r="R75" s="17" t="e">
        <f t="shared" ref="R75:T75" si="49">Q75</f>
        <v>#REF!</v>
      </c>
      <c r="S75" s="17" t="e">
        <f t="shared" si="49"/>
        <v>#REF!</v>
      </c>
      <c r="T75" s="17" t="e">
        <f t="shared" si="49"/>
        <v>#REF!</v>
      </c>
    </row>
    <row r="76" spans="3:20" x14ac:dyDescent="0.25">
      <c r="C76" s="7"/>
      <c r="D76" s="7"/>
      <c r="E76" s="7" t="s">
        <v>19</v>
      </c>
      <c r="F76" s="7">
        <v>2055</v>
      </c>
      <c r="G76" s="8" t="s">
        <v>20</v>
      </c>
      <c r="H76" s="7" t="s">
        <v>34</v>
      </c>
      <c r="I76" s="7" t="s">
        <v>35</v>
      </c>
      <c r="J76" s="8"/>
      <c r="K76" s="7"/>
      <c r="L76" s="7" t="s">
        <v>28</v>
      </c>
      <c r="M76" s="7"/>
      <c r="N76" s="7"/>
      <c r="O76" s="17" t="e">
        <f>O75</f>
        <v>#REF!</v>
      </c>
      <c r="P76" s="17" t="e">
        <f t="shared" ref="P76" si="50">P75</f>
        <v>#REF!</v>
      </c>
      <c r="Q76" s="17" t="e">
        <f t="shared" ref="Q76" si="51">Q75</f>
        <v>#REF!</v>
      </c>
      <c r="R76" s="17" t="e">
        <f t="shared" ref="R76" si="52">R75</f>
        <v>#REF!</v>
      </c>
      <c r="S76" s="17" t="e">
        <f t="shared" ref="S76" si="53">S75</f>
        <v>#REF!</v>
      </c>
      <c r="T76" s="17" t="e">
        <f t="shared" ref="T76" si="54">T75</f>
        <v>#REF!</v>
      </c>
    </row>
    <row r="77" spans="3:20" x14ac:dyDescent="0.25">
      <c r="C77" s="7"/>
      <c r="D77" s="7"/>
      <c r="E77" s="7" t="s">
        <v>19</v>
      </c>
      <c r="F77" s="7">
        <v>2010</v>
      </c>
      <c r="G77" s="8" t="s">
        <v>20</v>
      </c>
      <c r="H77" s="7" t="s">
        <v>34</v>
      </c>
      <c r="I77" s="7" t="s">
        <v>35</v>
      </c>
      <c r="J77" s="8"/>
      <c r="K77" s="7"/>
      <c r="L77" s="7" t="s">
        <v>29</v>
      </c>
      <c r="M77" s="7"/>
      <c r="N77" s="7"/>
      <c r="O77" s="17" t="e">
        <f>P77</f>
        <v>#REF!</v>
      </c>
      <c r="P77" s="17" t="e">
        <f>#REF!</f>
        <v>#REF!</v>
      </c>
      <c r="Q77" s="17" t="e">
        <f>#REF!/1000</f>
        <v>#REF!</v>
      </c>
      <c r="R77" s="17" t="e">
        <f>#REF!/1000</f>
        <v>#REF!</v>
      </c>
      <c r="S77" s="17" t="e">
        <f>#REF!/1000</f>
        <v>#REF!</v>
      </c>
      <c r="T77" s="17" t="e">
        <f>#REF!/1000</f>
        <v>#REF!</v>
      </c>
    </row>
    <row r="78" spans="3:20" x14ac:dyDescent="0.25">
      <c r="C78" s="7"/>
      <c r="D78" s="7"/>
      <c r="E78" s="7" t="s">
        <v>19</v>
      </c>
      <c r="F78" s="7">
        <v>2015</v>
      </c>
      <c r="G78" s="8" t="s">
        <v>20</v>
      </c>
      <c r="H78" s="7" t="s">
        <v>34</v>
      </c>
      <c r="I78" s="7" t="s">
        <v>35</v>
      </c>
      <c r="J78" s="8"/>
      <c r="K78" s="7"/>
      <c r="L78" s="7" t="s">
        <v>29</v>
      </c>
      <c r="M78" s="7"/>
      <c r="N78" s="7"/>
      <c r="O78" s="17" t="e">
        <f>P78</f>
        <v>#REF!</v>
      </c>
      <c r="P78" s="17" t="e">
        <f>#REF!</f>
        <v>#REF!</v>
      </c>
      <c r="Q78" s="17" t="e">
        <f>#REF!/1000</f>
        <v>#REF!</v>
      </c>
      <c r="R78" s="17" t="e">
        <f>#REF!/1000</f>
        <v>#REF!</v>
      </c>
      <c r="S78" s="17" t="e">
        <f>#REF!/1000</f>
        <v>#REF!</v>
      </c>
      <c r="T78" s="17" t="e">
        <f>#REF!/1000</f>
        <v>#REF!</v>
      </c>
    </row>
    <row r="79" spans="3:20" x14ac:dyDescent="0.25">
      <c r="C79" s="7"/>
      <c r="D79" s="7"/>
      <c r="E79" s="7" t="s">
        <v>19</v>
      </c>
      <c r="F79" s="7">
        <v>2020</v>
      </c>
      <c r="G79" s="8" t="s">
        <v>20</v>
      </c>
      <c r="H79" s="7" t="s">
        <v>34</v>
      </c>
      <c r="I79" s="7" t="s">
        <v>35</v>
      </c>
      <c r="J79" s="8"/>
      <c r="K79" s="7"/>
      <c r="L79" s="7" t="s">
        <v>29</v>
      </c>
      <c r="M79" s="7"/>
      <c r="N79" s="7"/>
      <c r="O79" s="17" t="e">
        <f>O78</f>
        <v>#REF!</v>
      </c>
      <c r="P79" s="17" t="e">
        <f t="shared" ref="P79:P80" si="55">P78</f>
        <v>#REF!</v>
      </c>
      <c r="Q79" s="17" t="e">
        <f t="shared" ref="Q79:Q80" si="56">Q78</f>
        <v>#REF!</v>
      </c>
      <c r="R79" s="17" t="e">
        <f t="shared" ref="R79:R80" si="57">R78</f>
        <v>#REF!</v>
      </c>
      <c r="S79" s="17" t="e">
        <f t="shared" ref="S79:S80" si="58">S78</f>
        <v>#REF!</v>
      </c>
      <c r="T79" s="17" t="e">
        <f t="shared" ref="T79:T80" si="59">T78</f>
        <v>#REF!</v>
      </c>
    </row>
    <row r="80" spans="3:20" x14ac:dyDescent="0.25">
      <c r="C80" s="7"/>
      <c r="D80" s="7"/>
      <c r="E80" s="7" t="s">
        <v>19</v>
      </c>
      <c r="F80" s="7">
        <v>2055</v>
      </c>
      <c r="G80" s="8" t="s">
        <v>20</v>
      </c>
      <c r="H80" s="7" t="s">
        <v>34</v>
      </c>
      <c r="I80" s="7" t="s">
        <v>35</v>
      </c>
      <c r="J80" s="8"/>
      <c r="K80" s="7"/>
      <c r="L80" s="7" t="s">
        <v>29</v>
      </c>
      <c r="M80" s="7"/>
      <c r="N80" s="7"/>
      <c r="O80" s="17" t="e">
        <f>O79</f>
        <v>#REF!</v>
      </c>
      <c r="P80" s="17" t="e">
        <f t="shared" si="55"/>
        <v>#REF!</v>
      </c>
      <c r="Q80" s="17" t="e">
        <f t="shared" si="56"/>
        <v>#REF!</v>
      </c>
      <c r="R80" s="17" t="e">
        <f t="shared" si="57"/>
        <v>#REF!</v>
      </c>
      <c r="S80" s="17" t="e">
        <f t="shared" si="58"/>
        <v>#REF!</v>
      </c>
      <c r="T80" s="17" t="e">
        <f t="shared" si="59"/>
        <v>#REF!</v>
      </c>
    </row>
    <row r="81" spans="3:20" x14ac:dyDescent="0.25">
      <c r="C81" s="7"/>
      <c r="D81" s="7"/>
      <c r="E81" s="7" t="s">
        <v>19</v>
      </c>
      <c r="F81" s="7">
        <v>2010</v>
      </c>
      <c r="G81" s="8" t="s">
        <v>20</v>
      </c>
      <c r="H81" s="7" t="s">
        <v>34</v>
      </c>
      <c r="I81" s="7" t="s">
        <v>35</v>
      </c>
      <c r="J81" s="8"/>
      <c r="K81" s="7"/>
      <c r="L81" s="7" t="s">
        <v>30</v>
      </c>
      <c r="M81" s="7"/>
      <c r="N81" s="7"/>
      <c r="O81" s="17" t="e">
        <f>P81</f>
        <v>#REF!</v>
      </c>
      <c r="P81" s="17" t="e">
        <f>#REF!</f>
        <v>#REF!</v>
      </c>
      <c r="Q81" s="17" t="e">
        <f>P81</f>
        <v>#REF!</v>
      </c>
      <c r="R81" s="17" t="e">
        <f t="shared" ref="R81:T81" si="60">Q81</f>
        <v>#REF!</v>
      </c>
      <c r="S81" s="17" t="e">
        <f t="shared" si="60"/>
        <v>#REF!</v>
      </c>
      <c r="T81" s="17" t="e">
        <f t="shared" si="60"/>
        <v>#REF!</v>
      </c>
    </row>
    <row r="82" spans="3:20" x14ac:dyDescent="0.25">
      <c r="C82" s="7"/>
      <c r="D82" s="7"/>
      <c r="E82" s="7" t="s">
        <v>19</v>
      </c>
      <c r="F82" s="7">
        <v>2015</v>
      </c>
      <c r="G82" s="8" t="s">
        <v>20</v>
      </c>
      <c r="H82" s="7" t="s">
        <v>34</v>
      </c>
      <c r="I82" s="7" t="s">
        <v>35</v>
      </c>
      <c r="J82" s="8"/>
      <c r="K82" s="7"/>
      <c r="L82" s="7" t="s">
        <v>30</v>
      </c>
      <c r="M82" s="7"/>
      <c r="N82" s="7"/>
      <c r="O82" s="17" t="e">
        <f>P82</f>
        <v>#REF!</v>
      </c>
      <c r="P82" s="17" t="e">
        <f>#REF!</f>
        <v>#REF!</v>
      </c>
      <c r="Q82" s="17" t="e">
        <f>P82</f>
        <v>#REF!</v>
      </c>
      <c r="R82" s="17" t="e">
        <f t="shared" ref="R82:T82" si="61">Q82</f>
        <v>#REF!</v>
      </c>
      <c r="S82" s="17" t="e">
        <f t="shared" si="61"/>
        <v>#REF!</v>
      </c>
      <c r="T82" s="17" t="e">
        <f t="shared" si="61"/>
        <v>#REF!</v>
      </c>
    </row>
    <row r="83" spans="3:20" x14ac:dyDescent="0.25">
      <c r="C83" s="7"/>
      <c r="D83" s="7"/>
      <c r="E83" s="7" t="s">
        <v>19</v>
      </c>
      <c r="F83" s="7">
        <v>2020</v>
      </c>
      <c r="G83" s="8" t="s">
        <v>20</v>
      </c>
      <c r="H83" s="7" t="s">
        <v>34</v>
      </c>
      <c r="I83" s="7" t="s">
        <v>35</v>
      </c>
      <c r="J83" s="8"/>
      <c r="K83" s="7"/>
      <c r="L83" s="7" t="s">
        <v>30</v>
      </c>
      <c r="M83" s="7"/>
      <c r="N83" s="7"/>
      <c r="O83" s="17" t="e">
        <f>P83</f>
        <v>#REF!</v>
      </c>
      <c r="P83" s="17" t="e">
        <f>#REF!</f>
        <v>#REF!</v>
      </c>
      <c r="Q83" s="17" t="e">
        <f>P83</f>
        <v>#REF!</v>
      </c>
      <c r="R83" s="17" t="e">
        <f t="shared" ref="R83:T83" si="62">Q83</f>
        <v>#REF!</v>
      </c>
      <c r="S83" s="17" t="e">
        <f t="shared" si="62"/>
        <v>#REF!</v>
      </c>
      <c r="T83" s="17" t="e">
        <f t="shared" si="62"/>
        <v>#REF!</v>
      </c>
    </row>
    <row r="84" spans="3:20" x14ac:dyDescent="0.25">
      <c r="C84" s="7"/>
      <c r="D84" s="7"/>
      <c r="E84" s="7" t="s">
        <v>19</v>
      </c>
      <c r="F84" s="7">
        <v>2055</v>
      </c>
      <c r="G84" s="8" t="s">
        <v>20</v>
      </c>
      <c r="H84" s="7" t="s">
        <v>34</v>
      </c>
      <c r="I84" s="7" t="s">
        <v>35</v>
      </c>
      <c r="J84" s="8"/>
      <c r="K84" s="7"/>
      <c r="L84" s="7" t="s">
        <v>30</v>
      </c>
      <c r="M84" s="7"/>
      <c r="N84" s="7"/>
      <c r="O84" s="17" t="e">
        <f>O83</f>
        <v>#REF!</v>
      </c>
      <c r="P84" s="17" t="e">
        <f t="shared" ref="P84" si="63">P83</f>
        <v>#REF!</v>
      </c>
      <c r="Q84" s="17" t="e">
        <f t="shared" ref="Q84" si="64">Q83</f>
        <v>#REF!</v>
      </c>
      <c r="R84" s="17" t="e">
        <f t="shared" ref="R84" si="65">R83</f>
        <v>#REF!</v>
      </c>
      <c r="S84" s="17" t="e">
        <f t="shared" ref="S84" si="66">S83</f>
        <v>#REF!</v>
      </c>
      <c r="T84" s="17" t="e">
        <f t="shared" ref="T84" si="67">T83</f>
        <v>#REF!</v>
      </c>
    </row>
    <row r="85" spans="3:20" x14ac:dyDescent="0.25">
      <c r="C85" s="7"/>
      <c r="D85" s="7"/>
      <c r="E85" s="7" t="s">
        <v>19</v>
      </c>
      <c r="F85" s="7">
        <v>2010</v>
      </c>
      <c r="G85" s="8" t="s">
        <v>20</v>
      </c>
      <c r="H85" s="7" t="s">
        <v>34</v>
      </c>
      <c r="I85" s="7" t="s">
        <v>35</v>
      </c>
      <c r="J85" s="8"/>
      <c r="K85" s="7"/>
      <c r="L85" s="7" t="s">
        <v>31</v>
      </c>
      <c r="M85" s="7"/>
      <c r="N85" s="7"/>
      <c r="O85" s="17" t="e">
        <f>P85</f>
        <v>#REF!</v>
      </c>
      <c r="P85" s="17" t="e">
        <f>#REF!</f>
        <v>#REF!</v>
      </c>
      <c r="Q85" s="17" t="e">
        <f>P85</f>
        <v>#REF!</v>
      </c>
      <c r="R85" s="17" t="e">
        <f t="shared" ref="R85:T85" si="68">Q85</f>
        <v>#REF!</v>
      </c>
      <c r="S85" s="17" t="e">
        <f t="shared" si="68"/>
        <v>#REF!</v>
      </c>
      <c r="T85" s="17" t="e">
        <f t="shared" si="68"/>
        <v>#REF!</v>
      </c>
    </row>
    <row r="86" spans="3:20" x14ac:dyDescent="0.25">
      <c r="C86" s="7"/>
      <c r="D86" s="7"/>
      <c r="E86" s="7" t="s">
        <v>19</v>
      </c>
      <c r="F86" s="7">
        <v>2015</v>
      </c>
      <c r="G86" s="8" t="s">
        <v>20</v>
      </c>
      <c r="H86" s="7" t="s">
        <v>34</v>
      </c>
      <c r="I86" s="7" t="s">
        <v>35</v>
      </c>
      <c r="J86" s="8"/>
      <c r="K86" s="7"/>
      <c r="L86" s="7" t="s">
        <v>31</v>
      </c>
      <c r="M86" s="7"/>
      <c r="N86" s="7"/>
      <c r="O86" s="17" t="e">
        <f>P86</f>
        <v>#REF!</v>
      </c>
      <c r="P86" s="17" t="e">
        <f>P$85*P70/P$69</f>
        <v>#REF!</v>
      </c>
      <c r="Q86" s="17" t="e">
        <f>P86</f>
        <v>#REF!</v>
      </c>
      <c r="R86" s="17" t="e">
        <f t="shared" ref="R86:T86" si="69">Q86</f>
        <v>#REF!</v>
      </c>
      <c r="S86" s="17" t="e">
        <f t="shared" si="69"/>
        <v>#REF!</v>
      </c>
      <c r="T86" s="17" t="e">
        <f t="shared" si="69"/>
        <v>#REF!</v>
      </c>
    </row>
    <row r="87" spans="3:20" x14ac:dyDescent="0.25">
      <c r="C87" s="7"/>
      <c r="D87" s="7"/>
      <c r="E87" s="7" t="s">
        <v>19</v>
      </c>
      <c r="F87" s="7">
        <v>2020</v>
      </c>
      <c r="G87" s="8" t="s">
        <v>20</v>
      </c>
      <c r="H87" s="7" t="s">
        <v>34</v>
      </c>
      <c r="I87" s="7" t="s">
        <v>35</v>
      </c>
      <c r="J87" s="8"/>
      <c r="K87" s="7"/>
      <c r="L87" s="7" t="s">
        <v>31</v>
      </c>
      <c r="M87" s="7"/>
      <c r="N87" s="7"/>
      <c r="O87" s="17" t="e">
        <f>P87</f>
        <v>#REF!</v>
      </c>
      <c r="P87" s="17" t="e">
        <f>P$85*P71/P$69</f>
        <v>#REF!</v>
      </c>
      <c r="Q87" s="17" t="e">
        <f>P87</f>
        <v>#REF!</v>
      </c>
      <c r="R87" s="17" t="e">
        <f t="shared" ref="R87:T87" si="70">Q87</f>
        <v>#REF!</v>
      </c>
      <c r="S87" s="17" t="e">
        <f t="shared" si="70"/>
        <v>#REF!</v>
      </c>
      <c r="T87" s="17" t="e">
        <f t="shared" si="70"/>
        <v>#REF!</v>
      </c>
    </row>
    <row r="88" spans="3:20" x14ac:dyDescent="0.25">
      <c r="C88" s="7"/>
      <c r="D88" s="7"/>
      <c r="E88" s="7" t="s">
        <v>19</v>
      </c>
      <c r="F88" s="7">
        <v>2055</v>
      </c>
      <c r="G88" s="8" t="s">
        <v>20</v>
      </c>
      <c r="H88" s="7" t="s">
        <v>34</v>
      </c>
      <c r="I88" s="7" t="s">
        <v>35</v>
      </c>
      <c r="J88" s="8"/>
      <c r="K88" s="7"/>
      <c r="L88" s="7" t="s">
        <v>31</v>
      </c>
      <c r="M88" s="7"/>
      <c r="N88" s="7"/>
      <c r="O88" s="17" t="e">
        <f>O87</f>
        <v>#REF!</v>
      </c>
      <c r="P88" s="17" t="e">
        <f t="shared" ref="P88" si="71">P87</f>
        <v>#REF!</v>
      </c>
      <c r="Q88" s="17" t="e">
        <f t="shared" ref="Q88" si="72">Q87</f>
        <v>#REF!</v>
      </c>
      <c r="R88" s="17" t="e">
        <f t="shared" ref="R88" si="73">R87</f>
        <v>#REF!</v>
      </c>
      <c r="S88" s="17" t="e">
        <f t="shared" ref="S88" si="74">S87</f>
        <v>#REF!</v>
      </c>
      <c r="T88" s="17" t="e">
        <f t="shared" ref="T88" si="75">T87</f>
        <v>#REF!</v>
      </c>
    </row>
    <row r="89" spans="3:20" x14ac:dyDescent="0.25">
      <c r="C89" s="7"/>
      <c r="D89" s="7"/>
      <c r="E89" s="7" t="s">
        <v>19</v>
      </c>
      <c r="F89" s="7">
        <v>2010</v>
      </c>
      <c r="G89" s="8" t="s">
        <v>20</v>
      </c>
      <c r="H89" s="7" t="s">
        <v>34</v>
      </c>
      <c r="I89" s="7" t="s">
        <v>35</v>
      </c>
      <c r="J89" s="8"/>
      <c r="K89" s="7"/>
      <c r="L89" s="7" t="s">
        <v>32</v>
      </c>
      <c r="M89" s="7"/>
      <c r="N89" s="7"/>
      <c r="O89" s="17" t="e">
        <f>P89</f>
        <v>#REF!</v>
      </c>
      <c r="P89" s="17" t="e">
        <f>#REF!</f>
        <v>#REF!</v>
      </c>
      <c r="Q89" s="17" t="e">
        <f>P89</f>
        <v>#REF!</v>
      </c>
      <c r="R89" s="17" t="e">
        <f t="shared" ref="R89:T89" si="76">Q89</f>
        <v>#REF!</v>
      </c>
      <c r="S89" s="17" t="e">
        <f t="shared" si="76"/>
        <v>#REF!</v>
      </c>
      <c r="T89" s="17" t="e">
        <f t="shared" si="76"/>
        <v>#REF!</v>
      </c>
    </row>
    <row r="90" spans="3:20" x14ac:dyDescent="0.25">
      <c r="C90" s="7"/>
      <c r="D90" s="7"/>
      <c r="E90" s="7" t="s">
        <v>19</v>
      </c>
      <c r="F90" s="7">
        <v>2015</v>
      </c>
      <c r="G90" s="8" t="s">
        <v>20</v>
      </c>
      <c r="H90" s="7" t="s">
        <v>34</v>
      </c>
      <c r="I90" s="7" t="s">
        <v>35</v>
      </c>
      <c r="J90" s="8"/>
      <c r="K90" s="7"/>
      <c r="L90" s="7" t="s">
        <v>32</v>
      </c>
      <c r="M90" s="7"/>
      <c r="N90" s="7"/>
      <c r="O90" s="17" t="e">
        <f>P90</f>
        <v>#REF!</v>
      </c>
      <c r="P90" s="17" t="e">
        <f>P$89*P70/P$69</f>
        <v>#REF!</v>
      </c>
      <c r="Q90" s="17" t="e">
        <f>P90</f>
        <v>#REF!</v>
      </c>
      <c r="R90" s="17" t="e">
        <f t="shared" ref="R90:T90" si="77">Q90</f>
        <v>#REF!</v>
      </c>
      <c r="S90" s="17" t="e">
        <f t="shared" si="77"/>
        <v>#REF!</v>
      </c>
      <c r="T90" s="17" t="e">
        <f t="shared" si="77"/>
        <v>#REF!</v>
      </c>
    </row>
    <row r="91" spans="3:20" x14ac:dyDescent="0.25">
      <c r="C91" s="7"/>
      <c r="D91" s="7"/>
      <c r="E91" s="7" t="s">
        <v>19</v>
      </c>
      <c r="F91" s="7">
        <v>2020</v>
      </c>
      <c r="G91" s="8" t="s">
        <v>20</v>
      </c>
      <c r="H91" s="7" t="s">
        <v>34</v>
      </c>
      <c r="I91" s="7" t="s">
        <v>35</v>
      </c>
      <c r="J91" s="8"/>
      <c r="K91" s="7"/>
      <c r="L91" s="7" t="s">
        <v>32</v>
      </c>
      <c r="M91" s="7"/>
      <c r="N91" s="7"/>
      <c r="O91" s="17" t="e">
        <f>P91</f>
        <v>#REF!</v>
      </c>
      <c r="P91" s="17" t="e">
        <f>P$89*P71/P$69</f>
        <v>#REF!</v>
      </c>
      <c r="Q91" s="17" t="e">
        <f>P91</f>
        <v>#REF!</v>
      </c>
      <c r="R91" s="17" t="e">
        <f t="shared" ref="R91:T91" si="78">Q91</f>
        <v>#REF!</v>
      </c>
      <c r="S91" s="17" t="e">
        <f t="shared" si="78"/>
        <v>#REF!</v>
      </c>
      <c r="T91" s="17" t="e">
        <f t="shared" si="78"/>
        <v>#REF!</v>
      </c>
    </row>
    <row r="92" spans="3:20" x14ac:dyDescent="0.25">
      <c r="C92" s="7"/>
      <c r="D92" s="7"/>
      <c r="E92" s="7" t="s">
        <v>19</v>
      </c>
      <c r="F92" s="7">
        <v>2055</v>
      </c>
      <c r="G92" s="8" t="s">
        <v>20</v>
      </c>
      <c r="H92" s="7" t="s">
        <v>34</v>
      </c>
      <c r="I92" s="7" t="s">
        <v>35</v>
      </c>
      <c r="J92" s="8"/>
      <c r="K92" s="7"/>
      <c r="L92" s="7" t="s">
        <v>32</v>
      </c>
      <c r="M92" s="7"/>
      <c r="N92" s="7"/>
      <c r="O92" s="17" t="e">
        <f>O91</f>
        <v>#REF!</v>
      </c>
      <c r="P92" s="17" t="e">
        <f t="shared" ref="P92" si="79">P91</f>
        <v>#REF!</v>
      </c>
      <c r="Q92" s="17" t="e">
        <f t="shared" ref="Q92" si="80">Q91</f>
        <v>#REF!</v>
      </c>
      <c r="R92" s="17" t="e">
        <f t="shared" ref="R92" si="81">R91</f>
        <v>#REF!</v>
      </c>
      <c r="S92" s="17" t="e">
        <f t="shared" ref="S92" si="82">S91</f>
        <v>#REF!</v>
      </c>
      <c r="T92" s="17" t="e">
        <f t="shared" ref="T92" si="83">T91</f>
        <v>#REF!</v>
      </c>
    </row>
    <row r="93" spans="3:20" x14ac:dyDescent="0.25">
      <c r="C93" s="15" t="s">
        <v>33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3:20" x14ac:dyDescent="0.25">
      <c r="C94" s="7"/>
      <c r="D94" s="7"/>
      <c r="E94" s="7" t="s">
        <v>19</v>
      </c>
      <c r="F94" s="7">
        <v>2010</v>
      </c>
      <c r="G94" s="8" t="s">
        <v>20</v>
      </c>
      <c r="H94" s="7" t="s">
        <v>36</v>
      </c>
      <c r="I94" s="7" t="s">
        <v>37</v>
      </c>
      <c r="J94" s="8"/>
      <c r="K94" s="7"/>
      <c r="L94" s="7" t="s">
        <v>22</v>
      </c>
      <c r="M94" s="18" t="e">
        <f>#REF!/1000</f>
        <v>#REF!</v>
      </c>
      <c r="N94" s="7"/>
      <c r="O94" s="7"/>
      <c r="P94" s="7"/>
      <c r="Q94" s="7"/>
      <c r="R94" s="7"/>
      <c r="S94" s="7"/>
      <c r="T94" s="7"/>
    </row>
    <row r="95" spans="3:20" x14ac:dyDescent="0.25">
      <c r="C95" s="7"/>
      <c r="D95" s="7"/>
      <c r="E95" s="7" t="s">
        <v>19</v>
      </c>
      <c r="F95" s="7">
        <v>2015</v>
      </c>
      <c r="G95" s="8" t="s">
        <v>20</v>
      </c>
      <c r="H95" s="7" t="s">
        <v>36</v>
      </c>
      <c r="I95" s="7" t="s">
        <v>37</v>
      </c>
      <c r="J95" s="8"/>
      <c r="K95" s="7"/>
      <c r="L95" s="7" t="s">
        <v>22</v>
      </c>
      <c r="M95" s="18" t="e">
        <f>M94</f>
        <v>#REF!</v>
      </c>
      <c r="N95" s="7"/>
      <c r="O95" s="7"/>
      <c r="P95" s="7"/>
      <c r="Q95" s="7"/>
      <c r="R95" s="7"/>
      <c r="S95" s="7"/>
      <c r="T95" s="7"/>
    </row>
    <row r="96" spans="3:20" x14ac:dyDescent="0.25">
      <c r="C96" s="7"/>
      <c r="D96" s="7"/>
      <c r="E96" s="7" t="s">
        <v>19</v>
      </c>
      <c r="F96" s="7">
        <v>2020</v>
      </c>
      <c r="G96" s="8" t="s">
        <v>20</v>
      </c>
      <c r="H96" s="7" t="s">
        <v>36</v>
      </c>
      <c r="I96" s="7" t="s">
        <v>37</v>
      </c>
      <c r="J96" s="8"/>
      <c r="K96" s="7"/>
      <c r="L96" s="7" t="s">
        <v>22</v>
      </c>
      <c r="M96" s="18" t="e">
        <f t="shared" ref="M96:M97" si="84">M95</f>
        <v>#REF!</v>
      </c>
      <c r="N96" s="7"/>
      <c r="O96" s="7"/>
      <c r="P96" s="7"/>
      <c r="Q96" s="7"/>
      <c r="R96" s="7"/>
      <c r="S96" s="7"/>
      <c r="T96" s="7"/>
    </row>
    <row r="97" spans="3:20" x14ac:dyDescent="0.25">
      <c r="C97" s="7"/>
      <c r="D97" s="7"/>
      <c r="E97" s="7" t="s">
        <v>19</v>
      </c>
      <c r="F97" s="7">
        <v>2055</v>
      </c>
      <c r="G97" s="8" t="s">
        <v>20</v>
      </c>
      <c r="H97" s="7" t="s">
        <v>36</v>
      </c>
      <c r="I97" s="7" t="s">
        <v>37</v>
      </c>
      <c r="J97" s="8"/>
      <c r="K97" s="7"/>
      <c r="L97" s="7" t="s">
        <v>22</v>
      </c>
      <c r="M97" s="18" t="e">
        <f t="shared" si="84"/>
        <v>#REF!</v>
      </c>
      <c r="N97" s="7"/>
      <c r="O97" s="7"/>
      <c r="P97" s="7"/>
      <c r="Q97" s="7"/>
      <c r="R97" s="7"/>
      <c r="S97" s="7"/>
      <c r="T97" s="7"/>
    </row>
    <row r="98" spans="3:20" x14ac:dyDescent="0.25">
      <c r="C98" s="7"/>
      <c r="D98" s="7"/>
      <c r="E98" s="7" t="s">
        <v>19</v>
      </c>
      <c r="F98" s="7">
        <v>2010</v>
      </c>
      <c r="G98" s="8" t="s">
        <v>20</v>
      </c>
      <c r="H98" s="7" t="s">
        <v>36</v>
      </c>
      <c r="I98" s="7" t="s">
        <v>37</v>
      </c>
      <c r="J98" s="8"/>
      <c r="K98" s="7"/>
      <c r="L98" s="7" t="s">
        <v>23</v>
      </c>
      <c r="M98" s="18" t="e">
        <f>#REF!</f>
        <v>#REF!</v>
      </c>
      <c r="N98" s="7"/>
      <c r="O98" s="7"/>
      <c r="P98" s="7"/>
      <c r="Q98" s="7"/>
      <c r="R98" s="7"/>
      <c r="S98" s="7"/>
      <c r="T98" s="7"/>
    </row>
    <row r="99" spans="3:20" x14ac:dyDescent="0.25">
      <c r="C99" s="7"/>
      <c r="D99" s="7"/>
      <c r="E99" s="7" t="s">
        <v>19</v>
      </c>
      <c r="F99" s="7">
        <v>2015</v>
      </c>
      <c r="G99" s="8" t="s">
        <v>20</v>
      </c>
      <c r="H99" s="7" t="s">
        <v>36</v>
      </c>
      <c r="I99" s="7" t="s">
        <v>37</v>
      </c>
      <c r="J99" s="8"/>
      <c r="K99" s="7"/>
      <c r="L99" s="7" t="s">
        <v>23</v>
      </c>
      <c r="M99" s="18" t="e">
        <f>M98</f>
        <v>#REF!</v>
      </c>
      <c r="N99" s="7"/>
      <c r="O99" s="7"/>
      <c r="P99" s="7"/>
      <c r="Q99" s="7"/>
      <c r="R99" s="7"/>
      <c r="S99" s="7"/>
      <c r="T99" s="7"/>
    </row>
    <row r="100" spans="3:20" x14ac:dyDescent="0.25">
      <c r="C100" s="7"/>
      <c r="D100" s="7"/>
      <c r="E100" s="7" t="s">
        <v>19</v>
      </c>
      <c r="F100" s="7">
        <v>2020</v>
      </c>
      <c r="G100" s="8" t="s">
        <v>20</v>
      </c>
      <c r="H100" s="7" t="s">
        <v>36</v>
      </c>
      <c r="I100" s="7" t="s">
        <v>37</v>
      </c>
      <c r="J100" s="8"/>
      <c r="K100" s="7"/>
      <c r="L100" s="7" t="s">
        <v>23</v>
      </c>
      <c r="M100" s="18" t="e">
        <f t="shared" ref="M100:M101" si="85">M99</f>
        <v>#REF!</v>
      </c>
      <c r="N100" s="7"/>
      <c r="O100" s="7"/>
      <c r="P100" s="7"/>
      <c r="Q100" s="7"/>
      <c r="R100" s="7"/>
      <c r="S100" s="7"/>
      <c r="T100" s="7"/>
    </row>
    <row r="101" spans="3:20" x14ac:dyDescent="0.25">
      <c r="C101" s="7"/>
      <c r="D101" s="7"/>
      <c r="E101" s="7" t="s">
        <v>19</v>
      </c>
      <c r="F101" s="7">
        <v>2055</v>
      </c>
      <c r="G101" s="8" t="s">
        <v>20</v>
      </c>
      <c r="H101" s="7" t="s">
        <v>36</v>
      </c>
      <c r="I101" s="7" t="s">
        <v>37</v>
      </c>
      <c r="J101" s="8"/>
      <c r="K101" s="7"/>
      <c r="L101" s="7" t="s">
        <v>23</v>
      </c>
      <c r="M101" s="18" t="e">
        <f t="shared" si="85"/>
        <v>#REF!</v>
      </c>
      <c r="N101" s="7"/>
      <c r="O101" s="7"/>
      <c r="P101" s="7"/>
      <c r="Q101" s="7"/>
      <c r="R101" s="7"/>
      <c r="S101" s="7"/>
      <c r="T101" s="7"/>
    </row>
    <row r="102" spans="3:20" x14ac:dyDescent="0.25">
      <c r="C102" s="7"/>
      <c r="D102" s="7"/>
      <c r="E102" s="7" t="s">
        <v>19</v>
      </c>
      <c r="F102" s="7">
        <v>2010</v>
      </c>
      <c r="G102" s="8" t="s">
        <v>20</v>
      </c>
      <c r="H102" s="7" t="s">
        <v>36</v>
      </c>
      <c r="I102" s="7" t="s">
        <v>37</v>
      </c>
      <c r="J102" s="8"/>
      <c r="K102" s="7"/>
      <c r="L102" s="7" t="s">
        <v>24</v>
      </c>
      <c r="M102" s="18" t="e">
        <f>#REF!</f>
        <v>#REF!</v>
      </c>
      <c r="N102" s="7"/>
      <c r="O102" s="7"/>
      <c r="P102" s="7"/>
      <c r="Q102" s="7"/>
      <c r="R102" s="7"/>
      <c r="S102" s="7"/>
      <c r="T102" s="7"/>
    </row>
    <row r="103" spans="3:20" x14ac:dyDescent="0.25">
      <c r="C103" s="7"/>
      <c r="D103" s="7"/>
      <c r="E103" s="7" t="s">
        <v>19</v>
      </c>
      <c r="F103" s="7">
        <v>2015</v>
      </c>
      <c r="G103" s="8" t="s">
        <v>20</v>
      </c>
      <c r="H103" s="7" t="s">
        <v>36</v>
      </c>
      <c r="I103" s="7" t="s">
        <v>37</v>
      </c>
      <c r="J103" s="8"/>
      <c r="K103" s="7"/>
      <c r="L103" s="7" t="s">
        <v>24</v>
      </c>
      <c r="M103" s="18" t="e">
        <f>M102</f>
        <v>#REF!</v>
      </c>
      <c r="N103" s="7"/>
      <c r="O103" s="7"/>
      <c r="P103" s="7"/>
      <c r="Q103" s="7"/>
      <c r="R103" s="7"/>
      <c r="S103" s="7"/>
      <c r="T103" s="7"/>
    </row>
    <row r="104" spans="3:20" x14ac:dyDescent="0.25">
      <c r="C104" s="7"/>
      <c r="D104" s="7"/>
      <c r="E104" s="7" t="s">
        <v>19</v>
      </c>
      <c r="F104" s="7">
        <v>2020</v>
      </c>
      <c r="G104" s="8" t="s">
        <v>20</v>
      </c>
      <c r="H104" s="7" t="s">
        <v>36</v>
      </c>
      <c r="I104" s="7" t="s">
        <v>37</v>
      </c>
      <c r="J104" s="8"/>
      <c r="K104" s="7"/>
      <c r="L104" s="7" t="s">
        <v>24</v>
      </c>
      <c r="M104" s="18" t="e">
        <f t="shared" ref="M104:M105" si="86">M103</f>
        <v>#REF!</v>
      </c>
      <c r="N104" s="7"/>
      <c r="O104" s="7"/>
      <c r="P104" s="7"/>
      <c r="Q104" s="7"/>
      <c r="R104" s="7"/>
      <c r="S104" s="7"/>
      <c r="T104" s="7"/>
    </row>
    <row r="105" spans="3:20" x14ac:dyDescent="0.25">
      <c r="C105" s="7"/>
      <c r="D105" s="7"/>
      <c r="E105" s="7" t="s">
        <v>19</v>
      </c>
      <c r="F105" s="7">
        <v>2055</v>
      </c>
      <c r="G105" s="8" t="s">
        <v>20</v>
      </c>
      <c r="H105" s="7" t="s">
        <v>36</v>
      </c>
      <c r="I105" s="7" t="s">
        <v>37</v>
      </c>
      <c r="J105" s="8"/>
      <c r="K105" s="7"/>
      <c r="L105" s="7" t="s">
        <v>24</v>
      </c>
      <c r="M105" s="18" t="e">
        <f t="shared" si="86"/>
        <v>#REF!</v>
      </c>
      <c r="N105" s="7"/>
      <c r="O105" s="7"/>
      <c r="P105" s="7"/>
      <c r="Q105" s="7"/>
      <c r="R105" s="7"/>
      <c r="S105" s="7"/>
      <c r="T105" s="7"/>
    </row>
    <row r="106" spans="3:20" x14ac:dyDescent="0.25">
      <c r="C106" s="7"/>
      <c r="D106" s="7"/>
      <c r="E106" s="7" t="s">
        <v>19</v>
      </c>
      <c r="F106" s="7">
        <v>2010</v>
      </c>
      <c r="G106" s="8" t="s">
        <v>20</v>
      </c>
      <c r="H106" s="7" t="s">
        <v>36</v>
      </c>
      <c r="I106" s="7" t="s">
        <v>37</v>
      </c>
      <c r="J106" s="8"/>
      <c r="K106" s="7"/>
      <c r="L106" s="7" t="s">
        <v>25</v>
      </c>
      <c r="M106" s="18" t="e">
        <f>#REF!</f>
        <v>#REF!</v>
      </c>
      <c r="N106" s="7"/>
      <c r="O106" s="7"/>
      <c r="P106" s="7"/>
      <c r="Q106" s="7"/>
      <c r="R106" s="7"/>
      <c r="S106" s="7"/>
      <c r="T106" s="7"/>
    </row>
    <row r="107" spans="3:20" x14ac:dyDescent="0.25">
      <c r="C107" s="7"/>
      <c r="D107" s="7"/>
      <c r="E107" s="7" t="s">
        <v>19</v>
      </c>
      <c r="F107" s="7">
        <v>2015</v>
      </c>
      <c r="G107" s="8" t="s">
        <v>20</v>
      </c>
      <c r="H107" s="7" t="s">
        <v>36</v>
      </c>
      <c r="I107" s="7" t="s">
        <v>37</v>
      </c>
      <c r="J107" s="8"/>
      <c r="K107" s="7"/>
      <c r="L107" s="7" t="s">
        <v>25</v>
      </c>
      <c r="M107" s="18" t="e">
        <f>M106</f>
        <v>#REF!</v>
      </c>
      <c r="N107" s="7"/>
      <c r="O107" s="7"/>
      <c r="P107" s="7"/>
      <c r="Q107" s="7"/>
      <c r="R107" s="7"/>
      <c r="S107" s="7"/>
      <c r="T107" s="7"/>
    </row>
    <row r="108" spans="3:20" x14ac:dyDescent="0.25">
      <c r="C108" s="7"/>
      <c r="D108" s="7"/>
      <c r="E108" s="7" t="s">
        <v>19</v>
      </c>
      <c r="F108" s="7">
        <v>2020</v>
      </c>
      <c r="G108" s="8" t="s">
        <v>20</v>
      </c>
      <c r="H108" s="7" t="s">
        <v>36</v>
      </c>
      <c r="I108" s="7" t="s">
        <v>37</v>
      </c>
      <c r="J108" s="8"/>
      <c r="K108" s="7"/>
      <c r="L108" s="7" t="s">
        <v>25</v>
      </c>
      <c r="M108" s="18" t="e">
        <f t="shared" ref="M108:M109" si="87">M107</f>
        <v>#REF!</v>
      </c>
      <c r="N108" s="7"/>
      <c r="O108" s="7"/>
      <c r="P108" s="7"/>
      <c r="Q108" s="7"/>
      <c r="R108" s="7"/>
      <c r="S108" s="7"/>
      <c r="T108" s="7"/>
    </row>
    <row r="109" spans="3:20" x14ac:dyDescent="0.25">
      <c r="C109" s="7"/>
      <c r="D109" s="7"/>
      <c r="E109" s="7" t="s">
        <v>19</v>
      </c>
      <c r="F109" s="7">
        <v>2055</v>
      </c>
      <c r="G109" s="8" t="s">
        <v>20</v>
      </c>
      <c r="H109" s="7" t="s">
        <v>36</v>
      </c>
      <c r="I109" s="7" t="s">
        <v>37</v>
      </c>
      <c r="J109" s="8"/>
      <c r="K109" s="7"/>
      <c r="L109" s="7" t="s">
        <v>25</v>
      </c>
      <c r="M109" s="18" t="e">
        <f t="shared" si="87"/>
        <v>#REF!</v>
      </c>
      <c r="N109" s="7"/>
      <c r="O109" s="7"/>
      <c r="P109" s="7"/>
      <c r="Q109" s="7"/>
      <c r="R109" s="7"/>
      <c r="S109" s="7"/>
      <c r="T109" s="7"/>
    </row>
    <row r="110" spans="3:20" x14ac:dyDescent="0.25">
      <c r="C110" s="7"/>
      <c r="D110" s="7"/>
      <c r="E110" s="7" t="s">
        <v>19</v>
      </c>
      <c r="F110" s="7">
        <v>2010</v>
      </c>
      <c r="G110" s="8" t="s">
        <v>20</v>
      </c>
      <c r="H110" s="7" t="s">
        <v>36</v>
      </c>
      <c r="I110" s="7" t="s">
        <v>37</v>
      </c>
      <c r="J110" s="8"/>
      <c r="K110" s="7"/>
      <c r="L110" s="7" t="s">
        <v>26</v>
      </c>
      <c r="M110" s="18" t="e">
        <f>#REF!</f>
        <v>#REF!</v>
      </c>
      <c r="N110" s="7"/>
      <c r="O110" s="7"/>
      <c r="P110" s="7"/>
      <c r="Q110" s="7"/>
      <c r="R110" s="7"/>
      <c r="S110" s="7"/>
      <c r="T110" s="7"/>
    </row>
    <row r="111" spans="3:20" x14ac:dyDescent="0.25">
      <c r="C111" s="7"/>
      <c r="D111" s="7"/>
      <c r="E111" s="7" t="s">
        <v>19</v>
      </c>
      <c r="F111" s="7">
        <v>2015</v>
      </c>
      <c r="G111" s="8" t="s">
        <v>20</v>
      </c>
      <c r="H111" s="7" t="s">
        <v>36</v>
      </c>
      <c r="I111" s="7" t="s">
        <v>37</v>
      </c>
      <c r="J111" s="8"/>
      <c r="K111" s="7"/>
      <c r="L111" s="7" t="s">
        <v>26</v>
      </c>
      <c r="M111" s="18" t="e">
        <f>M110</f>
        <v>#REF!</v>
      </c>
      <c r="N111" s="7"/>
      <c r="O111" s="7"/>
      <c r="P111" s="7"/>
      <c r="Q111" s="7"/>
      <c r="R111" s="7"/>
      <c r="S111" s="7"/>
      <c r="T111" s="7"/>
    </row>
    <row r="112" spans="3:20" x14ac:dyDescent="0.25">
      <c r="C112" s="7"/>
      <c r="D112" s="7"/>
      <c r="E112" s="7" t="s">
        <v>19</v>
      </c>
      <c r="F112" s="7">
        <v>2020</v>
      </c>
      <c r="G112" s="8" t="s">
        <v>20</v>
      </c>
      <c r="H112" s="7" t="s">
        <v>36</v>
      </c>
      <c r="I112" s="7" t="s">
        <v>37</v>
      </c>
      <c r="J112" s="8"/>
      <c r="K112" s="7"/>
      <c r="L112" s="7" t="s">
        <v>26</v>
      </c>
      <c r="M112" s="18" t="e">
        <f t="shared" ref="M112:M113" si="88">M111</f>
        <v>#REF!</v>
      </c>
      <c r="N112" s="7"/>
      <c r="O112" s="7"/>
      <c r="P112" s="7"/>
      <c r="Q112" s="7"/>
      <c r="R112" s="7"/>
      <c r="S112" s="7"/>
      <c r="T112" s="7"/>
    </row>
    <row r="113" spans="3:20" x14ac:dyDescent="0.25">
      <c r="C113" s="7"/>
      <c r="D113" s="7"/>
      <c r="E113" s="7" t="s">
        <v>19</v>
      </c>
      <c r="F113" s="7">
        <v>2055</v>
      </c>
      <c r="G113" s="8" t="s">
        <v>20</v>
      </c>
      <c r="H113" s="7" t="s">
        <v>36</v>
      </c>
      <c r="I113" s="7" t="s">
        <v>37</v>
      </c>
      <c r="J113" s="8"/>
      <c r="K113" s="7"/>
      <c r="L113" s="7" t="s">
        <v>26</v>
      </c>
      <c r="M113" s="18" t="e">
        <f t="shared" si="88"/>
        <v>#REF!</v>
      </c>
      <c r="N113" s="7"/>
      <c r="O113" s="7"/>
      <c r="P113" s="7"/>
      <c r="Q113" s="7"/>
      <c r="R113" s="7"/>
      <c r="S113" s="7"/>
      <c r="T113" s="7"/>
    </row>
    <row r="114" spans="3:20" x14ac:dyDescent="0.25">
      <c r="C114" s="7"/>
      <c r="D114" s="7"/>
      <c r="E114" s="7" t="s">
        <v>19</v>
      </c>
      <c r="F114" s="7">
        <v>2010</v>
      </c>
      <c r="G114" s="8" t="s">
        <v>20</v>
      </c>
      <c r="H114" s="7" t="s">
        <v>36</v>
      </c>
      <c r="I114" s="7" t="s">
        <v>37</v>
      </c>
      <c r="J114" s="8"/>
      <c r="K114" s="7"/>
      <c r="L114" s="7" t="s">
        <v>27</v>
      </c>
      <c r="M114" s="18" t="e">
        <f>#REF!</f>
        <v>#REF!</v>
      </c>
      <c r="N114" s="7"/>
      <c r="O114" s="7"/>
      <c r="P114" s="7"/>
      <c r="Q114" s="7"/>
      <c r="R114" s="7"/>
      <c r="S114" s="7"/>
      <c r="T114" s="7"/>
    </row>
    <row r="115" spans="3:20" x14ac:dyDescent="0.25">
      <c r="C115" s="7"/>
      <c r="D115" s="7"/>
      <c r="E115" s="7" t="s">
        <v>19</v>
      </c>
      <c r="F115" s="7">
        <v>2015</v>
      </c>
      <c r="G115" s="8" t="s">
        <v>20</v>
      </c>
      <c r="H115" s="7" t="s">
        <v>36</v>
      </c>
      <c r="I115" s="7" t="s">
        <v>37</v>
      </c>
      <c r="J115" s="8"/>
      <c r="K115" s="7"/>
      <c r="L115" s="7" t="s">
        <v>27</v>
      </c>
      <c r="M115" s="18" t="e">
        <f>M114</f>
        <v>#REF!</v>
      </c>
      <c r="N115" s="7"/>
      <c r="O115" s="7"/>
      <c r="P115" s="7"/>
      <c r="Q115" s="7"/>
      <c r="R115" s="7"/>
      <c r="S115" s="7"/>
      <c r="T115" s="7"/>
    </row>
    <row r="116" spans="3:20" x14ac:dyDescent="0.25">
      <c r="C116" s="7"/>
      <c r="D116" s="7"/>
      <c r="E116" s="7" t="s">
        <v>19</v>
      </c>
      <c r="F116" s="7">
        <v>2020</v>
      </c>
      <c r="G116" s="8" t="s">
        <v>20</v>
      </c>
      <c r="H116" s="7" t="s">
        <v>36</v>
      </c>
      <c r="I116" s="7" t="s">
        <v>37</v>
      </c>
      <c r="J116" s="8"/>
      <c r="K116" s="7"/>
      <c r="L116" s="7" t="s">
        <v>27</v>
      </c>
      <c r="M116" s="18" t="e">
        <f t="shared" ref="M116:M117" si="89">M115</f>
        <v>#REF!</v>
      </c>
      <c r="N116" s="7"/>
      <c r="O116" s="7"/>
      <c r="P116" s="7"/>
      <c r="Q116" s="7"/>
      <c r="R116" s="7"/>
      <c r="S116" s="7"/>
      <c r="T116" s="7"/>
    </row>
    <row r="117" spans="3:20" x14ac:dyDescent="0.25">
      <c r="C117" s="7"/>
      <c r="D117" s="7"/>
      <c r="E117" s="7" t="s">
        <v>19</v>
      </c>
      <c r="F117" s="7">
        <v>2055</v>
      </c>
      <c r="G117" s="8" t="s">
        <v>20</v>
      </c>
      <c r="H117" s="7" t="s">
        <v>36</v>
      </c>
      <c r="I117" s="7" t="s">
        <v>37</v>
      </c>
      <c r="J117" s="8"/>
      <c r="K117" s="7"/>
      <c r="L117" s="7" t="s">
        <v>27</v>
      </c>
      <c r="M117" s="18" t="e">
        <f t="shared" si="89"/>
        <v>#REF!</v>
      </c>
      <c r="N117" s="7"/>
      <c r="O117" s="7"/>
      <c r="P117" s="7"/>
      <c r="Q117" s="7"/>
      <c r="R117" s="7"/>
      <c r="S117" s="7"/>
      <c r="T117" s="7"/>
    </row>
    <row r="118" spans="3:20" x14ac:dyDescent="0.25">
      <c r="C118" s="7"/>
      <c r="D118" s="7"/>
      <c r="E118" s="7" t="s">
        <v>19</v>
      </c>
      <c r="F118" s="7">
        <v>2010</v>
      </c>
      <c r="G118" s="8" t="s">
        <v>20</v>
      </c>
      <c r="H118" s="7" t="s">
        <v>36</v>
      </c>
      <c r="I118" s="7" t="s">
        <v>37</v>
      </c>
      <c r="J118" s="8"/>
      <c r="K118" s="7"/>
      <c r="L118" s="7" t="s">
        <v>28</v>
      </c>
      <c r="M118" s="18" t="e">
        <f>#REF!</f>
        <v>#REF!</v>
      </c>
      <c r="N118" s="7"/>
      <c r="O118" s="7"/>
      <c r="P118" s="7"/>
      <c r="Q118" s="7"/>
      <c r="R118" s="7"/>
      <c r="S118" s="7"/>
      <c r="T118" s="7"/>
    </row>
    <row r="119" spans="3:20" x14ac:dyDescent="0.25">
      <c r="C119" s="7"/>
      <c r="D119" s="7"/>
      <c r="E119" s="7" t="s">
        <v>19</v>
      </c>
      <c r="F119" s="7">
        <v>2015</v>
      </c>
      <c r="G119" s="8" t="s">
        <v>20</v>
      </c>
      <c r="H119" s="7" t="s">
        <v>36</v>
      </c>
      <c r="I119" s="7" t="s">
        <v>37</v>
      </c>
      <c r="J119" s="8"/>
      <c r="K119" s="7"/>
      <c r="L119" s="7" t="s">
        <v>28</v>
      </c>
      <c r="M119" s="18" t="e">
        <f>M118</f>
        <v>#REF!</v>
      </c>
      <c r="N119" s="7"/>
      <c r="O119" s="7"/>
      <c r="P119" s="7"/>
      <c r="Q119" s="7"/>
      <c r="R119" s="7"/>
      <c r="S119" s="7"/>
      <c r="T119" s="7"/>
    </row>
    <row r="120" spans="3:20" x14ac:dyDescent="0.25">
      <c r="C120" s="7"/>
      <c r="D120" s="7"/>
      <c r="E120" s="7" t="s">
        <v>19</v>
      </c>
      <c r="F120" s="7">
        <v>2020</v>
      </c>
      <c r="G120" s="8" t="s">
        <v>20</v>
      </c>
      <c r="H120" s="7" t="s">
        <v>36</v>
      </c>
      <c r="I120" s="7" t="s">
        <v>37</v>
      </c>
      <c r="J120" s="8"/>
      <c r="K120" s="7"/>
      <c r="L120" s="7" t="s">
        <v>28</v>
      </c>
      <c r="M120" s="18" t="e">
        <f t="shared" ref="M120:M121" si="90">M119</f>
        <v>#REF!</v>
      </c>
      <c r="N120" s="7"/>
      <c r="O120" s="7"/>
      <c r="P120" s="7"/>
      <c r="Q120" s="7"/>
      <c r="R120" s="7"/>
      <c r="S120" s="7"/>
      <c r="T120" s="7"/>
    </row>
    <row r="121" spans="3:20" x14ac:dyDescent="0.25">
      <c r="C121" s="7"/>
      <c r="D121" s="7"/>
      <c r="E121" s="7" t="s">
        <v>19</v>
      </c>
      <c r="F121" s="7">
        <v>2055</v>
      </c>
      <c r="G121" s="8" t="s">
        <v>20</v>
      </c>
      <c r="H121" s="7" t="s">
        <v>36</v>
      </c>
      <c r="I121" s="7" t="s">
        <v>37</v>
      </c>
      <c r="J121" s="8"/>
      <c r="K121" s="7"/>
      <c r="L121" s="7" t="s">
        <v>28</v>
      </c>
      <c r="M121" s="18" t="e">
        <f t="shared" si="90"/>
        <v>#REF!</v>
      </c>
      <c r="N121" s="7"/>
      <c r="O121" s="7"/>
      <c r="P121" s="7"/>
      <c r="Q121" s="7"/>
      <c r="R121" s="7"/>
      <c r="S121" s="7"/>
      <c r="T121" s="7"/>
    </row>
    <row r="122" spans="3:20" x14ac:dyDescent="0.25">
      <c r="C122" s="7"/>
      <c r="D122" s="7"/>
      <c r="E122" s="7" t="s">
        <v>19</v>
      </c>
      <c r="F122" s="7">
        <v>2010</v>
      </c>
      <c r="G122" s="8" t="s">
        <v>20</v>
      </c>
      <c r="H122" s="7" t="s">
        <v>36</v>
      </c>
      <c r="I122" s="7" t="s">
        <v>37</v>
      </c>
      <c r="J122" s="8"/>
      <c r="K122" s="7"/>
      <c r="L122" s="7" t="s">
        <v>29</v>
      </c>
      <c r="M122" s="18" t="e">
        <f>#REF!</f>
        <v>#REF!</v>
      </c>
      <c r="N122" s="7"/>
      <c r="O122" s="7"/>
      <c r="P122" s="7"/>
      <c r="Q122" s="7"/>
      <c r="R122" s="7"/>
      <c r="S122" s="7"/>
      <c r="T122" s="7"/>
    </row>
    <row r="123" spans="3:20" x14ac:dyDescent="0.25">
      <c r="C123" s="7"/>
      <c r="D123" s="7"/>
      <c r="E123" s="7" t="s">
        <v>19</v>
      </c>
      <c r="F123" s="7">
        <v>2015</v>
      </c>
      <c r="G123" s="8" t="s">
        <v>20</v>
      </c>
      <c r="H123" s="7" t="s">
        <v>36</v>
      </c>
      <c r="I123" s="7" t="s">
        <v>37</v>
      </c>
      <c r="J123" s="8"/>
      <c r="K123" s="7"/>
      <c r="L123" s="7" t="s">
        <v>29</v>
      </c>
      <c r="M123" s="18" t="e">
        <f>M122</f>
        <v>#REF!</v>
      </c>
      <c r="N123" s="7"/>
      <c r="O123" s="7"/>
      <c r="P123" s="7"/>
      <c r="Q123" s="7"/>
      <c r="R123" s="7"/>
      <c r="S123" s="7"/>
      <c r="T123" s="7"/>
    </row>
    <row r="124" spans="3:20" x14ac:dyDescent="0.25">
      <c r="C124" s="7"/>
      <c r="D124" s="7"/>
      <c r="E124" s="7" t="s">
        <v>19</v>
      </c>
      <c r="F124" s="7">
        <v>2020</v>
      </c>
      <c r="G124" s="8" t="s">
        <v>20</v>
      </c>
      <c r="H124" s="7" t="s">
        <v>36</v>
      </c>
      <c r="I124" s="7" t="s">
        <v>37</v>
      </c>
      <c r="J124" s="8"/>
      <c r="K124" s="7"/>
      <c r="L124" s="7" t="s">
        <v>29</v>
      </c>
      <c r="M124" s="18" t="e">
        <f t="shared" ref="M124:M125" si="91">M123</f>
        <v>#REF!</v>
      </c>
      <c r="N124" s="7"/>
      <c r="O124" s="7"/>
      <c r="P124" s="7"/>
      <c r="Q124" s="7"/>
      <c r="R124" s="7"/>
      <c r="S124" s="7"/>
      <c r="T124" s="7"/>
    </row>
    <row r="125" spans="3:20" x14ac:dyDescent="0.25">
      <c r="C125" s="7"/>
      <c r="D125" s="7"/>
      <c r="E125" s="7" t="s">
        <v>19</v>
      </c>
      <c r="F125" s="7">
        <v>2055</v>
      </c>
      <c r="G125" s="8" t="s">
        <v>20</v>
      </c>
      <c r="H125" s="7" t="s">
        <v>36</v>
      </c>
      <c r="I125" s="7" t="s">
        <v>37</v>
      </c>
      <c r="J125" s="8"/>
      <c r="K125" s="7"/>
      <c r="L125" s="7" t="s">
        <v>29</v>
      </c>
      <c r="M125" s="18" t="e">
        <f t="shared" si="91"/>
        <v>#REF!</v>
      </c>
      <c r="N125" s="7"/>
      <c r="O125" s="7"/>
      <c r="P125" s="7"/>
      <c r="Q125" s="7"/>
      <c r="R125" s="7"/>
      <c r="S125" s="7"/>
      <c r="T125" s="7"/>
    </row>
    <row r="126" spans="3:20" x14ac:dyDescent="0.25">
      <c r="C126" s="7"/>
      <c r="D126" s="7"/>
      <c r="E126" s="7" t="s">
        <v>19</v>
      </c>
      <c r="F126" s="7">
        <v>2010</v>
      </c>
      <c r="G126" s="8" t="s">
        <v>20</v>
      </c>
      <c r="H126" s="7" t="s">
        <v>36</v>
      </c>
      <c r="I126" s="7" t="s">
        <v>37</v>
      </c>
      <c r="J126" s="8"/>
      <c r="K126" s="7"/>
      <c r="L126" s="7" t="s">
        <v>30</v>
      </c>
      <c r="M126" s="18" t="e">
        <f>#REF!</f>
        <v>#REF!</v>
      </c>
      <c r="N126" s="7"/>
      <c r="O126" s="7"/>
      <c r="P126" s="7"/>
      <c r="Q126" s="7"/>
      <c r="R126" s="7"/>
      <c r="S126" s="7"/>
      <c r="T126" s="7"/>
    </row>
    <row r="127" spans="3:20" x14ac:dyDescent="0.25">
      <c r="C127" s="7"/>
      <c r="D127" s="7"/>
      <c r="E127" s="7" t="s">
        <v>19</v>
      </c>
      <c r="F127" s="7">
        <v>2015</v>
      </c>
      <c r="G127" s="8" t="s">
        <v>20</v>
      </c>
      <c r="H127" s="7" t="s">
        <v>36</v>
      </c>
      <c r="I127" s="7" t="s">
        <v>37</v>
      </c>
      <c r="J127" s="8"/>
      <c r="K127" s="7"/>
      <c r="L127" s="7" t="s">
        <v>30</v>
      </c>
      <c r="M127" s="18" t="e">
        <f>M126</f>
        <v>#REF!</v>
      </c>
      <c r="N127" s="7"/>
      <c r="O127" s="7"/>
      <c r="P127" s="7"/>
      <c r="Q127" s="7"/>
      <c r="R127" s="7"/>
      <c r="S127" s="7"/>
      <c r="T127" s="7"/>
    </row>
    <row r="128" spans="3:20" x14ac:dyDescent="0.25">
      <c r="C128" s="7"/>
      <c r="D128" s="7"/>
      <c r="E128" s="7" t="s">
        <v>19</v>
      </c>
      <c r="F128" s="7">
        <v>2020</v>
      </c>
      <c r="G128" s="8" t="s">
        <v>20</v>
      </c>
      <c r="H128" s="7" t="s">
        <v>36</v>
      </c>
      <c r="I128" s="7" t="s">
        <v>37</v>
      </c>
      <c r="J128" s="8"/>
      <c r="K128" s="7"/>
      <c r="L128" s="7" t="s">
        <v>30</v>
      </c>
      <c r="M128" s="18" t="e">
        <f t="shared" ref="M128:M129" si="92">M127</f>
        <v>#REF!</v>
      </c>
      <c r="N128" s="7"/>
      <c r="O128" s="7"/>
      <c r="P128" s="7"/>
      <c r="Q128" s="7"/>
      <c r="R128" s="7"/>
      <c r="S128" s="7"/>
      <c r="T128" s="7"/>
    </row>
    <row r="129" spans="3:20" x14ac:dyDescent="0.25">
      <c r="C129" s="7"/>
      <c r="D129" s="7"/>
      <c r="E129" s="7" t="s">
        <v>19</v>
      </c>
      <c r="F129" s="7">
        <v>2055</v>
      </c>
      <c r="G129" s="8" t="s">
        <v>20</v>
      </c>
      <c r="H129" s="7" t="s">
        <v>36</v>
      </c>
      <c r="I129" s="7" t="s">
        <v>37</v>
      </c>
      <c r="J129" s="8"/>
      <c r="K129" s="7"/>
      <c r="L129" s="7" t="s">
        <v>30</v>
      </c>
      <c r="M129" s="18" t="e">
        <f t="shared" si="92"/>
        <v>#REF!</v>
      </c>
      <c r="N129" s="7"/>
      <c r="O129" s="7"/>
      <c r="P129" s="7"/>
      <c r="Q129" s="7"/>
      <c r="R129" s="7"/>
      <c r="S129" s="7"/>
      <c r="T129" s="7"/>
    </row>
    <row r="130" spans="3:20" x14ac:dyDescent="0.25">
      <c r="C130" s="7"/>
      <c r="D130" s="7"/>
      <c r="E130" s="7" t="s">
        <v>19</v>
      </c>
      <c r="F130" s="7">
        <v>2010</v>
      </c>
      <c r="G130" s="8" t="s">
        <v>20</v>
      </c>
      <c r="H130" s="7" t="s">
        <v>36</v>
      </c>
      <c r="I130" s="7" t="s">
        <v>37</v>
      </c>
      <c r="J130" s="8"/>
      <c r="K130" s="7"/>
      <c r="L130" s="7" t="s">
        <v>31</v>
      </c>
      <c r="M130" s="7"/>
      <c r="N130" s="7"/>
      <c r="O130" s="7"/>
      <c r="P130" s="7"/>
      <c r="Q130" s="7"/>
      <c r="R130" s="7"/>
      <c r="S130" s="7"/>
      <c r="T130" s="7"/>
    </row>
    <row r="131" spans="3:20" x14ac:dyDescent="0.25">
      <c r="C131" s="7"/>
      <c r="D131" s="7"/>
      <c r="E131" s="7" t="s">
        <v>19</v>
      </c>
      <c r="F131" s="7">
        <v>2015</v>
      </c>
      <c r="G131" s="8" t="s">
        <v>20</v>
      </c>
      <c r="H131" s="7" t="s">
        <v>36</v>
      </c>
      <c r="I131" s="7" t="s">
        <v>37</v>
      </c>
      <c r="J131" s="8"/>
      <c r="K131" s="7"/>
      <c r="L131" s="7" t="s">
        <v>31</v>
      </c>
      <c r="M131" s="7"/>
      <c r="N131" s="7"/>
      <c r="O131" s="7"/>
      <c r="P131" s="7"/>
      <c r="Q131" s="7"/>
      <c r="R131" s="7"/>
      <c r="S131" s="7"/>
      <c r="T131" s="7"/>
    </row>
    <row r="132" spans="3:20" x14ac:dyDescent="0.25">
      <c r="C132" s="7"/>
      <c r="D132" s="7"/>
      <c r="E132" s="7" t="s">
        <v>19</v>
      </c>
      <c r="F132" s="7">
        <v>2020</v>
      </c>
      <c r="G132" s="8" t="s">
        <v>20</v>
      </c>
      <c r="H132" s="7" t="s">
        <v>36</v>
      </c>
      <c r="I132" s="7" t="s">
        <v>37</v>
      </c>
      <c r="J132" s="8"/>
      <c r="K132" s="7"/>
      <c r="L132" s="7" t="s">
        <v>31</v>
      </c>
      <c r="M132" s="7"/>
      <c r="N132" s="7"/>
      <c r="O132" s="7"/>
      <c r="P132" s="7"/>
      <c r="Q132" s="7"/>
      <c r="R132" s="7"/>
      <c r="S132" s="7"/>
      <c r="T132" s="7"/>
    </row>
    <row r="133" spans="3:20" x14ac:dyDescent="0.25">
      <c r="C133" s="7"/>
      <c r="D133" s="7"/>
      <c r="E133" s="7" t="s">
        <v>19</v>
      </c>
      <c r="F133" s="7">
        <v>2055</v>
      </c>
      <c r="G133" s="8" t="s">
        <v>20</v>
      </c>
      <c r="H133" s="7" t="s">
        <v>36</v>
      </c>
      <c r="I133" s="7" t="s">
        <v>37</v>
      </c>
      <c r="J133" s="8"/>
      <c r="K133" s="7"/>
      <c r="L133" s="7" t="s">
        <v>31</v>
      </c>
      <c r="M133" s="7"/>
      <c r="N133" s="7"/>
      <c r="O133" s="7"/>
      <c r="P133" s="7"/>
      <c r="Q133" s="7"/>
      <c r="R133" s="7"/>
      <c r="S133" s="7"/>
      <c r="T133" s="7"/>
    </row>
    <row r="134" spans="3:20" x14ac:dyDescent="0.25">
      <c r="C134" s="7"/>
      <c r="D134" s="7"/>
      <c r="E134" s="7" t="s">
        <v>19</v>
      </c>
      <c r="F134" s="7">
        <v>2010</v>
      </c>
      <c r="G134" s="8" t="s">
        <v>20</v>
      </c>
      <c r="H134" s="7" t="s">
        <v>36</v>
      </c>
      <c r="I134" s="7" t="s">
        <v>37</v>
      </c>
      <c r="J134" s="8"/>
      <c r="K134" s="7"/>
      <c r="L134" s="7" t="s">
        <v>32</v>
      </c>
      <c r="M134" s="7"/>
      <c r="N134" s="7"/>
      <c r="O134" s="7"/>
      <c r="P134" s="7"/>
      <c r="Q134" s="7"/>
      <c r="R134" s="7"/>
      <c r="S134" s="7"/>
      <c r="T134" s="7"/>
    </row>
    <row r="135" spans="3:20" x14ac:dyDescent="0.25">
      <c r="C135" s="7"/>
      <c r="D135" s="7"/>
      <c r="E135" s="7" t="s">
        <v>19</v>
      </c>
      <c r="F135" s="7">
        <v>2015</v>
      </c>
      <c r="G135" s="8" t="s">
        <v>20</v>
      </c>
      <c r="H135" s="7" t="s">
        <v>36</v>
      </c>
      <c r="I135" s="7" t="s">
        <v>37</v>
      </c>
      <c r="J135" s="8"/>
      <c r="K135" s="7"/>
      <c r="L135" s="7" t="s">
        <v>32</v>
      </c>
      <c r="M135" s="7"/>
      <c r="N135" s="7"/>
      <c r="O135" s="7"/>
      <c r="P135" s="7"/>
      <c r="Q135" s="7"/>
      <c r="R135" s="7"/>
      <c r="S135" s="7"/>
      <c r="T135" s="7"/>
    </row>
    <row r="136" spans="3:20" x14ac:dyDescent="0.25">
      <c r="C136" s="7"/>
      <c r="D136" s="7"/>
      <c r="E136" s="7" t="s">
        <v>19</v>
      </c>
      <c r="F136" s="7">
        <v>2020</v>
      </c>
      <c r="G136" s="8" t="s">
        <v>20</v>
      </c>
      <c r="H136" s="7" t="s">
        <v>36</v>
      </c>
      <c r="I136" s="7" t="s">
        <v>37</v>
      </c>
      <c r="J136" s="8"/>
      <c r="K136" s="7"/>
      <c r="L136" s="7" t="s">
        <v>32</v>
      </c>
      <c r="M136" s="7"/>
      <c r="N136" s="7"/>
      <c r="O136" s="7"/>
      <c r="P136" s="7"/>
      <c r="Q136" s="7"/>
      <c r="R136" s="7"/>
      <c r="S136" s="7"/>
      <c r="T136" s="7"/>
    </row>
    <row r="137" spans="3:20" x14ac:dyDescent="0.25">
      <c r="C137" s="7"/>
      <c r="D137" s="7"/>
      <c r="E137" s="7" t="s">
        <v>19</v>
      </c>
      <c r="F137" s="7">
        <v>2055</v>
      </c>
      <c r="G137" s="8" t="s">
        <v>20</v>
      </c>
      <c r="H137" s="7" t="s">
        <v>36</v>
      </c>
      <c r="I137" s="7" t="s">
        <v>37</v>
      </c>
      <c r="J137" s="8"/>
      <c r="K137" s="7"/>
      <c r="L137" s="7" t="s">
        <v>32</v>
      </c>
      <c r="M137" s="7"/>
      <c r="N137" s="7"/>
      <c r="O137" s="7"/>
      <c r="P137" s="7"/>
      <c r="Q137" s="7"/>
      <c r="R137" s="7"/>
      <c r="S137" s="7"/>
      <c r="T137" s="7"/>
    </row>
    <row r="138" spans="3:20" x14ac:dyDescent="0.25">
      <c r="C138" s="15" t="s">
        <v>33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3:20" x14ac:dyDescent="0.25">
      <c r="C139" s="7"/>
      <c r="D139" s="7"/>
      <c r="E139" s="7" t="s">
        <v>19</v>
      </c>
      <c r="F139" s="7">
        <v>2010</v>
      </c>
      <c r="G139" s="8" t="s">
        <v>20</v>
      </c>
      <c r="H139" s="7" t="s">
        <v>38</v>
      </c>
      <c r="I139" s="7" t="s">
        <v>37</v>
      </c>
      <c r="J139" s="8"/>
      <c r="K139" s="7"/>
      <c r="L139" s="7" t="s">
        <v>22</v>
      </c>
      <c r="M139" s="18" t="e">
        <f>#REF!/1000</f>
        <v>#REF!</v>
      </c>
      <c r="N139" s="7"/>
      <c r="O139" s="7"/>
      <c r="P139" s="7"/>
      <c r="Q139" s="7"/>
      <c r="R139" s="7"/>
      <c r="S139" s="7"/>
      <c r="T139" s="7"/>
    </row>
    <row r="140" spans="3:20" x14ac:dyDescent="0.25">
      <c r="C140" s="7"/>
      <c r="D140" s="7"/>
      <c r="E140" s="7" t="s">
        <v>19</v>
      </c>
      <c r="F140" s="7">
        <v>2015</v>
      </c>
      <c r="G140" s="8" t="s">
        <v>20</v>
      </c>
      <c r="H140" s="7" t="s">
        <v>38</v>
      </c>
      <c r="I140" s="7" t="s">
        <v>37</v>
      </c>
      <c r="J140" s="8"/>
      <c r="K140" s="7"/>
      <c r="L140" s="7" t="s">
        <v>22</v>
      </c>
      <c r="M140" s="18" t="e">
        <f>M139</f>
        <v>#REF!</v>
      </c>
      <c r="N140" s="7"/>
      <c r="O140" s="7"/>
      <c r="P140" s="7"/>
      <c r="Q140" s="7"/>
      <c r="R140" s="7"/>
      <c r="S140" s="7"/>
      <c r="T140" s="7"/>
    </row>
    <row r="141" spans="3:20" x14ac:dyDescent="0.25">
      <c r="C141" s="7"/>
      <c r="D141" s="7"/>
      <c r="E141" s="7" t="s">
        <v>19</v>
      </c>
      <c r="F141" s="7">
        <v>2020</v>
      </c>
      <c r="G141" s="8" t="s">
        <v>20</v>
      </c>
      <c r="H141" s="7" t="s">
        <v>38</v>
      </c>
      <c r="I141" s="7" t="s">
        <v>37</v>
      </c>
      <c r="J141" s="8"/>
      <c r="K141" s="7"/>
      <c r="L141" s="7" t="s">
        <v>22</v>
      </c>
      <c r="M141" s="18" t="e">
        <f t="shared" ref="M141:M142" si="93">M140</f>
        <v>#REF!</v>
      </c>
      <c r="N141" s="7"/>
      <c r="O141" s="7"/>
      <c r="P141" s="7"/>
      <c r="Q141" s="7"/>
      <c r="R141" s="7"/>
      <c r="S141" s="7"/>
      <c r="T141" s="7"/>
    </row>
    <row r="142" spans="3:20" x14ac:dyDescent="0.25">
      <c r="C142" s="7"/>
      <c r="D142" s="7"/>
      <c r="E142" s="7" t="s">
        <v>19</v>
      </c>
      <c r="F142" s="7">
        <v>2055</v>
      </c>
      <c r="G142" s="8" t="s">
        <v>20</v>
      </c>
      <c r="H142" s="7" t="s">
        <v>38</v>
      </c>
      <c r="I142" s="7" t="s">
        <v>37</v>
      </c>
      <c r="J142" s="8"/>
      <c r="K142" s="7"/>
      <c r="L142" s="7" t="s">
        <v>22</v>
      </c>
      <c r="M142" s="18" t="e">
        <f t="shared" si="93"/>
        <v>#REF!</v>
      </c>
      <c r="N142" s="7"/>
      <c r="O142" s="7"/>
      <c r="P142" s="7"/>
      <c r="Q142" s="7"/>
      <c r="R142" s="7"/>
      <c r="S142" s="7"/>
      <c r="T142" s="7"/>
    </row>
    <row r="143" spans="3:20" x14ac:dyDescent="0.25">
      <c r="C143" s="7"/>
      <c r="D143" s="7"/>
      <c r="E143" s="7" t="s">
        <v>19</v>
      </c>
      <c r="F143" s="7">
        <v>2010</v>
      </c>
      <c r="G143" s="8" t="s">
        <v>20</v>
      </c>
      <c r="H143" s="7" t="s">
        <v>38</v>
      </c>
      <c r="I143" s="7" t="s">
        <v>37</v>
      </c>
      <c r="J143" s="8"/>
      <c r="K143" s="7"/>
      <c r="L143" s="7" t="s">
        <v>23</v>
      </c>
      <c r="M143" s="18" t="e">
        <f>#REF!</f>
        <v>#REF!</v>
      </c>
      <c r="N143" s="7"/>
      <c r="O143" s="7"/>
      <c r="P143" s="7"/>
      <c r="Q143" s="7"/>
      <c r="R143" s="7"/>
      <c r="S143" s="7"/>
      <c r="T143" s="7"/>
    </row>
    <row r="144" spans="3:20" x14ac:dyDescent="0.25">
      <c r="C144" s="7"/>
      <c r="D144" s="7"/>
      <c r="E144" s="7" t="s">
        <v>19</v>
      </c>
      <c r="F144" s="7">
        <v>2015</v>
      </c>
      <c r="G144" s="8" t="s">
        <v>20</v>
      </c>
      <c r="H144" s="7" t="s">
        <v>38</v>
      </c>
      <c r="I144" s="7" t="s">
        <v>37</v>
      </c>
      <c r="J144" s="8"/>
      <c r="K144" s="7"/>
      <c r="L144" s="7" t="s">
        <v>23</v>
      </c>
      <c r="M144" s="18" t="e">
        <f>M143</f>
        <v>#REF!</v>
      </c>
      <c r="N144" s="7"/>
      <c r="O144" s="7"/>
      <c r="P144" s="7"/>
      <c r="Q144" s="7"/>
      <c r="R144" s="7"/>
      <c r="S144" s="7"/>
      <c r="T144" s="7"/>
    </row>
    <row r="145" spans="3:20" x14ac:dyDescent="0.25">
      <c r="C145" s="7"/>
      <c r="D145" s="7"/>
      <c r="E145" s="7" t="s">
        <v>19</v>
      </c>
      <c r="F145" s="7">
        <v>2020</v>
      </c>
      <c r="G145" s="8" t="s">
        <v>20</v>
      </c>
      <c r="H145" s="7" t="s">
        <v>38</v>
      </c>
      <c r="I145" s="7" t="s">
        <v>37</v>
      </c>
      <c r="J145" s="8"/>
      <c r="K145" s="7"/>
      <c r="L145" s="7" t="s">
        <v>23</v>
      </c>
      <c r="M145" s="18" t="e">
        <f t="shared" ref="M145:M146" si="94">M144</f>
        <v>#REF!</v>
      </c>
      <c r="N145" s="7"/>
      <c r="O145" s="7"/>
      <c r="P145" s="7"/>
      <c r="Q145" s="7"/>
      <c r="R145" s="7"/>
      <c r="S145" s="7"/>
      <c r="T145" s="7"/>
    </row>
    <row r="146" spans="3:20" x14ac:dyDescent="0.25">
      <c r="C146" s="7"/>
      <c r="D146" s="7"/>
      <c r="E146" s="7" t="s">
        <v>19</v>
      </c>
      <c r="F146" s="7">
        <v>2055</v>
      </c>
      <c r="G146" s="8" t="s">
        <v>20</v>
      </c>
      <c r="H146" s="7" t="s">
        <v>38</v>
      </c>
      <c r="I146" s="7" t="s">
        <v>37</v>
      </c>
      <c r="J146" s="8"/>
      <c r="K146" s="7"/>
      <c r="L146" s="7" t="s">
        <v>23</v>
      </c>
      <c r="M146" s="18" t="e">
        <f t="shared" si="94"/>
        <v>#REF!</v>
      </c>
      <c r="N146" s="7"/>
      <c r="O146" s="7"/>
      <c r="P146" s="7"/>
      <c r="Q146" s="7"/>
      <c r="R146" s="7"/>
      <c r="S146" s="7"/>
      <c r="T146" s="7"/>
    </row>
    <row r="147" spans="3:20" x14ac:dyDescent="0.25">
      <c r="C147" s="7"/>
      <c r="D147" s="7"/>
      <c r="E147" s="7" t="s">
        <v>19</v>
      </c>
      <c r="F147" s="7">
        <v>2010</v>
      </c>
      <c r="G147" s="8" t="s">
        <v>20</v>
      </c>
      <c r="H147" s="7" t="s">
        <v>38</v>
      </c>
      <c r="I147" s="7" t="s">
        <v>37</v>
      </c>
      <c r="J147" s="8"/>
      <c r="K147" s="7"/>
      <c r="L147" s="7" t="s">
        <v>24</v>
      </c>
      <c r="M147" s="18" t="e">
        <f>#REF!</f>
        <v>#REF!</v>
      </c>
      <c r="N147" s="7"/>
      <c r="O147" s="7"/>
      <c r="P147" s="7"/>
      <c r="Q147" s="7"/>
      <c r="R147" s="7"/>
      <c r="S147" s="7"/>
      <c r="T147" s="7"/>
    </row>
    <row r="148" spans="3:20" x14ac:dyDescent="0.25">
      <c r="C148" s="7"/>
      <c r="D148" s="7"/>
      <c r="E148" s="7" t="s">
        <v>19</v>
      </c>
      <c r="F148" s="7">
        <v>2015</v>
      </c>
      <c r="G148" s="8" t="s">
        <v>20</v>
      </c>
      <c r="H148" s="7" t="s">
        <v>38</v>
      </c>
      <c r="I148" s="7" t="s">
        <v>37</v>
      </c>
      <c r="J148" s="8"/>
      <c r="K148" s="7"/>
      <c r="L148" s="7" t="s">
        <v>24</v>
      </c>
      <c r="M148" s="18" t="e">
        <f>M147</f>
        <v>#REF!</v>
      </c>
      <c r="N148" s="7"/>
      <c r="O148" s="7"/>
      <c r="P148" s="7"/>
      <c r="Q148" s="7"/>
      <c r="R148" s="7"/>
      <c r="S148" s="7"/>
      <c r="T148" s="7"/>
    </row>
    <row r="149" spans="3:20" x14ac:dyDescent="0.25">
      <c r="C149" s="7"/>
      <c r="D149" s="7"/>
      <c r="E149" s="7" t="s">
        <v>19</v>
      </c>
      <c r="F149" s="7">
        <v>2020</v>
      </c>
      <c r="G149" s="8" t="s">
        <v>20</v>
      </c>
      <c r="H149" s="7" t="s">
        <v>38</v>
      </c>
      <c r="I149" s="7" t="s">
        <v>37</v>
      </c>
      <c r="J149" s="8"/>
      <c r="K149" s="7"/>
      <c r="L149" s="7" t="s">
        <v>24</v>
      </c>
      <c r="M149" s="18" t="e">
        <f t="shared" ref="M149:M150" si="95">M148</f>
        <v>#REF!</v>
      </c>
      <c r="N149" s="7"/>
      <c r="O149" s="7"/>
      <c r="P149" s="7"/>
      <c r="Q149" s="7"/>
      <c r="R149" s="7"/>
      <c r="S149" s="7"/>
      <c r="T149" s="7"/>
    </row>
    <row r="150" spans="3:20" x14ac:dyDescent="0.25">
      <c r="C150" s="7"/>
      <c r="D150" s="7"/>
      <c r="E150" s="7" t="s">
        <v>19</v>
      </c>
      <c r="F150" s="7">
        <v>2055</v>
      </c>
      <c r="G150" s="8" t="s">
        <v>20</v>
      </c>
      <c r="H150" s="7" t="s">
        <v>38</v>
      </c>
      <c r="I150" s="7" t="s">
        <v>37</v>
      </c>
      <c r="J150" s="8"/>
      <c r="K150" s="7"/>
      <c r="L150" s="7" t="s">
        <v>24</v>
      </c>
      <c r="M150" s="18" t="e">
        <f t="shared" si="95"/>
        <v>#REF!</v>
      </c>
      <c r="N150" s="7"/>
      <c r="O150" s="7"/>
      <c r="P150" s="7"/>
      <c r="Q150" s="7"/>
      <c r="R150" s="7"/>
      <c r="S150" s="7"/>
      <c r="T150" s="7"/>
    </row>
    <row r="151" spans="3:20" x14ac:dyDescent="0.25">
      <c r="C151" s="7"/>
      <c r="D151" s="7"/>
      <c r="E151" s="7" t="s">
        <v>19</v>
      </c>
      <c r="F151" s="7">
        <v>2010</v>
      </c>
      <c r="G151" s="8" t="s">
        <v>20</v>
      </c>
      <c r="H151" s="7" t="s">
        <v>38</v>
      </c>
      <c r="I151" s="7" t="s">
        <v>37</v>
      </c>
      <c r="J151" s="8"/>
      <c r="K151" s="7"/>
      <c r="L151" s="7" t="s">
        <v>25</v>
      </c>
      <c r="M151" s="18" t="e">
        <f>#REF!</f>
        <v>#REF!</v>
      </c>
      <c r="N151" s="7"/>
      <c r="O151" s="7"/>
      <c r="P151" s="7"/>
      <c r="Q151" s="7"/>
      <c r="R151" s="7"/>
      <c r="S151" s="7"/>
      <c r="T151" s="7"/>
    </row>
    <row r="152" spans="3:20" x14ac:dyDescent="0.25">
      <c r="C152" s="7"/>
      <c r="D152" s="7"/>
      <c r="E152" s="7" t="s">
        <v>19</v>
      </c>
      <c r="F152" s="7">
        <v>2015</v>
      </c>
      <c r="G152" s="8" t="s">
        <v>20</v>
      </c>
      <c r="H152" s="7" t="s">
        <v>38</v>
      </c>
      <c r="I152" s="7" t="s">
        <v>37</v>
      </c>
      <c r="J152" s="8"/>
      <c r="K152" s="7"/>
      <c r="L152" s="7" t="s">
        <v>25</v>
      </c>
      <c r="M152" s="18" t="e">
        <f>M151</f>
        <v>#REF!</v>
      </c>
      <c r="N152" s="7"/>
      <c r="O152" s="7"/>
      <c r="P152" s="7"/>
      <c r="Q152" s="7"/>
      <c r="R152" s="7"/>
      <c r="S152" s="7"/>
      <c r="T152" s="7"/>
    </row>
    <row r="153" spans="3:20" x14ac:dyDescent="0.25">
      <c r="C153" s="7"/>
      <c r="D153" s="7"/>
      <c r="E153" s="7" t="s">
        <v>19</v>
      </c>
      <c r="F153" s="7">
        <v>2020</v>
      </c>
      <c r="G153" s="8" t="s">
        <v>20</v>
      </c>
      <c r="H153" s="7" t="s">
        <v>38</v>
      </c>
      <c r="I153" s="7" t="s">
        <v>37</v>
      </c>
      <c r="J153" s="8"/>
      <c r="K153" s="7"/>
      <c r="L153" s="7" t="s">
        <v>25</v>
      </c>
      <c r="M153" s="18" t="e">
        <f t="shared" ref="M153:M154" si="96">M152</f>
        <v>#REF!</v>
      </c>
      <c r="N153" s="7"/>
      <c r="O153" s="7"/>
      <c r="P153" s="7"/>
      <c r="Q153" s="7"/>
      <c r="R153" s="7"/>
      <c r="S153" s="7"/>
      <c r="T153" s="7"/>
    </row>
    <row r="154" spans="3:20" x14ac:dyDescent="0.25">
      <c r="C154" s="7"/>
      <c r="D154" s="7"/>
      <c r="E154" s="7" t="s">
        <v>19</v>
      </c>
      <c r="F154" s="7">
        <v>2055</v>
      </c>
      <c r="G154" s="8" t="s">
        <v>20</v>
      </c>
      <c r="H154" s="7" t="s">
        <v>38</v>
      </c>
      <c r="I154" s="7" t="s">
        <v>37</v>
      </c>
      <c r="J154" s="8"/>
      <c r="K154" s="7"/>
      <c r="L154" s="7" t="s">
        <v>25</v>
      </c>
      <c r="M154" s="18" t="e">
        <f t="shared" si="96"/>
        <v>#REF!</v>
      </c>
      <c r="N154" s="7"/>
      <c r="O154" s="7"/>
      <c r="P154" s="7"/>
      <c r="Q154" s="7"/>
      <c r="R154" s="7"/>
      <c r="S154" s="7"/>
      <c r="T154" s="7"/>
    </row>
    <row r="155" spans="3:20" x14ac:dyDescent="0.25">
      <c r="C155" s="7"/>
      <c r="D155" s="7"/>
      <c r="E155" s="7" t="s">
        <v>19</v>
      </c>
      <c r="F155" s="7">
        <v>2010</v>
      </c>
      <c r="G155" s="8" t="s">
        <v>20</v>
      </c>
      <c r="H155" s="7" t="s">
        <v>38</v>
      </c>
      <c r="I155" s="7" t="s">
        <v>37</v>
      </c>
      <c r="J155" s="8"/>
      <c r="K155" s="7"/>
      <c r="L155" s="7" t="s">
        <v>26</v>
      </c>
      <c r="M155" s="18" t="e">
        <f>#REF!</f>
        <v>#REF!</v>
      </c>
      <c r="N155" s="7"/>
      <c r="O155" s="7"/>
      <c r="P155" s="7"/>
      <c r="Q155" s="7"/>
      <c r="R155" s="7"/>
      <c r="S155" s="7"/>
      <c r="T155" s="7"/>
    </row>
    <row r="156" spans="3:20" x14ac:dyDescent="0.25">
      <c r="C156" s="7"/>
      <c r="D156" s="7"/>
      <c r="E156" s="7" t="s">
        <v>19</v>
      </c>
      <c r="F156" s="7">
        <v>2015</v>
      </c>
      <c r="G156" s="8" t="s">
        <v>20</v>
      </c>
      <c r="H156" s="7" t="s">
        <v>38</v>
      </c>
      <c r="I156" s="7" t="s">
        <v>37</v>
      </c>
      <c r="J156" s="8"/>
      <c r="K156" s="7"/>
      <c r="L156" s="7" t="s">
        <v>26</v>
      </c>
      <c r="M156" s="18" t="e">
        <f>M155</f>
        <v>#REF!</v>
      </c>
      <c r="N156" s="7"/>
      <c r="O156" s="7"/>
      <c r="P156" s="7"/>
      <c r="Q156" s="7"/>
      <c r="R156" s="7"/>
      <c r="S156" s="7"/>
      <c r="T156" s="7"/>
    </row>
    <row r="157" spans="3:20" x14ac:dyDescent="0.25">
      <c r="C157" s="7"/>
      <c r="D157" s="7"/>
      <c r="E157" s="7" t="s">
        <v>19</v>
      </c>
      <c r="F157" s="7">
        <v>2020</v>
      </c>
      <c r="G157" s="8" t="s">
        <v>20</v>
      </c>
      <c r="H157" s="7" t="s">
        <v>38</v>
      </c>
      <c r="I157" s="7" t="s">
        <v>37</v>
      </c>
      <c r="J157" s="8"/>
      <c r="K157" s="7"/>
      <c r="L157" s="7" t="s">
        <v>26</v>
      </c>
      <c r="M157" s="18" t="e">
        <f t="shared" ref="M157:M158" si="97">M156</f>
        <v>#REF!</v>
      </c>
      <c r="N157" s="7"/>
      <c r="O157" s="7"/>
      <c r="P157" s="7"/>
      <c r="Q157" s="7"/>
      <c r="R157" s="7"/>
      <c r="S157" s="7"/>
      <c r="T157" s="7"/>
    </row>
    <row r="158" spans="3:20" x14ac:dyDescent="0.25">
      <c r="C158" s="7"/>
      <c r="D158" s="7"/>
      <c r="E158" s="7" t="s">
        <v>19</v>
      </c>
      <c r="F158" s="7">
        <v>2055</v>
      </c>
      <c r="G158" s="8" t="s">
        <v>20</v>
      </c>
      <c r="H158" s="7" t="s">
        <v>38</v>
      </c>
      <c r="I158" s="7" t="s">
        <v>37</v>
      </c>
      <c r="J158" s="8"/>
      <c r="K158" s="7"/>
      <c r="L158" s="7" t="s">
        <v>26</v>
      </c>
      <c r="M158" s="18" t="e">
        <f t="shared" si="97"/>
        <v>#REF!</v>
      </c>
      <c r="N158" s="7"/>
      <c r="O158" s="7"/>
      <c r="P158" s="7"/>
      <c r="Q158" s="7"/>
      <c r="R158" s="7"/>
      <c r="S158" s="7"/>
      <c r="T158" s="7"/>
    </row>
    <row r="159" spans="3:20" x14ac:dyDescent="0.25">
      <c r="C159" s="7"/>
      <c r="D159" s="7"/>
      <c r="E159" s="7" t="s">
        <v>19</v>
      </c>
      <c r="F159" s="7">
        <v>2010</v>
      </c>
      <c r="G159" s="8" t="s">
        <v>20</v>
      </c>
      <c r="H159" s="7" t="s">
        <v>38</v>
      </c>
      <c r="I159" s="7" t="s">
        <v>37</v>
      </c>
      <c r="J159" s="8"/>
      <c r="K159" s="7"/>
      <c r="L159" s="7" t="s">
        <v>27</v>
      </c>
      <c r="M159" s="18" t="e">
        <f>#REF!</f>
        <v>#REF!</v>
      </c>
      <c r="N159" s="7"/>
      <c r="O159" s="7"/>
      <c r="P159" s="7"/>
      <c r="Q159" s="7"/>
      <c r="R159" s="7"/>
      <c r="S159" s="7"/>
      <c r="T159" s="7"/>
    </row>
    <row r="160" spans="3:20" x14ac:dyDescent="0.25">
      <c r="C160" s="7"/>
      <c r="D160" s="7"/>
      <c r="E160" s="7" t="s">
        <v>19</v>
      </c>
      <c r="F160" s="7">
        <v>2015</v>
      </c>
      <c r="G160" s="8" t="s">
        <v>20</v>
      </c>
      <c r="H160" s="7" t="s">
        <v>38</v>
      </c>
      <c r="I160" s="7" t="s">
        <v>37</v>
      </c>
      <c r="J160" s="8"/>
      <c r="K160" s="7"/>
      <c r="L160" s="7" t="s">
        <v>27</v>
      </c>
      <c r="M160" s="18" t="e">
        <f>M159</f>
        <v>#REF!</v>
      </c>
      <c r="N160" s="7"/>
      <c r="O160" s="7"/>
      <c r="P160" s="7"/>
      <c r="Q160" s="7"/>
      <c r="R160" s="7"/>
      <c r="S160" s="7"/>
      <c r="T160" s="7"/>
    </row>
    <row r="161" spans="3:20" x14ac:dyDescent="0.25">
      <c r="C161" s="7"/>
      <c r="D161" s="7"/>
      <c r="E161" s="7" t="s">
        <v>19</v>
      </c>
      <c r="F161" s="7">
        <v>2020</v>
      </c>
      <c r="G161" s="8" t="s">
        <v>20</v>
      </c>
      <c r="H161" s="7" t="s">
        <v>38</v>
      </c>
      <c r="I161" s="7" t="s">
        <v>37</v>
      </c>
      <c r="J161" s="8"/>
      <c r="K161" s="7"/>
      <c r="L161" s="7" t="s">
        <v>27</v>
      </c>
      <c r="M161" s="18" t="e">
        <f t="shared" ref="M161:M162" si="98">M160</f>
        <v>#REF!</v>
      </c>
      <c r="N161" s="7"/>
      <c r="O161" s="7"/>
      <c r="P161" s="7"/>
      <c r="Q161" s="7"/>
      <c r="R161" s="7"/>
      <c r="S161" s="7"/>
      <c r="T161" s="7"/>
    </row>
    <row r="162" spans="3:20" x14ac:dyDescent="0.25">
      <c r="C162" s="7"/>
      <c r="D162" s="7"/>
      <c r="E162" s="7" t="s">
        <v>19</v>
      </c>
      <c r="F162" s="7">
        <v>2055</v>
      </c>
      <c r="G162" s="8" t="s">
        <v>20</v>
      </c>
      <c r="H162" s="7" t="s">
        <v>38</v>
      </c>
      <c r="I162" s="7" t="s">
        <v>37</v>
      </c>
      <c r="J162" s="8"/>
      <c r="K162" s="7"/>
      <c r="L162" s="7" t="s">
        <v>27</v>
      </c>
      <c r="M162" s="18" t="e">
        <f t="shared" si="98"/>
        <v>#REF!</v>
      </c>
      <c r="N162" s="7"/>
      <c r="O162" s="7"/>
      <c r="P162" s="7"/>
      <c r="Q162" s="7"/>
      <c r="R162" s="7"/>
      <c r="S162" s="7"/>
      <c r="T162" s="7"/>
    </row>
    <row r="163" spans="3:20" x14ac:dyDescent="0.25">
      <c r="C163" s="7"/>
      <c r="D163" s="7"/>
      <c r="E163" s="7" t="s">
        <v>19</v>
      </c>
      <c r="F163" s="7">
        <v>2010</v>
      </c>
      <c r="G163" s="8" t="s">
        <v>20</v>
      </c>
      <c r="H163" s="7" t="s">
        <v>38</v>
      </c>
      <c r="I163" s="7" t="s">
        <v>37</v>
      </c>
      <c r="J163" s="8"/>
      <c r="K163" s="7"/>
      <c r="L163" s="7" t="s">
        <v>28</v>
      </c>
      <c r="M163" s="18" t="e">
        <f>#REF!</f>
        <v>#REF!</v>
      </c>
      <c r="N163" s="7"/>
      <c r="O163" s="7"/>
      <c r="P163" s="7"/>
      <c r="Q163" s="7"/>
      <c r="R163" s="7"/>
      <c r="S163" s="7"/>
      <c r="T163" s="7"/>
    </row>
    <row r="164" spans="3:20" x14ac:dyDescent="0.25">
      <c r="C164" s="7"/>
      <c r="D164" s="7"/>
      <c r="E164" s="7" t="s">
        <v>19</v>
      </c>
      <c r="F164" s="7">
        <v>2015</v>
      </c>
      <c r="G164" s="8" t="s">
        <v>20</v>
      </c>
      <c r="H164" s="7" t="s">
        <v>38</v>
      </c>
      <c r="I164" s="7" t="s">
        <v>37</v>
      </c>
      <c r="J164" s="8"/>
      <c r="K164" s="7"/>
      <c r="L164" s="7" t="s">
        <v>28</v>
      </c>
      <c r="M164" s="18" t="e">
        <f>M163</f>
        <v>#REF!</v>
      </c>
      <c r="N164" s="7"/>
      <c r="O164" s="7"/>
      <c r="P164" s="7"/>
      <c r="Q164" s="7"/>
      <c r="R164" s="7"/>
      <c r="S164" s="7"/>
      <c r="T164" s="7"/>
    </row>
    <row r="165" spans="3:20" x14ac:dyDescent="0.25">
      <c r="C165" s="7"/>
      <c r="D165" s="7"/>
      <c r="E165" s="7" t="s">
        <v>19</v>
      </c>
      <c r="F165" s="7">
        <v>2020</v>
      </c>
      <c r="G165" s="8" t="s">
        <v>20</v>
      </c>
      <c r="H165" s="7" t="s">
        <v>38</v>
      </c>
      <c r="I165" s="7" t="s">
        <v>37</v>
      </c>
      <c r="J165" s="8"/>
      <c r="K165" s="7"/>
      <c r="L165" s="7" t="s">
        <v>28</v>
      </c>
      <c r="M165" s="18" t="e">
        <f t="shared" ref="M165:M166" si="99">M164</f>
        <v>#REF!</v>
      </c>
      <c r="N165" s="7"/>
      <c r="O165" s="7"/>
      <c r="P165" s="7"/>
      <c r="Q165" s="7"/>
      <c r="R165" s="7"/>
      <c r="S165" s="7"/>
      <c r="T165" s="7"/>
    </row>
    <row r="166" spans="3:20" x14ac:dyDescent="0.25">
      <c r="C166" s="7"/>
      <c r="D166" s="7"/>
      <c r="E166" s="7" t="s">
        <v>19</v>
      </c>
      <c r="F166" s="7">
        <v>2055</v>
      </c>
      <c r="G166" s="8" t="s">
        <v>20</v>
      </c>
      <c r="H166" s="7" t="s">
        <v>38</v>
      </c>
      <c r="I166" s="7" t="s">
        <v>37</v>
      </c>
      <c r="J166" s="8"/>
      <c r="K166" s="7"/>
      <c r="L166" s="7" t="s">
        <v>28</v>
      </c>
      <c r="M166" s="18" t="e">
        <f t="shared" si="99"/>
        <v>#REF!</v>
      </c>
      <c r="N166" s="7"/>
      <c r="O166" s="7"/>
      <c r="P166" s="7"/>
      <c r="Q166" s="7"/>
      <c r="R166" s="7"/>
      <c r="S166" s="7"/>
      <c r="T166" s="7"/>
    </row>
    <row r="167" spans="3:20" x14ac:dyDescent="0.25">
      <c r="C167" s="7"/>
      <c r="D167" s="7"/>
      <c r="E167" s="7" t="s">
        <v>19</v>
      </c>
      <c r="F167" s="7">
        <v>2010</v>
      </c>
      <c r="G167" s="8" t="s">
        <v>20</v>
      </c>
      <c r="H167" s="7" t="s">
        <v>38</v>
      </c>
      <c r="I167" s="7" t="s">
        <v>37</v>
      </c>
      <c r="J167" s="8"/>
      <c r="K167" s="7"/>
      <c r="L167" s="7" t="s">
        <v>29</v>
      </c>
      <c r="M167" s="18" t="e">
        <f>#REF!</f>
        <v>#REF!</v>
      </c>
      <c r="N167" s="7"/>
      <c r="O167" s="7"/>
      <c r="P167" s="7"/>
      <c r="Q167" s="7"/>
      <c r="R167" s="7"/>
      <c r="S167" s="7"/>
      <c r="T167" s="7"/>
    </row>
    <row r="168" spans="3:20" x14ac:dyDescent="0.25">
      <c r="C168" s="7"/>
      <c r="D168" s="7"/>
      <c r="E168" s="7" t="s">
        <v>19</v>
      </c>
      <c r="F168" s="7">
        <v>2015</v>
      </c>
      <c r="G168" s="8" t="s">
        <v>20</v>
      </c>
      <c r="H168" s="7" t="s">
        <v>38</v>
      </c>
      <c r="I168" s="7" t="s">
        <v>37</v>
      </c>
      <c r="J168" s="8"/>
      <c r="K168" s="7"/>
      <c r="L168" s="7" t="s">
        <v>29</v>
      </c>
      <c r="M168" s="18" t="e">
        <f>M167</f>
        <v>#REF!</v>
      </c>
      <c r="N168" s="7"/>
      <c r="O168" s="7"/>
      <c r="P168" s="7"/>
      <c r="Q168" s="7"/>
      <c r="R168" s="7"/>
      <c r="S168" s="7"/>
      <c r="T168" s="7"/>
    </row>
    <row r="169" spans="3:20" x14ac:dyDescent="0.25">
      <c r="C169" s="7"/>
      <c r="D169" s="7"/>
      <c r="E169" s="7" t="s">
        <v>19</v>
      </c>
      <c r="F169" s="7">
        <v>2020</v>
      </c>
      <c r="G169" s="8" t="s">
        <v>20</v>
      </c>
      <c r="H169" s="7" t="s">
        <v>38</v>
      </c>
      <c r="I169" s="7" t="s">
        <v>37</v>
      </c>
      <c r="J169" s="8"/>
      <c r="K169" s="7"/>
      <c r="L169" s="7" t="s">
        <v>29</v>
      </c>
      <c r="M169" s="18" t="e">
        <f t="shared" ref="M169:M170" si="100">M168</f>
        <v>#REF!</v>
      </c>
      <c r="N169" s="7"/>
      <c r="O169" s="7"/>
      <c r="P169" s="7"/>
      <c r="Q169" s="7"/>
      <c r="R169" s="7"/>
      <c r="S169" s="7"/>
      <c r="T169" s="7"/>
    </row>
    <row r="170" spans="3:20" x14ac:dyDescent="0.25">
      <c r="C170" s="7"/>
      <c r="D170" s="7"/>
      <c r="E170" s="7" t="s">
        <v>19</v>
      </c>
      <c r="F170" s="7">
        <v>2055</v>
      </c>
      <c r="G170" s="8" t="s">
        <v>20</v>
      </c>
      <c r="H170" s="7" t="s">
        <v>38</v>
      </c>
      <c r="I170" s="7" t="s">
        <v>37</v>
      </c>
      <c r="J170" s="8"/>
      <c r="K170" s="7"/>
      <c r="L170" s="7" t="s">
        <v>29</v>
      </c>
      <c r="M170" s="18" t="e">
        <f t="shared" si="100"/>
        <v>#REF!</v>
      </c>
      <c r="N170" s="7"/>
      <c r="O170" s="7"/>
      <c r="P170" s="7"/>
      <c r="Q170" s="7"/>
      <c r="R170" s="7"/>
      <c r="S170" s="7"/>
      <c r="T170" s="7"/>
    </row>
    <row r="171" spans="3:20" x14ac:dyDescent="0.25">
      <c r="C171" s="7"/>
      <c r="D171" s="7"/>
      <c r="E171" s="7" t="s">
        <v>19</v>
      </c>
      <c r="F171" s="7">
        <v>2010</v>
      </c>
      <c r="G171" s="8" t="s">
        <v>20</v>
      </c>
      <c r="H171" s="7" t="s">
        <v>38</v>
      </c>
      <c r="I171" s="7" t="s">
        <v>37</v>
      </c>
      <c r="J171" s="8"/>
      <c r="K171" s="7"/>
      <c r="L171" s="7" t="s">
        <v>30</v>
      </c>
      <c r="M171" s="18" t="e">
        <f>#REF!</f>
        <v>#REF!</v>
      </c>
      <c r="N171" s="7"/>
      <c r="O171" s="7"/>
      <c r="P171" s="7"/>
      <c r="Q171" s="7"/>
      <c r="R171" s="7"/>
      <c r="S171" s="7"/>
      <c r="T171" s="7"/>
    </row>
    <row r="172" spans="3:20" x14ac:dyDescent="0.25">
      <c r="C172" s="7"/>
      <c r="D172" s="7"/>
      <c r="E172" s="7" t="s">
        <v>19</v>
      </c>
      <c r="F172" s="7">
        <v>2015</v>
      </c>
      <c r="G172" s="8" t="s">
        <v>20</v>
      </c>
      <c r="H172" s="7" t="s">
        <v>38</v>
      </c>
      <c r="I172" s="7" t="s">
        <v>37</v>
      </c>
      <c r="J172" s="8"/>
      <c r="K172" s="7"/>
      <c r="L172" s="7" t="s">
        <v>30</v>
      </c>
      <c r="M172" s="18" t="e">
        <f>M171</f>
        <v>#REF!</v>
      </c>
      <c r="N172" s="7"/>
      <c r="O172" s="7"/>
      <c r="P172" s="7"/>
      <c r="Q172" s="7"/>
      <c r="R172" s="7"/>
      <c r="S172" s="7"/>
      <c r="T172" s="7"/>
    </row>
    <row r="173" spans="3:20" x14ac:dyDescent="0.25">
      <c r="C173" s="7"/>
      <c r="D173" s="7"/>
      <c r="E173" s="7" t="s">
        <v>19</v>
      </c>
      <c r="F173" s="7">
        <v>2020</v>
      </c>
      <c r="G173" s="8" t="s">
        <v>20</v>
      </c>
      <c r="H173" s="7" t="s">
        <v>38</v>
      </c>
      <c r="I173" s="7" t="s">
        <v>37</v>
      </c>
      <c r="J173" s="8"/>
      <c r="K173" s="7"/>
      <c r="L173" s="7" t="s">
        <v>30</v>
      </c>
      <c r="M173" s="18" t="e">
        <f t="shared" ref="M173:M174" si="101">M172</f>
        <v>#REF!</v>
      </c>
      <c r="N173" s="7"/>
      <c r="O173" s="7"/>
      <c r="P173" s="7"/>
      <c r="Q173" s="7"/>
      <c r="R173" s="7"/>
      <c r="S173" s="7"/>
      <c r="T173" s="7"/>
    </row>
    <row r="174" spans="3:20" x14ac:dyDescent="0.25">
      <c r="C174" s="7"/>
      <c r="D174" s="7"/>
      <c r="E174" s="7" t="s">
        <v>19</v>
      </c>
      <c r="F174" s="7">
        <v>2055</v>
      </c>
      <c r="G174" s="8" t="s">
        <v>20</v>
      </c>
      <c r="H174" s="7" t="s">
        <v>38</v>
      </c>
      <c r="I174" s="7" t="s">
        <v>37</v>
      </c>
      <c r="J174" s="8"/>
      <c r="K174" s="7"/>
      <c r="L174" s="7" t="s">
        <v>30</v>
      </c>
      <c r="M174" s="18" t="e">
        <f t="shared" si="101"/>
        <v>#REF!</v>
      </c>
      <c r="N174" s="7"/>
      <c r="O174" s="7"/>
      <c r="P174" s="7"/>
      <c r="Q174" s="7"/>
      <c r="R174" s="7"/>
      <c r="S174" s="7"/>
      <c r="T174" s="7"/>
    </row>
    <row r="175" spans="3:20" x14ac:dyDescent="0.25">
      <c r="C175" s="7"/>
      <c r="D175" s="7"/>
      <c r="E175" s="7" t="s">
        <v>19</v>
      </c>
      <c r="F175" s="7">
        <v>2010</v>
      </c>
      <c r="G175" s="8" t="s">
        <v>20</v>
      </c>
      <c r="H175" s="7" t="s">
        <v>38</v>
      </c>
      <c r="I175" s="7" t="s">
        <v>37</v>
      </c>
      <c r="J175" s="8"/>
      <c r="K175" s="7"/>
      <c r="L175" s="7" t="s">
        <v>31</v>
      </c>
      <c r="M175" s="7"/>
      <c r="N175" s="7"/>
      <c r="O175" s="7"/>
      <c r="P175" s="7"/>
      <c r="Q175" s="7"/>
      <c r="R175" s="7"/>
      <c r="S175" s="7"/>
      <c r="T175" s="7"/>
    </row>
    <row r="176" spans="3:20" x14ac:dyDescent="0.25">
      <c r="C176" s="7"/>
      <c r="D176" s="7"/>
      <c r="E176" s="7" t="s">
        <v>19</v>
      </c>
      <c r="F176" s="7">
        <v>2015</v>
      </c>
      <c r="G176" s="8" t="s">
        <v>20</v>
      </c>
      <c r="H176" s="7" t="s">
        <v>38</v>
      </c>
      <c r="I176" s="7" t="s">
        <v>37</v>
      </c>
      <c r="J176" s="8"/>
      <c r="K176" s="7"/>
      <c r="L176" s="7" t="s">
        <v>31</v>
      </c>
      <c r="M176" s="7"/>
      <c r="N176" s="7"/>
      <c r="O176" s="7"/>
      <c r="P176" s="7"/>
      <c r="Q176" s="7"/>
      <c r="R176" s="7"/>
      <c r="S176" s="7"/>
      <c r="T176" s="7"/>
    </row>
    <row r="177" spans="3:20" x14ac:dyDescent="0.25">
      <c r="C177" s="7"/>
      <c r="D177" s="7"/>
      <c r="E177" s="7" t="s">
        <v>19</v>
      </c>
      <c r="F177" s="7">
        <v>2020</v>
      </c>
      <c r="G177" s="8" t="s">
        <v>20</v>
      </c>
      <c r="H177" s="7" t="s">
        <v>38</v>
      </c>
      <c r="I177" s="7" t="s">
        <v>37</v>
      </c>
      <c r="J177" s="8"/>
      <c r="K177" s="7"/>
      <c r="L177" s="7" t="s">
        <v>31</v>
      </c>
      <c r="M177" s="7"/>
      <c r="N177" s="7"/>
      <c r="O177" s="7"/>
      <c r="P177" s="7"/>
      <c r="Q177" s="7"/>
      <c r="R177" s="7"/>
      <c r="S177" s="7"/>
      <c r="T177" s="7"/>
    </row>
    <row r="178" spans="3:20" x14ac:dyDescent="0.25">
      <c r="C178" s="7"/>
      <c r="D178" s="7"/>
      <c r="E178" s="7" t="s">
        <v>19</v>
      </c>
      <c r="F178" s="7">
        <v>2055</v>
      </c>
      <c r="G178" s="8" t="s">
        <v>20</v>
      </c>
      <c r="H178" s="7" t="s">
        <v>38</v>
      </c>
      <c r="I178" s="7" t="s">
        <v>37</v>
      </c>
      <c r="J178" s="8"/>
      <c r="K178" s="7"/>
      <c r="L178" s="7" t="s">
        <v>31</v>
      </c>
      <c r="M178" s="7"/>
      <c r="N178" s="7"/>
      <c r="O178" s="7"/>
      <c r="P178" s="7"/>
      <c r="Q178" s="7"/>
      <c r="R178" s="7"/>
      <c r="S178" s="7"/>
      <c r="T178" s="7"/>
    </row>
    <row r="179" spans="3:20" x14ac:dyDescent="0.25">
      <c r="C179" s="7"/>
      <c r="D179" s="7"/>
      <c r="E179" s="7" t="s">
        <v>19</v>
      </c>
      <c r="F179" s="7">
        <v>2010</v>
      </c>
      <c r="G179" s="8" t="s">
        <v>20</v>
      </c>
      <c r="H179" s="7" t="s">
        <v>38</v>
      </c>
      <c r="I179" s="7" t="s">
        <v>37</v>
      </c>
      <c r="J179" s="8"/>
      <c r="K179" s="7"/>
      <c r="L179" s="7" t="s">
        <v>32</v>
      </c>
      <c r="M179" s="7"/>
      <c r="N179" s="7"/>
      <c r="O179" s="7"/>
      <c r="P179" s="7"/>
      <c r="Q179" s="7"/>
      <c r="R179" s="7"/>
      <c r="S179" s="7"/>
      <c r="T179" s="7"/>
    </row>
    <row r="180" spans="3:20" x14ac:dyDescent="0.25">
      <c r="C180" s="7"/>
      <c r="D180" s="7"/>
      <c r="E180" s="7" t="s">
        <v>19</v>
      </c>
      <c r="F180" s="7">
        <v>2015</v>
      </c>
      <c r="G180" s="8" t="s">
        <v>20</v>
      </c>
      <c r="H180" s="7" t="s">
        <v>38</v>
      </c>
      <c r="I180" s="7" t="s">
        <v>37</v>
      </c>
      <c r="J180" s="8"/>
      <c r="K180" s="7"/>
      <c r="L180" s="7" t="s">
        <v>32</v>
      </c>
      <c r="M180" s="7"/>
      <c r="N180" s="7"/>
      <c r="O180" s="7"/>
      <c r="P180" s="7"/>
      <c r="Q180" s="7"/>
      <c r="R180" s="7"/>
      <c r="S180" s="7"/>
      <c r="T180" s="7"/>
    </row>
    <row r="181" spans="3:20" x14ac:dyDescent="0.25">
      <c r="C181" s="7"/>
      <c r="D181" s="7"/>
      <c r="E181" s="7" t="s">
        <v>19</v>
      </c>
      <c r="F181" s="7">
        <v>2020</v>
      </c>
      <c r="G181" s="8" t="s">
        <v>20</v>
      </c>
      <c r="H181" s="7" t="s">
        <v>38</v>
      </c>
      <c r="I181" s="7" t="s">
        <v>37</v>
      </c>
      <c r="J181" s="8"/>
      <c r="K181" s="7"/>
      <c r="L181" s="7" t="s">
        <v>32</v>
      </c>
      <c r="M181" s="7"/>
      <c r="N181" s="7"/>
      <c r="O181" s="7"/>
      <c r="P181" s="7"/>
      <c r="Q181" s="7"/>
      <c r="R181" s="7"/>
      <c r="S181" s="7"/>
      <c r="T181" s="7"/>
    </row>
    <row r="182" spans="3:20" x14ac:dyDescent="0.25">
      <c r="C182" s="7"/>
      <c r="D182" s="7"/>
      <c r="E182" s="7" t="s">
        <v>19</v>
      </c>
      <c r="F182" s="7">
        <v>2055</v>
      </c>
      <c r="G182" s="8" t="s">
        <v>20</v>
      </c>
      <c r="H182" s="7" t="s">
        <v>38</v>
      </c>
      <c r="I182" s="7" t="s">
        <v>37</v>
      </c>
      <c r="J182" s="8"/>
      <c r="K182" s="7"/>
      <c r="L182" s="7" t="s">
        <v>32</v>
      </c>
      <c r="M182" s="7"/>
      <c r="N182" s="7"/>
      <c r="O182" s="7"/>
      <c r="P182" s="7"/>
      <c r="Q182" s="7"/>
      <c r="R182" s="7"/>
      <c r="S182" s="7"/>
      <c r="T182" s="7"/>
    </row>
    <row r="183" spans="3:20" x14ac:dyDescent="0.25">
      <c r="C183" s="15" t="s">
        <v>33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3:20" x14ac:dyDescent="0.25">
      <c r="C184" s="7"/>
      <c r="D184" s="7"/>
      <c r="E184" s="7" t="s">
        <v>19</v>
      </c>
      <c r="F184" s="7">
        <v>2010</v>
      </c>
      <c r="G184" s="8" t="s">
        <v>20</v>
      </c>
      <c r="H184" s="7" t="s">
        <v>39</v>
      </c>
      <c r="I184" s="7" t="s">
        <v>37</v>
      </c>
      <c r="J184" s="8"/>
      <c r="K184" s="7"/>
      <c r="L184" s="7" t="s">
        <v>22</v>
      </c>
      <c r="M184" s="18" t="e">
        <f>#REF!/1000</f>
        <v>#REF!</v>
      </c>
      <c r="N184" s="7"/>
      <c r="O184" s="7"/>
      <c r="P184" s="7"/>
      <c r="Q184" s="7"/>
      <c r="R184" s="7"/>
      <c r="S184" s="7"/>
      <c r="T184" s="7"/>
    </row>
    <row r="185" spans="3:20" x14ac:dyDescent="0.25">
      <c r="C185" s="7"/>
      <c r="D185" s="7"/>
      <c r="E185" s="7" t="s">
        <v>19</v>
      </c>
      <c r="F185" s="7">
        <v>2015</v>
      </c>
      <c r="G185" s="8" t="s">
        <v>20</v>
      </c>
      <c r="H185" s="7" t="s">
        <v>39</v>
      </c>
      <c r="I185" s="7" t="s">
        <v>37</v>
      </c>
      <c r="J185" s="8"/>
      <c r="K185" s="7"/>
      <c r="L185" s="7" t="s">
        <v>22</v>
      </c>
      <c r="M185" s="18" t="e">
        <f>M184</f>
        <v>#REF!</v>
      </c>
      <c r="N185" s="7"/>
      <c r="O185" s="7"/>
      <c r="P185" s="7"/>
      <c r="Q185" s="7"/>
      <c r="R185" s="7"/>
      <c r="S185" s="7"/>
      <c r="T185" s="7"/>
    </row>
    <row r="186" spans="3:20" x14ac:dyDescent="0.25">
      <c r="C186" s="7"/>
      <c r="D186" s="7"/>
      <c r="E186" s="7" t="s">
        <v>19</v>
      </c>
      <c r="F186" s="7">
        <v>2020</v>
      </c>
      <c r="G186" s="8" t="s">
        <v>20</v>
      </c>
      <c r="H186" s="7" t="s">
        <v>39</v>
      </c>
      <c r="I186" s="7" t="s">
        <v>37</v>
      </c>
      <c r="J186" s="8"/>
      <c r="K186" s="7"/>
      <c r="L186" s="7" t="s">
        <v>22</v>
      </c>
      <c r="M186" s="18" t="e">
        <f t="shared" ref="M186:M187" si="102">M185</f>
        <v>#REF!</v>
      </c>
      <c r="N186" s="7"/>
      <c r="O186" s="7"/>
      <c r="P186" s="7"/>
      <c r="Q186" s="7"/>
      <c r="R186" s="7"/>
      <c r="S186" s="7"/>
      <c r="T186" s="7"/>
    </row>
    <row r="187" spans="3:20" x14ac:dyDescent="0.25">
      <c r="C187" s="7"/>
      <c r="D187" s="7"/>
      <c r="E187" s="7" t="s">
        <v>19</v>
      </c>
      <c r="F187" s="7">
        <v>2055</v>
      </c>
      <c r="G187" s="8" t="s">
        <v>20</v>
      </c>
      <c r="H187" s="7" t="s">
        <v>39</v>
      </c>
      <c r="I187" s="7" t="s">
        <v>37</v>
      </c>
      <c r="J187" s="8"/>
      <c r="K187" s="7"/>
      <c r="L187" s="7" t="s">
        <v>22</v>
      </c>
      <c r="M187" s="18" t="e">
        <f t="shared" si="102"/>
        <v>#REF!</v>
      </c>
      <c r="N187" s="7"/>
      <c r="O187" s="7"/>
      <c r="P187" s="7"/>
      <c r="Q187" s="7"/>
      <c r="R187" s="7"/>
      <c r="S187" s="7"/>
      <c r="T187" s="7"/>
    </row>
    <row r="188" spans="3:20" x14ac:dyDescent="0.25">
      <c r="C188" s="7"/>
      <c r="D188" s="7"/>
      <c r="E188" s="7" t="s">
        <v>19</v>
      </c>
      <c r="F188" s="7">
        <v>2010</v>
      </c>
      <c r="G188" s="8" t="s">
        <v>20</v>
      </c>
      <c r="H188" s="7" t="s">
        <v>39</v>
      </c>
      <c r="I188" s="7" t="s">
        <v>37</v>
      </c>
      <c r="J188" s="8"/>
      <c r="K188" s="7"/>
      <c r="L188" s="7" t="s">
        <v>23</v>
      </c>
      <c r="M188" s="18" t="e">
        <f>#REF!</f>
        <v>#REF!</v>
      </c>
      <c r="N188" s="7"/>
      <c r="O188" s="7"/>
      <c r="P188" s="7"/>
      <c r="Q188" s="7"/>
      <c r="R188" s="7"/>
      <c r="S188" s="7"/>
      <c r="T188" s="7"/>
    </row>
    <row r="189" spans="3:20" x14ac:dyDescent="0.25">
      <c r="C189" s="7"/>
      <c r="D189" s="7"/>
      <c r="E189" s="7" t="s">
        <v>19</v>
      </c>
      <c r="F189" s="7">
        <v>2015</v>
      </c>
      <c r="G189" s="8" t="s">
        <v>20</v>
      </c>
      <c r="H189" s="7" t="s">
        <v>39</v>
      </c>
      <c r="I189" s="7" t="s">
        <v>37</v>
      </c>
      <c r="J189" s="8"/>
      <c r="K189" s="7"/>
      <c r="L189" s="7" t="s">
        <v>23</v>
      </c>
      <c r="M189" s="18" t="e">
        <f>M188</f>
        <v>#REF!</v>
      </c>
      <c r="N189" s="7"/>
      <c r="O189" s="7"/>
      <c r="P189" s="7"/>
      <c r="Q189" s="7"/>
      <c r="R189" s="7"/>
      <c r="S189" s="7"/>
      <c r="T189" s="7"/>
    </row>
    <row r="190" spans="3:20" x14ac:dyDescent="0.25">
      <c r="C190" s="7"/>
      <c r="D190" s="7"/>
      <c r="E190" s="7" t="s">
        <v>19</v>
      </c>
      <c r="F190" s="7">
        <v>2020</v>
      </c>
      <c r="G190" s="8" t="s">
        <v>20</v>
      </c>
      <c r="H190" s="7" t="s">
        <v>39</v>
      </c>
      <c r="I190" s="7" t="s">
        <v>37</v>
      </c>
      <c r="J190" s="8"/>
      <c r="K190" s="7"/>
      <c r="L190" s="7" t="s">
        <v>23</v>
      </c>
      <c r="M190" s="18" t="e">
        <f t="shared" ref="M190:M191" si="103">M189</f>
        <v>#REF!</v>
      </c>
      <c r="N190" s="7"/>
      <c r="O190" s="7"/>
      <c r="P190" s="7"/>
      <c r="Q190" s="7"/>
      <c r="R190" s="7"/>
      <c r="S190" s="7"/>
      <c r="T190" s="7"/>
    </row>
    <row r="191" spans="3:20" x14ac:dyDescent="0.25">
      <c r="C191" s="7"/>
      <c r="D191" s="7"/>
      <c r="E191" s="7" t="s">
        <v>19</v>
      </c>
      <c r="F191" s="7">
        <v>2055</v>
      </c>
      <c r="G191" s="8" t="s">
        <v>20</v>
      </c>
      <c r="H191" s="7" t="s">
        <v>39</v>
      </c>
      <c r="I191" s="7" t="s">
        <v>37</v>
      </c>
      <c r="J191" s="8"/>
      <c r="K191" s="7"/>
      <c r="L191" s="7" t="s">
        <v>23</v>
      </c>
      <c r="M191" s="18" t="e">
        <f t="shared" si="103"/>
        <v>#REF!</v>
      </c>
      <c r="N191" s="7"/>
      <c r="O191" s="7"/>
      <c r="P191" s="7"/>
      <c r="Q191" s="7"/>
      <c r="R191" s="7"/>
      <c r="S191" s="7"/>
      <c r="T191" s="7"/>
    </row>
    <row r="192" spans="3:20" x14ac:dyDescent="0.25">
      <c r="C192" s="7"/>
      <c r="D192" s="7"/>
      <c r="E192" s="7" t="s">
        <v>19</v>
      </c>
      <c r="F192" s="7">
        <v>2010</v>
      </c>
      <c r="G192" s="8" t="s">
        <v>20</v>
      </c>
      <c r="H192" s="7" t="s">
        <v>39</v>
      </c>
      <c r="I192" s="7" t="s">
        <v>37</v>
      </c>
      <c r="J192" s="8"/>
      <c r="K192" s="7"/>
      <c r="L192" s="7" t="s">
        <v>24</v>
      </c>
      <c r="M192" s="18" t="e">
        <f>#REF!</f>
        <v>#REF!</v>
      </c>
      <c r="N192" s="7"/>
      <c r="O192" s="7"/>
      <c r="P192" s="7"/>
      <c r="Q192" s="7"/>
      <c r="R192" s="7"/>
      <c r="S192" s="7"/>
      <c r="T192" s="7"/>
    </row>
    <row r="193" spans="3:20" x14ac:dyDescent="0.25">
      <c r="C193" s="7"/>
      <c r="D193" s="7"/>
      <c r="E193" s="7" t="s">
        <v>19</v>
      </c>
      <c r="F193" s="7">
        <v>2015</v>
      </c>
      <c r="G193" s="8" t="s">
        <v>20</v>
      </c>
      <c r="H193" s="7" t="s">
        <v>39</v>
      </c>
      <c r="I193" s="7" t="s">
        <v>37</v>
      </c>
      <c r="J193" s="8"/>
      <c r="K193" s="7"/>
      <c r="L193" s="7" t="s">
        <v>24</v>
      </c>
      <c r="M193" s="18" t="e">
        <f>M192</f>
        <v>#REF!</v>
      </c>
      <c r="N193" s="7"/>
      <c r="O193" s="7"/>
      <c r="P193" s="7"/>
      <c r="Q193" s="7"/>
      <c r="R193" s="7"/>
      <c r="S193" s="7"/>
      <c r="T193" s="7"/>
    </row>
    <row r="194" spans="3:20" x14ac:dyDescent="0.25">
      <c r="C194" s="7"/>
      <c r="D194" s="7"/>
      <c r="E194" s="7" t="s">
        <v>19</v>
      </c>
      <c r="F194" s="7">
        <v>2020</v>
      </c>
      <c r="G194" s="8" t="s">
        <v>20</v>
      </c>
      <c r="H194" s="7" t="s">
        <v>39</v>
      </c>
      <c r="I194" s="7" t="s">
        <v>37</v>
      </c>
      <c r="J194" s="8"/>
      <c r="K194" s="7"/>
      <c r="L194" s="7" t="s">
        <v>24</v>
      </c>
      <c r="M194" s="18" t="e">
        <f t="shared" ref="M194:M195" si="104">M193</f>
        <v>#REF!</v>
      </c>
      <c r="N194" s="7"/>
      <c r="O194" s="7"/>
      <c r="P194" s="7"/>
      <c r="Q194" s="7"/>
      <c r="R194" s="7"/>
      <c r="S194" s="7"/>
      <c r="T194" s="7"/>
    </row>
    <row r="195" spans="3:20" x14ac:dyDescent="0.25">
      <c r="C195" s="7"/>
      <c r="D195" s="7"/>
      <c r="E195" s="7" t="s">
        <v>19</v>
      </c>
      <c r="F195" s="7">
        <v>2055</v>
      </c>
      <c r="G195" s="8" t="s">
        <v>20</v>
      </c>
      <c r="H195" s="7" t="s">
        <v>39</v>
      </c>
      <c r="I195" s="7" t="s">
        <v>37</v>
      </c>
      <c r="J195" s="8"/>
      <c r="K195" s="7"/>
      <c r="L195" s="7" t="s">
        <v>24</v>
      </c>
      <c r="M195" s="18" t="e">
        <f t="shared" si="104"/>
        <v>#REF!</v>
      </c>
      <c r="N195" s="7"/>
      <c r="O195" s="7"/>
      <c r="P195" s="7"/>
      <c r="Q195" s="7"/>
      <c r="R195" s="7"/>
      <c r="S195" s="7"/>
      <c r="T195" s="7"/>
    </row>
    <row r="196" spans="3:20" x14ac:dyDescent="0.25">
      <c r="C196" s="7"/>
      <c r="D196" s="7"/>
      <c r="E196" s="7" t="s">
        <v>19</v>
      </c>
      <c r="F196" s="7">
        <v>2010</v>
      </c>
      <c r="G196" s="8" t="s">
        <v>20</v>
      </c>
      <c r="H196" s="7" t="s">
        <v>39</v>
      </c>
      <c r="I196" s="7" t="s">
        <v>37</v>
      </c>
      <c r="J196" s="8"/>
      <c r="K196" s="7"/>
      <c r="L196" s="7" t="s">
        <v>25</v>
      </c>
      <c r="M196" s="18" t="e">
        <f>#REF!</f>
        <v>#REF!</v>
      </c>
      <c r="N196" s="7"/>
      <c r="O196" s="7"/>
      <c r="P196" s="7"/>
      <c r="Q196" s="7"/>
      <c r="R196" s="7"/>
      <c r="S196" s="7"/>
      <c r="T196" s="7"/>
    </row>
    <row r="197" spans="3:20" x14ac:dyDescent="0.25">
      <c r="C197" s="7"/>
      <c r="D197" s="7"/>
      <c r="E197" s="7" t="s">
        <v>19</v>
      </c>
      <c r="F197" s="7">
        <v>2015</v>
      </c>
      <c r="G197" s="8" t="s">
        <v>20</v>
      </c>
      <c r="H197" s="7" t="s">
        <v>39</v>
      </c>
      <c r="I197" s="7" t="s">
        <v>37</v>
      </c>
      <c r="J197" s="8"/>
      <c r="K197" s="7"/>
      <c r="L197" s="7" t="s">
        <v>25</v>
      </c>
      <c r="M197" s="18" t="e">
        <f>M196</f>
        <v>#REF!</v>
      </c>
      <c r="N197" s="7"/>
      <c r="O197" s="7"/>
      <c r="P197" s="7"/>
      <c r="Q197" s="7"/>
      <c r="R197" s="7"/>
      <c r="S197" s="7"/>
      <c r="T197" s="7"/>
    </row>
    <row r="198" spans="3:20" x14ac:dyDescent="0.25">
      <c r="C198" s="7"/>
      <c r="D198" s="7"/>
      <c r="E198" s="7" t="s">
        <v>19</v>
      </c>
      <c r="F198" s="7">
        <v>2020</v>
      </c>
      <c r="G198" s="8" t="s">
        <v>20</v>
      </c>
      <c r="H198" s="7" t="s">
        <v>39</v>
      </c>
      <c r="I198" s="7" t="s">
        <v>37</v>
      </c>
      <c r="J198" s="8"/>
      <c r="K198" s="7"/>
      <c r="L198" s="7" t="s">
        <v>25</v>
      </c>
      <c r="M198" s="18" t="e">
        <f t="shared" ref="M198:M199" si="105">M197</f>
        <v>#REF!</v>
      </c>
      <c r="N198" s="7"/>
      <c r="O198" s="7"/>
      <c r="P198" s="7"/>
      <c r="Q198" s="7"/>
      <c r="R198" s="7"/>
      <c r="S198" s="7"/>
      <c r="T198" s="7"/>
    </row>
    <row r="199" spans="3:20" x14ac:dyDescent="0.25">
      <c r="C199" s="7"/>
      <c r="D199" s="7"/>
      <c r="E199" s="7" t="s">
        <v>19</v>
      </c>
      <c r="F199" s="7">
        <v>2055</v>
      </c>
      <c r="G199" s="8" t="s">
        <v>20</v>
      </c>
      <c r="H199" s="7" t="s">
        <v>39</v>
      </c>
      <c r="I199" s="7" t="s">
        <v>37</v>
      </c>
      <c r="J199" s="8"/>
      <c r="K199" s="7"/>
      <c r="L199" s="7" t="s">
        <v>25</v>
      </c>
      <c r="M199" s="18" t="e">
        <f t="shared" si="105"/>
        <v>#REF!</v>
      </c>
      <c r="N199" s="7"/>
      <c r="O199" s="7"/>
      <c r="P199" s="7"/>
      <c r="Q199" s="7"/>
      <c r="R199" s="7"/>
      <c r="S199" s="7"/>
      <c r="T199" s="7"/>
    </row>
    <row r="200" spans="3:20" x14ac:dyDescent="0.25">
      <c r="C200" s="7"/>
      <c r="D200" s="7"/>
      <c r="E200" s="7" t="s">
        <v>19</v>
      </c>
      <c r="F200" s="7">
        <v>2010</v>
      </c>
      <c r="G200" s="8" t="s">
        <v>20</v>
      </c>
      <c r="H200" s="7" t="s">
        <v>39</v>
      </c>
      <c r="I200" s="7" t="s">
        <v>37</v>
      </c>
      <c r="J200" s="8"/>
      <c r="K200" s="7"/>
      <c r="L200" s="7" t="s">
        <v>26</v>
      </c>
      <c r="M200" s="18" t="e">
        <f>#REF!</f>
        <v>#REF!</v>
      </c>
      <c r="N200" s="7"/>
      <c r="O200" s="7"/>
      <c r="P200" s="7"/>
      <c r="Q200" s="7"/>
      <c r="R200" s="7"/>
      <c r="S200" s="7"/>
      <c r="T200" s="7"/>
    </row>
    <row r="201" spans="3:20" x14ac:dyDescent="0.25">
      <c r="C201" s="7"/>
      <c r="D201" s="7"/>
      <c r="E201" s="7" t="s">
        <v>19</v>
      </c>
      <c r="F201" s="7">
        <v>2015</v>
      </c>
      <c r="G201" s="8" t="s">
        <v>20</v>
      </c>
      <c r="H201" s="7" t="s">
        <v>39</v>
      </c>
      <c r="I201" s="7" t="s">
        <v>37</v>
      </c>
      <c r="J201" s="8"/>
      <c r="K201" s="7"/>
      <c r="L201" s="7" t="s">
        <v>26</v>
      </c>
      <c r="M201" s="18" t="e">
        <f>M200</f>
        <v>#REF!</v>
      </c>
      <c r="N201" s="7"/>
      <c r="O201" s="7"/>
      <c r="P201" s="7"/>
      <c r="Q201" s="7"/>
      <c r="R201" s="7"/>
      <c r="S201" s="7"/>
      <c r="T201" s="7"/>
    </row>
    <row r="202" spans="3:20" x14ac:dyDescent="0.25">
      <c r="C202" s="7"/>
      <c r="D202" s="7"/>
      <c r="E202" s="7" t="s">
        <v>19</v>
      </c>
      <c r="F202" s="7">
        <v>2020</v>
      </c>
      <c r="G202" s="8" t="s">
        <v>20</v>
      </c>
      <c r="H202" s="7" t="s">
        <v>39</v>
      </c>
      <c r="I202" s="7" t="s">
        <v>37</v>
      </c>
      <c r="J202" s="8"/>
      <c r="K202" s="7"/>
      <c r="L202" s="7" t="s">
        <v>26</v>
      </c>
      <c r="M202" s="18" t="e">
        <f t="shared" ref="M202:M203" si="106">M201</f>
        <v>#REF!</v>
      </c>
      <c r="N202" s="7"/>
      <c r="O202" s="7"/>
      <c r="P202" s="7"/>
      <c r="Q202" s="7"/>
      <c r="R202" s="7"/>
      <c r="S202" s="7"/>
      <c r="T202" s="7"/>
    </row>
    <row r="203" spans="3:20" x14ac:dyDescent="0.25">
      <c r="C203" s="7"/>
      <c r="D203" s="7"/>
      <c r="E203" s="7" t="s">
        <v>19</v>
      </c>
      <c r="F203" s="7">
        <v>2055</v>
      </c>
      <c r="G203" s="8" t="s">
        <v>20</v>
      </c>
      <c r="H203" s="7" t="s">
        <v>39</v>
      </c>
      <c r="I203" s="7" t="s">
        <v>37</v>
      </c>
      <c r="J203" s="8"/>
      <c r="K203" s="7"/>
      <c r="L203" s="7" t="s">
        <v>26</v>
      </c>
      <c r="M203" s="18" t="e">
        <f t="shared" si="106"/>
        <v>#REF!</v>
      </c>
      <c r="N203" s="7"/>
      <c r="O203" s="7"/>
      <c r="P203" s="7"/>
      <c r="Q203" s="7"/>
      <c r="R203" s="7"/>
      <c r="S203" s="7"/>
      <c r="T203" s="7"/>
    </row>
    <row r="204" spans="3:20" x14ac:dyDescent="0.25">
      <c r="C204" s="7"/>
      <c r="D204" s="7"/>
      <c r="E204" s="7" t="s">
        <v>19</v>
      </c>
      <c r="F204" s="7">
        <v>2010</v>
      </c>
      <c r="G204" s="8" t="s">
        <v>20</v>
      </c>
      <c r="H204" s="7" t="s">
        <v>39</v>
      </c>
      <c r="I204" s="7" t="s">
        <v>37</v>
      </c>
      <c r="J204" s="8"/>
      <c r="K204" s="7"/>
      <c r="L204" s="7" t="s">
        <v>27</v>
      </c>
      <c r="M204" s="18" t="e">
        <f>#REF!</f>
        <v>#REF!</v>
      </c>
      <c r="N204" s="7"/>
      <c r="O204" s="7"/>
      <c r="P204" s="7"/>
      <c r="Q204" s="7"/>
      <c r="R204" s="7"/>
      <c r="S204" s="7"/>
      <c r="T204" s="7"/>
    </row>
    <row r="205" spans="3:20" x14ac:dyDescent="0.25">
      <c r="C205" s="7"/>
      <c r="D205" s="7"/>
      <c r="E205" s="7" t="s">
        <v>19</v>
      </c>
      <c r="F205" s="7">
        <v>2015</v>
      </c>
      <c r="G205" s="8" t="s">
        <v>20</v>
      </c>
      <c r="H205" s="7" t="s">
        <v>39</v>
      </c>
      <c r="I205" s="7" t="s">
        <v>37</v>
      </c>
      <c r="J205" s="8"/>
      <c r="K205" s="7"/>
      <c r="L205" s="7" t="s">
        <v>27</v>
      </c>
      <c r="M205" s="18" t="e">
        <f>M204</f>
        <v>#REF!</v>
      </c>
      <c r="N205" s="7"/>
      <c r="O205" s="7"/>
      <c r="P205" s="7"/>
      <c r="Q205" s="7"/>
      <c r="R205" s="7"/>
      <c r="S205" s="7"/>
      <c r="T205" s="7"/>
    </row>
    <row r="206" spans="3:20" x14ac:dyDescent="0.25">
      <c r="C206" s="7"/>
      <c r="D206" s="7"/>
      <c r="E206" s="7" t="s">
        <v>19</v>
      </c>
      <c r="F206" s="7">
        <v>2020</v>
      </c>
      <c r="G206" s="8" t="s">
        <v>20</v>
      </c>
      <c r="H206" s="7" t="s">
        <v>39</v>
      </c>
      <c r="I206" s="7" t="s">
        <v>37</v>
      </c>
      <c r="J206" s="8"/>
      <c r="K206" s="7"/>
      <c r="L206" s="7" t="s">
        <v>27</v>
      </c>
      <c r="M206" s="18" t="e">
        <f t="shared" ref="M206:M207" si="107">M205</f>
        <v>#REF!</v>
      </c>
      <c r="N206" s="7"/>
      <c r="O206" s="7"/>
      <c r="P206" s="7"/>
      <c r="Q206" s="7"/>
      <c r="R206" s="7"/>
      <c r="S206" s="7"/>
      <c r="T206" s="7"/>
    </row>
    <row r="207" spans="3:20" x14ac:dyDescent="0.25">
      <c r="C207" s="7"/>
      <c r="D207" s="7"/>
      <c r="E207" s="7" t="s">
        <v>19</v>
      </c>
      <c r="F207" s="7">
        <v>2055</v>
      </c>
      <c r="G207" s="8" t="s">
        <v>20</v>
      </c>
      <c r="H207" s="7" t="s">
        <v>39</v>
      </c>
      <c r="I207" s="7" t="s">
        <v>37</v>
      </c>
      <c r="J207" s="8"/>
      <c r="K207" s="7"/>
      <c r="L207" s="7" t="s">
        <v>27</v>
      </c>
      <c r="M207" s="18" t="e">
        <f t="shared" si="107"/>
        <v>#REF!</v>
      </c>
      <c r="N207" s="7"/>
      <c r="O207" s="7"/>
      <c r="P207" s="7"/>
      <c r="Q207" s="7"/>
      <c r="R207" s="7"/>
      <c r="S207" s="7"/>
      <c r="T207" s="7"/>
    </row>
    <row r="208" spans="3:20" x14ac:dyDescent="0.25">
      <c r="C208" s="7"/>
      <c r="D208" s="7"/>
      <c r="E208" s="7" t="s">
        <v>19</v>
      </c>
      <c r="F208" s="7">
        <v>2010</v>
      </c>
      <c r="G208" s="8" t="s">
        <v>20</v>
      </c>
      <c r="H208" s="7" t="s">
        <v>39</v>
      </c>
      <c r="I208" s="7" t="s">
        <v>37</v>
      </c>
      <c r="J208" s="8"/>
      <c r="K208" s="7"/>
      <c r="L208" s="7" t="s">
        <v>28</v>
      </c>
      <c r="M208" s="18" t="e">
        <f>#REF!</f>
        <v>#REF!</v>
      </c>
      <c r="N208" s="7"/>
      <c r="O208" s="7"/>
      <c r="P208" s="7"/>
      <c r="Q208" s="7"/>
      <c r="R208" s="7"/>
      <c r="S208" s="7"/>
      <c r="T208" s="7"/>
    </row>
    <row r="209" spans="3:20" x14ac:dyDescent="0.25">
      <c r="C209" s="7"/>
      <c r="D209" s="7"/>
      <c r="E209" s="7" t="s">
        <v>19</v>
      </c>
      <c r="F209" s="7">
        <v>2015</v>
      </c>
      <c r="G209" s="8" t="s">
        <v>20</v>
      </c>
      <c r="H209" s="7" t="s">
        <v>39</v>
      </c>
      <c r="I209" s="7" t="s">
        <v>37</v>
      </c>
      <c r="J209" s="8"/>
      <c r="K209" s="7"/>
      <c r="L209" s="7" t="s">
        <v>28</v>
      </c>
      <c r="M209" s="18" t="e">
        <f>M208</f>
        <v>#REF!</v>
      </c>
      <c r="N209" s="7"/>
      <c r="O209" s="7"/>
      <c r="P209" s="7"/>
      <c r="Q209" s="7"/>
      <c r="R209" s="7"/>
      <c r="S209" s="7"/>
      <c r="T209" s="7"/>
    </row>
    <row r="210" spans="3:20" x14ac:dyDescent="0.25">
      <c r="C210" s="7"/>
      <c r="D210" s="7"/>
      <c r="E210" s="7" t="s">
        <v>19</v>
      </c>
      <c r="F210" s="7">
        <v>2020</v>
      </c>
      <c r="G210" s="8" t="s">
        <v>20</v>
      </c>
      <c r="H210" s="7" t="s">
        <v>39</v>
      </c>
      <c r="I210" s="7" t="s">
        <v>37</v>
      </c>
      <c r="J210" s="8"/>
      <c r="K210" s="7"/>
      <c r="L210" s="7" t="s">
        <v>28</v>
      </c>
      <c r="M210" s="18" t="e">
        <f t="shared" ref="M210:M211" si="108">M209</f>
        <v>#REF!</v>
      </c>
      <c r="N210" s="7"/>
      <c r="O210" s="7"/>
      <c r="P210" s="7"/>
      <c r="Q210" s="7"/>
      <c r="R210" s="7"/>
      <c r="S210" s="7"/>
      <c r="T210" s="7"/>
    </row>
    <row r="211" spans="3:20" x14ac:dyDescent="0.25">
      <c r="C211" s="7"/>
      <c r="D211" s="7"/>
      <c r="E211" s="7" t="s">
        <v>19</v>
      </c>
      <c r="F211" s="7">
        <v>2055</v>
      </c>
      <c r="G211" s="8" t="s">
        <v>20</v>
      </c>
      <c r="H211" s="7" t="s">
        <v>39</v>
      </c>
      <c r="I211" s="7" t="s">
        <v>37</v>
      </c>
      <c r="J211" s="8"/>
      <c r="K211" s="7"/>
      <c r="L211" s="7" t="s">
        <v>28</v>
      </c>
      <c r="M211" s="18" t="e">
        <f t="shared" si="108"/>
        <v>#REF!</v>
      </c>
      <c r="N211" s="7"/>
      <c r="O211" s="7"/>
      <c r="P211" s="7"/>
      <c r="Q211" s="7"/>
      <c r="R211" s="7"/>
      <c r="S211" s="7"/>
      <c r="T211" s="7"/>
    </row>
    <row r="212" spans="3:20" x14ac:dyDescent="0.25">
      <c r="C212" s="7"/>
      <c r="D212" s="7"/>
      <c r="E212" s="7" t="s">
        <v>19</v>
      </c>
      <c r="F212" s="7">
        <v>2010</v>
      </c>
      <c r="G212" s="8" t="s">
        <v>20</v>
      </c>
      <c r="H212" s="7" t="s">
        <v>39</v>
      </c>
      <c r="I212" s="7" t="s">
        <v>37</v>
      </c>
      <c r="J212" s="8"/>
      <c r="K212" s="7"/>
      <c r="L212" s="7" t="s">
        <v>29</v>
      </c>
      <c r="M212" s="18" t="e">
        <f>#REF!</f>
        <v>#REF!</v>
      </c>
      <c r="N212" s="7"/>
      <c r="O212" s="7"/>
      <c r="P212" s="7"/>
      <c r="Q212" s="7"/>
      <c r="R212" s="7"/>
      <c r="S212" s="7"/>
      <c r="T212" s="7"/>
    </row>
    <row r="213" spans="3:20" x14ac:dyDescent="0.25">
      <c r="C213" s="7"/>
      <c r="D213" s="7"/>
      <c r="E213" s="7" t="s">
        <v>19</v>
      </c>
      <c r="F213" s="7">
        <v>2015</v>
      </c>
      <c r="G213" s="8" t="s">
        <v>20</v>
      </c>
      <c r="H213" s="7" t="s">
        <v>39</v>
      </c>
      <c r="I213" s="7" t="s">
        <v>37</v>
      </c>
      <c r="J213" s="8"/>
      <c r="K213" s="7"/>
      <c r="L213" s="7" t="s">
        <v>29</v>
      </c>
      <c r="M213" s="18" t="e">
        <f>M212</f>
        <v>#REF!</v>
      </c>
      <c r="N213" s="7"/>
      <c r="O213" s="7"/>
      <c r="P213" s="7"/>
      <c r="Q213" s="7"/>
      <c r="R213" s="7"/>
      <c r="S213" s="7"/>
      <c r="T213" s="7"/>
    </row>
    <row r="214" spans="3:20" x14ac:dyDescent="0.25">
      <c r="C214" s="7"/>
      <c r="D214" s="7"/>
      <c r="E214" s="7" t="s">
        <v>19</v>
      </c>
      <c r="F214" s="7">
        <v>2020</v>
      </c>
      <c r="G214" s="8" t="s">
        <v>20</v>
      </c>
      <c r="H214" s="7" t="s">
        <v>39</v>
      </c>
      <c r="I214" s="7" t="s">
        <v>37</v>
      </c>
      <c r="J214" s="8"/>
      <c r="K214" s="7"/>
      <c r="L214" s="7" t="s">
        <v>29</v>
      </c>
      <c r="M214" s="18" t="e">
        <f t="shared" ref="M214:M215" si="109">M213</f>
        <v>#REF!</v>
      </c>
      <c r="N214" s="7"/>
      <c r="O214" s="7"/>
      <c r="P214" s="7"/>
      <c r="Q214" s="7"/>
      <c r="R214" s="7"/>
      <c r="S214" s="7"/>
      <c r="T214" s="7"/>
    </row>
    <row r="215" spans="3:20" x14ac:dyDescent="0.25">
      <c r="C215" s="7"/>
      <c r="D215" s="7"/>
      <c r="E215" s="7" t="s">
        <v>19</v>
      </c>
      <c r="F215" s="7">
        <v>2055</v>
      </c>
      <c r="G215" s="8" t="s">
        <v>20</v>
      </c>
      <c r="H215" s="7" t="s">
        <v>39</v>
      </c>
      <c r="I215" s="7" t="s">
        <v>37</v>
      </c>
      <c r="J215" s="8"/>
      <c r="K215" s="7"/>
      <c r="L215" s="7" t="s">
        <v>29</v>
      </c>
      <c r="M215" s="18" t="e">
        <f t="shared" si="109"/>
        <v>#REF!</v>
      </c>
      <c r="N215" s="7"/>
      <c r="O215" s="7"/>
      <c r="P215" s="7"/>
      <c r="Q215" s="7"/>
      <c r="R215" s="7"/>
      <c r="S215" s="7"/>
      <c r="T215" s="7"/>
    </row>
    <row r="216" spans="3:20" x14ac:dyDescent="0.25">
      <c r="C216" s="7"/>
      <c r="D216" s="7"/>
      <c r="E216" s="7" t="s">
        <v>19</v>
      </c>
      <c r="F216" s="7">
        <v>2010</v>
      </c>
      <c r="G216" s="8" t="s">
        <v>20</v>
      </c>
      <c r="H216" s="7" t="s">
        <v>39</v>
      </c>
      <c r="I216" s="7" t="s">
        <v>37</v>
      </c>
      <c r="J216" s="8"/>
      <c r="K216" s="7"/>
      <c r="L216" s="7" t="s">
        <v>30</v>
      </c>
      <c r="M216" s="18" t="e">
        <f>#REF!</f>
        <v>#REF!</v>
      </c>
      <c r="N216" s="7"/>
      <c r="O216" s="7"/>
      <c r="P216" s="7"/>
      <c r="Q216" s="7"/>
      <c r="R216" s="7"/>
      <c r="S216" s="7"/>
      <c r="T216" s="7"/>
    </row>
    <row r="217" spans="3:20" x14ac:dyDescent="0.25">
      <c r="C217" s="7"/>
      <c r="D217" s="7"/>
      <c r="E217" s="7" t="s">
        <v>19</v>
      </c>
      <c r="F217" s="7">
        <v>2015</v>
      </c>
      <c r="G217" s="8" t="s">
        <v>20</v>
      </c>
      <c r="H217" s="7" t="s">
        <v>39</v>
      </c>
      <c r="I217" s="7" t="s">
        <v>37</v>
      </c>
      <c r="J217" s="8"/>
      <c r="K217" s="7"/>
      <c r="L217" s="7" t="s">
        <v>30</v>
      </c>
      <c r="M217" s="18" t="e">
        <f>M216</f>
        <v>#REF!</v>
      </c>
      <c r="N217" s="7"/>
      <c r="O217" s="7"/>
      <c r="P217" s="7"/>
      <c r="Q217" s="7"/>
      <c r="R217" s="7"/>
      <c r="S217" s="7"/>
      <c r="T217" s="7"/>
    </row>
    <row r="218" spans="3:20" x14ac:dyDescent="0.25">
      <c r="C218" s="7"/>
      <c r="D218" s="7"/>
      <c r="E218" s="7" t="s">
        <v>19</v>
      </c>
      <c r="F218" s="7">
        <v>2020</v>
      </c>
      <c r="G218" s="8" t="s">
        <v>20</v>
      </c>
      <c r="H218" s="7" t="s">
        <v>39</v>
      </c>
      <c r="I218" s="7" t="s">
        <v>37</v>
      </c>
      <c r="J218" s="8"/>
      <c r="K218" s="7"/>
      <c r="L218" s="7" t="s">
        <v>30</v>
      </c>
      <c r="M218" s="18" t="e">
        <f t="shared" ref="M218:M219" si="110">M217</f>
        <v>#REF!</v>
      </c>
      <c r="N218" s="7"/>
      <c r="O218" s="7"/>
      <c r="P218" s="7"/>
      <c r="Q218" s="7"/>
      <c r="R218" s="7"/>
      <c r="S218" s="7"/>
      <c r="T218" s="7"/>
    </row>
    <row r="219" spans="3:20" x14ac:dyDescent="0.25">
      <c r="C219" s="7"/>
      <c r="D219" s="7"/>
      <c r="E219" s="7" t="s">
        <v>19</v>
      </c>
      <c r="F219" s="7">
        <v>2055</v>
      </c>
      <c r="G219" s="8" t="s">
        <v>20</v>
      </c>
      <c r="H219" s="7" t="s">
        <v>39</v>
      </c>
      <c r="I219" s="7" t="s">
        <v>37</v>
      </c>
      <c r="J219" s="8"/>
      <c r="K219" s="7"/>
      <c r="L219" s="7" t="s">
        <v>30</v>
      </c>
      <c r="M219" s="18" t="e">
        <f t="shared" si="110"/>
        <v>#REF!</v>
      </c>
      <c r="N219" s="7"/>
      <c r="O219" s="7"/>
      <c r="P219" s="7"/>
      <c r="Q219" s="7"/>
      <c r="R219" s="7"/>
      <c r="S219" s="7"/>
      <c r="T219" s="7"/>
    </row>
    <row r="220" spans="3:20" x14ac:dyDescent="0.25">
      <c r="C220" s="7"/>
      <c r="D220" s="7"/>
      <c r="E220" s="7" t="s">
        <v>19</v>
      </c>
      <c r="F220" s="7">
        <v>2010</v>
      </c>
      <c r="G220" s="8" t="s">
        <v>20</v>
      </c>
      <c r="H220" s="7" t="s">
        <v>39</v>
      </c>
      <c r="I220" s="7" t="s">
        <v>37</v>
      </c>
      <c r="J220" s="8"/>
      <c r="K220" s="7"/>
      <c r="L220" s="7" t="s">
        <v>31</v>
      </c>
      <c r="M220" s="7"/>
      <c r="N220" s="7"/>
      <c r="O220" s="7"/>
      <c r="P220" s="7"/>
      <c r="Q220" s="7"/>
      <c r="R220" s="7"/>
      <c r="S220" s="7"/>
      <c r="T220" s="7"/>
    </row>
    <row r="221" spans="3:20" x14ac:dyDescent="0.25">
      <c r="C221" s="7"/>
      <c r="D221" s="7"/>
      <c r="E221" s="7" t="s">
        <v>19</v>
      </c>
      <c r="F221" s="7">
        <v>2015</v>
      </c>
      <c r="G221" s="8" t="s">
        <v>20</v>
      </c>
      <c r="H221" s="7" t="s">
        <v>39</v>
      </c>
      <c r="I221" s="7" t="s">
        <v>37</v>
      </c>
      <c r="J221" s="8"/>
      <c r="K221" s="7"/>
      <c r="L221" s="7" t="s">
        <v>31</v>
      </c>
      <c r="M221" s="7"/>
      <c r="N221" s="7"/>
      <c r="O221" s="7"/>
      <c r="P221" s="7"/>
      <c r="Q221" s="7"/>
      <c r="R221" s="7"/>
      <c r="S221" s="7"/>
      <c r="T221" s="7"/>
    </row>
    <row r="222" spans="3:20" x14ac:dyDescent="0.25">
      <c r="C222" s="7"/>
      <c r="D222" s="7"/>
      <c r="E222" s="7" t="s">
        <v>19</v>
      </c>
      <c r="F222" s="7">
        <v>2020</v>
      </c>
      <c r="G222" s="8" t="s">
        <v>20</v>
      </c>
      <c r="H222" s="7" t="s">
        <v>39</v>
      </c>
      <c r="I222" s="7" t="s">
        <v>37</v>
      </c>
      <c r="J222" s="8"/>
      <c r="K222" s="7"/>
      <c r="L222" s="7" t="s">
        <v>31</v>
      </c>
      <c r="M222" s="7"/>
      <c r="N222" s="7"/>
      <c r="O222" s="7"/>
      <c r="P222" s="7"/>
      <c r="Q222" s="7"/>
      <c r="R222" s="7"/>
      <c r="S222" s="7"/>
      <c r="T222" s="7"/>
    </row>
    <row r="223" spans="3:20" x14ac:dyDescent="0.25">
      <c r="C223" s="7"/>
      <c r="D223" s="7"/>
      <c r="E223" s="7" t="s">
        <v>19</v>
      </c>
      <c r="F223" s="7">
        <v>2055</v>
      </c>
      <c r="G223" s="8" t="s">
        <v>20</v>
      </c>
      <c r="H223" s="7" t="s">
        <v>39</v>
      </c>
      <c r="I223" s="7" t="s">
        <v>37</v>
      </c>
      <c r="J223" s="8"/>
      <c r="K223" s="7"/>
      <c r="L223" s="7" t="s">
        <v>31</v>
      </c>
      <c r="M223" s="7"/>
      <c r="N223" s="7"/>
      <c r="O223" s="7"/>
      <c r="P223" s="7"/>
      <c r="Q223" s="7"/>
      <c r="R223" s="7"/>
      <c r="S223" s="7"/>
      <c r="T223" s="7"/>
    </row>
    <row r="224" spans="3:20" x14ac:dyDescent="0.25">
      <c r="C224" s="7"/>
      <c r="D224" s="7"/>
      <c r="E224" s="7" t="s">
        <v>19</v>
      </c>
      <c r="F224" s="7">
        <v>2010</v>
      </c>
      <c r="G224" s="8" t="s">
        <v>20</v>
      </c>
      <c r="H224" s="7" t="s">
        <v>39</v>
      </c>
      <c r="I224" s="7" t="s">
        <v>37</v>
      </c>
      <c r="J224" s="8"/>
      <c r="K224" s="7"/>
      <c r="L224" s="7" t="s">
        <v>32</v>
      </c>
      <c r="M224" s="7"/>
      <c r="N224" s="7"/>
      <c r="O224" s="7"/>
      <c r="P224" s="7"/>
      <c r="Q224" s="7"/>
      <c r="R224" s="7"/>
      <c r="S224" s="7"/>
      <c r="T224" s="7"/>
    </row>
    <row r="225" spans="3:20" x14ac:dyDescent="0.25">
      <c r="C225" s="7"/>
      <c r="D225" s="7"/>
      <c r="E225" s="7" t="s">
        <v>19</v>
      </c>
      <c r="F225" s="7">
        <v>2015</v>
      </c>
      <c r="G225" s="8" t="s">
        <v>20</v>
      </c>
      <c r="H225" s="7" t="s">
        <v>39</v>
      </c>
      <c r="I225" s="7" t="s">
        <v>37</v>
      </c>
      <c r="J225" s="8"/>
      <c r="K225" s="7"/>
      <c r="L225" s="7" t="s">
        <v>32</v>
      </c>
      <c r="M225" s="7"/>
      <c r="N225" s="7"/>
      <c r="O225" s="7"/>
      <c r="P225" s="7"/>
      <c r="Q225" s="7"/>
      <c r="R225" s="7"/>
      <c r="S225" s="7"/>
      <c r="T225" s="7"/>
    </row>
    <row r="226" spans="3:20" x14ac:dyDescent="0.25">
      <c r="C226" s="7"/>
      <c r="D226" s="7"/>
      <c r="E226" s="7" t="s">
        <v>19</v>
      </c>
      <c r="F226" s="7">
        <v>2020</v>
      </c>
      <c r="G226" s="8" t="s">
        <v>20</v>
      </c>
      <c r="H226" s="7" t="s">
        <v>39</v>
      </c>
      <c r="I226" s="7" t="s">
        <v>37</v>
      </c>
      <c r="J226" s="8"/>
      <c r="K226" s="7"/>
      <c r="L226" s="7" t="s">
        <v>32</v>
      </c>
      <c r="M226" s="7"/>
      <c r="N226" s="7"/>
      <c r="O226" s="7"/>
      <c r="P226" s="7"/>
      <c r="Q226" s="7"/>
      <c r="R226" s="7"/>
      <c r="S226" s="7"/>
      <c r="T226" s="7"/>
    </row>
    <row r="227" spans="3:20" x14ac:dyDescent="0.25">
      <c r="C227" s="7"/>
      <c r="D227" s="7"/>
      <c r="E227" s="7" t="s">
        <v>19</v>
      </c>
      <c r="F227" s="7">
        <v>2055</v>
      </c>
      <c r="G227" s="8" t="s">
        <v>20</v>
      </c>
      <c r="H227" s="7" t="s">
        <v>39</v>
      </c>
      <c r="I227" s="7" t="s">
        <v>37</v>
      </c>
      <c r="J227" s="8"/>
      <c r="K227" s="7"/>
      <c r="L227" s="7" t="s">
        <v>32</v>
      </c>
      <c r="M227" s="7"/>
      <c r="N227" s="7"/>
      <c r="O227" s="7"/>
      <c r="P227" s="7"/>
      <c r="Q227" s="7"/>
      <c r="R227" s="7"/>
      <c r="S227" s="7"/>
      <c r="T227" s="7"/>
    </row>
    <row r="228" spans="3:20" x14ac:dyDescent="0.25">
      <c r="C228" s="15" t="s">
        <v>33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spans="3:20" x14ac:dyDescent="0.25">
      <c r="C229" s="7"/>
      <c r="D229" s="7"/>
      <c r="E229" s="7" t="s">
        <v>19</v>
      </c>
      <c r="F229" s="7">
        <v>2010</v>
      </c>
      <c r="G229" s="8" t="s">
        <v>20</v>
      </c>
      <c r="H229" s="7" t="s">
        <v>40</v>
      </c>
      <c r="I229" s="7" t="s">
        <v>37</v>
      </c>
      <c r="J229" s="8"/>
      <c r="K229" s="7"/>
      <c r="L229" s="7" t="s">
        <v>22</v>
      </c>
      <c r="M229" s="18" t="e">
        <f>#REF!/1000</f>
        <v>#REF!</v>
      </c>
      <c r="N229" s="7"/>
      <c r="O229" s="7"/>
      <c r="P229" s="7"/>
      <c r="Q229" s="7"/>
      <c r="R229" s="7"/>
      <c r="S229" s="7"/>
      <c r="T229" s="7"/>
    </row>
    <row r="230" spans="3:20" x14ac:dyDescent="0.25">
      <c r="C230" s="7"/>
      <c r="D230" s="7"/>
      <c r="E230" s="7" t="s">
        <v>19</v>
      </c>
      <c r="F230" s="7">
        <v>2015</v>
      </c>
      <c r="G230" s="8" t="s">
        <v>20</v>
      </c>
      <c r="H230" s="7" t="s">
        <v>40</v>
      </c>
      <c r="I230" s="7" t="s">
        <v>37</v>
      </c>
      <c r="J230" s="8"/>
      <c r="K230" s="7"/>
      <c r="L230" s="7" t="s">
        <v>22</v>
      </c>
      <c r="M230" s="18" t="e">
        <f>M229</f>
        <v>#REF!</v>
      </c>
      <c r="N230" s="7"/>
      <c r="O230" s="7"/>
      <c r="P230" s="7"/>
      <c r="Q230" s="7"/>
      <c r="R230" s="7"/>
      <c r="S230" s="7"/>
      <c r="T230" s="7"/>
    </row>
    <row r="231" spans="3:20" x14ac:dyDescent="0.25">
      <c r="C231" s="7"/>
      <c r="D231" s="7"/>
      <c r="E231" s="7" t="s">
        <v>19</v>
      </c>
      <c r="F231" s="7">
        <v>2020</v>
      </c>
      <c r="G231" s="8" t="s">
        <v>20</v>
      </c>
      <c r="H231" s="7" t="s">
        <v>40</v>
      </c>
      <c r="I231" s="7" t="s">
        <v>37</v>
      </c>
      <c r="J231" s="8"/>
      <c r="K231" s="7"/>
      <c r="L231" s="7" t="s">
        <v>22</v>
      </c>
      <c r="M231" s="18" t="e">
        <f t="shared" ref="M231:M232" si="111">M230</f>
        <v>#REF!</v>
      </c>
      <c r="N231" s="7"/>
      <c r="O231" s="7"/>
      <c r="P231" s="7"/>
      <c r="Q231" s="7"/>
      <c r="R231" s="7"/>
      <c r="S231" s="7"/>
      <c r="T231" s="7"/>
    </row>
    <row r="232" spans="3:20" x14ac:dyDescent="0.25">
      <c r="C232" s="7"/>
      <c r="D232" s="7"/>
      <c r="E232" s="7" t="s">
        <v>19</v>
      </c>
      <c r="F232" s="7">
        <v>2055</v>
      </c>
      <c r="G232" s="8" t="s">
        <v>20</v>
      </c>
      <c r="H232" s="7" t="s">
        <v>40</v>
      </c>
      <c r="I232" s="7" t="s">
        <v>37</v>
      </c>
      <c r="J232" s="8"/>
      <c r="K232" s="7"/>
      <c r="L232" s="7" t="s">
        <v>22</v>
      </c>
      <c r="M232" s="18" t="e">
        <f t="shared" si="111"/>
        <v>#REF!</v>
      </c>
      <c r="N232" s="7"/>
      <c r="O232" s="7"/>
      <c r="P232" s="7"/>
      <c r="Q232" s="7"/>
      <c r="R232" s="7"/>
      <c r="S232" s="7"/>
      <c r="T232" s="7"/>
    </row>
    <row r="233" spans="3:20" x14ac:dyDescent="0.25">
      <c r="C233" s="7"/>
      <c r="D233" s="7"/>
      <c r="E233" s="7" t="s">
        <v>19</v>
      </c>
      <c r="F233" s="7">
        <v>2010</v>
      </c>
      <c r="G233" s="8" t="s">
        <v>20</v>
      </c>
      <c r="H233" s="7" t="s">
        <v>40</v>
      </c>
      <c r="I233" s="7" t="s">
        <v>37</v>
      </c>
      <c r="J233" s="8"/>
      <c r="K233" s="7"/>
      <c r="L233" s="7" t="s">
        <v>23</v>
      </c>
      <c r="M233" s="18" t="e">
        <f>#REF!</f>
        <v>#REF!</v>
      </c>
      <c r="N233" s="7"/>
      <c r="O233" s="7"/>
      <c r="P233" s="7"/>
      <c r="Q233" s="7"/>
      <c r="R233" s="7"/>
      <c r="S233" s="7"/>
      <c r="T233" s="7"/>
    </row>
    <row r="234" spans="3:20" x14ac:dyDescent="0.25">
      <c r="C234" s="7"/>
      <c r="D234" s="7"/>
      <c r="E234" s="7" t="s">
        <v>19</v>
      </c>
      <c r="F234" s="7">
        <v>2015</v>
      </c>
      <c r="G234" s="8" t="s">
        <v>20</v>
      </c>
      <c r="H234" s="7" t="s">
        <v>40</v>
      </c>
      <c r="I234" s="7" t="s">
        <v>37</v>
      </c>
      <c r="J234" s="8"/>
      <c r="K234" s="7"/>
      <c r="L234" s="7" t="s">
        <v>23</v>
      </c>
      <c r="M234" s="18" t="e">
        <f>M233</f>
        <v>#REF!</v>
      </c>
      <c r="N234" s="7"/>
      <c r="O234" s="7"/>
      <c r="P234" s="7"/>
      <c r="Q234" s="7"/>
      <c r="R234" s="7"/>
      <c r="S234" s="7"/>
      <c r="T234" s="7"/>
    </row>
    <row r="235" spans="3:20" x14ac:dyDescent="0.25">
      <c r="C235" s="7"/>
      <c r="D235" s="7"/>
      <c r="E235" s="7" t="s">
        <v>19</v>
      </c>
      <c r="F235" s="7">
        <v>2020</v>
      </c>
      <c r="G235" s="8" t="s">
        <v>20</v>
      </c>
      <c r="H235" s="7" t="s">
        <v>40</v>
      </c>
      <c r="I235" s="7" t="s">
        <v>37</v>
      </c>
      <c r="J235" s="8"/>
      <c r="K235" s="7"/>
      <c r="L235" s="7" t="s">
        <v>23</v>
      </c>
      <c r="M235" s="18" t="e">
        <f t="shared" ref="M235:M236" si="112">M234</f>
        <v>#REF!</v>
      </c>
      <c r="N235" s="7"/>
      <c r="O235" s="7"/>
      <c r="P235" s="7"/>
      <c r="Q235" s="7"/>
      <c r="R235" s="7"/>
      <c r="S235" s="7"/>
      <c r="T235" s="7"/>
    </row>
    <row r="236" spans="3:20" x14ac:dyDescent="0.25">
      <c r="C236" s="7"/>
      <c r="D236" s="7"/>
      <c r="E236" s="7" t="s">
        <v>19</v>
      </c>
      <c r="F236" s="7">
        <v>2055</v>
      </c>
      <c r="G236" s="8" t="s">
        <v>20</v>
      </c>
      <c r="H236" s="7" t="s">
        <v>40</v>
      </c>
      <c r="I236" s="7" t="s">
        <v>37</v>
      </c>
      <c r="J236" s="8"/>
      <c r="K236" s="7"/>
      <c r="L236" s="7" t="s">
        <v>23</v>
      </c>
      <c r="M236" s="18" t="e">
        <f t="shared" si="112"/>
        <v>#REF!</v>
      </c>
      <c r="N236" s="7"/>
      <c r="O236" s="7"/>
      <c r="P236" s="7"/>
      <c r="Q236" s="7"/>
      <c r="R236" s="7"/>
      <c r="S236" s="7"/>
      <c r="T236" s="7"/>
    </row>
    <row r="237" spans="3:20" x14ac:dyDescent="0.25">
      <c r="C237" s="7"/>
      <c r="D237" s="7"/>
      <c r="E237" s="7" t="s">
        <v>19</v>
      </c>
      <c r="F237" s="7">
        <v>2010</v>
      </c>
      <c r="G237" s="8" t="s">
        <v>20</v>
      </c>
      <c r="H237" s="7" t="s">
        <v>40</v>
      </c>
      <c r="I237" s="7" t="s">
        <v>37</v>
      </c>
      <c r="J237" s="8"/>
      <c r="K237" s="7"/>
      <c r="L237" s="7" t="s">
        <v>24</v>
      </c>
      <c r="M237" s="18" t="e">
        <f>#REF!</f>
        <v>#REF!</v>
      </c>
      <c r="N237" s="7"/>
      <c r="O237" s="7"/>
      <c r="P237" s="7"/>
      <c r="Q237" s="7"/>
      <c r="R237" s="7"/>
      <c r="S237" s="7"/>
      <c r="T237" s="7"/>
    </row>
    <row r="238" spans="3:20" x14ac:dyDescent="0.25">
      <c r="C238" s="7"/>
      <c r="D238" s="7"/>
      <c r="E238" s="7" t="s">
        <v>19</v>
      </c>
      <c r="F238" s="7">
        <v>2015</v>
      </c>
      <c r="G238" s="8" t="s">
        <v>20</v>
      </c>
      <c r="H238" s="7" t="s">
        <v>40</v>
      </c>
      <c r="I238" s="7" t="s">
        <v>37</v>
      </c>
      <c r="J238" s="8"/>
      <c r="K238" s="7"/>
      <c r="L238" s="7" t="s">
        <v>24</v>
      </c>
      <c r="M238" s="18" t="e">
        <f>M237</f>
        <v>#REF!</v>
      </c>
      <c r="N238" s="7"/>
      <c r="O238" s="7"/>
      <c r="P238" s="7"/>
      <c r="Q238" s="7"/>
      <c r="R238" s="7"/>
      <c r="S238" s="7"/>
      <c r="T238" s="7"/>
    </row>
    <row r="239" spans="3:20" x14ac:dyDescent="0.25">
      <c r="C239" s="7"/>
      <c r="D239" s="7"/>
      <c r="E239" s="7" t="s">
        <v>19</v>
      </c>
      <c r="F239" s="7">
        <v>2020</v>
      </c>
      <c r="G239" s="8" t="s">
        <v>20</v>
      </c>
      <c r="H239" s="7" t="s">
        <v>40</v>
      </c>
      <c r="I239" s="7" t="s">
        <v>37</v>
      </c>
      <c r="J239" s="8"/>
      <c r="K239" s="7"/>
      <c r="L239" s="7" t="s">
        <v>24</v>
      </c>
      <c r="M239" s="18" t="e">
        <f t="shared" ref="M239:M240" si="113">M238</f>
        <v>#REF!</v>
      </c>
      <c r="N239" s="7"/>
      <c r="O239" s="7"/>
      <c r="P239" s="7"/>
      <c r="Q239" s="7"/>
      <c r="R239" s="7"/>
      <c r="S239" s="7"/>
      <c r="T239" s="7"/>
    </row>
    <row r="240" spans="3:20" x14ac:dyDescent="0.25">
      <c r="C240" s="7"/>
      <c r="D240" s="7"/>
      <c r="E240" s="7" t="s">
        <v>19</v>
      </c>
      <c r="F240" s="7">
        <v>2055</v>
      </c>
      <c r="G240" s="8" t="s">
        <v>20</v>
      </c>
      <c r="H240" s="7" t="s">
        <v>40</v>
      </c>
      <c r="I240" s="7" t="s">
        <v>37</v>
      </c>
      <c r="J240" s="8"/>
      <c r="K240" s="7"/>
      <c r="L240" s="7" t="s">
        <v>24</v>
      </c>
      <c r="M240" s="18" t="e">
        <f t="shared" si="113"/>
        <v>#REF!</v>
      </c>
      <c r="N240" s="7"/>
      <c r="O240" s="7"/>
      <c r="P240" s="7"/>
      <c r="Q240" s="7"/>
      <c r="R240" s="7"/>
      <c r="S240" s="7"/>
      <c r="T240" s="7"/>
    </row>
    <row r="241" spans="3:20" x14ac:dyDescent="0.25">
      <c r="C241" s="7"/>
      <c r="D241" s="7"/>
      <c r="E241" s="7" t="s">
        <v>19</v>
      </c>
      <c r="F241" s="7">
        <v>2010</v>
      </c>
      <c r="G241" s="8" t="s">
        <v>20</v>
      </c>
      <c r="H241" s="7" t="s">
        <v>40</v>
      </c>
      <c r="I241" s="7" t="s">
        <v>37</v>
      </c>
      <c r="J241" s="8"/>
      <c r="K241" s="7"/>
      <c r="L241" s="7" t="s">
        <v>25</v>
      </c>
      <c r="M241" s="18" t="e">
        <f>#REF!</f>
        <v>#REF!</v>
      </c>
      <c r="N241" s="7"/>
      <c r="O241" s="7"/>
      <c r="P241" s="7"/>
      <c r="Q241" s="7"/>
      <c r="R241" s="7"/>
      <c r="S241" s="7"/>
      <c r="T241" s="7"/>
    </row>
    <row r="242" spans="3:20" x14ac:dyDescent="0.25">
      <c r="C242" s="7"/>
      <c r="D242" s="7"/>
      <c r="E242" s="7" t="s">
        <v>19</v>
      </c>
      <c r="F242" s="7">
        <v>2015</v>
      </c>
      <c r="G242" s="8" t="s">
        <v>20</v>
      </c>
      <c r="H242" s="7" t="s">
        <v>40</v>
      </c>
      <c r="I242" s="7" t="s">
        <v>37</v>
      </c>
      <c r="J242" s="8"/>
      <c r="K242" s="7"/>
      <c r="L242" s="7" t="s">
        <v>25</v>
      </c>
      <c r="M242" s="18" t="e">
        <f>M241</f>
        <v>#REF!</v>
      </c>
      <c r="N242" s="7"/>
      <c r="O242" s="7"/>
      <c r="P242" s="7"/>
      <c r="Q242" s="7"/>
      <c r="R242" s="7"/>
      <c r="S242" s="7"/>
      <c r="T242" s="7"/>
    </row>
    <row r="243" spans="3:20" x14ac:dyDescent="0.25">
      <c r="C243" s="7"/>
      <c r="D243" s="7"/>
      <c r="E243" s="7" t="s">
        <v>19</v>
      </c>
      <c r="F243" s="7">
        <v>2020</v>
      </c>
      <c r="G243" s="8" t="s">
        <v>20</v>
      </c>
      <c r="H243" s="7" t="s">
        <v>40</v>
      </c>
      <c r="I243" s="7" t="s">
        <v>37</v>
      </c>
      <c r="J243" s="8"/>
      <c r="K243" s="7"/>
      <c r="L243" s="7" t="s">
        <v>25</v>
      </c>
      <c r="M243" s="18" t="e">
        <f t="shared" ref="M243:M244" si="114">M242</f>
        <v>#REF!</v>
      </c>
      <c r="N243" s="7"/>
      <c r="O243" s="7"/>
      <c r="P243" s="7"/>
      <c r="Q243" s="7"/>
      <c r="R243" s="7"/>
      <c r="S243" s="7"/>
      <c r="T243" s="7"/>
    </row>
    <row r="244" spans="3:20" x14ac:dyDescent="0.25">
      <c r="C244" s="7"/>
      <c r="D244" s="7"/>
      <c r="E244" s="7" t="s">
        <v>19</v>
      </c>
      <c r="F244" s="7">
        <v>2055</v>
      </c>
      <c r="G244" s="8" t="s">
        <v>20</v>
      </c>
      <c r="H244" s="7" t="s">
        <v>40</v>
      </c>
      <c r="I244" s="7" t="s">
        <v>37</v>
      </c>
      <c r="J244" s="8"/>
      <c r="K244" s="7"/>
      <c r="L244" s="7" t="s">
        <v>25</v>
      </c>
      <c r="M244" s="18" t="e">
        <f t="shared" si="114"/>
        <v>#REF!</v>
      </c>
      <c r="N244" s="7"/>
      <c r="O244" s="7"/>
      <c r="P244" s="7"/>
      <c r="Q244" s="7"/>
      <c r="R244" s="7"/>
      <c r="S244" s="7"/>
      <c r="T244" s="7"/>
    </row>
    <row r="245" spans="3:20" x14ac:dyDescent="0.25">
      <c r="C245" s="7"/>
      <c r="D245" s="7"/>
      <c r="E245" s="7" t="s">
        <v>19</v>
      </c>
      <c r="F245" s="7">
        <v>2010</v>
      </c>
      <c r="G245" s="8" t="s">
        <v>20</v>
      </c>
      <c r="H245" s="7" t="s">
        <v>40</v>
      </c>
      <c r="I245" s="7" t="s">
        <v>37</v>
      </c>
      <c r="J245" s="8"/>
      <c r="K245" s="7"/>
      <c r="L245" s="7" t="s">
        <v>26</v>
      </c>
      <c r="M245" s="18" t="e">
        <f>#REF!</f>
        <v>#REF!</v>
      </c>
      <c r="N245" s="7"/>
      <c r="O245" s="7"/>
      <c r="P245" s="7"/>
      <c r="Q245" s="7"/>
      <c r="R245" s="7"/>
      <c r="S245" s="7"/>
      <c r="T245" s="7"/>
    </row>
    <row r="246" spans="3:20" x14ac:dyDescent="0.25">
      <c r="C246" s="7"/>
      <c r="D246" s="7"/>
      <c r="E246" s="7" t="s">
        <v>19</v>
      </c>
      <c r="F246" s="7">
        <v>2015</v>
      </c>
      <c r="G246" s="8" t="s">
        <v>20</v>
      </c>
      <c r="H246" s="7" t="s">
        <v>40</v>
      </c>
      <c r="I246" s="7" t="s">
        <v>37</v>
      </c>
      <c r="J246" s="8"/>
      <c r="K246" s="7"/>
      <c r="L246" s="7" t="s">
        <v>26</v>
      </c>
      <c r="M246" s="18" t="e">
        <f>M245</f>
        <v>#REF!</v>
      </c>
      <c r="N246" s="7"/>
      <c r="O246" s="7"/>
      <c r="P246" s="7"/>
      <c r="Q246" s="7"/>
      <c r="R246" s="7"/>
      <c r="S246" s="7"/>
      <c r="T246" s="7"/>
    </row>
    <row r="247" spans="3:20" x14ac:dyDescent="0.25">
      <c r="C247" s="7"/>
      <c r="D247" s="7"/>
      <c r="E247" s="7" t="s">
        <v>19</v>
      </c>
      <c r="F247" s="7">
        <v>2020</v>
      </c>
      <c r="G247" s="8" t="s">
        <v>20</v>
      </c>
      <c r="H247" s="7" t="s">
        <v>40</v>
      </c>
      <c r="I247" s="7" t="s">
        <v>37</v>
      </c>
      <c r="J247" s="8"/>
      <c r="K247" s="7"/>
      <c r="L247" s="7" t="s">
        <v>26</v>
      </c>
      <c r="M247" s="18" t="e">
        <f t="shared" ref="M247:M248" si="115">M246</f>
        <v>#REF!</v>
      </c>
      <c r="N247" s="7"/>
      <c r="O247" s="7"/>
      <c r="P247" s="7"/>
      <c r="Q247" s="7"/>
      <c r="R247" s="7"/>
      <c r="S247" s="7"/>
      <c r="T247" s="7"/>
    </row>
    <row r="248" spans="3:20" x14ac:dyDescent="0.25">
      <c r="C248" s="7"/>
      <c r="D248" s="7"/>
      <c r="E248" s="7" t="s">
        <v>19</v>
      </c>
      <c r="F248" s="7">
        <v>2055</v>
      </c>
      <c r="G248" s="8" t="s">
        <v>20</v>
      </c>
      <c r="H248" s="7" t="s">
        <v>40</v>
      </c>
      <c r="I248" s="7" t="s">
        <v>37</v>
      </c>
      <c r="J248" s="8"/>
      <c r="K248" s="7"/>
      <c r="L248" s="7" t="s">
        <v>26</v>
      </c>
      <c r="M248" s="18" t="e">
        <f t="shared" si="115"/>
        <v>#REF!</v>
      </c>
      <c r="N248" s="7"/>
      <c r="O248" s="7"/>
      <c r="P248" s="7"/>
      <c r="Q248" s="7"/>
      <c r="R248" s="7"/>
      <c r="S248" s="7"/>
      <c r="T248" s="7"/>
    </row>
    <row r="249" spans="3:20" x14ac:dyDescent="0.25">
      <c r="C249" s="7"/>
      <c r="D249" s="7"/>
      <c r="E249" s="7" t="s">
        <v>19</v>
      </c>
      <c r="F249" s="7">
        <v>2010</v>
      </c>
      <c r="G249" s="8" t="s">
        <v>20</v>
      </c>
      <c r="H249" s="7" t="s">
        <v>40</v>
      </c>
      <c r="I249" s="7" t="s">
        <v>37</v>
      </c>
      <c r="J249" s="8"/>
      <c r="K249" s="7"/>
      <c r="L249" s="7" t="s">
        <v>27</v>
      </c>
      <c r="M249" s="18" t="e">
        <f>#REF!</f>
        <v>#REF!</v>
      </c>
      <c r="N249" s="7"/>
      <c r="O249" s="7"/>
      <c r="P249" s="7"/>
      <c r="Q249" s="7"/>
      <c r="R249" s="7"/>
      <c r="S249" s="7"/>
      <c r="T249" s="7"/>
    </row>
    <row r="250" spans="3:20" x14ac:dyDescent="0.25">
      <c r="C250" s="7"/>
      <c r="D250" s="7"/>
      <c r="E250" s="7" t="s">
        <v>19</v>
      </c>
      <c r="F250" s="7">
        <v>2015</v>
      </c>
      <c r="G250" s="8" t="s">
        <v>20</v>
      </c>
      <c r="H250" s="7" t="s">
        <v>40</v>
      </c>
      <c r="I250" s="7" t="s">
        <v>37</v>
      </c>
      <c r="J250" s="8"/>
      <c r="K250" s="7"/>
      <c r="L250" s="7" t="s">
        <v>27</v>
      </c>
      <c r="M250" s="18" t="e">
        <f>M249</f>
        <v>#REF!</v>
      </c>
      <c r="N250" s="7"/>
      <c r="O250" s="7"/>
      <c r="P250" s="7"/>
      <c r="Q250" s="7"/>
      <c r="R250" s="7"/>
      <c r="S250" s="7"/>
      <c r="T250" s="7"/>
    </row>
    <row r="251" spans="3:20" x14ac:dyDescent="0.25">
      <c r="C251" s="7"/>
      <c r="D251" s="7"/>
      <c r="E251" s="7" t="s">
        <v>19</v>
      </c>
      <c r="F251" s="7">
        <v>2020</v>
      </c>
      <c r="G251" s="8" t="s">
        <v>20</v>
      </c>
      <c r="H251" s="7" t="s">
        <v>40</v>
      </c>
      <c r="I251" s="7" t="s">
        <v>37</v>
      </c>
      <c r="J251" s="8"/>
      <c r="K251" s="7"/>
      <c r="L251" s="7" t="s">
        <v>27</v>
      </c>
      <c r="M251" s="18" t="e">
        <f t="shared" ref="M251:M252" si="116">M250</f>
        <v>#REF!</v>
      </c>
      <c r="N251" s="7"/>
      <c r="O251" s="7"/>
      <c r="P251" s="7"/>
      <c r="Q251" s="7"/>
      <c r="R251" s="7"/>
      <c r="S251" s="7"/>
      <c r="T251" s="7"/>
    </row>
    <row r="252" spans="3:20" x14ac:dyDescent="0.25">
      <c r="C252" s="7"/>
      <c r="D252" s="7"/>
      <c r="E252" s="7" t="s">
        <v>19</v>
      </c>
      <c r="F252" s="7">
        <v>2055</v>
      </c>
      <c r="G252" s="8" t="s">
        <v>20</v>
      </c>
      <c r="H252" s="7" t="s">
        <v>40</v>
      </c>
      <c r="I252" s="7" t="s">
        <v>37</v>
      </c>
      <c r="J252" s="8"/>
      <c r="K252" s="7"/>
      <c r="L252" s="7" t="s">
        <v>27</v>
      </c>
      <c r="M252" s="18" t="e">
        <f t="shared" si="116"/>
        <v>#REF!</v>
      </c>
      <c r="N252" s="7"/>
      <c r="O252" s="7"/>
      <c r="P252" s="7"/>
      <c r="Q252" s="7"/>
      <c r="R252" s="7"/>
      <c r="S252" s="7"/>
      <c r="T252" s="7"/>
    </row>
    <row r="253" spans="3:20" x14ac:dyDescent="0.25">
      <c r="C253" s="7"/>
      <c r="D253" s="7"/>
      <c r="E253" s="7" t="s">
        <v>19</v>
      </c>
      <c r="F253" s="7">
        <v>2010</v>
      </c>
      <c r="G253" s="8" t="s">
        <v>20</v>
      </c>
      <c r="H253" s="7" t="s">
        <v>40</v>
      </c>
      <c r="I253" s="7" t="s">
        <v>37</v>
      </c>
      <c r="J253" s="8"/>
      <c r="K253" s="7"/>
      <c r="L253" s="7" t="s">
        <v>28</v>
      </c>
      <c r="M253" s="18" t="e">
        <f>#REF!</f>
        <v>#REF!</v>
      </c>
      <c r="N253" s="7"/>
      <c r="O253" s="7"/>
      <c r="P253" s="7"/>
      <c r="Q253" s="7"/>
      <c r="R253" s="7"/>
      <c r="S253" s="7"/>
      <c r="T253" s="7"/>
    </row>
    <row r="254" spans="3:20" x14ac:dyDescent="0.25">
      <c r="C254" s="7"/>
      <c r="D254" s="7"/>
      <c r="E254" s="7" t="s">
        <v>19</v>
      </c>
      <c r="F254" s="7">
        <v>2015</v>
      </c>
      <c r="G254" s="8" t="s">
        <v>20</v>
      </c>
      <c r="H254" s="7" t="s">
        <v>40</v>
      </c>
      <c r="I254" s="7" t="s">
        <v>37</v>
      </c>
      <c r="J254" s="8"/>
      <c r="K254" s="7"/>
      <c r="L254" s="7" t="s">
        <v>28</v>
      </c>
      <c r="M254" s="18" t="e">
        <f>M253</f>
        <v>#REF!</v>
      </c>
      <c r="N254" s="7"/>
      <c r="O254" s="7"/>
      <c r="P254" s="7"/>
      <c r="Q254" s="7"/>
      <c r="R254" s="7"/>
      <c r="S254" s="7"/>
      <c r="T254" s="7"/>
    </row>
    <row r="255" spans="3:20" x14ac:dyDescent="0.25">
      <c r="C255" s="7"/>
      <c r="D255" s="7"/>
      <c r="E255" s="7" t="s">
        <v>19</v>
      </c>
      <c r="F255" s="7">
        <v>2020</v>
      </c>
      <c r="G255" s="8" t="s">
        <v>20</v>
      </c>
      <c r="H255" s="7" t="s">
        <v>40</v>
      </c>
      <c r="I255" s="7" t="s">
        <v>37</v>
      </c>
      <c r="J255" s="8"/>
      <c r="K255" s="7"/>
      <c r="L255" s="7" t="s">
        <v>28</v>
      </c>
      <c r="M255" s="18" t="e">
        <f t="shared" ref="M255:M256" si="117">M254</f>
        <v>#REF!</v>
      </c>
      <c r="N255" s="7"/>
      <c r="O255" s="7"/>
      <c r="P255" s="7"/>
      <c r="Q255" s="7"/>
      <c r="R255" s="7"/>
      <c r="S255" s="7"/>
      <c r="T255" s="7"/>
    </row>
    <row r="256" spans="3:20" x14ac:dyDescent="0.25">
      <c r="C256" s="7"/>
      <c r="D256" s="7"/>
      <c r="E256" s="7" t="s">
        <v>19</v>
      </c>
      <c r="F256" s="7">
        <v>2055</v>
      </c>
      <c r="G256" s="8" t="s">
        <v>20</v>
      </c>
      <c r="H256" s="7" t="s">
        <v>40</v>
      </c>
      <c r="I256" s="7" t="s">
        <v>37</v>
      </c>
      <c r="J256" s="8"/>
      <c r="K256" s="7"/>
      <c r="L256" s="7" t="s">
        <v>28</v>
      </c>
      <c r="M256" s="18" t="e">
        <f t="shared" si="117"/>
        <v>#REF!</v>
      </c>
      <c r="N256" s="7"/>
      <c r="O256" s="7"/>
      <c r="P256" s="7"/>
      <c r="Q256" s="7"/>
      <c r="R256" s="7"/>
      <c r="S256" s="7"/>
      <c r="T256" s="7"/>
    </row>
    <row r="257" spans="3:20" x14ac:dyDescent="0.25">
      <c r="C257" s="7"/>
      <c r="D257" s="7"/>
      <c r="E257" s="7" t="s">
        <v>19</v>
      </c>
      <c r="F257" s="7">
        <v>2010</v>
      </c>
      <c r="G257" s="8" t="s">
        <v>20</v>
      </c>
      <c r="H257" s="7" t="s">
        <v>40</v>
      </c>
      <c r="I257" s="7" t="s">
        <v>37</v>
      </c>
      <c r="J257" s="8"/>
      <c r="K257" s="7"/>
      <c r="L257" s="7" t="s">
        <v>29</v>
      </c>
      <c r="M257" s="18" t="e">
        <f>#REF!</f>
        <v>#REF!</v>
      </c>
      <c r="N257" s="7"/>
      <c r="O257" s="7"/>
      <c r="P257" s="7"/>
      <c r="Q257" s="7"/>
      <c r="R257" s="7"/>
      <c r="S257" s="7"/>
      <c r="T257" s="7"/>
    </row>
    <row r="258" spans="3:20" x14ac:dyDescent="0.25">
      <c r="C258" s="7"/>
      <c r="D258" s="7"/>
      <c r="E258" s="7" t="s">
        <v>19</v>
      </c>
      <c r="F258" s="7">
        <v>2015</v>
      </c>
      <c r="G258" s="8" t="s">
        <v>20</v>
      </c>
      <c r="H258" s="7" t="s">
        <v>40</v>
      </c>
      <c r="I258" s="7" t="s">
        <v>37</v>
      </c>
      <c r="J258" s="8"/>
      <c r="K258" s="7"/>
      <c r="L258" s="7" t="s">
        <v>29</v>
      </c>
      <c r="M258" s="18" t="e">
        <f>M257</f>
        <v>#REF!</v>
      </c>
      <c r="N258" s="7"/>
      <c r="O258" s="7"/>
      <c r="P258" s="7"/>
      <c r="Q258" s="7"/>
      <c r="R258" s="7"/>
      <c r="S258" s="7"/>
      <c r="T258" s="7"/>
    </row>
    <row r="259" spans="3:20" x14ac:dyDescent="0.25">
      <c r="C259" s="7"/>
      <c r="D259" s="7"/>
      <c r="E259" s="7" t="s">
        <v>19</v>
      </c>
      <c r="F259" s="7">
        <v>2020</v>
      </c>
      <c r="G259" s="8" t="s">
        <v>20</v>
      </c>
      <c r="H259" s="7" t="s">
        <v>40</v>
      </c>
      <c r="I259" s="7" t="s">
        <v>37</v>
      </c>
      <c r="J259" s="8"/>
      <c r="K259" s="7"/>
      <c r="L259" s="7" t="s">
        <v>29</v>
      </c>
      <c r="M259" s="18" t="e">
        <f t="shared" ref="M259:M260" si="118">M258</f>
        <v>#REF!</v>
      </c>
      <c r="N259" s="7"/>
      <c r="O259" s="7"/>
      <c r="P259" s="7"/>
      <c r="Q259" s="7"/>
      <c r="R259" s="7"/>
      <c r="S259" s="7"/>
      <c r="T259" s="7"/>
    </row>
    <row r="260" spans="3:20" x14ac:dyDescent="0.25">
      <c r="C260" s="7"/>
      <c r="D260" s="7"/>
      <c r="E260" s="7" t="s">
        <v>19</v>
      </c>
      <c r="F260" s="7">
        <v>2055</v>
      </c>
      <c r="G260" s="8" t="s">
        <v>20</v>
      </c>
      <c r="H260" s="7" t="s">
        <v>40</v>
      </c>
      <c r="I260" s="7" t="s">
        <v>37</v>
      </c>
      <c r="J260" s="8"/>
      <c r="K260" s="7"/>
      <c r="L260" s="7" t="s">
        <v>29</v>
      </c>
      <c r="M260" s="18" t="e">
        <f t="shared" si="118"/>
        <v>#REF!</v>
      </c>
      <c r="N260" s="7"/>
      <c r="O260" s="7"/>
      <c r="P260" s="7"/>
      <c r="Q260" s="7"/>
      <c r="R260" s="7"/>
      <c r="S260" s="7"/>
      <c r="T260" s="7"/>
    </row>
    <row r="261" spans="3:20" x14ac:dyDescent="0.25">
      <c r="C261" s="7"/>
      <c r="D261" s="7"/>
      <c r="E261" s="7" t="s">
        <v>19</v>
      </c>
      <c r="F261" s="7">
        <v>2010</v>
      </c>
      <c r="G261" s="8" t="s">
        <v>20</v>
      </c>
      <c r="H261" s="7" t="s">
        <v>40</v>
      </c>
      <c r="I261" s="7" t="s">
        <v>37</v>
      </c>
      <c r="J261" s="8"/>
      <c r="K261" s="7"/>
      <c r="L261" s="7" t="s">
        <v>30</v>
      </c>
      <c r="M261" s="18" t="e">
        <f>#REF!</f>
        <v>#REF!</v>
      </c>
      <c r="N261" s="7"/>
      <c r="O261" s="7"/>
      <c r="P261" s="7"/>
      <c r="Q261" s="7"/>
      <c r="R261" s="7"/>
      <c r="S261" s="7"/>
      <c r="T261" s="7"/>
    </row>
    <row r="262" spans="3:20" x14ac:dyDescent="0.25">
      <c r="C262" s="7"/>
      <c r="D262" s="7"/>
      <c r="E262" s="7" t="s">
        <v>19</v>
      </c>
      <c r="F262" s="7">
        <v>2015</v>
      </c>
      <c r="G262" s="8" t="s">
        <v>20</v>
      </c>
      <c r="H262" s="7" t="s">
        <v>40</v>
      </c>
      <c r="I262" s="7" t="s">
        <v>37</v>
      </c>
      <c r="J262" s="8"/>
      <c r="K262" s="7"/>
      <c r="L262" s="7" t="s">
        <v>30</v>
      </c>
      <c r="M262" s="18" t="e">
        <f>M261</f>
        <v>#REF!</v>
      </c>
      <c r="N262" s="7"/>
      <c r="O262" s="7"/>
      <c r="P262" s="7"/>
      <c r="Q262" s="7"/>
      <c r="R262" s="7"/>
      <c r="S262" s="7"/>
      <c r="T262" s="7"/>
    </row>
    <row r="263" spans="3:20" x14ac:dyDescent="0.25">
      <c r="C263" s="7"/>
      <c r="D263" s="7"/>
      <c r="E263" s="7" t="s">
        <v>19</v>
      </c>
      <c r="F263" s="7">
        <v>2020</v>
      </c>
      <c r="G263" s="8" t="s">
        <v>20</v>
      </c>
      <c r="H263" s="7" t="s">
        <v>40</v>
      </c>
      <c r="I263" s="7" t="s">
        <v>37</v>
      </c>
      <c r="J263" s="8"/>
      <c r="K263" s="7"/>
      <c r="L263" s="7" t="s">
        <v>30</v>
      </c>
      <c r="M263" s="18" t="e">
        <f t="shared" ref="M263:M264" si="119">M262</f>
        <v>#REF!</v>
      </c>
      <c r="N263" s="7"/>
      <c r="O263" s="7"/>
      <c r="P263" s="7"/>
      <c r="Q263" s="7"/>
      <c r="R263" s="7"/>
      <c r="S263" s="7"/>
      <c r="T263" s="7"/>
    </row>
    <row r="264" spans="3:20" x14ac:dyDescent="0.25">
      <c r="C264" s="7"/>
      <c r="D264" s="7"/>
      <c r="E264" s="7" t="s">
        <v>19</v>
      </c>
      <c r="F264" s="7">
        <v>2055</v>
      </c>
      <c r="G264" s="8" t="s">
        <v>20</v>
      </c>
      <c r="H264" s="7" t="s">
        <v>40</v>
      </c>
      <c r="I264" s="7" t="s">
        <v>37</v>
      </c>
      <c r="J264" s="8"/>
      <c r="K264" s="7"/>
      <c r="L264" s="7" t="s">
        <v>30</v>
      </c>
      <c r="M264" s="18" t="e">
        <f t="shared" si="119"/>
        <v>#REF!</v>
      </c>
      <c r="N264" s="7"/>
      <c r="O264" s="7"/>
      <c r="P264" s="7"/>
      <c r="Q264" s="7"/>
      <c r="R264" s="7"/>
      <c r="S264" s="7"/>
      <c r="T264" s="7"/>
    </row>
    <row r="265" spans="3:20" x14ac:dyDescent="0.25">
      <c r="C265" s="7"/>
      <c r="D265" s="7"/>
      <c r="E265" s="7" t="s">
        <v>19</v>
      </c>
      <c r="F265" s="7">
        <v>2010</v>
      </c>
      <c r="G265" s="8" t="s">
        <v>20</v>
      </c>
      <c r="H265" s="7" t="s">
        <v>40</v>
      </c>
      <c r="I265" s="7" t="s">
        <v>37</v>
      </c>
      <c r="J265" s="8"/>
      <c r="K265" s="7"/>
      <c r="L265" s="7" t="s">
        <v>31</v>
      </c>
      <c r="M265" s="7"/>
      <c r="N265" s="7"/>
      <c r="O265" s="7"/>
      <c r="P265" s="7"/>
      <c r="Q265" s="7"/>
      <c r="R265" s="7"/>
      <c r="S265" s="7"/>
      <c r="T265" s="7"/>
    </row>
    <row r="266" spans="3:20" x14ac:dyDescent="0.25">
      <c r="C266" s="7"/>
      <c r="D266" s="7"/>
      <c r="E266" s="7" t="s">
        <v>19</v>
      </c>
      <c r="F266" s="7">
        <v>2015</v>
      </c>
      <c r="G266" s="8" t="s">
        <v>20</v>
      </c>
      <c r="H266" s="7" t="s">
        <v>40</v>
      </c>
      <c r="I266" s="7" t="s">
        <v>37</v>
      </c>
      <c r="J266" s="8"/>
      <c r="K266" s="7"/>
      <c r="L266" s="7" t="s">
        <v>31</v>
      </c>
      <c r="M266" s="7"/>
      <c r="N266" s="7"/>
      <c r="O266" s="7"/>
      <c r="P266" s="7"/>
      <c r="Q266" s="7"/>
      <c r="R266" s="7"/>
      <c r="S266" s="7"/>
      <c r="T266" s="7"/>
    </row>
    <row r="267" spans="3:20" x14ac:dyDescent="0.25">
      <c r="C267" s="7"/>
      <c r="D267" s="7"/>
      <c r="E267" s="7" t="s">
        <v>19</v>
      </c>
      <c r="F267" s="7">
        <v>2020</v>
      </c>
      <c r="G267" s="8" t="s">
        <v>20</v>
      </c>
      <c r="H267" s="7" t="s">
        <v>40</v>
      </c>
      <c r="I267" s="7" t="s">
        <v>37</v>
      </c>
      <c r="J267" s="8"/>
      <c r="K267" s="7"/>
      <c r="L267" s="7" t="s">
        <v>31</v>
      </c>
      <c r="M267" s="7"/>
      <c r="N267" s="7"/>
      <c r="O267" s="7"/>
      <c r="P267" s="7"/>
      <c r="Q267" s="7"/>
      <c r="R267" s="7"/>
      <c r="S267" s="7"/>
      <c r="T267" s="7"/>
    </row>
    <row r="268" spans="3:20" x14ac:dyDescent="0.25">
      <c r="C268" s="7"/>
      <c r="D268" s="7"/>
      <c r="E268" s="7" t="s">
        <v>19</v>
      </c>
      <c r="F268" s="7">
        <v>2055</v>
      </c>
      <c r="G268" s="8" t="s">
        <v>20</v>
      </c>
      <c r="H268" s="7" t="s">
        <v>40</v>
      </c>
      <c r="I268" s="7" t="s">
        <v>37</v>
      </c>
      <c r="J268" s="8"/>
      <c r="K268" s="7"/>
      <c r="L268" s="7" t="s">
        <v>31</v>
      </c>
      <c r="M268" s="7"/>
      <c r="N268" s="7"/>
      <c r="O268" s="7"/>
      <c r="P268" s="7"/>
      <c r="Q268" s="7"/>
      <c r="R268" s="7"/>
      <c r="S268" s="7"/>
      <c r="T268" s="7"/>
    </row>
    <row r="269" spans="3:20" x14ac:dyDescent="0.25">
      <c r="C269" s="7"/>
      <c r="D269" s="7"/>
      <c r="E269" s="7" t="s">
        <v>19</v>
      </c>
      <c r="F269" s="7">
        <v>2010</v>
      </c>
      <c r="G269" s="8" t="s">
        <v>20</v>
      </c>
      <c r="H269" s="7" t="s">
        <v>40</v>
      </c>
      <c r="I269" s="7" t="s">
        <v>37</v>
      </c>
      <c r="J269" s="8"/>
      <c r="K269" s="7"/>
      <c r="L269" s="7" t="s">
        <v>32</v>
      </c>
      <c r="M269" s="7"/>
      <c r="N269" s="7"/>
      <c r="O269" s="7"/>
      <c r="P269" s="7"/>
      <c r="Q269" s="7"/>
      <c r="R269" s="7"/>
      <c r="S269" s="7"/>
      <c r="T269" s="7"/>
    </row>
    <row r="270" spans="3:20" x14ac:dyDescent="0.25">
      <c r="C270" s="7"/>
      <c r="D270" s="7"/>
      <c r="E270" s="7" t="s">
        <v>19</v>
      </c>
      <c r="F270" s="7">
        <v>2015</v>
      </c>
      <c r="G270" s="8" t="s">
        <v>20</v>
      </c>
      <c r="H270" s="7" t="s">
        <v>40</v>
      </c>
      <c r="I270" s="7" t="s">
        <v>37</v>
      </c>
      <c r="J270" s="8"/>
      <c r="K270" s="7"/>
      <c r="L270" s="7" t="s">
        <v>32</v>
      </c>
      <c r="M270" s="7"/>
      <c r="N270" s="7"/>
      <c r="O270" s="7"/>
      <c r="P270" s="7"/>
      <c r="Q270" s="7"/>
      <c r="R270" s="7"/>
      <c r="S270" s="7"/>
      <c r="T270" s="7"/>
    </row>
    <row r="271" spans="3:20" x14ac:dyDescent="0.25">
      <c r="C271" s="7"/>
      <c r="D271" s="7"/>
      <c r="E271" s="7" t="s">
        <v>19</v>
      </c>
      <c r="F271" s="7">
        <v>2020</v>
      </c>
      <c r="G271" s="8" t="s">
        <v>20</v>
      </c>
      <c r="H271" s="7" t="s">
        <v>40</v>
      </c>
      <c r="I271" s="7" t="s">
        <v>37</v>
      </c>
      <c r="J271" s="8"/>
      <c r="K271" s="7"/>
      <c r="L271" s="7" t="s">
        <v>32</v>
      </c>
      <c r="M271" s="7"/>
      <c r="N271" s="7"/>
      <c r="O271" s="7"/>
      <c r="P271" s="7"/>
      <c r="Q271" s="7"/>
      <c r="R271" s="7"/>
      <c r="S271" s="7"/>
      <c r="T271" s="7"/>
    </row>
    <row r="272" spans="3:20" x14ac:dyDescent="0.25">
      <c r="C272" s="7"/>
      <c r="D272" s="7"/>
      <c r="E272" s="7" t="s">
        <v>19</v>
      </c>
      <c r="F272" s="7">
        <v>2055</v>
      </c>
      <c r="G272" s="8" t="s">
        <v>20</v>
      </c>
      <c r="H272" s="7" t="s">
        <v>40</v>
      </c>
      <c r="I272" s="7" t="s">
        <v>37</v>
      </c>
      <c r="J272" s="8"/>
      <c r="K272" s="7"/>
      <c r="L272" s="7" t="s">
        <v>32</v>
      </c>
      <c r="M272" s="7"/>
      <c r="N272" s="7"/>
      <c r="O272" s="7"/>
      <c r="P272" s="7"/>
      <c r="Q272" s="7"/>
      <c r="R272" s="7"/>
      <c r="S272" s="7"/>
      <c r="T272" s="7"/>
    </row>
    <row r="273" spans="3:20" x14ac:dyDescent="0.25">
      <c r="C273" s="15" t="s">
        <v>33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 spans="3:20" x14ac:dyDescent="0.25">
      <c r="C274" s="7"/>
      <c r="D274" s="7"/>
      <c r="E274" s="7" t="s">
        <v>19</v>
      </c>
      <c r="F274" s="7">
        <v>2010</v>
      </c>
      <c r="G274" s="8" t="s">
        <v>20</v>
      </c>
      <c r="H274" s="7" t="s">
        <v>41</v>
      </c>
      <c r="I274" s="7" t="s">
        <v>37</v>
      </c>
      <c r="J274" s="8"/>
      <c r="K274" s="7"/>
      <c r="L274" s="7" t="s">
        <v>22</v>
      </c>
      <c r="M274" s="18" t="e">
        <f>#REF!/1000</f>
        <v>#REF!</v>
      </c>
      <c r="N274" s="7"/>
      <c r="O274" s="7"/>
      <c r="P274" s="7"/>
      <c r="Q274" s="7"/>
      <c r="R274" s="7"/>
      <c r="S274" s="7"/>
      <c r="T274" s="7"/>
    </row>
    <row r="275" spans="3:20" x14ac:dyDescent="0.25">
      <c r="C275" s="7"/>
      <c r="D275" s="7"/>
      <c r="E275" s="7" t="s">
        <v>19</v>
      </c>
      <c r="F275" s="7">
        <v>2015</v>
      </c>
      <c r="G275" s="8" t="s">
        <v>20</v>
      </c>
      <c r="H275" s="7" t="s">
        <v>41</v>
      </c>
      <c r="I275" s="7" t="s">
        <v>37</v>
      </c>
      <c r="J275" s="8"/>
      <c r="K275" s="7"/>
      <c r="L275" s="7" t="s">
        <v>22</v>
      </c>
      <c r="M275" s="18" t="e">
        <f>M274</f>
        <v>#REF!</v>
      </c>
      <c r="N275" s="7"/>
      <c r="O275" s="7"/>
      <c r="P275" s="7"/>
      <c r="Q275" s="7"/>
      <c r="R275" s="7"/>
      <c r="S275" s="7"/>
      <c r="T275" s="7"/>
    </row>
    <row r="276" spans="3:20" x14ac:dyDescent="0.25">
      <c r="C276" s="7"/>
      <c r="D276" s="7"/>
      <c r="E276" s="7" t="s">
        <v>19</v>
      </c>
      <c r="F276" s="7">
        <v>2020</v>
      </c>
      <c r="G276" s="8" t="s">
        <v>20</v>
      </c>
      <c r="H276" s="7" t="s">
        <v>41</v>
      </c>
      <c r="I276" s="7" t="s">
        <v>37</v>
      </c>
      <c r="J276" s="8"/>
      <c r="K276" s="7"/>
      <c r="L276" s="7" t="s">
        <v>22</v>
      </c>
      <c r="M276" s="18" t="e">
        <f t="shared" ref="M276:M277" si="120">M275</f>
        <v>#REF!</v>
      </c>
      <c r="N276" s="7"/>
      <c r="O276" s="7"/>
      <c r="P276" s="7"/>
      <c r="Q276" s="7"/>
      <c r="R276" s="7"/>
      <c r="S276" s="7"/>
      <c r="T276" s="7"/>
    </row>
    <row r="277" spans="3:20" x14ac:dyDescent="0.25">
      <c r="C277" s="7"/>
      <c r="D277" s="7"/>
      <c r="E277" s="7" t="s">
        <v>19</v>
      </c>
      <c r="F277" s="7">
        <v>2055</v>
      </c>
      <c r="G277" s="8" t="s">
        <v>20</v>
      </c>
      <c r="H277" s="7" t="s">
        <v>41</v>
      </c>
      <c r="I277" s="7" t="s">
        <v>37</v>
      </c>
      <c r="J277" s="8"/>
      <c r="K277" s="7"/>
      <c r="L277" s="7" t="s">
        <v>22</v>
      </c>
      <c r="M277" s="18" t="e">
        <f t="shared" si="120"/>
        <v>#REF!</v>
      </c>
      <c r="N277" s="7"/>
      <c r="O277" s="7"/>
      <c r="P277" s="7"/>
      <c r="Q277" s="7"/>
      <c r="R277" s="7"/>
      <c r="S277" s="7"/>
      <c r="T277" s="7"/>
    </row>
    <row r="278" spans="3:20" x14ac:dyDescent="0.25">
      <c r="C278" s="7"/>
      <c r="D278" s="7"/>
      <c r="E278" s="7" t="s">
        <v>19</v>
      </c>
      <c r="F278" s="7">
        <v>2010</v>
      </c>
      <c r="G278" s="8" t="s">
        <v>20</v>
      </c>
      <c r="H278" s="7" t="s">
        <v>41</v>
      </c>
      <c r="I278" s="7" t="s">
        <v>37</v>
      </c>
      <c r="J278" s="8"/>
      <c r="K278" s="7"/>
      <c r="L278" s="7" t="s">
        <v>23</v>
      </c>
      <c r="M278" s="18" t="e">
        <f>#REF!</f>
        <v>#REF!</v>
      </c>
      <c r="N278" s="7"/>
      <c r="O278" s="7"/>
      <c r="P278" s="7"/>
      <c r="Q278" s="7"/>
      <c r="R278" s="7"/>
      <c r="S278" s="7"/>
      <c r="T278" s="7"/>
    </row>
    <row r="279" spans="3:20" x14ac:dyDescent="0.25">
      <c r="C279" s="7"/>
      <c r="D279" s="7"/>
      <c r="E279" s="7" t="s">
        <v>19</v>
      </c>
      <c r="F279" s="7">
        <v>2015</v>
      </c>
      <c r="G279" s="8" t="s">
        <v>20</v>
      </c>
      <c r="H279" s="7" t="s">
        <v>41</v>
      </c>
      <c r="I279" s="7" t="s">
        <v>37</v>
      </c>
      <c r="J279" s="8"/>
      <c r="K279" s="7"/>
      <c r="L279" s="7" t="s">
        <v>23</v>
      </c>
      <c r="M279" s="18" t="e">
        <f>M278</f>
        <v>#REF!</v>
      </c>
      <c r="N279" s="7"/>
      <c r="O279" s="7"/>
      <c r="P279" s="7"/>
      <c r="Q279" s="7"/>
      <c r="R279" s="7"/>
      <c r="S279" s="7"/>
      <c r="T279" s="7"/>
    </row>
    <row r="280" spans="3:20" x14ac:dyDescent="0.25">
      <c r="C280" s="7"/>
      <c r="D280" s="7"/>
      <c r="E280" s="7" t="s">
        <v>19</v>
      </c>
      <c r="F280" s="7">
        <v>2020</v>
      </c>
      <c r="G280" s="8" t="s">
        <v>20</v>
      </c>
      <c r="H280" s="7" t="s">
        <v>41</v>
      </c>
      <c r="I280" s="7" t="s">
        <v>37</v>
      </c>
      <c r="J280" s="8"/>
      <c r="K280" s="7"/>
      <c r="L280" s="7" t="s">
        <v>23</v>
      </c>
      <c r="M280" s="18" t="e">
        <f t="shared" ref="M280:M281" si="121">M279</f>
        <v>#REF!</v>
      </c>
      <c r="N280" s="7"/>
      <c r="O280" s="7"/>
      <c r="P280" s="7"/>
      <c r="Q280" s="7"/>
      <c r="R280" s="7"/>
      <c r="S280" s="7"/>
      <c r="T280" s="7"/>
    </row>
    <row r="281" spans="3:20" x14ac:dyDescent="0.25">
      <c r="C281" s="7"/>
      <c r="D281" s="7"/>
      <c r="E281" s="7" t="s">
        <v>19</v>
      </c>
      <c r="F281" s="7">
        <v>2055</v>
      </c>
      <c r="G281" s="8" t="s">
        <v>20</v>
      </c>
      <c r="H281" s="7" t="s">
        <v>41</v>
      </c>
      <c r="I281" s="7" t="s">
        <v>37</v>
      </c>
      <c r="J281" s="8"/>
      <c r="K281" s="7"/>
      <c r="L281" s="7" t="s">
        <v>23</v>
      </c>
      <c r="M281" s="18" t="e">
        <f t="shared" si="121"/>
        <v>#REF!</v>
      </c>
      <c r="N281" s="7"/>
      <c r="O281" s="7"/>
      <c r="P281" s="7"/>
      <c r="Q281" s="7"/>
      <c r="R281" s="7"/>
      <c r="S281" s="7"/>
      <c r="T281" s="7"/>
    </row>
    <row r="282" spans="3:20" x14ac:dyDescent="0.25">
      <c r="C282" s="7"/>
      <c r="D282" s="7"/>
      <c r="E282" s="7" t="s">
        <v>19</v>
      </c>
      <c r="F282" s="7">
        <v>2010</v>
      </c>
      <c r="G282" s="8" t="s">
        <v>20</v>
      </c>
      <c r="H282" s="7" t="s">
        <v>41</v>
      </c>
      <c r="I282" s="7" t="s">
        <v>37</v>
      </c>
      <c r="J282" s="8"/>
      <c r="K282" s="7"/>
      <c r="L282" s="7" t="s">
        <v>24</v>
      </c>
      <c r="M282" s="18" t="e">
        <f>#REF!</f>
        <v>#REF!</v>
      </c>
      <c r="N282" s="7"/>
      <c r="O282" s="7"/>
      <c r="P282" s="7"/>
      <c r="Q282" s="7"/>
      <c r="R282" s="7"/>
      <c r="S282" s="7"/>
      <c r="T282" s="7"/>
    </row>
    <row r="283" spans="3:20" x14ac:dyDescent="0.25">
      <c r="C283" s="7"/>
      <c r="D283" s="7"/>
      <c r="E283" s="7" t="s">
        <v>19</v>
      </c>
      <c r="F283" s="7">
        <v>2015</v>
      </c>
      <c r="G283" s="8" t="s">
        <v>20</v>
      </c>
      <c r="H283" s="7" t="s">
        <v>41</v>
      </c>
      <c r="I283" s="7" t="s">
        <v>37</v>
      </c>
      <c r="J283" s="8"/>
      <c r="K283" s="7"/>
      <c r="L283" s="7" t="s">
        <v>24</v>
      </c>
      <c r="M283" s="18" t="e">
        <f>M282</f>
        <v>#REF!</v>
      </c>
      <c r="N283" s="7"/>
      <c r="O283" s="7"/>
      <c r="P283" s="7"/>
      <c r="Q283" s="7"/>
      <c r="R283" s="7"/>
      <c r="S283" s="7"/>
      <c r="T283" s="7"/>
    </row>
    <row r="284" spans="3:20" x14ac:dyDescent="0.25">
      <c r="C284" s="7"/>
      <c r="D284" s="7"/>
      <c r="E284" s="7" t="s">
        <v>19</v>
      </c>
      <c r="F284" s="7">
        <v>2020</v>
      </c>
      <c r="G284" s="8" t="s">
        <v>20</v>
      </c>
      <c r="H284" s="7" t="s">
        <v>41</v>
      </c>
      <c r="I284" s="7" t="s">
        <v>37</v>
      </c>
      <c r="J284" s="8"/>
      <c r="K284" s="7"/>
      <c r="L284" s="7" t="s">
        <v>24</v>
      </c>
      <c r="M284" s="18" t="e">
        <f t="shared" ref="M284:M285" si="122">M283</f>
        <v>#REF!</v>
      </c>
      <c r="N284" s="7"/>
      <c r="O284" s="7"/>
      <c r="P284" s="7"/>
      <c r="Q284" s="7"/>
      <c r="R284" s="7"/>
      <c r="S284" s="7"/>
      <c r="T284" s="7"/>
    </row>
    <row r="285" spans="3:20" x14ac:dyDescent="0.25">
      <c r="C285" s="7"/>
      <c r="D285" s="7"/>
      <c r="E285" s="7" t="s">
        <v>19</v>
      </c>
      <c r="F285" s="7">
        <v>2055</v>
      </c>
      <c r="G285" s="8" t="s">
        <v>20</v>
      </c>
      <c r="H285" s="7" t="s">
        <v>41</v>
      </c>
      <c r="I285" s="7" t="s">
        <v>37</v>
      </c>
      <c r="J285" s="8"/>
      <c r="K285" s="7"/>
      <c r="L285" s="7" t="s">
        <v>24</v>
      </c>
      <c r="M285" s="18" t="e">
        <f t="shared" si="122"/>
        <v>#REF!</v>
      </c>
      <c r="N285" s="7"/>
      <c r="O285" s="7"/>
      <c r="P285" s="7"/>
      <c r="Q285" s="7"/>
      <c r="R285" s="7"/>
      <c r="S285" s="7"/>
      <c r="T285" s="7"/>
    </row>
    <row r="286" spans="3:20" x14ac:dyDescent="0.25">
      <c r="C286" s="7"/>
      <c r="D286" s="7"/>
      <c r="E286" s="7" t="s">
        <v>19</v>
      </c>
      <c r="F286" s="7">
        <v>2010</v>
      </c>
      <c r="G286" s="8" t="s">
        <v>20</v>
      </c>
      <c r="H286" s="7" t="s">
        <v>41</v>
      </c>
      <c r="I286" s="7" t="s">
        <v>37</v>
      </c>
      <c r="J286" s="8"/>
      <c r="K286" s="7"/>
      <c r="L286" s="7" t="s">
        <v>25</v>
      </c>
      <c r="M286" s="18" t="e">
        <f>#REF!</f>
        <v>#REF!</v>
      </c>
      <c r="N286" s="7"/>
      <c r="O286" s="7"/>
      <c r="P286" s="7"/>
      <c r="Q286" s="7"/>
      <c r="R286" s="7"/>
      <c r="S286" s="7"/>
      <c r="T286" s="7"/>
    </row>
    <row r="287" spans="3:20" x14ac:dyDescent="0.25">
      <c r="C287" s="7"/>
      <c r="D287" s="7"/>
      <c r="E287" s="7" t="s">
        <v>19</v>
      </c>
      <c r="F287" s="7">
        <v>2015</v>
      </c>
      <c r="G287" s="8" t="s">
        <v>20</v>
      </c>
      <c r="H287" s="7" t="s">
        <v>41</v>
      </c>
      <c r="I287" s="7" t="s">
        <v>37</v>
      </c>
      <c r="J287" s="8"/>
      <c r="K287" s="7"/>
      <c r="L287" s="7" t="s">
        <v>25</v>
      </c>
      <c r="M287" s="18" t="e">
        <f>M286</f>
        <v>#REF!</v>
      </c>
      <c r="N287" s="7"/>
      <c r="O287" s="7"/>
      <c r="P287" s="7"/>
      <c r="Q287" s="7"/>
      <c r="R287" s="7"/>
      <c r="S287" s="7"/>
      <c r="T287" s="7"/>
    </row>
    <row r="288" spans="3:20" x14ac:dyDescent="0.25">
      <c r="C288" s="7"/>
      <c r="D288" s="7"/>
      <c r="E288" s="7" t="s">
        <v>19</v>
      </c>
      <c r="F288" s="7">
        <v>2020</v>
      </c>
      <c r="G288" s="8" t="s">
        <v>20</v>
      </c>
      <c r="H288" s="7" t="s">
        <v>41</v>
      </c>
      <c r="I288" s="7" t="s">
        <v>37</v>
      </c>
      <c r="J288" s="8"/>
      <c r="K288" s="7"/>
      <c r="L288" s="7" t="s">
        <v>25</v>
      </c>
      <c r="M288" s="18" t="e">
        <f t="shared" ref="M288:M289" si="123">M287</f>
        <v>#REF!</v>
      </c>
      <c r="N288" s="7"/>
      <c r="O288" s="7"/>
      <c r="P288" s="7"/>
      <c r="Q288" s="7"/>
      <c r="R288" s="7"/>
      <c r="S288" s="7"/>
      <c r="T288" s="7"/>
    </row>
    <row r="289" spans="3:20" x14ac:dyDescent="0.25">
      <c r="C289" s="7"/>
      <c r="D289" s="7"/>
      <c r="E289" s="7" t="s">
        <v>19</v>
      </c>
      <c r="F289" s="7">
        <v>2055</v>
      </c>
      <c r="G289" s="8" t="s">
        <v>20</v>
      </c>
      <c r="H289" s="7" t="s">
        <v>41</v>
      </c>
      <c r="I289" s="7" t="s">
        <v>37</v>
      </c>
      <c r="J289" s="8"/>
      <c r="K289" s="7"/>
      <c r="L289" s="7" t="s">
        <v>25</v>
      </c>
      <c r="M289" s="18" t="e">
        <f t="shared" si="123"/>
        <v>#REF!</v>
      </c>
      <c r="N289" s="7"/>
      <c r="O289" s="7"/>
      <c r="P289" s="7"/>
      <c r="Q289" s="7"/>
      <c r="R289" s="7"/>
      <c r="S289" s="7"/>
      <c r="T289" s="7"/>
    </row>
    <row r="290" spans="3:20" x14ac:dyDescent="0.25">
      <c r="C290" s="7"/>
      <c r="D290" s="7"/>
      <c r="E290" s="7" t="s">
        <v>19</v>
      </c>
      <c r="F290" s="7">
        <v>2010</v>
      </c>
      <c r="G290" s="8" t="s">
        <v>20</v>
      </c>
      <c r="H290" s="7" t="s">
        <v>41</v>
      </c>
      <c r="I290" s="7" t="s">
        <v>37</v>
      </c>
      <c r="J290" s="8"/>
      <c r="K290" s="7"/>
      <c r="L290" s="7" t="s">
        <v>26</v>
      </c>
      <c r="M290" s="18" t="e">
        <f>#REF!</f>
        <v>#REF!</v>
      </c>
      <c r="N290" s="7"/>
      <c r="O290" s="7"/>
      <c r="P290" s="7"/>
      <c r="Q290" s="7"/>
      <c r="R290" s="7"/>
      <c r="S290" s="7"/>
      <c r="T290" s="7"/>
    </row>
    <row r="291" spans="3:20" x14ac:dyDescent="0.25">
      <c r="C291" s="7"/>
      <c r="D291" s="7"/>
      <c r="E291" s="7" t="s">
        <v>19</v>
      </c>
      <c r="F291" s="7">
        <v>2015</v>
      </c>
      <c r="G291" s="8" t="s">
        <v>20</v>
      </c>
      <c r="H291" s="7" t="s">
        <v>41</v>
      </c>
      <c r="I291" s="7" t="s">
        <v>37</v>
      </c>
      <c r="J291" s="8"/>
      <c r="K291" s="7"/>
      <c r="L291" s="7" t="s">
        <v>26</v>
      </c>
      <c r="M291" s="18" t="e">
        <f>M290</f>
        <v>#REF!</v>
      </c>
      <c r="N291" s="7"/>
      <c r="O291" s="7"/>
      <c r="P291" s="7"/>
      <c r="Q291" s="7"/>
      <c r="R291" s="7"/>
      <c r="S291" s="7"/>
      <c r="T291" s="7"/>
    </row>
    <row r="292" spans="3:20" x14ac:dyDescent="0.25">
      <c r="C292" s="7"/>
      <c r="D292" s="7"/>
      <c r="E292" s="7" t="s">
        <v>19</v>
      </c>
      <c r="F292" s="7">
        <v>2020</v>
      </c>
      <c r="G292" s="8" t="s">
        <v>20</v>
      </c>
      <c r="H292" s="7" t="s">
        <v>41</v>
      </c>
      <c r="I292" s="7" t="s">
        <v>37</v>
      </c>
      <c r="J292" s="8"/>
      <c r="K292" s="7"/>
      <c r="L292" s="7" t="s">
        <v>26</v>
      </c>
      <c r="M292" s="18" t="e">
        <f t="shared" ref="M292:M293" si="124">M291</f>
        <v>#REF!</v>
      </c>
      <c r="N292" s="7"/>
      <c r="O292" s="7"/>
      <c r="P292" s="7"/>
      <c r="Q292" s="7"/>
      <c r="R292" s="7"/>
      <c r="S292" s="7"/>
      <c r="T292" s="7"/>
    </row>
    <row r="293" spans="3:20" x14ac:dyDescent="0.25">
      <c r="C293" s="7"/>
      <c r="D293" s="7"/>
      <c r="E293" s="7" t="s">
        <v>19</v>
      </c>
      <c r="F293" s="7">
        <v>2055</v>
      </c>
      <c r="G293" s="8" t="s">
        <v>20</v>
      </c>
      <c r="H293" s="7" t="s">
        <v>41</v>
      </c>
      <c r="I293" s="7" t="s">
        <v>37</v>
      </c>
      <c r="J293" s="8"/>
      <c r="K293" s="7"/>
      <c r="L293" s="7" t="s">
        <v>26</v>
      </c>
      <c r="M293" s="18" t="e">
        <f t="shared" si="124"/>
        <v>#REF!</v>
      </c>
      <c r="N293" s="7"/>
      <c r="O293" s="7"/>
      <c r="P293" s="7"/>
      <c r="Q293" s="7"/>
      <c r="R293" s="7"/>
      <c r="S293" s="7"/>
      <c r="T293" s="7"/>
    </row>
    <row r="294" spans="3:20" x14ac:dyDescent="0.25">
      <c r="C294" s="7"/>
      <c r="D294" s="7"/>
      <c r="E294" s="7" t="s">
        <v>19</v>
      </c>
      <c r="F294" s="7">
        <v>2010</v>
      </c>
      <c r="G294" s="8" t="s">
        <v>20</v>
      </c>
      <c r="H294" s="7" t="s">
        <v>41</v>
      </c>
      <c r="I294" s="7" t="s">
        <v>37</v>
      </c>
      <c r="J294" s="8"/>
      <c r="K294" s="7"/>
      <c r="L294" s="7" t="s">
        <v>27</v>
      </c>
      <c r="M294" s="18" t="e">
        <f>#REF!</f>
        <v>#REF!</v>
      </c>
      <c r="N294" s="7"/>
      <c r="O294" s="7"/>
      <c r="P294" s="7"/>
      <c r="Q294" s="7"/>
      <c r="R294" s="7"/>
      <c r="S294" s="7"/>
      <c r="T294" s="7"/>
    </row>
    <row r="295" spans="3:20" x14ac:dyDescent="0.25">
      <c r="C295" s="7"/>
      <c r="D295" s="7"/>
      <c r="E295" s="7" t="s">
        <v>19</v>
      </c>
      <c r="F295" s="7">
        <v>2015</v>
      </c>
      <c r="G295" s="8" t="s">
        <v>20</v>
      </c>
      <c r="H295" s="7" t="s">
        <v>41</v>
      </c>
      <c r="I295" s="7" t="s">
        <v>37</v>
      </c>
      <c r="J295" s="8"/>
      <c r="K295" s="7"/>
      <c r="L295" s="7" t="s">
        <v>27</v>
      </c>
      <c r="M295" s="18" t="e">
        <f>M294</f>
        <v>#REF!</v>
      </c>
      <c r="N295" s="7"/>
      <c r="O295" s="7"/>
      <c r="P295" s="7"/>
      <c r="Q295" s="7"/>
      <c r="R295" s="7"/>
      <c r="S295" s="7"/>
      <c r="T295" s="7"/>
    </row>
    <row r="296" spans="3:20" x14ac:dyDescent="0.25">
      <c r="C296" s="7"/>
      <c r="D296" s="7"/>
      <c r="E296" s="7" t="s">
        <v>19</v>
      </c>
      <c r="F296" s="7">
        <v>2020</v>
      </c>
      <c r="G296" s="8" t="s">
        <v>20</v>
      </c>
      <c r="H296" s="7" t="s">
        <v>41</v>
      </c>
      <c r="I296" s="7" t="s">
        <v>37</v>
      </c>
      <c r="J296" s="8"/>
      <c r="K296" s="7"/>
      <c r="L296" s="7" t="s">
        <v>27</v>
      </c>
      <c r="M296" s="18" t="e">
        <f t="shared" ref="M296:M297" si="125">M295</f>
        <v>#REF!</v>
      </c>
      <c r="N296" s="7"/>
      <c r="O296" s="7"/>
      <c r="P296" s="7"/>
      <c r="Q296" s="7"/>
      <c r="R296" s="7"/>
      <c r="S296" s="7"/>
      <c r="T296" s="7"/>
    </row>
    <row r="297" spans="3:20" x14ac:dyDescent="0.25">
      <c r="C297" s="7"/>
      <c r="D297" s="7"/>
      <c r="E297" s="7" t="s">
        <v>19</v>
      </c>
      <c r="F297" s="7">
        <v>2055</v>
      </c>
      <c r="G297" s="8" t="s">
        <v>20</v>
      </c>
      <c r="H297" s="7" t="s">
        <v>41</v>
      </c>
      <c r="I297" s="7" t="s">
        <v>37</v>
      </c>
      <c r="J297" s="8"/>
      <c r="K297" s="7"/>
      <c r="L297" s="7" t="s">
        <v>27</v>
      </c>
      <c r="M297" s="18" t="e">
        <f t="shared" si="125"/>
        <v>#REF!</v>
      </c>
      <c r="N297" s="7"/>
      <c r="O297" s="7"/>
      <c r="P297" s="7"/>
      <c r="Q297" s="7"/>
      <c r="R297" s="7"/>
      <c r="S297" s="7"/>
      <c r="T297" s="7"/>
    </row>
    <row r="298" spans="3:20" x14ac:dyDescent="0.25">
      <c r="C298" s="7"/>
      <c r="D298" s="7"/>
      <c r="E298" s="7" t="s">
        <v>19</v>
      </c>
      <c r="F298" s="7">
        <v>2010</v>
      </c>
      <c r="G298" s="8" t="s">
        <v>20</v>
      </c>
      <c r="H298" s="7" t="s">
        <v>41</v>
      </c>
      <c r="I298" s="7" t="s">
        <v>37</v>
      </c>
      <c r="J298" s="8"/>
      <c r="K298" s="7"/>
      <c r="L298" s="7" t="s">
        <v>28</v>
      </c>
      <c r="M298" s="18" t="e">
        <f>#REF!</f>
        <v>#REF!</v>
      </c>
      <c r="N298" s="7"/>
      <c r="O298" s="7"/>
      <c r="P298" s="7"/>
      <c r="Q298" s="7"/>
      <c r="R298" s="7"/>
      <c r="S298" s="7"/>
      <c r="T298" s="7"/>
    </row>
    <row r="299" spans="3:20" x14ac:dyDescent="0.25">
      <c r="C299" s="7"/>
      <c r="D299" s="7"/>
      <c r="E299" s="7" t="s">
        <v>19</v>
      </c>
      <c r="F299" s="7">
        <v>2015</v>
      </c>
      <c r="G299" s="8" t="s">
        <v>20</v>
      </c>
      <c r="H299" s="7" t="s">
        <v>41</v>
      </c>
      <c r="I299" s="7" t="s">
        <v>37</v>
      </c>
      <c r="J299" s="8"/>
      <c r="K299" s="7"/>
      <c r="L299" s="7" t="s">
        <v>28</v>
      </c>
      <c r="M299" s="18" t="e">
        <f>M298</f>
        <v>#REF!</v>
      </c>
      <c r="N299" s="7"/>
      <c r="O299" s="7"/>
      <c r="P299" s="7"/>
      <c r="Q299" s="7"/>
      <c r="R299" s="7"/>
      <c r="S299" s="7"/>
      <c r="T299" s="7"/>
    </row>
    <row r="300" spans="3:20" x14ac:dyDescent="0.25">
      <c r="C300" s="7"/>
      <c r="D300" s="7"/>
      <c r="E300" s="7" t="s">
        <v>19</v>
      </c>
      <c r="F300" s="7">
        <v>2020</v>
      </c>
      <c r="G300" s="8" t="s">
        <v>20</v>
      </c>
      <c r="H300" s="7" t="s">
        <v>41</v>
      </c>
      <c r="I300" s="7" t="s">
        <v>37</v>
      </c>
      <c r="J300" s="8"/>
      <c r="K300" s="7"/>
      <c r="L300" s="7" t="s">
        <v>28</v>
      </c>
      <c r="M300" s="18" t="e">
        <f t="shared" ref="M300:M301" si="126">M299</f>
        <v>#REF!</v>
      </c>
      <c r="N300" s="7"/>
      <c r="O300" s="7"/>
      <c r="P300" s="7"/>
      <c r="Q300" s="7"/>
      <c r="R300" s="7"/>
      <c r="S300" s="7"/>
      <c r="T300" s="7"/>
    </row>
    <row r="301" spans="3:20" x14ac:dyDescent="0.25">
      <c r="C301" s="7"/>
      <c r="D301" s="7"/>
      <c r="E301" s="7" t="s">
        <v>19</v>
      </c>
      <c r="F301" s="7">
        <v>2055</v>
      </c>
      <c r="G301" s="8" t="s">
        <v>20</v>
      </c>
      <c r="H301" s="7" t="s">
        <v>41</v>
      </c>
      <c r="I301" s="7" t="s">
        <v>37</v>
      </c>
      <c r="J301" s="8"/>
      <c r="K301" s="7"/>
      <c r="L301" s="7" t="s">
        <v>28</v>
      </c>
      <c r="M301" s="18" t="e">
        <f t="shared" si="126"/>
        <v>#REF!</v>
      </c>
      <c r="N301" s="7"/>
      <c r="O301" s="7"/>
      <c r="P301" s="7"/>
      <c r="Q301" s="7"/>
      <c r="R301" s="7"/>
      <c r="S301" s="7"/>
      <c r="T301" s="7"/>
    </row>
    <row r="302" spans="3:20" x14ac:dyDescent="0.25">
      <c r="C302" s="7"/>
      <c r="D302" s="7"/>
      <c r="E302" s="7" t="s">
        <v>19</v>
      </c>
      <c r="F302" s="7">
        <v>2010</v>
      </c>
      <c r="G302" s="8" t="s">
        <v>20</v>
      </c>
      <c r="H302" s="7" t="s">
        <v>41</v>
      </c>
      <c r="I302" s="7" t="s">
        <v>37</v>
      </c>
      <c r="J302" s="8"/>
      <c r="K302" s="7"/>
      <c r="L302" s="7" t="s">
        <v>29</v>
      </c>
      <c r="M302" s="18" t="e">
        <f>#REF!</f>
        <v>#REF!</v>
      </c>
      <c r="N302" s="7"/>
      <c r="O302" s="7"/>
      <c r="P302" s="7"/>
      <c r="Q302" s="7"/>
      <c r="R302" s="7"/>
      <c r="S302" s="7"/>
      <c r="T302" s="7"/>
    </row>
    <row r="303" spans="3:20" x14ac:dyDescent="0.25">
      <c r="C303" s="7"/>
      <c r="D303" s="7"/>
      <c r="E303" s="7" t="s">
        <v>19</v>
      </c>
      <c r="F303" s="7">
        <v>2015</v>
      </c>
      <c r="G303" s="8" t="s">
        <v>20</v>
      </c>
      <c r="H303" s="7" t="s">
        <v>41</v>
      </c>
      <c r="I303" s="7" t="s">
        <v>37</v>
      </c>
      <c r="J303" s="8"/>
      <c r="K303" s="7"/>
      <c r="L303" s="7" t="s">
        <v>29</v>
      </c>
      <c r="M303" s="18" t="e">
        <f>M302</f>
        <v>#REF!</v>
      </c>
      <c r="N303" s="7"/>
      <c r="O303" s="7"/>
      <c r="P303" s="7"/>
      <c r="Q303" s="7"/>
      <c r="R303" s="7"/>
      <c r="S303" s="7"/>
      <c r="T303" s="7"/>
    </row>
    <row r="304" spans="3:20" x14ac:dyDescent="0.25">
      <c r="C304" s="7"/>
      <c r="D304" s="7"/>
      <c r="E304" s="7" t="s">
        <v>19</v>
      </c>
      <c r="F304" s="7">
        <v>2020</v>
      </c>
      <c r="G304" s="8" t="s">
        <v>20</v>
      </c>
      <c r="H304" s="7" t="s">
        <v>41</v>
      </c>
      <c r="I304" s="7" t="s">
        <v>37</v>
      </c>
      <c r="J304" s="8"/>
      <c r="K304" s="7"/>
      <c r="L304" s="7" t="s">
        <v>29</v>
      </c>
      <c r="M304" s="18" t="e">
        <f t="shared" ref="M304:M305" si="127">M303</f>
        <v>#REF!</v>
      </c>
      <c r="N304" s="7"/>
      <c r="O304" s="7"/>
      <c r="P304" s="7"/>
      <c r="Q304" s="7"/>
      <c r="R304" s="7"/>
      <c r="S304" s="7"/>
      <c r="T304" s="7"/>
    </row>
    <row r="305" spans="3:20" x14ac:dyDescent="0.25">
      <c r="C305" s="7"/>
      <c r="D305" s="7"/>
      <c r="E305" s="7" t="s">
        <v>19</v>
      </c>
      <c r="F305" s="7">
        <v>2055</v>
      </c>
      <c r="G305" s="8" t="s">
        <v>20</v>
      </c>
      <c r="H305" s="7" t="s">
        <v>41</v>
      </c>
      <c r="I305" s="7" t="s">
        <v>37</v>
      </c>
      <c r="J305" s="8"/>
      <c r="K305" s="7"/>
      <c r="L305" s="7" t="s">
        <v>29</v>
      </c>
      <c r="M305" s="18" t="e">
        <f t="shared" si="127"/>
        <v>#REF!</v>
      </c>
      <c r="N305" s="7"/>
      <c r="O305" s="7"/>
      <c r="P305" s="7"/>
      <c r="Q305" s="7"/>
      <c r="R305" s="7"/>
      <c r="S305" s="7"/>
      <c r="T305" s="7"/>
    </row>
    <row r="306" spans="3:20" x14ac:dyDescent="0.25">
      <c r="C306" s="7"/>
      <c r="D306" s="7"/>
      <c r="E306" s="7" t="s">
        <v>19</v>
      </c>
      <c r="F306" s="7">
        <v>2010</v>
      </c>
      <c r="G306" s="8" t="s">
        <v>20</v>
      </c>
      <c r="H306" s="7" t="s">
        <v>41</v>
      </c>
      <c r="I306" s="7" t="s">
        <v>37</v>
      </c>
      <c r="J306" s="8"/>
      <c r="K306" s="7"/>
      <c r="L306" s="7" t="s">
        <v>30</v>
      </c>
      <c r="M306" s="18" t="e">
        <f>#REF!</f>
        <v>#REF!</v>
      </c>
      <c r="N306" s="7"/>
      <c r="O306" s="7"/>
      <c r="P306" s="7"/>
      <c r="Q306" s="7"/>
      <c r="R306" s="7"/>
      <c r="S306" s="7"/>
      <c r="T306" s="7"/>
    </row>
    <row r="307" spans="3:20" x14ac:dyDescent="0.25">
      <c r="C307" s="7"/>
      <c r="D307" s="7"/>
      <c r="E307" s="7" t="s">
        <v>19</v>
      </c>
      <c r="F307" s="7">
        <v>2015</v>
      </c>
      <c r="G307" s="8" t="s">
        <v>20</v>
      </c>
      <c r="H307" s="7" t="s">
        <v>41</v>
      </c>
      <c r="I307" s="7" t="s">
        <v>37</v>
      </c>
      <c r="J307" s="8"/>
      <c r="K307" s="7"/>
      <c r="L307" s="7" t="s">
        <v>30</v>
      </c>
      <c r="M307" s="18" t="e">
        <f>M306</f>
        <v>#REF!</v>
      </c>
      <c r="N307" s="7"/>
      <c r="O307" s="7"/>
      <c r="P307" s="7"/>
      <c r="Q307" s="7"/>
      <c r="R307" s="7"/>
      <c r="S307" s="7"/>
      <c r="T307" s="7"/>
    </row>
    <row r="308" spans="3:20" x14ac:dyDescent="0.25">
      <c r="C308" s="7"/>
      <c r="D308" s="7"/>
      <c r="E308" s="7" t="s">
        <v>19</v>
      </c>
      <c r="F308" s="7">
        <v>2020</v>
      </c>
      <c r="G308" s="8" t="s">
        <v>20</v>
      </c>
      <c r="H308" s="7" t="s">
        <v>41</v>
      </c>
      <c r="I308" s="7" t="s">
        <v>37</v>
      </c>
      <c r="J308" s="8"/>
      <c r="K308" s="7"/>
      <c r="L308" s="7" t="s">
        <v>30</v>
      </c>
      <c r="M308" s="18" t="e">
        <f t="shared" ref="M308:M309" si="128">M307</f>
        <v>#REF!</v>
      </c>
      <c r="N308" s="7"/>
      <c r="O308" s="7"/>
      <c r="P308" s="7"/>
      <c r="Q308" s="7"/>
      <c r="R308" s="7"/>
      <c r="S308" s="7"/>
      <c r="T308" s="7"/>
    </row>
    <row r="309" spans="3:20" x14ac:dyDescent="0.25">
      <c r="C309" s="7"/>
      <c r="D309" s="7"/>
      <c r="E309" s="7" t="s">
        <v>19</v>
      </c>
      <c r="F309" s="7">
        <v>2055</v>
      </c>
      <c r="G309" s="8" t="s">
        <v>20</v>
      </c>
      <c r="H309" s="7" t="s">
        <v>41</v>
      </c>
      <c r="I309" s="7" t="s">
        <v>37</v>
      </c>
      <c r="J309" s="8"/>
      <c r="K309" s="7"/>
      <c r="L309" s="7" t="s">
        <v>30</v>
      </c>
      <c r="M309" s="18" t="e">
        <f t="shared" si="128"/>
        <v>#REF!</v>
      </c>
      <c r="N309" s="7"/>
      <c r="O309" s="7"/>
      <c r="P309" s="7"/>
      <c r="Q309" s="7"/>
      <c r="R309" s="7"/>
      <c r="S309" s="7"/>
      <c r="T309" s="7"/>
    </row>
    <row r="310" spans="3:20" x14ac:dyDescent="0.25">
      <c r="C310" s="7"/>
      <c r="D310" s="7"/>
      <c r="E310" s="7" t="s">
        <v>19</v>
      </c>
      <c r="F310" s="7">
        <v>2010</v>
      </c>
      <c r="G310" s="8" t="s">
        <v>20</v>
      </c>
      <c r="H310" s="7" t="s">
        <v>41</v>
      </c>
      <c r="I310" s="7" t="s">
        <v>37</v>
      </c>
      <c r="J310" s="8"/>
      <c r="K310" s="7"/>
      <c r="L310" s="7" t="s">
        <v>31</v>
      </c>
      <c r="M310" s="7"/>
      <c r="N310" s="7"/>
      <c r="O310" s="7"/>
      <c r="P310" s="7"/>
      <c r="Q310" s="7"/>
      <c r="R310" s="7"/>
      <c r="S310" s="7"/>
      <c r="T310" s="7"/>
    </row>
    <row r="311" spans="3:20" x14ac:dyDescent="0.25">
      <c r="C311" s="7"/>
      <c r="D311" s="7"/>
      <c r="E311" s="7" t="s">
        <v>19</v>
      </c>
      <c r="F311" s="7">
        <v>2015</v>
      </c>
      <c r="G311" s="8" t="s">
        <v>20</v>
      </c>
      <c r="H311" s="7" t="s">
        <v>41</v>
      </c>
      <c r="I311" s="7" t="s">
        <v>37</v>
      </c>
      <c r="J311" s="8"/>
      <c r="K311" s="7"/>
      <c r="L311" s="7" t="s">
        <v>31</v>
      </c>
      <c r="M311" s="7"/>
      <c r="N311" s="7"/>
      <c r="O311" s="7"/>
      <c r="P311" s="7"/>
      <c r="Q311" s="7"/>
      <c r="R311" s="7"/>
      <c r="S311" s="7"/>
      <c r="T311" s="7"/>
    </row>
    <row r="312" spans="3:20" x14ac:dyDescent="0.25">
      <c r="C312" s="7"/>
      <c r="D312" s="7"/>
      <c r="E312" s="7" t="s">
        <v>19</v>
      </c>
      <c r="F312" s="7">
        <v>2020</v>
      </c>
      <c r="G312" s="8" t="s">
        <v>20</v>
      </c>
      <c r="H312" s="7" t="s">
        <v>41</v>
      </c>
      <c r="I312" s="7" t="s">
        <v>37</v>
      </c>
      <c r="J312" s="8"/>
      <c r="K312" s="7"/>
      <c r="L312" s="7" t="s">
        <v>31</v>
      </c>
      <c r="M312" s="7"/>
      <c r="N312" s="7"/>
      <c r="O312" s="7"/>
      <c r="P312" s="7"/>
      <c r="Q312" s="7"/>
      <c r="R312" s="7"/>
      <c r="S312" s="7"/>
      <c r="T312" s="7"/>
    </row>
    <row r="313" spans="3:20" x14ac:dyDescent="0.25">
      <c r="C313" s="7"/>
      <c r="D313" s="7"/>
      <c r="E313" s="7" t="s">
        <v>19</v>
      </c>
      <c r="F313" s="7">
        <v>2055</v>
      </c>
      <c r="G313" s="8" t="s">
        <v>20</v>
      </c>
      <c r="H313" s="7" t="s">
        <v>41</v>
      </c>
      <c r="I313" s="7" t="s">
        <v>37</v>
      </c>
      <c r="J313" s="8"/>
      <c r="K313" s="7"/>
      <c r="L313" s="7" t="s">
        <v>31</v>
      </c>
      <c r="M313" s="7"/>
      <c r="N313" s="7"/>
      <c r="O313" s="7"/>
      <c r="P313" s="7"/>
      <c r="Q313" s="7"/>
      <c r="R313" s="7"/>
      <c r="S313" s="7"/>
      <c r="T313" s="7"/>
    </row>
    <row r="314" spans="3:20" x14ac:dyDescent="0.25">
      <c r="C314" s="7"/>
      <c r="D314" s="7"/>
      <c r="E314" s="7" t="s">
        <v>19</v>
      </c>
      <c r="F314" s="7">
        <v>2010</v>
      </c>
      <c r="G314" s="8" t="s">
        <v>20</v>
      </c>
      <c r="H314" s="7" t="s">
        <v>41</v>
      </c>
      <c r="I314" s="7" t="s">
        <v>37</v>
      </c>
      <c r="J314" s="8"/>
      <c r="K314" s="7"/>
      <c r="L314" s="7" t="s">
        <v>32</v>
      </c>
      <c r="M314" s="7"/>
      <c r="N314" s="7"/>
      <c r="O314" s="7"/>
      <c r="P314" s="7"/>
      <c r="Q314" s="7"/>
      <c r="R314" s="7"/>
      <c r="S314" s="7"/>
      <c r="T314" s="7"/>
    </row>
    <row r="315" spans="3:20" x14ac:dyDescent="0.25">
      <c r="C315" s="7"/>
      <c r="D315" s="7"/>
      <c r="E315" s="7" t="s">
        <v>19</v>
      </c>
      <c r="F315" s="7">
        <v>2015</v>
      </c>
      <c r="G315" s="8" t="s">
        <v>20</v>
      </c>
      <c r="H315" s="7" t="s">
        <v>41</v>
      </c>
      <c r="I315" s="7" t="s">
        <v>37</v>
      </c>
      <c r="J315" s="8"/>
      <c r="K315" s="7"/>
      <c r="L315" s="7" t="s">
        <v>32</v>
      </c>
      <c r="M315" s="7"/>
      <c r="N315" s="7"/>
      <c r="O315" s="7"/>
      <c r="P315" s="7"/>
      <c r="Q315" s="7"/>
      <c r="R315" s="7"/>
      <c r="S315" s="7"/>
      <c r="T315" s="7"/>
    </row>
    <row r="316" spans="3:20" x14ac:dyDescent="0.25">
      <c r="C316" s="7"/>
      <c r="D316" s="7"/>
      <c r="E316" s="7" t="s">
        <v>19</v>
      </c>
      <c r="F316" s="7">
        <v>2020</v>
      </c>
      <c r="G316" s="8" t="s">
        <v>20</v>
      </c>
      <c r="H316" s="7" t="s">
        <v>41</v>
      </c>
      <c r="I316" s="7" t="s">
        <v>37</v>
      </c>
      <c r="J316" s="8"/>
      <c r="K316" s="7"/>
      <c r="L316" s="7" t="s">
        <v>32</v>
      </c>
      <c r="M316" s="7"/>
      <c r="N316" s="7"/>
      <c r="O316" s="7"/>
      <c r="P316" s="7"/>
      <c r="Q316" s="7"/>
      <c r="R316" s="7"/>
      <c r="S316" s="7"/>
      <c r="T316" s="7"/>
    </row>
    <row r="317" spans="3:20" x14ac:dyDescent="0.25">
      <c r="C317" s="7"/>
      <c r="D317" s="7"/>
      <c r="E317" s="7" t="s">
        <v>19</v>
      </c>
      <c r="F317" s="7">
        <v>2055</v>
      </c>
      <c r="G317" s="8" t="s">
        <v>20</v>
      </c>
      <c r="H317" s="7" t="s">
        <v>41</v>
      </c>
      <c r="I317" s="7" t="s">
        <v>37</v>
      </c>
      <c r="J317" s="8"/>
      <c r="K317" s="7"/>
      <c r="L317" s="7" t="s">
        <v>32</v>
      </c>
      <c r="M317" s="7"/>
      <c r="N317" s="7"/>
      <c r="O317" s="7"/>
      <c r="P317" s="7"/>
      <c r="Q317" s="7"/>
      <c r="R317" s="7"/>
      <c r="S317" s="7"/>
      <c r="T317" s="7"/>
    </row>
    <row r="318" spans="3:20" x14ac:dyDescent="0.25">
      <c r="C318" s="15" t="s">
        <v>33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spans="3:20" x14ac:dyDescent="0.25">
      <c r="C319" s="7"/>
      <c r="D319" s="7"/>
      <c r="E319" s="7" t="s">
        <v>19</v>
      </c>
      <c r="F319" s="7">
        <v>2010</v>
      </c>
      <c r="G319" s="8" t="s">
        <v>20</v>
      </c>
      <c r="H319" s="19" t="s">
        <v>42</v>
      </c>
      <c r="I319" s="7" t="s">
        <v>43</v>
      </c>
      <c r="J319" s="8"/>
      <c r="K319" s="7"/>
      <c r="L319" s="7" t="s">
        <v>22</v>
      </c>
      <c r="M319" s="18" t="e">
        <f>#REF!/1000</f>
        <v>#REF!</v>
      </c>
      <c r="N319" s="7"/>
      <c r="O319" s="7"/>
      <c r="P319" s="7"/>
      <c r="Q319" s="7"/>
      <c r="R319" s="7"/>
      <c r="S319" s="7"/>
      <c r="T319" s="7"/>
    </row>
    <row r="320" spans="3:20" x14ac:dyDescent="0.25">
      <c r="C320" s="7"/>
      <c r="D320" s="7"/>
      <c r="E320" s="7" t="s">
        <v>19</v>
      </c>
      <c r="F320" s="7">
        <v>2015</v>
      </c>
      <c r="G320" s="8" t="s">
        <v>20</v>
      </c>
      <c r="H320" s="19" t="s">
        <v>42</v>
      </c>
      <c r="I320" s="7" t="s">
        <v>43</v>
      </c>
      <c r="J320" s="8"/>
      <c r="K320" s="7"/>
      <c r="L320" s="7" t="s">
        <v>22</v>
      </c>
      <c r="M320" s="18" t="e">
        <f>M319</f>
        <v>#REF!</v>
      </c>
      <c r="N320" s="7"/>
      <c r="O320" s="7"/>
      <c r="P320" s="7"/>
      <c r="Q320" s="7"/>
      <c r="R320" s="7"/>
      <c r="S320" s="7"/>
      <c r="T320" s="7"/>
    </row>
    <row r="321" spans="3:20" x14ac:dyDescent="0.25">
      <c r="C321" s="7"/>
      <c r="D321" s="7"/>
      <c r="E321" s="7" t="s">
        <v>19</v>
      </c>
      <c r="F321" s="7">
        <v>2020</v>
      </c>
      <c r="G321" s="8" t="s">
        <v>20</v>
      </c>
      <c r="H321" s="19" t="s">
        <v>42</v>
      </c>
      <c r="I321" s="7" t="s">
        <v>43</v>
      </c>
      <c r="J321" s="8"/>
      <c r="K321" s="7"/>
      <c r="L321" s="7" t="s">
        <v>22</v>
      </c>
      <c r="M321" s="18" t="e">
        <f t="shared" ref="M321:M322" si="129">M320</f>
        <v>#REF!</v>
      </c>
      <c r="N321" s="7"/>
      <c r="O321" s="7"/>
      <c r="P321" s="7"/>
      <c r="Q321" s="7"/>
      <c r="R321" s="7"/>
      <c r="S321" s="7"/>
      <c r="T321" s="7"/>
    </row>
    <row r="322" spans="3:20" x14ac:dyDescent="0.25">
      <c r="C322" s="7"/>
      <c r="D322" s="7"/>
      <c r="E322" s="7" t="s">
        <v>19</v>
      </c>
      <c r="F322" s="7">
        <v>2055</v>
      </c>
      <c r="G322" s="8" t="s">
        <v>20</v>
      </c>
      <c r="H322" s="19" t="s">
        <v>42</v>
      </c>
      <c r="I322" s="7" t="s">
        <v>43</v>
      </c>
      <c r="J322" s="8"/>
      <c r="K322" s="7"/>
      <c r="L322" s="7" t="s">
        <v>22</v>
      </c>
      <c r="M322" s="18" t="e">
        <f t="shared" si="129"/>
        <v>#REF!</v>
      </c>
      <c r="N322" s="7"/>
      <c r="O322" s="7"/>
      <c r="P322" s="7"/>
      <c r="Q322" s="7"/>
      <c r="R322" s="7"/>
      <c r="S322" s="7"/>
      <c r="T322" s="7"/>
    </row>
    <row r="323" spans="3:20" x14ac:dyDescent="0.25">
      <c r="C323" s="7"/>
      <c r="D323" s="7"/>
      <c r="E323" s="7" t="s">
        <v>19</v>
      </c>
      <c r="F323" s="7">
        <v>2010</v>
      </c>
      <c r="G323" s="8" t="s">
        <v>20</v>
      </c>
      <c r="H323" s="19" t="s">
        <v>42</v>
      </c>
      <c r="I323" s="7" t="s">
        <v>43</v>
      </c>
      <c r="J323" s="8"/>
      <c r="K323" s="7"/>
      <c r="L323" s="7" t="s">
        <v>23</v>
      </c>
      <c r="M323" s="18" t="e">
        <f>#REF!</f>
        <v>#REF!</v>
      </c>
      <c r="N323" s="7"/>
      <c r="O323" s="7"/>
      <c r="P323" s="7"/>
      <c r="Q323" s="7"/>
      <c r="R323" s="7"/>
      <c r="S323" s="7"/>
      <c r="T323" s="7"/>
    </row>
    <row r="324" spans="3:20" x14ac:dyDescent="0.25">
      <c r="C324" s="7"/>
      <c r="D324" s="7"/>
      <c r="E324" s="7" t="s">
        <v>19</v>
      </c>
      <c r="F324" s="7">
        <v>2015</v>
      </c>
      <c r="G324" s="8" t="s">
        <v>20</v>
      </c>
      <c r="H324" s="19" t="s">
        <v>42</v>
      </c>
      <c r="I324" s="7" t="s">
        <v>43</v>
      </c>
      <c r="J324" s="8"/>
      <c r="K324" s="7"/>
      <c r="L324" s="7" t="s">
        <v>23</v>
      </c>
      <c r="M324" s="18" t="e">
        <f>M323</f>
        <v>#REF!</v>
      </c>
      <c r="N324" s="7"/>
      <c r="O324" s="7"/>
      <c r="P324" s="7"/>
      <c r="Q324" s="7"/>
      <c r="R324" s="7"/>
      <c r="S324" s="7"/>
      <c r="T324" s="7"/>
    </row>
    <row r="325" spans="3:20" x14ac:dyDescent="0.25">
      <c r="C325" s="7"/>
      <c r="D325" s="7"/>
      <c r="E325" s="7" t="s">
        <v>19</v>
      </c>
      <c r="F325" s="7">
        <v>2020</v>
      </c>
      <c r="G325" s="8" t="s">
        <v>20</v>
      </c>
      <c r="H325" s="19" t="s">
        <v>42</v>
      </c>
      <c r="I325" s="7" t="s">
        <v>43</v>
      </c>
      <c r="J325" s="8"/>
      <c r="K325" s="7"/>
      <c r="L325" s="7" t="s">
        <v>23</v>
      </c>
      <c r="M325" s="18" t="e">
        <f t="shared" ref="M325:M326" si="130">M324</f>
        <v>#REF!</v>
      </c>
      <c r="N325" s="7"/>
      <c r="O325" s="7"/>
      <c r="P325" s="7"/>
      <c r="Q325" s="7"/>
      <c r="R325" s="7"/>
      <c r="S325" s="7"/>
      <c r="T325" s="7"/>
    </row>
    <row r="326" spans="3:20" x14ac:dyDescent="0.25">
      <c r="C326" s="7"/>
      <c r="D326" s="7"/>
      <c r="E326" s="7" t="s">
        <v>19</v>
      </c>
      <c r="F326" s="7">
        <v>2055</v>
      </c>
      <c r="G326" s="8" t="s">
        <v>20</v>
      </c>
      <c r="H326" s="19" t="s">
        <v>42</v>
      </c>
      <c r="I326" s="7" t="s">
        <v>43</v>
      </c>
      <c r="J326" s="8"/>
      <c r="K326" s="7"/>
      <c r="L326" s="7" t="s">
        <v>23</v>
      </c>
      <c r="M326" s="18" t="e">
        <f t="shared" si="130"/>
        <v>#REF!</v>
      </c>
      <c r="N326" s="7"/>
      <c r="O326" s="7"/>
      <c r="P326" s="7"/>
      <c r="Q326" s="7"/>
      <c r="R326" s="7"/>
      <c r="S326" s="7"/>
      <c r="T326" s="7"/>
    </row>
    <row r="327" spans="3:20" x14ac:dyDescent="0.25">
      <c r="C327" s="7"/>
      <c r="D327" s="7"/>
      <c r="E327" s="7" t="s">
        <v>19</v>
      </c>
      <c r="F327" s="7">
        <v>2010</v>
      </c>
      <c r="G327" s="8" t="s">
        <v>20</v>
      </c>
      <c r="H327" s="19" t="s">
        <v>42</v>
      </c>
      <c r="I327" s="7" t="s">
        <v>43</v>
      </c>
      <c r="J327" s="8"/>
      <c r="K327" s="7"/>
      <c r="L327" s="7" t="s">
        <v>24</v>
      </c>
      <c r="M327" s="18" t="e">
        <f>#REF!</f>
        <v>#REF!</v>
      </c>
      <c r="N327" s="7"/>
      <c r="O327" s="7"/>
      <c r="P327" s="7"/>
      <c r="Q327" s="7"/>
      <c r="R327" s="7"/>
      <c r="S327" s="7"/>
      <c r="T327" s="7"/>
    </row>
    <row r="328" spans="3:20" x14ac:dyDescent="0.25">
      <c r="C328" s="7"/>
      <c r="D328" s="7"/>
      <c r="E328" s="7" t="s">
        <v>19</v>
      </c>
      <c r="F328" s="7">
        <v>2015</v>
      </c>
      <c r="G328" s="8" t="s">
        <v>20</v>
      </c>
      <c r="H328" s="19" t="s">
        <v>42</v>
      </c>
      <c r="I328" s="7" t="s">
        <v>43</v>
      </c>
      <c r="J328" s="8"/>
      <c r="K328" s="7"/>
      <c r="L328" s="7" t="s">
        <v>24</v>
      </c>
      <c r="M328" s="18" t="e">
        <f>M327</f>
        <v>#REF!</v>
      </c>
      <c r="N328" s="7"/>
      <c r="O328" s="7"/>
      <c r="P328" s="7"/>
      <c r="Q328" s="7"/>
      <c r="R328" s="7"/>
      <c r="S328" s="7"/>
      <c r="T328" s="7"/>
    </row>
    <row r="329" spans="3:20" x14ac:dyDescent="0.25">
      <c r="C329" s="7"/>
      <c r="D329" s="7"/>
      <c r="E329" s="7" t="s">
        <v>19</v>
      </c>
      <c r="F329" s="7">
        <v>2020</v>
      </c>
      <c r="G329" s="8" t="s">
        <v>20</v>
      </c>
      <c r="H329" s="19" t="s">
        <v>42</v>
      </c>
      <c r="I329" s="7" t="s">
        <v>43</v>
      </c>
      <c r="J329" s="8"/>
      <c r="K329" s="7"/>
      <c r="L329" s="7" t="s">
        <v>24</v>
      </c>
      <c r="M329" s="18" t="e">
        <f t="shared" ref="M329:M330" si="131">M328</f>
        <v>#REF!</v>
      </c>
      <c r="N329" s="7"/>
      <c r="O329" s="7"/>
      <c r="P329" s="7"/>
      <c r="Q329" s="7"/>
      <c r="R329" s="7"/>
      <c r="S329" s="7"/>
      <c r="T329" s="7"/>
    </row>
    <row r="330" spans="3:20" x14ac:dyDescent="0.25">
      <c r="C330" s="7"/>
      <c r="D330" s="7"/>
      <c r="E330" s="7" t="s">
        <v>19</v>
      </c>
      <c r="F330" s="7">
        <v>2055</v>
      </c>
      <c r="G330" s="8" t="s">
        <v>20</v>
      </c>
      <c r="H330" s="19" t="s">
        <v>42</v>
      </c>
      <c r="I330" s="7" t="s">
        <v>43</v>
      </c>
      <c r="J330" s="8"/>
      <c r="K330" s="7"/>
      <c r="L330" s="7" t="s">
        <v>24</v>
      </c>
      <c r="M330" s="18" t="e">
        <f t="shared" si="131"/>
        <v>#REF!</v>
      </c>
      <c r="N330" s="7"/>
      <c r="O330" s="7"/>
      <c r="P330" s="7"/>
      <c r="Q330" s="7"/>
      <c r="R330" s="7"/>
      <c r="S330" s="7"/>
      <c r="T330" s="7"/>
    </row>
    <row r="331" spans="3:20" x14ac:dyDescent="0.25">
      <c r="C331" s="7"/>
      <c r="D331" s="7"/>
      <c r="E331" s="7" t="s">
        <v>19</v>
      </c>
      <c r="F331" s="7">
        <v>2010</v>
      </c>
      <c r="G331" s="8" t="s">
        <v>20</v>
      </c>
      <c r="H331" s="19" t="s">
        <v>42</v>
      </c>
      <c r="I331" s="7" t="s">
        <v>43</v>
      </c>
      <c r="J331" s="8"/>
      <c r="K331" s="7"/>
      <c r="L331" s="7" t="s">
        <v>25</v>
      </c>
      <c r="M331" s="18" t="e">
        <f>#REF!</f>
        <v>#REF!</v>
      </c>
      <c r="N331" s="7"/>
      <c r="O331" s="7"/>
      <c r="P331" s="7"/>
      <c r="Q331" s="7"/>
      <c r="R331" s="7"/>
      <c r="S331" s="7"/>
      <c r="T331" s="7"/>
    </row>
    <row r="332" spans="3:20" x14ac:dyDescent="0.25">
      <c r="C332" s="7"/>
      <c r="D332" s="7"/>
      <c r="E332" s="7" t="s">
        <v>19</v>
      </c>
      <c r="F332" s="7">
        <v>2015</v>
      </c>
      <c r="G332" s="8" t="s">
        <v>20</v>
      </c>
      <c r="H332" s="19" t="s">
        <v>42</v>
      </c>
      <c r="I332" s="7" t="s">
        <v>43</v>
      </c>
      <c r="J332" s="8"/>
      <c r="K332" s="7"/>
      <c r="L332" s="7" t="s">
        <v>25</v>
      </c>
      <c r="M332" s="18" t="e">
        <f>M331</f>
        <v>#REF!</v>
      </c>
      <c r="N332" s="7"/>
      <c r="O332" s="7"/>
      <c r="P332" s="7"/>
      <c r="Q332" s="7"/>
      <c r="R332" s="7"/>
      <c r="S332" s="7"/>
      <c r="T332" s="7"/>
    </row>
    <row r="333" spans="3:20" x14ac:dyDescent="0.25">
      <c r="C333" s="7"/>
      <c r="D333" s="7"/>
      <c r="E333" s="7" t="s">
        <v>19</v>
      </c>
      <c r="F333" s="7">
        <v>2020</v>
      </c>
      <c r="G333" s="8" t="s">
        <v>20</v>
      </c>
      <c r="H333" s="19" t="s">
        <v>42</v>
      </c>
      <c r="I333" s="7" t="s">
        <v>43</v>
      </c>
      <c r="J333" s="8"/>
      <c r="K333" s="7"/>
      <c r="L333" s="7" t="s">
        <v>25</v>
      </c>
      <c r="M333" s="18" t="e">
        <f t="shared" ref="M333:M334" si="132">M332</f>
        <v>#REF!</v>
      </c>
      <c r="N333" s="7"/>
      <c r="O333" s="7"/>
      <c r="P333" s="7"/>
      <c r="Q333" s="7"/>
      <c r="R333" s="7"/>
      <c r="S333" s="7"/>
      <c r="T333" s="7"/>
    </row>
    <row r="334" spans="3:20" x14ac:dyDescent="0.25">
      <c r="C334" s="7"/>
      <c r="D334" s="7"/>
      <c r="E334" s="7" t="s">
        <v>19</v>
      </c>
      <c r="F334" s="7">
        <v>2055</v>
      </c>
      <c r="G334" s="8" t="s">
        <v>20</v>
      </c>
      <c r="H334" s="19" t="s">
        <v>42</v>
      </c>
      <c r="I334" s="7" t="s">
        <v>43</v>
      </c>
      <c r="J334" s="8"/>
      <c r="K334" s="7"/>
      <c r="L334" s="7" t="s">
        <v>25</v>
      </c>
      <c r="M334" s="18" t="e">
        <f t="shared" si="132"/>
        <v>#REF!</v>
      </c>
      <c r="N334" s="7"/>
      <c r="O334" s="7"/>
      <c r="P334" s="7"/>
      <c r="Q334" s="7"/>
      <c r="R334" s="7"/>
      <c r="S334" s="7"/>
      <c r="T334" s="7"/>
    </row>
    <row r="335" spans="3:20" x14ac:dyDescent="0.25">
      <c r="C335" s="7"/>
      <c r="D335" s="7"/>
      <c r="E335" s="7" t="s">
        <v>19</v>
      </c>
      <c r="F335" s="7">
        <v>2010</v>
      </c>
      <c r="G335" s="8" t="s">
        <v>20</v>
      </c>
      <c r="H335" s="19" t="s">
        <v>42</v>
      </c>
      <c r="I335" s="7" t="s">
        <v>43</v>
      </c>
      <c r="J335" s="8"/>
      <c r="K335" s="7"/>
      <c r="L335" s="7" t="s">
        <v>26</v>
      </c>
      <c r="M335" s="18" t="e">
        <f>#REF!</f>
        <v>#REF!</v>
      </c>
      <c r="N335" s="7"/>
      <c r="O335" s="7"/>
      <c r="P335" s="7"/>
      <c r="Q335" s="7"/>
      <c r="R335" s="7"/>
      <c r="S335" s="7"/>
      <c r="T335" s="7"/>
    </row>
    <row r="336" spans="3:20" x14ac:dyDescent="0.25">
      <c r="C336" s="7"/>
      <c r="D336" s="7"/>
      <c r="E336" s="7" t="s">
        <v>19</v>
      </c>
      <c r="F336" s="7">
        <v>2015</v>
      </c>
      <c r="G336" s="8" t="s">
        <v>20</v>
      </c>
      <c r="H336" s="19" t="s">
        <v>42</v>
      </c>
      <c r="I336" s="7" t="s">
        <v>43</v>
      </c>
      <c r="J336" s="8"/>
      <c r="K336" s="7"/>
      <c r="L336" s="7" t="s">
        <v>26</v>
      </c>
      <c r="M336" s="18" t="e">
        <f>M335</f>
        <v>#REF!</v>
      </c>
      <c r="N336" s="7"/>
      <c r="O336" s="7"/>
      <c r="P336" s="7"/>
      <c r="Q336" s="7"/>
      <c r="R336" s="7"/>
      <c r="S336" s="7"/>
      <c r="T336" s="7"/>
    </row>
    <row r="337" spans="3:20" x14ac:dyDescent="0.25">
      <c r="C337" s="7"/>
      <c r="D337" s="7"/>
      <c r="E337" s="7" t="s">
        <v>19</v>
      </c>
      <c r="F337" s="7">
        <v>2020</v>
      </c>
      <c r="G337" s="8" t="s">
        <v>20</v>
      </c>
      <c r="H337" s="19" t="s">
        <v>42</v>
      </c>
      <c r="I337" s="7" t="s">
        <v>43</v>
      </c>
      <c r="J337" s="8"/>
      <c r="K337" s="7"/>
      <c r="L337" s="7" t="s">
        <v>26</v>
      </c>
      <c r="M337" s="18" t="e">
        <f t="shared" ref="M337:M338" si="133">M336</f>
        <v>#REF!</v>
      </c>
      <c r="N337" s="7"/>
      <c r="O337" s="7"/>
      <c r="P337" s="7"/>
      <c r="Q337" s="7"/>
      <c r="R337" s="7"/>
      <c r="S337" s="7"/>
      <c r="T337" s="7"/>
    </row>
    <row r="338" spans="3:20" x14ac:dyDescent="0.25">
      <c r="C338" s="7"/>
      <c r="D338" s="7"/>
      <c r="E338" s="7" t="s">
        <v>19</v>
      </c>
      <c r="F338" s="7">
        <v>2055</v>
      </c>
      <c r="G338" s="8" t="s">
        <v>20</v>
      </c>
      <c r="H338" s="19" t="s">
        <v>42</v>
      </c>
      <c r="I338" s="7" t="s">
        <v>43</v>
      </c>
      <c r="J338" s="8"/>
      <c r="K338" s="7"/>
      <c r="L338" s="7" t="s">
        <v>26</v>
      </c>
      <c r="M338" s="18" t="e">
        <f t="shared" si="133"/>
        <v>#REF!</v>
      </c>
      <c r="N338" s="7"/>
      <c r="O338" s="7"/>
      <c r="P338" s="7"/>
      <c r="Q338" s="7"/>
      <c r="R338" s="7"/>
      <c r="S338" s="7"/>
      <c r="T338" s="7"/>
    </row>
    <row r="339" spans="3:20" x14ac:dyDescent="0.25">
      <c r="C339" s="7"/>
      <c r="D339" s="7"/>
      <c r="E339" s="7" t="s">
        <v>19</v>
      </c>
      <c r="F339" s="7">
        <v>2010</v>
      </c>
      <c r="G339" s="8" t="s">
        <v>20</v>
      </c>
      <c r="H339" s="19" t="s">
        <v>42</v>
      </c>
      <c r="I339" s="7" t="s">
        <v>43</v>
      </c>
      <c r="J339" s="8"/>
      <c r="K339" s="7"/>
      <c r="L339" s="7" t="s">
        <v>27</v>
      </c>
      <c r="M339" s="18" t="e">
        <f>#REF!</f>
        <v>#REF!</v>
      </c>
      <c r="N339" s="7"/>
      <c r="O339" s="7"/>
      <c r="P339" s="7"/>
      <c r="Q339" s="7"/>
      <c r="R339" s="7"/>
      <c r="S339" s="7"/>
      <c r="T339" s="7"/>
    </row>
    <row r="340" spans="3:20" x14ac:dyDescent="0.25">
      <c r="C340" s="7"/>
      <c r="D340" s="7"/>
      <c r="E340" s="7" t="s">
        <v>19</v>
      </c>
      <c r="F340" s="7">
        <v>2015</v>
      </c>
      <c r="G340" s="8" t="s">
        <v>20</v>
      </c>
      <c r="H340" s="19" t="s">
        <v>42</v>
      </c>
      <c r="I340" s="7" t="s">
        <v>43</v>
      </c>
      <c r="J340" s="8"/>
      <c r="K340" s="7"/>
      <c r="L340" s="7" t="s">
        <v>27</v>
      </c>
      <c r="M340" s="18" t="e">
        <f>M339</f>
        <v>#REF!</v>
      </c>
      <c r="N340" s="7"/>
      <c r="O340" s="7"/>
      <c r="P340" s="7"/>
      <c r="Q340" s="7"/>
      <c r="R340" s="7"/>
      <c r="S340" s="7"/>
      <c r="T340" s="7"/>
    </row>
    <row r="341" spans="3:20" x14ac:dyDescent="0.25">
      <c r="C341" s="7"/>
      <c r="D341" s="7"/>
      <c r="E341" s="7" t="s">
        <v>19</v>
      </c>
      <c r="F341" s="7">
        <v>2020</v>
      </c>
      <c r="G341" s="8" t="s">
        <v>20</v>
      </c>
      <c r="H341" s="19" t="s">
        <v>42</v>
      </c>
      <c r="I341" s="7" t="s">
        <v>43</v>
      </c>
      <c r="J341" s="8"/>
      <c r="K341" s="7"/>
      <c r="L341" s="7" t="s">
        <v>27</v>
      </c>
      <c r="M341" s="18" t="e">
        <f t="shared" ref="M341:M342" si="134">M340</f>
        <v>#REF!</v>
      </c>
      <c r="N341" s="7"/>
      <c r="O341" s="7"/>
      <c r="P341" s="7"/>
      <c r="Q341" s="7"/>
      <c r="R341" s="7"/>
      <c r="S341" s="7"/>
      <c r="T341" s="7"/>
    </row>
    <row r="342" spans="3:20" x14ac:dyDescent="0.25">
      <c r="C342" s="7"/>
      <c r="D342" s="7"/>
      <c r="E342" s="7" t="s">
        <v>19</v>
      </c>
      <c r="F342" s="7">
        <v>2055</v>
      </c>
      <c r="G342" s="8" t="s">
        <v>20</v>
      </c>
      <c r="H342" s="19" t="s">
        <v>42</v>
      </c>
      <c r="I342" s="7" t="s">
        <v>43</v>
      </c>
      <c r="J342" s="8"/>
      <c r="K342" s="7"/>
      <c r="L342" s="7" t="s">
        <v>27</v>
      </c>
      <c r="M342" s="18" t="e">
        <f t="shared" si="134"/>
        <v>#REF!</v>
      </c>
      <c r="N342" s="7"/>
      <c r="O342" s="7"/>
      <c r="P342" s="7"/>
      <c r="Q342" s="7"/>
      <c r="R342" s="7"/>
      <c r="S342" s="7"/>
      <c r="T342" s="7"/>
    </row>
    <row r="343" spans="3:20" x14ac:dyDescent="0.25">
      <c r="C343" s="7"/>
      <c r="D343" s="7"/>
      <c r="E343" s="7" t="s">
        <v>19</v>
      </c>
      <c r="F343" s="7">
        <v>2010</v>
      </c>
      <c r="G343" s="8" t="s">
        <v>20</v>
      </c>
      <c r="H343" s="19" t="s">
        <v>42</v>
      </c>
      <c r="I343" s="7" t="s">
        <v>43</v>
      </c>
      <c r="J343" s="8"/>
      <c r="K343" s="7"/>
      <c r="L343" s="7" t="s">
        <v>28</v>
      </c>
      <c r="M343" s="18" t="e">
        <f>#REF!</f>
        <v>#REF!</v>
      </c>
      <c r="N343" s="7"/>
      <c r="O343" s="7"/>
      <c r="P343" s="7"/>
      <c r="Q343" s="7"/>
      <c r="R343" s="7"/>
      <c r="S343" s="7"/>
      <c r="T343" s="7"/>
    </row>
    <row r="344" spans="3:20" x14ac:dyDescent="0.25">
      <c r="C344" s="7"/>
      <c r="D344" s="7"/>
      <c r="E344" s="7" t="s">
        <v>19</v>
      </c>
      <c r="F344" s="7">
        <v>2015</v>
      </c>
      <c r="G344" s="8" t="s">
        <v>20</v>
      </c>
      <c r="H344" s="19" t="s">
        <v>42</v>
      </c>
      <c r="I344" s="7" t="s">
        <v>43</v>
      </c>
      <c r="J344" s="8"/>
      <c r="K344" s="7"/>
      <c r="L344" s="7" t="s">
        <v>28</v>
      </c>
      <c r="M344" s="18" t="e">
        <f>M343</f>
        <v>#REF!</v>
      </c>
      <c r="N344" s="7"/>
      <c r="O344" s="7"/>
      <c r="P344" s="7"/>
      <c r="Q344" s="7"/>
      <c r="R344" s="7"/>
      <c r="S344" s="7"/>
      <c r="T344" s="7"/>
    </row>
    <row r="345" spans="3:20" x14ac:dyDescent="0.25">
      <c r="C345" s="7"/>
      <c r="D345" s="7"/>
      <c r="E345" s="7" t="s">
        <v>19</v>
      </c>
      <c r="F345" s="7">
        <v>2020</v>
      </c>
      <c r="G345" s="8" t="s">
        <v>20</v>
      </c>
      <c r="H345" s="19" t="s">
        <v>42</v>
      </c>
      <c r="I345" s="7" t="s">
        <v>43</v>
      </c>
      <c r="J345" s="8"/>
      <c r="K345" s="7"/>
      <c r="L345" s="7" t="s">
        <v>28</v>
      </c>
      <c r="M345" s="18" t="e">
        <f t="shared" ref="M345:M346" si="135">M344</f>
        <v>#REF!</v>
      </c>
      <c r="N345" s="7"/>
      <c r="O345" s="7"/>
      <c r="P345" s="7"/>
      <c r="Q345" s="7"/>
      <c r="R345" s="7"/>
      <c r="S345" s="7"/>
      <c r="T345" s="7"/>
    </row>
    <row r="346" spans="3:20" x14ac:dyDescent="0.25">
      <c r="C346" s="7"/>
      <c r="D346" s="7"/>
      <c r="E346" s="7" t="s">
        <v>19</v>
      </c>
      <c r="F346" s="7">
        <v>2055</v>
      </c>
      <c r="G346" s="8" t="s">
        <v>20</v>
      </c>
      <c r="H346" s="19" t="s">
        <v>42</v>
      </c>
      <c r="I346" s="7" t="s">
        <v>43</v>
      </c>
      <c r="J346" s="8"/>
      <c r="K346" s="7"/>
      <c r="L346" s="7" t="s">
        <v>28</v>
      </c>
      <c r="M346" s="18" t="e">
        <f t="shared" si="135"/>
        <v>#REF!</v>
      </c>
      <c r="N346" s="7"/>
      <c r="O346" s="7"/>
      <c r="P346" s="7"/>
      <c r="Q346" s="7"/>
      <c r="R346" s="7"/>
      <c r="S346" s="7"/>
      <c r="T346" s="7"/>
    </row>
    <row r="347" spans="3:20" x14ac:dyDescent="0.25">
      <c r="C347" s="7"/>
      <c r="D347" s="7"/>
      <c r="E347" s="7" t="s">
        <v>19</v>
      </c>
      <c r="F347" s="7">
        <v>2010</v>
      </c>
      <c r="G347" s="8" t="s">
        <v>20</v>
      </c>
      <c r="H347" s="19" t="s">
        <v>42</v>
      </c>
      <c r="I347" s="7" t="s">
        <v>43</v>
      </c>
      <c r="J347" s="8"/>
      <c r="K347" s="7"/>
      <c r="L347" s="7" t="s">
        <v>29</v>
      </c>
      <c r="M347" s="18" t="e">
        <f>#REF!</f>
        <v>#REF!</v>
      </c>
      <c r="N347" s="7"/>
      <c r="O347" s="7"/>
      <c r="P347" s="7"/>
      <c r="Q347" s="7"/>
      <c r="R347" s="7"/>
      <c r="S347" s="7"/>
      <c r="T347" s="7"/>
    </row>
    <row r="348" spans="3:20" x14ac:dyDescent="0.25">
      <c r="C348" s="7"/>
      <c r="D348" s="7"/>
      <c r="E348" s="7" t="s">
        <v>19</v>
      </c>
      <c r="F348" s="7">
        <v>2015</v>
      </c>
      <c r="G348" s="8" t="s">
        <v>20</v>
      </c>
      <c r="H348" s="19" t="s">
        <v>42</v>
      </c>
      <c r="I348" s="7" t="s">
        <v>43</v>
      </c>
      <c r="J348" s="8"/>
      <c r="K348" s="7"/>
      <c r="L348" s="7" t="s">
        <v>29</v>
      </c>
      <c r="M348" s="18" t="e">
        <f>M347</f>
        <v>#REF!</v>
      </c>
      <c r="N348" s="7"/>
      <c r="O348" s="7"/>
      <c r="P348" s="7"/>
      <c r="Q348" s="7"/>
      <c r="R348" s="7"/>
      <c r="S348" s="7"/>
      <c r="T348" s="7"/>
    </row>
    <row r="349" spans="3:20" x14ac:dyDescent="0.25">
      <c r="C349" s="7"/>
      <c r="D349" s="7"/>
      <c r="E349" s="7" t="s">
        <v>19</v>
      </c>
      <c r="F349" s="7">
        <v>2020</v>
      </c>
      <c r="G349" s="8" t="s">
        <v>20</v>
      </c>
      <c r="H349" s="19" t="s">
        <v>42</v>
      </c>
      <c r="I349" s="7" t="s">
        <v>43</v>
      </c>
      <c r="J349" s="8"/>
      <c r="K349" s="7"/>
      <c r="L349" s="7" t="s">
        <v>29</v>
      </c>
      <c r="M349" s="18" t="e">
        <f t="shared" ref="M349:M350" si="136">M348</f>
        <v>#REF!</v>
      </c>
      <c r="N349" s="7"/>
      <c r="O349" s="7"/>
      <c r="P349" s="7"/>
      <c r="Q349" s="7"/>
      <c r="R349" s="7"/>
      <c r="S349" s="7"/>
      <c r="T349" s="7"/>
    </row>
    <row r="350" spans="3:20" x14ac:dyDescent="0.25">
      <c r="C350" s="7"/>
      <c r="D350" s="7"/>
      <c r="E350" s="7" t="s">
        <v>19</v>
      </c>
      <c r="F350" s="7">
        <v>2055</v>
      </c>
      <c r="G350" s="8" t="s">
        <v>20</v>
      </c>
      <c r="H350" s="19" t="s">
        <v>42</v>
      </c>
      <c r="I350" s="7" t="s">
        <v>43</v>
      </c>
      <c r="J350" s="8"/>
      <c r="K350" s="7"/>
      <c r="L350" s="7" t="s">
        <v>29</v>
      </c>
      <c r="M350" s="18" t="e">
        <f t="shared" si="136"/>
        <v>#REF!</v>
      </c>
      <c r="N350" s="7"/>
      <c r="O350" s="7"/>
      <c r="P350" s="7"/>
      <c r="Q350" s="7"/>
      <c r="R350" s="7"/>
      <c r="S350" s="7"/>
      <c r="T350" s="7"/>
    </row>
    <row r="351" spans="3:20" x14ac:dyDescent="0.25">
      <c r="C351" s="7"/>
      <c r="D351" s="7"/>
      <c r="E351" s="7" t="s">
        <v>19</v>
      </c>
      <c r="F351" s="7">
        <v>2010</v>
      </c>
      <c r="G351" s="8" t="s">
        <v>20</v>
      </c>
      <c r="H351" s="19" t="s">
        <v>42</v>
      </c>
      <c r="I351" s="7" t="s">
        <v>43</v>
      </c>
      <c r="J351" s="8"/>
      <c r="K351" s="7"/>
      <c r="L351" s="7" t="s">
        <v>30</v>
      </c>
      <c r="M351" s="18" t="e">
        <f>#REF!</f>
        <v>#REF!</v>
      </c>
      <c r="N351" s="7"/>
      <c r="O351" s="7"/>
      <c r="P351" s="7"/>
      <c r="Q351" s="7"/>
      <c r="R351" s="7"/>
      <c r="S351" s="7"/>
      <c r="T351" s="7"/>
    </row>
    <row r="352" spans="3:20" x14ac:dyDescent="0.25">
      <c r="C352" s="7"/>
      <c r="D352" s="7"/>
      <c r="E352" s="7" t="s">
        <v>19</v>
      </c>
      <c r="F352" s="7">
        <v>2015</v>
      </c>
      <c r="G352" s="8" t="s">
        <v>20</v>
      </c>
      <c r="H352" s="19" t="s">
        <v>42</v>
      </c>
      <c r="I352" s="7" t="s">
        <v>43</v>
      </c>
      <c r="J352" s="8"/>
      <c r="K352" s="7"/>
      <c r="L352" s="7" t="s">
        <v>30</v>
      </c>
      <c r="M352" s="18" t="e">
        <f>M351</f>
        <v>#REF!</v>
      </c>
      <c r="N352" s="7"/>
      <c r="O352" s="7"/>
      <c r="P352" s="7"/>
      <c r="Q352" s="7"/>
      <c r="R352" s="7"/>
      <c r="S352" s="7"/>
      <c r="T352" s="7"/>
    </row>
    <row r="353" spans="3:20" x14ac:dyDescent="0.25">
      <c r="C353" s="7"/>
      <c r="D353" s="7"/>
      <c r="E353" s="7" t="s">
        <v>19</v>
      </c>
      <c r="F353" s="7">
        <v>2020</v>
      </c>
      <c r="G353" s="8" t="s">
        <v>20</v>
      </c>
      <c r="H353" s="19" t="s">
        <v>42</v>
      </c>
      <c r="I353" s="7" t="s">
        <v>43</v>
      </c>
      <c r="J353" s="8"/>
      <c r="K353" s="7"/>
      <c r="L353" s="7" t="s">
        <v>30</v>
      </c>
      <c r="M353" s="18" t="e">
        <f t="shared" ref="M353:M354" si="137">M352</f>
        <v>#REF!</v>
      </c>
      <c r="N353" s="7"/>
      <c r="O353" s="7"/>
      <c r="P353" s="7"/>
      <c r="Q353" s="7"/>
      <c r="R353" s="7"/>
      <c r="S353" s="7"/>
      <c r="T353" s="7"/>
    </row>
    <row r="354" spans="3:20" x14ac:dyDescent="0.25">
      <c r="C354" s="7"/>
      <c r="D354" s="7"/>
      <c r="E354" s="7" t="s">
        <v>19</v>
      </c>
      <c r="F354" s="7">
        <v>2055</v>
      </c>
      <c r="G354" s="8" t="s">
        <v>20</v>
      </c>
      <c r="H354" s="19" t="s">
        <v>42</v>
      </c>
      <c r="I354" s="7" t="s">
        <v>43</v>
      </c>
      <c r="J354" s="8"/>
      <c r="K354" s="7"/>
      <c r="L354" s="7" t="s">
        <v>30</v>
      </c>
      <c r="M354" s="18" t="e">
        <f t="shared" si="137"/>
        <v>#REF!</v>
      </c>
      <c r="N354" s="7"/>
      <c r="O354" s="7"/>
      <c r="P354" s="7"/>
      <c r="Q354" s="7"/>
      <c r="R354" s="7"/>
      <c r="S354" s="7"/>
      <c r="T354" s="7"/>
    </row>
    <row r="355" spans="3:20" x14ac:dyDescent="0.25">
      <c r="C355" s="7"/>
      <c r="D355" s="7"/>
      <c r="E355" s="7" t="s">
        <v>19</v>
      </c>
      <c r="F355" s="7">
        <v>2010</v>
      </c>
      <c r="G355" s="8" t="s">
        <v>20</v>
      </c>
      <c r="H355" s="19" t="s">
        <v>42</v>
      </c>
      <c r="I355" s="7" t="s">
        <v>43</v>
      </c>
      <c r="J355" s="8"/>
      <c r="K355" s="7"/>
      <c r="L355" s="7" t="s">
        <v>31</v>
      </c>
      <c r="M355" s="7"/>
      <c r="N355" s="7"/>
      <c r="O355" s="7"/>
      <c r="P355" s="7"/>
      <c r="Q355" s="7"/>
      <c r="R355" s="7"/>
      <c r="S355" s="7"/>
      <c r="T355" s="7"/>
    </row>
    <row r="356" spans="3:20" x14ac:dyDescent="0.25">
      <c r="C356" s="7"/>
      <c r="D356" s="7"/>
      <c r="E356" s="7" t="s">
        <v>19</v>
      </c>
      <c r="F356" s="7">
        <v>2015</v>
      </c>
      <c r="G356" s="8" t="s">
        <v>20</v>
      </c>
      <c r="H356" s="19" t="s">
        <v>42</v>
      </c>
      <c r="I356" s="7" t="s">
        <v>43</v>
      </c>
      <c r="J356" s="8"/>
      <c r="K356" s="7"/>
      <c r="L356" s="7" t="s">
        <v>31</v>
      </c>
      <c r="M356" s="7"/>
      <c r="N356" s="7"/>
      <c r="O356" s="7"/>
      <c r="P356" s="7"/>
      <c r="Q356" s="7"/>
      <c r="R356" s="7"/>
      <c r="S356" s="7"/>
      <c r="T356" s="7"/>
    </row>
    <row r="357" spans="3:20" x14ac:dyDescent="0.25">
      <c r="C357" s="7"/>
      <c r="D357" s="7"/>
      <c r="E357" s="7" t="s">
        <v>19</v>
      </c>
      <c r="F357" s="7">
        <v>2020</v>
      </c>
      <c r="G357" s="8" t="s">
        <v>20</v>
      </c>
      <c r="H357" s="19" t="s">
        <v>42</v>
      </c>
      <c r="I357" s="7" t="s">
        <v>43</v>
      </c>
      <c r="J357" s="8"/>
      <c r="K357" s="7"/>
      <c r="L357" s="7" t="s">
        <v>31</v>
      </c>
      <c r="M357" s="7"/>
      <c r="N357" s="7"/>
      <c r="O357" s="7"/>
      <c r="P357" s="7"/>
      <c r="Q357" s="7"/>
      <c r="R357" s="7"/>
      <c r="S357" s="7"/>
      <c r="T357" s="7"/>
    </row>
    <row r="358" spans="3:20" x14ac:dyDescent="0.25">
      <c r="C358" s="7"/>
      <c r="D358" s="7"/>
      <c r="E358" s="7" t="s">
        <v>19</v>
      </c>
      <c r="F358" s="7">
        <v>2055</v>
      </c>
      <c r="G358" s="8" t="s">
        <v>20</v>
      </c>
      <c r="H358" s="19" t="s">
        <v>42</v>
      </c>
      <c r="I358" s="7" t="s">
        <v>43</v>
      </c>
      <c r="J358" s="8"/>
      <c r="K358" s="7"/>
      <c r="L358" s="7" t="s">
        <v>31</v>
      </c>
      <c r="M358" s="7"/>
      <c r="N358" s="7"/>
      <c r="O358" s="7"/>
      <c r="P358" s="7"/>
      <c r="Q358" s="7"/>
      <c r="R358" s="7"/>
      <c r="S358" s="7"/>
      <c r="T358" s="7"/>
    </row>
    <row r="359" spans="3:20" x14ac:dyDescent="0.25">
      <c r="C359" s="7"/>
      <c r="D359" s="7"/>
      <c r="E359" s="7" t="s">
        <v>19</v>
      </c>
      <c r="F359" s="7">
        <v>2010</v>
      </c>
      <c r="G359" s="8" t="s">
        <v>20</v>
      </c>
      <c r="H359" s="19" t="s">
        <v>42</v>
      </c>
      <c r="I359" s="7" t="s">
        <v>43</v>
      </c>
      <c r="J359" s="8"/>
      <c r="K359" s="7"/>
      <c r="L359" s="7" t="s">
        <v>32</v>
      </c>
      <c r="M359" s="7"/>
      <c r="N359" s="7"/>
      <c r="O359" s="7"/>
      <c r="P359" s="7"/>
      <c r="Q359" s="7"/>
      <c r="R359" s="7"/>
      <c r="S359" s="7"/>
      <c r="T359" s="7"/>
    </row>
    <row r="360" spans="3:20" x14ac:dyDescent="0.25">
      <c r="C360" s="7"/>
      <c r="D360" s="7"/>
      <c r="E360" s="7" t="s">
        <v>19</v>
      </c>
      <c r="F360" s="7">
        <v>2015</v>
      </c>
      <c r="G360" s="8" t="s">
        <v>20</v>
      </c>
      <c r="H360" s="19" t="s">
        <v>42</v>
      </c>
      <c r="I360" s="7" t="s">
        <v>43</v>
      </c>
      <c r="J360" s="8"/>
      <c r="K360" s="7"/>
      <c r="L360" s="7" t="s">
        <v>32</v>
      </c>
      <c r="M360" s="7"/>
      <c r="N360" s="7"/>
      <c r="O360" s="7"/>
      <c r="P360" s="7"/>
      <c r="Q360" s="7"/>
      <c r="R360" s="7"/>
      <c r="S360" s="7"/>
      <c r="T360" s="7"/>
    </row>
    <row r="361" spans="3:20" x14ac:dyDescent="0.25">
      <c r="C361" s="7"/>
      <c r="D361" s="7"/>
      <c r="E361" s="7" t="s">
        <v>19</v>
      </c>
      <c r="F361" s="7">
        <v>2020</v>
      </c>
      <c r="G361" s="8" t="s">
        <v>20</v>
      </c>
      <c r="H361" s="19" t="s">
        <v>42</v>
      </c>
      <c r="I361" s="7" t="s">
        <v>43</v>
      </c>
      <c r="J361" s="8"/>
      <c r="K361" s="7"/>
      <c r="L361" s="7" t="s">
        <v>32</v>
      </c>
      <c r="M361" s="7"/>
      <c r="N361" s="7"/>
      <c r="O361" s="7"/>
      <c r="P361" s="7"/>
      <c r="Q361" s="7"/>
      <c r="R361" s="7"/>
      <c r="S361" s="7"/>
      <c r="T361" s="7"/>
    </row>
    <row r="362" spans="3:20" x14ac:dyDescent="0.25">
      <c r="C362" s="7"/>
      <c r="D362" s="7"/>
      <c r="E362" s="7" t="s">
        <v>19</v>
      </c>
      <c r="F362" s="7">
        <v>2055</v>
      </c>
      <c r="G362" s="8" t="s">
        <v>20</v>
      </c>
      <c r="H362" s="19" t="s">
        <v>42</v>
      </c>
      <c r="I362" s="7" t="s">
        <v>43</v>
      </c>
      <c r="J362" s="8"/>
      <c r="K362" s="7"/>
      <c r="L362" s="7" t="s">
        <v>32</v>
      </c>
      <c r="M362" s="7"/>
      <c r="N362" s="7"/>
      <c r="O362" s="7"/>
      <c r="P362" s="7"/>
      <c r="Q362" s="7"/>
      <c r="R362" s="7"/>
      <c r="S362" s="7"/>
      <c r="T362" s="7"/>
    </row>
    <row r="363" spans="3:20" x14ac:dyDescent="0.25">
      <c r="C363" s="15" t="s">
        <v>33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 spans="3:20" x14ac:dyDescent="0.25">
      <c r="C364" s="7"/>
      <c r="D364" s="7"/>
      <c r="E364" s="7" t="s">
        <v>19</v>
      </c>
      <c r="F364" s="7">
        <v>2010</v>
      </c>
      <c r="G364" s="8" t="s">
        <v>20</v>
      </c>
      <c r="H364" s="19" t="s">
        <v>44</v>
      </c>
      <c r="I364" s="7" t="s">
        <v>45</v>
      </c>
      <c r="J364" s="8"/>
      <c r="K364" s="7"/>
      <c r="L364" s="7" t="s">
        <v>22</v>
      </c>
      <c r="M364" s="18">
        <f>M420/1000</f>
        <v>6.124010979E-3</v>
      </c>
      <c r="N364" s="7"/>
      <c r="O364" s="7"/>
      <c r="P364" s="7"/>
      <c r="Q364" s="7"/>
      <c r="R364" s="7"/>
      <c r="S364" s="7"/>
      <c r="T364" s="7"/>
    </row>
    <row r="365" spans="3:20" x14ac:dyDescent="0.25">
      <c r="C365" s="7"/>
      <c r="D365" s="7"/>
      <c r="E365" s="7" t="s">
        <v>19</v>
      </c>
      <c r="F365" s="7">
        <v>2015</v>
      </c>
      <c r="G365" s="8" t="s">
        <v>20</v>
      </c>
      <c r="H365" s="19" t="s">
        <v>44</v>
      </c>
      <c r="I365" s="7" t="s">
        <v>45</v>
      </c>
      <c r="J365" s="8"/>
      <c r="K365" s="7"/>
      <c r="L365" s="7" t="s">
        <v>22</v>
      </c>
      <c r="M365" s="18">
        <f t="shared" ref="M365:M367" si="138">M421/1000</f>
        <v>6.124010979E-3</v>
      </c>
      <c r="N365" s="7"/>
      <c r="O365" s="7"/>
      <c r="P365" s="7"/>
      <c r="Q365" s="7"/>
      <c r="R365" s="7"/>
      <c r="S365" s="7"/>
      <c r="T365" s="7"/>
    </row>
    <row r="366" spans="3:20" x14ac:dyDescent="0.25">
      <c r="C366" s="7"/>
      <c r="D366" s="7"/>
      <c r="E366" s="7" t="s">
        <v>19</v>
      </c>
      <c r="F366" s="7">
        <v>2020</v>
      </c>
      <c r="G366" s="8" t="s">
        <v>20</v>
      </c>
      <c r="H366" s="19" t="s">
        <v>44</v>
      </c>
      <c r="I366" s="7" t="s">
        <v>45</v>
      </c>
      <c r="J366" s="8"/>
      <c r="K366" s="7"/>
      <c r="L366" s="7" t="s">
        <v>22</v>
      </c>
      <c r="M366" s="18">
        <f t="shared" si="138"/>
        <v>6.124010979E-3</v>
      </c>
      <c r="N366" s="7"/>
      <c r="O366" s="7"/>
      <c r="P366" s="7"/>
      <c r="Q366" s="7"/>
      <c r="R366" s="7"/>
      <c r="S366" s="7"/>
      <c r="T366" s="7"/>
    </row>
    <row r="367" spans="3:20" x14ac:dyDescent="0.25">
      <c r="C367" s="7"/>
      <c r="D367" s="7"/>
      <c r="E367" s="7" t="s">
        <v>19</v>
      </c>
      <c r="F367" s="7">
        <v>2055</v>
      </c>
      <c r="G367" s="8" t="s">
        <v>20</v>
      </c>
      <c r="H367" s="19" t="s">
        <v>44</v>
      </c>
      <c r="I367" s="7" t="s">
        <v>45</v>
      </c>
      <c r="J367" s="8"/>
      <c r="K367" s="7"/>
      <c r="L367" s="7" t="s">
        <v>22</v>
      </c>
      <c r="M367" s="18">
        <f t="shared" si="138"/>
        <v>6.124010979E-3</v>
      </c>
      <c r="N367" s="7"/>
      <c r="O367" s="7"/>
      <c r="P367" s="7"/>
      <c r="Q367" s="7"/>
      <c r="R367" s="7"/>
      <c r="S367" s="7"/>
      <c r="T367" s="7"/>
    </row>
    <row r="368" spans="3:20" x14ac:dyDescent="0.25">
      <c r="C368" s="7"/>
      <c r="D368" s="7"/>
      <c r="E368" s="7" t="s">
        <v>19</v>
      </c>
      <c r="F368" s="7">
        <v>2010</v>
      </c>
      <c r="G368" s="8" t="s">
        <v>20</v>
      </c>
      <c r="H368" s="19" t="s">
        <v>44</v>
      </c>
      <c r="I368" s="7" t="s">
        <v>45</v>
      </c>
      <c r="J368" s="8"/>
      <c r="K368" s="7"/>
      <c r="L368" s="7" t="s">
        <v>23</v>
      </c>
      <c r="M368" s="18">
        <f>'Emissions - REF'!$C$6</f>
        <v>2.3232979999999997E-3</v>
      </c>
      <c r="N368" s="7"/>
      <c r="O368" s="7"/>
      <c r="P368" s="7"/>
      <c r="Q368" s="7"/>
      <c r="R368" s="7"/>
      <c r="S368" s="7"/>
      <c r="T368" s="7"/>
    </row>
    <row r="369" spans="3:20" x14ac:dyDescent="0.25">
      <c r="C369" s="7"/>
      <c r="D369" s="7"/>
      <c r="E369" s="7" t="s">
        <v>19</v>
      </c>
      <c r="F369" s="7">
        <v>2015</v>
      </c>
      <c r="G369" s="8" t="s">
        <v>20</v>
      </c>
      <c r="H369" s="19" t="s">
        <v>44</v>
      </c>
      <c r="I369" s="7" t="s">
        <v>45</v>
      </c>
      <c r="J369" s="8"/>
      <c r="K369" s="7"/>
      <c r="L369" s="7" t="s">
        <v>23</v>
      </c>
      <c r="M369" s="18">
        <f>'Emissions - REF'!$D$6</f>
        <v>2.3232979999999997E-3</v>
      </c>
      <c r="N369" s="7"/>
      <c r="O369" s="7"/>
      <c r="P369" s="7"/>
      <c r="Q369" s="7"/>
      <c r="R369" s="7"/>
      <c r="S369" s="7"/>
      <c r="T369" s="7"/>
    </row>
    <row r="370" spans="3:20" x14ac:dyDescent="0.25">
      <c r="C370" s="7"/>
      <c r="D370" s="7"/>
      <c r="E370" s="7" t="s">
        <v>19</v>
      </c>
      <c r="F370" s="7">
        <v>2020</v>
      </c>
      <c r="G370" s="8" t="s">
        <v>20</v>
      </c>
      <c r="H370" s="19" t="s">
        <v>44</v>
      </c>
      <c r="I370" s="7" t="s">
        <v>45</v>
      </c>
      <c r="J370" s="8"/>
      <c r="K370" s="7"/>
      <c r="L370" s="7" t="s">
        <v>23</v>
      </c>
      <c r="M370" s="18">
        <f>'Emissions - REF'!$E$6</f>
        <v>2.3232979999999997E-3</v>
      </c>
      <c r="N370" s="7"/>
      <c r="O370" s="7"/>
      <c r="P370" s="7"/>
      <c r="Q370" s="7"/>
      <c r="R370" s="7"/>
      <c r="S370" s="7"/>
      <c r="T370" s="7"/>
    </row>
    <row r="371" spans="3:20" x14ac:dyDescent="0.25">
      <c r="C371" s="7"/>
      <c r="D371" s="7"/>
      <c r="E371" s="7" t="s">
        <v>19</v>
      </c>
      <c r="F371" s="7">
        <v>2055</v>
      </c>
      <c r="G371" s="8" t="s">
        <v>20</v>
      </c>
      <c r="H371" s="19" t="s">
        <v>44</v>
      </c>
      <c r="I371" s="7" t="s">
        <v>45</v>
      </c>
      <c r="J371" s="8"/>
      <c r="K371" s="7"/>
      <c r="L371" s="7" t="s">
        <v>23</v>
      </c>
      <c r="M371" s="18">
        <f>M370</f>
        <v>2.3232979999999997E-3</v>
      </c>
      <c r="N371" s="7"/>
      <c r="O371" s="7"/>
      <c r="P371" s="7"/>
      <c r="Q371" s="7"/>
      <c r="R371" s="7"/>
      <c r="S371" s="7"/>
      <c r="T371" s="7"/>
    </row>
    <row r="372" spans="3:20" x14ac:dyDescent="0.25">
      <c r="C372" s="7"/>
      <c r="D372" s="7"/>
      <c r="E372" s="7" t="s">
        <v>19</v>
      </c>
      <c r="F372" s="7">
        <v>2010</v>
      </c>
      <c r="G372" s="8" t="s">
        <v>20</v>
      </c>
      <c r="H372" s="19" t="s">
        <v>44</v>
      </c>
      <c r="I372" s="7" t="s">
        <v>45</v>
      </c>
      <c r="J372" s="8"/>
      <c r="K372" s="7"/>
      <c r="L372" s="7" t="s">
        <v>24</v>
      </c>
      <c r="M372" s="18">
        <f>'Emissions - REF'!$C$7</f>
        <v>3.5583780000000001E-3</v>
      </c>
      <c r="N372" s="7"/>
      <c r="O372" s="7"/>
      <c r="P372" s="7"/>
      <c r="Q372" s="7"/>
      <c r="R372" s="7"/>
      <c r="S372" s="7"/>
      <c r="T372" s="7"/>
    </row>
    <row r="373" spans="3:20" x14ac:dyDescent="0.25">
      <c r="C373" s="7"/>
      <c r="D373" s="7"/>
      <c r="E373" s="7" t="s">
        <v>19</v>
      </c>
      <c r="F373" s="7">
        <v>2015</v>
      </c>
      <c r="G373" s="8" t="s">
        <v>20</v>
      </c>
      <c r="H373" s="19" t="s">
        <v>44</v>
      </c>
      <c r="I373" s="7" t="s">
        <v>45</v>
      </c>
      <c r="J373" s="8"/>
      <c r="K373" s="7"/>
      <c r="L373" s="7" t="s">
        <v>24</v>
      </c>
      <c r="M373" s="18">
        <f>'Emissions - REF'!$D$7</f>
        <v>3.5583780000000001E-3</v>
      </c>
      <c r="N373" s="7"/>
      <c r="O373" s="7"/>
      <c r="P373" s="7"/>
      <c r="Q373" s="7"/>
      <c r="R373" s="7"/>
      <c r="S373" s="7"/>
      <c r="T373" s="7"/>
    </row>
    <row r="374" spans="3:20" x14ac:dyDescent="0.25">
      <c r="C374" s="7"/>
      <c r="D374" s="7"/>
      <c r="E374" s="7" t="s">
        <v>19</v>
      </c>
      <c r="F374" s="7">
        <v>2020</v>
      </c>
      <c r="G374" s="8" t="s">
        <v>20</v>
      </c>
      <c r="H374" s="19" t="s">
        <v>44</v>
      </c>
      <c r="I374" s="7" t="s">
        <v>45</v>
      </c>
      <c r="J374" s="8"/>
      <c r="K374" s="7"/>
      <c r="L374" s="7" t="s">
        <v>24</v>
      </c>
      <c r="M374" s="18">
        <f>'Emissions - REF'!$E$7</f>
        <v>3.5583780000000001E-3</v>
      </c>
      <c r="N374" s="7"/>
      <c r="O374" s="7"/>
      <c r="P374" s="7"/>
      <c r="Q374" s="7"/>
      <c r="R374" s="7"/>
      <c r="S374" s="7"/>
      <c r="T374" s="7"/>
    </row>
    <row r="375" spans="3:20" x14ac:dyDescent="0.25">
      <c r="C375" s="7"/>
      <c r="D375" s="7"/>
      <c r="E375" s="7" t="s">
        <v>19</v>
      </c>
      <c r="F375" s="7">
        <v>2055</v>
      </c>
      <c r="G375" s="8" t="s">
        <v>20</v>
      </c>
      <c r="H375" s="19" t="s">
        <v>44</v>
      </c>
      <c r="I375" s="7" t="s">
        <v>45</v>
      </c>
      <c r="J375" s="8"/>
      <c r="K375" s="7"/>
      <c r="L375" s="7" t="s">
        <v>24</v>
      </c>
      <c r="M375" s="18">
        <f>M374</f>
        <v>3.5583780000000001E-3</v>
      </c>
      <c r="N375" s="7"/>
      <c r="O375" s="7"/>
      <c r="P375" s="7"/>
      <c r="Q375" s="7"/>
      <c r="R375" s="7"/>
      <c r="S375" s="7"/>
      <c r="T375" s="7"/>
    </row>
    <row r="376" spans="3:20" x14ac:dyDescent="0.25">
      <c r="C376" s="7"/>
      <c r="D376" s="7"/>
      <c r="E376" s="7" t="s">
        <v>19</v>
      </c>
      <c r="F376" s="7">
        <v>2010</v>
      </c>
      <c r="G376" s="8" t="s">
        <v>20</v>
      </c>
      <c r="H376" s="19" t="s">
        <v>44</v>
      </c>
      <c r="I376" s="7" t="s">
        <v>45</v>
      </c>
      <c r="J376" s="8"/>
      <c r="K376" s="7"/>
      <c r="L376" s="7" t="s">
        <v>25</v>
      </c>
      <c r="M376" s="18">
        <f>'Emissions - REF'!$C$8</f>
        <v>8.144765E-3</v>
      </c>
      <c r="N376" s="7"/>
      <c r="O376" s="7"/>
      <c r="P376" s="7"/>
      <c r="Q376" s="7"/>
      <c r="R376" s="7"/>
      <c r="S376" s="7"/>
      <c r="T376" s="7"/>
    </row>
    <row r="377" spans="3:20" x14ac:dyDescent="0.25">
      <c r="C377" s="7"/>
      <c r="D377" s="7"/>
      <c r="E377" s="7" t="s">
        <v>19</v>
      </c>
      <c r="F377" s="7">
        <v>2015</v>
      </c>
      <c r="G377" s="8" t="s">
        <v>20</v>
      </c>
      <c r="H377" s="19" t="s">
        <v>44</v>
      </c>
      <c r="I377" s="7" t="s">
        <v>45</v>
      </c>
      <c r="J377" s="8"/>
      <c r="K377" s="7"/>
      <c r="L377" s="7" t="s">
        <v>25</v>
      </c>
      <c r="M377" s="18">
        <f>'Emissions - REF'!$D$8</f>
        <v>7.2287209999999996E-3</v>
      </c>
      <c r="N377" s="7"/>
      <c r="O377" s="7"/>
      <c r="P377" s="7"/>
      <c r="Q377" s="7"/>
      <c r="R377" s="7"/>
      <c r="S377" s="7"/>
      <c r="T377" s="7"/>
    </row>
    <row r="378" spans="3:20" x14ac:dyDescent="0.25">
      <c r="C378" s="7"/>
      <c r="D378" s="7"/>
      <c r="E378" s="7" t="s">
        <v>19</v>
      </c>
      <c r="F378" s="7">
        <v>2020</v>
      </c>
      <c r="G378" s="8" t="s">
        <v>20</v>
      </c>
      <c r="H378" s="19" t="s">
        <v>44</v>
      </c>
      <c r="I378" s="7" t="s">
        <v>45</v>
      </c>
      <c r="J378" s="8"/>
      <c r="K378" s="7"/>
      <c r="L378" s="7" t="s">
        <v>25</v>
      </c>
      <c r="M378" s="18">
        <f>'Emissions - REF'!$E$8</f>
        <v>6.8386099999999993E-3</v>
      </c>
      <c r="N378" s="7"/>
      <c r="O378" s="7"/>
      <c r="P378" s="7"/>
      <c r="Q378" s="7"/>
      <c r="R378" s="7"/>
      <c r="S378" s="7"/>
      <c r="T378" s="7"/>
    </row>
    <row r="379" spans="3:20" x14ac:dyDescent="0.25">
      <c r="C379" s="7"/>
      <c r="D379" s="7"/>
      <c r="E379" s="7" t="s">
        <v>19</v>
      </c>
      <c r="F379" s="7">
        <v>2055</v>
      </c>
      <c r="G379" s="8" t="s">
        <v>20</v>
      </c>
      <c r="H379" s="19" t="s">
        <v>44</v>
      </c>
      <c r="I379" s="7" t="s">
        <v>45</v>
      </c>
      <c r="J379" s="8"/>
      <c r="K379" s="7"/>
      <c r="L379" s="7" t="s">
        <v>25</v>
      </c>
      <c r="M379" s="18">
        <f>M378</f>
        <v>6.8386099999999993E-3</v>
      </c>
      <c r="N379" s="7"/>
      <c r="O379" s="7"/>
      <c r="P379" s="7"/>
      <c r="Q379" s="7"/>
      <c r="R379" s="7"/>
      <c r="S379" s="7"/>
      <c r="T379" s="7"/>
    </row>
    <row r="380" spans="3:20" x14ac:dyDescent="0.25">
      <c r="C380" s="7"/>
      <c r="D380" s="7"/>
      <c r="E380" s="7" t="s">
        <v>19</v>
      </c>
      <c r="F380" s="7">
        <v>2010</v>
      </c>
      <c r="G380" s="8" t="s">
        <v>20</v>
      </c>
      <c r="H380" s="19" t="s">
        <v>44</v>
      </c>
      <c r="I380" s="7" t="s">
        <v>45</v>
      </c>
      <c r="J380" s="8"/>
      <c r="K380" s="7"/>
      <c r="L380" s="7" t="s">
        <v>26</v>
      </c>
      <c r="M380" s="18">
        <f>'Emissions - REF'!$C$9</f>
        <v>1.9528849999999999E-3</v>
      </c>
      <c r="N380" s="7"/>
      <c r="O380" s="7"/>
      <c r="P380" s="7"/>
      <c r="Q380" s="7"/>
      <c r="R380" s="7"/>
      <c r="S380" s="7"/>
      <c r="T380" s="7"/>
    </row>
    <row r="381" spans="3:20" x14ac:dyDescent="0.25">
      <c r="C381" s="7"/>
      <c r="D381" s="7"/>
      <c r="E381" s="7" t="s">
        <v>19</v>
      </c>
      <c r="F381" s="7">
        <v>2015</v>
      </c>
      <c r="G381" s="8" t="s">
        <v>20</v>
      </c>
      <c r="H381" s="19" t="s">
        <v>44</v>
      </c>
      <c r="I381" s="7" t="s">
        <v>45</v>
      </c>
      <c r="J381" s="8"/>
      <c r="K381" s="7"/>
      <c r="L381" s="7" t="s">
        <v>26</v>
      </c>
      <c r="M381" s="18">
        <f>'Emissions - REF'!$D$9</f>
        <v>1.7367819999999999E-3</v>
      </c>
      <c r="N381" s="7"/>
      <c r="O381" s="7"/>
      <c r="P381" s="7"/>
      <c r="Q381" s="7"/>
      <c r="R381" s="7"/>
      <c r="S381" s="7"/>
      <c r="T381" s="7"/>
    </row>
    <row r="382" spans="3:20" x14ac:dyDescent="0.25">
      <c r="C382" s="7"/>
      <c r="D382" s="7"/>
      <c r="E382" s="7" t="s">
        <v>19</v>
      </c>
      <c r="F382" s="7">
        <v>2020</v>
      </c>
      <c r="G382" s="8" t="s">
        <v>20</v>
      </c>
      <c r="H382" s="19" t="s">
        <v>44</v>
      </c>
      <c r="I382" s="7" t="s">
        <v>45</v>
      </c>
      <c r="J382" s="8"/>
      <c r="K382" s="7"/>
      <c r="L382" s="7" t="s">
        <v>26</v>
      </c>
      <c r="M382" s="18">
        <f>'Emissions - REF'!$E$9</f>
        <v>1.6641300000000002E-3</v>
      </c>
      <c r="N382" s="7"/>
      <c r="O382" s="7"/>
      <c r="P382" s="7"/>
      <c r="Q382" s="7"/>
      <c r="R382" s="7"/>
      <c r="S382" s="7"/>
      <c r="T382" s="7"/>
    </row>
    <row r="383" spans="3:20" x14ac:dyDescent="0.25">
      <c r="C383" s="7"/>
      <c r="D383" s="7"/>
      <c r="E383" s="7" t="s">
        <v>19</v>
      </c>
      <c r="F383" s="7">
        <v>2055</v>
      </c>
      <c r="G383" s="8" t="s">
        <v>20</v>
      </c>
      <c r="H383" s="19" t="s">
        <v>44</v>
      </c>
      <c r="I383" s="7" t="s">
        <v>45</v>
      </c>
      <c r="J383" s="8"/>
      <c r="K383" s="7"/>
      <c r="L383" s="7" t="s">
        <v>26</v>
      </c>
      <c r="M383" s="18">
        <f>M382</f>
        <v>1.6641300000000002E-3</v>
      </c>
      <c r="N383" s="7"/>
      <c r="O383" s="7"/>
      <c r="P383" s="7"/>
      <c r="Q383" s="7"/>
      <c r="R383" s="7"/>
      <c r="S383" s="7"/>
      <c r="T383" s="7"/>
    </row>
    <row r="384" spans="3:20" x14ac:dyDescent="0.25">
      <c r="C384" s="7"/>
      <c r="D384" s="7"/>
      <c r="E384" s="7" t="s">
        <v>19</v>
      </c>
      <c r="F384" s="7">
        <v>2010</v>
      </c>
      <c r="G384" s="8" t="s">
        <v>20</v>
      </c>
      <c r="H384" s="19" t="s">
        <v>44</v>
      </c>
      <c r="I384" s="7" t="s">
        <v>45</v>
      </c>
      <c r="J384" s="8"/>
      <c r="K384" s="7"/>
      <c r="L384" s="7" t="s">
        <v>27</v>
      </c>
      <c r="M384" s="18">
        <f>'Emissions - REF'!$C$10</f>
        <v>1.086119E-3</v>
      </c>
      <c r="N384" s="7"/>
      <c r="O384" s="7"/>
      <c r="P384" s="7"/>
      <c r="Q384" s="7"/>
      <c r="R384" s="7"/>
      <c r="S384" s="7"/>
      <c r="T384" s="7"/>
    </row>
    <row r="385" spans="3:20" x14ac:dyDescent="0.25">
      <c r="C385" s="7"/>
      <c r="D385" s="7"/>
      <c r="E385" s="7" t="s">
        <v>19</v>
      </c>
      <c r="F385" s="7">
        <v>2015</v>
      </c>
      <c r="G385" s="8" t="s">
        <v>20</v>
      </c>
      <c r="H385" s="19" t="s">
        <v>44</v>
      </c>
      <c r="I385" s="7" t="s">
        <v>45</v>
      </c>
      <c r="J385" s="8"/>
      <c r="K385" s="7"/>
      <c r="L385" s="7" t="s">
        <v>27</v>
      </c>
      <c r="M385" s="18">
        <f>'Emissions - REF'!$D$10</f>
        <v>1.0130989999999999E-3</v>
      </c>
      <c r="N385" s="7"/>
      <c r="O385" s="7"/>
      <c r="P385" s="7"/>
      <c r="Q385" s="7"/>
      <c r="R385" s="7"/>
      <c r="S385" s="7"/>
      <c r="T385" s="7"/>
    </row>
    <row r="386" spans="3:20" x14ac:dyDescent="0.25">
      <c r="C386" s="7"/>
      <c r="D386" s="7"/>
      <c r="E386" s="7" t="s">
        <v>19</v>
      </c>
      <c r="F386" s="7">
        <v>2020</v>
      </c>
      <c r="G386" s="8" t="s">
        <v>20</v>
      </c>
      <c r="H386" s="19" t="s">
        <v>44</v>
      </c>
      <c r="I386" s="7" t="s">
        <v>45</v>
      </c>
      <c r="J386" s="8"/>
      <c r="K386" s="7"/>
      <c r="L386" s="7" t="s">
        <v>27</v>
      </c>
      <c r="M386" s="18">
        <f>'Emissions - REF'!$E$10</f>
        <v>9.4102599999999997E-4</v>
      </c>
      <c r="N386" s="7"/>
      <c r="O386" s="7"/>
      <c r="P386" s="7"/>
      <c r="Q386" s="7"/>
      <c r="R386" s="7"/>
      <c r="S386" s="7"/>
      <c r="T386" s="7"/>
    </row>
    <row r="387" spans="3:20" x14ac:dyDescent="0.25">
      <c r="C387" s="7"/>
      <c r="D387" s="7"/>
      <c r="E387" s="7" t="s">
        <v>19</v>
      </c>
      <c r="F387" s="7">
        <v>2055</v>
      </c>
      <c r="G387" s="8" t="s">
        <v>20</v>
      </c>
      <c r="H387" s="19" t="s">
        <v>44</v>
      </c>
      <c r="I387" s="7" t="s">
        <v>45</v>
      </c>
      <c r="J387" s="8"/>
      <c r="K387" s="7"/>
      <c r="L387" s="7" t="s">
        <v>27</v>
      </c>
      <c r="M387" s="18">
        <f>M386</f>
        <v>9.4102599999999997E-4</v>
      </c>
      <c r="N387" s="7"/>
      <c r="O387" s="7"/>
      <c r="P387" s="7"/>
      <c r="Q387" s="7"/>
      <c r="R387" s="7"/>
      <c r="S387" s="7"/>
      <c r="T387" s="7"/>
    </row>
    <row r="388" spans="3:20" x14ac:dyDescent="0.25">
      <c r="C388" s="7"/>
      <c r="D388" s="7"/>
      <c r="E388" s="7" t="s">
        <v>19</v>
      </c>
      <c r="F388" s="7">
        <v>2010</v>
      </c>
      <c r="G388" s="8" t="s">
        <v>20</v>
      </c>
      <c r="H388" s="19" t="s">
        <v>44</v>
      </c>
      <c r="I388" s="7" t="s">
        <v>45</v>
      </c>
      <c r="J388" s="8"/>
      <c r="K388" s="7"/>
      <c r="L388" s="7" t="s">
        <v>28</v>
      </c>
      <c r="M388" s="18">
        <f>'Emissions - REF'!$C$11</f>
        <v>7.1050530000000001E-3</v>
      </c>
      <c r="N388" s="7"/>
      <c r="O388" s="7"/>
      <c r="P388" s="7"/>
      <c r="Q388" s="7"/>
      <c r="R388" s="7"/>
      <c r="S388" s="7"/>
      <c r="T388" s="7"/>
    </row>
    <row r="389" spans="3:20" x14ac:dyDescent="0.25">
      <c r="C389" s="7"/>
      <c r="D389" s="7"/>
      <c r="E389" s="7" t="s">
        <v>19</v>
      </c>
      <c r="F389" s="7">
        <v>2015</v>
      </c>
      <c r="G389" s="8" t="s">
        <v>20</v>
      </c>
      <c r="H389" s="19" t="s">
        <v>44</v>
      </c>
      <c r="I389" s="7" t="s">
        <v>45</v>
      </c>
      <c r="J389" s="8"/>
      <c r="K389" s="7"/>
      <c r="L389" s="7" t="s">
        <v>28</v>
      </c>
      <c r="M389" s="18">
        <f>'Emissions - REF'!$D$11</f>
        <v>6.1110929999999997E-3</v>
      </c>
      <c r="N389" s="7"/>
      <c r="O389" s="7"/>
      <c r="P389" s="7"/>
      <c r="Q389" s="7"/>
      <c r="R389" s="7"/>
      <c r="S389" s="7"/>
      <c r="T389" s="7"/>
    </row>
    <row r="390" spans="3:20" x14ac:dyDescent="0.25">
      <c r="C390" s="7"/>
      <c r="D390" s="7"/>
      <c r="E390" s="7" t="s">
        <v>19</v>
      </c>
      <c r="F390" s="7">
        <v>2020</v>
      </c>
      <c r="G390" s="8" t="s">
        <v>20</v>
      </c>
      <c r="H390" s="19" t="s">
        <v>44</v>
      </c>
      <c r="I390" s="7" t="s">
        <v>45</v>
      </c>
      <c r="J390" s="8"/>
      <c r="K390" s="7"/>
      <c r="L390" s="7" t="s">
        <v>28</v>
      </c>
      <c r="M390" s="18">
        <f>'Emissions - REF'!$E$11</f>
        <v>5.6851099999999993E-3</v>
      </c>
      <c r="N390" s="7"/>
      <c r="O390" s="7"/>
      <c r="P390" s="7"/>
      <c r="Q390" s="7"/>
      <c r="R390" s="7"/>
      <c r="S390" s="7"/>
      <c r="T390" s="7"/>
    </row>
    <row r="391" spans="3:20" x14ac:dyDescent="0.25">
      <c r="C391" s="7"/>
      <c r="D391" s="7"/>
      <c r="E391" s="7" t="s">
        <v>19</v>
      </c>
      <c r="F391" s="7">
        <v>2055</v>
      </c>
      <c r="G391" s="8" t="s">
        <v>20</v>
      </c>
      <c r="H391" s="19" t="s">
        <v>44</v>
      </c>
      <c r="I391" s="7" t="s">
        <v>45</v>
      </c>
      <c r="J391" s="8"/>
      <c r="K391" s="7"/>
      <c r="L391" s="7" t="s">
        <v>28</v>
      </c>
      <c r="M391" s="18">
        <f>M390</f>
        <v>5.6851099999999993E-3</v>
      </c>
      <c r="N391" s="7"/>
      <c r="O391" s="7"/>
      <c r="P391" s="7"/>
      <c r="Q391" s="7"/>
      <c r="R391" s="7"/>
      <c r="S391" s="7"/>
      <c r="T391" s="7"/>
    </row>
    <row r="392" spans="3:20" x14ac:dyDescent="0.25">
      <c r="C392" s="7"/>
      <c r="D392" s="7"/>
      <c r="E392" s="7" t="s">
        <v>19</v>
      </c>
      <c r="F392" s="7">
        <v>2010</v>
      </c>
      <c r="G392" s="8" t="s">
        <v>20</v>
      </c>
      <c r="H392" s="19" t="s">
        <v>44</v>
      </c>
      <c r="I392" s="7" t="s">
        <v>45</v>
      </c>
      <c r="J392" s="8"/>
      <c r="K392" s="7"/>
      <c r="L392" s="7" t="s">
        <v>29</v>
      </c>
      <c r="M392" s="18">
        <f>'Emissions - REF'!$C$12</f>
        <v>1.8631600000000001E-4</v>
      </c>
      <c r="N392" s="7"/>
      <c r="O392" s="7"/>
      <c r="P392" s="7"/>
      <c r="Q392" s="7"/>
      <c r="R392" s="7"/>
      <c r="S392" s="7"/>
      <c r="T392" s="7"/>
    </row>
    <row r="393" spans="3:20" x14ac:dyDescent="0.25">
      <c r="C393" s="7"/>
      <c r="D393" s="7"/>
      <c r="E393" s="7" t="s">
        <v>19</v>
      </c>
      <c r="F393" s="7">
        <v>2015</v>
      </c>
      <c r="G393" s="8" t="s">
        <v>20</v>
      </c>
      <c r="H393" s="19" t="s">
        <v>44</v>
      </c>
      <c r="I393" s="7" t="s">
        <v>45</v>
      </c>
      <c r="J393" s="8"/>
      <c r="K393" s="7"/>
      <c r="L393" s="7" t="s">
        <v>29</v>
      </c>
      <c r="M393" s="18">
        <f>'Emissions - REF'!$D$12</f>
        <v>1.8631600000000001E-4</v>
      </c>
      <c r="N393" s="7"/>
      <c r="O393" s="7"/>
      <c r="P393" s="7"/>
      <c r="Q393" s="7"/>
      <c r="R393" s="7"/>
      <c r="S393" s="7"/>
      <c r="T393" s="7"/>
    </row>
    <row r="394" spans="3:20" x14ac:dyDescent="0.25">
      <c r="C394" s="7"/>
      <c r="D394" s="7"/>
      <c r="E394" s="7" t="s">
        <v>19</v>
      </c>
      <c r="F394" s="7">
        <v>2020</v>
      </c>
      <c r="G394" s="8" t="s">
        <v>20</v>
      </c>
      <c r="H394" s="19" t="s">
        <v>44</v>
      </c>
      <c r="I394" s="7" t="s">
        <v>45</v>
      </c>
      <c r="J394" s="8"/>
      <c r="K394" s="7"/>
      <c r="L394" s="7" t="s">
        <v>29</v>
      </c>
      <c r="M394" s="18">
        <f>'Emissions - REF'!$E$12</f>
        <v>1.8631600000000001E-4</v>
      </c>
      <c r="N394" s="7"/>
      <c r="O394" s="7"/>
      <c r="P394" s="7"/>
      <c r="Q394" s="7"/>
      <c r="R394" s="7"/>
      <c r="S394" s="7"/>
      <c r="T394" s="7"/>
    </row>
    <row r="395" spans="3:20" x14ac:dyDescent="0.25">
      <c r="C395" s="7"/>
      <c r="D395" s="7"/>
      <c r="E395" s="7" t="s">
        <v>19</v>
      </c>
      <c r="F395" s="7">
        <v>2055</v>
      </c>
      <c r="G395" s="8" t="s">
        <v>20</v>
      </c>
      <c r="H395" s="19" t="s">
        <v>44</v>
      </c>
      <c r="I395" s="7" t="s">
        <v>45</v>
      </c>
      <c r="J395" s="8"/>
      <c r="K395" s="7"/>
      <c r="L395" s="7" t="s">
        <v>29</v>
      </c>
      <c r="M395" s="18">
        <f>M394</f>
        <v>1.8631600000000001E-4</v>
      </c>
      <c r="N395" s="7"/>
      <c r="O395" s="7"/>
      <c r="P395" s="7"/>
      <c r="Q395" s="7"/>
      <c r="R395" s="7"/>
      <c r="S395" s="7"/>
      <c r="T395" s="7"/>
    </row>
    <row r="396" spans="3:20" x14ac:dyDescent="0.25">
      <c r="C396" s="7"/>
      <c r="D396" s="7"/>
      <c r="E396" s="7" t="s">
        <v>19</v>
      </c>
      <c r="F396" s="7">
        <v>2010</v>
      </c>
      <c r="G396" s="8" t="s">
        <v>20</v>
      </c>
      <c r="H396" s="19" t="s">
        <v>44</v>
      </c>
      <c r="I396" s="7" t="s">
        <v>45</v>
      </c>
      <c r="J396" s="8"/>
      <c r="K396" s="7"/>
      <c r="L396" s="7" t="s">
        <v>30</v>
      </c>
      <c r="M396" s="18">
        <f>'Emissions - REF'!$C$13</f>
        <v>9.9823999999999998E-5</v>
      </c>
      <c r="N396" s="7"/>
      <c r="O396" s="7"/>
      <c r="P396" s="7"/>
      <c r="Q396" s="7"/>
      <c r="R396" s="7"/>
      <c r="S396" s="7"/>
      <c r="T396" s="7"/>
    </row>
    <row r="397" spans="3:20" x14ac:dyDescent="0.25">
      <c r="C397" s="7"/>
      <c r="D397" s="7"/>
      <c r="E397" s="7" t="s">
        <v>19</v>
      </c>
      <c r="F397" s="7">
        <v>2015</v>
      </c>
      <c r="G397" s="8" t="s">
        <v>20</v>
      </c>
      <c r="H397" s="19" t="s">
        <v>44</v>
      </c>
      <c r="I397" s="7" t="s">
        <v>45</v>
      </c>
      <c r="J397" s="8"/>
      <c r="K397" s="7"/>
      <c r="L397" s="7" t="s">
        <v>30</v>
      </c>
      <c r="M397" s="18">
        <f>'Emissions - REF'!$D$13</f>
        <v>9.9823999999999998E-5</v>
      </c>
      <c r="N397" s="7"/>
      <c r="O397" s="7"/>
      <c r="P397" s="7"/>
      <c r="Q397" s="7"/>
      <c r="R397" s="7"/>
      <c r="S397" s="7"/>
      <c r="T397" s="7"/>
    </row>
    <row r="398" spans="3:20" x14ac:dyDescent="0.25">
      <c r="C398" s="7"/>
      <c r="D398" s="7"/>
      <c r="E398" s="7" t="s">
        <v>19</v>
      </c>
      <c r="F398" s="7">
        <v>2020</v>
      </c>
      <c r="G398" s="8" t="s">
        <v>20</v>
      </c>
      <c r="H398" s="19" t="s">
        <v>44</v>
      </c>
      <c r="I398" s="7" t="s">
        <v>45</v>
      </c>
      <c r="J398" s="8"/>
      <c r="K398" s="7"/>
      <c r="L398" s="7" t="s">
        <v>30</v>
      </c>
      <c r="M398" s="18">
        <f>'Emissions - REF'!$E$13</f>
        <v>9.9823999999999998E-5</v>
      </c>
      <c r="N398" s="7"/>
      <c r="O398" s="7"/>
      <c r="P398" s="7"/>
      <c r="Q398" s="7"/>
      <c r="R398" s="7"/>
      <c r="S398" s="7"/>
      <c r="T398" s="7"/>
    </row>
    <row r="399" spans="3:20" x14ac:dyDescent="0.25">
      <c r="C399" s="7"/>
      <c r="D399" s="7"/>
      <c r="E399" s="7" t="s">
        <v>19</v>
      </c>
      <c r="F399" s="7">
        <v>2055</v>
      </c>
      <c r="G399" s="8" t="s">
        <v>20</v>
      </c>
      <c r="H399" s="19" t="s">
        <v>44</v>
      </c>
      <c r="I399" s="7" t="s">
        <v>45</v>
      </c>
      <c r="J399" s="8"/>
      <c r="K399" s="7"/>
      <c r="L399" s="7" t="s">
        <v>30</v>
      </c>
      <c r="M399" s="18">
        <f>M398</f>
        <v>9.9823999999999998E-5</v>
      </c>
      <c r="N399" s="7"/>
      <c r="O399" s="7"/>
      <c r="P399" s="7"/>
      <c r="Q399" s="7"/>
      <c r="R399" s="7"/>
      <c r="S399" s="7"/>
      <c r="T399" s="7"/>
    </row>
    <row r="400" spans="3:20" x14ac:dyDescent="0.25">
      <c r="C400" s="7"/>
      <c r="D400" s="7"/>
      <c r="E400" s="7" t="s">
        <v>19</v>
      </c>
      <c r="F400" s="7">
        <v>2010</v>
      </c>
      <c r="G400" s="8" t="s">
        <v>20</v>
      </c>
      <c r="H400" s="19" t="s">
        <v>44</v>
      </c>
      <c r="I400" s="7" t="s">
        <v>45</v>
      </c>
      <c r="J400" s="8"/>
      <c r="K400" s="7"/>
      <c r="L400" s="7" t="s">
        <v>31</v>
      </c>
      <c r="M400" s="7">
        <v>1E-4</v>
      </c>
      <c r="N400" s="7"/>
      <c r="O400" s="7"/>
      <c r="P400" s="7"/>
      <c r="Q400" s="7"/>
      <c r="R400" s="7"/>
      <c r="S400" s="7"/>
      <c r="T400" s="7"/>
    </row>
    <row r="401" spans="3:20" x14ac:dyDescent="0.25">
      <c r="C401" s="7"/>
      <c r="D401" s="7"/>
      <c r="E401" s="7" t="s">
        <v>19</v>
      </c>
      <c r="F401" s="7">
        <v>2015</v>
      </c>
      <c r="G401" s="8" t="s">
        <v>20</v>
      </c>
      <c r="H401" s="19" t="s">
        <v>44</v>
      </c>
      <c r="I401" s="7" t="s">
        <v>45</v>
      </c>
      <c r="J401" s="8"/>
      <c r="K401" s="7"/>
      <c r="L401" s="7" t="s">
        <v>31</v>
      </c>
      <c r="M401" s="7">
        <f>M400</f>
        <v>1E-4</v>
      </c>
      <c r="N401" s="7"/>
      <c r="O401" s="7"/>
      <c r="P401" s="7"/>
      <c r="Q401" s="7"/>
      <c r="R401" s="7"/>
      <c r="S401" s="7"/>
      <c r="T401" s="7"/>
    </row>
    <row r="402" spans="3:20" x14ac:dyDescent="0.25">
      <c r="C402" s="7"/>
      <c r="D402" s="7"/>
      <c r="E402" s="7" t="s">
        <v>19</v>
      </c>
      <c r="F402" s="7">
        <v>2020</v>
      </c>
      <c r="G402" s="8" t="s">
        <v>20</v>
      </c>
      <c r="H402" s="19" t="s">
        <v>44</v>
      </c>
      <c r="I402" s="7" t="s">
        <v>45</v>
      </c>
      <c r="J402" s="8"/>
      <c r="K402" s="7"/>
      <c r="L402" s="7" t="s">
        <v>31</v>
      </c>
      <c r="M402" s="7">
        <f t="shared" ref="M402:M403" si="139">M401</f>
        <v>1E-4</v>
      </c>
      <c r="N402" s="7"/>
      <c r="O402" s="7"/>
      <c r="P402" s="7"/>
      <c r="Q402" s="7"/>
      <c r="R402" s="7"/>
      <c r="S402" s="7"/>
      <c r="T402" s="7"/>
    </row>
    <row r="403" spans="3:20" x14ac:dyDescent="0.25">
      <c r="C403" s="7"/>
      <c r="D403" s="7"/>
      <c r="E403" s="7" t="s">
        <v>19</v>
      </c>
      <c r="F403" s="7">
        <v>2055</v>
      </c>
      <c r="G403" s="8" t="s">
        <v>20</v>
      </c>
      <c r="H403" s="19" t="s">
        <v>44</v>
      </c>
      <c r="I403" s="7" t="s">
        <v>45</v>
      </c>
      <c r="J403" s="8"/>
      <c r="K403" s="7"/>
      <c r="L403" s="7" t="s">
        <v>31</v>
      </c>
      <c r="M403" s="7">
        <f t="shared" si="139"/>
        <v>1E-4</v>
      </c>
      <c r="N403" s="7"/>
      <c r="O403" s="7"/>
      <c r="P403" s="7"/>
      <c r="Q403" s="7"/>
      <c r="R403" s="7"/>
      <c r="S403" s="7"/>
      <c r="T403" s="7"/>
    </row>
    <row r="404" spans="3:20" x14ac:dyDescent="0.25">
      <c r="C404" s="7"/>
      <c r="D404" s="7"/>
      <c r="E404" s="7" t="s">
        <v>19</v>
      </c>
      <c r="F404" s="7">
        <v>2010</v>
      </c>
      <c r="G404" s="8" t="s">
        <v>20</v>
      </c>
      <c r="H404" s="19" t="s">
        <v>44</v>
      </c>
      <c r="I404" s="7" t="s">
        <v>45</v>
      </c>
      <c r="J404" s="8"/>
      <c r="K404" s="7"/>
      <c r="L404" s="7" t="s">
        <v>32</v>
      </c>
      <c r="M404" s="7">
        <v>2.0000000000000001E-4</v>
      </c>
      <c r="N404" s="7"/>
      <c r="O404" s="7"/>
      <c r="P404" s="7"/>
      <c r="Q404" s="7"/>
      <c r="R404" s="7"/>
      <c r="S404" s="7"/>
      <c r="T404" s="7"/>
    </row>
    <row r="405" spans="3:20" x14ac:dyDescent="0.25">
      <c r="C405" s="7"/>
      <c r="D405" s="7"/>
      <c r="E405" s="7" t="s">
        <v>19</v>
      </c>
      <c r="F405" s="7">
        <v>2015</v>
      </c>
      <c r="G405" s="8" t="s">
        <v>20</v>
      </c>
      <c r="H405" s="19" t="s">
        <v>44</v>
      </c>
      <c r="I405" s="7" t="s">
        <v>45</v>
      </c>
      <c r="J405" s="8"/>
      <c r="K405" s="7"/>
      <c r="L405" s="7" t="s">
        <v>32</v>
      </c>
      <c r="M405" s="7">
        <f>M404</f>
        <v>2.0000000000000001E-4</v>
      </c>
      <c r="N405" s="7"/>
      <c r="O405" s="7"/>
      <c r="P405" s="7"/>
      <c r="Q405" s="7"/>
      <c r="R405" s="7"/>
      <c r="S405" s="7"/>
      <c r="T405" s="7"/>
    </row>
    <row r="406" spans="3:20" x14ac:dyDescent="0.25">
      <c r="C406" s="7"/>
      <c r="D406" s="7"/>
      <c r="E406" s="7" t="s">
        <v>19</v>
      </c>
      <c r="F406" s="7">
        <v>2020</v>
      </c>
      <c r="G406" s="8" t="s">
        <v>20</v>
      </c>
      <c r="H406" s="19" t="s">
        <v>44</v>
      </c>
      <c r="I406" s="7" t="s">
        <v>45</v>
      </c>
      <c r="J406" s="8"/>
      <c r="K406" s="7"/>
      <c r="L406" s="7" t="s">
        <v>32</v>
      </c>
      <c r="M406" s="7">
        <f t="shared" ref="M406:M407" si="140">M405</f>
        <v>2.0000000000000001E-4</v>
      </c>
      <c r="N406" s="7"/>
      <c r="O406" s="7"/>
      <c r="P406" s="7"/>
      <c r="Q406" s="7"/>
      <c r="R406" s="7"/>
      <c r="S406" s="7"/>
      <c r="T406" s="7"/>
    </row>
    <row r="407" spans="3:20" x14ac:dyDescent="0.25">
      <c r="C407" s="7"/>
      <c r="D407" s="7"/>
      <c r="E407" s="7" t="s">
        <v>19</v>
      </c>
      <c r="F407" s="7">
        <v>2055</v>
      </c>
      <c r="G407" s="8" t="s">
        <v>20</v>
      </c>
      <c r="H407" s="19" t="s">
        <v>44</v>
      </c>
      <c r="I407" s="7" t="s">
        <v>45</v>
      </c>
      <c r="J407" s="8"/>
      <c r="K407" s="7"/>
      <c r="L407" s="7" t="s">
        <v>32</v>
      </c>
      <c r="M407" s="7">
        <f t="shared" si="140"/>
        <v>2.0000000000000001E-4</v>
      </c>
      <c r="N407" s="7"/>
      <c r="O407" s="7"/>
      <c r="P407" s="7"/>
      <c r="Q407" s="7"/>
      <c r="R407" s="7"/>
      <c r="S407" s="7"/>
      <c r="T407" s="7"/>
    </row>
    <row r="408" spans="3:20" x14ac:dyDescent="0.25">
      <c r="C408" s="7"/>
      <c r="D408" s="7"/>
      <c r="E408" s="7" t="s">
        <v>19</v>
      </c>
      <c r="F408" s="7">
        <v>2010</v>
      </c>
      <c r="G408" s="8" t="s">
        <v>20</v>
      </c>
      <c r="H408" s="19" t="s">
        <v>44</v>
      </c>
      <c r="I408" s="7" t="s">
        <v>45</v>
      </c>
      <c r="J408" s="8"/>
      <c r="K408" s="7"/>
      <c r="L408" s="7" t="s">
        <v>46</v>
      </c>
      <c r="M408" s="18">
        <f>M376</f>
        <v>8.144765E-3</v>
      </c>
      <c r="N408" s="7"/>
      <c r="O408" s="7"/>
      <c r="P408" s="7"/>
      <c r="Q408" s="7"/>
      <c r="R408" s="7"/>
      <c r="S408" s="7"/>
      <c r="T408" s="7"/>
    </row>
    <row r="409" spans="3:20" x14ac:dyDescent="0.25">
      <c r="C409" s="7"/>
      <c r="D409" s="7"/>
      <c r="E409" s="7" t="s">
        <v>19</v>
      </c>
      <c r="F409" s="7">
        <v>2015</v>
      </c>
      <c r="G409" s="8" t="s">
        <v>20</v>
      </c>
      <c r="H409" s="19" t="s">
        <v>44</v>
      </c>
      <c r="I409" s="7" t="s">
        <v>45</v>
      </c>
      <c r="J409" s="8"/>
      <c r="K409" s="7"/>
      <c r="L409" s="7" t="s">
        <v>46</v>
      </c>
      <c r="M409" s="18">
        <f t="shared" ref="M409:M411" si="141">M377</f>
        <v>7.2287209999999996E-3</v>
      </c>
      <c r="N409" s="7"/>
      <c r="O409" s="7"/>
      <c r="P409" s="7"/>
      <c r="Q409" s="7"/>
      <c r="R409" s="7"/>
      <c r="S409" s="7"/>
      <c r="T409" s="7"/>
    </row>
    <row r="410" spans="3:20" x14ac:dyDescent="0.25">
      <c r="C410" s="7"/>
      <c r="D410" s="7"/>
      <c r="E410" s="7" t="s">
        <v>19</v>
      </c>
      <c r="F410" s="7">
        <v>2020</v>
      </c>
      <c r="G410" s="8" t="s">
        <v>20</v>
      </c>
      <c r="H410" s="19" t="s">
        <v>44</v>
      </c>
      <c r="I410" s="7" t="s">
        <v>45</v>
      </c>
      <c r="J410" s="8"/>
      <c r="K410" s="7"/>
      <c r="L410" s="7" t="s">
        <v>46</v>
      </c>
      <c r="M410" s="18">
        <f t="shared" si="141"/>
        <v>6.8386099999999993E-3</v>
      </c>
      <c r="N410" s="7"/>
      <c r="O410" s="7"/>
      <c r="P410" s="7"/>
      <c r="Q410" s="7"/>
      <c r="R410" s="7"/>
      <c r="S410" s="7"/>
      <c r="T410" s="7"/>
    </row>
    <row r="411" spans="3:20" x14ac:dyDescent="0.25">
      <c r="C411" s="7"/>
      <c r="D411" s="7"/>
      <c r="E411" s="7" t="s">
        <v>19</v>
      </c>
      <c r="F411" s="7">
        <v>2055</v>
      </c>
      <c r="G411" s="8" t="s">
        <v>20</v>
      </c>
      <c r="H411" s="19" t="s">
        <v>44</v>
      </c>
      <c r="I411" s="7" t="s">
        <v>45</v>
      </c>
      <c r="J411" s="8"/>
      <c r="K411" s="7"/>
      <c r="L411" s="7" t="s">
        <v>46</v>
      </c>
      <c r="M411" s="18">
        <f t="shared" si="141"/>
        <v>6.8386099999999993E-3</v>
      </c>
      <c r="N411" s="7"/>
      <c r="O411" s="7"/>
      <c r="P411" s="7"/>
      <c r="Q411" s="7"/>
      <c r="R411" s="7"/>
      <c r="S411" s="7"/>
      <c r="T411" s="7"/>
    </row>
    <row r="412" spans="3:20" x14ac:dyDescent="0.25">
      <c r="C412" s="7"/>
      <c r="D412" s="7"/>
      <c r="E412" s="7" t="s">
        <v>19</v>
      </c>
      <c r="F412" s="7">
        <v>2010</v>
      </c>
      <c r="G412" s="8" t="s">
        <v>20</v>
      </c>
      <c r="H412" s="19" t="s">
        <v>44</v>
      </c>
      <c r="I412" s="7" t="s">
        <v>45</v>
      </c>
      <c r="J412" s="8"/>
      <c r="K412" s="7"/>
      <c r="L412" s="7" t="s">
        <v>47</v>
      </c>
      <c r="M412" s="18">
        <f>M388</f>
        <v>7.1050530000000001E-3</v>
      </c>
      <c r="N412" s="7"/>
      <c r="O412" s="7"/>
      <c r="P412" s="7"/>
      <c r="Q412" s="7"/>
      <c r="R412" s="7"/>
      <c r="S412" s="7"/>
      <c r="T412" s="7"/>
    </row>
    <row r="413" spans="3:20" x14ac:dyDescent="0.25">
      <c r="C413" s="7"/>
      <c r="D413" s="7"/>
      <c r="E413" s="7" t="s">
        <v>19</v>
      </c>
      <c r="F413" s="7">
        <v>2015</v>
      </c>
      <c r="G413" s="8" t="s">
        <v>20</v>
      </c>
      <c r="H413" s="19" t="s">
        <v>44</v>
      </c>
      <c r="I413" s="7" t="s">
        <v>45</v>
      </c>
      <c r="J413" s="8"/>
      <c r="K413" s="7"/>
      <c r="L413" s="7" t="s">
        <v>47</v>
      </c>
      <c r="M413" s="18">
        <f t="shared" ref="M413:M415" si="142">M389</f>
        <v>6.1110929999999997E-3</v>
      </c>
      <c r="N413" s="7"/>
      <c r="O413" s="7"/>
      <c r="P413" s="7"/>
      <c r="Q413" s="7"/>
      <c r="R413" s="7"/>
      <c r="S413" s="7"/>
      <c r="T413" s="7"/>
    </row>
    <row r="414" spans="3:20" x14ac:dyDescent="0.25">
      <c r="C414" s="7"/>
      <c r="D414" s="7"/>
      <c r="E414" s="7" t="s">
        <v>19</v>
      </c>
      <c r="F414" s="7">
        <v>2020</v>
      </c>
      <c r="G414" s="8" t="s">
        <v>20</v>
      </c>
      <c r="H414" s="19" t="s">
        <v>44</v>
      </c>
      <c r="I414" s="7" t="s">
        <v>45</v>
      </c>
      <c r="J414" s="8"/>
      <c r="K414" s="7"/>
      <c r="L414" s="7" t="s">
        <v>47</v>
      </c>
      <c r="M414" s="18">
        <f t="shared" si="142"/>
        <v>5.6851099999999993E-3</v>
      </c>
      <c r="N414" s="7"/>
      <c r="O414" s="7"/>
      <c r="P414" s="7"/>
      <c r="Q414" s="7"/>
      <c r="R414" s="7"/>
      <c r="S414" s="7"/>
      <c r="T414" s="7"/>
    </row>
    <row r="415" spans="3:20" x14ac:dyDescent="0.25">
      <c r="C415" s="7"/>
      <c r="D415" s="7"/>
      <c r="E415" s="7" t="s">
        <v>19</v>
      </c>
      <c r="F415" s="7">
        <v>2055</v>
      </c>
      <c r="G415" s="8" t="s">
        <v>20</v>
      </c>
      <c r="H415" s="19" t="s">
        <v>44</v>
      </c>
      <c r="I415" s="7" t="s">
        <v>45</v>
      </c>
      <c r="J415" s="8"/>
      <c r="K415" s="7"/>
      <c r="L415" s="7" t="s">
        <v>47</v>
      </c>
      <c r="M415" s="18">
        <f t="shared" si="142"/>
        <v>5.6851099999999993E-3</v>
      </c>
      <c r="N415" s="7"/>
      <c r="O415" s="7"/>
      <c r="P415" s="7"/>
      <c r="Q415" s="7"/>
      <c r="R415" s="7"/>
      <c r="S415" s="7"/>
      <c r="T415" s="7"/>
    </row>
    <row r="416" spans="3:20" x14ac:dyDescent="0.25">
      <c r="C416" s="7"/>
      <c r="D416" s="7"/>
      <c r="E416" s="7" t="s">
        <v>19</v>
      </c>
      <c r="F416" s="7">
        <v>2010</v>
      </c>
      <c r="G416" s="8" t="s">
        <v>20</v>
      </c>
      <c r="H416" s="19" t="s">
        <v>44</v>
      </c>
      <c r="I416" s="7" t="s">
        <v>45</v>
      </c>
      <c r="J416" s="8"/>
      <c r="K416" s="7"/>
      <c r="L416" s="7" t="s">
        <v>48</v>
      </c>
      <c r="M416" s="18">
        <f>M380</f>
        <v>1.9528849999999999E-3</v>
      </c>
      <c r="N416" s="7"/>
      <c r="O416" s="7"/>
      <c r="P416" s="7"/>
      <c r="Q416" s="7"/>
      <c r="R416" s="7"/>
      <c r="S416" s="7"/>
      <c r="T416" s="7"/>
    </row>
    <row r="417" spans="3:20" x14ac:dyDescent="0.25">
      <c r="C417" s="7"/>
      <c r="D417" s="7"/>
      <c r="E417" s="7" t="s">
        <v>19</v>
      </c>
      <c r="F417" s="7">
        <v>2015</v>
      </c>
      <c r="G417" s="8" t="s">
        <v>20</v>
      </c>
      <c r="H417" s="19" t="s">
        <v>44</v>
      </c>
      <c r="I417" s="7" t="s">
        <v>45</v>
      </c>
      <c r="J417" s="8"/>
      <c r="K417" s="7"/>
      <c r="L417" s="7" t="s">
        <v>48</v>
      </c>
      <c r="M417" s="18">
        <f t="shared" ref="M417:M419" si="143">M381</f>
        <v>1.7367819999999999E-3</v>
      </c>
      <c r="N417" s="7"/>
      <c r="O417" s="7"/>
      <c r="P417" s="7"/>
      <c r="Q417" s="7"/>
      <c r="R417" s="7"/>
      <c r="S417" s="7"/>
      <c r="T417" s="7"/>
    </row>
    <row r="418" spans="3:20" x14ac:dyDescent="0.25">
      <c r="C418" s="7"/>
      <c r="D418" s="7"/>
      <c r="E418" s="7" t="s">
        <v>19</v>
      </c>
      <c r="F418" s="7">
        <v>2020</v>
      </c>
      <c r="G418" s="8" t="s">
        <v>20</v>
      </c>
      <c r="H418" s="19" t="s">
        <v>44</v>
      </c>
      <c r="I418" s="7" t="s">
        <v>45</v>
      </c>
      <c r="J418" s="8"/>
      <c r="K418" s="7"/>
      <c r="L418" s="7" t="s">
        <v>48</v>
      </c>
      <c r="M418" s="18">
        <f t="shared" si="143"/>
        <v>1.6641300000000002E-3</v>
      </c>
      <c r="N418" s="7"/>
      <c r="O418" s="7"/>
      <c r="P418" s="7"/>
      <c r="Q418" s="7"/>
      <c r="R418" s="7"/>
      <c r="S418" s="7"/>
      <c r="T418" s="7"/>
    </row>
    <row r="419" spans="3:20" x14ac:dyDescent="0.25">
      <c r="C419" s="7"/>
      <c r="D419" s="7"/>
      <c r="E419" s="7" t="s">
        <v>19</v>
      </c>
      <c r="F419" s="7">
        <v>2055</v>
      </c>
      <c r="G419" s="8" t="s">
        <v>20</v>
      </c>
      <c r="H419" s="19" t="s">
        <v>44</v>
      </c>
      <c r="I419" s="7" t="s">
        <v>45</v>
      </c>
      <c r="J419" s="8"/>
      <c r="K419" s="7"/>
      <c r="L419" s="7" t="s">
        <v>48</v>
      </c>
      <c r="M419" s="18">
        <f t="shared" si="143"/>
        <v>1.6641300000000002E-3</v>
      </c>
      <c r="N419" s="7"/>
      <c r="O419" s="7"/>
      <c r="P419" s="7"/>
      <c r="Q419" s="7"/>
      <c r="R419" s="7"/>
      <c r="S419" s="7"/>
      <c r="T419" s="7"/>
    </row>
    <row r="420" spans="3:20" x14ac:dyDescent="0.25">
      <c r="C420" s="7"/>
      <c r="D420" s="7"/>
      <c r="E420" s="7" t="s">
        <v>19</v>
      </c>
      <c r="F420" s="7">
        <v>2010</v>
      </c>
      <c r="G420" s="8" t="s">
        <v>20</v>
      </c>
      <c r="H420" s="19" t="s">
        <v>44</v>
      </c>
      <c r="I420" s="7" t="s">
        <v>45</v>
      </c>
      <c r="J420" s="8"/>
      <c r="K420" s="7"/>
      <c r="L420" s="7" t="s">
        <v>49</v>
      </c>
      <c r="M420" s="7">
        <f>'Emissions - REF'!$C$14</f>
        <v>6.1240109790000004</v>
      </c>
      <c r="N420" s="7"/>
      <c r="O420" s="7"/>
      <c r="P420" s="7"/>
      <c r="Q420" s="7"/>
      <c r="R420" s="7"/>
      <c r="S420" s="7"/>
      <c r="T420" s="7"/>
    </row>
    <row r="421" spans="3:20" x14ac:dyDescent="0.25">
      <c r="C421" s="7"/>
      <c r="D421" s="7"/>
      <c r="E421" s="7" t="s">
        <v>19</v>
      </c>
      <c r="F421" s="7">
        <v>2015</v>
      </c>
      <c r="G421" s="8" t="s">
        <v>20</v>
      </c>
      <c r="H421" s="19" t="s">
        <v>44</v>
      </c>
      <c r="I421" s="7" t="s">
        <v>45</v>
      </c>
      <c r="J421" s="8"/>
      <c r="K421" s="7"/>
      <c r="L421" s="7" t="s">
        <v>49</v>
      </c>
      <c r="M421" s="7">
        <f>'Emissions - REF'!$D$14</f>
        <v>6.1240109790000004</v>
      </c>
      <c r="N421" s="7"/>
      <c r="O421" s="7"/>
      <c r="P421" s="7"/>
      <c r="Q421" s="7"/>
      <c r="R421" s="7"/>
      <c r="S421" s="7"/>
      <c r="T421" s="7"/>
    </row>
    <row r="422" spans="3:20" x14ac:dyDescent="0.25">
      <c r="C422" s="7"/>
      <c r="D422" s="7"/>
      <c r="E422" s="7" t="s">
        <v>19</v>
      </c>
      <c r="F422" s="7">
        <v>2020</v>
      </c>
      <c r="G422" s="8" t="s">
        <v>20</v>
      </c>
      <c r="H422" s="19" t="s">
        <v>44</v>
      </c>
      <c r="I422" s="7" t="s">
        <v>45</v>
      </c>
      <c r="J422" s="8"/>
      <c r="K422" s="7"/>
      <c r="L422" s="7" t="s">
        <v>49</v>
      </c>
      <c r="M422" s="7">
        <f>'Emissions - REF'!$E$14</f>
        <v>6.1240109790000004</v>
      </c>
      <c r="N422" s="7"/>
      <c r="O422" s="7"/>
      <c r="P422" s="7"/>
      <c r="Q422" s="7"/>
      <c r="R422" s="7"/>
      <c r="S422" s="7"/>
      <c r="T422" s="7"/>
    </row>
    <row r="423" spans="3:20" x14ac:dyDescent="0.25">
      <c r="C423" s="7"/>
      <c r="D423" s="7"/>
      <c r="E423" s="7" t="s">
        <v>19</v>
      </c>
      <c r="F423" s="7">
        <v>2055</v>
      </c>
      <c r="G423" s="8" t="s">
        <v>20</v>
      </c>
      <c r="H423" s="19" t="s">
        <v>44</v>
      </c>
      <c r="I423" s="7" t="s">
        <v>45</v>
      </c>
      <c r="J423" s="8"/>
      <c r="K423" s="7"/>
      <c r="L423" s="7" t="s">
        <v>49</v>
      </c>
      <c r="M423" s="7">
        <f>M422</f>
        <v>6.1240109790000004</v>
      </c>
      <c r="N423" s="7"/>
      <c r="O423" s="7"/>
      <c r="P423" s="7"/>
      <c r="Q423" s="7"/>
      <c r="R423" s="7"/>
      <c r="S423" s="7"/>
      <c r="T423" s="7"/>
    </row>
    <row r="424" spans="3:20" x14ac:dyDescent="0.25">
      <c r="C424" s="7"/>
      <c r="D424" s="7"/>
      <c r="E424" s="7" t="s">
        <v>19</v>
      </c>
      <c r="F424" s="7">
        <v>2010</v>
      </c>
      <c r="G424" s="8" t="s">
        <v>20</v>
      </c>
      <c r="H424" s="19" t="s">
        <v>44</v>
      </c>
      <c r="I424" s="7" t="s">
        <v>45</v>
      </c>
      <c r="J424" s="8"/>
      <c r="K424" s="7"/>
      <c r="L424" s="7" t="s">
        <v>50</v>
      </c>
      <c r="M424" s="18">
        <f>M408</f>
        <v>8.144765E-3</v>
      </c>
      <c r="N424" s="7"/>
      <c r="O424" s="7"/>
      <c r="P424" s="7"/>
      <c r="Q424" s="7"/>
      <c r="R424" s="7"/>
      <c r="S424" s="7"/>
      <c r="T424" s="7"/>
    </row>
    <row r="425" spans="3:20" x14ac:dyDescent="0.25">
      <c r="C425" s="7"/>
      <c r="D425" s="7"/>
      <c r="E425" s="7" t="s">
        <v>19</v>
      </c>
      <c r="F425" s="7">
        <v>2015</v>
      </c>
      <c r="G425" s="8" t="s">
        <v>20</v>
      </c>
      <c r="H425" s="19" t="s">
        <v>44</v>
      </c>
      <c r="I425" s="7" t="s">
        <v>45</v>
      </c>
      <c r="J425" s="8"/>
      <c r="K425" s="7"/>
      <c r="L425" s="7" t="s">
        <v>50</v>
      </c>
      <c r="M425" s="18">
        <f t="shared" ref="M425:M427" si="144">M409</f>
        <v>7.2287209999999996E-3</v>
      </c>
      <c r="N425" s="7"/>
      <c r="O425" s="7"/>
      <c r="P425" s="7"/>
      <c r="Q425" s="7"/>
      <c r="R425" s="7"/>
      <c r="S425" s="7"/>
      <c r="T425" s="7"/>
    </row>
    <row r="426" spans="3:20" x14ac:dyDescent="0.25">
      <c r="C426" s="7"/>
      <c r="D426" s="7"/>
      <c r="E426" s="7" t="s">
        <v>19</v>
      </c>
      <c r="F426" s="7">
        <v>2020</v>
      </c>
      <c r="G426" s="8" t="s">
        <v>20</v>
      </c>
      <c r="H426" s="19" t="s">
        <v>44</v>
      </c>
      <c r="I426" s="7" t="s">
        <v>45</v>
      </c>
      <c r="J426" s="8"/>
      <c r="K426" s="7"/>
      <c r="L426" s="7" t="s">
        <v>50</v>
      </c>
      <c r="M426" s="18">
        <f t="shared" si="144"/>
        <v>6.8386099999999993E-3</v>
      </c>
      <c r="N426" s="7"/>
      <c r="O426" s="7"/>
      <c r="P426" s="7"/>
      <c r="Q426" s="7"/>
      <c r="R426" s="7"/>
      <c r="S426" s="7"/>
      <c r="T426" s="7"/>
    </row>
    <row r="427" spans="3:20" x14ac:dyDescent="0.25">
      <c r="C427" s="7"/>
      <c r="D427" s="7"/>
      <c r="E427" s="7" t="s">
        <v>19</v>
      </c>
      <c r="F427" s="7">
        <v>2055</v>
      </c>
      <c r="G427" s="8" t="s">
        <v>20</v>
      </c>
      <c r="H427" s="19" t="s">
        <v>44</v>
      </c>
      <c r="I427" s="7" t="s">
        <v>45</v>
      </c>
      <c r="J427" s="8"/>
      <c r="K427" s="7"/>
      <c r="L427" s="7" t="s">
        <v>50</v>
      </c>
      <c r="M427" s="18">
        <f t="shared" si="144"/>
        <v>6.8386099999999993E-3</v>
      </c>
      <c r="N427" s="7"/>
      <c r="O427" s="7"/>
      <c r="P427" s="7"/>
      <c r="Q427" s="7"/>
      <c r="R427" s="7"/>
      <c r="S427" s="7"/>
      <c r="T427" s="7"/>
    </row>
    <row r="428" spans="3:20" x14ac:dyDescent="0.25">
      <c r="C428" s="15" t="s">
        <v>33</v>
      </c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spans="3:20" x14ac:dyDescent="0.25">
      <c r="C429" s="7"/>
      <c r="D429" s="7"/>
      <c r="E429" s="7" t="s">
        <v>19</v>
      </c>
      <c r="F429" s="7">
        <v>2010</v>
      </c>
      <c r="G429" s="8" t="s">
        <v>20</v>
      </c>
      <c r="H429" s="19" t="s">
        <v>51</v>
      </c>
      <c r="I429" s="7" t="s">
        <v>52</v>
      </c>
      <c r="J429" s="8"/>
      <c r="K429" s="7"/>
      <c r="L429" s="7" t="s">
        <v>22</v>
      </c>
      <c r="M429" s="18">
        <f>M485/1000</f>
        <v>6.1003237490000004E-3</v>
      </c>
      <c r="N429" s="7"/>
      <c r="O429" s="7"/>
      <c r="P429" s="7"/>
      <c r="Q429" s="7"/>
      <c r="R429" s="7"/>
      <c r="S429" s="7"/>
      <c r="T429" s="7"/>
    </row>
    <row r="430" spans="3:20" x14ac:dyDescent="0.25">
      <c r="C430" s="7"/>
      <c r="D430" s="7"/>
      <c r="E430" s="7" t="s">
        <v>19</v>
      </c>
      <c r="F430" s="7">
        <v>2015</v>
      </c>
      <c r="G430" s="8" t="s">
        <v>20</v>
      </c>
      <c r="H430" s="19" t="s">
        <v>51</v>
      </c>
      <c r="I430" s="7" t="s">
        <v>52</v>
      </c>
      <c r="J430" s="8"/>
      <c r="K430" s="7"/>
      <c r="L430" s="7" t="s">
        <v>22</v>
      </c>
      <c r="M430" s="18">
        <f t="shared" ref="M430:M432" si="145">M486/1000</f>
        <v>6.1003237490000004E-3</v>
      </c>
      <c r="N430" s="7"/>
      <c r="O430" s="7"/>
      <c r="P430" s="7"/>
      <c r="Q430" s="7"/>
      <c r="R430" s="7"/>
      <c r="S430" s="7"/>
      <c r="T430" s="7"/>
    </row>
    <row r="431" spans="3:20" x14ac:dyDescent="0.25">
      <c r="C431" s="7"/>
      <c r="D431" s="7"/>
      <c r="E431" s="7" t="s">
        <v>19</v>
      </c>
      <c r="F431" s="7">
        <v>2020</v>
      </c>
      <c r="G431" s="8" t="s">
        <v>20</v>
      </c>
      <c r="H431" s="19" t="s">
        <v>51</v>
      </c>
      <c r="I431" s="7" t="s">
        <v>52</v>
      </c>
      <c r="J431" s="8"/>
      <c r="K431" s="7"/>
      <c r="L431" s="7" t="s">
        <v>22</v>
      </c>
      <c r="M431" s="18">
        <f t="shared" si="145"/>
        <v>6.1003237490000004E-3</v>
      </c>
      <c r="N431" s="7"/>
      <c r="O431" s="7"/>
      <c r="P431" s="7"/>
      <c r="Q431" s="7"/>
      <c r="R431" s="7"/>
      <c r="S431" s="7"/>
      <c r="T431" s="7"/>
    </row>
    <row r="432" spans="3:20" x14ac:dyDescent="0.25">
      <c r="C432" s="7"/>
      <c r="D432" s="7"/>
      <c r="E432" s="7" t="s">
        <v>19</v>
      </c>
      <c r="F432" s="7">
        <v>2055</v>
      </c>
      <c r="G432" s="8" t="s">
        <v>20</v>
      </c>
      <c r="H432" s="19" t="s">
        <v>51</v>
      </c>
      <c r="I432" s="7" t="s">
        <v>52</v>
      </c>
      <c r="J432" s="8"/>
      <c r="K432" s="7"/>
      <c r="L432" s="7" t="s">
        <v>22</v>
      </c>
      <c r="M432" s="18">
        <f t="shared" si="145"/>
        <v>6.1003237490000004E-3</v>
      </c>
      <c r="N432" s="7"/>
      <c r="O432" s="7"/>
      <c r="P432" s="7"/>
      <c r="Q432" s="7"/>
      <c r="R432" s="7"/>
      <c r="S432" s="7"/>
      <c r="T432" s="7"/>
    </row>
    <row r="433" spans="3:20" x14ac:dyDescent="0.25">
      <c r="C433" s="7"/>
      <c r="D433" s="7"/>
      <c r="E433" s="7" t="s">
        <v>19</v>
      </c>
      <c r="F433" s="7">
        <v>2010</v>
      </c>
      <c r="G433" s="8" t="s">
        <v>20</v>
      </c>
      <c r="H433" s="19" t="s">
        <v>51</v>
      </c>
      <c r="I433" s="7" t="s">
        <v>52</v>
      </c>
      <c r="J433" s="8"/>
      <c r="K433" s="7"/>
      <c r="L433" s="7" t="s">
        <v>23</v>
      </c>
      <c r="M433" s="18">
        <f>'Emissions - REF'!$C$19</f>
        <v>2.3230270000000001E-3</v>
      </c>
      <c r="N433" s="7"/>
      <c r="O433" s="7"/>
      <c r="P433" s="7"/>
      <c r="Q433" s="7"/>
      <c r="R433" s="7"/>
      <c r="S433" s="7"/>
      <c r="T433" s="7"/>
    </row>
    <row r="434" spans="3:20" x14ac:dyDescent="0.25">
      <c r="C434" s="7"/>
      <c r="D434" s="7"/>
      <c r="E434" s="7" t="s">
        <v>19</v>
      </c>
      <c r="F434" s="7">
        <v>2015</v>
      </c>
      <c r="G434" s="8" t="s">
        <v>20</v>
      </c>
      <c r="H434" s="19" t="s">
        <v>51</v>
      </c>
      <c r="I434" s="7" t="s">
        <v>52</v>
      </c>
      <c r="J434" s="8"/>
      <c r="K434" s="7"/>
      <c r="L434" s="7" t="s">
        <v>23</v>
      </c>
      <c r="M434" s="18">
        <f>'Emissions - REF'!$D$19</f>
        <v>2.3230270000000001E-3</v>
      </c>
      <c r="N434" s="7"/>
      <c r="O434" s="7"/>
      <c r="P434" s="7"/>
      <c r="Q434" s="7"/>
      <c r="R434" s="7"/>
      <c r="S434" s="7"/>
      <c r="T434" s="7"/>
    </row>
    <row r="435" spans="3:20" x14ac:dyDescent="0.25">
      <c r="C435" s="7"/>
      <c r="D435" s="7"/>
      <c r="E435" s="7" t="s">
        <v>19</v>
      </c>
      <c r="F435" s="7">
        <v>2020</v>
      </c>
      <c r="G435" s="8" t="s">
        <v>20</v>
      </c>
      <c r="H435" s="19" t="s">
        <v>51</v>
      </c>
      <c r="I435" s="7" t="s">
        <v>52</v>
      </c>
      <c r="J435" s="8"/>
      <c r="K435" s="7"/>
      <c r="L435" s="7" t="s">
        <v>23</v>
      </c>
      <c r="M435" s="18">
        <f>'Emissions - REF'!$E$19</f>
        <v>2.3230270000000001E-3</v>
      </c>
      <c r="N435" s="7"/>
      <c r="O435" s="7"/>
      <c r="P435" s="7"/>
      <c r="Q435" s="7"/>
      <c r="R435" s="7"/>
      <c r="S435" s="7"/>
      <c r="T435" s="7"/>
    </row>
    <row r="436" spans="3:20" x14ac:dyDescent="0.25">
      <c r="C436" s="7"/>
      <c r="D436" s="7"/>
      <c r="E436" s="7" t="s">
        <v>19</v>
      </c>
      <c r="F436" s="7">
        <v>2055</v>
      </c>
      <c r="G436" s="8" t="s">
        <v>20</v>
      </c>
      <c r="H436" s="19" t="s">
        <v>51</v>
      </c>
      <c r="I436" s="7" t="s">
        <v>52</v>
      </c>
      <c r="J436" s="8"/>
      <c r="K436" s="7"/>
      <c r="L436" s="7" t="s">
        <v>23</v>
      </c>
      <c r="M436" s="18">
        <f>M435</f>
        <v>2.3230270000000001E-3</v>
      </c>
      <c r="N436" s="7"/>
      <c r="O436" s="7"/>
      <c r="P436" s="7"/>
      <c r="Q436" s="7"/>
      <c r="R436" s="7"/>
      <c r="S436" s="7"/>
      <c r="T436" s="7"/>
    </row>
    <row r="437" spans="3:20" x14ac:dyDescent="0.25">
      <c r="C437" s="7"/>
      <c r="D437" s="7"/>
      <c r="E437" s="7" t="s">
        <v>19</v>
      </c>
      <c r="F437" s="7">
        <v>2010</v>
      </c>
      <c r="G437" s="8" t="s">
        <v>20</v>
      </c>
      <c r="H437" s="19" t="s">
        <v>51</v>
      </c>
      <c r="I437" s="7" t="s">
        <v>52</v>
      </c>
      <c r="J437" s="8"/>
      <c r="K437" s="7"/>
      <c r="L437" s="7" t="s">
        <v>24</v>
      </c>
      <c r="M437" s="18">
        <f>'Emissions - REF'!$C$20</f>
        <v>3.5536819999999998E-3</v>
      </c>
      <c r="N437" s="7"/>
      <c r="O437" s="7"/>
      <c r="P437" s="7"/>
      <c r="Q437" s="7"/>
      <c r="R437" s="7"/>
      <c r="S437" s="7"/>
      <c r="T437" s="7"/>
    </row>
    <row r="438" spans="3:20" x14ac:dyDescent="0.25">
      <c r="C438" s="7"/>
      <c r="D438" s="7"/>
      <c r="E438" s="7" t="s">
        <v>19</v>
      </c>
      <c r="F438" s="7">
        <v>2015</v>
      </c>
      <c r="G438" s="8" t="s">
        <v>20</v>
      </c>
      <c r="H438" s="19" t="s">
        <v>51</v>
      </c>
      <c r="I438" s="7" t="s">
        <v>52</v>
      </c>
      <c r="J438" s="8"/>
      <c r="K438" s="7"/>
      <c r="L438" s="7" t="s">
        <v>24</v>
      </c>
      <c r="M438" s="18">
        <f>'Emissions - REF'!$D$20</f>
        <v>3.5536819999999998E-3</v>
      </c>
      <c r="N438" s="7"/>
      <c r="O438" s="7"/>
      <c r="P438" s="7"/>
      <c r="Q438" s="7"/>
      <c r="R438" s="7"/>
      <c r="S438" s="7"/>
      <c r="T438" s="7"/>
    </row>
    <row r="439" spans="3:20" x14ac:dyDescent="0.25">
      <c r="C439" s="7"/>
      <c r="D439" s="7"/>
      <c r="E439" s="7" t="s">
        <v>19</v>
      </c>
      <c r="F439" s="7">
        <v>2020</v>
      </c>
      <c r="G439" s="8" t="s">
        <v>20</v>
      </c>
      <c r="H439" s="19" t="s">
        <v>51</v>
      </c>
      <c r="I439" s="7" t="s">
        <v>52</v>
      </c>
      <c r="J439" s="8"/>
      <c r="K439" s="7"/>
      <c r="L439" s="7" t="s">
        <v>24</v>
      </c>
      <c r="M439" s="18">
        <f>'Emissions - REF'!$E$20</f>
        <v>3.5536819999999998E-3</v>
      </c>
      <c r="N439" s="7"/>
      <c r="O439" s="7"/>
      <c r="P439" s="7"/>
      <c r="Q439" s="7"/>
      <c r="R439" s="7"/>
      <c r="S439" s="7"/>
      <c r="T439" s="7"/>
    </row>
    <row r="440" spans="3:20" x14ac:dyDescent="0.25">
      <c r="C440" s="7"/>
      <c r="D440" s="7"/>
      <c r="E440" s="7" t="s">
        <v>19</v>
      </c>
      <c r="F440" s="7">
        <v>2055</v>
      </c>
      <c r="G440" s="8" t="s">
        <v>20</v>
      </c>
      <c r="H440" s="19" t="s">
        <v>51</v>
      </c>
      <c r="I440" s="7" t="s">
        <v>52</v>
      </c>
      <c r="J440" s="8"/>
      <c r="K440" s="7"/>
      <c r="L440" s="7" t="s">
        <v>24</v>
      </c>
      <c r="M440" s="18">
        <f>M439</f>
        <v>3.5536819999999998E-3</v>
      </c>
      <c r="N440" s="7"/>
      <c r="O440" s="7"/>
      <c r="P440" s="7"/>
      <c r="Q440" s="7"/>
      <c r="R440" s="7"/>
      <c r="S440" s="7"/>
      <c r="T440" s="7"/>
    </row>
    <row r="441" spans="3:20" x14ac:dyDescent="0.25">
      <c r="C441" s="7"/>
      <c r="D441" s="7"/>
      <c r="E441" s="7" t="s">
        <v>19</v>
      </c>
      <c r="F441" s="7">
        <v>2010</v>
      </c>
      <c r="G441" s="8" t="s">
        <v>20</v>
      </c>
      <c r="H441" s="19" t="s">
        <v>51</v>
      </c>
      <c r="I441" s="7" t="s">
        <v>52</v>
      </c>
      <c r="J441" s="8"/>
      <c r="K441" s="7"/>
      <c r="L441" s="7" t="s">
        <v>25</v>
      </c>
      <c r="M441" s="18">
        <f>'Emissions - REF'!$C$21</f>
        <v>8.107528000000001E-3</v>
      </c>
      <c r="N441" s="7"/>
      <c r="O441" s="7"/>
      <c r="P441" s="7"/>
      <c r="Q441" s="7"/>
      <c r="R441" s="7"/>
      <c r="S441" s="7"/>
      <c r="T441" s="7"/>
    </row>
    <row r="442" spans="3:20" x14ac:dyDescent="0.25">
      <c r="C442" s="7"/>
      <c r="D442" s="7"/>
      <c r="E442" s="7" t="s">
        <v>19</v>
      </c>
      <c r="F442" s="7">
        <v>2015</v>
      </c>
      <c r="G442" s="8" t="s">
        <v>20</v>
      </c>
      <c r="H442" s="19" t="s">
        <v>51</v>
      </c>
      <c r="I442" s="7" t="s">
        <v>52</v>
      </c>
      <c r="J442" s="8"/>
      <c r="K442" s="7"/>
      <c r="L442" s="7" t="s">
        <v>25</v>
      </c>
      <c r="M442" s="18">
        <f>'Emissions - REF'!$D$21</f>
        <v>7.1944629999999999E-3</v>
      </c>
      <c r="N442" s="7"/>
      <c r="O442" s="7"/>
      <c r="P442" s="7"/>
      <c r="Q442" s="7"/>
      <c r="R442" s="7"/>
      <c r="S442" s="7"/>
      <c r="T442" s="7"/>
    </row>
    <row r="443" spans="3:20" x14ac:dyDescent="0.25">
      <c r="C443" s="7"/>
      <c r="D443" s="7"/>
      <c r="E443" s="7" t="s">
        <v>19</v>
      </c>
      <c r="F443" s="7">
        <v>2020</v>
      </c>
      <c r="G443" s="8" t="s">
        <v>20</v>
      </c>
      <c r="H443" s="19" t="s">
        <v>51</v>
      </c>
      <c r="I443" s="7" t="s">
        <v>52</v>
      </c>
      <c r="J443" s="8"/>
      <c r="K443" s="7"/>
      <c r="L443" s="7" t="s">
        <v>25</v>
      </c>
      <c r="M443" s="18">
        <f>'Emissions - REF'!$E$21</f>
        <v>6.805841E-3</v>
      </c>
      <c r="N443" s="7"/>
      <c r="O443" s="7"/>
      <c r="P443" s="7"/>
      <c r="Q443" s="7"/>
      <c r="R443" s="7"/>
      <c r="S443" s="7"/>
      <c r="T443" s="7"/>
    </row>
    <row r="444" spans="3:20" x14ac:dyDescent="0.25">
      <c r="C444" s="7"/>
      <c r="D444" s="7"/>
      <c r="E444" s="7" t="s">
        <v>19</v>
      </c>
      <c r="F444" s="7">
        <v>2055</v>
      </c>
      <c r="G444" s="8" t="s">
        <v>20</v>
      </c>
      <c r="H444" s="19" t="s">
        <v>51</v>
      </c>
      <c r="I444" s="7" t="s">
        <v>52</v>
      </c>
      <c r="J444" s="8"/>
      <c r="K444" s="7"/>
      <c r="L444" s="7" t="s">
        <v>25</v>
      </c>
      <c r="M444" s="18">
        <f>M443</f>
        <v>6.805841E-3</v>
      </c>
      <c r="N444" s="7"/>
      <c r="O444" s="7"/>
      <c r="P444" s="7"/>
      <c r="Q444" s="7"/>
      <c r="R444" s="7"/>
      <c r="S444" s="7"/>
      <c r="T444" s="7"/>
    </row>
    <row r="445" spans="3:20" x14ac:dyDescent="0.25">
      <c r="C445" s="7"/>
      <c r="D445" s="7"/>
      <c r="E445" s="7" t="s">
        <v>19</v>
      </c>
      <c r="F445" s="7">
        <v>2010</v>
      </c>
      <c r="G445" s="8" t="s">
        <v>20</v>
      </c>
      <c r="H445" s="19" t="s">
        <v>51</v>
      </c>
      <c r="I445" s="7" t="s">
        <v>52</v>
      </c>
      <c r="J445" s="8"/>
      <c r="K445" s="7"/>
      <c r="L445" s="7" t="s">
        <v>26</v>
      </c>
      <c r="M445" s="18">
        <f>'Emissions - REF'!$C$22</f>
        <v>1.9396579999999999E-3</v>
      </c>
      <c r="N445" s="7"/>
      <c r="O445" s="7"/>
      <c r="P445" s="7"/>
      <c r="Q445" s="7"/>
      <c r="R445" s="7"/>
      <c r="S445" s="7"/>
      <c r="T445" s="7"/>
    </row>
    <row r="446" spans="3:20" x14ac:dyDescent="0.25">
      <c r="C446" s="7"/>
      <c r="D446" s="7"/>
      <c r="E446" s="7" t="s">
        <v>19</v>
      </c>
      <c r="F446" s="7">
        <v>2015</v>
      </c>
      <c r="G446" s="8" t="s">
        <v>20</v>
      </c>
      <c r="H446" s="19" t="s">
        <v>51</v>
      </c>
      <c r="I446" s="7" t="s">
        <v>52</v>
      </c>
      <c r="J446" s="8"/>
      <c r="K446" s="7"/>
      <c r="L446" s="7" t="s">
        <v>26</v>
      </c>
      <c r="M446" s="18">
        <f>'Emissions - REF'!$D$22</f>
        <v>1.7263549999999999E-3</v>
      </c>
      <c r="N446" s="7"/>
      <c r="O446" s="7"/>
      <c r="P446" s="7"/>
      <c r="Q446" s="7"/>
      <c r="R446" s="7"/>
      <c r="S446" s="7"/>
      <c r="T446" s="7"/>
    </row>
    <row r="447" spans="3:20" x14ac:dyDescent="0.25">
      <c r="C447" s="7"/>
      <c r="D447" s="7"/>
      <c r="E447" s="7" t="s">
        <v>19</v>
      </c>
      <c r="F447" s="7">
        <v>2020</v>
      </c>
      <c r="G447" s="8" t="s">
        <v>20</v>
      </c>
      <c r="H447" s="19" t="s">
        <v>51</v>
      </c>
      <c r="I447" s="7" t="s">
        <v>52</v>
      </c>
      <c r="J447" s="8"/>
      <c r="K447" s="7"/>
      <c r="L447" s="7" t="s">
        <v>26</v>
      </c>
      <c r="M447" s="18">
        <f>'Emissions - REF'!$E$22</f>
        <v>1.6551929999999999E-3</v>
      </c>
      <c r="N447" s="7"/>
      <c r="O447" s="7"/>
      <c r="P447" s="7"/>
      <c r="Q447" s="7"/>
      <c r="R447" s="7"/>
      <c r="S447" s="7"/>
      <c r="T447" s="7"/>
    </row>
    <row r="448" spans="3:20" x14ac:dyDescent="0.25">
      <c r="C448" s="7"/>
      <c r="D448" s="7"/>
      <c r="E448" s="7" t="s">
        <v>19</v>
      </c>
      <c r="F448" s="7">
        <v>2055</v>
      </c>
      <c r="G448" s="8" t="s">
        <v>20</v>
      </c>
      <c r="H448" s="19" t="s">
        <v>51</v>
      </c>
      <c r="I448" s="7" t="s">
        <v>52</v>
      </c>
      <c r="J448" s="8"/>
      <c r="K448" s="7"/>
      <c r="L448" s="7" t="s">
        <v>26</v>
      </c>
      <c r="M448" s="18">
        <f>M447</f>
        <v>1.6551929999999999E-3</v>
      </c>
      <c r="N448" s="7"/>
      <c r="O448" s="7"/>
      <c r="P448" s="7"/>
      <c r="Q448" s="7"/>
      <c r="R448" s="7"/>
      <c r="S448" s="7"/>
      <c r="T448" s="7"/>
    </row>
    <row r="449" spans="3:20" x14ac:dyDescent="0.25">
      <c r="C449" s="7"/>
      <c r="D449" s="7"/>
      <c r="E449" s="7" t="s">
        <v>19</v>
      </c>
      <c r="F449" s="7">
        <v>2010</v>
      </c>
      <c r="G449" s="8" t="s">
        <v>20</v>
      </c>
      <c r="H449" s="19" t="s">
        <v>51</v>
      </c>
      <c r="I449" s="7" t="s">
        <v>52</v>
      </c>
      <c r="J449" s="8"/>
      <c r="K449" s="7"/>
      <c r="L449" s="7" t="s">
        <v>27</v>
      </c>
      <c r="M449" s="18">
        <f>'Emissions - REF'!$C$23</f>
        <v>1.0775209999999999E-3</v>
      </c>
      <c r="N449" s="7"/>
      <c r="O449" s="7"/>
      <c r="P449" s="7"/>
      <c r="Q449" s="7"/>
      <c r="R449" s="7"/>
      <c r="S449" s="7"/>
      <c r="T449" s="7"/>
    </row>
    <row r="450" spans="3:20" x14ac:dyDescent="0.25">
      <c r="C450" s="7"/>
      <c r="D450" s="7"/>
      <c r="E450" s="7" t="s">
        <v>19</v>
      </c>
      <c r="F450" s="7">
        <v>2015</v>
      </c>
      <c r="G450" s="8" t="s">
        <v>20</v>
      </c>
      <c r="H450" s="19" t="s">
        <v>51</v>
      </c>
      <c r="I450" s="7" t="s">
        <v>52</v>
      </c>
      <c r="J450" s="8"/>
      <c r="K450" s="7"/>
      <c r="L450" s="7" t="s">
        <v>27</v>
      </c>
      <c r="M450" s="18">
        <f>'Emissions - REF'!$D$23</f>
        <v>1.006322E-3</v>
      </c>
      <c r="N450" s="7"/>
      <c r="O450" s="7"/>
      <c r="P450" s="7"/>
      <c r="Q450" s="7"/>
      <c r="R450" s="7"/>
      <c r="S450" s="7"/>
      <c r="T450" s="7"/>
    </row>
    <row r="451" spans="3:20" x14ac:dyDescent="0.25">
      <c r="C451" s="7"/>
      <c r="D451" s="7"/>
      <c r="E451" s="7" t="s">
        <v>19</v>
      </c>
      <c r="F451" s="7">
        <v>2020</v>
      </c>
      <c r="G451" s="8" t="s">
        <v>20</v>
      </c>
      <c r="H451" s="19" t="s">
        <v>51</v>
      </c>
      <c r="I451" s="7" t="s">
        <v>52</v>
      </c>
      <c r="J451" s="8"/>
      <c r="K451" s="7"/>
      <c r="L451" s="7" t="s">
        <v>27</v>
      </c>
      <c r="M451" s="18">
        <f>'Emissions - REF'!$E$23</f>
        <v>9.3521700000000001E-4</v>
      </c>
      <c r="N451" s="7"/>
      <c r="O451" s="7"/>
      <c r="P451" s="7"/>
      <c r="Q451" s="7"/>
      <c r="R451" s="7"/>
      <c r="S451" s="7"/>
      <c r="T451" s="7"/>
    </row>
    <row r="452" spans="3:20" x14ac:dyDescent="0.25">
      <c r="C452" s="7"/>
      <c r="D452" s="7"/>
      <c r="E452" s="7" t="s">
        <v>19</v>
      </c>
      <c r="F452" s="7">
        <v>2055</v>
      </c>
      <c r="G452" s="8" t="s">
        <v>20</v>
      </c>
      <c r="H452" s="19" t="s">
        <v>51</v>
      </c>
      <c r="I452" s="7" t="s">
        <v>52</v>
      </c>
      <c r="J452" s="8"/>
      <c r="K452" s="7"/>
      <c r="L452" s="7" t="s">
        <v>27</v>
      </c>
      <c r="M452" s="18">
        <f>M451</f>
        <v>9.3521700000000001E-4</v>
      </c>
      <c r="N452" s="7"/>
      <c r="O452" s="7"/>
      <c r="P452" s="7"/>
      <c r="Q452" s="7"/>
      <c r="R452" s="7"/>
      <c r="S452" s="7"/>
      <c r="T452" s="7"/>
    </row>
    <row r="453" spans="3:20" x14ac:dyDescent="0.25">
      <c r="C453" s="7"/>
      <c r="D453" s="7"/>
      <c r="E453" s="7" t="s">
        <v>19</v>
      </c>
      <c r="F453" s="7">
        <v>2010</v>
      </c>
      <c r="G453" s="8" t="s">
        <v>20</v>
      </c>
      <c r="H453" s="19" t="s">
        <v>51</v>
      </c>
      <c r="I453" s="7" t="s">
        <v>52</v>
      </c>
      <c r="J453" s="8"/>
      <c r="K453" s="7"/>
      <c r="L453" s="7" t="s">
        <v>28</v>
      </c>
      <c r="M453" s="18">
        <f>'Emissions - REF'!$C$24</f>
        <v>7.0447039999999997E-3</v>
      </c>
      <c r="N453" s="7"/>
      <c r="O453" s="7"/>
      <c r="P453" s="7"/>
      <c r="Q453" s="7"/>
      <c r="R453" s="7"/>
      <c r="S453" s="7"/>
      <c r="T453" s="7"/>
    </row>
    <row r="454" spans="3:20" x14ac:dyDescent="0.25">
      <c r="C454" s="7"/>
      <c r="D454" s="7"/>
      <c r="E454" s="7" t="s">
        <v>19</v>
      </c>
      <c r="F454" s="7">
        <v>2015</v>
      </c>
      <c r="G454" s="8" t="s">
        <v>20</v>
      </c>
      <c r="H454" s="19" t="s">
        <v>51</v>
      </c>
      <c r="I454" s="7" t="s">
        <v>52</v>
      </c>
      <c r="J454" s="8"/>
      <c r="K454" s="7"/>
      <c r="L454" s="7" t="s">
        <v>28</v>
      </c>
      <c r="M454" s="18">
        <f>'Emissions - REF'!$D$24</f>
        <v>6.0507439999999994E-3</v>
      </c>
      <c r="N454" s="7"/>
      <c r="O454" s="7"/>
      <c r="P454" s="7"/>
      <c r="Q454" s="7"/>
      <c r="R454" s="7"/>
      <c r="S454" s="7"/>
      <c r="T454" s="7"/>
    </row>
    <row r="455" spans="3:20" x14ac:dyDescent="0.25">
      <c r="C455" s="7"/>
      <c r="D455" s="7"/>
      <c r="E455" s="7" t="s">
        <v>19</v>
      </c>
      <c r="F455" s="7">
        <v>2020</v>
      </c>
      <c r="G455" s="8" t="s">
        <v>20</v>
      </c>
      <c r="H455" s="19" t="s">
        <v>51</v>
      </c>
      <c r="I455" s="7" t="s">
        <v>52</v>
      </c>
      <c r="J455" s="8"/>
      <c r="K455" s="7"/>
      <c r="L455" s="7" t="s">
        <v>28</v>
      </c>
      <c r="M455" s="18">
        <f>'Emissions - REF'!$E$24</f>
        <v>5.6247619999999993E-3</v>
      </c>
      <c r="N455" s="7"/>
      <c r="O455" s="7"/>
      <c r="P455" s="7"/>
      <c r="Q455" s="7"/>
      <c r="R455" s="7"/>
      <c r="S455" s="7"/>
      <c r="T455" s="7"/>
    </row>
    <row r="456" spans="3:20" x14ac:dyDescent="0.25">
      <c r="C456" s="7"/>
      <c r="D456" s="7"/>
      <c r="E456" s="7" t="s">
        <v>19</v>
      </c>
      <c r="F456" s="7">
        <v>2055</v>
      </c>
      <c r="G456" s="8" t="s">
        <v>20</v>
      </c>
      <c r="H456" s="19" t="s">
        <v>51</v>
      </c>
      <c r="I456" s="7" t="s">
        <v>52</v>
      </c>
      <c r="J456" s="8"/>
      <c r="K456" s="7"/>
      <c r="L456" s="7" t="s">
        <v>28</v>
      </c>
      <c r="M456" s="18">
        <f>M455</f>
        <v>5.6247619999999993E-3</v>
      </c>
      <c r="N456" s="7"/>
      <c r="O456" s="7"/>
      <c r="P456" s="7"/>
      <c r="Q456" s="7"/>
      <c r="R456" s="7"/>
      <c r="S456" s="7"/>
      <c r="T456" s="7"/>
    </row>
    <row r="457" spans="3:20" x14ac:dyDescent="0.25">
      <c r="C457" s="7"/>
      <c r="D457" s="7"/>
      <c r="E457" s="7" t="s">
        <v>19</v>
      </c>
      <c r="F457" s="7">
        <v>2010</v>
      </c>
      <c r="G457" s="8" t="s">
        <v>20</v>
      </c>
      <c r="H457" s="19" t="s">
        <v>51</v>
      </c>
      <c r="I457" s="7" t="s">
        <v>52</v>
      </c>
      <c r="J457" s="8"/>
      <c r="K457" s="7"/>
      <c r="L457" s="7" t="s">
        <v>29</v>
      </c>
      <c r="M457" s="18">
        <f>'Emissions - REF'!$C$25</f>
        <v>1.8535099999999999E-4</v>
      </c>
      <c r="N457" s="7"/>
      <c r="O457" s="7"/>
      <c r="P457" s="7"/>
      <c r="Q457" s="7"/>
      <c r="R457" s="7"/>
      <c r="S457" s="7"/>
      <c r="T457" s="7"/>
    </row>
    <row r="458" spans="3:20" x14ac:dyDescent="0.25">
      <c r="C458" s="7"/>
      <c r="D458" s="7"/>
      <c r="E458" s="7" t="s">
        <v>19</v>
      </c>
      <c r="F458" s="7">
        <v>2015</v>
      </c>
      <c r="G458" s="8" t="s">
        <v>20</v>
      </c>
      <c r="H458" s="19" t="s">
        <v>51</v>
      </c>
      <c r="I458" s="7" t="s">
        <v>52</v>
      </c>
      <c r="J458" s="8"/>
      <c r="K458" s="7"/>
      <c r="L458" s="7" t="s">
        <v>29</v>
      </c>
      <c r="M458" s="18">
        <f>'Emissions - REF'!$D$25</f>
        <v>1.8535099999999999E-4</v>
      </c>
      <c r="N458" s="7"/>
      <c r="O458" s="7"/>
      <c r="P458" s="7"/>
      <c r="Q458" s="7"/>
      <c r="R458" s="7"/>
      <c r="S458" s="7"/>
      <c r="T458" s="7"/>
    </row>
    <row r="459" spans="3:20" x14ac:dyDescent="0.25">
      <c r="C459" s="7"/>
      <c r="D459" s="7"/>
      <c r="E459" s="7" t="s">
        <v>19</v>
      </c>
      <c r="F459" s="7">
        <v>2020</v>
      </c>
      <c r="G459" s="8" t="s">
        <v>20</v>
      </c>
      <c r="H459" s="19" t="s">
        <v>51</v>
      </c>
      <c r="I459" s="7" t="s">
        <v>52</v>
      </c>
      <c r="J459" s="8"/>
      <c r="K459" s="7"/>
      <c r="L459" s="7" t="s">
        <v>29</v>
      </c>
      <c r="M459" s="18">
        <f>'Emissions - REF'!$E$25</f>
        <v>1.8535099999999999E-4</v>
      </c>
      <c r="N459" s="7"/>
      <c r="O459" s="7"/>
      <c r="P459" s="7"/>
      <c r="Q459" s="7"/>
      <c r="R459" s="7"/>
      <c r="S459" s="7"/>
      <c r="T459" s="7"/>
    </row>
    <row r="460" spans="3:20" x14ac:dyDescent="0.25">
      <c r="C460" s="7"/>
      <c r="D460" s="7"/>
      <c r="E460" s="7" t="s">
        <v>19</v>
      </c>
      <c r="F460" s="7">
        <v>2055</v>
      </c>
      <c r="G460" s="8" t="s">
        <v>20</v>
      </c>
      <c r="H460" s="19" t="s">
        <v>51</v>
      </c>
      <c r="I460" s="7" t="s">
        <v>52</v>
      </c>
      <c r="J460" s="8"/>
      <c r="K460" s="7"/>
      <c r="L460" s="7" t="s">
        <v>29</v>
      </c>
      <c r="M460" s="18">
        <f>M459</f>
        <v>1.8535099999999999E-4</v>
      </c>
      <c r="N460" s="7"/>
      <c r="O460" s="7"/>
      <c r="P460" s="7"/>
      <c r="Q460" s="7"/>
      <c r="R460" s="7"/>
      <c r="S460" s="7"/>
      <c r="T460" s="7"/>
    </row>
    <row r="461" spans="3:20" x14ac:dyDescent="0.25">
      <c r="C461" s="7"/>
      <c r="D461" s="7"/>
      <c r="E461" s="7" t="s">
        <v>19</v>
      </c>
      <c r="F461" s="7">
        <v>2010</v>
      </c>
      <c r="G461" s="8" t="s">
        <v>20</v>
      </c>
      <c r="H461" s="19" t="s">
        <v>51</v>
      </c>
      <c r="I461" s="7" t="s">
        <v>52</v>
      </c>
      <c r="J461" s="8"/>
      <c r="K461" s="7"/>
      <c r="L461" s="7" t="s">
        <v>30</v>
      </c>
      <c r="M461" s="18">
        <f>'Emissions - REF'!$C$26</f>
        <v>9.9716999999999994E-5</v>
      </c>
      <c r="N461" s="7"/>
      <c r="O461" s="7"/>
      <c r="P461" s="7"/>
      <c r="Q461" s="7"/>
      <c r="R461" s="7"/>
      <c r="S461" s="7"/>
      <c r="T461" s="7"/>
    </row>
    <row r="462" spans="3:20" x14ac:dyDescent="0.25">
      <c r="C462" s="7"/>
      <c r="D462" s="7"/>
      <c r="E462" s="7" t="s">
        <v>19</v>
      </c>
      <c r="F462" s="7">
        <v>2015</v>
      </c>
      <c r="G462" s="8" t="s">
        <v>20</v>
      </c>
      <c r="H462" s="19" t="s">
        <v>51</v>
      </c>
      <c r="I462" s="7" t="s">
        <v>52</v>
      </c>
      <c r="J462" s="8"/>
      <c r="K462" s="7"/>
      <c r="L462" s="7" t="s">
        <v>30</v>
      </c>
      <c r="M462" s="18">
        <f>'Emissions - REF'!$D$26</f>
        <v>9.9716999999999994E-5</v>
      </c>
      <c r="N462" s="7"/>
      <c r="O462" s="7"/>
      <c r="P462" s="7"/>
      <c r="Q462" s="7"/>
      <c r="R462" s="7"/>
      <c r="S462" s="7"/>
      <c r="T462" s="7"/>
    </row>
    <row r="463" spans="3:20" x14ac:dyDescent="0.25">
      <c r="C463" s="7"/>
      <c r="D463" s="7"/>
      <c r="E463" s="7" t="s">
        <v>19</v>
      </c>
      <c r="F463" s="7">
        <v>2020</v>
      </c>
      <c r="G463" s="8" t="s">
        <v>20</v>
      </c>
      <c r="H463" s="19" t="s">
        <v>51</v>
      </c>
      <c r="I463" s="7" t="s">
        <v>52</v>
      </c>
      <c r="J463" s="8"/>
      <c r="K463" s="7"/>
      <c r="L463" s="7" t="s">
        <v>30</v>
      </c>
      <c r="M463" s="18">
        <f>'Emissions - REF'!$E$26</f>
        <v>9.9716999999999994E-5</v>
      </c>
      <c r="N463" s="7"/>
      <c r="O463" s="7"/>
      <c r="P463" s="7"/>
      <c r="Q463" s="7"/>
      <c r="R463" s="7"/>
      <c r="S463" s="7"/>
      <c r="T463" s="7"/>
    </row>
    <row r="464" spans="3:20" x14ac:dyDescent="0.25">
      <c r="C464" s="7"/>
      <c r="D464" s="7"/>
      <c r="E464" s="7" t="s">
        <v>19</v>
      </c>
      <c r="F464" s="7">
        <v>2055</v>
      </c>
      <c r="G464" s="8" t="s">
        <v>20</v>
      </c>
      <c r="H464" s="19" t="s">
        <v>51</v>
      </c>
      <c r="I464" s="7" t="s">
        <v>52</v>
      </c>
      <c r="J464" s="8"/>
      <c r="K464" s="7"/>
      <c r="L464" s="7" t="s">
        <v>30</v>
      </c>
      <c r="M464" s="18">
        <f>M463</f>
        <v>9.9716999999999994E-5</v>
      </c>
      <c r="N464" s="7"/>
      <c r="O464" s="7"/>
      <c r="P464" s="7"/>
      <c r="Q464" s="7"/>
      <c r="R464" s="7"/>
      <c r="S464" s="7"/>
      <c r="T464" s="7"/>
    </row>
    <row r="465" spans="3:20" x14ac:dyDescent="0.25">
      <c r="C465" s="7"/>
      <c r="D465" s="7"/>
      <c r="E465" s="7" t="s">
        <v>19</v>
      </c>
      <c r="F465" s="7">
        <v>2010</v>
      </c>
      <c r="G465" s="8" t="s">
        <v>20</v>
      </c>
      <c r="H465" s="19" t="s">
        <v>51</v>
      </c>
      <c r="I465" s="7" t="s">
        <v>52</v>
      </c>
      <c r="J465" s="8"/>
      <c r="K465" s="7"/>
      <c r="L465" s="7" t="s">
        <v>31</v>
      </c>
      <c r="M465" s="7">
        <v>1E-4</v>
      </c>
      <c r="N465" s="7"/>
      <c r="O465" s="7"/>
      <c r="P465" s="7"/>
      <c r="Q465" s="7"/>
      <c r="R465" s="7"/>
      <c r="S465" s="7"/>
      <c r="T465" s="7"/>
    </row>
    <row r="466" spans="3:20" x14ac:dyDescent="0.25">
      <c r="C466" s="7"/>
      <c r="D466" s="7"/>
      <c r="E466" s="7" t="s">
        <v>19</v>
      </c>
      <c r="F466" s="7">
        <v>2015</v>
      </c>
      <c r="G466" s="8" t="s">
        <v>20</v>
      </c>
      <c r="H466" s="19" t="s">
        <v>51</v>
      </c>
      <c r="I466" s="7" t="s">
        <v>52</v>
      </c>
      <c r="J466" s="8"/>
      <c r="K466" s="7"/>
      <c r="L466" s="7" t="s">
        <v>31</v>
      </c>
      <c r="M466" s="7">
        <f>M465</f>
        <v>1E-4</v>
      </c>
      <c r="N466" s="7"/>
      <c r="O466" s="7"/>
      <c r="P466" s="7"/>
      <c r="Q466" s="7"/>
      <c r="R466" s="7"/>
      <c r="S466" s="7"/>
      <c r="T466" s="7"/>
    </row>
    <row r="467" spans="3:20" x14ac:dyDescent="0.25">
      <c r="C467" s="7"/>
      <c r="D467" s="7"/>
      <c r="E467" s="7" t="s">
        <v>19</v>
      </c>
      <c r="F467" s="7">
        <v>2020</v>
      </c>
      <c r="G467" s="8" t="s">
        <v>20</v>
      </c>
      <c r="H467" s="19" t="s">
        <v>51</v>
      </c>
      <c r="I467" s="7" t="s">
        <v>52</v>
      </c>
      <c r="J467" s="8"/>
      <c r="K467" s="7"/>
      <c r="L467" s="7" t="s">
        <v>31</v>
      </c>
      <c r="M467" s="7">
        <f t="shared" ref="M467:M468" si="146">M466</f>
        <v>1E-4</v>
      </c>
      <c r="N467" s="7"/>
      <c r="O467" s="7"/>
      <c r="P467" s="7"/>
      <c r="Q467" s="7"/>
      <c r="R467" s="7"/>
      <c r="S467" s="7"/>
      <c r="T467" s="7"/>
    </row>
    <row r="468" spans="3:20" x14ac:dyDescent="0.25">
      <c r="C468" s="7"/>
      <c r="D468" s="7"/>
      <c r="E468" s="7" t="s">
        <v>19</v>
      </c>
      <c r="F468" s="7">
        <v>2055</v>
      </c>
      <c r="G468" s="8" t="s">
        <v>20</v>
      </c>
      <c r="H468" s="19" t="s">
        <v>51</v>
      </c>
      <c r="I468" s="7" t="s">
        <v>52</v>
      </c>
      <c r="J468" s="8"/>
      <c r="K468" s="7"/>
      <c r="L468" s="7" t="s">
        <v>31</v>
      </c>
      <c r="M468" s="7">
        <f t="shared" si="146"/>
        <v>1E-4</v>
      </c>
      <c r="N468" s="7"/>
      <c r="O468" s="7"/>
      <c r="P468" s="7"/>
      <c r="Q468" s="7"/>
      <c r="R468" s="7"/>
      <c r="S468" s="7"/>
      <c r="T468" s="7"/>
    </row>
    <row r="469" spans="3:20" x14ac:dyDescent="0.25">
      <c r="C469" s="7"/>
      <c r="D469" s="7"/>
      <c r="E469" s="7" t="s">
        <v>19</v>
      </c>
      <c r="F469" s="7">
        <v>2010</v>
      </c>
      <c r="G469" s="8" t="s">
        <v>20</v>
      </c>
      <c r="H469" s="19" t="s">
        <v>51</v>
      </c>
      <c r="I469" s="7" t="s">
        <v>52</v>
      </c>
      <c r="J469" s="8"/>
      <c r="K469" s="7"/>
      <c r="L469" s="7" t="s">
        <v>32</v>
      </c>
      <c r="M469" s="7">
        <v>2.0000000000000001E-4</v>
      </c>
      <c r="N469" s="7"/>
      <c r="O469" s="7"/>
      <c r="P469" s="7"/>
      <c r="Q469" s="7"/>
      <c r="R469" s="7"/>
      <c r="S469" s="7"/>
      <c r="T469" s="7"/>
    </row>
    <row r="470" spans="3:20" x14ac:dyDescent="0.25">
      <c r="C470" s="7"/>
      <c r="D470" s="7"/>
      <c r="E470" s="7" t="s">
        <v>19</v>
      </c>
      <c r="F470" s="7">
        <v>2015</v>
      </c>
      <c r="G470" s="8" t="s">
        <v>20</v>
      </c>
      <c r="H470" s="19" t="s">
        <v>51</v>
      </c>
      <c r="I470" s="7" t="s">
        <v>52</v>
      </c>
      <c r="J470" s="8"/>
      <c r="K470" s="7"/>
      <c r="L470" s="7" t="s">
        <v>32</v>
      </c>
      <c r="M470" s="7">
        <f>M469</f>
        <v>2.0000000000000001E-4</v>
      </c>
      <c r="N470" s="7"/>
      <c r="O470" s="7"/>
      <c r="P470" s="7"/>
      <c r="Q470" s="7"/>
      <c r="R470" s="7"/>
      <c r="S470" s="7"/>
      <c r="T470" s="7"/>
    </row>
    <row r="471" spans="3:20" x14ac:dyDescent="0.25">
      <c r="C471" s="7"/>
      <c r="D471" s="7"/>
      <c r="E471" s="7" t="s">
        <v>19</v>
      </c>
      <c r="F471" s="7">
        <v>2020</v>
      </c>
      <c r="G471" s="8" t="s">
        <v>20</v>
      </c>
      <c r="H471" s="19" t="s">
        <v>51</v>
      </c>
      <c r="I471" s="7" t="s">
        <v>52</v>
      </c>
      <c r="J471" s="8"/>
      <c r="K471" s="7"/>
      <c r="L471" s="7" t="s">
        <v>32</v>
      </c>
      <c r="M471" s="7">
        <f t="shared" ref="M471:M472" si="147">M470</f>
        <v>2.0000000000000001E-4</v>
      </c>
      <c r="N471" s="7"/>
      <c r="O471" s="7"/>
      <c r="P471" s="7"/>
      <c r="Q471" s="7"/>
      <c r="R471" s="7"/>
      <c r="S471" s="7"/>
      <c r="T471" s="7"/>
    </row>
    <row r="472" spans="3:20" x14ac:dyDescent="0.25">
      <c r="C472" s="7"/>
      <c r="D472" s="7"/>
      <c r="E472" s="7" t="s">
        <v>19</v>
      </c>
      <c r="F472" s="7">
        <v>2055</v>
      </c>
      <c r="G472" s="8" t="s">
        <v>20</v>
      </c>
      <c r="H472" s="19" t="s">
        <v>51</v>
      </c>
      <c r="I472" s="7" t="s">
        <v>52</v>
      </c>
      <c r="J472" s="8"/>
      <c r="K472" s="7"/>
      <c r="L472" s="7" t="s">
        <v>32</v>
      </c>
      <c r="M472" s="7">
        <f t="shared" si="147"/>
        <v>2.0000000000000001E-4</v>
      </c>
      <c r="N472" s="7"/>
      <c r="O472" s="7"/>
      <c r="P472" s="7"/>
      <c r="Q472" s="7"/>
      <c r="R472" s="7"/>
      <c r="S472" s="7"/>
      <c r="T472" s="7"/>
    </row>
    <row r="473" spans="3:20" x14ac:dyDescent="0.25">
      <c r="C473" s="7"/>
      <c r="D473" s="7"/>
      <c r="E473" s="7" t="s">
        <v>19</v>
      </c>
      <c r="F473" s="7">
        <v>2010</v>
      </c>
      <c r="G473" s="8" t="s">
        <v>20</v>
      </c>
      <c r="H473" s="19" t="s">
        <v>51</v>
      </c>
      <c r="I473" s="7" t="s">
        <v>52</v>
      </c>
      <c r="J473" s="8"/>
      <c r="K473" s="7"/>
      <c r="L473" s="7" t="s">
        <v>46</v>
      </c>
      <c r="M473" s="18">
        <f>M441</f>
        <v>8.107528000000001E-3</v>
      </c>
      <c r="N473" s="7"/>
      <c r="O473" s="7"/>
      <c r="P473" s="7"/>
      <c r="Q473" s="7"/>
      <c r="R473" s="7"/>
      <c r="S473" s="7"/>
      <c r="T473" s="7"/>
    </row>
    <row r="474" spans="3:20" x14ac:dyDescent="0.25">
      <c r="C474" s="7"/>
      <c r="D474" s="7"/>
      <c r="E474" s="7" t="s">
        <v>19</v>
      </c>
      <c r="F474" s="7">
        <v>2015</v>
      </c>
      <c r="G474" s="8" t="s">
        <v>20</v>
      </c>
      <c r="H474" s="19" t="s">
        <v>51</v>
      </c>
      <c r="I474" s="7" t="s">
        <v>52</v>
      </c>
      <c r="J474" s="8"/>
      <c r="K474" s="7"/>
      <c r="L474" s="7" t="s">
        <v>46</v>
      </c>
      <c r="M474" s="18">
        <f t="shared" ref="M474:M476" si="148">M442</f>
        <v>7.1944629999999999E-3</v>
      </c>
      <c r="N474" s="7"/>
      <c r="O474" s="7"/>
      <c r="P474" s="7"/>
      <c r="Q474" s="7"/>
      <c r="R474" s="7"/>
      <c r="S474" s="7"/>
      <c r="T474" s="7"/>
    </row>
    <row r="475" spans="3:20" x14ac:dyDescent="0.25">
      <c r="C475" s="7"/>
      <c r="D475" s="7"/>
      <c r="E475" s="7" t="s">
        <v>19</v>
      </c>
      <c r="F475" s="7">
        <v>2020</v>
      </c>
      <c r="G475" s="8" t="s">
        <v>20</v>
      </c>
      <c r="H475" s="19" t="s">
        <v>51</v>
      </c>
      <c r="I475" s="7" t="s">
        <v>52</v>
      </c>
      <c r="J475" s="8"/>
      <c r="K475" s="7"/>
      <c r="L475" s="7" t="s">
        <v>46</v>
      </c>
      <c r="M475" s="18">
        <f t="shared" si="148"/>
        <v>6.805841E-3</v>
      </c>
      <c r="N475" s="7"/>
      <c r="O475" s="7"/>
      <c r="P475" s="7"/>
      <c r="Q475" s="7"/>
      <c r="R475" s="7"/>
      <c r="S475" s="7"/>
      <c r="T475" s="7"/>
    </row>
    <row r="476" spans="3:20" x14ac:dyDescent="0.25">
      <c r="C476" s="7"/>
      <c r="D476" s="7"/>
      <c r="E476" s="7" t="s">
        <v>19</v>
      </c>
      <c r="F476" s="7">
        <v>2055</v>
      </c>
      <c r="G476" s="8" t="s">
        <v>20</v>
      </c>
      <c r="H476" s="19" t="s">
        <v>51</v>
      </c>
      <c r="I476" s="7" t="s">
        <v>52</v>
      </c>
      <c r="J476" s="8"/>
      <c r="K476" s="7"/>
      <c r="L476" s="7" t="s">
        <v>46</v>
      </c>
      <c r="M476" s="18">
        <f t="shared" si="148"/>
        <v>6.805841E-3</v>
      </c>
      <c r="N476" s="7"/>
      <c r="O476" s="7"/>
      <c r="P476" s="7"/>
      <c r="Q476" s="7"/>
      <c r="R476" s="7"/>
      <c r="S476" s="7"/>
      <c r="T476" s="7"/>
    </row>
    <row r="477" spans="3:20" x14ac:dyDescent="0.25">
      <c r="C477" s="7"/>
      <c r="D477" s="7"/>
      <c r="E477" s="7" t="s">
        <v>19</v>
      </c>
      <c r="F477" s="7">
        <v>2010</v>
      </c>
      <c r="G477" s="8" t="s">
        <v>20</v>
      </c>
      <c r="H477" s="19" t="s">
        <v>51</v>
      </c>
      <c r="I477" s="7" t="s">
        <v>52</v>
      </c>
      <c r="J477" s="8"/>
      <c r="K477" s="7"/>
      <c r="L477" s="7" t="s">
        <v>47</v>
      </c>
      <c r="M477" s="18">
        <f>M453</f>
        <v>7.0447039999999997E-3</v>
      </c>
      <c r="N477" s="7"/>
      <c r="O477" s="7"/>
      <c r="P477" s="7"/>
      <c r="Q477" s="7"/>
      <c r="R477" s="7"/>
      <c r="S477" s="7"/>
      <c r="T477" s="7"/>
    </row>
    <row r="478" spans="3:20" x14ac:dyDescent="0.25">
      <c r="C478" s="7"/>
      <c r="D478" s="7"/>
      <c r="E478" s="7" t="s">
        <v>19</v>
      </c>
      <c r="F478" s="7">
        <v>2015</v>
      </c>
      <c r="G478" s="8" t="s">
        <v>20</v>
      </c>
      <c r="H478" s="19" t="s">
        <v>51</v>
      </c>
      <c r="I478" s="7" t="s">
        <v>52</v>
      </c>
      <c r="J478" s="8"/>
      <c r="K478" s="7"/>
      <c r="L478" s="7" t="s">
        <v>47</v>
      </c>
      <c r="M478" s="18">
        <f t="shared" ref="M478:M480" si="149">M454</f>
        <v>6.0507439999999994E-3</v>
      </c>
      <c r="N478" s="7"/>
      <c r="O478" s="7"/>
      <c r="P478" s="7"/>
      <c r="Q478" s="7"/>
      <c r="R478" s="7"/>
      <c r="S478" s="7"/>
      <c r="T478" s="7"/>
    </row>
    <row r="479" spans="3:20" x14ac:dyDescent="0.25">
      <c r="C479" s="7"/>
      <c r="D479" s="7"/>
      <c r="E479" s="7" t="s">
        <v>19</v>
      </c>
      <c r="F479" s="7">
        <v>2020</v>
      </c>
      <c r="G479" s="8" t="s">
        <v>20</v>
      </c>
      <c r="H479" s="19" t="s">
        <v>51</v>
      </c>
      <c r="I479" s="7" t="s">
        <v>52</v>
      </c>
      <c r="J479" s="8"/>
      <c r="K479" s="7"/>
      <c r="L479" s="7" t="s">
        <v>47</v>
      </c>
      <c r="M479" s="18">
        <f t="shared" si="149"/>
        <v>5.6247619999999993E-3</v>
      </c>
      <c r="N479" s="7"/>
      <c r="O479" s="7"/>
      <c r="P479" s="7"/>
      <c r="Q479" s="7"/>
      <c r="R479" s="7"/>
      <c r="S479" s="7"/>
      <c r="T479" s="7"/>
    </row>
    <row r="480" spans="3:20" x14ac:dyDescent="0.25">
      <c r="C480" s="7"/>
      <c r="D480" s="7"/>
      <c r="E480" s="7" t="s">
        <v>19</v>
      </c>
      <c r="F480" s="7">
        <v>2055</v>
      </c>
      <c r="G480" s="8" t="s">
        <v>20</v>
      </c>
      <c r="H480" s="19" t="s">
        <v>51</v>
      </c>
      <c r="I480" s="7" t="s">
        <v>52</v>
      </c>
      <c r="J480" s="8"/>
      <c r="K480" s="7"/>
      <c r="L480" s="7" t="s">
        <v>47</v>
      </c>
      <c r="M480" s="18">
        <f t="shared" si="149"/>
        <v>5.6247619999999993E-3</v>
      </c>
      <c r="N480" s="7"/>
      <c r="O480" s="7"/>
      <c r="P480" s="7"/>
      <c r="Q480" s="7"/>
      <c r="R480" s="7"/>
      <c r="S480" s="7"/>
      <c r="T480" s="7"/>
    </row>
    <row r="481" spans="3:20" x14ac:dyDescent="0.25">
      <c r="C481" s="7"/>
      <c r="D481" s="7"/>
      <c r="E481" s="7" t="s">
        <v>19</v>
      </c>
      <c r="F481" s="7">
        <v>2010</v>
      </c>
      <c r="G481" s="8" t="s">
        <v>20</v>
      </c>
      <c r="H481" s="19" t="s">
        <v>51</v>
      </c>
      <c r="I481" s="7" t="s">
        <v>52</v>
      </c>
      <c r="J481" s="8"/>
      <c r="K481" s="7"/>
      <c r="L481" s="7" t="s">
        <v>48</v>
      </c>
      <c r="M481" s="18">
        <f>M445</f>
        <v>1.9396579999999999E-3</v>
      </c>
      <c r="N481" s="7"/>
      <c r="O481" s="7"/>
      <c r="P481" s="7"/>
      <c r="Q481" s="7"/>
      <c r="R481" s="7"/>
      <c r="S481" s="7"/>
      <c r="T481" s="7"/>
    </row>
    <row r="482" spans="3:20" x14ac:dyDescent="0.25">
      <c r="C482" s="7"/>
      <c r="D482" s="7"/>
      <c r="E482" s="7" t="s">
        <v>19</v>
      </c>
      <c r="F482" s="7">
        <v>2015</v>
      </c>
      <c r="G482" s="8" t="s">
        <v>20</v>
      </c>
      <c r="H482" s="19" t="s">
        <v>51</v>
      </c>
      <c r="I482" s="7" t="s">
        <v>52</v>
      </c>
      <c r="J482" s="8"/>
      <c r="K482" s="7"/>
      <c r="L482" s="7" t="s">
        <v>48</v>
      </c>
      <c r="M482" s="18">
        <f t="shared" ref="M482:M484" si="150">M446</f>
        <v>1.7263549999999999E-3</v>
      </c>
      <c r="N482" s="7"/>
      <c r="O482" s="7"/>
      <c r="P482" s="7"/>
      <c r="Q482" s="7"/>
      <c r="R482" s="7"/>
      <c r="S482" s="7"/>
      <c r="T482" s="7"/>
    </row>
    <row r="483" spans="3:20" x14ac:dyDescent="0.25">
      <c r="C483" s="7"/>
      <c r="D483" s="7"/>
      <c r="E483" s="7" t="s">
        <v>19</v>
      </c>
      <c r="F483" s="7">
        <v>2020</v>
      </c>
      <c r="G483" s="8" t="s">
        <v>20</v>
      </c>
      <c r="H483" s="19" t="s">
        <v>51</v>
      </c>
      <c r="I483" s="7" t="s">
        <v>52</v>
      </c>
      <c r="J483" s="8"/>
      <c r="K483" s="7"/>
      <c r="L483" s="7" t="s">
        <v>48</v>
      </c>
      <c r="M483" s="18">
        <f t="shared" si="150"/>
        <v>1.6551929999999999E-3</v>
      </c>
      <c r="N483" s="7"/>
      <c r="O483" s="7"/>
      <c r="P483" s="7"/>
      <c r="Q483" s="7"/>
      <c r="R483" s="7"/>
      <c r="S483" s="7"/>
      <c r="T483" s="7"/>
    </row>
    <row r="484" spans="3:20" x14ac:dyDescent="0.25">
      <c r="C484" s="7"/>
      <c r="D484" s="7"/>
      <c r="E484" s="7" t="s">
        <v>19</v>
      </c>
      <c r="F484" s="7">
        <v>2055</v>
      </c>
      <c r="G484" s="8" t="s">
        <v>20</v>
      </c>
      <c r="H484" s="19" t="s">
        <v>51</v>
      </c>
      <c r="I484" s="7" t="s">
        <v>52</v>
      </c>
      <c r="J484" s="8"/>
      <c r="K484" s="7"/>
      <c r="L484" s="7" t="s">
        <v>48</v>
      </c>
      <c r="M484" s="18">
        <f t="shared" si="150"/>
        <v>1.6551929999999999E-3</v>
      </c>
      <c r="N484" s="7"/>
      <c r="O484" s="7"/>
      <c r="P484" s="7"/>
      <c r="Q484" s="7"/>
      <c r="R484" s="7"/>
      <c r="S484" s="7"/>
      <c r="T484" s="7"/>
    </row>
    <row r="485" spans="3:20" x14ac:dyDescent="0.25">
      <c r="C485" s="7"/>
      <c r="D485" s="7"/>
      <c r="E485" s="7" t="s">
        <v>19</v>
      </c>
      <c r="F485" s="7">
        <v>2010</v>
      </c>
      <c r="G485" s="8" t="s">
        <v>20</v>
      </c>
      <c r="H485" s="19" t="s">
        <v>51</v>
      </c>
      <c r="I485" s="7" t="s">
        <v>52</v>
      </c>
      <c r="J485" s="8"/>
      <c r="K485" s="7"/>
      <c r="L485" s="7" t="s">
        <v>49</v>
      </c>
      <c r="M485" s="7">
        <f>'Emissions - REF'!$C$27</f>
        <v>6.1003237490000002</v>
      </c>
      <c r="N485" s="7"/>
      <c r="O485" s="7"/>
      <c r="P485" s="7"/>
      <c r="Q485" s="7"/>
      <c r="R485" s="7"/>
      <c r="S485" s="7"/>
      <c r="T485" s="7"/>
    </row>
    <row r="486" spans="3:20" x14ac:dyDescent="0.25">
      <c r="C486" s="7"/>
      <c r="D486" s="7"/>
      <c r="E486" s="7" t="s">
        <v>19</v>
      </c>
      <c r="F486" s="7">
        <v>2015</v>
      </c>
      <c r="G486" s="8" t="s">
        <v>20</v>
      </c>
      <c r="H486" s="19" t="s">
        <v>51</v>
      </c>
      <c r="I486" s="7" t="s">
        <v>52</v>
      </c>
      <c r="J486" s="8"/>
      <c r="K486" s="7"/>
      <c r="L486" s="7" t="s">
        <v>49</v>
      </c>
      <c r="M486" s="7">
        <f>'Emissions - REF'!$D$27</f>
        <v>6.1003237490000002</v>
      </c>
      <c r="N486" s="7"/>
      <c r="O486" s="7"/>
      <c r="P486" s="7"/>
      <c r="Q486" s="7"/>
      <c r="R486" s="7"/>
      <c r="S486" s="7"/>
      <c r="T486" s="7"/>
    </row>
    <row r="487" spans="3:20" x14ac:dyDescent="0.25">
      <c r="C487" s="7"/>
      <c r="D487" s="7"/>
      <c r="E487" s="7" t="s">
        <v>19</v>
      </c>
      <c r="F487" s="7">
        <v>2020</v>
      </c>
      <c r="G487" s="8" t="s">
        <v>20</v>
      </c>
      <c r="H487" s="19" t="s">
        <v>51</v>
      </c>
      <c r="I487" s="7" t="s">
        <v>52</v>
      </c>
      <c r="J487" s="8"/>
      <c r="K487" s="7"/>
      <c r="L487" s="7" t="s">
        <v>49</v>
      </c>
      <c r="M487" s="7">
        <f>'Emissions - REF'!$E$27</f>
        <v>6.1003237490000002</v>
      </c>
      <c r="N487" s="7"/>
      <c r="O487" s="7"/>
      <c r="P487" s="7"/>
      <c r="Q487" s="7"/>
      <c r="R487" s="7"/>
      <c r="S487" s="7"/>
      <c r="T487" s="7"/>
    </row>
    <row r="488" spans="3:20" x14ac:dyDescent="0.25">
      <c r="C488" s="7"/>
      <c r="D488" s="7"/>
      <c r="E488" s="7" t="s">
        <v>19</v>
      </c>
      <c r="F488" s="7">
        <v>2055</v>
      </c>
      <c r="G488" s="8" t="s">
        <v>20</v>
      </c>
      <c r="H488" s="19" t="s">
        <v>51</v>
      </c>
      <c r="I488" s="7" t="s">
        <v>52</v>
      </c>
      <c r="J488" s="8"/>
      <c r="K488" s="7"/>
      <c r="L488" s="7" t="s">
        <v>49</v>
      </c>
      <c r="M488" s="7">
        <f>M487</f>
        <v>6.1003237490000002</v>
      </c>
      <c r="N488" s="7"/>
      <c r="O488" s="7"/>
      <c r="P488" s="7"/>
      <c r="Q488" s="7"/>
      <c r="R488" s="7"/>
      <c r="S488" s="7"/>
      <c r="T488" s="7"/>
    </row>
    <row r="489" spans="3:20" x14ac:dyDescent="0.25">
      <c r="C489" s="7"/>
      <c r="D489" s="7"/>
      <c r="E489" s="7" t="s">
        <v>19</v>
      </c>
      <c r="F489" s="7">
        <v>2010</v>
      </c>
      <c r="G489" s="8" t="s">
        <v>20</v>
      </c>
      <c r="H489" s="19" t="s">
        <v>51</v>
      </c>
      <c r="I489" s="7" t="s">
        <v>52</v>
      </c>
      <c r="J489" s="8"/>
      <c r="K489" s="7"/>
      <c r="L489" s="7" t="s">
        <v>50</v>
      </c>
      <c r="M489" s="18">
        <f>M473</f>
        <v>8.107528000000001E-3</v>
      </c>
      <c r="N489" s="7"/>
      <c r="O489" s="7"/>
      <c r="P489" s="7"/>
      <c r="Q489" s="7"/>
      <c r="R489" s="7"/>
      <c r="S489" s="7"/>
      <c r="T489" s="7"/>
    </row>
    <row r="490" spans="3:20" x14ac:dyDescent="0.25">
      <c r="C490" s="7"/>
      <c r="D490" s="7"/>
      <c r="E490" s="7" t="s">
        <v>19</v>
      </c>
      <c r="F490" s="7">
        <v>2015</v>
      </c>
      <c r="G490" s="8" t="s">
        <v>20</v>
      </c>
      <c r="H490" s="19" t="s">
        <v>51</v>
      </c>
      <c r="I490" s="7" t="s">
        <v>52</v>
      </c>
      <c r="J490" s="8"/>
      <c r="K490" s="7"/>
      <c r="L490" s="7" t="s">
        <v>50</v>
      </c>
      <c r="M490" s="18">
        <f t="shared" ref="M490:M492" si="151">M474</f>
        <v>7.1944629999999999E-3</v>
      </c>
      <c r="N490" s="7"/>
      <c r="O490" s="7"/>
      <c r="P490" s="7"/>
      <c r="Q490" s="7"/>
      <c r="R490" s="7"/>
      <c r="S490" s="7"/>
      <c r="T490" s="7"/>
    </row>
    <row r="491" spans="3:20" x14ac:dyDescent="0.25">
      <c r="C491" s="7"/>
      <c r="D491" s="7"/>
      <c r="E491" s="7" t="s">
        <v>19</v>
      </c>
      <c r="F491" s="7">
        <v>2020</v>
      </c>
      <c r="G491" s="8" t="s">
        <v>20</v>
      </c>
      <c r="H491" s="19" t="s">
        <v>51</v>
      </c>
      <c r="I491" s="7" t="s">
        <v>52</v>
      </c>
      <c r="J491" s="8"/>
      <c r="K491" s="7"/>
      <c r="L491" s="7" t="s">
        <v>50</v>
      </c>
      <c r="M491" s="18">
        <f t="shared" si="151"/>
        <v>6.805841E-3</v>
      </c>
      <c r="N491" s="7"/>
      <c r="O491" s="7"/>
      <c r="P491" s="7"/>
      <c r="Q491" s="7"/>
      <c r="R491" s="7"/>
      <c r="S491" s="7"/>
      <c r="T491" s="7"/>
    </row>
    <row r="492" spans="3:20" x14ac:dyDescent="0.25">
      <c r="C492" s="7"/>
      <c r="D492" s="7"/>
      <c r="E492" s="7" t="s">
        <v>19</v>
      </c>
      <c r="F492" s="7">
        <v>2055</v>
      </c>
      <c r="G492" s="8" t="s">
        <v>20</v>
      </c>
      <c r="H492" s="19" t="s">
        <v>51</v>
      </c>
      <c r="I492" s="7" t="s">
        <v>52</v>
      </c>
      <c r="J492" s="8"/>
      <c r="K492" s="7"/>
      <c r="L492" s="7" t="s">
        <v>50</v>
      </c>
      <c r="M492" s="18">
        <f t="shared" si="151"/>
        <v>6.805841E-3</v>
      </c>
      <c r="N492" s="7"/>
      <c r="O492" s="7"/>
      <c r="P492" s="7"/>
      <c r="Q492" s="7"/>
      <c r="R492" s="7"/>
      <c r="S492" s="7"/>
      <c r="T492" s="7"/>
    </row>
    <row r="493" spans="3:20" x14ac:dyDescent="0.25">
      <c r="C493" s="15" t="s">
        <v>33</v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 spans="3:20" x14ac:dyDescent="0.25">
      <c r="C494" s="7"/>
      <c r="D494" s="7"/>
      <c r="E494" s="7" t="s">
        <v>19</v>
      </c>
      <c r="F494" s="7">
        <v>2010</v>
      </c>
      <c r="G494" s="8" t="s">
        <v>20</v>
      </c>
      <c r="H494" s="19" t="s">
        <v>53</v>
      </c>
      <c r="I494" s="7" t="s">
        <v>54</v>
      </c>
      <c r="J494" s="8"/>
      <c r="K494" s="7"/>
      <c r="L494" s="7" t="s">
        <v>22</v>
      </c>
      <c r="M494" s="18">
        <f>M550/1000</f>
        <v>6.1238892740000002E-3</v>
      </c>
      <c r="N494" s="7"/>
      <c r="O494" s="7"/>
      <c r="P494" s="7"/>
      <c r="Q494" s="7"/>
      <c r="R494" s="7"/>
      <c r="S494" s="7"/>
      <c r="T494" s="7"/>
    </row>
    <row r="495" spans="3:20" x14ac:dyDescent="0.25">
      <c r="C495" s="7"/>
      <c r="D495" s="7"/>
      <c r="E495" s="7" t="s">
        <v>19</v>
      </c>
      <c r="F495" s="7">
        <v>2015</v>
      </c>
      <c r="G495" s="8" t="s">
        <v>20</v>
      </c>
      <c r="H495" s="19" t="s">
        <v>53</v>
      </c>
      <c r="I495" s="7" t="s">
        <v>54</v>
      </c>
      <c r="J495" s="8"/>
      <c r="K495" s="7"/>
      <c r="L495" s="7" t="s">
        <v>22</v>
      </c>
      <c r="M495" s="18">
        <f t="shared" ref="M495:M497" si="152">M551/1000</f>
        <v>6.1238892740000002E-3</v>
      </c>
      <c r="N495" s="7"/>
      <c r="O495" s="7"/>
      <c r="P495" s="7"/>
      <c r="Q495" s="7"/>
      <c r="R495" s="7"/>
      <c r="S495" s="7"/>
      <c r="T495" s="7"/>
    </row>
    <row r="496" spans="3:20" x14ac:dyDescent="0.25">
      <c r="C496" s="7"/>
      <c r="D496" s="7"/>
      <c r="E496" s="7" t="s">
        <v>19</v>
      </c>
      <c r="F496" s="7">
        <v>2020</v>
      </c>
      <c r="G496" s="8" t="s">
        <v>20</v>
      </c>
      <c r="H496" s="19" t="s">
        <v>53</v>
      </c>
      <c r="I496" s="7" t="s">
        <v>54</v>
      </c>
      <c r="J496" s="8"/>
      <c r="K496" s="7"/>
      <c r="L496" s="7" t="s">
        <v>22</v>
      </c>
      <c r="M496" s="18">
        <f t="shared" si="152"/>
        <v>6.1238892740000002E-3</v>
      </c>
      <c r="N496" s="7"/>
      <c r="O496" s="7"/>
      <c r="P496" s="7"/>
      <c r="Q496" s="7"/>
      <c r="R496" s="7"/>
      <c r="S496" s="7"/>
      <c r="T496" s="7"/>
    </row>
    <row r="497" spans="3:20" x14ac:dyDescent="0.25">
      <c r="C497" s="7"/>
      <c r="D497" s="7"/>
      <c r="E497" s="7" t="s">
        <v>19</v>
      </c>
      <c r="F497" s="7">
        <v>2055</v>
      </c>
      <c r="G497" s="8" t="s">
        <v>20</v>
      </c>
      <c r="H497" s="19" t="s">
        <v>53</v>
      </c>
      <c r="I497" s="7" t="s">
        <v>54</v>
      </c>
      <c r="J497" s="8"/>
      <c r="K497" s="7"/>
      <c r="L497" s="7" t="s">
        <v>22</v>
      </c>
      <c r="M497" s="18">
        <f t="shared" si="152"/>
        <v>6.1238892740000002E-3</v>
      </c>
      <c r="N497" s="7"/>
      <c r="O497" s="7"/>
      <c r="P497" s="7"/>
      <c r="Q497" s="7"/>
      <c r="R497" s="7"/>
      <c r="S497" s="7"/>
      <c r="T497" s="7"/>
    </row>
    <row r="498" spans="3:20" x14ac:dyDescent="0.25">
      <c r="C498" s="7"/>
      <c r="D498" s="7"/>
      <c r="E498" s="7" t="s">
        <v>19</v>
      </c>
      <c r="F498" s="7">
        <v>2010</v>
      </c>
      <c r="G498" s="8" t="s">
        <v>20</v>
      </c>
      <c r="H498" s="19" t="s">
        <v>53</v>
      </c>
      <c r="I498" s="7" t="s">
        <v>54</v>
      </c>
      <c r="J498" s="8"/>
      <c r="K498" s="7"/>
      <c r="L498" s="7" t="s">
        <v>23</v>
      </c>
      <c r="M498" s="18">
        <f>'Emissions - REF'!$C$45</f>
        <v>2.3232959999999999E-3</v>
      </c>
      <c r="N498" s="7"/>
      <c r="O498" s="7"/>
      <c r="P498" s="7"/>
      <c r="Q498" s="7"/>
      <c r="R498" s="7"/>
      <c r="S498" s="7"/>
      <c r="T498" s="7"/>
    </row>
    <row r="499" spans="3:20" x14ac:dyDescent="0.25">
      <c r="C499" s="7"/>
      <c r="D499" s="7"/>
      <c r="E499" s="7" t="s">
        <v>19</v>
      </c>
      <c r="F499" s="7">
        <v>2015</v>
      </c>
      <c r="G499" s="8" t="s">
        <v>20</v>
      </c>
      <c r="H499" s="19" t="s">
        <v>53</v>
      </c>
      <c r="I499" s="7" t="s">
        <v>54</v>
      </c>
      <c r="J499" s="8"/>
      <c r="K499" s="7"/>
      <c r="L499" s="7" t="s">
        <v>23</v>
      </c>
      <c r="M499" s="18">
        <f>'Emissions - REF'!$D$45</f>
        <v>2.3232959999999999E-3</v>
      </c>
      <c r="N499" s="7"/>
      <c r="O499" s="7"/>
      <c r="P499" s="7"/>
      <c r="Q499" s="7"/>
      <c r="R499" s="7"/>
      <c r="S499" s="7"/>
      <c r="T499" s="7"/>
    </row>
    <row r="500" spans="3:20" x14ac:dyDescent="0.25">
      <c r="C500" s="7"/>
      <c r="D500" s="7"/>
      <c r="E500" s="7" t="s">
        <v>19</v>
      </c>
      <c r="F500" s="7">
        <v>2020</v>
      </c>
      <c r="G500" s="8" t="s">
        <v>20</v>
      </c>
      <c r="H500" s="19" t="s">
        <v>53</v>
      </c>
      <c r="I500" s="7" t="s">
        <v>54</v>
      </c>
      <c r="J500" s="8"/>
      <c r="K500" s="7"/>
      <c r="L500" s="7" t="s">
        <v>23</v>
      </c>
      <c r="M500" s="18">
        <f>'Emissions - REF'!$E$45</f>
        <v>2.3232959999999999E-3</v>
      </c>
      <c r="N500" s="7"/>
      <c r="O500" s="7"/>
      <c r="P500" s="7"/>
      <c r="Q500" s="7"/>
      <c r="R500" s="7"/>
      <c r="S500" s="7"/>
      <c r="T500" s="7"/>
    </row>
    <row r="501" spans="3:20" x14ac:dyDescent="0.25">
      <c r="C501" s="7"/>
      <c r="D501" s="7"/>
      <c r="E501" s="7" t="s">
        <v>19</v>
      </c>
      <c r="F501" s="7">
        <v>2055</v>
      </c>
      <c r="G501" s="8" t="s">
        <v>20</v>
      </c>
      <c r="H501" s="19" t="s">
        <v>53</v>
      </c>
      <c r="I501" s="7" t="s">
        <v>54</v>
      </c>
      <c r="J501" s="8"/>
      <c r="K501" s="7"/>
      <c r="L501" s="7" t="s">
        <v>23</v>
      </c>
      <c r="M501" s="18">
        <f>M500</f>
        <v>2.3232959999999999E-3</v>
      </c>
      <c r="N501" s="7"/>
      <c r="O501" s="7"/>
      <c r="P501" s="7"/>
      <c r="Q501" s="7"/>
      <c r="R501" s="7"/>
      <c r="S501" s="7"/>
      <c r="T501" s="7"/>
    </row>
    <row r="502" spans="3:20" x14ac:dyDescent="0.25">
      <c r="C502" s="7"/>
      <c r="D502" s="7"/>
      <c r="E502" s="7" t="s">
        <v>19</v>
      </c>
      <c r="F502" s="7">
        <v>2010</v>
      </c>
      <c r="G502" s="8" t="s">
        <v>20</v>
      </c>
      <c r="H502" s="19" t="s">
        <v>53</v>
      </c>
      <c r="I502" s="7" t="s">
        <v>54</v>
      </c>
      <c r="J502" s="8"/>
      <c r="K502" s="7"/>
      <c r="L502" s="7" t="s">
        <v>24</v>
      </c>
      <c r="M502" s="18">
        <f>'Emissions - REF'!$C$46</f>
        <v>3.5583539999999997E-3</v>
      </c>
      <c r="N502" s="7"/>
      <c r="O502" s="7"/>
      <c r="P502" s="7"/>
      <c r="Q502" s="7"/>
      <c r="R502" s="7"/>
      <c r="S502" s="7"/>
      <c r="T502" s="7"/>
    </row>
    <row r="503" spans="3:20" x14ac:dyDescent="0.25">
      <c r="C503" s="7"/>
      <c r="D503" s="7"/>
      <c r="E503" s="7" t="s">
        <v>19</v>
      </c>
      <c r="F503" s="7">
        <v>2015</v>
      </c>
      <c r="G503" s="8" t="s">
        <v>20</v>
      </c>
      <c r="H503" s="19" t="s">
        <v>53</v>
      </c>
      <c r="I503" s="7" t="s">
        <v>54</v>
      </c>
      <c r="J503" s="8"/>
      <c r="K503" s="7"/>
      <c r="L503" s="7" t="s">
        <v>24</v>
      </c>
      <c r="M503" s="18">
        <f>'Emissions - REF'!$D$46</f>
        <v>3.5583539999999997E-3</v>
      </c>
      <c r="N503" s="7"/>
      <c r="O503" s="7"/>
      <c r="P503" s="7"/>
      <c r="Q503" s="7"/>
      <c r="R503" s="7"/>
      <c r="S503" s="7"/>
      <c r="T503" s="7"/>
    </row>
    <row r="504" spans="3:20" x14ac:dyDescent="0.25">
      <c r="C504" s="7"/>
      <c r="D504" s="7"/>
      <c r="E504" s="7" t="s">
        <v>19</v>
      </c>
      <c r="F504" s="7">
        <v>2020</v>
      </c>
      <c r="G504" s="8" t="s">
        <v>20</v>
      </c>
      <c r="H504" s="19" t="s">
        <v>53</v>
      </c>
      <c r="I504" s="7" t="s">
        <v>54</v>
      </c>
      <c r="J504" s="8"/>
      <c r="K504" s="7"/>
      <c r="L504" s="7" t="s">
        <v>24</v>
      </c>
      <c r="M504" s="18">
        <f>'Emissions - REF'!$E$46</f>
        <v>3.5583539999999997E-3</v>
      </c>
      <c r="N504" s="7"/>
      <c r="O504" s="7"/>
      <c r="P504" s="7"/>
      <c r="Q504" s="7"/>
      <c r="R504" s="7"/>
      <c r="S504" s="7"/>
      <c r="T504" s="7"/>
    </row>
    <row r="505" spans="3:20" x14ac:dyDescent="0.25">
      <c r="C505" s="7"/>
      <c r="D505" s="7"/>
      <c r="E505" s="7" t="s">
        <v>19</v>
      </c>
      <c r="F505" s="7">
        <v>2055</v>
      </c>
      <c r="G505" s="8" t="s">
        <v>20</v>
      </c>
      <c r="H505" s="19" t="s">
        <v>53</v>
      </c>
      <c r="I505" s="7" t="s">
        <v>54</v>
      </c>
      <c r="J505" s="8"/>
      <c r="K505" s="7"/>
      <c r="L505" s="7" t="s">
        <v>24</v>
      </c>
      <c r="M505" s="18">
        <f>M504</f>
        <v>3.5583539999999997E-3</v>
      </c>
      <c r="N505" s="7"/>
      <c r="O505" s="7"/>
      <c r="P505" s="7"/>
      <c r="Q505" s="7"/>
      <c r="R505" s="7"/>
      <c r="S505" s="7"/>
      <c r="T505" s="7"/>
    </row>
    <row r="506" spans="3:20" x14ac:dyDescent="0.25">
      <c r="C506" s="7"/>
      <c r="D506" s="7"/>
      <c r="E506" s="7" t="s">
        <v>19</v>
      </c>
      <c r="F506" s="7">
        <v>2010</v>
      </c>
      <c r="G506" s="8" t="s">
        <v>20</v>
      </c>
      <c r="H506" s="19" t="s">
        <v>53</v>
      </c>
      <c r="I506" s="7" t="s">
        <v>54</v>
      </c>
      <c r="J506" s="8"/>
      <c r="K506" s="7"/>
      <c r="L506" s="7" t="s">
        <v>25</v>
      </c>
      <c r="M506" s="18">
        <f>'Emissions - REF'!$C$47</f>
        <v>8.1445739999999999E-3</v>
      </c>
      <c r="N506" s="7"/>
      <c r="O506" s="7"/>
      <c r="P506" s="7"/>
      <c r="Q506" s="7"/>
      <c r="R506" s="7"/>
      <c r="S506" s="7"/>
      <c r="T506" s="7"/>
    </row>
    <row r="507" spans="3:20" x14ac:dyDescent="0.25">
      <c r="C507" s="7"/>
      <c r="D507" s="7"/>
      <c r="E507" s="7" t="s">
        <v>19</v>
      </c>
      <c r="F507" s="7">
        <v>2015</v>
      </c>
      <c r="G507" s="8" t="s">
        <v>20</v>
      </c>
      <c r="H507" s="19" t="s">
        <v>53</v>
      </c>
      <c r="I507" s="7" t="s">
        <v>54</v>
      </c>
      <c r="J507" s="8"/>
      <c r="K507" s="7"/>
      <c r="L507" s="7" t="s">
        <v>25</v>
      </c>
      <c r="M507" s="18">
        <f>'Emissions - REF'!$D$47</f>
        <v>7.2285450000000003E-3</v>
      </c>
      <c r="N507" s="7"/>
      <c r="O507" s="7"/>
      <c r="P507" s="7"/>
      <c r="Q507" s="7"/>
      <c r="R507" s="7"/>
      <c r="S507" s="7"/>
      <c r="T507" s="7"/>
    </row>
    <row r="508" spans="3:20" x14ac:dyDescent="0.25">
      <c r="C508" s="7"/>
      <c r="D508" s="7"/>
      <c r="E508" s="7" t="s">
        <v>19</v>
      </c>
      <c r="F508" s="7">
        <v>2020</v>
      </c>
      <c r="G508" s="8" t="s">
        <v>20</v>
      </c>
      <c r="H508" s="19" t="s">
        <v>53</v>
      </c>
      <c r="I508" s="7" t="s">
        <v>54</v>
      </c>
      <c r="J508" s="8"/>
      <c r="K508" s="7"/>
      <c r="L508" s="7" t="s">
        <v>25</v>
      </c>
      <c r="M508" s="18">
        <f>'Emissions - REF'!$E$47</f>
        <v>6.8384420000000001E-3</v>
      </c>
      <c r="N508" s="7"/>
      <c r="O508" s="7"/>
      <c r="P508" s="7"/>
      <c r="Q508" s="7"/>
      <c r="R508" s="7"/>
      <c r="S508" s="7"/>
      <c r="T508" s="7"/>
    </row>
    <row r="509" spans="3:20" x14ac:dyDescent="0.25">
      <c r="C509" s="7"/>
      <c r="D509" s="7"/>
      <c r="E509" s="7" t="s">
        <v>19</v>
      </c>
      <c r="F509" s="7">
        <v>2055</v>
      </c>
      <c r="G509" s="8" t="s">
        <v>20</v>
      </c>
      <c r="H509" s="19" t="s">
        <v>53</v>
      </c>
      <c r="I509" s="7" t="s">
        <v>54</v>
      </c>
      <c r="J509" s="8"/>
      <c r="K509" s="7"/>
      <c r="L509" s="7" t="s">
        <v>25</v>
      </c>
      <c r="M509" s="18">
        <f>M508</f>
        <v>6.8384420000000001E-3</v>
      </c>
      <c r="N509" s="7"/>
      <c r="O509" s="7"/>
      <c r="P509" s="7"/>
      <c r="Q509" s="7"/>
      <c r="R509" s="7"/>
      <c r="S509" s="7"/>
      <c r="T509" s="7"/>
    </row>
    <row r="510" spans="3:20" x14ac:dyDescent="0.25">
      <c r="C510" s="7"/>
      <c r="D510" s="7"/>
      <c r="E510" s="7" t="s">
        <v>19</v>
      </c>
      <c r="F510" s="7">
        <v>2010</v>
      </c>
      <c r="G510" s="8" t="s">
        <v>20</v>
      </c>
      <c r="H510" s="19" t="s">
        <v>53</v>
      </c>
      <c r="I510" s="7" t="s">
        <v>54</v>
      </c>
      <c r="J510" s="8"/>
      <c r="K510" s="7"/>
      <c r="L510" s="7" t="s">
        <v>26</v>
      </c>
      <c r="M510" s="18">
        <f>'Emissions - REF'!$C$48</f>
        <v>1.9528169999999999E-3</v>
      </c>
      <c r="N510" s="7"/>
      <c r="O510" s="7"/>
      <c r="P510" s="7"/>
      <c r="Q510" s="7"/>
      <c r="R510" s="7"/>
      <c r="S510" s="7"/>
      <c r="T510" s="7"/>
    </row>
    <row r="511" spans="3:20" x14ac:dyDescent="0.25">
      <c r="C511" s="7"/>
      <c r="D511" s="7"/>
      <c r="E511" s="7" t="s">
        <v>19</v>
      </c>
      <c r="F511" s="7">
        <v>2015</v>
      </c>
      <c r="G511" s="8" t="s">
        <v>20</v>
      </c>
      <c r="H511" s="19" t="s">
        <v>53</v>
      </c>
      <c r="I511" s="7" t="s">
        <v>54</v>
      </c>
      <c r="J511" s="8"/>
      <c r="K511" s="7"/>
      <c r="L511" s="7" t="s">
        <v>26</v>
      </c>
      <c r="M511" s="18">
        <f>'Emissions - REF'!$D$48</f>
        <v>1.7367280000000001E-3</v>
      </c>
      <c r="N511" s="7"/>
      <c r="O511" s="7"/>
      <c r="P511" s="7"/>
      <c r="Q511" s="7"/>
      <c r="R511" s="7"/>
      <c r="S511" s="7"/>
      <c r="T511" s="7"/>
    </row>
    <row r="512" spans="3:20" x14ac:dyDescent="0.25">
      <c r="C512" s="7"/>
      <c r="D512" s="7"/>
      <c r="E512" s="7" t="s">
        <v>19</v>
      </c>
      <c r="F512" s="7">
        <v>2020</v>
      </c>
      <c r="G512" s="8" t="s">
        <v>20</v>
      </c>
      <c r="H512" s="19" t="s">
        <v>53</v>
      </c>
      <c r="I512" s="7" t="s">
        <v>54</v>
      </c>
      <c r="J512" s="8"/>
      <c r="K512" s="7"/>
      <c r="L512" s="7" t="s">
        <v>26</v>
      </c>
      <c r="M512" s="18">
        <f>'Emissions - REF'!$E$48</f>
        <v>1.6640840000000001E-3</v>
      </c>
      <c r="N512" s="7"/>
      <c r="O512" s="7"/>
      <c r="P512" s="7"/>
      <c r="Q512" s="7"/>
      <c r="R512" s="7"/>
      <c r="S512" s="7"/>
      <c r="T512" s="7"/>
    </row>
    <row r="513" spans="3:20" x14ac:dyDescent="0.25">
      <c r="C513" s="7"/>
      <c r="D513" s="7"/>
      <c r="E513" s="7" t="s">
        <v>19</v>
      </c>
      <c r="F513" s="7">
        <v>2055</v>
      </c>
      <c r="G513" s="8" t="s">
        <v>20</v>
      </c>
      <c r="H513" s="19" t="s">
        <v>53</v>
      </c>
      <c r="I513" s="7" t="s">
        <v>54</v>
      </c>
      <c r="J513" s="8"/>
      <c r="K513" s="7"/>
      <c r="L513" s="7" t="s">
        <v>26</v>
      </c>
      <c r="M513" s="18">
        <f>M512</f>
        <v>1.6640840000000001E-3</v>
      </c>
      <c r="N513" s="7"/>
      <c r="O513" s="7"/>
      <c r="P513" s="7"/>
      <c r="Q513" s="7"/>
      <c r="R513" s="7"/>
      <c r="S513" s="7"/>
      <c r="T513" s="7"/>
    </row>
    <row r="514" spans="3:20" x14ac:dyDescent="0.25">
      <c r="C514" s="7"/>
      <c r="D514" s="7"/>
      <c r="E514" s="7" t="s">
        <v>19</v>
      </c>
      <c r="F514" s="7">
        <v>2010</v>
      </c>
      <c r="G514" s="8" t="s">
        <v>20</v>
      </c>
      <c r="H514" s="19" t="s">
        <v>53</v>
      </c>
      <c r="I514" s="7" t="s">
        <v>54</v>
      </c>
      <c r="J514" s="8"/>
      <c r="K514" s="7"/>
      <c r="L514" s="7" t="s">
        <v>27</v>
      </c>
      <c r="M514" s="18">
        <f>'Emissions - REF'!$C$49</f>
        <v>1.0860750000000001E-3</v>
      </c>
      <c r="N514" s="7"/>
      <c r="O514" s="7"/>
      <c r="P514" s="7"/>
      <c r="Q514" s="7"/>
      <c r="R514" s="7"/>
      <c r="S514" s="7"/>
      <c r="T514" s="7"/>
    </row>
    <row r="515" spans="3:20" x14ac:dyDescent="0.25">
      <c r="C515" s="7"/>
      <c r="D515" s="7"/>
      <c r="E515" s="7" t="s">
        <v>19</v>
      </c>
      <c r="F515" s="7">
        <v>2015</v>
      </c>
      <c r="G515" s="8" t="s">
        <v>20</v>
      </c>
      <c r="H515" s="19" t="s">
        <v>53</v>
      </c>
      <c r="I515" s="7" t="s">
        <v>54</v>
      </c>
      <c r="J515" s="8"/>
      <c r="K515" s="7"/>
      <c r="L515" s="7" t="s">
        <v>27</v>
      </c>
      <c r="M515" s="18">
        <f>'Emissions - REF'!$D$49</f>
        <v>1.0130639999999999E-3</v>
      </c>
      <c r="N515" s="7"/>
      <c r="O515" s="7"/>
      <c r="P515" s="7"/>
      <c r="Q515" s="7"/>
      <c r="R515" s="7"/>
      <c r="S515" s="7"/>
      <c r="T515" s="7"/>
    </row>
    <row r="516" spans="3:20" x14ac:dyDescent="0.25">
      <c r="C516" s="7"/>
      <c r="D516" s="7"/>
      <c r="E516" s="7" t="s">
        <v>19</v>
      </c>
      <c r="F516" s="7">
        <v>2020</v>
      </c>
      <c r="G516" s="8" t="s">
        <v>20</v>
      </c>
      <c r="H516" s="19" t="s">
        <v>53</v>
      </c>
      <c r="I516" s="7" t="s">
        <v>54</v>
      </c>
      <c r="J516" s="8"/>
      <c r="K516" s="7"/>
      <c r="L516" s="7" t="s">
        <v>27</v>
      </c>
      <c r="M516" s="18">
        <f>'Emissions - REF'!$E$49</f>
        <v>9.4099699999999995E-4</v>
      </c>
      <c r="N516" s="7"/>
      <c r="O516" s="7"/>
      <c r="P516" s="7"/>
      <c r="Q516" s="7"/>
      <c r="R516" s="7"/>
      <c r="S516" s="7"/>
      <c r="T516" s="7"/>
    </row>
    <row r="517" spans="3:20" x14ac:dyDescent="0.25">
      <c r="C517" s="7"/>
      <c r="D517" s="7"/>
      <c r="E517" s="7" t="s">
        <v>19</v>
      </c>
      <c r="F517" s="7">
        <v>2055</v>
      </c>
      <c r="G517" s="8" t="s">
        <v>20</v>
      </c>
      <c r="H517" s="19" t="s">
        <v>53</v>
      </c>
      <c r="I517" s="7" t="s">
        <v>54</v>
      </c>
      <c r="J517" s="8"/>
      <c r="K517" s="7"/>
      <c r="L517" s="7" t="s">
        <v>27</v>
      </c>
      <c r="M517" s="18">
        <f>M516</f>
        <v>9.4099699999999995E-4</v>
      </c>
      <c r="N517" s="7"/>
      <c r="O517" s="7"/>
      <c r="P517" s="7"/>
      <c r="Q517" s="7"/>
      <c r="R517" s="7"/>
      <c r="S517" s="7"/>
      <c r="T517" s="7"/>
    </row>
    <row r="518" spans="3:20" x14ac:dyDescent="0.25">
      <c r="C518" s="7"/>
      <c r="D518" s="7"/>
      <c r="E518" s="7" t="s">
        <v>19</v>
      </c>
      <c r="F518" s="7">
        <v>2010</v>
      </c>
      <c r="G518" s="8" t="s">
        <v>20</v>
      </c>
      <c r="H518" s="19" t="s">
        <v>53</v>
      </c>
      <c r="I518" s="7" t="s">
        <v>54</v>
      </c>
      <c r="J518" s="8"/>
      <c r="K518" s="7"/>
      <c r="L518" s="7" t="s">
        <v>28</v>
      </c>
      <c r="M518" s="18">
        <f>'Emissions - REF'!$C$50</f>
        <v>7.1047430000000002E-3</v>
      </c>
      <c r="N518" s="7"/>
      <c r="O518" s="7"/>
      <c r="P518" s="7"/>
      <c r="Q518" s="7"/>
      <c r="R518" s="7"/>
      <c r="S518" s="7"/>
      <c r="T518" s="7"/>
    </row>
    <row r="519" spans="3:20" x14ac:dyDescent="0.25">
      <c r="C519" s="7"/>
      <c r="D519" s="7"/>
      <c r="E519" s="7" t="s">
        <v>19</v>
      </c>
      <c r="F519" s="7">
        <v>2015</v>
      </c>
      <c r="G519" s="8" t="s">
        <v>20</v>
      </c>
      <c r="H519" s="19" t="s">
        <v>53</v>
      </c>
      <c r="I519" s="7" t="s">
        <v>54</v>
      </c>
      <c r="J519" s="8"/>
      <c r="K519" s="7"/>
      <c r="L519" s="7" t="s">
        <v>28</v>
      </c>
      <c r="M519" s="18">
        <f>'Emissions - REF'!$D$50</f>
        <v>6.1107830000000007E-3</v>
      </c>
      <c r="N519" s="7"/>
      <c r="O519" s="7"/>
      <c r="P519" s="7"/>
      <c r="Q519" s="7"/>
      <c r="R519" s="7"/>
      <c r="S519" s="7"/>
      <c r="T519" s="7"/>
    </row>
    <row r="520" spans="3:20" x14ac:dyDescent="0.25">
      <c r="C520" s="7"/>
      <c r="D520" s="7"/>
      <c r="E520" s="7" t="s">
        <v>19</v>
      </c>
      <c r="F520" s="7">
        <v>2020</v>
      </c>
      <c r="G520" s="8" t="s">
        <v>20</v>
      </c>
      <c r="H520" s="19" t="s">
        <v>53</v>
      </c>
      <c r="I520" s="7" t="s">
        <v>54</v>
      </c>
      <c r="J520" s="8"/>
      <c r="K520" s="7"/>
      <c r="L520" s="7" t="s">
        <v>28</v>
      </c>
      <c r="M520" s="18">
        <f>'Emissions - REF'!$E$50</f>
        <v>5.6848000000000003E-3</v>
      </c>
      <c r="N520" s="7"/>
      <c r="O520" s="7"/>
      <c r="P520" s="7"/>
      <c r="Q520" s="7"/>
      <c r="R520" s="7"/>
      <c r="S520" s="7"/>
      <c r="T520" s="7"/>
    </row>
    <row r="521" spans="3:20" x14ac:dyDescent="0.25">
      <c r="C521" s="7"/>
      <c r="D521" s="7"/>
      <c r="E521" s="7" t="s">
        <v>19</v>
      </c>
      <c r="F521" s="7">
        <v>2055</v>
      </c>
      <c r="G521" s="8" t="s">
        <v>20</v>
      </c>
      <c r="H521" s="19" t="s">
        <v>53</v>
      </c>
      <c r="I521" s="7" t="s">
        <v>54</v>
      </c>
      <c r="J521" s="8"/>
      <c r="K521" s="7"/>
      <c r="L521" s="7" t="s">
        <v>28</v>
      </c>
      <c r="M521" s="18">
        <f>M520</f>
        <v>5.6848000000000003E-3</v>
      </c>
      <c r="N521" s="7"/>
      <c r="O521" s="7"/>
      <c r="P521" s="7"/>
      <c r="Q521" s="7"/>
      <c r="R521" s="7"/>
      <c r="S521" s="7"/>
      <c r="T521" s="7"/>
    </row>
    <row r="522" spans="3:20" x14ac:dyDescent="0.25">
      <c r="C522" s="7"/>
      <c r="D522" s="7"/>
      <c r="E522" s="7" t="s">
        <v>19</v>
      </c>
      <c r="F522" s="7">
        <v>2010</v>
      </c>
      <c r="G522" s="8" t="s">
        <v>20</v>
      </c>
      <c r="H522" s="19" t="s">
        <v>53</v>
      </c>
      <c r="I522" s="7" t="s">
        <v>54</v>
      </c>
      <c r="J522" s="8"/>
      <c r="K522" s="7"/>
      <c r="L522" s="7" t="s">
        <v>29</v>
      </c>
      <c r="M522" s="18">
        <f>'Emissions - REF'!$C$51</f>
        <v>1.8631100000000001E-4</v>
      </c>
      <c r="N522" s="7"/>
      <c r="O522" s="7"/>
      <c r="P522" s="7"/>
      <c r="Q522" s="7"/>
      <c r="R522" s="7"/>
      <c r="S522" s="7"/>
      <c r="T522" s="7"/>
    </row>
    <row r="523" spans="3:20" x14ac:dyDescent="0.25">
      <c r="C523" s="7"/>
      <c r="D523" s="7"/>
      <c r="E523" s="7" t="s">
        <v>19</v>
      </c>
      <c r="F523" s="7">
        <v>2015</v>
      </c>
      <c r="G523" s="8" t="s">
        <v>20</v>
      </c>
      <c r="H523" s="19" t="s">
        <v>53</v>
      </c>
      <c r="I523" s="7" t="s">
        <v>54</v>
      </c>
      <c r="J523" s="8"/>
      <c r="K523" s="7"/>
      <c r="L523" s="7" t="s">
        <v>29</v>
      </c>
      <c r="M523" s="18">
        <f>'Emissions - REF'!$D$51</f>
        <v>1.8631100000000001E-4</v>
      </c>
      <c r="N523" s="7"/>
      <c r="O523" s="7"/>
      <c r="P523" s="7"/>
      <c r="Q523" s="7"/>
      <c r="R523" s="7"/>
      <c r="S523" s="7"/>
      <c r="T523" s="7"/>
    </row>
    <row r="524" spans="3:20" x14ac:dyDescent="0.25">
      <c r="C524" s="7"/>
      <c r="D524" s="7"/>
      <c r="E524" s="7" t="s">
        <v>19</v>
      </c>
      <c r="F524" s="7">
        <v>2020</v>
      </c>
      <c r="G524" s="8" t="s">
        <v>20</v>
      </c>
      <c r="H524" s="19" t="s">
        <v>53</v>
      </c>
      <c r="I524" s="7" t="s">
        <v>54</v>
      </c>
      <c r="J524" s="8"/>
      <c r="K524" s="7"/>
      <c r="L524" s="7" t="s">
        <v>29</v>
      </c>
      <c r="M524" s="18">
        <f>'Emissions - REF'!$E$51</f>
        <v>1.8631100000000001E-4</v>
      </c>
      <c r="N524" s="7"/>
      <c r="O524" s="7"/>
      <c r="P524" s="7"/>
      <c r="Q524" s="7"/>
      <c r="R524" s="7"/>
      <c r="S524" s="7"/>
      <c r="T524" s="7"/>
    </row>
    <row r="525" spans="3:20" x14ac:dyDescent="0.25">
      <c r="C525" s="7"/>
      <c r="D525" s="7"/>
      <c r="E525" s="7" t="s">
        <v>19</v>
      </c>
      <c r="F525" s="7">
        <v>2055</v>
      </c>
      <c r="G525" s="8" t="s">
        <v>20</v>
      </c>
      <c r="H525" s="19" t="s">
        <v>53</v>
      </c>
      <c r="I525" s="7" t="s">
        <v>54</v>
      </c>
      <c r="J525" s="8"/>
      <c r="K525" s="7"/>
      <c r="L525" s="7" t="s">
        <v>29</v>
      </c>
      <c r="M525" s="18">
        <f>M524</f>
        <v>1.8631100000000001E-4</v>
      </c>
      <c r="N525" s="7"/>
      <c r="O525" s="7"/>
      <c r="P525" s="7"/>
      <c r="Q525" s="7"/>
      <c r="R525" s="7"/>
      <c r="S525" s="7"/>
      <c r="T525" s="7"/>
    </row>
    <row r="526" spans="3:20" x14ac:dyDescent="0.25">
      <c r="C526" s="7"/>
      <c r="D526" s="7"/>
      <c r="E526" s="7" t="s">
        <v>19</v>
      </c>
      <c r="F526" s="7">
        <v>2010</v>
      </c>
      <c r="G526" s="8" t="s">
        <v>20</v>
      </c>
      <c r="H526" s="19" t="s">
        <v>53</v>
      </c>
      <c r="I526" s="7" t="s">
        <v>54</v>
      </c>
      <c r="J526" s="8"/>
      <c r="K526" s="7"/>
      <c r="L526" s="7" t="s">
        <v>30</v>
      </c>
      <c r="M526" s="18">
        <f>'Emissions - REF'!$C$52</f>
        <v>9.9822999999999996E-5</v>
      </c>
      <c r="N526" s="7"/>
      <c r="O526" s="7"/>
      <c r="P526" s="7"/>
      <c r="Q526" s="7"/>
      <c r="R526" s="7"/>
      <c r="S526" s="7"/>
      <c r="T526" s="7"/>
    </row>
    <row r="527" spans="3:20" x14ac:dyDescent="0.25">
      <c r="C527" s="7"/>
      <c r="D527" s="7"/>
      <c r="E527" s="7" t="s">
        <v>19</v>
      </c>
      <c r="F527" s="7">
        <v>2015</v>
      </c>
      <c r="G527" s="8" t="s">
        <v>20</v>
      </c>
      <c r="H527" s="19" t="s">
        <v>53</v>
      </c>
      <c r="I527" s="7" t="s">
        <v>54</v>
      </c>
      <c r="J527" s="8"/>
      <c r="K527" s="7"/>
      <c r="L527" s="7" t="s">
        <v>30</v>
      </c>
      <c r="M527" s="18">
        <f>'Emissions - REF'!$D$52</f>
        <v>9.9822999999999996E-5</v>
      </c>
      <c r="N527" s="7"/>
      <c r="O527" s="7"/>
      <c r="P527" s="7"/>
      <c r="Q527" s="7"/>
      <c r="R527" s="7"/>
      <c r="S527" s="7"/>
      <c r="T527" s="7"/>
    </row>
    <row r="528" spans="3:20" x14ac:dyDescent="0.25">
      <c r="C528" s="7"/>
      <c r="D528" s="7"/>
      <c r="E528" s="7" t="s">
        <v>19</v>
      </c>
      <c r="F528" s="7">
        <v>2020</v>
      </c>
      <c r="G528" s="8" t="s">
        <v>20</v>
      </c>
      <c r="H528" s="19" t="s">
        <v>53</v>
      </c>
      <c r="I528" s="7" t="s">
        <v>54</v>
      </c>
      <c r="J528" s="8"/>
      <c r="K528" s="7"/>
      <c r="L528" s="7" t="s">
        <v>30</v>
      </c>
      <c r="M528" s="18">
        <f>'Emissions - REF'!$E$52</f>
        <v>9.9822999999999996E-5</v>
      </c>
      <c r="N528" s="7"/>
      <c r="O528" s="7"/>
      <c r="P528" s="7"/>
      <c r="Q528" s="7"/>
      <c r="R528" s="7"/>
      <c r="S528" s="7"/>
      <c r="T528" s="7"/>
    </row>
    <row r="529" spans="3:20" x14ac:dyDescent="0.25">
      <c r="C529" s="7"/>
      <c r="D529" s="7"/>
      <c r="E529" s="7" t="s">
        <v>19</v>
      </c>
      <c r="F529" s="7">
        <v>2055</v>
      </c>
      <c r="G529" s="8" t="s">
        <v>20</v>
      </c>
      <c r="H529" s="19" t="s">
        <v>53</v>
      </c>
      <c r="I529" s="7" t="s">
        <v>54</v>
      </c>
      <c r="J529" s="8"/>
      <c r="K529" s="7"/>
      <c r="L529" s="7" t="s">
        <v>30</v>
      </c>
      <c r="M529" s="18">
        <f>M528</f>
        <v>9.9822999999999996E-5</v>
      </c>
      <c r="N529" s="7"/>
      <c r="O529" s="7"/>
      <c r="P529" s="7"/>
      <c r="Q529" s="7"/>
      <c r="R529" s="7"/>
      <c r="S529" s="7"/>
      <c r="T529" s="7"/>
    </row>
    <row r="530" spans="3:20" x14ac:dyDescent="0.25">
      <c r="C530" s="7"/>
      <c r="D530" s="7"/>
      <c r="E530" s="7" t="s">
        <v>19</v>
      </c>
      <c r="F530" s="7">
        <v>2010</v>
      </c>
      <c r="G530" s="8" t="s">
        <v>20</v>
      </c>
      <c r="H530" s="19" t="s">
        <v>53</v>
      </c>
      <c r="I530" s="7" t="s">
        <v>54</v>
      </c>
      <c r="J530" s="8"/>
      <c r="K530" s="7"/>
      <c r="L530" s="7" t="s">
        <v>31</v>
      </c>
      <c r="M530" s="7">
        <v>1E-4</v>
      </c>
      <c r="N530" s="7"/>
      <c r="O530" s="7"/>
      <c r="P530" s="7"/>
      <c r="Q530" s="7"/>
      <c r="R530" s="7"/>
      <c r="S530" s="7"/>
      <c r="T530" s="7"/>
    </row>
    <row r="531" spans="3:20" x14ac:dyDescent="0.25">
      <c r="C531" s="7"/>
      <c r="D531" s="7"/>
      <c r="E531" s="7" t="s">
        <v>19</v>
      </c>
      <c r="F531" s="7">
        <v>2015</v>
      </c>
      <c r="G531" s="8" t="s">
        <v>20</v>
      </c>
      <c r="H531" s="19" t="s">
        <v>53</v>
      </c>
      <c r="I531" s="7" t="s">
        <v>54</v>
      </c>
      <c r="J531" s="8"/>
      <c r="K531" s="7"/>
      <c r="L531" s="7" t="s">
        <v>31</v>
      </c>
      <c r="M531" s="7">
        <f>M530</f>
        <v>1E-4</v>
      </c>
      <c r="N531" s="7"/>
      <c r="O531" s="7"/>
      <c r="P531" s="7"/>
      <c r="Q531" s="7"/>
      <c r="R531" s="7"/>
      <c r="S531" s="7"/>
      <c r="T531" s="7"/>
    </row>
    <row r="532" spans="3:20" x14ac:dyDescent="0.25">
      <c r="C532" s="7"/>
      <c r="D532" s="7"/>
      <c r="E532" s="7" t="s">
        <v>19</v>
      </c>
      <c r="F532" s="7">
        <v>2020</v>
      </c>
      <c r="G532" s="8" t="s">
        <v>20</v>
      </c>
      <c r="H532" s="19" t="s">
        <v>53</v>
      </c>
      <c r="I532" s="7" t="s">
        <v>54</v>
      </c>
      <c r="J532" s="8"/>
      <c r="K532" s="7"/>
      <c r="L532" s="7" t="s">
        <v>31</v>
      </c>
      <c r="M532" s="7">
        <f t="shared" ref="M532:M533" si="153">M531</f>
        <v>1E-4</v>
      </c>
      <c r="N532" s="7"/>
      <c r="O532" s="7"/>
      <c r="P532" s="7"/>
      <c r="Q532" s="7"/>
      <c r="R532" s="7"/>
      <c r="S532" s="7"/>
      <c r="T532" s="7"/>
    </row>
    <row r="533" spans="3:20" x14ac:dyDescent="0.25">
      <c r="C533" s="7"/>
      <c r="D533" s="7"/>
      <c r="E533" s="7" t="s">
        <v>19</v>
      </c>
      <c r="F533" s="7">
        <v>2055</v>
      </c>
      <c r="G533" s="8" t="s">
        <v>20</v>
      </c>
      <c r="H533" s="19" t="s">
        <v>53</v>
      </c>
      <c r="I533" s="7" t="s">
        <v>54</v>
      </c>
      <c r="J533" s="8"/>
      <c r="K533" s="7"/>
      <c r="L533" s="7" t="s">
        <v>31</v>
      </c>
      <c r="M533" s="7">
        <f t="shared" si="153"/>
        <v>1E-4</v>
      </c>
      <c r="N533" s="7"/>
      <c r="O533" s="7"/>
      <c r="P533" s="7"/>
      <c r="Q533" s="7"/>
      <c r="R533" s="7"/>
      <c r="S533" s="7"/>
      <c r="T533" s="7"/>
    </row>
    <row r="534" spans="3:20" x14ac:dyDescent="0.25">
      <c r="C534" s="7"/>
      <c r="D534" s="7"/>
      <c r="E534" s="7" t="s">
        <v>19</v>
      </c>
      <c r="F534" s="7">
        <v>2010</v>
      </c>
      <c r="G534" s="8" t="s">
        <v>20</v>
      </c>
      <c r="H534" s="19" t="s">
        <v>53</v>
      </c>
      <c r="I534" s="7" t="s">
        <v>54</v>
      </c>
      <c r="J534" s="8"/>
      <c r="K534" s="7"/>
      <c r="L534" s="7" t="s">
        <v>32</v>
      </c>
      <c r="M534" s="7">
        <v>2.0000000000000001E-4</v>
      </c>
      <c r="N534" s="7"/>
      <c r="O534" s="7"/>
      <c r="P534" s="7"/>
      <c r="Q534" s="7"/>
      <c r="R534" s="7"/>
      <c r="S534" s="7"/>
      <c r="T534" s="7"/>
    </row>
    <row r="535" spans="3:20" x14ac:dyDescent="0.25">
      <c r="C535" s="7"/>
      <c r="D535" s="7"/>
      <c r="E535" s="7" t="s">
        <v>19</v>
      </c>
      <c r="F535" s="7">
        <v>2015</v>
      </c>
      <c r="G535" s="8" t="s">
        <v>20</v>
      </c>
      <c r="H535" s="19" t="s">
        <v>53</v>
      </c>
      <c r="I535" s="7" t="s">
        <v>54</v>
      </c>
      <c r="J535" s="8"/>
      <c r="K535" s="7"/>
      <c r="L535" s="7" t="s">
        <v>32</v>
      </c>
      <c r="M535" s="7">
        <f>M534</f>
        <v>2.0000000000000001E-4</v>
      </c>
      <c r="N535" s="7"/>
      <c r="O535" s="7"/>
      <c r="P535" s="7"/>
      <c r="Q535" s="7"/>
      <c r="R535" s="7"/>
      <c r="S535" s="7"/>
      <c r="T535" s="7"/>
    </row>
    <row r="536" spans="3:20" x14ac:dyDescent="0.25">
      <c r="C536" s="7"/>
      <c r="D536" s="7"/>
      <c r="E536" s="7" t="s">
        <v>19</v>
      </c>
      <c r="F536" s="7">
        <v>2020</v>
      </c>
      <c r="G536" s="8" t="s">
        <v>20</v>
      </c>
      <c r="H536" s="19" t="s">
        <v>53</v>
      </c>
      <c r="I536" s="7" t="s">
        <v>54</v>
      </c>
      <c r="J536" s="8"/>
      <c r="K536" s="7"/>
      <c r="L536" s="7" t="s">
        <v>32</v>
      </c>
      <c r="M536" s="7">
        <f t="shared" ref="M536:M537" si="154">M535</f>
        <v>2.0000000000000001E-4</v>
      </c>
      <c r="N536" s="7"/>
      <c r="O536" s="7"/>
      <c r="P536" s="7"/>
      <c r="Q536" s="7"/>
      <c r="R536" s="7"/>
      <c r="S536" s="7"/>
      <c r="T536" s="7"/>
    </row>
    <row r="537" spans="3:20" x14ac:dyDescent="0.25">
      <c r="C537" s="7"/>
      <c r="D537" s="7"/>
      <c r="E537" s="7" t="s">
        <v>19</v>
      </c>
      <c r="F537" s="7">
        <v>2055</v>
      </c>
      <c r="G537" s="8" t="s">
        <v>20</v>
      </c>
      <c r="H537" s="19" t="s">
        <v>53</v>
      </c>
      <c r="I537" s="7" t="s">
        <v>54</v>
      </c>
      <c r="J537" s="8"/>
      <c r="K537" s="7"/>
      <c r="L537" s="7" t="s">
        <v>32</v>
      </c>
      <c r="M537" s="7">
        <f t="shared" si="154"/>
        <v>2.0000000000000001E-4</v>
      </c>
      <c r="N537" s="7"/>
      <c r="O537" s="7"/>
      <c r="P537" s="7"/>
      <c r="Q537" s="7"/>
      <c r="R537" s="7"/>
      <c r="S537" s="7"/>
      <c r="T537" s="7"/>
    </row>
    <row r="538" spans="3:20" x14ac:dyDescent="0.25">
      <c r="C538" s="7"/>
      <c r="D538" s="7"/>
      <c r="E538" s="7" t="s">
        <v>19</v>
      </c>
      <c r="F538" s="7">
        <v>2010</v>
      </c>
      <c r="G538" s="8" t="s">
        <v>20</v>
      </c>
      <c r="H538" s="19" t="s">
        <v>53</v>
      </c>
      <c r="I538" s="7" t="s">
        <v>54</v>
      </c>
      <c r="J538" s="8"/>
      <c r="K538" s="7"/>
      <c r="L538" s="7" t="s">
        <v>46</v>
      </c>
      <c r="M538" s="18">
        <f>M506</f>
        <v>8.1445739999999999E-3</v>
      </c>
      <c r="N538" s="7"/>
      <c r="O538" s="7"/>
      <c r="P538" s="7"/>
      <c r="Q538" s="7"/>
      <c r="R538" s="7"/>
      <c r="S538" s="7"/>
      <c r="T538" s="7"/>
    </row>
    <row r="539" spans="3:20" x14ac:dyDescent="0.25">
      <c r="C539" s="7"/>
      <c r="D539" s="7"/>
      <c r="E539" s="7" t="s">
        <v>19</v>
      </c>
      <c r="F539" s="7">
        <v>2015</v>
      </c>
      <c r="G539" s="8" t="s">
        <v>20</v>
      </c>
      <c r="H539" s="19" t="s">
        <v>53</v>
      </c>
      <c r="I539" s="7" t="s">
        <v>54</v>
      </c>
      <c r="J539" s="8"/>
      <c r="K539" s="7"/>
      <c r="L539" s="7" t="s">
        <v>46</v>
      </c>
      <c r="M539" s="18">
        <f t="shared" ref="M539:M541" si="155">M507</f>
        <v>7.2285450000000003E-3</v>
      </c>
      <c r="N539" s="7"/>
      <c r="O539" s="7"/>
      <c r="P539" s="7"/>
      <c r="Q539" s="7"/>
      <c r="R539" s="7"/>
      <c r="S539" s="7"/>
      <c r="T539" s="7"/>
    </row>
    <row r="540" spans="3:20" x14ac:dyDescent="0.25">
      <c r="C540" s="7"/>
      <c r="D540" s="7"/>
      <c r="E540" s="7" t="s">
        <v>19</v>
      </c>
      <c r="F540" s="7">
        <v>2020</v>
      </c>
      <c r="G540" s="8" t="s">
        <v>20</v>
      </c>
      <c r="H540" s="19" t="s">
        <v>53</v>
      </c>
      <c r="I540" s="7" t="s">
        <v>54</v>
      </c>
      <c r="J540" s="8"/>
      <c r="K540" s="7"/>
      <c r="L540" s="7" t="s">
        <v>46</v>
      </c>
      <c r="M540" s="18">
        <f t="shared" si="155"/>
        <v>6.8384420000000001E-3</v>
      </c>
      <c r="N540" s="7"/>
      <c r="O540" s="7"/>
      <c r="P540" s="7"/>
      <c r="Q540" s="7"/>
      <c r="R540" s="7"/>
      <c r="S540" s="7"/>
      <c r="T540" s="7"/>
    </row>
    <row r="541" spans="3:20" x14ac:dyDescent="0.25">
      <c r="C541" s="7"/>
      <c r="D541" s="7"/>
      <c r="E541" s="7" t="s">
        <v>19</v>
      </c>
      <c r="F541" s="7">
        <v>2055</v>
      </c>
      <c r="G541" s="8" t="s">
        <v>20</v>
      </c>
      <c r="H541" s="19" t="s">
        <v>53</v>
      </c>
      <c r="I541" s="7" t="s">
        <v>54</v>
      </c>
      <c r="J541" s="8"/>
      <c r="K541" s="7"/>
      <c r="L541" s="7" t="s">
        <v>46</v>
      </c>
      <c r="M541" s="18">
        <f t="shared" si="155"/>
        <v>6.8384420000000001E-3</v>
      </c>
      <c r="N541" s="7"/>
      <c r="O541" s="7"/>
      <c r="P541" s="7"/>
      <c r="Q541" s="7"/>
      <c r="R541" s="7"/>
      <c r="S541" s="7"/>
      <c r="T541" s="7"/>
    </row>
    <row r="542" spans="3:20" x14ac:dyDescent="0.25">
      <c r="C542" s="7"/>
      <c r="D542" s="7"/>
      <c r="E542" s="7" t="s">
        <v>19</v>
      </c>
      <c r="F542" s="7">
        <v>2010</v>
      </c>
      <c r="G542" s="8" t="s">
        <v>20</v>
      </c>
      <c r="H542" s="19" t="s">
        <v>53</v>
      </c>
      <c r="I542" s="7" t="s">
        <v>54</v>
      </c>
      <c r="J542" s="8"/>
      <c r="K542" s="7"/>
      <c r="L542" s="7" t="s">
        <v>47</v>
      </c>
      <c r="M542" s="18">
        <f>M518</f>
        <v>7.1047430000000002E-3</v>
      </c>
      <c r="N542" s="7"/>
      <c r="O542" s="7"/>
      <c r="P542" s="7"/>
      <c r="Q542" s="7"/>
      <c r="R542" s="7"/>
      <c r="S542" s="7"/>
      <c r="T542" s="7"/>
    </row>
    <row r="543" spans="3:20" x14ac:dyDescent="0.25">
      <c r="C543" s="7"/>
      <c r="D543" s="7"/>
      <c r="E543" s="7" t="s">
        <v>19</v>
      </c>
      <c r="F543" s="7">
        <v>2015</v>
      </c>
      <c r="G543" s="8" t="s">
        <v>20</v>
      </c>
      <c r="H543" s="19" t="s">
        <v>53</v>
      </c>
      <c r="I543" s="7" t="s">
        <v>54</v>
      </c>
      <c r="J543" s="8"/>
      <c r="K543" s="7"/>
      <c r="L543" s="7" t="s">
        <v>47</v>
      </c>
      <c r="M543" s="18">
        <f t="shared" ref="M543:M545" si="156">M519</f>
        <v>6.1107830000000007E-3</v>
      </c>
      <c r="N543" s="7"/>
      <c r="O543" s="7"/>
      <c r="P543" s="7"/>
      <c r="Q543" s="7"/>
      <c r="R543" s="7"/>
      <c r="S543" s="7"/>
      <c r="T543" s="7"/>
    </row>
    <row r="544" spans="3:20" x14ac:dyDescent="0.25">
      <c r="C544" s="7"/>
      <c r="D544" s="7"/>
      <c r="E544" s="7" t="s">
        <v>19</v>
      </c>
      <c r="F544" s="7">
        <v>2020</v>
      </c>
      <c r="G544" s="8" t="s">
        <v>20</v>
      </c>
      <c r="H544" s="19" t="s">
        <v>53</v>
      </c>
      <c r="I544" s="7" t="s">
        <v>54</v>
      </c>
      <c r="J544" s="8"/>
      <c r="K544" s="7"/>
      <c r="L544" s="7" t="s">
        <v>47</v>
      </c>
      <c r="M544" s="18">
        <f t="shared" si="156"/>
        <v>5.6848000000000003E-3</v>
      </c>
      <c r="N544" s="7"/>
      <c r="O544" s="7"/>
      <c r="P544" s="7"/>
      <c r="Q544" s="7"/>
      <c r="R544" s="7"/>
      <c r="S544" s="7"/>
      <c r="T544" s="7"/>
    </row>
    <row r="545" spans="3:20" x14ac:dyDescent="0.25">
      <c r="C545" s="7"/>
      <c r="D545" s="7"/>
      <c r="E545" s="7" t="s">
        <v>19</v>
      </c>
      <c r="F545" s="7">
        <v>2055</v>
      </c>
      <c r="G545" s="8" t="s">
        <v>20</v>
      </c>
      <c r="H545" s="19" t="s">
        <v>53</v>
      </c>
      <c r="I545" s="7" t="s">
        <v>54</v>
      </c>
      <c r="J545" s="8"/>
      <c r="K545" s="7"/>
      <c r="L545" s="7" t="s">
        <v>47</v>
      </c>
      <c r="M545" s="18">
        <f t="shared" si="156"/>
        <v>5.6848000000000003E-3</v>
      </c>
      <c r="N545" s="7"/>
      <c r="O545" s="7"/>
      <c r="P545" s="7"/>
      <c r="Q545" s="7"/>
      <c r="R545" s="7"/>
      <c r="S545" s="7"/>
      <c r="T545" s="7"/>
    </row>
    <row r="546" spans="3:20" x14ac:dyDescent="0.25">
      <c r="C546" s="7"/>
      <c r="D546" s="7"/>
      <c r="E546" s="7" t="s">
        <v>19</v>
      </c>
      <c r="F546" s="7">
        <v>2010</v>
      </c>
      <c r="G546" s="8" t="s">
        <v>20</v>
      </c>
      <c r="H546" s="19" t="s">
        <v>53</v>
      </c>
      <c r="I546" s="7" t="s">
        <v>54</v>
      </c>
      <c r="J546" s="8"/>
      <c r="K546" s="7"/>
      <c r="L546" s="7" t="s">
        <v>48</v>
      </c>
      <c r="M546" s="18">
        <f>M510</f>
        <v>1.9528169999999999E-3</v>
      </c>
      <c r="N546" s="7"/>
      <c r="O546" s="7"/>
      <c r="P546" s="7"/>
      <c r="Q546" s="7"/>
      <c r="R546" s="7"/>
      <c r="S546" s="7"/>
      <c r="T546" s="7"/>
    </row>
    <row r="547" spans="3:20" x14ac:dyDescent="0.25">
      <c r="C547" s="7"/>
      <c r="D547" s="7"/>
      <c r="E547" s="7" t="s">
        <v>19</v>
      </c>
      <c r="F547" s="7">
        <v>2015</v>
      </c>
      <c r="G547" s="8" t="s">
        <v>20</v>
      </c>
      <c r="H547" s="19" t="s">
        <v>53</v>
      </c>
      <c r="I547" s="7" t="s">
        <v>54</v>
      </c>
      <c r="J547" s="8"/>
      <c r="K547" s="7"/>
      <c r="L547" s="7" t="s">
        <v>48</v>
      </c>
      <c r="M547" s="18">
        <f t="shared" ref="M547:M549" si="157">M511</f>
        <v>1.7367280000000001E-3</v>
      </c>
      <c r="N547" s="7"/>
      <c r="O547" s="7"/>
      <c r="P547" s="7"/>
      <c r="Q547" s="7"/>
      <c r="R547" s="7"/>
      <c r="S547" s="7"/>
      <c r="T547" s="7"/>
    </row>
    <row r="548" spans="3:20" x14ac:dyDescent="0.25">
      <c r="C548" s="7"/>
      <c r="D548" s="7"/>
      <c r="E548" s="7" t="s">
        <v>19</v>
      </c>
      <c r="F548" s="7">
        <v>2020</v>
      </c>
      <c r="G548" s="8" t="s">
        <v>20</v>
      </c>
      <c r="H548" s="19" t="s">
        <v>53</v>
      </c>
      <c r="I548" s="7" t="s">
        <v>54</v>
      </c>
      <c r="J548" s="8"/>
      <c r="K548" s="7"/>
      <c r="L548" s="7" t="s">
        <v>48</v>
      </c>
      <c r="M548" s="18">
        <f t="shared" si="157"/>
        <v>1.6640840000000001E-3</v>
      </c>
      <c r="N548" s="7"/>
      <c r="O548" s="7"/>
      <c r="P548" s="7"/>
      <c r="Q548" s="7"/>
      <c r="R548" s="7"/>
      <c r="S548" s="7"/>
      <c r="T548" s="7"/>
    </row>
    <row r="549" spans="3:20" x14ac:dyDescent="0.25">
      <c r="C549" s="7"/>
      <c r="D549" s="7"/>
      <c r="E549" s="7" t="s">
        <v>19</v>
      </c>
      <c r="F549" s="7">
        <v>2055</v>
      </c>
      <c r="G549" s="8" t="s">
        <v>20</v>
      </c>
      <c r="H549" s="19" t="s">
        <v>53</v>
      </c>
      <c r="I549" s="7" t="s">
        <v>54</v>
      </c>
      <c r="J549" s="8"/>
      <c r="K549" s="7"/>
      <c r="L549" s="7" t="s">
        <v>48</v>
      </c>
      <c r="M549" s="18">
        <f t="shared" si="157"/>
        <v>1.6640840000000001E-3</v>
      </c>
      <c r="N549" s="7"/>
      <c r="O549" s="7"/>
      <c r="P549" s="7"/>
      <c r="Q549" s="7"/>
      <c r="R549" s="7"/>
      <c r="S549" s="7"/>
      <c r="T549" s="7"/>
    </row>
    <row r="550" spans="3:20" x14ac:dyDescent="0.25">
      <c r="C550" s="7"/>
      <c r="D550" s="7"/>
      <c r="E550" s="7" t="s">
        <v>19</v>
      </c>
      <c r="F550" s="7">
        <v>2010</v>
      </c>
      <c r="G550" s="8" t="s">
        <v>20</v>
      </c>
      <c r="H550" s="19" t="s">
        <v>53</v>
      </c>
      <c r="I550" s="7" t="s">
        <v>54</v>
      </c>
      <c r="J550" s="8"/>
      <c r="K550" s="7"/>
      <c r="L550" s="7" t="s">
        <v>49</v>
      </c>
      <c r="M550" s="7">
        <f>'Emissions - REF'!$C$53</f>
        <v>6.1238892740000006</v>
      </c>
      <c r="N550" s="7"/>
      <c r="O550" s="7"/>
      <c r="P550" s="7"/>
      <c r="Q550" s="7"/>
      <c r="R550" s="7"/>
      <c r="S550" s="7"/>
      <c r="T550" s="7"/>
    </row>
    <row r="551" spans="3:20" x14ac:dyDescent="0.25">
      <c r="C551" s="7"/>
      <c r="D551" s="7"/>
      <c r="E551" s="7" t="s">
        <v>19</v>
      </c>
      <c r="F551" s="7">
        <v>2015</v>
      </c>
      <c r="G551" s="8" t="s">
        <v>20</v>
      </c>
      <c r="H551" s="19" t="s">
        <v>53</v>
      </c>
      <c r="I551" s="7" t="s">
        <v>54</v>
      </c>
      <c r="J551" s="8"/>
      <c r="K551" s="7"/>
      <c r="L551" s="7" t="s">
        <v>49</v>
      </c>
      <c r="M551" s="7">
        <f>'Emissions - REF'!$D$53</f>
        <v>6.1238892740000006</v>
      </c>
      <c r="N551" s="7"/>
      <c r="O551" s="7"/>
      <c r="P551" s="7"/>
      <c r="Q551" s="7"/>
      <c r="R551" s="7"/>
      <c r="S551" s="7"/>
      <c r="T551" s="7"/>
    </row>
    <row r="552" spans="3:20" x14ac:dyDescent="0.25">
      <c r="C552" s="7"/>
      <c r="D552" s="7"/>
      <c r="E552" s="7" t="s">
        <v>19</v>
      </c>
      <c r="F552" s="7">
        <v>2020</v>
      </c>
      <c r="G552" s="8" t="s">
        <v>20</v>
      </c>
      <c r="H552" s="19" t="s">
        <v>53</v>
      </c>
      <c r="I552" s="7" t="s">
        <v>54</v>
      </c>
      <c r="J552" s="8"/>
      <c r="K552" s="7"/>
      <c r="L552" s="7" t="s">
        <v>49</v>
      </c>
      <c r="M552" s="7">
        <f>'Emissions - REF'!$E$53</f>
        <v>6.1238892740000006</v>
      </c>
      <c r="N552" s="7"/>
      <c r="O552" s="7"/>
      <c r="P552" s="7"/>
      <c r="Q552" s="7"/>
      <c r="R552" s="7"/>
      <c r="S552" s="7"/>
      <c r="T552" s="7"/>
    </row>
    <row r="553" spans="3:20" x14ac:dyDescent="0.25">
      <c r="C553" s="7"/>
      <c r="D553" s="7"/>
      <c r="E553" s="7" t="s">
        <v>19</v>
      </c>
      <c r="F553" s="7">
        <v>2055</v>
      </c>
      <c r="G553" s="8" t="s">
        <v>20</v>
      </c>
      <c r="H553" s="19" t="s">
        <v>53</v>
      </c>
      <c r="I553" s="7" t="s">
        <v>54</v>
      </c>
      <c r="J553" s="8"/>
      <c r="K553" s="7"/>
      <c r="L553" s="7" t="s">
        <v>49</v>
      </c>
      <c r="M553" s="7">
        <f>M552</f>
        <v>6.1238892740000006</v>
      </c>
      <c r="N553" s="7"/>
      <c r="O553" s="7"/>
      <c r="P553" s="7"/>
      <c r="Q553" s="7"/>
      <c r="R553" s="7"/>
      <c r="S553" s="7"/>
      <c r="T553" s="7"/>
    </row>
    <row r="554" spans="3:20" x14ac:dyDescent="0.25">
      <c r="C554" s="7"/>
      <c r="D554" s="7"/>
      <c r="E554" s="7" t="s">
        <v>19</v>
      </c>
      <c r="F554" s="7">
        <v>2010</v>
      </c>
      <c r="G554" s="8" t="s">
        <v>20</v>
      </c>
      <c r="H554" s="19" t="s">
        <v>53</v>
      </c>
      <c r="I554" s="7" t="s">
        <v>54</v>
      </c>
      <c r="J554" s="8"/>
      <c r="K554" s="7"/>
      <c r="L554" s="7" t="s">
        <v>50</v>
      </c>
      <c r="M554" s="18">
        <f>M538</f>
        <v>8.1445739999999999E-3</v>
      </c>
      <c r="N554" s="7"/>
      <c r="O554" s="7"/>
      <c r="P554" s="7"/>
      <c r="Q554" s="7"/>
      <c r="R554" s="7"/>
      <c r="S554" s="7"/>
      <c r="T554" s="7"/>
    </row>
    <row r="555" spans="3:20" x14ac:dyDescent="0.25">
      <c r="C555" s="7"/>
      <c r="D555" s="7"/>
      <c r="E555" s="7" t="s">
        <v>19</v>
      </c>
      <c r="F555" s="7">
        <v>2015</v>
      </c>
      <c r="G555" s="8" t="s">
        <v>20</v>
      </c>
      <c r="H555" s="19" t="s">
        <v>53</v>
      </c>
      <c r="I555" s="7" t="s">
        <v>54</v>
      </c>
      <c r="J555" s="8"/>
      <c r="K555" s="7"/>
      <c r="L555" s="7" t="s">
        <v>50</v>
      </c>
      <c r="M555" s="18">
        <f t="shared" ref="M555:M557" si="158">M539</f>
        <v>7.2285450000000003E-3</v>
      </c>
      <c r="N555" s="7"/>
      <c r="O555" s="7"/>
      <c r="P555" s="7"/>
      <c r="Q555" s="7"/>
      <c r="R555" s="7"/>
      <c r="S555" s="7"/>
      <c r="T555" s="7"/>
    </row>
    <row r="556" spans="3:20" x14ac:dyDescent="0.25">
      <c r="C556" s="7"/>
      <c r="D556" s="7"/>
      <c r="E556" s="7" t="s">
        <v>19</v>
      </c>
      <c r="F556" s="7">
        <v>2020</v>
      </c>
      <c r="G556" s="8" t="s">
        <v>20</v>
      </c>
      <c r="H556" s="19" t="s">
        <v>53</v>
      </c>
      <c r="I556" s="7" t="s">
        <v>54</v>
      </c>
      <c r="J556" s="8"/>
      <c r="K556" s="7"/>
      <c r="L556" s="7" t="s">
        <v>50</v>
      </c>
      <c r="M556" s="18">
        <f t="shared" si="158"/>
        <v>6.8384420000000001E-3</v>
      </c>
      <c r="N556" s="7"/>
      <c r="O556" s="7"/>
      <c r="P556" s="7"/>
      <c r="Q556" s="7"/>
      <c r="R556" s="7"/>
      <c r="S556" s="7"/>
      <c r="T556" s="7"/>
    </row>
    <row r="557" spans="3:20" x14ac:dyDescent="0.25">
      <c r="C557" s="7"/>
      <c r="D557" s="7"/>
      <c r="E557" s="7" t="s">
        <v>19</v>
      </c>
      <c r="F557" s="7">
        <v>2055</v>
      </c>
      <c r="G557" s="8" t="s">
        <v>20</v>
      </c>
      <c r="H557" s="19" t="s">
        <v>53</v>
      </c>
      <c r="I557" s="7" t="s">
        <v>54</v>
      </c>
      <c r="J557" s="8"/>
      <c r="K557" s="7"/>
      <c r="L557" s="7" t="s">
        <v>50</v>
      </c>
      <c r="M557" s="18">
        <f t="shared" si="158"/>
        <v>6.8384420000000001E-3</v>
      </c>
      <c r="N557" s="7"/>
      <c r="O557" s="7"/>
      <c r="P557" s="7"/>
      <c r="Q557" s="7"/>
      <c r="R557" s="7"/>
      <c r="S557" s="7"/>
      <c r="T557" s="7"/>
    </row>
    <row r="558" spans="3:20" x14ac:dyDescent="0.25">
      <c r="C558" s="15" t="s">
        <v>33</v>
      </c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spans="3:20" x14ac:dyDescent="0.25">
      <c r="C559" s="7"/>
      <c r="D559" s="7"/>
      <c r="E559" s="7" t="s">
        <v>19</v>
      </c>
      <c r="F559" s="7">
        <v>2010</v>
      </c>
      <c r="G559" s="8" t="s">
        <v>20</v>
      </c>
      <c r="H559" s="19" t="s">
        <v>55</v>
      </c>
      <c r="I559" s="7" t="s">
        <v>56</v>
      </c>
      <c r="J559" s="8"/>
      <c r="K559" s="7"/>
      <c r="L559" s="7" t="s">
        <v>22</v>
      </c>
      <c r="M559" s="18">
        <f>M615/1000</f>
        <v>2.2722135510000003E-3</v>
      </c>
      <c r="N559" s="7"/>
      <c r="O559" s="7"/>
      <c r="P559" s="7"/>
      <c r="Q559" s="7"/>
      <c r="R559" s="7"/>
      <c r="S559" s="7"/>
      <c r="T559" s="7"/>
    </row>
    <row r="560" spans="3:20" x14ac:dyDescent="0.25">
      <c r="C560" s="7"/>
      <c r="D560" s="7"/>
      <c r="E560" s="7" t="s">
        <v>19</v>
      </c>
      <c r="F560" s="7">
        <v>2015</v>
      </c>
      <c r="G560" s="8" t="s">
        <v>20</v>
      </c>
      <c r="H560" s="19" t="s">
        <v>55</v>
      </c>
      <c r="I560" s="7" t="s">
        <v>56</v>
      </c>
      <c r="J560" s="8"/>
      <c r="K560" s="7"/>
      <c r="L560" s="7" t="s">
        <v>22</v>
      </c>
      <c r="M560" s="18">
        <f t="shared" ref="M560:M562" si="159">M616/1000</f>
        <v>2.2722135510000003E-3</v>
      </c>
      <c r="N560" s="7"/>
      <c r="O560" s="7"/>
      <c r="P560" s="7"/>
      <c r="Q560" s="7"/>
      <c r="R560" s="7"/>
      <c r="S560" s="7"/>
      <c r="T560" s="7"/>
    </row>
    <row r="561" spans="3:20" x14ac:dyDescent="0.25">
      <c r="C561" s="7"/>
      <c r="D561" s="7"/>
      <c r="E561" s="7" t="s">
        <v>19</v>
      </c>
      <c r="F561" s="7">
        <v>2020</v>
      </c>
      <c r="G561" s="8" t="s">
        <v>20</v>
      </c>
      <c r="H561" s="19" t="s">
        <v>55</v>
      </c>
      <c r="I561" s="7" t="s">
        <v>56</v>
      </c>
      <c r="J561" s="8"/>
      <c r="K561" s="7"/>
      <c r="L561" s="7" t="s">
        <v>22</v>
      </c>
      <c r="M561" s="18">
        <f t="shared" si="159"/>
        <v>2.2722135510000003E-3</v>
      </c>
      <c r="N561" s="7"/>
      <c r="O561" s="7"/>
      <c r="P561" s="7"/>
      <c r="Q561" s="7"/>
      <c r="R561" s="7"/>
      <c r="S561" s="7"/>
      <c r="T561" s="7"/>
    </row>
    <row r="562" spans="3:20" x14ac:dyDescent="0.25">
      <c r="C562" s="7"/>
      <c r="D562" s="7"/>
      <c r="E562" s="7" t="s">
        <v>19</v>
      </c>
      <c r="F562" s="7">
        <v>2055</v>
      </c>
      <c r="G562" s="8" t="s">
        <v>20</v>
      </c>
      <c r="H562" s="19" t="s">
        <v>55</v>
      </c>
      <c r="I562" s="7" t="s">
        <v>56</v>
      </c>
      <c r="J562" s="8"/>
      <c r="K562" s="7"/>
      <c r="L562" s="7" t="s">
        <v>22</v>
      </c>
      <c r="M562" s="18">
        <f t="shared" si="159"/>
        <v>2.2722135510000003E-3</v>
      </c>
      <c r="N562" s="7"/>
      <c r="O562" s="7"/>
      <c r="P562" s="7"/>
      <c r="Q562" s="7"/>
      <c r="R562" s="7"/>
      <c r="S562" s="7"/>
      <c r="T562" s="7"/>
    </row>
    <row r="563" spans="3:20" x14ac:dyDescent="0.25">
      <c r="C563" s="7"/>
      <c r="D563" s="7"/>
      <c r="E563" s="7" t="s">
        <v>19</v>
      </c>
      <c r="F563" s="7">
        <v>2010</v>
      </c>
      <c r="G563" s="8" t="s">
        <v>20</v>
      </c>
      <c r="H563" s="19" t="s">
        <v>55</v>
      </c>
      <c r="I563" s="7" t="s">
        <v>56</v>
      </c>
      <c r="J563" s="8"/>
      <c r="K563" s="7"/>
      <c r="L563" s="7" t="s">
        <v>23</v>
      </c>
      <c r="M563" s="18">
        <f>'Emissions - REF'!$C$84</f>
        <v>8.6203799999999998E-4</v>
      </c>
      <c r="N563" s="7"/>
      <c r="O563" s="7"/>
      <c r="P563" s="7"/>
      <c r="Q563" s="7"/>
      <c r="R563" s="7"/>
      <c r="S563" s="7"/>
      <c r="T563" s="7"/>
    </row>
    <row r="564" spans="3:20" x14ac:dyDescent="0.25">
      <c r="C564" s="7"/>
      <c r="D564" s="7"/>
      <c r="E564" s="7" t="s">
        <v>19</v>
      </c>
      <c r="F564" s="7">
        <v>2015</v>
      </c>
      <c r="G564" s="8" t="s">
        <v>20</v>
      </c>
      <c r="H564" s="19" t="s">
        <v>55</v>
      </c>
      <c r="I564" s="7" t="s">
        <v>56</v>
      </c>
      <c r="J564" s="8"/>
      <c r="K564" s="7"/>
      <c r="L564" s="7" t="s">
        <v>23</v>
      </c>
      <c r="M564" s="18">
        <f>'Emissions - REF'!$D$84</f>
        <v>8.6203799999999998E-4</v>
      </c>
      <c r="N564" s="7"/>
      <c r="O564" s="7"/>
      <c r="P564" s="7"/>
      <c r="Q564" s="7"/>
      <c r="R564" s="7"/>
      <c r="S564" s="7"/>
      <c r="T564" s="7"/>
    </row>
    <row r="565" spans="3:20" x14ac:dyDescent="0.25">
      <c r="C565" s="7"/>
      <c r="D565" s="7"/>
      <c r="E565" s="7" t="s">
        <v>19</v>
      </c>
      <c r="F565" s="7">
        <v>2020</v>
      </c>
      <c r="G565" s="8" t="s">
        <v>20</v>
      </c>
      <c r="H565" s="19" t="s">
        <v>55</v>
      </c>
      <c r="I565" s="7" t="s">
        <v>56</v>
      </c>
      <c r="J565" s="8"/>
      <c r="K565" s="7"/>
      <c r="L565" s="7" t="s">
        <v>23</v>
      </c>
      <c r="M565" s="18">
        <f>'Emissions - REF'!$E$84</f>
        <v>8.6203799999999998E-4</v>
      </c>
      <c r="N565" s="7"/>
      <c r="O565" s="7"/>
      <c r="P565" s="7"/>
      <c r="Q565" s="7"/>
      <c r="R565" s="7"/>
      <c r="S565" s="7"/>
      <c r="T565" s="7"/>
    </row>
    <row r="566" spans="3:20" x14ac:dyDescent="0.25">
      <c r="C566" s="7"/>
      <c r="D566" s="7"/>
      <c r="E566" s="7" t="s">
        <v>19</v>
      </c>
      <c r="F566" s="7">
        <v>2055</v>
      </c>
      <c r="G566" s="8" t="s">
        <v>20</v>
      </c>
      <c r="H566" s="19" t="s">
        <v>55</v>
      </c>
      <c r="I566" s="7" t="s">
        <v>56</v>
      </c>
      <c r="J566" s="8"/>
      <c r="K566" s="7"/>
      <c r="L566" s="7" t="s">
        <v>23</v>
      </c>
      <c r="M566" s="18">
        <f>M565</f>
        <v>8.6203799999999998E-4</v>
      </c>
      <c r="N566" s="7"/>
      <c r="O566" s="7"/>
      <c r="P566" s="7"/>
      <c r="Q566" s="7"/>
      <c r="R566" s="7"/>
      <c r="S566" s="7"/>
      <c r="T566" s="7"/>
    </row>
    <row r="567" spans="3:20" x14ac:dyDescent="0.25">
      <c r="C567" s="7"/>
      <c r="D567" s="7"/>
      <c r="E567" s="7" t="s">
        <v>19</v>
      </c>
      <c r="F567" s="7">
        <v>2010</v>
      </c>
      <c r="G567" s="8" t="s">
        <v>20</v>
      </c>
      <c r="H567" s="19" t="s">
        <v>55</v>
      </c>
      <c r="I567" s="7" t="s">
        <v>56</v>
      </c>
      <c r="J567" s="8"/>
      <c r="K567" s="7"/>
      <c r="L567" s="7" t="s">
        <v>24</v>
      </c>
      <c r="M567" s="18">
        <f>'Emissions - REF'!$C$85</f>
        <v>1.320295E-3</v>
      </c>
      <c r="N567" s="7"/>
      <c r="O567" s="7"/>
      <c r="P567" s="7"/>
      <c r="Q567" s="7"/>
      <c r="R567" s="7"/>
      <c r="S567" s="7"/>
      <c r="T567" s="7"/>
    </row>
    <row r="568" spans="3:20" x14ac:dyDescent="0.25">
      <c r="C568" s="7"/>
      <c r="D568" s="7"/>
      <c r="E568" s="7" t="s">
        <v>19</v>
      </c>
      <c r="F568" s="7">
        <v>2015</v>
      </c>
      <c r="G568" s="8" t="s">
        <v>20</v>
      </c>
      <c r="H568" s="19" t="s">
        <v>55</v>
      </c>
      <c r="I568" s="7" t="s">
        <v>56</v>
      </c>
      <c r="J568" s="8"/>
      <c r="K568" s="7"/>
      <c r="L568" s="7" t="s">
        <v>24</v>
      </c>
      <c r="M568" s="18">
        <f>'Emissions - REF'!$D$85</f>
        <v>1.320295E-3</v>
      </c>
      <c r="N568" s="7"/>
      <c r="O568" s="7"/>
      <c r="P568" s="7"/>
      <c r="Q568" s="7"/>
      <c r="R568" s="7"/>
      <c r="S568" s="7"/>
      <c r="T568" s="7"/>
    </row>
    <row r="569" spans="3:20" x14ac:dyDescent="0.25">
      <c r="C569" s="7"/>
      <c r="D569" s="7"/>
      <c r="E569" s="7" t="s">
        <v>19</v>
      </c>
      <c r="F569" s="7">
        <v>2020</v>
      </c>
      <c r="G569" s="8" t="s">
        <v>20</v>
      </c>
      <c r="H569" s="19" t="s">
        <v>55</v>
      </c>
      <c r="I569" s="7" t="s">
        <v>56</v>
      </c>
      <c r="J569" s="8"/>
      <c r="K569" s="7"/>
      <c r="L569" s="7" t="s">
        <v>24</v>
      </c>
      <c r="M569" s="18">
        <f>'Emissions - REF'!$E$85</f>
        <v>1.320295E-3</v>
      </c>
      <c r="N569" s="7"/>
      <c r="O569" s="7"/>
      <c r="P569" s="7"/>
      <c r="Q569" s="7"/>
      <c r="R569" s="7"/>
      <c r="S569" s="7"/>
      <c r="T569" s="7"/>
    </row>
    <row r="570" spans="3:20" x14ac:dyDescent="0.25">
      <c r="C570" s="7"/>
      <c r="D570" s="7"/>
      <c r="E570" s="7" t="s">
        <v>19</v>
      </c>
      <c r="F570" s="7">
        <v>2055</v>
      </c>
      <c r="G570" s="8" t="s">
        <v>20</v>
      </c>
      <c r="H570" s="19" t="s">
        <v>55</v>
      </c>
      <c r="I570" s="7" t="s">
        <v>56</v>
      </c>
      <c r="J570" s="8"/>
      <c r="K570" s="7"/>
      <c r="L570" s="7" t="s">
        <v>24</v>
      </c>
      <c r="M570" s="18">
        <f>M569</f>
        <v>1.320295E-3</v>
      </c>
      <c r="N570" s="7"/>
      <c r="O570" s="7"/>
      <c r="P570" s="7"/>
      <c r="Q570" s="7"/>
      <c r="R570" s="7"/>
      <c r="S570" s="7"/>
      <c r="T570" s="7"/>
    </row>
    <row r="571" spans="3:20" x14ac:dyDescent="0.25">
      <c r="C571" s="7"/>
      <c r="D571" s="7"/>
      <c r="E571" s="7" t="s">
        <v>19</v>
      </c>
      <c r="F571" s="7">
        <v>2010</v>
      </c>
      <c r="G571" s="8" t="s">
        <v>20</v>
      </c>
      <c r="H571" s="19" t="s">
        <v>55</v>
      </c>
      <c r="I571" s="7" t="s">
        <v>56</v>
      </c>
      <c r="J571" s="8"/>
      <c r="K571" s="7"/>
      <c r="L571" s="7" t="s">
        <v>25</v>
      </c>
      <c r="M571" s="18">
        <f>'Emissions - REF'!$C$86</f>
        <v>3.0219699999999997E-3</v>
      </c>
      <c r="N571" s="7"/>
      <c r="O571" s="7"/>
      <c r="P571" s="7"/>
      <c r="Q571" s="7"/>
      <c r="R571" s="7"/>
      <c r="S571" s="7"/>
      <c r="T571" s="7"/>
    </row>
    <row r="572" spans="3:20" x14ac:dyDescent="0.25">
      <c r="C572" s="7"/>
      <c r="D572" s="7"/>
      <c r="E572" s="7" t="s">
        <v>19</v>
      </c>
      <c r="F572" s="7">
        <v>2015</v>
      </c>
      <c r="G572" s="8" t="s">
        <v>20</v>
      </c>
      <c r="H572" s="19" t="s">
        <v>55</v>
      </c>
      <c r="I572" s="7" t="s">
        <v>56</v>
      </c>
      <c r="J572" s="8"/>
      <c r="K572" s="7"/>
      <c r="L572" s="7" t="s">
        <v>25</v>
      </c>
      <c r="M572" s="18">
        <f>'Emissions - REF'!$D$86</f>
        <v>2.6820859999999998E-3</v>
      </c>
      <c r="N572" s="7"/>
      <c r="O572" s="7"/>
      <c r="P572" s="7"/>
      <c r="Q572" s="7"/>
      <c r="R572" s="7"/>
      <c r="S572" s="7"/>
      <c r="T572" s="7"/>
    </row>
    <row r="573" spans="3:20" x14ac:dyDescent="0.25">
      <c r="C573" s="7"/>
      <c r="D573" s="7"/>
      <c r="E573" s="7" t="s">
        <v>19</v>
      </c>
      <c r="F573" s="7">
        <v>2020</v>
      </c>
      <c r="G573" s="8" t="s">
        <v>20</v>
      </c>
      <c r="H573" s="19" t="s">
        <v>55</v>
      </c>
      <c r="I573" s="7" t="s">
        <v>56</v>
      </c>
      <c r="J573" s="8"/>
      <c r="K573" s="7"/>
      <c r="L573" s="7" t="s">
        <v>25</v>
      </c>
      <c r="M573" s="18">
        <f>'Emissions - REF'!$E$86</f>
        <v>2.5373420000000002E-3</v>
      </c>
      <c r="N573" s="7"/>
      <c r="O573" s="7"/>
      <c r="P573" s="7"/>
      <c r="Q573" s="7"/>
      <c r="R573" s="7"/>
      <c r="S573" s="7"/>
      <c r="T573" s="7"/>
    </row>
    <row r="574" spans="3:20" x14ac:dyDescent="0.25">
      <c r="C574" s="7"/>
      <c r="D574" s="7"/>
      <c r="E574" s="7" t="s">
        <v>19</v>
      </c>
      <c r="F574" s="7">
        <v>2055</v>
      </c>
      <c r="G574" s="8" t="s">
        <v>20</v>
      </c>
      <c r="H574" s="19" t="s">
        <v>55</v>
      </c>
      <c r="I574" s="7" t="s">
        <v>56</v>
      </c>
      <c r="J574" s="8"/>
      <c r="K574" s="7"/>
      <c r="L574" s="7" t="s">
        <v>25</v>
      </c>
      <c r="M574" s="18">
        <f>M573</f>
        <v>2.5373420000000002E-3</v>
      </c>
      <c r="N574" s="7"/>
      <c r="O574" s="7"/>
      <c r="P574" s="7"/>
      <c r="Q574" s="7"/>
      <c r="R574" s="7"/>
      <c r="S574" s="7"/>
      <c r="T574" s="7"/>
    </row>
    <row r="575" spans="3:20" x14ac:dyDescent="0.25">
      <c r="C575" s="7"/>
      <c r="D575" s="7"/>
      <c r="E575" s="7" t="s">
        <v>19</v>
      </c>
      <c r="F575" s="7">
        <v>2010</v>
      </c>
      <c r="G575" s="8" t="s">
        <v>20</v>
      </c>
      <c r="H575" s="19" t="s">
        <v>55</v>
      </c>
      <c r="I575" s="7" t="s">
        <v>56</v>
      </c>
      <c r="J575" s="8"/>
      <c r="K575" s="7"/>
      <c r="L575" s="7" t="s">
        <v>26</v>
      </c>
      <c r="M575" s="18">
        <f>'Emissions - REF'!$C$87</f>
        <v>7.2457500000000009E-4</v>
      </c>
      <c r="N575" s="7"/>
      <c r="O575" s="7"/>
      <c r="P575" s="7"/>
      <c r="Q575" s="7"/>
      <c r="R575" s="7"/>
      <c r="S575" s="7"/>
      <c r="T575" s="7"/>
    </row>
    <row r="576" spans="3:20" x14ac:dyDescent="0.25">
      <c r="C576" s="7"/>
      <c r="D576" s="7"/>
      <c r="E576" s="7" t="s">
        <v>19</v>
      </c>
      <c r="F576" s="7">
        <v>2015</v>
      </c>
      <c r="G576" s="8" t="s">
        <v>20</v>
      </c>
      <c r="H576" s="19" t="s">
        <v>55</v>
      </c>
      <c r="I576" s="7" t="s">
        <v>56</v>
      </c>
      <c r="J576" s="8"/>
      <c r="K576" s="7"/>
      <c r="L576" s="7" t="s">
        <v>26</v>
      </c>
      <c r="M576" s="18">
        <f>'Emissions - REF'!$D$87</f>
        <v>6.44397E-4</v>
      </c>
      <c r="N576" s="7"/>
      <c r="O576" s="7"/>
      <c r="P576" s="7"/>
      <c r="Q576" s="7"/>
      <c r="R576" s="7"/>
      <c r="S576" s="7"/>
      <c r="T576" s="7"/>
    </row>
    <row r="577" spans="3:20" x14ac:dyDescent="0.25">
      <c r="C577" s="7"/>
      <c r="D577" s="7"/>
      <c r="E577" s="7" t="s">
        <v>19</v>
      </c>
      <c r="F577" s="7">
        <v>2020</v>
      </c>
      <c r="G577" s="8" t="s">
        <v>20</v>
      </c>
      <c r="H577" s="19" t="s">
        <v>55</v>
      </c>
      <c r="I577" s="7" t="s">
        <v>56</v>
      </c>
      <c r="J577" s="8"/>
      <c r="K577" s="7"/>
      <c r="L577" s="7" t="s">
        <v>26</v>
      </c>
      <c r="M577" s="18">
        <f>'Emissions - REF'!$E$87</f>
        <v>6.1744299999999996E-4</v>
      </c>
      <c r="N577" s="7"/>
      <c r="O577" s="7"/>
      <c r="P577" s="7"/>
      <c r="Q577" s="7"/>
      <c r="R577" s="7"/>
      <c r="S577" s="7"/>
      <c r="T577" s="7"/>
    </row>
    <row r="578" spans="3:20" x14ac:dyDescent="0.25">
      <c r="C578" s="7"/>
      <c r="D578" s="7"/>
      <c r="E578" s="7" t="s">
        <v>19</v>
      </c>
      <c r="F578" s="7">
        <v>2055</v>
      </c>
      <c r="G578" s="8" t="s">
        <v>20</v>
      </c>
      <c r="H578" s="19" t="s">
        <v>55</v>
      </c>
      <c r="I578" s="7" t="s">
        <v>56</v>
      </c>
      <c r="J578" s="8"/>
      <c r="K578" s="7"/>
      <c r="L578" s="7" t="s">
        <v>26</v>
      </c>
      <c r="M578" s="18">
        <f>M577</f>
        <v>6.1744299999999996E-4</v>
      </c>
      <c r="N578" s="7"/>
      <c r="O578" s="7"/>
      <c r="P578" s="7"/>
      <c r="Q578" s="7"/>
      <c r="R578" s="7"/>
      <c r="S578" s="7"/>
      <c r="T578" s="7"/>
    </row>
    <row r="579" spans="3:20" x14ac:dyDescent="0.25">
      <c r="C579" s="7"/>
      <c r="D579" s="7"/>
      <c r="E579" s="7" t="s">
        <v>19</v>
      </c>
      <c r="F579" s="7">
        <v>2010</v>
      </c>
      <c r="G579" s="8" t="s">
        <v>20</v>
      </c>
      <c r="H579" s="19" t="s">
        <v>55</v>
      </c>
      <c r="I579" s="7" t="s">
        <v>56</v>
      </c>
      <c r="J579" s="8"/>
      <c r="K579" s="7"/>
      <c r="L579" s="7" t="s">
        <v>27</v>
      </c>
      <c r="M579" s="18">
        <f>'Emissions - REF'!$C$88</f>
        <v>4.0297800000000002E-4</v>
      </c>
      <c r="N579" s="7"/>
      <c r="O579" s="7"/>
      <c r="P579" s="7"/>
      <c r="Q579" s="7"/>
      <c r="R579" s="7"/>
      <c r="S579" s="7"/>
      <c r="T579" s="7"/>
    </row>
    <row r="580" spans="3:20" x14ac:dyDescent="0.25">
      <c r="C580" s="7"/>
      <c r="D580" s="7"/>
      <c r="E580" s="7" t="s">
        <v>19</v>
      </c>
      <c r="F580" s="7">
        <v>2015</v>
      </c>
      <c r="G580" s="8" t="s">
        <v>20</v>
      </c>
      <c r="H580" s="19" t="s">
        <v>55</v>
      </c>
      <c r="I580" s="7" t="s">
        <v>56</v>
      </c>
      <c r="J580" s="8"/>
      <c r="K580" s="7"/>
      <c r="L580" s="7" t="s">
        <v>27</v>
      </c>
      <c r="M580" s="18">
        <f>'Emissions - REF'!$D$88</f>
        <v>3.75888E-4</v>
      </c>
      <c r="N580" s="7"/>
      <c r="O580" s="7"/>
      <c r="P580" s="7"/>
      <c r="Q580" s="7"/>
      <c r="R580" s="7"/>
      <c r="S580" s="7"/>
      <c r="T580" s="7"/>
    </row>
    <row r="581" spans="3:20" x14ac:dyDescent="0.25">
      <c r="C581" s="7"/>
      <c r="D581" s="7"/>
      <c r="E581" s="7" t="s">
        <v>19</v>
      </c>
      <c r="F581" s="7">
        <v>2020</v>
      </c>
      <c r="G581" s="8" t="s">
        <v>20</v>
      </c>
      <c r="H581" s="19" t="s">
        <v>55</v>
      </c>
      <c r="I581" s="7" t="s">
        <v>56</v>
      </c>
      <c r="J581" s="8"/>
      <c r="K581" s="7"/>
      <c r="L581" s="7" t="s">
        <v>27</v>
      </c>
      <c r="M581" s="18">
        <f>'Emissions - REF'!$E$88</f>
        <v>3.4914800000000003E-4</v>
      </c>
      <c r="N581" s="7"/>
      <c r="O581" s="7"/>
      <c r="P581" s="7"/>
      <c r="Q581" s="7"/>
      <c r="R581" s="7"/>
      <c r="S581" s="7"/>
      <c r="T581" s="7"/>
    </row>
    <row r="582" spans="3:20" x14ac:dyDescent="0.25">
      <c r="C582" s="7"/>
      <c r="D582" s="7"/>
      <c r="E582" s="7" t="s">
        <v>19</v>
      </c>
      <c r="F582" s="7">
        <v>2055</v>
      </c>
      <c r="G582" s="8" t="s">
        <v>20</v>
      </c>
      <c r="H582" s="19" t="s">
        <v>55</v>
      </c>
      <c r="I582" s="7" t="s">
        <v>56</v>
      </c>
      <c r="J582" s="8"/>
      <c r="K582" s="7"/>
      <c r="L582" s="7" t="s">
        <v>27</v>
      </c>
      <c r="M582" s="18">
        <f>M581</f>
        <v>3.4914800000000003E-4</v>
      </c>
      <c r="N582" s="7"/>
      <c r="O582" s="7"/>
      <c r="P582" s="7"/>
      <c r="Q582" s="7"/>
      <c r="R582" s="7"/>
      <c r="S582" s="7"/>
      <c r="T582" s="7"/>
    </row>
    <row r="583" spans="3:20" x14ac:dyDescent="0.25">
      <c r="C583" s="7"/>
      <c r="D583" s="7"/>
      <c r="E583" s="7" t="s">
        <v>19</v>
      </c>
      <c r="F583" s="7">
        <v>2010</v>
      </c>
      <c r="G583" s="8" t="s">
        <v>20</v>
      </c>
      <c r="H583" s="19" t="s">
        <v>55</v>
      </c>
      <c r="I583" s="7" t="s">
        <v>56</v>
      </c>
      <c r="J583" s="8"/>
      <c r="K583" s="7"/>
      <c r="L583" s="7" t="s">
        <v>28</v>
      </c>
      <c r="M583" s="18">
        <f>'Emissions - REF'!$C$89</f>
        <v>2.6361500000000003E-3</v>
      </c>
      <c r="N583" s="7"/>
      <c r="O583" s="7"/>
      <c r="P583" s="7"/>
      <c r="Q583" s="7"/>
      <c r="R583" s="7"/>
      <c r="S583" s="7"/>
      <c r="T583" s="7"/>
    </row>
    <row r="584" spans="3:20" x14ac:dyDescent="0.25">
      <c r="C584" s="7"/>
      <c r="D584" s="7"/>
      <c r="E584" s="7" t="s">
        <v>19</v>
      </c>
      <c r="F584" s="7">
        <v>2015</v>
      </c>
      <c r="G584" s="8" t="s">
        <v>20</v>
      </c>
      <c r="H584" s="19" t="s">
        <v>55</v>
      </c>
      <c r="I584" s="7" t="s">
        <v>56</v>
      </c>
      <c r="J584" s="8"/>
      <c r="K584" s="7"/>
      <c r="L584" s="7" t="s">
        <v>28</v>
      </c>
      <c r="M584" s="18">
        <f>'Emissions - REF'!$D$89</f>
        <v>2.26735E-3</v>
      </c>
      <c r="N584" s="7"/>
      <c r="O584" s="7"/>
      <c r="P584" s="7"/>
      <c r="Q584" s="7"/>
      <c r="R584" s="7"/>
      <c r="S584" s="7"/>
      <c r="T584" s="7"/>
    </row>
    <row r="585" spans="3:20" x14ac:dyDescent="0.25">
      <c r="C585" s="7"/>
      <c r="D585" s="7"/>
      <c r="E585" s="7" t="s">
        <v>19</v>
      </c>
      <c r="F585" s="7">
        <v>2020</v>
      </c>
      <c r="G585" s="8" t="s">
        <v>20</v>
      </c>
      <c r="H585" s="19" t="s">
        <v>55</v>
      </c>
      <c r="I585" s="7" t="s">
        <v>56</v>
      </c>
      <c r="J585" s="8"/>
      <c r="K585" s="7"/>
      <c r="L585" s="7" t="s">
        <v>28</v>
      </c>
      <c r="M585" s="18">
        <f>'Emissions - REF'!$E$89</f>
        <v>2.1092929999999999E-3</v>
      </c>
      <c r="N585" s="7"/>
      <c r="O585" s="7"/>
      <c r="P585" s="7"/>
      <c r="Q585" s="7"/>
      <c r="R585" s="7"/>
      <c r="S585" s="7"/>
      <c r="T585" s="7"/>
    </row>
    <row r="586" spans="3:20" x14ac:dyDescent="0.25">
      <c r="C586" s="7"/>
      <c r="D586" s="7"/>
      <c r="E586" s="7" t="s">
        <v>19</v>
      </c>
      <c r="F586" s="7">
        <v>2055</v>
      </c>
      <c r="G586" s="8" t="s">
        <v>20</v>
      </c>
      <c r="H586" s="19" t="s">
        <v>55</v>
      </c>
      <c r="I586" s="7" t="s">
        <v>56</v>
      </c>
      <c r="J586" s="8"/>
      <c r="K586" s="7"/>
      <c r="L586" s="7" t="s">
        <v>28</v>
      </c>
      <c r="M586" s="18">
        <f>M585</f>
        <v>2.1092929999999999E-3</v>
      </c>
      <c r="N586" s="7"/>
      <c r="O586" s="7"/>
      <c r="P586" s="7"/>
      <c r="Q586" s="7"/>
      <c r="R586" s="7"/>
      <c r="S586" s="7"/>
      <c r="T586" s="7"/>
    </row>
    <row r="587" spans="3:20" x14ac:dyDescent="0.25">
      <c r="C587" s="7"/>
      <c r="D587" s="7"/>
      <c r="E587" s="7" t="s">
        <v>19</v>
      </c>
      <c r="F587" s="7">
        <v>2010</v>
      </c>
      <c r="G587" s="8" t="s">
        <v>20</v>
      </c>
      <c r="H587" s="19" t="s">
        <v>55</v>
      </c>
      <c r="I587" s="7" t="s">
        <v>56</v>
      </c>
      <c r="J587" s="8"/>
      <c r="K587" s="7"/>
      <c r="L587" s="7" t="s">
        <v>29</v>
      </c>
      <c r="M587" s="18">
        <f>'Emissions - REF'!$C$90</f>
        <v>6.9129000000000008E-5</v>
      </c>
      <c r="N587" s="7"/>
      <c r="O587" s="7"/>
      <c r="P587" s="7"/>
      <c r="Q587" s="7"/>
      <c r="R587" s="7"/>
      <c r="S587" s="7"/>
      <c r="T587" s="7"/>
    </row>
    <row r="588" spans="3:20" x14ac:dyDescent="0.25">
      <c r="C588" s="7"/>
      <c r="D588" s="7"/>
      <c r="E588" s="7" t="s">
        <v>19</v>
      </c>
      <c r="F588" s="7">
        <v>2015</v>
      </c>
      <c r="G588" s="8" t="s">
        <v>20</v>
      </c>
      <c r="H588" s="19" t="s">
        <v>55</v>
      </c>
      <c r="I588" s="7" t="s">
        <v>56</v>
      </c>
      <c r="J588" s="8"/>
      <c r="K588" s="7"/>
      <c r="L588" s="7" t="s">
        <v>29</v>
      </c>
      <c r="M588" s="18">
        <f>'Emissions - REF'!$D$90</f>
        <v>6.9129000000000008E-5</v>
      </c>
      <c r="N588" s="7"/>
      <c r="O588" s="7"/>
      <c r="P588" s="7"/>
      <c r="Q588" s="7"/>
      <c r="R588" s="7"/>
      <c r="S588" s="7"/>
      <c r="T588" s="7"/>
    </row>
    <row r="589" spans="3:20" x14ac:dyDescent="0.25">
      <c r="C589" s="7"/>
      <c r="D589" s="7"/>
      <c r="E589" s="7" t="s">
        <v>19</v>
      </c>
      <c r="F589" s="7">
        <v>2020</v>
      </c>
      <c r="G589" s="8" t="s">
        <v>20</v>
      </c>
      <c r="H589" s="19" t="s">
        <v>55</v>
      </c>
      <c r="I589" s="7" t="s">
        <v>56</v>
      </c>
      <c r="J589" s="8"/>
      <c r="K589" s="7"/>
      <c r="L589" s="7" t="s">
        <v>29</v>
      </c>
      <c r="M589" s="18">
        <f>'Emissions - REF'!$E$90</f>
        <v>6.9129000000000008E-5</v>
      </c>
      <c r="N589" s="7"/>
      <c r="O589" s="7"/>
      <c r="P589" s="7"/>
      <c r="Q589" s="7"/>
      <c r="R589" s="7"/>
      <c r="S589" s="7"/>
      <c r="T589" s="7"/>
    </row>
    <row r="590" spans="3:20" x14ac:dyDescent="0.25">
      <c r="C590" s="7"/>
      <c r="D590" s="7"/>
      <c r="E590" s="7" t="s">
        <v>19</v>
      </c>
      <c r="F590" s="7">
        <v>2055</v>
      </c>
      <c r="G590" s="8" t="s">
        <v>20</v>
      </c>
      <c r="H590" s="19" t="s">
        <v>55</v>
      </c>
      <c r="I590" s="7" t="s">
        <v>56</v>
      </c>
      <c r="J590" s="8"/>
      <c r="K590" s="7"/>
      <c r="L590" s="7" t="s">
        <v>29</v>
      </c>
      <c r="M590" s="18">
        <f>M589</f>
        <v>6.9129000000000008E-5</v>
      </c>
      <c r="N590" s="7"/>
      <c r="O590" s="7"/>
      <c r="P590" s="7"/>
      <c r="Q590" s="7"/>
      <c r="R590" s="7"/>
      <c r="S590" s="7"/>
      <c r="T590" s="7"/>
    </row>
    <row r="591" spans="3:20" x14ac:dyDescent="0.25">
      <c r="C591" s="7"/>
      <c r="D591" s="7"/>
      <c r="E591" s="7" t="s">
        <v>19</v>
      </c>
      <c r="F591" s="7">
        <v>2010</v>
      </c>
      <c r="G591" s="8" t="s">
        <v>20</v>
      </c>
      <c r="H591" s="19" t="s">
        <v>55</v>
      </c>
      <c r="I591" s="7" t="s">
        <v>56</v>
      </c>
      <c r="J591" s="8"/>
      <c r="K591" s="7"/>
      <c r="L591" s="7" t="s">
        <v>30</v>
      </c>
      <c r="M591" s="18">
        <f>'Emissions - REF'!$C$91</f>
        <v>3.7039000000000002E-5</v>
      </c>
      <c r="N591" s="7"/>
      <c r="O591" s="7"/>
      <c r="P591" s="7"/>
      <c r="Q591" s="7"/>
      <c r="R591" s="7"/>
      <c r="S591" s="7"/>
      <c r="T591" s="7"/>
    </row>
    <row r="592" spans="3:20" x14ac:dyDescent="0.25">
      <c r="C592" s="7"/>
      <c r="D592" s="7"/>
      <c r="E592" s="7" t="s">
        <v>19</v>
      </c>
      <c r="F592" s="7">
        <v>2015</v>
      </c>
      <c r="G592" s="8" t="s">
        <v>20</v>
      </c>
      <c r="H592" s="19" t="s">
        <v>55</v>
      </c>
      <c r="I592" s="7" t="s">
        <v>56</v>
      </c>
      <c r="J592" s="8"/>
      <c r="K592" s="7"/>
      <c r="L592" s="7" t="s">
        <v>30</v>
      </c>
      <c r="M592" s="18">
        <f>'Emissions - REF'!$D$91</f>
        <v>3.7039000000000002E-5</v>
      </c>
      <c r="N592" s="7"/>
      <c r="O592" s="7"/>
      <c r="P592" s="7"/>
      <c r="Q592" s="7"/>
      <c r="R592" s="7"/>
      <c r="S592" s="7"/>
      <c r="T592" s="7"/>
    </row>
    <row r="593" spans="3:20" x14ac:dyDescent="0.25">
      <c r="C593" s="7"/>
      <c r="D593" s="7"/>
      <c r="E593" s="7" t="s">
        <v>19</v>
      </c>
      <c r="F593" s="7">
        <v>2020</v>
      </c>
      <c r="G593" s="8" t="s">
        <v>20</v>
      </c>
      <c r="H593" s="19" t="s">
        <v>55</v>
      </c>
      <c r="I593" s="7" t="s">
        <v>56</v>
      </c>
      <c r="J593" s="8"/>
      <c r="K593" s="7"/>
      <c r="L593" s="7" t="s">
        <v>30</v>
      </c>
      <c r="M593" s="18">
        <f>'Emissions - REF'!$E$91</f>
        <v>3.7039000000000002E-5</v>
      </c>
      <c r="N593" s="7"/>
      <c r="O593" s="7"/>
      <c r="P593" s="7"/>
      <c r="Q593" s="7"/>
      <c r="R593" s="7"/>
      <c r="S593" s="7"/>
      <c r="T593" s="7"/>
    </row>
    <row r="594" spans="3:20" x14ac:dyDescent="0.25">
      <c r="C594" s="7"/>
      <c r="D594" s="7"/>
      <c r="E594" s="7" t="s">
        <v>19</v>
      </c>
      <c r="F594" s="7">
        <v>2055</v>
      </c>
      <c r="G594" s="8" t="s">
        <v>20</v>
      </c>
      <c r="H594" s="19" t="s">
        <v>55</v>
      </c>
      <c r="I594" s="7" t="s">
        <v>56</v>
      </c>
      <c r="J594" s="8"/>
      <c r="K594" s="7"/>
      <c r="L594" s="7" t="s">
        <v>30</v>
      </c>
      <c r="M594" s="18">
        <f>M593</f>
        <v>3.7039000000000002E-5</v>
      </c>
      <c r="N594" s="7"/>
      <c r="O594" s="7"/>
      <c r="P594" s="7"/>
      <c r="Q594" s="7"/>
      <c r="R594" s="7"/>
      <c r="S594" s="7"/>
      <c r="T594" s="7"/>
    </row>
    <row r="595" spans="3:20" x14ac:dyDescent="0.25">
      <c r="C595" s="7"/>
      <c r="D595" s="7"/>
      <c r="E595" s="7" t="s">
        <v>19</v>
      </c>
      <c r="F595" s="7">
        <v>2010</v>
      </c>
      <c r="G595" s="8" t="s">
        <v>20</v>
      </c>
      <c r="H595" s="19" t="s">
        <v>55</v>
      </c>
      <c r="I595" s="7" t="s">
        <v>56</v>
      </c>
      <c r="J595" s="8"/>
      <c r="K595" s="7"/>
      <c r="L595" s="7" t="s">
        <v>31</v>
      </c>
      <c r="M595" s="7">
        <v>1E-4</v>
      </c>
      <c r="N595" s="7"/>
      <c r="O595" s="7"/>
      <c r="P595" s="7"/>
      <c r="Q595" s="7"/>
      <c r="R595" s="7"/>
      <c r="S595" s="7"/>
      <c r="T595" s="7"/>
    </row>
    <row r="596" spans="3:20" x14ac:dyDescent="0.25">
      <c r="C596" s="7"/>
      <c r="D596" s="7"/>
      <c r="E596" s="7" t="s">
        <v>19</v>
      </c>
      <c r="F596" s="7">
        <v>2015</v>
      </c>
      <c r="G596" s="8" t="s">
        <v>20</v>
      </c>
      <c r="H596" s="19" t="s">
        <v>55</v>
      </c>
      <c r="I596" s="7" t="s">
        <v>56</v>
      </c>
      <c r="J596" s="8"/>
      <c r="K596" s="7"/>
      <c r="L596" s="7" t="s">
        <v>31</v>
      </c>
      <c r="M596" s="7">
        <f>M595</f>
        <v>1E-4</v>
      </c>
      <c r="N596" s="7"/>
      <c r="O596" s="7"/>
      <c r="P596" s="7"/>
      <c r="Q596" s="7"/>
      <c r="R596" s="7"/>
      <c r="S596" s="7"/>
      <c r="T596" s="7"/>
    </row>
    <row r="597" spans="3:20" x14ac:dyDescent="0.25">
      <c r="C597" s="7"/>
      <c r="D597" s="7"/>
      <c r="E597" s="7" t="s">
        <v>19</v>
      </c>
      <c r="F597" s="7">
        <v>2020</v>
      </c>
      <c r="G597" s="8" t="s">
        <v>20</v>
      </c>
      <c r="H597" s="19" t="s">
        <v>55</v>
      </c>
      <c r="I597" s="7" t="s">
        <v>56</v>
      </c>
      <c r="J597" s="8"/>
      <c r="K597" s="7"/>
      <c r="L597" s="7" t="s">
        <v>31</v>
      </c>
      <c r="M597" s="7">
        <f t="shared" ref="M597:M598" si="160">M596</f>
        <v>1E-4</v>
      </c>
      <c r="N597" s="7"/>
      <c r="O597" s="7"/>
      <c r="P597" s="7"/>
      <c r="Q597" s="7"/>
      <c r="R597" s="7"/>
      <c r="S597" s="7"/>
      <c r="T597" s="7"/>
    </row>
    <row r="598" spans="3:20" x14ac:dyDescent="0.25">
      <c r="C598" s="7"/>
      <c r="D598" s="7"/>
      <c r="E598" s="7" t="s">
        <v>19</v>
      </c>
      <c r="F598" s="7">
        <v>2055</v>
      </c>
      <c r="G598" s="8" t="s">
        <v>20</v>
      </c>
      <c r="H598" s="19" t="s">
        <v>55</v>
      </c>
      <c r="I598" s="7" t="s">
        <v>56</v>
      </c>
      <c r="J598" s="8"/>
      <c r="K598" s="7"/>
      <c r="L598" s="7" t="s">
        <v>31</v>
      </c>
      <c r="M598" s="7">
        <f t="shared" si="160"/>
        <v>1E-4</v>
      </c>
      <c r="N598" s="7"/>
      <c r="O598" s="7"/>
      <c r="P598" s="7"/>
      <c r="Q598" s="7"/>
      <c r="R598" s="7"/>
      <c r="S598" s="7"/>
      <c r="T598" s="7"/>
    </row>
    <row r="599" spans="3:20" x14ac:dyDescent="0.25">
      <c r="C599" s="7"/>
      <c r="D599" s="7"/>
      <c r="E599" s="7" t="s">
        <v>19</v>
      </c>
      <c r="F599" s="7">
        <v>2010</v>
      </c>
      <c r="G599" s="8" t="s">
        <v>20</v>
      </c>
      <c r="H599" s="19" t="s">
        <v>55</v>
      </c>
      <c r="I599" s="7" t="s">
        <v>56</v>
      </c>
      <c r="J599" s="8"/>
      <c r="K599" s="7"/>
      <c r="L599" s="7" t="s">
        <v>32</v>
      </c>
      <c r="M599" s="7">
        <v>2.0000000000000001E-4</v>
      </c>
      <c r="N599" s="7"/>
      <c r="O599" s="7"/>
      <c r="P599" s="7"/>
      <c r="Q599" s="7"/>
      <c r="R599" s="7"/>
      <c r="S599" s="7"/>
      <c r="T599" s="7"/>
    </row>
    <row r="600" spans="3:20" x14ac:dyDescent="0.25">
      <c r="C600" s="7"/>
      <c r="D600" s="7"/>
      <c r="E600" s="7" t="s">
        <v>19</v>
      </c>
      <c r="F600" s="7">
        <v>2015</v>
      </c>
      <c r="G600" s="8" t="s">
        <v>20</v>
      </c>
      <c r="H600" s="19" t="s">
        <v>55</v>
      </c>
      <c r="I600" s="7" t="s">
        <v>56</v>
      </c>
      <c r="J600" s="8"/>
      <c r="K600" s="7"/>
      <c r="L600" s="7" t="s">
        <v>32</v>
      </c>
      <c r="M600" s="7">
        <f>M599</f>
        <v>2.0000000000000001E-4</v>
      </c>
      <c r="N600" s="7"/>
      <c r="O600" s="7"/>
      <c r="P600" s="7"/>
      <c r="Q600" s="7"/>
      <c r="R600" s="7"/>
      <c r="S600" s="7"/>
      <c r="T600" s="7"/>
    </row>
    <row r="601" spans="3:20" x14ac:dyDescent="0.25">
      <c r="C601" s="7"/>
      <c r="D601" s="7"/>
      <c r="E601" s="7" t="s">
        <v>19</v>
      </c>
      <c r="F601" s="7">
        <v>2020</v>
      </c>
      <c r="G601" s="8" t="s">
        <v>20</v>
      </c>
      <c r="H601" s="19" t="s">
        <v>55</v>
      </c>
      <c r="I601" s="7" t="s">
        <v>56</v>
      </c>
      <c r="J601" s="8"/>
      <c r="K601" s="7"/>
      <c r="L601" s="7" t="s">
        <v>32</v>
      </c>
      <c r="M601" s="7">
        <f t="shared" ref="M601:M602" si="161">M600</f>
        <v>2.0000000000000001E-4</v>
      </c>
      <c r="N601" s="7"/>
      <c r="O601" s="7"/>
      <c r="P601" s="7"/>
      <c r="Q601" s="7"/>
      <c r="R601" s="7"/>
      <c r="S601" s="7"/>
      <c r="T601" s="7"/>
    </row>
    <row r="602" spans="3:20" x14ac:dyDescent="0.25">
      <c r="C602" s="7"/>
      <c r="D602" s="7"/>
      <c r="E602" s="7" t="s">
        <v>19</v>
      </c>
      <c r="F602" s="7">
        <v>2055</v>
      </c>
      <c r="G602" s="8" t="s">
        <v>20</v>
      </c>
      <c r="H602" s="19" t="s">
        <v>55</v>
      </c>
      <c r="I602" s="7" t="s">
        <v>56</v>
      </c>
      <c r="J602" s="8"/>
      <c r="K602" s="7"/>
      <c r="L602" s="7" t="s">
        <v>32</v>
      </c>
      <c r="M602" s="7">
        <f t="shared" si="161"/>
        <v>2.0000000000000001E-4</v>
      </c>
      <c r="N602" s="7"/>
      <c r="O602" s="7"/>
      <c r="P602" s="7"/>
      <c r="Q602" s="7"/>
      <c r="R602" s="7"/>
      <c r="S602" s="7"/>
      <c r="T602" s="7"/>
    </row>
    <row r="603" spans="3:20" x14ac:dyDescent="0.25">
      <c r="C603" s="7"/>
      <c r="D603" s="7"/>
      <c r="E603" s="7" t="s">
        <v>19</v>
      </c>
      <c r="F603" s="7">
        <v>2010</v>
      </c>
      <c r="G603" s="8" t="s">
        <v>20</v>
      </c>
      <c r="H603" s="19" t="s">
        <v>55</v>
      </c>
      <c r="I603" s="7" t="s">
        <v>56</v>
      </c>
      <c r="J603" s="8"/>
      <c r="K603" s="7"/>
      <c r="L603" s="7" t="s">
        <v>46</v>
      </c>
      <c r="M603" s="18">
        <f>M571</f>
        <v>3.0219699999999997E-3</v>
      </c>
      <c r="N603" s="7"/>
      <c r="O603" s="7"/>
      <c r="P603" s="7"/>
      <c r="Q603" s="7"/>
      <c r="R603" s="7"/>
      <c r="S603" s="7"/>
      <c r="T603" s="7"/>
    </row>
    <row r="604" spans="3:20" x14ac:dyDescent="0.25">
      <c r="C604" s="7"/>
      <c r="D604" s="7"/>
      <c r="E604" s="7" t="s">
        <v>19</v>
      </c>
      <c r="F604" s="7">
        <v>2015</v>
      </c>
      <c r="G604" s="8" t="s">
        <v>20</v>
      </c>
      <c r="H604" s="19" t="s">
        <v>55</v>
      </c>
      <c r="I604" s="7" t="s">
        <v>56</v>
      </c>
      <c r="J604" s="8"/>
      <c r="K604" s="7"/>
      <c r="L604" s="7" t="s">
        <v>46</v>
      </c>
      <c r="M604" s="18">
        <f t="shared" ref="M604:M606" si="162">M572</f>
        <v>2.6820859999999998E-3</v>
      </c>
      <c r="N604" s="7"/>
      <c r="O604" s="7"/>
      <c r="P604" s="7"/>
      <c r="Q604" s="7"/>
      <c r="R604" s="7"/>
      <c r="S604" s="7"/>
      <c r="T604" s="7"/>
    </row>
    <row r="605" spans="3:20" x14ac:dyDescent="0.25">
      <c r="C605" s="7"/>
      <c r="D605" s="7"/>
      <c r="E605" s="7" t="s">
        <v>19</v>
      </c>
      <c r="F605" s="7">
        <v>2020</v>
      </c>
      <c r="G605" s="8" t="s">
        <v>20</v>
      </c>
      <c r="H605" s="19" t="s">
        <v>55</v>
      </c>
      <c r="I605" s="7" t="s">
        <v>56</v>
      </c>
      <c r="J605" s="8"/>
      <c r="K605" s="7"/>
      <c r="L605" s="7" t="s">
        <v>46</v>
      </c>
      <c r="M605" s="18">
        <f t="shared" si="162"/>
        <v>2.5373420000000002E-3</v>
      </c>
      <c r="N605" s="7"/>
      <c r="O605" s="7"/>
      <c r="P605" s="7"/>
      <c r="Q605" s="7"/>
      <c r="R605" s="7"/>
      <c r="S605" s="7"/>
      <c r="T605" s="7"/>
    </row>
    <row r="606" spans="3:20" x14ac:dyDescent="0.25">
      <c r="C606" s="7"/>
      <c r="D606" s="7"/>
      <c r="E606" s="7" t="s">
        <v>19</v>
      </c>
      <c r="F606" s="7">
        <v>2055</v>
      </c>
      <c r="G606" s="8" t="s">
        <v>20</v>
      </c>
      <c r="H606" s="19" t="s">
        <v>55</v>
      </c>
      <c r="I606" s="7" t="s">
        <v>56</v>
      </c>
      <c r="J606" s="8"/>
      <c r="K606" s="7"/>
      <c r="L606" s="7" t="s">
        <v>46</v>
      </c>
      <c r="M606" s="18">
        <f t="shared" si="162"/>
        <v>2.5373420000000002E-3</v>
      </c>
      <c r="N606" s="7"/>
      <c r="O606" s="7"/>
      <c r="P606" s="7"/>
      <c r="Q606" s="7"/>
      <c r="R606" s="7"/>
      <c r="S606" s="7"/>
      <c r="T606" s="7"/>
    </row>
    <row r="607" spans="3:20" x14ac:dyDescent="0.25">
      <c r="C607" s="7"/>
      <c r="D607" s="7"/>
      <c r="E607" s="7" t="s">
        <v>19</v>
      </c>
      <c r="F607" s="7">
        <v>2010</v>
      </c>
      <c r="G607" s="8" t="s">
        <v>20</v>
      </c>
      <c r="H607" s="19" t="s">
        <v>55</v>
      </c>
      <c r="I607" s="7" t="s">
        <v>56</v>
      </c>
      <c r="J607" s="8"/>
      <c r="K607" s="7"/>
      <c r="L607" s="7" t="s">
        <v>47</v>
      </c>
      <c r="M607" s="18">
        <f>M583</f>
        <v>2.6361500000000003E-3</v>
      </c>
      <c r="N607" s="7"/>
      <c r="O607" s="7"/>
      <c r="P607" s="7"/>
      <c r="Q607" s="7"/>
      <c r="R607" s="7"/>
      <c r="S607" s="7"/>
      <c r="T607" s="7"/>
    </row>
    <row r="608" spans="3:20" x14ac:dyDescent="0.25">
      <c r="C608" s="7"/>
      <c r="D608" s="7"/>
      <c r="E608" s="7" t="s">
        <v>19</v>
      </c>
      <c r="F608" s="7">
        <v>2015</v>
      </c>
      <c r="G608" s="8" t="s">
        <v>20</v>
      </c>
      <c r="H608" s="19" t="s">
        <v>55</v>
      </c>
      <c r="I608" s="7" t="s">
        <v>56</v>
      </c>
      <c r="J608" s="8"/>
      <c r="K608" s="7"/>
      <c r="L608" s="7" t="s">
        <v>47</v>
      </c>
      <c r="M608" s="18">
        <f t="shared" ref="M608:M610" si="163">M584</f>
        <v>2.26735E-3</v>
      </c>
      <c r="N608" s="7"/>
      <c r="O608" s="7"/>
      <c r="P608" s="7"/>
      <c r="Q608" s="7"/>
      <c r="R608" s="7"/>
      <c r="S608" s="7"/>
      <c r="T608" s="7"/>
    </row>
    <row r="609" spans="3:20" x14ac:dyDescent="0.25">
      <c r="C609" s="7"/>
      <c r="D609" s="7"/>
      <c r="E609" s="7" t="s">
        <v>19</v>
      </c>
      <c r="F609" s="7">
        <v>2020</v>
      </c>
      <c r="G609" s="8" t="s">
        <v>20</v>
      </c>
      <c r="H609" s="19" t="s">
        <v>55</v>
      </c>
      <c r="I609" s="7" t="s">
        <v>56</v>
      </c>
      <c r="J609" s="8"/>
      <c r="K609" s="7"/>
      <c r="L609" s="7" t="s">
        <v>47</v>
      </c>
      <c r="M609" s="18">
        <f t="shared" si="163"/>
        <v>2.1092929999999999E-3</v>
      </c>
      <c r="N609" s="7"/>
      <c r="O609" s="7"/>
      <c r="P609" s="7"/>
      <c r="Q609" s="7"/>
      <c r="R609" s="7"/>
      <c r="S609" s="7"/>
      <c r="T609" s="7"/>
    </row>
    <row r="610" spans="3:20" x14ac:dyDescent="0.25">
      <c r="C610" s="7"/>
      <c r="D610" s="7"/>
      <c r="E610" s="7" t="s">
        <v>19</v>
      </c>
      <c r="F610" s="7">
        <v>2055</v>
      </c>
      <c r="G610" s="8" t="s">
        <v>20</v>
      </c>
      <c r="H610" s="19" t="s">
        <v>55</v>
      </c>
      <c r="I610" s="7" t="s">
        <v>56</v>
      </c>
      <c r="J610" s="8"/>
      <c r="K610" s="7"/>
      <c r="L610" s="7" t="s">
        <v>47</v>
      </c>
      <c r="M610" s="18">
        <f t="shared" si="163"/>
        <v>2.1092929999999999E-3</v>
      </c>
      <c r="N610" s="7"/>
      <c r="O610" s="7"/>
      <c r="P610" s="7"/>
      <c r="Q610" s="7"/>
      <c r="R610" s="7"/>
      <c r="S610" s="7"/>
      <c r="T610" s="7"/>
    </row>
    <row r="611" spans="3:20" x14ac:dyDescent="0.25">
      <c r="C611" s="7"/>
      <c r="D611" s="7"/>
      <c r="E611" s="7" t="s">
        <v>19</v>
      </c>
      <c r="F611" s="7">
        <v>2010</v>
      </c>
      <c r="G611" s="8" t="s">
        <v>20</v>
      </c>
      <c r="H611" s="19" t="s">
        <v>55</v>
      </c>
      <c r="I611" s="7" t="s">
        <v>56</v>
      </c>
      <c r="J611" s="8"/>
      <c r="K611" s="7"/>
      <c r="L611" s="7" t="s">
        <v>48</v>
      </c>
      <c r="M611" s="18">
        <f>M575</f>
        <v>7.2457500000000009E-4</v>
      </c>
      <c r="N611" s="7"/>
      <c r="O611" s="7"/>
      <c r="P611" s="7"/>
      <c r="Q611" s="7"/>
      <c r="R611" s="7"/>
      <c r="S611" s="7"/>
      <c r="T611" s="7"/>
    </row>
    <row r="612" spans="3:20" x14ac:dyDescent="0.25">
      <c r="C612" s="7"/>
      <c r="D612" s="7"/>
      <c r="E612" s="7" t="s">
        <v>19</v>
      </c>
      <c r="F612" s="7">
        <v>2015</v>
      </c>
      <c r="G612" s="8" t="s">
        <v>20</v>
      </c>
      <c r="H612" s="19" t="s">
        <v>55</v>
      </c>
      <c r="I612" s="7" t="s">
        <v>56</v>
      </c>
      <c r="J612" s="8"/>
      <c r="K612" s="7"/>
      <c r="L612" s="7" t="s">
        <v>48</v>
      </c>
      <c r="M612" s="18">
        <f t="shared" ref="M612:M614" si="164">M576</f>
        <v>6.44397E-4</v>
      </c>
      <c r="N612" s="7"/>
      <c r="O612" s="7"/>
      <c r="P612" s="7"/>
      <c r="Q612" s="7"/>
      <c r="R612" s="7"/>
      <c r="S612" s="7"/>
      <c r="T612" s="7"/>
    </row>
    <row r="613" spans="3:20" x14ac:dyDescent="0.25">
      <c r="C613" s="7"/>
      <c r="D613" s="7"/>
      <c r="E613" s="7" t="s">
        <v>19</v>
      </c>
      <c r="F613" s="7">
        <v>2020</v>
      </c>
      <c r="G613" s="8" t="s">
        <v>20</v>
      </c>
      <c r="H613" s="19" t="s">
        <v>55</v>
      </c>
      <c r="I613" s="7" t="s">
        <v>56</v>
      </c>
      <c r="J613" s="8"/>
      <c r="K613" s="7"/>
      <c r="L613" s="7" t="s">
        <v>48</v>
      </c>
      <c r="M613" s="18">
        <f t="shared" si="164"/>
        <v>6.1744299999999996E-4</v>
      </c>
      <c r="N613" s="7"/>
      <c r="O613" s="7"/>
      <c r="P613" s="7"/>
      <c r="Q613" s="7"/>
      <c r="R613" s="7"/>
      <c r="S613" s="7"/>
      <c r="T613" s="7"/>
    </row>
    <row r="614" spans="3:20" x14ac:dyDescent="0.25">
      <c r="C614" s="7"/>
      <c r="D614" s="7"/>
      <c r="E614" s="7" t="s">
        <v>19</v>
      </c>
      <c r="F614" s="7">
        <v>2055</v>
      </c>
      <c r="G614" s="8" t="s">
        <v>20</v>
      </c>
      <c r="H614" s="19" t="s">
        <v>55</v>
      </c>
      <c r="I614" s="7" t="s">
        <v>56</v>
      </c>
      <c r="J614" s="8"/>
      <c r="K614" s="7"/>
      <c r="L614" s="7" t="s">
        <v>48</v>
      </c>
      <c r="M614" s="18">
        <f t="shared" si="164"/>
        <v>6.1744299999999996E-4</v>
      </c>
      <c r="N614" s="7"/>
      <c r="O614" s="7"/>
      <c r="P614" s="7"/>
      <c r="Q614" s="7"/>
      <c r="R614" s="7"/>
      <c r="S614" s="7"/>
      <c r="T614" s="7"/>
    </row>
    <row r="615" spans="3:20" x14ac:dyDescent="0.25">
      <c r="C615" s="7"/>
      <c r="D615" s="7"/>
      <c r="E615" s="7" t="s">
        <v>19</v>
      </c>
      <c r="F615" s="7">
        <v>2010</v>
      </c>
      <c r="G615" s="8" t="s">
        <v>20</v>
      </c>
      <c r="H615" s="19" t="s">
        <v>55</v>
      </c>
      <c r="I615" s="7" t="s">
        <v>56</v>
      </c>
      <c r="J615" s="8"/>
      <c r="K615" s="7"/>
      <c r="L615" s="7" t="s">
        <v>49</v>
      </c>
      <c r="M615" s="7">
        <f>'Emissions - REF'!$C$92</f>
        <v>2.2722135510000001</v>
      </c>
      <c r="N615" s="7"/>
      <c r="O615" s="7"/>
      <c r="P615" s="7"/>
      <c r="Q615" s="7"/>
      <c r="R615" s="7"/>
      <c r="S615" s="7"/>
      <c r="T615" s="7"/>
    </row>
    <row r="616" spans="3:20" x14ac:dyDescent="0.25">
      <c r="C616" s="7"/>
      <c r="D616" s="7"/>
      <c r="E616" s="7" t="s">
        <v>19</v>
      </c>
      <c r="F616" s="7">
        <v>2015</v>
      </c>
      <c r="G616" s="8" t="s">
        <v>20</v>
      </c>
      <c r="H616" s="19" t="s">
        <v>55</v>
      </c>
      <c r="I616" s="7" t="s">
        <v>56</v>
      </c>
      <c r="J616" s="8"/>
      <c r="K616" s="7"/>
      <c r="L616" s="7" t="s">
        <v>49</v>
      </c>
      <c r="M616" s="7">
        <f>'Emissions - REF'!$D$92</f>
        <v>2.2722135510000001</v>
      </c>
      <c r="N616" s="7"/>
      <c r="O616" s="7"/>
      <c r="P616" s="7"/>
      <c r="Q616" s="7"/>
      <c r="R616" s="7"/>
      <c r="S616" s="7"/>
      <c r="T616" s="7"/>
    </row>
    <row r="617" spans="3:20" x14ac:dyDescent="0.25">
      <c r="C617" s="7"/>
      <c r="D617" s="7"/>
      <c r="E617" s="7" t="s">
        <v>19</v>
      </c>
      <c r="F617" s="7">
        <v>2020</v>
      </c>
      <c r="G617" s="8" t="s">
        <v>20</v>
      </c>
      <c r="H617" s="19" t="s">
        <v>55</v>
      </c>
      <c r="I617" s="7" t="s">
        <v>56</v>
      </c>
      <c r="J617" s="8"/>
      <c r="K617" s="7"/>
      <c r="L617" s="7" t="s">
        <v>49</v>
      </c>
      <c r="M617" s="7">
        <f>'Emissions - REF'!$E$92</f>
        <v>2.2722135510000001</v>
      </c>
      <c r="N617" s="7"/>
      <c r="O617" s="7"/>
      <c r="P617" s="7"/>
      <c r="Q617" s="7"/>
      <c r="R617" s="7"/>
      <c r="S617" s="7"/>
      <c r="T617" s="7"/>
    </row>
    <row r="618" spans="3:20" x14ac:dyDescent="0.25">
      <c r="C618" s="7"/>
      <c r="D618" s="7"/>
      <c r="E618" s="7" t="s">
        <v>19</v>
      </c>
      <c r="F618" s="7">
        <v>2055</v>
      </c>
      <c r="G618" s="8" t="s">
        <v>20</v>
      </c>
      <c r="H618" s="19" t="s">
        <v>55</v>
      </c>
      <c r="I618" s="7" t="s">
        <v>56</v>
      </c>
      <c r="J618" s="8"/>
      <c r="K618" s="7"/>
      <c r="L618" s="7" t="s">
        <v>49</v>
      </c>
      <c r="M618" s="7">
        <f>M617</f>
        <v>2.2722135510000001</v>
      </c>
      <c r="N618" s="7"/>
      <c r="O618" s="7"/>
      <c r="P618" s="7"/>
      <c r="Q618" s="7"/>
      <c r="R618" s="7"/>
      <c r="S618" s="7"/>
      <c r="T618" s="7"/>
    </row>
    <row r="619" spans="3:20" x14ac:dyDescent="0.25">
      <c r="C619" s="7"/>
      <c r="D619" s="7"/>
      <c r="E619" s="7" t="s">
        <v>19</v>
      </c>
      <c r="F619" s="7">
        <v>2010</v>
      </c>
      <c r="G619" s="8" t="s">
        <v>20</v>
      </c>
      <c r="H619" s="19" t="s">
        <v>55</v>
      </c>
      <c r="I619" s="7" t="s">
        <v>56</v>
      </c>
      <c r="J619" s="8"/>
      <c r="K619" s="7"/>
      <c r="L619" s="7" t="s">
        <v>50</v>
      </c>
      <c r="M619" s="18">
        <f>M603</f>
        <v>3.0219699999999997E-3</v>
      </c>
      <c r="N619" s="7"/>
      <c r="O619" s="7"/>
      <c r="P619" s="7"/>
      <c r="Q619" s="7"/>
      <c r="R619" s="7"/>
      <c r="S619" s="7"/>
      <c r="T619" s="7"/>
    </row>
    <row r="620" spans="3:20" x14ac:dyDescent="0.25">
      <c r="C620" s="7"/>
      <c r="D620" s="7"/>
      <c r="E620" s="7" t="s">
        <v>19</v>
      </c>
      <c r="F620" s="7">
        <v>2015</v>
      </c>
      <c r="G620" s="8" t="s">
        <v>20</v>
      </c>
      <c r="H620" s="19" t="s">
        <v>55</v>
      </c>
      <c r="I620" s="7" t="s">
        <v>56</v>
      </c>
      <c r="J620" s="8"/>
      <c r="K620" s="7"/>
      <c r="L620" s="7" t="s">
        <v>50</v>
      </c>
      <c r="M620" s="18">
        <f t="shared" ref="M620:M622" si="165">M604</f>
        <v>2.6820859999999998E-3</v>
      </c>
      <c r="N620" s="7"/>
      <c r="O620" s="7"/>
      <c r="P620" s="7"/>
      <c r="Q620" s="7"/>
      <c r="R620" s="7"/>
      <c r="S620" s="7"/>
      <c r="T620" s="7"/>
    </row>
    <row r="621" spans="3:20" x14ac:dyDescent="0.25">
      <c r="C621" s="7"/>
      <c r="D621" s="7"/>
      <c r="E621" s="7" t="s">
        <v>19</v>
      </c>
      <c r="F621" s="7">
        <v>2020</v>
      </c>
      <c r="G621" s="8" t="s">
        <v>20</v>
      </c>
      <c r="H621" s="19" t="s">
        <v>55</v>
      </c>
      <c r="I621" s="7" t="s">
        <v>56</v>
      </c>
      <c r="J621" s="8"/>
      <c r="K621" s="7"/>
      <c r="L621" s="7" t="s">
        <v>50</v>
      </c>
      <c r="M621" s="18">
        <f t="shared" si="165"/>
        <v>2.5373420000000002E-3</v>
      </c>
      <c r="N621" s="7"/>
      <c r="O621" s="7"/>
      <c r="P621" s="7"/>
      <c r="Q621" s="7"/>
      <c r="R621" s="7"/>
      <c r="S621" s="7"/>
      <c r="T621" s="7"/>
    </row>
    <row r="622" spans="3:20" x14ac:dyDescent="0.25">
      <c r="C622" s="7"/>
      <c r="D622" s="7"/>
      <c r="E622" s="7" t="s">
        <v>19</v>
      </c>
      <c r="F622" s="7">
        <v>2055</v>
      </c>
      <c r="G622" s="8" t="s">
        <v>20</v>
      </c>
      <c r="H622" s="19" t="s">
        <v>55</v>
      </c>
      <c r="I622" s="7" t="s">
        <v>56</v>
      </c>
      <c r="J622" s="8"/>
      <c r="K622" s="7"/>
      <c r="L622" s="7" t="s">
        <v>50</v>
      </c>
      <c r="M622" s="18">
        <f t="shared" si="165"/>
        <v>2.5373420000000002E-3</v>
      </c>
      <c r="N622" s="7"/>
      <c r="O622" s="7"/>
      <c r="P622" s="7"/>
      <c r="Q622" s="7"/>
      <c r="R622" s="7"/>
      <c r="S622" s="7"/>
      <c r="T622" s="7"/>
    </row>
    <row r="623" spans="3:20" x14ac:dyDescent="0.25">
      <c r="C623" s="15" t="s">
        <v>33</v>
      </c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spans="3:20" x14ac:dyDescent="0.25">
      <c r="C624" s="7"/>
      <c r="D624" s="7"/>
      <c r="E624" s="7" t="s">
        <v>19</v>
      </c>
      <c r="F624" s="7">
        <v>2010</v>
      </c>
      <c r="G624" s="8" t="s">
        <v>20</v>
      </c>
      <c r="H624" s="19" t="s">
        <v>57</v>
      </c>
      <c r="I624" s="7" t="s">
        <v>58</v>
      </c>
      <c r="J624" s="8"/>
      <c r="K624" s="7"/>
      <c r="L624" s="7" t="s">
        <v>22</v>
      </c>
      <c r="M624" s="18">
        <f>M680/1000</f>
        <v>6.1188960520000002E-3</v>
      </c>
      <c r="N624" s="7"/>
      <c r="O624" s="7"/>
      <c r="P624" s="7"/>
      <c r="Q624" s="7"/>
      <c r="R624" s="7"/>
      <c r="S624" s="7"/>
      <c r="T624" s="7"/>
    </row>
    <row r="625" spans="3:20" x14ac:dyDescent="0.25">
      <c r="C625" s="7"/>
      <c r="D625" s="7"/>
      <c r="E625" s="7" t="s">
        <v>19</v>
      </c>
      <c r="F625" s="7">
        <v>2015</v>
      </c>
      <c r="G625" s="8" t="s">
        <v>20</v>
      </c>
      <c r="H625" s="19" t="s">
        <v>57</v>
      </c>
      <c r="I625" s="7" t="s">
        <v>58</v>
      </c>
      <c r="J625" s="8"/>
      <c r="K625" s="7"/>
      <c r="L625" s="7" t="s">
        <v>22</v>
      </c>
      <c r="M625" s="18">
        <f t="shared" ref="M625:M627" si="166">M681/1000</f>
        <v>6.1188960520000002E-3</v>
      </c>
      <c r="N625" s="7"/>
      <c r="O625" s="7"/>
      <c r="P625" s="7"/>
      <c r="Q625" s="7"/>
      <c r="R625" s="7"/>
      <c r="S625" s="7"/>
      <c r="T625" s="7"/>
    </row>
    <row r="626" spans="3:20" x14ac:dyDescent="0.25">
      <c r="C626" s="7"/>
      <c r="D626" s="7"/>
      <c r="E626" s="7" t="s">
        <v>19</v>
      </c>
      <c r="F626" s="7">
        <v>2020</v>
      </c>
      <c r="G626" s="8" t="s">
        <v>20</v>
      </c>
      <c r="H626" s="19" t="s">
        <v>57</v>
      </c>
      <c r="I626" s="7" t="s">
        <v>58</v>
      </c>
      <c r="J626" s="8"/>
      <c r="K626" s="7"/>
      <c r="L626" s="7" t="s">
        <v>22</v>
      </c>
      <c r="M626" s="18">
        <f t="shared" si="166"/>
        <v>6.1188960520000002E-3</v>
      </c>
      <c r="N626" s="7"/>
      <c r="O626" s="7"/>
      <c r="P626" s="7"/>
      <c r="Q626" s="7"/>
      <c r="R626" s="7"/>
      <c r="S626" s="7"/>
      <c r="T626" s="7"/>
    </row>
    <row r="627" spans="3:20" x14ac:dyDescent="0.25">
      <c r="C627" s="7"/>
      <c r="D627" s="7"/>
      <c r="E627" s="7" t="s">
        <v>19</v>
      </c>
      <c r="F627" s="7">
        <v>2055</v>
      </c>
      <c r="G627" s="8" t="s">
        <v>20</v>
      </c>
      <c r="H627" s="19" t="s">
        <v>57</v>
      </c>
      <c r="I627" s="7" t="s">
        <v>58</v>
      </c>
      <c r="J627" s="8"/>
      <c r="K627" s="7"/>
      <c r="L627" s="7" t="s">
        <v>22</v>
      </c>
      <c r="M627" s="18">
        <f t="shared" si="166"/>
        <v>6.1188960520000002E-3</v>
      </c>
      <c r="N627" s="7"/>
      <c r="O627" s="7"/>
      <c r="P627" s="7"/>
      <c r="Q627" s="7"/>
      <c r="R627" s="7"/>
      <c r="S627" s="7"/>
      <c r="T627" s="7"/>
    </row>
    <row r="628" spans="3:20" x14ac:dyDescent="0.25">
      <c r="C628" s="7"/>
      <c r="D628" s="7"/>
      <c r="E628" s="7" t="s">
        <v>19</v>
      </c>
      <c r="F628" s="7">
        <v>2010</v>
      </c>
      <c r="G628" s="8" t="s">
        <v>20</v>
      </c>
      <c r="H628" s="19" t="s">
        <v>57</v>
      </c>
      <c r="I628" s="7" t="s">
        <v>58</v>
      </c>
      <c r="J628" s="8"/>
      <c r="K628" s="7"/>
      <c r="L628" s="7" t="s">
        <v>23</v>
      </c>
      <c r="M628" s="18">
        <f>'Emissions - REF'!$C$58</f>
        <v>2.3189310000000002E-3</v>
      </c>
      <c r="N628" s="7"/>
      <c r="O628" s="7"/>
      <c r="P628" s="7"/>
      <c r="Q628" s="7"/>
      <c r="R628" s="7"/>
      <c r="S628" s="7"/>
      <c r="T628" s="7"/>
    </row>
    <row r="629" spans="3:20" x14ac:dyDescent="0.25">
      <c r="C629" s="7"/>
      <c r="D629" s="7"/>
      <c r="E629" s="7" t="s">
        <v>19</v>
      </c>
      <c r="F629" s="7">
        <v>2015</v>
      </c>
      <c r="G629" s="8" t="s">
        <v>20</v>
      </c>
      <c r="H629" s="19" t="s">
        <v>57</v>
      </c>
      <c r="I629" s="7" t="s">
        <v>58</v>
      </c>
      <c r="J629" s="8"/>
      <c r="K629" s="7"/>
      <c r="L629" s="7" t="s">
        <v>23</v>
      </c>
      <c r="M629" s="18">
        <f>'Emissions - REF'!$D$58</f>
        <v>2.3189310000000002E-3</v>
      </c>
      <c r="N629" s="7"/>
      <c r="O629" s="7"/>
      <c r="P629" s="7"/>
      <c r="Q629" s="7"/>
      <c r="R629" s="7"/>
      <c r="S629" s="7"/>
      <c r="T629" s="7"/>
    </row>
    <row r="630" spans="3:20" x14ac:dyDescent="0.25">
      <c r="C630" s="7"/>
      <c r="D630" s="7"/>
      <c r="E630" s="7" t="s">
        <v>19</v>
      </c>
      <c r="F630" s="7">
        <v>2020</v>
      </c>
      <c r="G630" s="8" t="s">
        <v>20</v>
      </c>
      <c r="H630" s="19" t="s">
        <v>57</v>
      </c>
      <c r="I630" s="7" t="s">
        <v>58</v>
      </c>
      <c r="J630" s="8"/>
      <c r="K630" s="7"/>
      <c r="L630" s="7" t="s">
        <v>23</v>
      </c>
      <c r="M630" s="18">
        <f>'Emissions - REF'!$E$58</f>
        <v>2.3189310000000002E-3</v>
      </c>
      <c r="N630" s="7"/>
      <c r="O630" s="7"/>
      <c r="P630" s="7"/>
      <c r="Q630" s="7"/>
      <c r="R630" s="7"/>
      <c r="S630" s="7"/>
      <c r="T630" s="7"/>
    </row>
    <row r="631" spans="3:20" x14ac:dyDescent="0.25">
      <c r="C631" s="7"/>
      <c r="D631" s="7"/>
      <c r="E631" s="7" t="s">
        <v>19</v>
      </c>
      <c r="F631" s="7">
        <v>2055</v>
      </c>
      <c r="G631" s="8" t="s">
        <v>20</v>
      </c>
      <c r="H631" s="19" t="s">
        <v>57</v>
      </c>
      <c r="I631" s="7" t="s">
        <v>58</v>
      </c>
      <c r="J631" s="8"/>
      <c r="K631" s="7"/>
      <c r="L631" s="7" t="s">
        <v>23</v>
      </c>
      <c r="M631" s="18">
        <f>M630</f>
        <v>2.3189310000000002E-3</v>
      </c>
      <c r="N631" s="7"/>
      <c r="O631" s="7"/>
      <c r="P631" s="7"/>
      <c r="Q631" s="7"/>
      <c r="R631" s="7"/>
      <c r="S631" s="7"/>
      <c r="T631" s="7"/>
    </row>
    <row r="632" spans="3:20" x14ac:dyDescent="0.25">
      <c r="C632" s="7"/>
      <c r="D632" s="7"/>
      <c r="E632" s="7" t="s">
        <v>19</v>
      </c>
      <c r="F632" s="7">
        <v>2010</v>
      </c>
      <c r="G632" s="8" t="s">
        <v>20</v>
      </c>
      <c r="H632" s="19" t="s">
        <v>57</v>
      </c>
      <c r="I632" s="7" t="s">
        <v>58</v>
      </c>
      <c r="J632" s="8"/>
      <c r="K632" s="7"/>
      <c r="L632" s="7" t="s">
        <v>24</v>
      </c>
      <c r="M632" s="18">
        <f>'Emissions - REF'!$C$59</f>
        <v>3.5551490000000001E-3</v>
      </c>
      <c r="N632" s="7"/>
      <c r="O632" s="7"/>
      <c r="P632" s="7"/>
      <c r="Q632" s="7"/>
      <c r="R632" s="7"/>
      <c r="S632" s="7"/>
      <c r="T632" s="7"/>
    </row>
    <row r="633" spans="3:20" x14ac:dyDescent="0.25">
      <c r="C633" s="7"/>
      <c r="D633" s="7"/>
      <c r="E633" s="7" t="s">
        <v>19</v>
      </c>
      <c r="F633" s="7">
        <v>2015</v>
      </c>
      <c r="G633" s="8" t="s">
        <v>20</v>
      </c>
      <c r="H633" s="19" t="s">
        <v>57</v>
      </c>
      <c r="I633" s="7" t="s">
        <v>58</v>
      </c>
      <c r="J633" s="8"/>
      <c r="K633" s="7"/>
      <c r="L633" s="7" t="s">
        <v>24</v>
      </c>
      <c r="M633" s="18">
        <f>'Emissions - REF'!$D$59</f>
        <v>3.5551490000000001E-3</v>
      </c>
      <c r="N633" s="7"/>
      <c r="O633" s="7"/>
      <c r="P633" s="7"/>
      <c r="Q633" s="7"/>
      <c r="R633" s="7"/>
      <c r="S633" s="7"/>
      <c r="T633" s="7"/>
    </row>
    <row r="634" spans="3:20" x14ac:dyDescent="0.25">
      <c r="C634" s="7"/>
      <c r="D634" s="7"/>
      <c r="E634" s="7" t="s">
        <v>19</v>
      </c>
      <c r="F634" s="7">
        <v>2020</v>
      </c>
      <c r="G634" s="8" t="s">
        <v>20</v>
      </c>
      <c r="H634" s="19" t="s">
        <v>57</v>
      </c>
      <c r="I634" s="7" t="s">
        <v>58</v>
      </c>
      <c r="J634" s="8"/>
      <c r="K634" s="7"/>
      <c r="L634" s="7" t="s">
        <v>24</v>
      </c>
      <c r="M634" s="18">
        <f>'Emissions - REF'!$E$59</f>
        <v>3.5551490000000001E-3</v>
      </c>
      <c r="N634" s="7"/>
      <c r="O634" s="7"/>
      <c r="P634" s="7"/>
      <c r="Q634" s="7"/>
      <c r="R634" s="7"/>
      <c r="S634" s="7"/>
      <c r="T634" s="7"/>
    </row>
    <row r="635" spans="3:20" x14ac:dyDescent="0.25">
      <c r="C635" s="7"/>
      <c r="D635" s="7"/>
      <c r="E635" s="7" t="s">
        <v>19</v>
      </c>
      <c r="F635" s="7">
        <v>2055</v>
      </c>
      <c r="G635" s="8" t="s">
        <v>20</v>
      </c>
      <c r="H635" s="19" t="s">
        <v>57</v>
      </c>
      <c r="I635" s="7" t="s">
        <v>58</v>
      </c>
      <c r="J635" s="8"/>
      <c r="K635" s="7"/>
      <c r="L635" s="7" t="s">
        <v>24</v>
      </c>
      <c r="M635" s="18">
        <f>M634</f>
        <v>3.5551490000000001E-3</v>
      </c>
      <c r="N635" s="7"/>
      <c r="O635" s="7"/>
      <c r="P635" s="7"/>
      <c r="Q635" s="7"/>
      <c r="R635" s="7"/>
      <c r="S635" s="7"/>
      <c r="T635" s="7"/>
    </row>
    <row r="636" spans="3:20" x14ac:dyDescent="0.25">
      <c r="C636" s="7"/>
      <c r="D636" s="7"/>
      <c r="E636" s="7" t="s">
        <v>19</v>
      </c>
      <c r="F636" s="7">
        <v>2010</v>
      </c>
      <c r="G636" s="8" t="s">
        <v>20</v>
      </c>
      <c r="H636" s="19" t="s">
        <v>57</v>
      </c>
      <c r="I636" s="7" t="s">
        <v>58</v>
      </c>
      <c r="J636" s="8"/>
      <c r="K636" s="7"/>
      <c r="L636" s="7" t="s">
        <v>25</v>
      </c>
      <c r="M636" s="18">
        <f>'Emissions - REF'!$C$60</f>
        <v>8.1385390000000002E-3</v>
      </c>
      <c r="N636" s="7"/>
      <c r="O636" s="7"/>
      <c r="P636" s="7"/>
      <c r="Q636" s="7"/>
      <c r="R636" s="7"/>
      <c r="S636" s="7"/>
      <c r="T636" s="7"/>
    </row>
    <row r="637" spans="3:20" x14ac:dyDescent="0.25">
      <c r="C637" s="7"/>
      <c r="D637" s="7"/>
      <c r="E637" s="7" t="s">
        <v>19</v>
      </c>
      <c r="F637" s="7">
        <v>2015</v>
      </c>
      <c r="G637" s="8" t="s">
        <v>20</v>
      </c>
      <c r="H637" s="19" t="s">
        <v>57</v>
      </c>
      <c r="I637" s="7" t="s">
        <v>58</v>
      </c>
      <c r="J637" s="8"/>
      <c r="K637" s="7"/>
      <c r="L637" s="7" t="s">
        <v>25</v>
      </c>
      <c r="M637" s="18">
        <f>'Emissions - REF'!$D$60</f>
        <v>7.2228180000000006E-3</v>
      </c>
      <c r="N637" s="7"/>
      <c r="O637" s="7"/>
      <c r="P637" s="7"/>
      <c r="Q637" s="7"/>
      <c r="R637" s="7"/>
      <c r="S637" s="7"/>
      <c r="T637" s="7"/>
    </row>
    <row r="638" spans="3:20" x14ac:dyDescent="0.25">
      <c r="C638" s="7"/>
      <c r="D638" s="7"/>
      <c r="E638" s="7" t="s">
        <v>19</v>
      </c>
      <c r="F638" s="7">
        <v>2020</v>
      </c>
      <c r="G638" s="8" t="s">
        <v>20</v>
      </c>
      <c r="H638" s="19" t="s">
        <v>57</v>
      </c>
      <c r="I638" s="7" t="s">
        <v>58</v>
      </c>
      <c r="J638" s="8"/>
      <c r="K638" s="7"/>
      <c r="L638" s="7" t="s">
        <v>25</v>
      </c>
      <c r="M638" s="18">
        <f>'Emissions - REF'!$E$60</f>
        <v>6.8328519999999995E-3</v>
      </c>
      <c r="N638" s="7"/>
      <c r="O638" s="7"/>
      <c r="P638" s="7"/>
      <c r="Q638" s="7"/>
      <c r="R638" s="7"/>
      <c r="S638" s="7"/>
      <c r="T638" s="7"/>
    </row>
    <row r="639" spans="3:20" x14ac:dyDescent="0.25">
      <c r="C639" s="7"/>
      <c r="D639" s="7"/>
      <c r="E639" s="7" t="s">
        <v>19</v>
      </c>
      <c r="F639" s="7">
        <v>2055</v>
      </c>
      <c r="G639" s="8" t="s">
        <v>20</v>
      </c>
      <c r="H639" s="19" t="s">
        <v>57</v>
      </c>
      <c r="I639" s="7" t="s">
        <v>58</v>
      </c>
      <c r="J639" s="8"/>
      <c r="K639" s="7"/>
      <c r="L639" s="7" t="s">
        <v>25</v>
      </c>
      <c r="M639" s="18">
        <f>M638</f>
        <v>6.8328519999999995E-3</v>
      </c>
      <c r="N639" s="7"/>
      <c r="O639" s="7"/>
      <c r="P639" s="7"/>
      <c r="Q639" s="7"/>
      <c r="R639" s="7"/>
      <c r="S639" s="7"/>
      <c r="T639" s="7"/>
    </row>
    <row r="640" spans="3:20" x14ac:dyDescent="0.25">
      <c r="C640" s="7"/>
      <c r="D640" s="7"/>
      <c r="E640" s="7" t="s">
        <v>19</v>
      </c>
      <c r="F640" s="7">
        <v>2010</v>
      </c>
      <c r="G640" s="8" t="s">
        <v>20</v>
      </c>
      <c r="H640" s="19" t="s">
        <v>57</v>
      </c>
      <c r="I640" s="7" t="s">
        <v>58</v>
      </c>
      <c r="J640" s="8"/>
      <c r="K640" s="7"/>
      <c r="L640" s="7" t="s">
        <v>26</v>
      </c>
      <c r="M640" s="18">
        <f>'Emissions - REF'!$C$61</f>
        <v>1.9520940000000001E-3</v>
      </c>
      <c r="N640" s="7"/>
      <c r="O640" s="7"/>
      <c r="P640" s="7"/>
      <c r="Q640" s="7"/>
      <c r="R640" s="7"/>
      <c r="S640" s="7"/>
      <c r="T640" s="7"/>
    </row>
    <row r="641" spans="3:20" x14ac:dyDescent="0.25">
      <c r="C641" s="7"/>
      <c r="D641" s="7"/>
      <c r="E641" s="7" t="s">
        <v>19</v>
      </c>
      <c r="F641" s="7">
        <v>2015</v>
      </c>
      <c r="G641" s="8" t="s">
        <v>20</v>
      </c>
      <c r="H641" s="19" t="s">
        <v>57</v>
      </c>
      <c r="I641" s="7" t="s">
        <v>58</v>
      </c>
      <c r="J641" s="8"/>
      <c r="K641" s="7"/>
      <c r="L641" s="7" t="s">
        <v>26</v>
      </c>
      <c r="M641" s="18">
        <f>'Emissions - REF'!$D$61</f>
        <v>1.735997E-3</v>
      </c>
      <c r="N641" s="7"/>
      <c r="O641" s="7"/>
      <c r="P641" s="7"/>
      <c r="Q641" s="7"/>
      <c r="R641" s="7"/>
      <c r="S641" s="7"/>
      <c r="T641" s="7"/>
    </row>
    <row r="642" spans="3:20" x14ac:dyDescent="0.25">
      <c r="C642" s="7"/>
      <c r="D642" s="7"/>
      <c r="E642" s="7" t="s">
        <v>19</v>
      </c>
      <c r="F642" s="7">
        <v>2020</v>
      </c>
      <c r="G642" s="8" t="s">
        <v>20</v>
      </c>
      <c r="H642" s="19" t="s">
        <v>57</v>
      </c>
      <c r="I642" s="7" t="s">
        <v>58</v>
      </c>
      <c r="J642" s="8"/>
      <c r="K642" s="7"/>
      <c r="L642" s="7" t="s">
        <v>26</v>
      </c>
      <c r="M642" s="18">
        <f>'Emissions - REF'!$E$61</f>
        <v>1.663348E-3</v>
      </c>
      <c r="N642" s="7"/>
      <c r="O642" s="7"/>
      <c r="P642" s="7"/>
      <c r="Q642" s="7"/>
      <c r="R642" s="7"/>
      <c r="S642" s="7"/>
      <c r="T642" s="7"/>
    </row>
    <row r="643" spans="3:20" x14ac:dyDescent="0.25">
      <c r="C643" s="7"/>
      <c r="D643" s="7"/>
      <c r="E643" s="7" t="s">
        <v>19</v>
      </c>
      <c r="F643" s="7">
        <v>2055</v>
      </c>
      <c r="G643" s="8" t="s">
        <v>20</v>
      </c>
      <c r="H643" s="19" t="s">
        <v>57</v>
      </c>
      <c r="I643" s="7" t="s">
        <v>58</v>
      </c>
      <c r="J643" s="8"/>
      <c r="K643" s="7"/>
      <c r="L643" s="7" t="s">
        <v>26</v>
      </c>
      <c r="M643" s="18">
        <f>M642</f>
        <v>1.663348E-3</v>
      </c>
      <c r="N643" s="7"/>
      <c r="O643" s="7"/>
      <c r="P643" s="7"/>
      <c r="Q643" s="7"/>
      <c r="R643" s="7"/>
      <c r="S643" s="7"/>
      <c r="T643" s="7"/>
    </row>
    <row r="644" spans="3:20" x14ac:dyDescent="0.25">
      <c r="C644" s="7"/>
      <c r="D644" s="7"/>
      <c r="E644" s="7" t="s">
        <v>19</v>
      </c>
      <c r="F644" s="7">
        <v>2010</v>
      </c>
      <c r="G644" s="8" t="s">
        <v>20</v>
      </c>
      <c r="H644" s="19" t="s">
        <v>57</v>
      </c>
      <c r="I644" s="7" t="s">
        <v>58</v>
      </c>
      <c r="J644" s="8"/>
      <c r="K644" s="7"/>
      <c r="L644" s="7" t="s">
        <v>27</v>
      </c>
      <c r="M644" s="18">
        <f>'Emissions - REF'!$C$62</f>
        <v>1.0856349999999999E-3</v>
      </c>
      <c r="N644" s="7"/>
      <c r="O644" s="7"/>
      <c r="P644" s="7"/>
      <c r="Q644" s="7"/>
      <c r="R644" s="7"/>
      <c r="S644" s="7"/>
      <c r="T644" s="7"/>
    </row>
    <row r="645" spans="3:20" x14ac:dyDescent="0.25">
      <c r="C645" s="7"/>
      <c r="D645" s="7"/>
      <c r="E645" s="7" t="s">
        <v>19</v>
      </c>
      <c r="F645" s="7">
        <v>2015</v>
      </c>
      <c r="G645" s="8" t="s">
        <v>20</v>
      </c>
      <c r="H645" s="19" t="s">
        <v>57</v>
      </c>
      <c r="I645" s="7" t="s">
        <v>58</v>
      </c>
      <c r="J645" s="8"/>
      <c r="K645" s="7"/>
      <c r="L645" s="7" t="s">
        <v>27</v>
      </c>
      <c r="M645" s="18">
        <f>'Emissions - REF'!$D$62</f>
        <v>1.012619E-3</v>
      </c>
      <c r="N645" s="7"/>
      <c r="O645" s="7"/>
      <c r="P645" s="7"/>
      <c r="Q645" s="7"/>
      <c r="R645" s="7"/>
      <c r="S645" s="7"/>
      <c r="T645" s="7"/>
    </row>
    <row r="646" spans="3:20" x14ac:dyDescent="0.25">
      <c r="C646" s="7"/>
      <c r="D646" s="7"/>
      <c r="E646" s="7" t="s">
        <v>19</v>
      </c>
      <c r="F646" s="7">
        <v>2020</v>
      </c>
      <c r="G646" s="8" t="s">
        <v>20</v>
      </c>
      <c r="H646" s="19" t="s">
        <v>57</v>
      </c>
      <c r="I646" s="7" t="s">
        <v>58</v>
      </c>
      <c r="J646" s="8"/>
      <c r="K646" s="7"/>
      <c r="L646" s="7" t="s">
        <v>27</v>
      </c>
      <c r="M646" s="18">
        <f>'Emissions - REF'!$E$62</f>
        <v>9.4054800000000004E-4</v>
      </c>
      <c r="N646" s="7"/>
      <c r="O646" s="7"/>
      <c r="P646" s="7"/>
      <c r="Q646" s="7"/>
      <c r="R646" s="7"/>
      <c r="S646" s="7"/>
      <c r="T646" s="7"/>
    </row>
    <row r="647" spans="3:20" x14ac:dyDescent="0.25">
      <c r="C647" s="7"/>
      <c r="D647" s="7"/>
      <c r="E647" s="7" t="s">
        <v>19</v>
      </c>
      <c r="F647" s="7">
        <v>2055</v>
      </c>
      <c r="G647" s="8" t="s">
        <v>20</v>
      </c>
      <c r="H647" s="19" t="s">
        <v>57</v>
      </c>
      <c r="I647" s="7" t="s">
        <v>58</v>
      </c>
      <c r="J647" s="8"/>
      <c r="K647" s="7"/>
      <c r="L647" s="7" t="s">
        <v>27</v>
      </c>
      <c r="M647" s="18">
        <f>M646</f>
        <v>9.4054800000000004E-4</v>
      </c>
      <c r="N647" s="7"/>
      <c r="O647" s="7"/>
      <c r="P647" s="7"/>
      <c r="Q647" s="7"/>
      <c r="R647" s="7"/>
      <c r="S647" s="7"/>
      <c r="T647" s="7"/>
    </row>
    <row r="648" spans="3:20" x14ac:dyDescent="0.25">
      <c r="C648" s="7"/>
      <c r="D648" s="7"/>
      <c r="E648" s="7" t="s">
        <v>19</v>
      </c>
      <c r="F648" s="7">
        <v>2010</v>
      </c>
      <c r="G648" s="8" t="s">
        <v>20</v>
      </c>
      <c r="H648" s="19" t="s">
        <v>57</v>
      </c>
      <c r="I648" s="7" t="s">
        <v>58</v>
      </c>
      <c r="J648" s="8"/>
      <c r="K648" s="7"/>
      <c r="L648" s="7" t="s">
        <v>28</v>
      </c>
      <c r="M648" s="18">
        <f>'Emissions - REF'!$C$63</f>
        <v>7.0967230000000001E-3</v>
      </c>
      <c r="N648" s="7"/>
      <c r="O648" s="7"/>
      <c r="P648" s="7"/>
      <c r="Q648" s="7"/>
      <c r="R648" s="7"/>
      <c r="S648" s="7"/>
      <c r="T648" s="7"/>
    </row>
    <row r="649" spans="3:20" x14ac:dyDescent="0.25">
      <c r="C649" s="7"/>
      <c r="D649" s="7"/>
      <c r="E649" s="7" t="s">
        <v>19</v>
      </c>
      <c r="F649" s="7">
        <v>2015</v>
      </c>
      <c r="G649" s="8" t="s">
        <v>20</v>
      </c>
      <c r="H649" s="19" t="s">
        <v>57</v>
      </c>
      <c r="I649" s="7" t="s">
        <v>58</v>
      </c>
      <c r="J649" s="8"/>
      <c r="K649" s="7"/>
      <c r="L649" s="7" t="s">
        <v>28</v>
      </c>
      <c r="M649" s="18">
        <f>'Emissions - REF'!$D$63</f>
        <v>6.1027629999999998E-3</v>
      </c>
      <c r="N649" s="7"/>
      <c r="O649" s="7"/>
      <c r="P649" s="7"/>
      <c r="Q649" s="7"/>
      <c r="R649" s="7"/>
      <c r="S649" s="7"/>
      <c r="T649" s="7"/>
    </row>
    <row r="650" spans="3:20" x14ac:dyDescent="0.25">
      <c r="C650" s="7"/>
      <c r="D650" s="7"/>
      <c r="E650" s="7" t="s">
        <v>19</v>
      </c>
      <c r="F650" s="7">
        <v>2020</v>
      </c>
      <c r="G650" s="8" t="s">
        <v>20</v>
      </c>
      <c r="H650" s="19" t="s">
        <v>57</v>
      </c>
      <c r="I650" s="7" t="s">
        <v>58</v>
      </c>
      <c r="J650" s="8"/>
      <c r="K650" s="7"/>
      <c r="L650" s="7" t="s">
        <v>28</v>
      </c>
      <c r="M650" s="18">
        <f>'Emissions - REF'!$E$63</f>
        <v>5.6767799999999993E-3</v>
      </c>
      <c r="N650" s="7"/>
      <c r="O650" s="7"/>
      <c r="P650" s="7"/>
      <c r="Q650" s="7"/>
      <c r="R650" s="7"/>
      <c r="S650" s="7"/>
      <c r="T650" s="7"/>
    </row>
    <row r="651" spans="3:20" x14ac:dyDescent="0.25">
      <c r="C651" s="7"/>
      <c r="D651" s="7"/>
      <c r="E651" s="7" t="s">
        <v>19</v>
      </c>
      <c r="F651" s="7">
        <v>2055</v>
      </c>
      <c r="G651" s="8" t="s">
        <v>20</v>
      </c>
      <c r="H651" s="19" t="s">
        <v>57</v>
      </c>
      <c r="I651" s="7" t="s">
        <v>58</v>
      </c>
      <c r="J651" s="8"/>
      <c r="K651" s="7"/>
      <c r="L651" s="7" t="s">
        <v>28</v>
      </c>
      <c r="M651" s="18">
        <f>M650</f>
        <v>5.6767799999999993E-3</v>
      </c>
      <c r="N651" s="7"/>
      <c r="O651" s="7"/>
      <c r="P651" s="7"/>
      <c r="Q651" s="7"/>
      <c r="R651" s="7"/>
      <c r="S651" s="7"/>
      <c r="T651" s="7"/>
    </row>
    <row r="652" spans="3:20" x14ac:dyDescent="0.25">
      <c r="C652" s="7"/>
      <c r="D652" s="7"/>
      <c r="E652" s="7" t="s">
        <v>19</v>
      </c>
      <c r="F652" s="7">
        <v>2010</v>
      </c>
      <c r="G652" s="8" t="s">
        <v>20</v>
      </c>
      <c r="H652" s="19" t="s">
        <v>57</v>
      </c>
      <c r="I652" s="7" t="s">
        <v>58</v>
      </c>
      <c r="J652" s="8"/>
      <c r="K652" s="7"/>
      <c r="L652" s="7" t="s">
        <v>29</v>
      </c>
      <c r="M652" s="18">
        <f>'Emissions - REF'!$C$64</f>
        <v>1.86214E-4</v>
      </c>
      <c r="N652" s="7"/>
      <c r="O652" s="7"/>
      <c r="P652" s="7"/>
      <c r="Q652" s="7"/>
      <c r="R652" s="7"/>
      <c r="S652" s="7"/>
      <c r="T652" s="7"/>
    </row>
    <row r="653" spans="3:20" x14ac:dyDescent="0.25">
      <c r="C653" s="7"/>
      <c r="D653" s="7"/>
      <c r="E653" s="7" t="s">
        <v>19</v>
      </c>
      <c r="F653" s="7">
        <v>2015</v>
      </c>
      <c r="G653" s="8" t="s">
        <v>20</v>
      </c>
      <c r="H653" s="19" t="s">
        <v>57</v>
      </c>
      <c r="I653" s="7" t="s">
        <v>58</v>
      </c>
      <c r="J653" s="8"/>
      <c r="K653" s="7"/>
      <c r="L653" s="7" t="s">
        <v>29</v>
      </c>
      <c r="M653" s="18">
        <f>'Emissions - REF'!$D$64</f>
        <v>1.86214E-4</v>
      </c>
      <c r="N653" s="7"/>
      <c r="O653" s="7"/>
      <c r="P653" s="7"/>
      <c r="Q653" s="7"/>
      <c r="R653" s="7"/>
      <c r="S653" s="7"/>
      <c r="T653" s="7"/>
    </row>
    <row r="654" spans="3:20" x14ac:dyDescent="0.25">
      <c r="C654" s="7"/>
      <c r="D654" s="7"/>
      <c r="E654" s="7" t="s">
        <v>19</v>
      </c>
      <c r="F654" s="7">
        <v>2020</v>
      </c>
      <c r="G654" s="8" t="s">
        <v>20</v>
      </c>
      <c r="H654" s="19" t="s">
        <v>57</v>
      </c>
      <c r="I654" s="7" t="s">
        <v>58</v>
      </c>
      <c r="J654" s="8"/>
      <c r="K654" s="7"/>
      <c r="L654" s="7" t="s">
        <v>29</v>
      </c>
      <c r="M654" s="18">
        <f>'Emissions - REF'!$E$64</f>
        <v>1.86214E-4</v>
      </c>
      <c r="N654" s="7"/>
      <c r="O654" s="7"/>
      <c r="P654" s="7"/>
      <c r="Q654" s="7"/>
      <c r="R654" s="7"/>
      <c r="S654" s="7"/>
      <c r="T654" s="7"/>
    </row>
    <row r="655" spans="3:20" x14ac:dyDescent="0.25">
      <c r="C655" s="7"/>
      <c r="D655" s="7"/>
      <c r="E655" s="7" t="s">
        <v>19</v>
      </c>
      <c r="F655" s="7">
        <v>2055</v>
      </c>
      <c r="G655" s="8" t="s">
        <v>20</v>
      </c>
      <c r="H655" s="19" t="s">
        <v>57</v>
      </c>
      <c r="I655" s="7" t="s">
        <v>58</v>
      </c>
      <c r="J655" s="8"/>
      <c r="K655" s="7"/>
      <c r="L655" s="7" t="s">
        <v>29</v>
      </c>
      <c r="M655" s="18">
        <f>M654</f>
        <v>1.86214E-4</v>
      </c>
      <c r="N655" s="7"/>
      <c r="O655" s="7"/>
      <c r="P655" s="7"/>
      <c r="Q655" s="7"/>
      <c r="R655" s="7"/>
      <c r="S655" s="7"/>
      <c r="T655" s="7"/>
    </row>
    <row r="656" spans="3:20" x14ac:dyDescent="0.25">
      <c r="C656" s="7"/>
      <c r="D656" s="7"/>
      <c r="E656" s="7" t="s">
        <v>19</v>
      </c>
      <c r="F656" s="7">
        <v>2010</v>
      </c>
      <c r="G656" s="8" t="s">
        <v>20</v>
      </c>
      <c r="H656" s="19" t="s">
        <v>57</v>
      </c>
      <c r="I656" s="7" t="s">
        <v>58</v>
      </c>
      <c r="J656" s="8"/>
      <c r="K656" s="7"/>
      <c r="L656" s="7" t="s">
        <v>30</v>
      </c>
      <c r="M656" s="18">
        <f>'Emissions - REF'!$C$65</f>
        <v>9.9753000000000005E-5</v>
      </c>
      <c r="N656" s="7"/>
      <c r="O656" s="7"/>
      <c r="P656" s="7"/>
      <c r="Q656" s="7"/>
      <c r="R656" s="7"/>
      <c r="S656" s="7"/>
      <c r="T656" s="7"/>
    </row>
    <row r="657" spans="3:20" x14ac:dyDescent="0.25">
      <c r="C657" s="7"/>
      <c r="D657" s="7"/>
      <c r="E657" s="7" t="s">
        <v>19</v>
      </c>
      <c r="F657" s="7">
        <v>2015</v>
      </c>
      <c r="G657" s="8" t="s">
        <v>20</v>
      </c>
      <c r="H657" s="19" t="s">
        <v>57</v>
      </c>
      <c r="I657" s="7" t="s">
        <v>58</v>
      </c>
      <c r="J657" s="8"/>
      <c r="K657" s="7"/>
      <c r="L657" s="7" t="s">
        <v>30</v>
      </c>
      <c r="M657" s="18">
        <f>'Emissions - REF'!$D$65</f>
        <v>9.9753000000000005E-5</v>
      </c>
      <c r="N657" s="7"/>
      <c r="O657" s="7"/>
      <c r="P657" s="7"/>
      <c r="Q657" s="7"/>
      <c r="R657" s="7"/>
      <c r="S657" s="7"/>
      <c r="T657" s="7"/>
    </row>
    <row r="658" spans="3:20" x14ac:dyDescent="0.25">
      <c r="C658" s="7"/>
      <c r="D658" s="7"/>
      <c r="E658" s="7" t="s">
        <v>19</v>
      </c>
      <c r="F658" s="7">
        <v>2020</v>
      </c>
      <c r="G658" s="8" t="s">
        <v>20</v>
      </c>
      <c r="H658" s="19" t="s">
        <v>57</v>
      </c>
      <c r="I658" s="7" t="s">
        <v>58</v>
      </c>
      <c r="J658" s="8"/>
      <c r="K658" s="7"/>
      <c r="L658" s="7" t="s">
        <v>30</v>
      </c>
      <c r="M658" s="18">
        <f>'Emissions - REF'!$E$65</f>
        <v>9.9753000000000005E-5</v>
      </c>
      <c r="N658" s="7"/>
      <c r="O658" s="7"/>
      <c r="P658" s="7"/>
      <c r="Q658" s="7"/>
      <c r="R658" s="7"/>
      <c r="S658" s="7"/>
      <c r="T658" s="7"/>
    </row>
    <row r="659" spans="3:20" x14ac:dyDescent="0.25">
      <c r="C659" s="7"/>
      <c r="D659" s="7"/>
      <c r="E659" s="7" t="s">
        <v>19</v>
      </c>
      <c r="F659" s="7">
        <v>2055</v>
      </c>
      <c r="G659" s="8" t="s">
        <v>20</v>
      </c>
      <c r="H659" s="19" t="s">
        <v>57</v>
      </c>
      <c r="I659" s="7" t="s">
        <v>58</v>
      </c>
      <c r="J659" s="8"/>
      <c r="K659" s="7"/>
      <c r="L659" s="7" t="s">
        <v>30</v>
      </c>
      <c r="M659" s="18">
        <f>M658</f>
        <v>9.9753000000000005E-5</v>
      </c>
      <c r="N659" s="7"/>
      <c r="O659" s="7"/>
      <c r="P659" s="7"/>
      <c r="Q659" s="7"/>
      <c r="R659" s="7"/>
      <c r="S659" s="7"/>
      <c r="T659" s="7"/>
    </row>
    <row r="660" spans="3:20" x14ac:dyDescent="0.25">
      <c r="C660" s="7"/>
      <c r="D660" s="7"/>
      <c r="E660" s="7" t="s">
        <v>19</v>
      </c>
      <c r="F660" s="7">
        <v>2010</v>
      </c>
      <c r="G660" s="8" t="s">
        <v>20</v>
      </c>
      <c r="H660" s="19" t="s">
        <v>57</v>
      </c>
      <c r="I660" s="7" t="s">
        <v>58</v>
      </c>
      <c r="J660" s="8"/>
      <c r="K660" s="7"/>
      <c r="L660" s="7" t="s">
        <v>31</v>
      </c>
      <c r="M660" s="7">
        <v>1E-4</v>
      </c>
      <c r="N660" s="7"/>
      <c r="O660" s="7"/>
      <c r="P660" s="7"/>
      <c r="Q660" s="7"/>
      <c r="R660" s="7"/>
      <c r="S660" s="7"/>
      <c r="T660" s="7"/>
    </row>
    <row r="661" spans="3:20" x14ac:dyDescent="0.25">
      <c r="C661" s="7"/>
      <c r="D661" s="7"/>
      <c r="E661" s="7" t="s">
        <v>19</v>
      </c>
      <c r="F661" s="7">
        <v>2015</v>
      </c>
      <c r="G661" s="8" t="s">
        <v>20</v>
      </c>
      <c r="H661" s="19" t="s">
        <v>57</v>
      </c>
      <c r="I661" s="7" t="s">
        <v>58</v>
      </c>
      <c r="J661" s="8"/>
      <c r="K661" s="7"/>
      <c r="L661" s="7" t="s">
        <v>31</v>
      </c>
      <c r="M661" s="7">
        <f>M660</f>
        <v>1E-4</v>
      </c>
      <c r="N661" s="7"/>
      <c r="O661" s="7"/>
      <c r="P661" s="7"/>
      <c r="Q661" s="7"/>
      <c r="R661" s="7"/>
      <c r="S661" s="7"/>
      <c r="T661" s="7"/>
    </row>
    <row r="662" spans="3:20" x14ac:dyDescent="0.25">
      <c r="C662" s="7"/>
      <c r="D662" s="7"/>
      <c r="E662" s="7" t="s">
        <v>19</v>
      </c>
      <c r="F662" s="7">
        <v>2020</v>
      </c>
      <c r="G662" s="8" t="s">
        <v>20</v>
      </c>
      <c r="H662" s="19" t="s">
        <v>57</v>
      </c>
      <c r="I662" s="7" t="s">
        <v>58</v>
      </c>
      <c r="J662" s="8"/>
      <c r="K662" s="7"/>
      <c r="L662" s="7" t="s">
        <v>31</v>
      </c>
      <c r="M662" s="7">
        <f t="shared" ref="M662:M663" si="167">M661</f>
        <v>1E-4</v>
      </c>
      <c r="N662" s="7"/>
      <c r="O662" s="7"/>
      <c r="P662" s="7"/>
      <c r="Q662" s="7"/>
      <c r="R662" s="7"/>
      <c r="S662" s="7"/>
      <c r="T662" s="7"/>
    </row>
    <row r="663" spans="3:20" x14ac:dyDescent="0.25">
      <c r="C663" s="7"/>
      <c r="D663" s="7"/>
      <c r="E663" s="7" t="s">
        <v>19</v>
      </c>
      <c r="F663" s="7">
        <v>2055</v>
      </c>
      <c r="G663" s="8" t="s">
        <v>20</v>
      </c>
      <c r="H663" s="19" t="s">
        <v>57</v>
      </c>
      <c r="I663" s="7" t="s">
        <v>58</v>
      </c>
      <c r="J663" s="8"/>
      <c r="K663" s="7"/>
      <c r="L663" s="7" t="s">
        <v>31</v>
      </c>
      <c r="M663" s="7">
        <f t="shared" si="167"/>
        <v>1E-4</v>
      </c>
      <c r="N663" s="7"/>
      <c r="O663" s="7"/>
      <c r="P663" s="7"/>
      <c r="Q663" s="7"/>
      <c r="R663" s="7"/>
      <c r="S663" s="7"/>
      <c r="T663" s="7"/>
    </row>
    <row r="664" spans="3:20" x14ac:dyDescent="0.25">
      <c r="C664" s="7"/>
      <c r="D664" s="7"/>
      <c r="E664" s="7" t="s">
        <v>19</v>
      </c>
      <c r="F664" s="7">
        <v>2010</v>
      </c>
      <c r="G664" s="8" t="s">
        <v>20</v>
      </c>
      <c r="H664" s="19" t="s">
        <v>57</v>
      </c>
      <c r="I664" s="7" t="s">
        <v>58</v>
      </c>
      <c r="J664" s="8"/>
      <c r="K664" s="7"/>
      <c r="L664" s="7" t="s">
        <v>32</v>
      </c>
      <c r="M664" s="7">
        <v>2.0000000000000001E-4</v>
      </c>
      <c r="N664" s="7"/>
      <c r="O664" s="7"/>
      <c r="P664" s="7"/>
      <c r="Q664" s="7"/>
      <c r="R664" s="7"/>
      <c r="S664" s="7"/>
      <c r="T664" s="7"/>
    </row>
    <row r="665" spans="3:20" x14ac:dyDescent="0.25">
      <c r="C665" s="7"/>
      <c r="D665" s="7"/>
      <c r="E665" s="7" t="s">
        <v>19</v>
      </c>
      <c r="F665" s="7">
        <v>2015</v>
      </c>
      <c r="G665" s="8" t="s">
        <v>20</v>
      </c>
      <c r="H665" s="19" t="s">
        <v>57</v>
      </c>
      <c r="I665" s="7" t="s">
        <v>58</v>
      </c>
      <c r="J665" s="8"/>
      <c r="K665" s="7"/>
      <c r="L665" s="7" t="s">
        <v>32</v>
      </c>
      <c r="M665" s="7">
        <f>M664</f>
        <v>2.0000000000000001E-4</v>
      </c>
      <c r="N665" s="7"/>
      <c r="O665" s="7"/>
      <c r="P665" s="7"/>
      <c r="Q665" s="7"/>
      <c r="R665" s="7"/>
      <c r="S665" s="7"/>
      <c r="T665" s="7"/>
    </row>
    <row r="666" spans="3:20" x14ac:dyDescent="0.25">
      <c r="C666" s="7"/>
      <c r="D666" s="7"/>
      <c r="E666" s="7" t="s">
        <v>19</v>
      </c>
      <c r="F666" s="7">
        <v>2020</v>
      </c>
      <c r="G666" s="8" t="s">
        <v>20</v>
      </c>
      <c r="H666" s="19" t="s">
        <v>57</v>
      </c>
      <c r="I666" s="7" t="s">
        <v>58</v>
      </c>
      <c r="J666" s="8"/>
      <c r="K666" s="7"/>
      <c r="L666" s="7" t="s">
        <v>32</v>
      </c>
      <c r="M666" s="7">
        <f t="shared" ref="M666:M667" si="168">M665</f>
        <v>2.0000000000000001E-4</v>
      </c>
      <c r="N666" s="7"/>
      <c r="O666" s="7"/>
      <c r="P666" s="7"/>
      <c r="Q666" s="7"/>
      <c r="R666" s="7"/>
      <c r="S666" s="7"/>
      <c r="T666" s="7"/>
    </row>
    <row r="667" spans="3:20" x14ac:dyDescent="0.25">
      <c r="C667" s="7"/>
      <c r="D667" s="7"/>
      <c r="E667" s="7" t="s">
        <v>19</v>
      </c>
      <c r="F667" s="7">
        <v>2055</v>
      </c>
      <c r="G667" s="8" t="s">
        <v>20</v>
      </c>
      <c r="H667" s="19" t="s">
        <v>57</v>
      </c>
      <c r="I667" s="7" t="s">
        <v>58</v>
      </c>
      <c r="J667" s="8"/>
      <c r="K667" s="7"/>
      <c r="L667" s="7" t="s">
        <v>32</v>
      </c>
      <c r="M667" s="7">
        <f t="shared" si="168"/>
        <v>2.0000000000000001E-4</v>
      </c>
      <c r="N667" s="7"/>
      <c r="O667" s="7"/>
      <c r="P667" s="7"/>
      <c r="Q667" s="7"/>
      <c r="R667" s="7"/>
      <c r="S667" s="7"/>
      <c r="T667" s="7"/>
    </row>
    <row r="668" spans="3:20" x14ac:dyDescent="0.25">
      <c r="C668" s="7"/>
      <c r="D668" s="7"/>
      <c r="E668" s="7" t="s">
        <v>19</v>
      </c>
      <c r="F668" s="7">
        <v>2010</v>
      </c>
      <c r="G668" s="8" t="s">
        <v>20</v>
      </c>
      <c r="H668" s="19" t="s">
        <v>57</v>
      </c>
      <c r="I668" s="7" t="s">
        <v>58</v>
      </c>
      <c r="J668" s="8"/>
      <c r="K668" s="7"/>
      <c r="L668" s="7" t="s">
        <v>46</v>
      </c>
      <c r="M668" s="18">
        <f>M636</f>
        <v>8.1385390000000002E-3</v>
      </c>
      <c r="N668" s="7"/>
      <c r="O668" s="7"/>
      <c r="P668" s="7"/>
      <c r="Q668" s="7"/>
      <c r="R668" s="7"/>
      <c r="S668" s="7"/>
      <c r="T668" s="7"/>
    </row>
    <row r="669" spans="3:20" x14ac:dyDescent="0.25">
      <c r="C669" s="7"/>
      <c r="D669" s="7"/>
      <c r="E669" s="7" t="s">
        <v>19</v>
      </c>
      <c r="F669" s="7">
        <v>2015</v>
      </c>
      <c r="G669" s="8" t="s">
        <v>20</v>
      </c>
      <c r="H669" s="19" t="s">
        <v>57</v>
      </c>
      <c r="I669" s="7" t="s">
        <v>58</v>
      </c>
      <c r="J669" s="8"/>
      <c r="K669" s="7"/>
      <c r="L669" s="7" t="s">
        <v>46</v>
      </c>
      <c r="M669" s="18">
        <f t="shared" ref="M669:M671" si="169">M637</f>
        <v>7.2228180000000006E-3</v>
      </c>
      <c r="N669" s="7"/>
      <c r="O669" s="7"/>
      <c r="P669" s="7"/>
      <c r="Q669" s="7"/>
      <c r="R669" s="7"/>
      <c r="S669" s="7"/>
      <c r="T669" s="7"/>
    </row>
    <row r="670" spans="3:20" x14ac:dyDescent="0.25">
      <c r="C670" s="7"/>
      <c r="D670" s="7"/>
      <c r="E670" s="7" t="s">
        <v>19</v>
      </c>
      <c r="F670" s="7">
        <v>2020</v>
      </c>
      <c r="G670" s="8" t="s">
        <v>20</v>
      </c>
      <c r="H670" s="19" t="s">
        <v>57</v>
      </c>
      <c r="I670" s="7" t="s">
        <v>58</v>
      </c>
      <c r="J670" s="8"/>
      <c r="K670" s="7"/>
      <c r="L670" s="7" t="s">
        <v>46</v>
      </c>
      <c r="M670" s="18">
        <f t="shared" si="169"/>
        <v>6.8328519999999995E-3</v>
      </c>
      <c r="N670" s="7"/>
      <c r="O670" s="7"/>
      <c r="P670" s="7"/>
      <c r="Q670" s="7"/>
      <c r="R670" s="7"/>
      <c r="S670" s="7"/>
      <c r="T670" s="7"/>
    </row>
    <row r="671" spans="3:20" x14ac:dyDescent="0.25">
      <c r="C671" s="7"/>
      <c r="D671" s="7"/>
      <c r="E671" s="7" t="s">
        <v>19</v>
      </c>
      <c r="F671" s="7">
        <v>2055</v>
      </c>
      <c r="G671" s="8" t="s">
        <v>20</v>
      </c>
      <c r="H671" s="19" t="s">
        <v>57</v>
      </c>
      <c r="I671" s="7" t="s">
        <v>58</v>
      </c>
      <c r="J671" s="8"/>
      <c r="K671" s="7"/>
      <c r="L671" s="7" t="s">
        <v>46</v>
      </c>
      <c r="M671" s="18">
        <f t="shared" si="169"/>
        <v>6.8328519999999995E-3</v>
      </c>
      <c r="N671" s="7"/>
      <c r="O671" s="7"/>
      <c r="P671" s="7"/>
      <c r="Q671" s="7"/>
      <c r="R671" s="7"/>
      <c r="S671" s="7"/>
      <c r="T671" s="7"/>
    </row>
    <row r="672" spans="3:20" x14ac:dyDescent="0.25">
      <c r="C672" s="7"/>
      <c r="D672" s="7"/>
      <c r="E672" s="7" t="s">
        <v>19</v>
      </c>
      <c r="F672" s="7">
        <v>2010</v>
      </c>
      <c r="G672" s="8" t="s">
        <v>20</v>
      </c>
      <c r="H672" s="19" t="s">
        <v>57</v>
      </c>
      <c r="I672" s="7" t="s">
        <v>58</v>
      </c>
      <c r="J672" s="8"/>
      <c r="K672" s="7"/>
      <c r="L672" s="7" t="s">
        <v>47</v>
      </c>
      <c r="M672" s="18">
        <f>M648</f>
        <v>7.0967230000000001E-3</v>
      </c>
      <c r="N672" s="7"/>
      <c r="O672" s="7"/>
      <c r="P672" s="7"/>
      <c r="Q672" s="7"/>
      <c r="R672" s="7"/>
      <c r="S672" s="7"/>
      <c r="T672" s="7"/>
    </row>
    <row r="673" spans="3:20" x14ac:dyDescent="0.25">
      <c r="C673" s="7"/>
      <c r="D673" s="7"/>
      <c r="E673" s="7" t="s">
        <v>19</v>
      </c>
      <c r="F673" s="7">
        <v>2015</v>
      </c>
      <c r="G673" s="8" t="s">
        <v>20</v>
      </c>
      <c r="H673" s="19" t="s">
        <v>57</v>
      </c>
      <c r="I673" s="7" t="s">
        <v>58</v>
      </c>
      <c r="J673" s="8"/>
      <c r="K673" s="7"/>
      <c r="L673" s="7" t="s">
        <v>47</v>
      </c>
      <c r="M673" s="18">
        <f t="shared" ref="M673:M675" si="170">M649</f>
        <v>6.1027629999999998E-3</v>
      </c>
      <c r="N673" s="7"/>
      <c r="O673" s="7"/>
      <c r="P673" s="7"/>
      <c r="Q673" s="7"/>
      <c r="R673" s="7"/>
      <c r="S673" s="7"/>
      <c r="T673" s="7"/>
    </row>
    <row r="674" spans="3:20" x14ac:dyDescent="0.25">
      <c r="C674" s="7"/>
      <c r="D674" s="7"/>
      <c r="E674" s="7" t="s">
        <v>19</v>
      </c>
      <c r="F674" s="7">
        <v>2020</v>
      </c>
      <c r="G674" s="8" t="s">
        <v>20</v>
      </c>
      <c r="H674" s="19" t="s">
        <v>57</v>
      </c>
      <c r="I674" s="7" t="s">
        <v>58</v>
      </c>
      <c r="J674" s="8"/>
      <c r="K674" s="7"/>
      <c r="L674" s="7" t="s">
        <v>47</v>
      </c>
      <c r="M674" s="18">
        <f t="shared" si="170"/>
        <v>5.6767799999999993E-3</v>
      </c>
      <c r="N674" s="7"/>
      <c r="O674" s="7"/>
      <c r="P674" s="7"/>
      <c r="Q674" s="7"/>
      <c r="R674" s="7"/>
      <c r="S674" s="7"/>
      <c r="T674" s="7"/>
    </row>
    <row r="675" spans="3:20" x14ac:dyDescent="0.25">
      <c r="C675" s="7"/>
      <c r="D675" s="7"/>
      <c r="E675" s="7" t="s">
        <v>19</v>
      </c>
      <c r="F675" s="7">
        <v>2055</v>
      </c>
      <c r="G675" s="8" t="s">
        <v>20</v>
      </c>
      <c r="H675" s="19" t="s">
        <v>57</v>
      </c>
      <c r="I675" s="7" t="s">
        <v>58</v>
      </c>
      <c r="J675" s="8"/>
      <c r="K675" s="7"/>
      <c r="L675" s="7" t="s">
        <v>47</v>
      </c>
      <c r="M675" s="18">
        <f t="shared" si="170"/>
        <v>5.6767799999999993E-3</v>
      </c>
      <c r="N675" s="7"/>
      <c r="O675" s="7"/>
      <c r="P675" s="7"/>
      <c r="Q675" s="7"/>
      <c r="R675" s="7"/>
      <c r="S675" s="7"/>
      <c r="T675" s="7"/>
    </row>
    <row r="676" spans="3:20" x14ac:dyDescent="0.25">
      <c r="C676" s="7"/>
      <c r="D676" s="7"/>
      <c r="E676" s="7" t="s">
        <v>19</v>
      </c>
      <c r="F676" s="7">
        <v>2010</v>
      </c>
      <c r="G676" s="8" t="s">
        <v>20</v>
      </c>
      <c r="H676" s="19" t="s">
        <v>57</v>
      </c>
      <c r="I676" s="7" t="s">
        <v>58</v>
      </c>
      <c r="J676" s="8"/>
      <c r="K676" s="7"/>
      <c r="L676" s="7" t="s">
        <v>48</v>
      </c>
      <c r="M676" s="18">
        <f>M640</f>
        <v>1.9520940000000001E-3</v>
      </c>
      <c r="N676" s="7"/>
      <c r="O676" s="7"/>
      <c r="P676" s="7"/>
      <c r="Q676" s="7"/>
      <c r="R676" s="7"/>
      <c r="S676" s="7"/>
      <c r="T676" s="7"/>
    </row>
    <row r="677" spans="3:20" x14ac:dyDescent="0.25">
      <c r="C677" s="7"/>
      <c r="D677" s="7"/>
      <c r="E677" s="7" t="s">
        <v>19</v>
      </c>
      <c r="F677" s="7">
        <v>2015</v>
      </c>
      <c r="G677" s="8" t="s">
        <v>20</v>
      </c>
      <c r="H677" s="19" t="s">
        <v>57</v>
      </c>
      <c r="I677" s="7" t="s">
        <v>58</v>
      </c>
      <c r="J677" s="8"/>
      <c r="K677" s="7"/>
      <c r="L677" s="7" t="s">
        <v>48</v>
      </c>
      <c r="M677" s="18">
        <f t="shared" ref="M677:M679" si="171">M641</f>
        <v>1.735997E-3</v>
      </c>
      <c r="N677" s="7"/>
      <c r="O677" s="7"/>
      <c r="P677" s="7"/>
      <c r="Q677" s="7"/>
      <c r="R677" s="7"/>
      <c r="S677" s="7"/>
      <c r="T677" s="7"/>
    </row>
    <row r="678" spans="3:20" x14ac:dyDescent="0.25">
      <c r="C678" s="7"/>
      <c r="D678" s="7"/>
      <c r="E678" s="7" t="s">
        <v>19</v>
      </c>
      <c r="F678" s="7">
        <v>2020</v>
      </c>
      <c r="G678" s="8" t="s">
        <v>20</v>
      </c>
      <c r="H678" s="19" t="s">
        <v>57</v>
      </c>
      <c r="I678" s="7" t="s">
        <v>58</v>
      </c>
      <c r="J678" s="8"/>
      <c r="K678" s="7"/>
      <c r="L678" s="7" t="s">
        <v>48</v>
      </c>
      <c r="M678" s="18">
        <f t="shared" si="171"/>
        <v>1.663348E-3</v>
      </c>
      <c r="N678" s="7"/>
      <c r="O678" s="7"/>
      <c r="P678" s="7"/>
      <c r="Q678" s="7"/>
      <c r="R678" s="7"/>
      <c r="S678" s="7"/>
      <c r="T678" s="7"/>
    </row>
    <row r="679" spans="3:20" x14ac:dyDescent="0.25">
      <c r="C679" s="7"/>
      <c r="D679" s="7"/>
      <c r="E679" s="7" t="s">
        <v>19</v>
      </c>
      <c r="F679" s="7">
        <v>2055</v>
      </c>
      <c r="G679" s="8" t="s">
        <v>20</v>
      </c>
      <c r="H679" s="19" t="s">
        <v>57</v>
      </c>
      <c r="I679" s="7" t="s">
        <v>58</v>
      </c>
      <c r="J679" s="8"/>
      <c r="K679" s="7"/>
      <c r="L679" s="7" t="s">
        <v>48</v>
      </c>
      <c r="M679" s="18">
        <f t="shared" si="171"/>
        <v>1.663348E-3</v>
      </c>
      <c r="N679" s="7"/>
      <c r="O679" s="7"/>
      <c r="P679" s="7"/>
      <c r="Q679" s="7"/>
      <c r="R679" s="7"/>
      <c r="S679" s="7"/>
      <c r="T679" s="7"/>
    </row>
    <row r="680" spans="3:20" x14ac:dyDescent="0.25">
      <c r="C680" s="7"/>
      <c r="D680" s="7"/>
      <c r="E680" s="7" t="s">
        <v>19</v>
      </c>
      <c r="F680" s="7">
        <v>2010</v>
      </c>
      <c r="G680" s="8" t="s">
        <v>20</v>
      </c>
      <c r="H680" s="19" t="s">
        <v>57</v>
      </c>
      <c r="I680" s="7" t="s">
        <v>58</v>
      </c>
      <c r="J680" s="8"/>
      <c r="K680" s="7"/>
      <c r="L680" s="7" t="s">
        <v>49</v>
      </c>
      <c r="M680" s="7">
        <f>'Emissions - REF'!$C$66</f>
        <v>6.1188960520000002</v>
      </c>
      <c r="N680" s="7"/>
      <c r="O680" s="7"/>
      <c r="P680" s="7"/>
      <c r="Q680" s="7"/>
      <c r="R680" s="7"/>
      <c r="S680" s="7"/>
      <c r="T680" s="7"/>
    </row>
    <row r="681" spans="3:20" x14ac:dyDescent="0.25">
      <c r="C681" s="7"/>
      <c r="D681" s="7"/>
      <c r="E681" s="7" t="s">
        <v>19</v>
      </c>
      <c r="F681" s="7">
        <v>2015</v>
      </c>
      <c r="G681" s="8" t="s">
        <v>20</v>
      </c>
      <c r="H681" s="19" t="s">
        <v>57</v>
      </c>
      <c r="I681" s="7" t="s">
        <v>58</v>
      </c>
      <c r="J681" s="8"/>
      <c r="K681" s="7"/>
      <c r="L681" s="7" t="s">
        <v>49</v>
      </c>
      <c r="M681" s="7">
        <f>'Emissions - REF'!$D$66</f>
        <v>6.1188960520000002</v>
      </c>
      <c r="N681" s="7"/>
      <c r="O681" s="7"/>
      <c r="P681" s="7"/>
      <c r="Q681" s="7"/>
      <c r="R681" s="7"/>
      <c r="S681" s="7"/>
      <c r="T681" s="7"/>
    </row>
    <row r="682" spans="3:20" x14ac:dyDescent="0.25">
      <c r="C682" s="7"/>
      <c r="D682" s="7"/>
      <c r="E682" s="7" t="s">
        <v>19</v>
      </c>
      <c r="F682" s="7">
        <v>2020</v>
      </c>
      <c r="G682" s="8" t="s">
        <v>20</v>
      </c>
      <c r="H682" s="19" t="s">
        <v>57</v>
      </c>
      <c r="I682" s="7" t="s">
        <v>58</v>
      </c>
      <c r="J682" s="8"/>
      <c r="K682" s="7"/>
      <c r="L682" s="7" t="s">
        <v>49</v>
      </c>
      <c r="M682" s="7">
        <f>'Emissions - REF'!$E$66</f>
        <v>6.1188960520000002</v>
      </c>
      <c r="N682" s="7"/>
      <c r="O682" s="7"/>
      <c r="P682" s="7"/>
      <c r="Q682" s="7"/>
      <c r="R682" s="7"/>
      <c r="S682" s="7"/>
      <c r="T682" s="7"/>
    </row>
    <row r="683" spans="3:20" x14ac:dyDescent="0.25">
      <c r="C683" s="7"/>
      <c r="D683" s="7"/>
      <c r="E683" s="7" t="s">
        <v>19</v>
      </c>
      <c r="F683" s="7">
        <v>2055</v>
      </c>
      <c r="G683" s="8" t="s">
        <v>20</v>
      </c>
      <c r="H683" s="19" t="s">
        <v>57</v>
      </c>
      <c r="I683" s="7" t="s">
        <v>58</v>
      </c>
      <c r="J683" s="8"/>
      <c r="K683" s="7"/>
      <c r="L683" s="7" t="s">
        <v>49</v>
      </c>
      <c r="M683" s="7">
        <f>M682</f>
        <v>6.1188960520000002</v>
      </c>
      <c r="N683" s="7"/>
      <c r="O683" s="7"/>
      <c r="P683" s="7"/>
      <c r="Q683" s="7"/>
      <c r="R683" s="7"/>
      <c r="S683" s="7"/>
      <c r="T683" s="7"/>
    </row>
    <row r="684" spans="3:20" x14ac:dyDescent="0.25">
      <c r="C684" s="7"/>
      <c r="D684" s="7"/>
      <c r="E684" s="7" t="s">
        <v>19</v>
      </c>
      <c r="F684" s="7">
        <v>2010</v>
      </c>
      <c r="G684" s="8" t="s">
        <v>20</v>
      </c>
      <c r="H684" s="19" t="s">
        <v>57</v>
      </c>
      <c r="I684" s="7" t="s">
        <v>58</v>
      </c>
      <c r="J684" s="8"/>
      <c r="K684" s="7"/>
      <c r="L684" s="7" t="s">
        <v>50</v>
      </c>
      <c r="M684" s="18">
        <f>M668</f>
        <v>8.1385390000000002E-3</v>
      </c>
      <c r="N684" s="7"/>
      <c r="O684" s="7"/>
      <c r="P684" s="7"/>
      <c r="Q684" s="7"/>
      <c r="R684" s="7"/>
      <c r="S684" s="7"/>
      <c r="T684" s="7"/>
    </row>
    <row r="685" spans="3:20" x14ac:dyDescent="0.25">
      <c r="C685" s="7"/>
      <c r="D685" s="7"/>
      <c r="E685" s="7" t="s">
        <v>19</v>
      </c>
      <c r="F685" s="7">
        <v>2015</v>
      </c>
      <c r="G685" s="8" t="s">
        <v>20</v>
      </c>
      <c r="H685" s="19" t="s">
        <v>57</v>
      </c>
      <c r="I685" s="7" t="s">
        <v>58</v>
      </c>
      <c r="J685" s="8"/>
      <c r="K685" s="7"/>
      <c r="L685" s="7" t="s">
        <v>50</v>
      </c>
      <c r="M685" s="18">
        <f t="shared" ref="M685:M687" si="172">M669</f>
        <v>7.2228180000000006E-3</v>
      </c>
      <c r="N685" s="7"/>
      <c r="O685" s="7"/>
      <c r="P685" s="7"/>
      <c r="Q685" s="7"/>
      <c r="R685" s="7"/>
      <c r="S685" s="7"/>
      <c r="T685" s="7"/>
    </row>
    <row r="686" spans="3:20" x14ac:dyDescent="0.25">
      <c r="C686" s="7"/>
      <c r="D686" s="7"/>
      <c r="E686" s="7" t="s">
        <v>19</v>
      </c>
      <c r="F686" s="7">
        <v>2020</v>
      </c>
      <c r="G686" s="8" t="s">
        <v>20</v>
      </c>
      <c r="H686" s="19" t="s">
        <v>57</v>
      </c>
      <c r="I686" s="7" t="s">
        <v>58</v>
      </c>
      <c r="J686" s="8"/>
      <c r="K686" s="7"/>
      <c r="L686" s="7" t="s">
        <v>50</v>
      </c>
      <c r="M686" s="18">
        <f t="shared" si="172"/>
        <v>6.8328519999999995E-3</v>
      </c>
      <c r="N686" s="7"/>
      <c r="O686" s="7"/>
      <c r="P686" s="7"/>
      <c r="Q686" s="7"/>
      <c r="R686" s="7"/>
      <c r="S686" s="7"/>
      <c r="T686" s="7"/>
    </row>
    <row r="687" spans="3:20" x14ac:dyDescent="0.25">
      <c r="C687" s="7"/>
      <c r="D687" s="7"/>
      <c r="E687" s="7" t="s">
        <v>19</v>
      </c>
      <c r="F687" s="7">
        <v>2055</v>
      </c>
      <c r="G687" s="8" t="s">
        <v>20</v>
      </c>
      <c r="H687" s="19" t="s">
        <v>57</v>
      </c>
      <c r="I687" s="7" t="s">
        <v>58</v>
      </c>
      <c r="J687" s="8"/>
      <c r="K687" s="7"/>
      <c r="L687" s="7" t="s">
        <v>50</v>
      </c>
      <c r="M687" s="18">
        <f t="shared" si="172"/>
        <v>6.8328519999999995E-3</v>
      </c>
      <c r="N687" s="7"/>
      <c r="O687" s="7"/>
      <c r="P687" s="7"/>
      <c r="Q687" s="7"/>
      <c r="R687" s="7"/>
      <c r="S687" s="7"/>
      <c r="T687" s="7"/>
    </row>
    <row r="688" spans="3:20" x14ac:dyDescent="0.25">
      <c r="C688" s="15" t="s">
        <v>33</v>
      </c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spans="3:20" x14ac:dyDescent="0.25">
      <c r="C689" s="7"/>
      <c r="D689" s="7"/>
      <c r="E689" s="7" t="s">
        <v>19</v>
      </c>
      <c r="F689" s="7">
        <v>2010</v>
      </c>
      <c r="G689" s="8" t="s">
        <v>20</v>
      </c>
      <c r="H689" s="19" t="s">
        <v>59</v>
      </c>
      <c r="I689" s="7" t="s">
        <v>60</v>
      </c>
      <c r="J689" s="8"/>
      <c r="K689" s="7"/>
      <c r="L689" s="7" t="s">
        <v>22</v>
      </c>
      <c r="M689" s="18">
        <f>M745/1000</f>
        <v>6.1188960520000002E-3</v>
      </c>
      <c r="N689" s="7"/>
      <c r="O689" s="7"/>
      <c r="P689" s="7"/>
      <c r="Q689" s="7"/>
      <c r="R689" s="7"/>
      <c r="S689" s="7"/>
      <c r="T689" s="7"/>
    </row>
    <row r="690" spans="3:20" x14ac:dyDescent="0.25">
      <c r="C690" s="7"/>
      <c r="D690" s="7"/>
      <c r="E690" s="7" t="s">
        <v>19</v>
      </c>
      <c r="F690" s="7">
        <v>2015</v>
      </c>
      <c r="G690" s="8" t="s">
        <v>20</v>
      </c>
      <c r="H690" s="19" t="s">
        <v>59</v>
      </c>
      <c r="I690" s="7" t="s">
        <v>60</v>
      </c>
      <c r="J690" s="8"/>
      <c r="K690" s="7"/>
      <c r="L690" s="7" t="s">
        <v>22</v>
      </c>
      <c r="M690" s="18">
        <f t="shared" ref="M690:M692" si="173">M746/1000</f>
        <v>6.1188960520000002E-3</v>
      </c>
      <c r="N690" s="7"/>
      <c r="O690" s="7"/>
      <c r="P690" s="7"/>
      <c r="Q690" s="7"/>
      <c r="R690" s="7"/>
      <c r="S690" s="7"/>
      <c r="T690" s="7"/>
    </row>
    <row r="691" spans="3:20" x14ac:dyDescent="0.25">
      <c r="C691" s="7"/>
      <c r="D691" s="7"/>
      <c r="E691" s="7" t="s">
        <v>19</v>
      </c>
      <c r="F691" s="7">
        <v>2020</v>
      </c>
      <c r="G691" s="8" t="s">
        <v>20</v>
      </c>
      <c r="H691" s="19" t="s">
        <v>59</v>
      </c>
      <c r="I691" s="7" t="s">
        <v>60</v>
      </c>
      <c r="J691" s="8"/>
      <c r="K691" s="7"/>
      <c r="L691" s="7" t="s">
        <v>22</v>
      </c>
      <c r="M691" s="18">
        <f t="shared" si="173"/>
        <v>6.1188960520000002E-3</v>
      </c>
      <c r="N691" s="7"/>
      <c r="O691" s="7"/>
      <c r="P691" s="7"/>
      <c r="Q691" s="7"/>
      <c r="R691" s="7"/>
      <c r="S691" s="7"/>
      <c r="T691" s="7"/>
    </row>
    <row r="692" spans="3:20" x14ac:dyDescent="0.25">
      <c r="C692" s="7"/>
      <c r="D692" s="7"/>
      <c r="E692" s="7" t="s">
        <v>19</v>
      </c>
      <c r="F692" s="7">
        <v>2055</v>
      </c>
      <c r="G692" s="8" t="s">
        <v>20</v>
      </c>
      <c r="H692" s="19" t="s">
        <v>59</v>
      </c>
      <c r="I692" s="7" t="s">
        <v>60</v>
      </c>
      <c r="J692" s="8"/>
      <c r="K692" s="7"/>
      <c r="L692" s="7" t="s">
        <v>22</v>
      </c>
      <c r="M692" s="18">
        <f t="shared" si="173"/>
        <v>6.1188960520000002E-3</v>
      </c>
      <c r="N692" s="7"/>
      <c r="O692" s="7"/>
      <c r="P692" s="7"/>
      <c r="Q692" s="7"/>
      <c r="R692" s="7"/>
      <c r="S692" s="7"/>
      <c r="T692" s="7"/>
    </row>
    <row r="693" spans="3:20" x14ac:dyDescent="0.25">
      <c r="C693" s="7"/>
      <c r="D693" s="7"/>
      <c r="E693" s="7" t="s">
        <v>19</v>
      </c>
      <c r="F693" s="7">
        <v>2010</v>
      </c>
      <c r="G693" s="8" t="s">
        <v>20</v>
      </c>
      <c r="H693" s="19" t="s">
        <v>59</v>
      </c>
      <c r="I693" s="7" t="s">
        <v>60</v>
      </c>
      <c r="J693" s="8"/>
      <c r="K693" s="7"/>
      <c r="L693" s="7" t="s">
        <v>23</v>
      </c>
      <c r="M693" s="18">
        <f>'Emissions - REF'!$C$58</f>
        <v>2.3189310000000002E-3</v>
      </c>
      <c r="N693" s="7"/>
      <c r="O693" s="7"/>
      <c r="P693" s="7"/>
      <c r="Q693" s="7"/>
      <c r="R693" s="7"/>
      <c r="S693" s="7"/>
      <c r="T693" s="7"/>
    </row>
    <row r="694" spans="3:20" x14ac:dyDescent="0.25">
      <c r="C694" s="7"/>
      <c r="D694" s="7"/>
      <c r="E694" s="7" t="s">
        <v>19</v>
      </c>
      <c r="F694" s="7">
        <v>2015</v>
      </c>
      <c r="G694" s="8" t="s">
        <v>20</v>
      </c>
      <c r="H694" s="19" t="s">
        <v>59</v>
      </c>
      <c r="I694" s="7" t="s">
        <v>60</v>
      </c>
      <c r="J694" s="8"/>
      <c r="K694" s="7"/>
      <c r="L694" s="7" t="s">
        <v>23</v>
      </c>
      <c r="M694" s="18">
        <f>'Emissions - REF'!$D$58</f>
        <v>2.3189310000000002E-3</v>
      </c>
      <c r="N694" s="7"/>
      <c r="O694" s="7"/>
      <c r="P694" s="7"/>
      <c r="Q694" s="7"/>
      <c r="R694" s="7"/>
      <c r="S694" s="7"/>
      <c r="T694" s="7"/>
    </row>
    <row r="695" spans="3:20" x14ac:dyDescent="0.25">
      <c r="C695" s="7"/>
      <c r="D695" s="7"/>
      <c r="E695" s="7" t="s">
        <v>19</v>
      </c>
      <c r="F695" s="7">
        <v>2020</v>
      </c>
      <c r="G695" s="8" t="s">
        <v>20</v>
      </c>
      <c r="H695" s="19" t="s">
        <v>59</v>
      </c>
      <c r="I695" s="7" t="s">
        <v>60</v>
      </c>
      <c r="J695" s="8"/>
      <c r="K695" s="7"/>
      <c r="L695" s="7" t="s">
        <v>23</v>
      </c>
      <c r="M695" s="18">
        <f>'Emissions - REF'!$E$58</f>
        <v>2.3189310000000002E-3</v>
      </c>
      <c r="N695" s="7"/>
      <c r="O695" s="7"/>
      <c r="P695" s="7"/>
      <c r="Q695" s="7"/>
      <c r="R695" s="7"/>
      <c r="S695" s="7"/>
      <c r="T695" s="7"/>
    </row>
    <row r="696" spans="3:20" x14ac:dyDescent="0.25">
      <c r="C696" s="7"/>
      <c r="D696" s="7"/>
      <c r="E696" s="7" t="s">
        <v>19</v>
      </c>
      <c r="F696" s="7">
        <v>2055</v>
      </c>
      <c r="G696" s="8" t="s">
        <v>20</v>
      </c>
      <c r="H696" s="19" t="s">
        <v>59</v>
      </c>
      <c r="I696" s="7" t="s">
        <v>60</v>
      </c>
      <c r="J696" s="8"/>
      <c r="K696" s="7"/>
      <c r="L696" s="7" t="s">
        <v>23</v>
      </c>
      <c r="M696" s="18">
        <f>M695</f>
        <v>2.3189310000000002E-3</v>
      </c>
      <c r="N696" s="7"/>
      <c r="O696" s="7"/>
      <c r="P696" s="7"/>
      <c r="Q696" s="7"/>
      <c r="R696" s="7"/>
      <c r="S696" s="7"/>
      <c r="T696" s="7"/>
    </row>
    <row r="697" spans="3:20" x14ac:dyDescent="0.25">
      <c r="C697" s="7"/>
      <c r="D697" s="7"/>
      <c r="E697" s="7" t="s">
        <v>19</v>
      </c>
      <c r="F697" s="7">
        <v>2010</v>
      </c>
      <c r="G697" s="8" t="s">
        <v>20</v>
      </c>
      <c r="H697" s="19" t="s">
        <v>59</v>
      </c>
      <c r="I697" s="7" t="s">
        <v>60</v>
      </c>
      <c r="J697" s="8"/>
      <c r="K697" s="7"/>
      <c r="L697" s="7" t="s">
        <v>24</v>
      </c>
      <c r="M697" s="18">
        <f>'Emissions - REF'!$C$59</f>
        <v>3.5551490000000001E-3</v>
      </c>
      <c r="N697" s="7"/>
      <c r="O697" s="7"/>
      <c r="P697" s="7"/>
      <c r="Q697" s="7"/>
      <c r="R697" s="7"/>
      <c r="S697" s="7"/>
      <c r="T697" s="7"/>
    </row>
    <row r="698" spans="3:20" x14ac:dyDescent="0.25">
      <c r="C698" s="7"/>
      <c r="D698" s="7"/>
      <c r="E698" s="7" t="s">
        <v>19</v>
      </c>
      <c r="F698" s="7">
        <v>2015</v>
      </c>
      <c r="G698" s="8" t="s">
        <v>20</v>
      </c>
      <c r="H698" s="19" t="s">
        <v>59</v>
      </c>
      <c r="I698" s="7" t="s">
        <v>60</v>
      </c>
      <c r="J698" s="8"/>
      <c r="K698" s="7"/>
      <c r="L698" s="7" t="s">
        <v>24</v>
      </c>
      <c r="M698" s="18">
        <f>'Emissions - REF'!$D$59</f>
        <v>3.5551490000000001E-3</v>
      </c>
      <c r="N698" s="7"/>
      <c r="O698" s="7"/>
      <c r="P698" s="7"/>
      <c r="Q698" s="7"/>
      <c r="R698" s="7"/>
      <c r="S698" s="7"/>
      <c r="T698" s="7"/>
    </row>
    <row r="699" spans="3:20" x14ac:dyDescent="0.25">
      <c r="C699" s="7"/>
      <c r="D699" s="7"/>
      <c r="E699" s="7" t="s">
        <v>19</v>
      </c>
      <c r="F699" s="7">
        <v>2020</v>
      </c>
      <c r="G699" s="8" t="s">
        <v>20</v>
      </c>
      <c r="H699" s="19" t="s">
        <v>59</v>
      </c>
      <c r="I699" s="7" t="s">
        <v>60</v>
      </c>
      <c r="J699" s="8"/>
      <c r="K699" s="7"/>
      <c r="L699" s="7" t="s">
        <v>24</v>
      </c>
      <c r="M699" s="18">
        <f>'Emissions - REF'!$E$59</f>
        <v>3.5551490000000001E-3</v>
      </c>
      <c r="N699" s="7"/>
      <c r="O699" s="7"/>
      <c r="P699" s="7"/>
      <c r="Q699" s="7"/>
      <c r="R699" s="7"/>
      <c r="S699" s="7"/>
      <c r="T699" s="7"/>
    </row>
    <row r="700" spans="3:20" x14ac:dyDescent="0.25">
      <c r="C700" s="7"/>
      <c r="D700" s="7"/>
      <c r="E700" s="7" t="s">
        <v>19</v>
      </c>
      <c r="F700" s="7">
        <v>2055</v>
      </c>
      <c r="G700" s="8" t="s">
        <v>20</v>
      </c>
      <c r="H700" s="19" t="s">
        <v>59</v>
      </c>
      <c r="I700" s="7" t="s">
        <v>60</v>
      </c>
      <c r="J700" s="8"/>
      <c r="K700" s="7"/>
      <c r="L700" s="7" t="s">
        <v>24</v>
      </c>
      <c r="M700" s="18">
        <f>M699</f>
        <v>3.5551490000000001E-3</v>
      </c>
      <c r="N700" s="7"/>
      <c r="O700" s="7"/>
      <c r="P700" s="7"/>
      <c r="Q700" s="7"/>
      <c r="R700" s="7"/>
      <c r="S700" s="7"/>
      <c r="T700" s="7"/>
    </row>
    <row r="701" spans="3:20" x14ac:dyDescent="0.25">
      <c r="C701" s="7"/>
      <c r="D701" s="7"/>
      <c r="E701" s="7" t="s">
        <v>19</v>
      </c>
      <c r="F701" s="7">
        <v>2010</v>
      </c>
      <c r="G701" s="8" t="s">
        <v>20</v>
      </c>
      <c r="H701" s="19" t="s">
        <v>59</v>
      </c>
      <c r="I701" s="7" t="s">
        <v>60</v>
      </c>
      <c r="J701" s="8"/>
      <c r="K701" s="7"/>
      <c r="L701" s="7" t="s">
        <v>25</v>
      </c>
      <c r="M701" s="18">
        <f>'Emissions - REF'!$C$60</f>
        <v>8.1385390000000002E-3</v>
      </c>
      <c r="N701" s="7"/>
      <c r="O701" s="7"/>
      <c r="P701" s="7"/>
      <c r="Q701" s="7"/>
      <c r="R701" s="7"/>
      <c r="S701" s="7"/>
      <c r="T701" s="7"/>
    </row>
    <row r="702" spans="3:20" x14ac:dyDescent="0.25">
      <c r="C702" s="7"/>
      <c r="D702" s="7"/>
      <c r="E702" s="7" t="s">
        <v>19</v>
      </c>
      <c r="F702" s="7">
        <v>2015</v>
      </c>
      <c r="G702" s="8" t="s">
        <v>20</v>
      </c>
      <c r="H702" s="19" t="s">
        <v>59</v>
      </c>
      <c r="I702" s="7" t="s">
        <v>60</v>
      </c>
      <c r="J702" s="8"/>
      <c r="K702" s="7"/>
      <c r="L702" s="7" t="s">
        <v>25</v>
      </c>
      <c r="M702" s="18">
        <f>'Emissions - REF'!$D$60</f>
        <v>7.2228180000000006E-3</v>
      </c>
      <c r="N702" s="7"/>
      <c r="O702" s="7"/>
      <c r="P702" s="7"/>
      <c r="Q702" s="7"/>
      <c r="R702" s="7"/>
      <c r="S702" s="7"/>
      <c r="T702" s="7"/>
    </row>
    <row r="703" spans="3:20" x14ac:dyDescent="0.25">
      <c r="C703" s="7"/>
      <c r="D703" s="7"/>
      <c r="E703" s="7" t="s">
        <v>19</v>
      </c>
      <c r="F703" s="7">
        <v>2020</v>
      </c>
      <c r="G703" s="8" t="s">
        <v>20</v>
      </c>
      <c r="H703" s="19" t="s">
        <v>59</v>
      </c>
      <c r="I703" s="7" t="s">
        <v>60</v>
      </c>
      <c r="J703" s="8"/>
      <c r="K703" s="7"/>
      <c r="L703" s="7" t="s">
        <v>25</v>
      </c>
      <c r="M703" s="18">
        <f>'Emissions - REF'!$E$60</f>
        <v>6.8328519999999995E-3</v>
      </c>
      <c r="N703" s="7"/>
      <c r="O703" s="7"/>
      <c r="P703" s="7"/>
      <c r="Q703" s="7"/>
      <c r="R703" s="7"/>
      <c r="S703" s="7"/>
      <c r="T703" s="7"/>
    </row>
    <row r="704" spans="3:20" x14ac:dyDescent="0.25">
      <c r="C704" s="7"/>
      <c r="D704" s="7"/>
      <c r="E704" s="7" t="s">
        <v>19</v>
      </c>
      <c r="F704" s="7">
        <v>2055</v>
      </c>
      <c r="G704" s="8" t="s">
        <v>20</v>
      </c>
      <c r="H704" s="19" t="s">
        <v>59</v>
      </c>
      <c r="I704" s="7" t="s">
        <v>60</v>
      </c>
      <c r="J704" s="8"/>
      <c r="K704" s="7"/>
      <c r="L704" s="7" t="s">
        <v>25</v>
      </c>
      <c r="M704" s="18">
        <f>M703</f>
        <v>6.8328519999999995E-3</v>
      </c>
      <c r="N704" s="7"/>
      <c r="O704" s="7"/>
      <c r="P704" s="7"/>
      <c r="Q704" s="7"/>
      <c r="R704" s="7"/>
      <c r="S704" s="7"/>
      <c r="T704" s="7"/>
    </row>
    <row r="705" spans="3:20" x14ac:dyDescent="0.25">
      <c r="C705" s="7"/>
      <c r="D705" s="7"/>
      <c r="E705" s="7" t="s">
        <v>19</v>
      </c>
      <c r="F705" s="7">
        <v>2010</v>
      </c>
      <c r="G705" s="8" t="s">
        <v>20</v>
      </c>
      <c r="H705" s="19" t="s">
        <v>59</v>
      </c>
      <c r="I705" s="7" t="s">
        <v>60</v>
      </c>
      <c r="J705" s="8"/>
      <c r="K705" s="7"/>
      <c r="L705" s="7" t="s">
        <v>26</v>
      </c>
      <c r="M705" s="18">
        <f>'Emissions - REF'!$C$61</f>
        <v>1.9520940000000001E-3</v>
      </c>
      <c r="N705" s="7"/>
      <c r="O705" s="7"/>
      <c r="P705" s="7"/>
      <c r="Q705" s="7"/>
      <c r="R705" s="7"/>
      <c r="S705" s="7"/>
      <c r="T705" s="7"/>
    </row>
    <row r="706" spans="3:20" x14ac:dyDescent="0.25">
      <c r="C706" s="7"/>
      <c r="D706" s="7"/>
      <c r="E706" s="7" t="s">
        <v>19</v>
      </c>
      <c r="F706" s="7">
        <v>2015</v>
      </c>
      <c r="G706" s="8" t="s">
        <v>20</v>
      </c>
      <c r="H706" s="19" t="s">
        <v>59</v>
      </c>
      <c r="I706" s="7" t="s">
        <v>60</v>
      </c>
      <c r="J706" s="8"/>
      <c r="K706" s="7"/>
      <c r="L706" s="7" t="s">
        <v>26</v>
      </c>
      <c r="M706" s="18">
        <f>'Emissions - REF'!$D$61</f>
        <v>1.735997E-3</v>
      </c>
      <c r="N706" s="7"/>
      <c r="O706" s="7"/>
      <c r="P706" s="7"/>
      <c r="Q706" s="7"/>
      <c r="R706" s="7"/>
      <c r="S706" s="7"/>
      <c r="T706" s="7"/>
    </row>
    <row r="707" spans="3:20" x14ac:dyDescent="0.25">
      <c r="C707" s="7"/>
      <c r="D707" s="7"/>
      <c r="E707" s="7" t="s">
        <v>19</v>
      </c>
      <c r="F707" s="7">
        <v>2020</v>
      </c>
      <c r="G707" s="8" t="s">
        <v>20</v>
      </c>
      <c r="H707" s="19" t="s">
        <v>59</v>
      </c>
      <c r="I707" s="7" t="s">
        <v>60</v>
      </c>
      <c r="J707" s="8"/>
      <c r="K707" s="7"/>
      <c r="L707" s="7" t="s">
        <v>26</v>
      </c>
      <c r="M707" s="18">
        <f>'Emissions - REF'!$E$61</f>
        <v>1.663348E-3</v>
      </c>
      <c r="N707" s="7"/>
      <c r="O707" s="7"/>
      <c r="P707" s="7"/>
      <c r="Q707" s="7"/>
      <c r="R707" s="7"/>
      <c r="S707" s="7"/>
      <c r="T707" s="7"/>
    </row>
    <row r="708" spans="3:20" x14ac:dyDescent="0.25">
      <c r="C708" s="7"/>
      <c r="D708" s="7"/>
      <c r="E708" s="7" t="s">
        <v>19</v>
      </c>
      <c r="F708" s="7">
        <v>2055</v>
      </c>
      <c r="G708" s="8" t="s">
        <v>20</v>
      </c>
      <c r="H708" s="19" t="s">
        <v>59</v>
      </c>
      <c r="I708" s="7" t="s">
        <v>60</v>
      </c>
      <c r="J708" s="8"/>
      <c r="K708" s="7"/>
      <c r="L708" s="7" t="s">
        <v>26</v>
      </c>
      <c r="M708" s="18">
        <f>M707</f>
        <v>1.663348E-3</v>
      </c>
      <c r="N708" s="7"/>
      <c r="O708" s="7"/>
      <c r="P708" s="7"/>
      <c r="Q708" s="7"/>
      <c r="R708" s="7"/>
      <c r="S708" s="7"/>
      <c r="T708" s="7"/>
    </row>
    <row r="709" spans="3:20" x14ac:dyDescent="0.25">
      <c r="C709" s="7"/>
      <c r="D709" s="7"/>
      <c r="E709" s="7" t="s">
        <v>19</v>
      </c>
      <c r="F709" s="7">
        <v>2010</v>
      </c>
      <c r="G709" s="8" t="s">
        <v>20</v>
      </c>
      <c r="H709" s="19" t="s">
        <v>59</v>
      </c>
      <c r="I709" s="7" t="s">
        <v>60</v>
      </c>
      <c r="J709" s="8"/>
      <c r="K709" s="7"/>
      <c r="L709" s="7" t="s">
        <v>27</v>
      </c>
      <c r="M709" s="18">
        <f>'Emissions - REF'!$C$62</f>
        <v>1.0856349999999999E-3</v>
      </c>
      <c r="N709" s="7"/>
      <c r="O709" s="7"/>
      <c r="P709" s="7"/>
      <c r="Q709" s="7"/>
      <c r="R709" s="7"/>
      <c r="S709" s="7"/>
      <c r="T709" s="7"/>
    </row>
    <row r="710" spans="3:20" x14ac:dyDescent="0.25">
      <c r="C710" s="7"/>
      <c r="D710" s="7"/>
      <c r="E710" s="7" t="s">
        <v>19</v>
      </c>
      <c r="F710" s="7">
        <v>2015</v>
      </c>
      <c r="G710" s="8" t="s">
        <v>20</v>
      </c>
      <c r="H710" s="19" t="s">
        <v>59</v>
      </c>
      <c r="I710" s="7" t="s">
        <v>60</v>
      </c>
      <c r="J710" s="8"/>
      <c r="K710" s="7"/>
      <c r="L710" s="7" t="s">
        <v>27</v>
      </c>
      <c r="M710" s="18">
        <f>'Emissions - REF'!$D$62</f>
        <v>1.012619E-3</v>
      </c>
      <c r="N710" s="7"/>
      <c r="O710" s="7"/>
      <c r="P710" s="7"/>
      <c r="Q710" s="7"/>
      <c r="R710" s="7"/>
      <c r="S710" s="7"/>
      <c r="T710" s="7"/>
    </row>
    <row r="711" spans="3:20" x14ac:dyDescent="0.25">
      <c r="C711" s="7"/>
      <c r="D711" s="7"/>
      <c r="E711" s="7" t="s">
        <v>19</v>
      </c>
      <c r="F711" s="7">
        <v>2020</v>
      </c>
      <c r="G711" s="8" t="s">
        <v>20</v>
      </c>
      <c r="H711" s="19" t="s">
        <v>59</v>
      </c>
      <c r="I711" s="7" t="s">
        <v>60</v>
      </c>
      <c r="J711" s="8"/>
      <c r="K711" s="7"/>
      <c r="L711" s="7" t="s">
        <v>27</v>
      </c>
      <c r="M711" s="18">
        <f>'Emissions - REF'!$E$62</f>
        <v>9.4054800000000004E-4</v>
      </c>
      <c r="N711" s="7"/>
      <c r="O711" s="7"/>
      <c r="P711" s="7"/>
      <c r="Q711" s="7"/>
      <c r="R711" s="7"/>
      <c r="S711" s="7"/>
      <c r="T711" s="7"/>
    </row>
    <row r="712" spans="3:20" x14ac:dyDescent="0.25">
      <c r="C712" s="7"/>
      <c r="D712" s="7"/>
      <c r="E712" s="7" t="s">
        <v>19</v>
      </c>
      <c r="F712" s="7">
        <v>2055</v>
      </c>
      <c r="G712" s="8" t="s">
        <v>20</v>
      </c>
      <c r="H712" s="19" t="s">
        <v>59</v>
      </c>
      <c r="I712" s="7" t="s">
        <v>60</v>
      </c>
      <c r="J712" s="8"/>
      <c r="K712" s="7"/>
      <c r="L712" s="7" t="s">
        <v>27</v>
      </c>
      <c r="M712" s="18">
        <f>M711</f>
        <v>9.4054800000000004E-4</v>
      </c>
      <c r="N712" s="7"/>
      <c r="O712" s="7"/>
      <c r="P712" s="7"/>
      <c r="Q712" s="7"/>
      <c r="R712" s="7"/>
      <c r="S712" s="7"/>
      <c r="T712" s="7"/>
    </row>
    <row r="713" spans="3:20" x14ac:dyDescent="0.25">
      <c r="C713" s="7"/>
      <c r="D713" s="7"/>
      <c r="E713" s="7" t="s">
        <v>19</v>
      </c>
      <c r="F713" s="7">
        <v>2010</v>
      </c>
      <c r="G713" s="8" t="s">
        <v>20</v>
      </c>
      <c r="H713" s="19" t="s">
        <v>59</v>
      </c>
      <c r="I713" s="7" t="s">
        <v>60</v>
      </c>
      <c r="J713" s="8"/>
      <c r="K713" s="7"/>
      <c r="L713" s="7" t="s">
        <v>28</v>
      </c>
      <c r="M713" s="18">
        <f>'Emissions - REF'!$C$63</f>
        <v>7.0967230000000001E-3</v>
      </c>
      <c r="N713" s="7"/>
      <c r="O713" s="7"/>
      <c r="P713" s="7"/>
      <c r="Q713" s="7"/>
      <c r="R713" s="7"/>
      <c r="S713" s="7"/>
      <c r="T713" s="7"/>
    </row>
    <row r="714" spans="3:20" x14ac:dyDescent="0.25">
      <c r="C714" s="7"/>
      <c r="D714" s="7"/>
      <c r="E714" s="7" t="s">
        <v>19</v>
      </c>
      <c r="F714" s="7">
        <v>2015</v>
      </c>
      <c r="G714" s="8" t="s">
        <v>20</v>
      </c>
      <c r="H714" s="19" t="s">
        <v>59</v>
      </c>
      <c r="I714" s="7" t="s">
        <v>60</v>
      </c>
      <c r="J714" s="8"/>
      <c r="K714" s="7"/>
      <c r="L714" s="7" t="s">
        <v>28</v>
      </c>
      <c r="M714" s="18">
        <f>'Emissions - REF'!$D$63</f>
        <v>6.1027629999999998E-3</v>
      </c>
      <c r="N714" s="7"/>
      <c r="O714" s="7"/>
      <c r="P714" s="7"/>
      <c r="Q714" s="7"/>
      <c r="R714" s="7"/>
      <c r="S714" s="7"/>
      <c r="T714" s="7"/>
    </row>
    <row r="715" spans="3:20" x14ac:dyDescent="0.25">
      <c r="C715" s="7"/>
      <c r="D715" s="7"/>
      <c r="E715" s="7" t="s">
        <v>19</v>
      </c>
      <c r="F715" s="7">
        <v>2020</v>
      </c>
      <c r="G715" s="8" t="s">
        <v>20</v>
      </c>
      <c r="H715" s="19" t="s">
        <v>59</v>
      </c>
      <c r="I715" s="7" t="s">
        <v>60</v>
      </c>
      <c r="J715" s="8"/>
      <c r="K715" s="7"/>
      <c r="L715" s="7" t="s">
        <v>28</v>
      </c>
      <c r="M715" s="18">
        <f>'Emissions - REF'!$E$63</f>
        <v>5.6767799999999993E-3</v>
      </c>
      <c r="N715" s="7"/>
      <c r="O715" s="7"/>
      <c r="P715" s="7"/>
      <c r="Q715" s="7"/>
      <c r="R715" s="7"/>
      <c r="S715" s="7"/>
      <c r="T715" s="7"/>
    </row>
    <row r="716" spans="3:20" x14ac:dyDescent="0.25">
      <c r="C716" s="7"/>
      <c r="D716" s="7"/>
      <c r="E716" s="7" t="s">
        <v>19</v>
      </c>
      <c r="F716" s="7">
        <v>2055</v>
      </c>
      <c r="G716" s="8" t="s">
        <v>20</v>
      </c>
      <c r="H716" s="19" t="s">
        <v>59</v>
      </c>
      <c r="I716" s="7" t="s">
        <v>60</v>
      </c>
      <c r="J716" s="8"/>
      <c r="K716" s="7"/>
      <c r="L716" s="7" t="s">
        <v>28</v>
      </c>
      <c r="M716" s="18">
        <f>M715</f>
        <v>5.6767799999999993E-3</v>
      </c>
      <c r="N716" s="7"/>
      <c r="O716" s="7"/>
      <c r="P716" s="7"/>
      <c r="Q716" s="7"/>
      <c r="R716" s="7"/>
      <c r="S716" s="7"/>
      <c r="T716" s="7"/>
    </row>
    <row r="717" spans="3:20" x14ac:dyDescent="0.25">
      <c r="C717" s="7"/>
      <c r="D717" s="7"/>
      <c r="E717" s="7" t="s">
        <v>19</v>
      </c>
      <c r="F717" s="7">
        <v>2010</v>
      </c>
      <c r="G717" s="8" t="s">
        <v>20</v>
      </c>
      <c r="H717" s="19" t="s">
        <v>59</v>
      </c>
      <c r="I717" s="7" t="s">
        <v>60</v>
      </c>
      <c r="J717" s="8"/>
      <c r="K717" s="7"/>
      <c r="L717" s="7" t="s">
        <v>29</v>
      </c>
      <c r="M717" s="18">
        <f>'Emissions - REF'!$C$64</f>
        <v>1.86214E-4</v>
      </c>
      <c r="N717" s="7"/>
      <c r="O717" s="7"/>
      <c r="P717" s="7"/>
      <c r="Q717" s="7"/>
      <c r="R717" s="7"/>
      <c r="S717" s="7"/>
      <c r="T717" s="7"/>
    </row>
    <row r="718" spans="3:20" x14ac:dyDescent="0.25">
      <c r="C718" s="7"/>
      <c r="D718" s="7"/>
      <c r="E718" s="7" t="s">
        <v>19</v>
      </c>
      <c r="F718" s="7">
        <v>2015</v>
      </c>
      <c r="G718" s="8" t="s">
        <v>20</v>
      </c>
      <c r="H718" s="19" t="s">
        <v>59</v>
      </c>
      <c r="I718" s="7" t="s">
        <v>60</v>
      </c>
      <c r="J718" s="8"/>
      <c r="K718" s="7"/>
      <c r="L718" s="7" t="s">
        <v>29</v>
      </c>
      <c r="M718" s="18">
        <f>'Emissions - REF'!$D$64</f>
        <v>1.86214E-4</v>
      </c>
      <c r="N718" s="7"/>
      <c r="O718" s="7"/>
      <c r="P718" s="7"/>
      <c r="Q718" s="7"/>
      <c r="R718" s="7"/>
      <c r="S718" s="7"/>
      <c r="T718" s="7"/>
    </row>
    <row r="719" spans="3:20" x14ac:dyDescent="0.25">
      <c r="C719" s="7"/>
      <c r="D719" s="7"/>
      <c r="E719" s="7" t="s">
        <v>19</v>
      </c>
      <c r="F719" s="7">
        <v>2020</v>
      </c>
      <c r="G719" s="8" t="s">
        <v>20</v>
      </c>
      <c r="H719" s="19" t="s">
        <v>59</v>
      </c>
      <c r="I719" s="7" t="s">
        <v>60</v>
      </c>
      <c r="J719" s="8"/>
      <c r="K719" s="7"/>
      <c r="L719" s="7" t="s">
        <v>29</v>
      </c>
      <c r="M719" s="18">
        <f>'Emissions - REF'!$E$64</f>
        <v>1.86214E-4</v>
      </c>
      <c r="N719" s="7"/>
      <c r="O719" s="7"/>
      <c r="P719" s="7"/>
      <c r="Q719" s="7"/>
      <c r="R719" s="7"/>
      <c r="S719" s="7"/>
      <c r="T719" s="7"/>
    </row>
    <row r="720" spans="3:20" x14ac:dyDescent="0.25">
      <c r="C720" s="7"/>
      <c r="D720" s="7"/>
      <c r="E720" s="7" t="s">
        <v>19</v>
      </c>
      <c r="F720" s="7">
        <v>2055</v>
      </c>
      <c r="G720" s="8" t="s">
        <v>20</v>
      </c>
      <c r="H720" s="19" t="s">
        <v>59</v>
      </c>
      <c r="I720" s="7" t="s">
        <v>60</v>
      </c>
      <c r="J720" s="8"/>
      <c r="K720" s="7"/>
      <c r="L720" s="7" t="s">
        <v>29</v>
      </c>
      <c r="M720" s="18">
        <f>M719</f>
        <v>1.86214E-4</v>
      </c>
      <c r="N720" s="7"/>
      <c r="O720" s="7"/>
      <c r="P720" s="7"/>
      <c r="Q720" s="7"/>
      <c r="R720" s="7"/>
      <c r="S720" s="7"/>
      <c r="T720" s="7"/>
    </row>
    <row r="721" spans="3:20" x14ac:dyDescent="0.25">
      <c r="C721" s="7"/>
      <c r="D721" s="7"/>
      <c r="E721" s="7" t="s">
        <v>19</v>
      </c>
      <c r="F721" s="7">
        <v>2010</v>
      </c>
      <c r="G721" s="8" t="s">
        <v>20</v>
      </c>
      <c r="H721" s="19" t="s">
        <v>59</v>
      </c>
      <c r="I721" s="7" t="s">
        <v>60</v>
      </c>
      <c r="J721" s="8"/>
      <c r="K721" s="7"/>
      <c r="L721" s="7" t="s">
        <v>30</v>
      </c>
      <c r="M721" s="18">
        <f>'Emissions - REF'!$C$65</f>
        <v>9.9753000000000005E-5</v>
      </c>
      <c r="N721" s="7"/>
      <c r="O721" s="7"/>
      <c r="P721" s="7"/>
      <c r="Q721" s="7"/>
      <c r="R721" s="7"/>
      <c r="S721" s="7"/>
      <c r="T721" s="7"/>
    </row>
    <row r="722" spans="3:20" x14ac:dyDescent="0.25">
      <c r="C722" s="7"/>
      <c r="D722" s="7"/>
      <c r="E722" s="7" t="s">
        <v>19</v>
      </c>
      <c r="F722" s="7">
        <v>2015</v>
      </c>
      <c r="G722" s="8" t="s">
        <v>20</v>
      </c>
      <c r="H722" s="19" t="s">
        <v>59</v>
      </c>
      <c r="I722" s="7" t="s">
        <v>60</v>
      </c>
      <c r="J722" s="8"/>
      <c r="K722" s="7"/>
      <c r="L722" s="7" t="s">
        <v>30</v>
      </c>
      <c r="M722" s="18">
        <f>'Emissions - REF'!$D$65</f>
        <v>9.9753000000000005E-5</v>
      </c>
      <c r="N722" s="7"/>
      <c r="O722" s="7"/>
      <c r="P722" s="7"/>
      <c r="Q722" s="7"/>
      <c r="R722" s="7"/>
      <c r="S722" s="7"/>
      <c r="T722" s="7"/>
    </row>
    <row r="723" spans="3:20" x14ac:dyDescent="0.25">
      <c r="C723" s="7"/>
      <c r="D723" s="7"/>
      <c r="E723" s="7" t="s">
        <v>19</v>
      </c>
      <c r="F723" s="7">
        <v>2020</v>
      </c>
      <c r="G723" s="8" t="s">
        <v>20</v>
      </c>
      <c r="H723" s="19" t="s">
        <v>59</v>
      </c>
      <c r="I723" s="7" t="s">
        <v>60</v>
      </c>
      <c r="J723" s="8"/>
      <c r="K723" s="7"/>
      <c r="L723" s="7" t="s">
        <v>30</v>
      </c>
      <c r="M723" s="18">
        <f>'Emissions - REF'!$E$65</f>
        <v>9.9753000000000005E-5</v>
      </c>
      <c r="N723" s="7"/>
      <c r="O723" s="7"/>
      <c r="P723" s="7"/>
      <c r="Q723" s="7"/>
      <c r="R723" s="7"/>
      <c r="S723" s="7"/>
      <c r="T723" s="7"/>
    </row>
    <row r="724" spans="3:20" x14ac:dyDescent="0.25">
      <c r="C724" s="7"/>
      <c r="D724" s="7"/>
      <c r="E724" s="7" t="s">
        <v>19</v>
      </c>
      <c r="F724" s="7">
        <v>2055</v>
      </c>
      <c r="G724" s="8" t="s">
        <v>20</v>
      </c>
      <c r="H724" s="19" t="s">
        <v>59</v>
      </c>
      <c r="I724" s="7" t="s">
        <v>60</v>
      </c>
      <c r="J724" s="8"/>
      <c r="K724" s="7"/>
      <c r="L724" s="7" t="s">
        <v>30</v>
      </c>
      <c r="M724" s="18">
        <f>M723</f>
        <v>9.9753000000000005E-5</v>
      </c>
      <c r="N724" s="7"/>
      <c r="O724" s="7"/>
      <c r="P724" s="7"/>
      <c r="Q724" s="7"/>
      <c r="R724" s="7"/>
      <c r="S724" s="7"/>
      <c r="T724" s="7"/>
    </row>
    <row r="725" spans="3:20" x14ac:dyDescent="0.25">
      <c r="C725" s="7"/>
      <c r="D725" s="7"/>
      <c r="E725" s="7" t="s">
        <v>19</v>
      </c>
      <c r="F725" s="7">
        <v>2010</v>
      </c>
      <c r="G725" s="8" t="s">
        <v>20</v>
      </c>
      <c r="H725" s="19" t="s">
        <v>59</v>
      </c>
      <c r="I725" s="7" t="s">
        <v>60</v>
      </c>
      <c r="J725" s="8"/>
      <c r="K725" s="7"/>
      <c r="L725" s="7" t="s">
        <v>31</v>
      </c>
      <c r="M725" s="7">
        <v>1E-4</v>
      </c>
      <c r="N725" s="7"/>
      <c r="O725" s="7"/>
      <c r="P725" s="7"/>
      <c r="Q725" s="7"/>
      <c r="R725" s="7"/>
      <c r="S725" s="7"/>
      <c r="T725" s="7"/>
    </row>
    <row r="726" spans="3:20" x14ac:dyDescent="0.25">
      <c r="C726" s="7"/>
      <c r="D726" s="7"/>
      <c r="E726" s="7" t="s">
        <v>19</v>
      </c>
      <c r="F726" s="7">
        <v>2015</v>
      </c>
      <c r="G726" s="8" t="s">
        <v>20</v>
      </c>
      <c r="H726" s="19" t="s">
        <v>59</v>
      </c>
      <c r="I726" s="7" t="s">
        <v>60</v>
      </c>
      <c r="J726" s="8"/>
      <c r="K726" s="7"/>
      <c r="L726" s="7" t="s">
        <v>31</v>
      </c>
      <c r="M726" s="7">
        <f>M725</f>
        <v>1E-4</v>
      </c>
      <c r="N726" s="7"/>
      <c r="O726" s="7"/>
      <c r="P726" s="7"/>
      <c r="Q726" s="7"/>
      <c r="R726" s="7"/>
      <c r="S726" s="7"/>
      <c r="T726" s="7"/>
    </row>
    <row r="727" spans="3:20" x14ac:dyDescent="0.25">
      <c r="C727" s="7"/>
      <c r="D727" s="7"/>
      <c r="E727" s="7" t="s">
        <v>19</v>
      </c>
      <c r="F727" s="7">
        <v>2020</v>
      </c>
      <c r="G727" s="8" t="s">
        <v>20</v>
      </c>
      <c r="H727" s="19" t="s">
        <v>59</v>
      </c>
      <c r="I727" s="7" t="s">
        <v>60</v>
      </c>
      <c r="J727" s="8"/>
      <c r="K727" s="7"/>
      <c r="L727" s="7" t="s">
        <v>31</v>
      </c>
      <c r="M727" s="7">
        <f t="shared" ref="M727:M728" si="174">M726</f>
        <v>1E-4</v>
      </c>
      <c r="N727" s="7"/>
      <c r="O727" s="7"/>
      <c r="P727" s="7"/>
      <c r="Q727" s="7"/>
      <c r="R727" s="7"/>
      <c r="S727" s="7"/>
      <c r="T727" s="7"/>
    </row>
    <row r="728" spans="3:20" x14ac:dyDescent="0.25">
      <c r="C728" s="7"/>
      <c r="D728" s="7"/>
      <c r="E728" s="7" t="s">
        <v>19</v>
      </c>
      <c r="F728" s="7">
        <v>2055</v>
      </c>
      <c r="G728" s="8" t="s">
        <v>20</v>
      </c>
      <c r="H728" s="19" t="s">
        <v>59</v>
      </c>
      <c r="I728" s="7" t="s">
        <v>60</v>
      </c>
      <c r="J728" s="8"/>
      <c r="K728" s="7"/>
      <c r="L728" s="7" t="s">
        <v>31</v>
      </c>
      <c r="M728" s="7">
        <f t="shared" si="174"/>
        <v>1E-4</v>
      </c>
      <c r="N728" s="7"/>
      <c r="O728" s="7"/>
      <c r="P728" s="7"/>
      <c r="Q728" s="7"/>
      <c r="R728" s="7"/>
      <c r="S728" s="7"/>
      <c r="T728" s="7"/>
    </row>
    <row r="729" spans="3:20" x14ac:dyDescent="0.25">
      <c r="C729" s="7"/>
      <c r="D729" s="7"/>
      <c r="E729" s="7" t="s">
        <v>19</v>
      </c>
      <c r="F729" s="7">
        <v>2010</v>
      </c>
      <c r="G729" s="8" t="s">
        <v>20</v>
      </c>
      <c r="H729" s="19" t="s">
        <v>59</v>
      </c>
      <c r="I729" s="7" t="s">
        <v>60</v>
      </c>
      <c r="J729" s="8"/>
      <c r="K729" s="7"/>
      <c r="L729" s="7" t="s">
        <v>32</v>
      </c>
      <c r="M729" s="7">
        <v>2.0000000000000001E-4</v>
      </c>
      <c r="N729" s="7"/>
      <c r="O729" s="7"/>
      <c r="P729" s="7"/>
      <c r="Q729" s="7"/>
      <c r="R729" s="7"/>
      <c r="S729" s="7"/>
      <c r="T729" s="7"/>
    </row>
    <row r="730" spans="3:20" x14ac:dyDescent="0.25">
      <c r="C730" s="7"/>
      <c r="D730" s="7"/>
      <c r="E730" s="7" t="s">
        <v>19</v>
      </c>
      <c r="F730" s="7">
        <v>2015</v>
      </c>
      <c r="G730" s="8" t="s">
        <v>20</v>
      </c>
      <c r="H730" s="19" t="s">
        <v>59</v>
      </c>
      <c r="I730" s="7" t="s">
        <v>60</v>
      </c>
      <c r="J730" s="8"/>
      <c r="K730" s="7"/>
      <c r="L730" s="7" t="s">
        <v>32</v>
      </c>
      <c r="M730" s="7">
        <f>M729</f>
        <v>2.0000000000000001E-4</v>
      </c>
      <c r="N730" s="7"/>
      <c r="O730" s="7"/>
      <c r="P730" s="7"/>
      <c r="Q730" s="7"/>
      <c r="R730" s="7"/>
      <c r="S730" s="7"/>
      <c r="T730" s="7"/>
    </row>
    <row r="731" spans="3:20" x14ac:dyDescent="0.25">
      <c r="C731" s="7"/>
      <c r="D731" s="7"/>
      <c r="E731" s="7" t="s">
        <v>19</v>
      </c>
      <c r="F731" s="7">
        <v>2020</v>
      </c>
      <c r="G731" s="8" t="s">
        <v>20</v>
      </c>
      <c r="H731" s="19" t="s">
        <v>59</v>
      </c>
      <c r="I731" s="7" t="s">
        <v>60</v>
      </c>
      <c r="J731" s="8"/>
      <c r="K731" s="7"/>
      <c r="L731" s="7" t="s">
        <v>32</v>
      </c>
      <c r="M731" s="7">
        <f t="shared" ref="M731:M732" si="175">M730</f>
        <v>2.0000000000000001E-4</v>
      </c>
      <c r="N731" s="7"/>
      <c r="O731" s="7"/>
      <c r="P731" s="7"/>
      <c r="Q731" s="7"/>
      <c r="R731" s="7"/>
      <c r="S731" s="7"/>
      <c r="T731" s="7"/>
    </row>
    <row r="732" spans="3:20" x14ac:dyDescent="0.25">
      <c r="C732" s="7"/>
      <c r="D732" s="7"/>
      <c r="E732" s="7" t="s">
        <v>19</v>
      </c>
      <c r="F732" s="7">
        <v>2055</v>
      </c>
      <c r="G732" s="8" t="s">
        <v>20</v>
      </c>
      <c r="H732" s="19" t="s">
        <v>59</v>
      </c>
      <c r="I732" s="7" t="s">
        <v>60</v>
      </c>
      <c r="J732" s="8"/>
      <c r="K732" s="7"/>
      <c r="L732" s="7" t="s">
        <v>32</v>
      </c>
      <c r="M732" s="7">
        <f t="shared" si="175"/>
        <v>2.0000000000000001E-4</v>
      </c>
      <c r="N732" s="7"/>
      <c r="O732" s="7"/>
      <c r="P732" s="7"/>
      <c r="Q732" s="7"/>
      <c r="R732" s="7"/>
      <c r="S732" s="7"/>
      <c r="T732" s="7"/>
    </row>
    <row r="733" spans="3:20" x14ac:dyDescent="0.25">
      <c r="C733" s="7"/>
      <c r="D733" s="7"/>
      <c r="E733" s="7" t="s">
        <v>19</v>
      </c>
      <c r="F733" s="7">
        <v>2010</v>
      </c>
      <c r="G733" s="8" t="s">
        <v>20</v>
      </c>
      <c r="H733" s="19" t="s">
        <v>59</v>
      </c>
      <c r="I733" s="7" t="s">
        <v>60</v>
      </c>
      <c r="J733" s="8"/>
      <c r="K733" s="7"/>
      <c r="L733" s="7" t="s">
        <v>46</v>
      </c>
      <c r="M733" s="18">
        <f>M701</f>
        <v>8.1385390000000002E-3</v>
      </c>
      <c r="N733" s="7"/>
      <c r="O733" s="7"/>
      <c r="P733" s="7"/>
      <c r="Q733" s="7"/>
      <c r="R733" s="7"/>
      <c r="S733" s="7"/>
      <c r="T733" s="7"/>
    </row>
    <row r="734" spans="3:20" x14ac:dyDescent="0.25">
      <c r="C734" s="7"/>
      <c r="D734" s="7"/>
      <c r="E734" s="7" t="s">
        <v>19</v>
      </c>
      <c r="F734" s="7">
        <v>2015</v>
      </c>
      <c r="G734" s="8" t="s">
        <v>20</v>
      </c>
      <c r="H734" s="19" t="s">
        <v>59</v>
      </c>
      <c r="I734" s="7" t="s">
        <v>60</v>
      </c>
      <c r="J734" s="8"/>
      <c r="K734" s="7"/>
      <c r="L734" s="7" t="s">
        <v>46</v>
      </c>
      <c r="M734" s="18">
        <f t="shared" ref="M734:M736" si="176">M702</f>
        <v>7.2228180000000006E-3</v>
      </c>
      <c r="N734" s="7"/>
      <c r="O734" s="7"/>
      <c r="P734" s="7"/>
      <c r="Q734" s="7"/>
      <c r="R734" s="7"/>
      <c r="S734" s="7"/>
      <c r="T734" s="7"/>
    </row>
    <row r="735" spans="3:20" x14ac:dyDescent="0.25">
      <c r="C735" s="7"/>
      <c r="D735" s="7"/>
      <c r="E735" s="7" t="s">
        <v>19</v>
      </c>
      <c r="F735" s="7">
        <v>2020</v>
      </c>
      <c r="G735" s="8" t="s">
        <v>20</v>
      </c>
      <c r="H735" s="19" t="s">
        <v>59</v>
      </c>
      <c r="I735" s="7" t="s">
        <v>60</v>
      </c>
      <c r="J735" s="8"/>
      <c r="K735" s="7"/>
      <c r="L735" s="7" t="s">
        <v>46</v>
      </c>
      <c r="M735" s="18">
        <f t="shared" si="176"/>
        <v>6.8328519999999995E-3</v>
      </c>
      <c r="N735" s="7"/>
      <c r="O735" s="7"/>
      <c r="P735" s="7"/>
      <c r="Q735" s="7"/>
      <c r="R735" s="7"/>
      <c r="S735" s="7"/>
      <c r="T735" s="7"/>
    </row>
    <row r="736" spans="3:20" x14ac:dyDescent="0.25">
      <c r="C736" s="7"/>
      <c r="D736" s="7"/>
      <c r="E736" s="7" t="s">
        <v>19</v>
      </c>
      <c r="F736" s="7">
        <v>2055</v>
      </c>
      <c r="G736" s="8" t="s">
        <v>20</v>
      </c>
      <c r="H736" s="19" t="s">
        <v>59</v>
      </c>
      <c r="I736" s="7" t="s">
        <v>60</v>
      </c>
      <c r="J736" s="8"/>
      <c r="K736" s="7"/>
      <c r="L736" s="7" t="s">
        <v>46</v>
      </c>
      <c r="M736" s="18">
        <f t="shared" si="176"/>
        <v>6.8328519999999995E-3</v>
      </c>
      <c r="N736" s="7"/>
      <c r="O736" s="7"/>
      <c r="P736" s="7"/>
      <c r="Q736" s="7"/>
      <c r="R736" s="7"/>
      <c r="S736" s="7"/>
      <c r="T736" s="7"/>
    </row>
    <row r="737" spans="3:20" x14ac:dyDescent="0.25">
      <c r="C737" s="7"/>
      <c r="D737" s="7"/>
      <c r="E737" s="7" t="s">
        <v>19</v>
      </c>
      <c r="F737" s="7">
        <v>2010</v>
      </c>
      <c r="G737" s="8" t="s">
        <v>20</v>
      </c>
      <c r="H737" s="19" t="s">
        <v>59</v>
      </c>
      <c r="I737" s="7" t="s">
        <v>60</v>
      </c>
      <c r="J737" s="8"/>
      <c r="K737" s="7"/>
      <c r="L737" s="7" t="s">
        <v>47</v>
      </c>
      <c r="M737" s="18">
        <f>M713</f>
        <v>7.0967230000000001E-3</v>
      </c>
      <c r="N737" s="7"/>
      <c r="O737" s="7"/>
      <c r="P737" s="7"/>
      <c r="Q737" s="7"/>
      <c r="R737" s="7"/>
      <c r="S737" s="7"/>
      <c r="T737" s="7"/>
    </row>
    <row r="738" spans="3:20" x14ac:dyDescent="0.25">
      <c r="C738" s="7"/>
      <c r="D738" s="7"/>
      <c r="E738" s="7" t="s">
        <v>19</v>
      </c>
      <c r="F738" s="7">
        <v>2015</v>
      </c>
      <c r="G738" s="8" t="s">
        <v>20</v>
      </c>
      <c r="H738" s="19" t="s">
        <v>59</v>
      </c>
      <c r="I738" s="7" t="s">
        <v>60</v>
      </c>
      <c r="J738" s="8"/>
      <c r="K738" s="7"/>
      <c r="L738" s="7" t="s">
        <v>47</v>
      </c>
      <c r="M738" s="18">
        <f t="shared" ref="M738:M740" si="177">M714</f>
        <v>6.1027629999999998E-3</v>
      </c>
      <c r="N738" s="7"/>
      <c r="O738" s="7"/>
      <c r="P738" s="7"/>
      <c r="Q738" s="7"/>
      <c r="R738" s="7"/>
      <c r="S738" s="7"/>
      <c r="T738" s="7"/>
    </row>
    <row r="739" spans="3:20" x14ac:dyDescent="0.25">
      <c r="C739" s="7"/>
      <c r="D739" s="7"/>
      <c r="E739" s="7" t="s">
        <v>19</v>
      </c>
      <c r="F739" s="7">
        <v>2020</v>
      </c>
      <c r="G739" s="8" t="s">
        <v>20</v>
      </c>
      <c r="H739" s="19" t="s">
        <v>59</v>
      </c>
      <c r="I739" s="7" t="s">
        <v>60</v>
      </c>
      <c r="J739" s="8"/>
      <c r="K739" s="7"/>
      <c r="L739" s="7" t="s">
        <v>47</v>
      </c>
      <c r="M739" s="18">
        <f t="shared" si="177"/>
        <v>5.6767799999999993E-3</v>
      </c>
      <c r="N739" s="7"/>
      <c r="O739" s="7"/>
      <c r="P739" s="7"/>
      <c r="Q739" s="7"/>
      <c r="R739" s="7"/>
      <c r="S739" s="7"/>
      <c r="T739" s="7"/>
    </row>
    <row r="740" spans="3:20" x14ac:dyDescent="0.25">
      <c r="C740" s="7"/>
      <c r="D740" s="7"/>
      <c r="E740" s="7" t="s">
        <v>19</v>
      </c>
      <c r="F740" s="7">
        <v>2055</v>
      </c>
      <c r="G740" s="8" t="s">
        <v>20</v>
      </c>
      <c r="H740" s="19" t="s">
        <v>59</v>
      </c>
      <c r="I740" s="7" t="s">
        <v>60</v>
      </c>
      <c r="J740" s="8"/>
      <c r="K740" s="7"/>
      <c r="L740" s="7" t="s">
        <v>47</v>
      </c>
      <c r="M740" s="18">
        <f t="shared" si="177"/>
        <v>5.6767799999999993E-3</v>
      </c>
      <c r="N740" s="7"/>
      <c r="O740" s="7"/>
      <c r="P740" s="7"/>
      <c r="Q740" s="7"/>
      <c r="R740" s="7"/>
      <c r="S740" s="7"/>
      <c r="T740" s="7"/>
    </row>
    <row r="741" spans="3:20" x14ac:dyDescent="0.25">
      <c r="C741" s="7"/>
      <c r="D741" s="7"/>
      <c r="E741" s="7" t="s">
        <v>19</v>
      </c>
      <c r="F741" s="7">
        <v>2010</v>
      </c>
      <c r="G741" s="8" t="s">
        <v>20</v>
      </c>
      <c r="H741" s="19" t="s">
        <v>59</v>
      </c>
      <c r="I741" s="7" t="s">
        <v>60</v>
      </c>
      <c r="J741" s="8"/>
      <c r="K741" s="7"/>
      <c r="L741" s="7" t="s">
        <v>48</v>
      </c>
      <c r="M741" s="18">
        <f>M705</f>
        <v>1.9520940000000001E-3</v>
      </c>
      <c r="N741" s="7"/>
      <c r="O741" s="7"/>
      <c r="P741" s="7"/>
      <c r="Q741" s="7"/>
      <c r="R741" s="7"/>
      <c r="S741" s="7"/>
      <c r="T741" s="7"/>
    </row>
    <row r="742" spans="3:20" x14ac:dyDescent="0.25">
      <c r="C742" s="7"/>
      <c r="D742" s="7"/>
      <c r="E742" s="7" t="s">
        <v>19</v>
      </c>
      <c r="F742" s="7">
        <v>2015</v>
      </c>
      <c r="G742" s="8" t="s">
        <v>20</v>
      </c>
      <c r="H742" s="19" t="s">
        <v>59</v>
      </c>
      <c r="I742" s="7" t="s">
        <v>60</v>
      </c>
      <c r="J742" s="8"/>
      <c r="K742" s="7"/>
      <c r="L742" s="7" t="s">
        <v>48</v>
      </c>
      <c r="M742" s="18">
        <f t="shared" ref="M742:M744" si="178">M706</f>
        <v>1.735997E-3</v>
      </c>
      <c r="N742" s="7"/>
      <c r="O742" s="7"/>
      <c r="P742" s="7"/>
      <c r="Q742" s="7"/>
      <c r="R742" s="7"/>
      <c r="S742" s="7"/>
      <c r="T742" s="7"/>
    </row>
    <row r="743" spans="3:20" x14ac:dyDescent="0.25">
      <c r="C743" s="7"/>
      <c r="D743" s="7"/>
      <c r="E743" s="7" t="s">
        <v>19</v>
      </c>
      <c r="F743" s="7">
        <v>2020</v>
      </c>
      <c r="G743" s="8" t="s">
        <v>20</v>
      </c>
      <c r="H743" s="19" t="s">
        <v>59</v>
      </c>
      <c r="I743" s="7" t="s">
        <v>60</v>
      </c>
      <c r="J743" s="8"/>
      <c r="K743" s="7"/>
      <c r="L743" s="7" t="s">
        <v>48</v>
      </c>
      <c r="M743" s="18">
        <f t="shared" si="178"/>
        <v>1.663348E-3</v>
      </c>
      <c r="N743" s="7"/>
      <c r="O743" s="7"/>
      <c r="P743" s="7"/>
      <c r="Q743" s="7"/>
      <c r="R743" s="7"/>
      <c r="S743" s="7"/>
      <c r="T743" s="7"/>
    </row>
    <row r="744" spans="3:20" x14ac:dyDescent="0.25">
      <c r="C744" s="7"/>
      <c r="D744" s="7"/>
      <c r="E744" s="7" t="s">
        <v>19</v>
      </c>
      <c r="F744" s="7">
        <v>2055</v>
      </c>
      <c r="G744" s="8" t="s">
        <v>20</v>
      </c>
      <c r="H744" s="19" t="s">
        <v>59</v>
      </c>
      <c r="I744" s="7" t="s">
        <v>60</v>
      </c>
      <c r="J744" s="8"/>
      <c r="K744" s="7"/>
      <c r="L744" s="7" t="s">
        <v>48</v>
      </c>
      <c r="M744" s="18">
        <f t="shared" si="178"/>
        <v>1.663348E-3</v>
      </c>
      <c r="N744" s="7"/>
      <c r="O744" s="7"/>
      <c r="P744" s="7"/>
      <c r="Q744" s="7"/>
      <c r="R744" s="7"/>
      <c r="S744" s="7"/>
      <c r="T744" s="7"/>
    </row>
    <row r="745" spans="3:20" x14ac:dyDescent="0.25">
      <c r="C745" s="7"/>
      <c r="D745" s="7"/>
      <c r="E745" s="7" t="s">
        <v>19</v>
      </c>
      <c r="F745" s="7">
        <v>2010</v>
      </c>
      <c r="G745" s="8" t="s">
        <v>20</v>
      </c>
      <c r="H745" s="19" t="s">
        <v>59</v>
      </c>
      <c r="I745" s="7" t="s">
        <v>60</v>
      </c>
      <c r="J745" s="8"/>
      <c r="K745" s="7"/>
      <c r="L745" s="7" t="s">
        <v>49</v>
      </c>
      <c r="M745" s="7">
        <f>'Emissions - REF'!$C$66</f>
        <v>6.1188960520000002</v>
      </c>
      <c r="N745" s="7"/>
      <c r="O745" s="7"/>
      <c r="P745" s="7"/>
      <c r="Q745" s="7"/>
      <c r="R745" s="7"/>
      <c r="S745" s="7"/>
      <c r="T745" s="7"/>
    </row>
    <row r="746" spans="3:20" x14ac:dyDescent="0.25">
      <c r="C746" s="7"/>
      <c r="D746" s="7"/>
      <c r="E746" s="7" t="s">
        <v>19</v>
      </c>
      <c r="F746" s="7">
        <v>2015</v>
      </c>
      <c r="G746" s="8" t="s">
        <v>20</v>
      </c>
      <c r="H746" s="19" t="s">
        <v>59</v>
      </c>
      <c r="I746" s="7" t="s">
        <v>60</v>
      </c>
      <c r="J746" s="8"/>
      <c r="K746" s="7"/>
      <c r="L746" s="7" t="s">
        <v>49</v>
      </c>
      <c r="M746" s="7">
        <f>'Emissions - REF'!$D$66</f>
        <v>6.1188960520000002</v>
      </c>
      <c r="N746" s="7"/>
      <c r="O746" s="7"/>
      <c r="P746" s="7"/>
      <c r="Q746" s="7"/>
      <c r="R746" s="7"/>
      <c r="S746" s="7"/>
      <c r="T746" s="7"/>
    </row>
    <row r="747" spans="3:20" x14ac:dyDescent="0.25">
      <c r="C747" s="7"/>
      <c r="D747" s="7"/>
      <c r="E747" s="7" t="s">
        <v>19</v>
      </c>
      <c r="F747" s="7">
        <v>2020</v>
      </c>
      <c r="G747" s="8" t="s">
        <v>20</v>
      </c>
      <c r="H747" s="19" t="s">
        <v>59</v>
      </c>
      <c r="I747" s="7" t="s">
        <v>60</v>
      </c>
      <c r="J747" s="8"/>
      <c r="K747" s="7"/>
      <c r="L747" s="7" t="s">
        <v>49</v>
      </c>
      <c r="M747" s="7">
        <f>'Emissions - REF'!$E$66</f>
        <v>6.1188960520000002</v>
      </c>
      <c r="N747" s="7"/>
      <c r="O747" s="7"/>
      <c r="P747" s="7"/>
      <c r="Q747" s="7"/>
      <c r="R747" s="7"/>
      <c r="S747" s="7"/>
      <c r="T747" s="7"/>
    </row>
    <row r="748" spans="3:20" x14ac:dyDescent="0.25">
      <c r="C748" s="7"/>
      <c r="D748" s="7"/>
      <c r="E748" s="7" t="s">
        <v>19</v>
      </c>
      <c r="F748" s="7">
        <v>2055</v>
      </c>
      <c r="G748" s="8" t="s">
        <v>20</v>
      </c>
      <c r="H748" s="19" t="s">
        <v>59</v>
      </c>
      <c r="I748" s="7" t="s">
        <v>60</v>
      </c>
      <c r="J748" s="8"/>
      <c r="K748" s="7"/>
      <c r="L748" s="7" t="s">
        <v>49</v>
      </c>
      <c r="M748" s="7">
        <f>M747</f>
        <v>6.1188960520000002</v>
      </c>
      <c r="N748" s="7"/>
      <c r="O748" s="7"/>
      <c r="P748" s="7"/>
      <c r="Q748" s="7"/>
      <c r="R748" s="7"/>
      <c r="S748" s="7"/>
      <c r="T748" s="7"/>
    </row>
    <row r="749" spans="3:20" x14ac:dyDescent="0.25">
      <c r="C749" s="7"/>
      <c r="D749" s="7"/>
      <c r="E749" s="7" t="s">
        <v>19</v>
      </c>
      <c r="F749" s="7">
        <v>2010</v>
      </c>
      <c r="G749" s="8" t="s">
        <v>20</v>
      </c>
      <c r="H749" s="19" t="s">
        <v>59</v>
      </c>
      <c r="I749" s="7" t="s">
        <v>60</v>
      </c>
      <c r="J749" s="8"/>
      <c r="K749" s="7"/>
      <c r="L749" s="7" t="s">
        <v>50</v>
      </c>
      <c r="M749" s="18">
        <f>M733</f>
        <v>8.1385390000000002E-3</v>
      </c>
      <c r="N749" s="7"/>
      <c r="O749" s="7"/>
      <c r="P749" s="7"/>
      <c r="Q749" s="7"/>
      <c r="R749" s="7"/>
      <c r="S749" s="7"/>
      <c r="T749" s="7"/>
    </row>
    <row r="750" spans="3:20" x14ac:dyDescent="0.25">
      <c r="C750" s="7"/>
      <c r="D750" s="7"/>
      <c r="E750" s="7" t="s">
        <v>19</v>
      </c>
      <c r="F750" s="7">
        <v>2015</v>
      </c>
      <c r="G750" s="8" t="s">
        <v>20</v>
      </c>
      <c r="H750" s="19" t="s">
        <v>59</v>
      </c>
      <c r="I750" s="7" t="s">
        <v>60</v>
      </c>
      <c r="J750" s="8"/>
      <c r="K750" s="7"/>
      <c r="L750" s="7" t="s">
        <v>50</v>
      </c>
      <c r="M750" s="18">
        <f t="shared" ref="M750:M752" si="179">M734</f>
        <v>7.2228180000000006E-3</v>
      </c>
      <c r="N750" s="7"/>
      <c r="O750" s="7"/>
      <c r="P750" s="7"/>
      <c r="Q750" s="7"/>
      <c r="R750" s="7"/>
      <c r="S750" s="7"/>
      <c r="T750" s="7"/>
    </row>
    <row r="751" spans="3:20" x14ac:dyDescent="0.25">
      <c r="C751" s="7"/>
      <c r="D751" s="7"/>
      <c r="E751" s="7" t="s">
        <v>19</v>
      </c>
      <c r="F751" s="7">
        <v>2020</v>
      </c>
      <c r="G751" s="8" t="s">
        <v>20</v>
      </c>
      <c r="H751" s="19" t="s">
        <v>59</v>
      </c>
      <c r="I751" s="7" t="s">
        <v>60</v>
      </c>
      <c r="J751" s="8"/>
      <c r="K751" s="7"/>
      <c r="L751" s="7" t="s">
        <v>50</v>
      </c>
      <c r="M751" s="18">
        <f t="shared" si="179"/>
        <v>6.8328519999999995E-3</v>
      </c>
      <c r="N751" s="7"/>
      <c r="O751" s="7"/>
      <c r="P751" s="7"/>
      <c r="Q751" s="7"/>
      <c r="R751" s="7"/>
      <c r="S751" s="7"/>
      <c r="T751" s="7"/>
    </row>
    <row r="752" spans="3:20" x14ac:dyDescent="0.25">
      <c r="C752" s="7"/>
      <c r="D752" s="7"/>
      <c r="E752" s="7" t="s">
        <v>19</v>
      </c>
      <c r="F752" s="7">
        <v>2055</v>
      </c>
      <c r="G752" s="8" t="s">
        <v>20</v>
      </c>
      <c r="H752" s="19" t="s">
        <v>59</v>
      </c>
      <c r="I752" s="7" t="s">
        <v>60</v>
      </c>
      <c r="J752" s="8"/>
      <c r="K752" s="7"/>
      <c r="L752" s="7" t="s">
        <v>50</v>
      </c>
      <c r="M752" s="18">
        <f t="shared" si="179"/>
        <v>6.8328519999999995E-3</v>
      </c>
      <c r="N752" s="7"/>
      <c r="O752" s="7"/>
      <c r="P752" s="7"/>
      <c r="Q752" s="7"/>
      <c r="R752" s="7"/>
      <c r="S752" s="7"/>
      <c r="T752" s="7"/>
    </row>
    <row r="753" spans="3:20" x14ac:dyDescent="0.25">
      <c r="C753" s="15" t="s">
        <v>33</v>
      </c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 spans="3:20" x14ac:dyDescent="0.25">
      <c r="C754" s="7"/>
      <c r="D754" s="7"/>
      <c r="E754" s="7" t="s">
        <v>19</v>
      </c>
      <c r="F754" s="7">
        <v>2025</v>
      </c>
      <c r="G754" s="8" t="s">
        <v>20</v>
      </c>
      <c r="H754" s="30" t="s">
        <v>61</v>
      </c>
      <c r="I754" s="7" t="s">
        <v>62</v>
      </c>
      <c r="J754" s="8"/>
      <c r="K754" s="7"/>
      <c r="L754" s="7" t="s">
        <v>63</v>
      </c>
      <c r="M754" s="7">
        <v>114</v>
      </c>
      <c r="N754" s="7"/>
      <c r="O754" s="7"/>
      <c r="P754" s="7"/>
      <c r="Q754" s="7"/>
      <c r="R754" s="7"/>
      <c r="S754" s="7"/>
      <c r="T754" s="7"/>
    </row>
    <row r="755" spans="3:20" x14ac:dyDescent="0.25">
      <c r="C755" s="7"/>
      <c r="D755" s="7"/>
      <c r="E755" s="7" t="s">
        <v>19</v>
      </c>
      <c r="F755" s="7">
        <v>2040</v>
      </c>
      <c r="G755" s="8" t="s">
        <v>20</v>
      </c>
      <c r="H755" s="30" t="s">
        <v>61</v>
      </c>
      <c r="I755" s="7" t="s">
        <v>62</v>
      </c>
      <c r="J755" s="8"/>
      <c r="K755" s="7"/>
      <c r="L755" s="7" t="s">
        <v>63</v>
      </c>
      <c r="M755" s="7">
        <v>104</v>
      </c>
      <c r="N755" s="7"/>
      <c r="O755" s="7"/>
      <c r="P755" s="7"/>
      <c r="Q755" s="7"/>
      <c r="R755" s="7"/>
      <c r="S755" s="7"/>
      <c r="T755" s="7"/>
    </row>
    <row r="756" spans="3:20" x14ac:dyDescent="0.25">
      <c r="C756" s="7"/>
      <c r="D756" s="7"/>
      <c r="E756" s="7" t="s">
        <v>19</v>
      </c>
      <c r="F756" s="7">
        <v>2050</v>
      </c>
      <c r="G756" s="8" t="s">
        <v>20</v>
      </c>
      <c r="H756" s="30" t="s">
        <v>61</v>
      </c>
      <c r="I756" s="7" t="s">
        <v>62</v>
      </c>
      <c r="J756" s="8"/>
      <c r="K756" s="7"/>
      <c r="L756" s="7" t="s">
        <v>63</v>
      </c>
      <c r="M756" s="7">
        <f>M755</f>
        <v>104</v>
      </c>
      <c r="N756" s="7"/>
      <c r="O756" s="7"/>
      <c r="P756" s="7"/>
      <c r="Q756" s="7"/>
      <c r="R756" s="7"/>
      <c r="S756" s="7"/>
      <c r="T756" s="7"/>
    </row>
    <row r="757" spans="3:20" x14ac:dyDescent="0.25">
      <c r="C757" s="7"/>
      <c r="D757" s="7"/>
      <c r="E757" s="7" t="s">
        <v>19</v>
      </c>
      <c r="F757" s="7">
        <v>2025</v>
      </c>
      <c r="G757" s="8" t="s">
        <v>20</v>
      </c>
      <c r="H757" s="30" t="s">
        <v>61</v>
      </c>
      <c r="I757" s="7" t="s">
        <v>62</v>
      </c>
      <c r="J757" s="8"/>
      <c r="K757" s="7"/>
      <c r="L757" s="7" t="s">
        <v>22</v>
      </c>
      <c r="M757" s="76">
        <f>M754/1000</f>
        <v>0.114</v>
      </c>
      <c r="N757" s="7"/>
      <c r="O757" s="7"/>
      <c r="P757" s="7"/>
      <c r="Q757" s="7"/>
      <c r="R757" s="7"/>
      <c r="S757" s="7"/>
      <c r="T757" s="7"/>
    </row>
    <row r="758" spans="3:20" x14ac:dyDescent="0.25">
      <c r="C758" s="7"/>
      <c r="D758" s="7"/>
      <c r="E758" s="7" t="s">
        <v>19</v>
      </c>
      <c r="F758" s="7">
        <v>2040</v>
      </c>
      <c r="G758" s="8" t="s">
        <v>20</v>
      </c>
      <c r="H758" s="30" t="s">
        <v>61</v>
      </c>
      <c r="I758" s="7" t="s">
        <v>62</v>
      </c>
      <c r="J758" s="8"/>
      <c r="K758" s="7"/>
      <c r="L758" s="7" t="s">
        <v>22</v>
      </c>
      <c r="M758" s="76">
        <f t="shared" ref="M758:M759" si="180">M755/1000</f>
        <v>0.104</v>
      </c>
      <c r="N758" s="7"/>
      <c r="O758" s="7"/>
      <c r="P758" s="7"/>
      <c r="Q758" s="7"/>
      <c r="R758" s="7"/>
      <c r="S758" s="7"/>
      <c r="T758" s="7"/>
    </row>
    <row r="759" spans="3:20" x14ac:dyDescent="0.25">
      <c r="C759" s="7"/>
      <c r="D759" s="7"/>
      <c r="E759" s="7" t="s">
        <v>19</v>
      </c>
      <c r="F759" s="7">
        <v>2050</v>
      </c>
      <c r="G759" s="8" t="s">
        <v>20</v>
      </c>
      <c r="H759" s="30" t="s">
        <v>61</v>
      </c>
      <c r="I759" s="7" t="s">
        <v>62</v>
      </c>
      <c r="J759" s="8"/>
      <c r="K759" s="7"/>
      <c r="L759" s="7" t="s">
        <v>22</v>
      </c>
      <c r="M759" s="76">
        <f t="shared" si="180"/>
        <v>0.104</v>
      </c>
      <c r="N759" s="7"/>
      <c r="O759" s="7"/>
      <c r="P759" s="7"/>
      <c r="Q759" s="7"/>
      <c r="R759" s="7"/>
      <c r="S759" s="7"/>
      <c r="T759" s="7"/>
    </row>
    <row r="760" spans="3:20" x14ac:dyDescent="0.25">
      <c r="C760" s="15" t="s">
        <v>33</v>
      </c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 spans="3:20" x14ac:dyDescent="0.25">
      <c r="C761" s="7"/>
      <c r="D761" s="7"/>
      <c r="E761" s="7" t="s">
        <v>19</v>
      </c>
      <c r="F761" s="7">
        <v>2025</v>
      </c>
      <c r="G761" s="8" t="s">
        <v>20</v>
      </c>
      <c r="H761" s="30" t="s">
        <v>64</v>
      </c>
      <c r="I761" s="7" t="s">
        <v>62</v>
      </c>
      <c r="J761" s="8"/>
      <c r="K761" s="7"/>
      <c r="L761" s="7" t="s">
        <v>63</v>
      </c>
      <c r="M761" s="7">
        <v>54</v>
      </c>
      <c r="N761" s="7"/>
      <c r="O761" s="7"/>
      <c r="P761" s="7"/>
      <c r="Q761" s="7"/>
      <c r="R761" s="7"/>
      <c r="S761" s="7"/>
      <c r="T761" s="7"/>
    </row>
    <row r="762" spans="3:20" x14ac:dyDescent="0.25">
      <c r="C762" s="7"/>
      <c r="D762" s="7"/>
      <c r="E762" s="7" t="s">
        <v>19</v>
      </c>
      <c r="F762" s="7">
        <v>2040</v>
      </c>
      <c r="G762" s="8" t="s">
        <v>20</v>
      </c>
      <c r="H762" s="30" t="s">
        <v>64</v>
      </c>
      <c r="I762" s="7" t="s">
        <v>62</v>
      </c>
      <c r="J762" s="8"/>
      <c r="K762" s="7"/>
      <c r="L762" s="7" t="s">
        <v>63</v>
      </c>
      <c r="M762" s="7">
        <v>44</v>
      </c>
      <c r="N762" s="7"/>
      <c r="O762" s="7"/>
      <c r="P762" s="7"/>
      <c r="Q762" s="7"/>
      <c r="R762" s="7"/>
      <c r="S762" s="7"/>
      <c r="T762" s="7"/>
    </row>
    <row r="763" spans="3:20" x14ac:dyDescent="0.25">
      <c r="C763" s="7"/>
      <c r="D763" s="7"/>
      <c r="E763" s="7" t="s">
        <v>19</v>
      </c>
      <c r="F763" s="7">
        <v>2050</v>
      </c>
      <c r="G763" s="8" t="s">
        <v>20</v>
      </c>
      <c r="H763" s="30" t="s">
        <v>64</v>
      </c>
      <c r="I763" s="7" t="s">
        <v>62</v>
      </c>
      <c r="J763" s="8"/>
      <c r="K763" s="7"/>
      <c r="L763" s="7" t="s">
        <v>63</v>
      </c>
      <c r="M763" s="7">
        <f>M762</f>
        <v>44</v>
      </c>
      <c r="N763" s="7"/>
      <c r="O763" s="7"/>
      <c r="P763" s="7"/>
      <c r="Q763" s="7"/>
      <c r="R763" s="7"/>
      <c r="S763" s="7"/>
      <c r="T763" s="7"/>
    </row>
    <row r="764" spans="3:20" x14ac:dyDescent="0.25">
      <c r="C764" s="7"/>
      <c r="D764" s="7"/>
      <c r="E764" s="7" t="s">
        <v>19</v>
      </c>
      <c r="F764" s="7">
        <v>2025</v>
      </c>
      <c r="G764" s="8" t="s">
        <v>20</v>
      </c>
      <c r="H764" s="30" t="s">
        <v>64</v>
      </c>
      <c r="I764" s="7" t="s">
        <v>62</v>
      </c>
      <c r="J764" s="8"/>
      <c r="K764" s="7"/>
      <c r="L764" s="7" t="s">
        <v>22</v>
      </c>
      <c r="M764" s="76">
        <f>M761/1000</f>
        <v>5.3999999999999999E-2</v>
      </c>
      <c r="N764" s="7"/>
      <c r="O764" s="7"/>
      <c r="P764" s="7"/>
      <c r="Q764" s="7"/>
      <c r="R764" s="7"/>
      <c r="S764" s="7"/>
      <c r="T764" s="7"/>
    </row>
    <row r="765" spans="3:20" x14ac:dyDescent="0.25">
      <c r="C765" s="7"/>
      <c r="D765" s="7"/>
      <c r="E765" s="7" t="s">
        <v>19</v>
      </c>
      <c r="F765" s="7">
        <v>2040</v>
      </c>
      <c r="G765" s="8" t="s">
        <v>20</v>
      </c>
      <c r="H765" s="30" t="s">
        <v>64</v>
      </c>
      <c r="I765" s="7" t="s">
        <v>62</v>
      </c>
      <c r="J765" s="8"/>
      <c r="K765" s="7"/>
      <c r="L765" s="7" t="s">
        <v>22</v>
      </c>
      <c r="M765" s="76">
        <f t="shared" ref="M765:M766" si="181">M762/1000</f>
        <v>4.3999999999999997E-2</v>
      </c>
      <c r="N765" s="7"/>
      <c r="O765" s="7"/>
      <c r="P765" s="7"/>
      <c r="Q765" s="7"/>
      <c r="R765" s="7"/>
      <c r="S765" s="7"/>
      <c r="T765" s="7"/>
    </row>
    <row r="766" spans="3:20" x14ac:dyDescent="0.25">
      <c r="C766" s="7"/>
      <c r="D766" s="7"/>
      <c r="E766" s="7" t="s">
        <v>19</v>
      </c>
      <c r="F766" s="7">
        <v>2050</v>
      </c>
      <c r="G766" s="8" t="s">
        <v>20</v>
      </c>
      <c r="H766" s="30" t="s">
        <v>64</v>
      </c>
      <c r="I766" s="7" t="s">
        <v>62</v>
      </c>
      <c r="J766" s="8"/>
      <c r="K766" s="7"/>
      <c r="L766" s="7" t="s">
        <v>22</v>
      </c>
      <c r="M766" s="76">
        <f t="shared" si="181"/>
        <v>4.3999999999999997E-2</v>
      </c>
      <c r="N766" s="7"/>
      <c r="O766" s="7"/>
      <c r="P766" s="7"/>
      <c r="Q766" s="7"/>
      <c r="R766" s="7"/>
      <c r="S766" s="7"/>
      <c r="T766" s="7"/>
    </row>
    <row r="767" spans="3:20" x14ac:dyDescent="0.25">
      <c r="C767" s="15" t="s">
        <v>33</v>
      </c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 spans="3:20" x14ac:dyDescent="0.25">
      <c r="C768" s="7"/>
      <c r="D768" s="7"/>
      <c r="E768" s="7" t="s">
        <v>19</v>
      </c>
      <c r="F768" s="7">
        <v>2025</v>
      </c>
      <c r="G768" s="8" t="s">
        <v>20</v>
      </c>
      <c r="H768" s="30" t="s">
        <v>65</v>
      </c>
      <c r="I768" s="7" t="s">
        <v>62</v>
      </c>
      <c r="J768" s="8"/>
      <c r="K768" s="7"/>
      <c r="L768" s="7" t="s">
        <v>63</v>
      </c>
      <c r="M768" s="7">
        <v>21</v>
      </c>
      <c r="N768" s="7"/>
      <c r="O768" s="7"/>
      <c r="P768" s="7"/>
      <c r="Q768" s="7"/>
      <c r="R768" s="7"/>
      <c r="S768" s="7"/>
      <c r="T768" s="7"/>
    </row>
    <row r="769" spans="3:20" x14ac:dyDescent="0.25">
      <c r="C769" s="7"/>
      <c r="D769" s="7"/>
      <c r="E769" s="7" t="s">
        <v>19</v>
      </c>
      <c r="F769" s="7">
        <v>2040</v>
      </c>
      <c r="G769" s="8" t="s">
        <v>20</v>
      </c>
      <c r="H769" s="30" t="s">
        <v>65</v>
      </c>
      <c r="I769" s="7" t="s">
        <v>62</v>
      </c>
      <c r="J769" s="8"/>
      <c r="K769" s="7"/>
      <c r="L769" s="7" t="s">
        <v>63</v>
      </c>
      <c r="M769" s="7">
        <v>17</v>
      </c>
      <c r="N769" s="7"/>
      <c r="O769" s="7"/>
      <c r="P769" s="7"/>
      <c r="Q769" s="7"/>
      <c r="R769" s="7"/>
      <c r="S769" s="7"/>
      <c r="T769" s="7"/>
    </row>
    <row r="770" spans="3:20" x14ac:dyDescent="0.25">
      <c r="C770" s="7"/>
      <c r="D770" s="7"/>
      <c r="E770" s="7" t="s">
        <v>19</v>
      </c>
      <c r="F770" s="7">
        <v>2050</v>
      </c>
      <c r="G770" s="8" t="s">
        <v>20</v>
      </c>
      <c r="H770" s="30" t="s">
        <v>65</v>
      </c>
      <c r="I770" s="7" t="s">
        <v>62</v>
      </c>
      <c r="J770" s="8"/>
      <c r="K770" s="7"/>
      <c r="L770" s="7" t="s">
        <v>63</v>
      </c>
      <c r="M770" s="7">
        <f>M769</f>
        <v>17</v>
      </c>
      <c r="N770" s="7"/>
      <c r="O770" s="7"/>
      <c r="P770" s="7"/>
      <c r="Q770" s="7"/>
      <c r="R770" s="7"/>
      <c r="S770" s="7"/>
      <c r="T770" s="7"/>
    </row>
    <row r="771" spans="3:20" x14ac:dyDescent="0.25">
      <c r="C771" s="7"/>
      <c r="D771" s="7"/>
      <c r="E771" s="7" t="s">
        <v>19</v>
      </c>
      <c r="F771" s="7">
        <v>2025</v>
      </c>
      <c r="G771" s="8" t="s">
        <v>20</v>
      </c>
      <c r="H771" s="30" t="s">
        <v>65</v>
      </c>
      <c r="I771" s="7" t="s">
        <v>62</v>
      </c>
      <c r="J771" s="8"/>
      <c r="K771" s="7"/>
      <c r="L771" s="7" t="s">
        <v>22</v>
      </c>
      <c r="M771" s="7">
        <f>M768/1000</f>
        <v>2.1000000000000001E-2</v>
      </c>
      <c r="N771" s="7"/>
      <c r="O771" s="7"/>
      <c r="P771" s="7"/>
      <c r="Q771" s="7"/>
      <c r="R771" s="7"/>
      <c r="S771" s="7"/>
      <c r="T771" s="7"/>
    </row>
    <row r="772" spans="3:20" x14ac:dyDescent="0.25">
      <c r="C772" s="7"/>
      <c r="D772" s="7"/>
      <c r="E772" s="7" t="s">
        <v>19</v>
      </c>
      <c r="F772" s="7">
        <v>2040</v>
      </c>
      <c r="G772" s="8" t="s">
        <v>20</v>
      </c>
      <c r="H772" s="30" t="s">
        <v>65</v>
      </c>
      <c r="I772" s="7" t="s">
        <v>62</v>
      </c>
      <c r="J772" s="8"/>
      <c r="K772" s="7"/>
      <c r="L772" s="7" t="s">
        <v>22</v>
      </c>
      <c r="M772" s="7">
        <f t="shared" ref="M772:M773" si="182">M769/1000</f>
        <v>1.7000000000000001E-2</v>
      </c>
      <c r="N772" s="7"/>
      <c r="O772" s="7"/>
      <c r="P772" s="7"/>
      <c r="Q772" s="7"/>
      <c r="R772" s="7"/>
      <c r="S772" s="7"/>
      <c r="T772" s="7"/>
    </row>
    <row r="773" spans="3:20" x14ac:dyDescent="0.25">
      <c r="C773" s="7"/>
      <c r="D773" s="7"/>
      <c r="E773" s="7" t="s">
        <v>19</v>
      </c>
      <c r="F773" s="7">
        <v>2050</v>
      </c>
      <c r="G773" s="8" t="s">
        <v>20</v>
      </c>
      <c r="H773" s="30" t="s">
        <v>65</v>
      </c>
      <c r="I773" s="7" t="s">
        <v>62</v>
      </c>
      <c r="J773" s="8"/>
      <c r="K773" s="7"/>
      <c r="L773" s="7" t="s">
        <v>22</v>
      </c>
      <c r="M773" s="7">
        <f t="shared" si="182"/>
        <v>1.7000000000000001E-2</v>
      </c>
      <c r="N773" s="7"/>
      <c r="O773" s="7"/>
      <c r="P773" s="7"/>
      <c r="Q773" s="7"/>
      <c r="R773" s="7"/>
      <c r="S773" s="7"/>
      <c r="T773" s="7"/>
    </row>
    <row r="774" spans="3:20" x14ac:dyDescent="0.25">
      <c r="C774" s="15" t="s">
        <v>33</v>
      </c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 spans="3:20" x14ac:dyDescent="0.25">
      <c r="C775" s="7"/>
      <c r="D775" s="7"/>
      <c r="E775" s="7" t="s">
        <v>19</v>
      </c>
      <c r="F775" s="7">
        <v>2025</v>
      </c>
      <c r="G775" s="8" t="s">
        <v>20</v>
      </c>
      <c r="H775" s="30" t="s">
        <v>66</v>
      </c>
      <c r="I775" s="7" t="s">
        <v>62</v>
      </c>
      <c r="J775" s="8"/>
      <c r="K775" s="7"/>
      <c r="L775" s="7" t="s">
        <v>63</v>
      </c>
      <c r="M775" s="7">
        <v>23</v>
      </c>
      <c r="N775" s="7"/>
      <c r="O775" s="7"/>
      <c r="P775" s="7"/>
      <c r="Q775" s="7"/>
      <c r="R775" s="7"/>
      <c r="S775" s="7"/>
      <c r="T775" s="7"/>
    </row>
    <row r="776" spans="3:20" x14ac:dyDescent="0.25">
      <c r="C776" s="7"/>
      <c r="D776" s="7"/>
      <c r="E776" s="7" t="s">
        <v>19</v>
      </c>
      <c r="F776" s="7">
        <v>2040</v>
      </c>
      <c r="G776" s="8" t="s">
        <v>20</v>
      </c>
      <c r="H776" s="30" t="s">
        <v>66</v>
      </c>
      <c r="I776" s="7" t="s">
        <v>62</v>
      </c>
      <c r="J776" s="8"/>
      <c r="K776" s="7"/>
      <c r="L776" s="7" t="s">
        <v>63</v>
      </c>
      <c r="M776" s="7">
        <v>23</v>
      </c>
      <c r="N776" s="7"/>
      <c r="O776" s="7"/>
      <c r="P776" s="7"/>
      <c r="Q776" s="7"/>
      <c r="R776" s="7"/>
      <c r="S776" s="7"/>
      <c r="T776" s="7"/>
    </row>
    <row r="777" spans="3:20" x14ac:dyDescent="0.25">
      <c r="C777" s="7"/>
      <c r="D777" s="7"/>
      <c r="E777" s="7" t="s">
        <v>19</v>
      </c>
      <c r="F777" s="7">
        <v>2050</v>
      </c>
      <c r="G777" s="8" t="s">
        <v>20</v>
      </c>
      <c r="H777" s="30" t="s">
        <v>66</v>
      </c>
      <c r="I777" s="7" t="s">
        <v>62</v>
      </c>
      <c r="J777" s="8"/>
      <c r="K777" s="7"/>
      <c r="L777" s="7" t="s">
        <v>63</v>
      </c>
      <c r="M777" s="7">
        <v>23</v>
      </c>
      <c r="N777" s="7"/>
      <c r="O777" s="7"/>
      <c r="P777" s="7"/>
      <c r="Q777" s="7"/>
      <c r="R777" s="7"/>
      <c r="S777" s="7"/>
      <c r="T777" s="7"/>
    </row>
    <row r="778" spans="3:20" x14ac:dyDescent="0.25">
      <c r="C778" s="7"/>
      <c r="D778" s="7"/>
      <c r="E778" s="7" t="s">
        <v>19</v>
      </c>
      <c r="F778" s="7">
        <v>2025</v>
      </c>
      <c r="G778" s="8" t="s">
        <v>20</v>
      </c>
      <c r="H778" s="30" t="s">
        <v>66</v>
      </c>
      <c r="I778" s="7" t="s">
        <v>62</v>
      </c>
      <c r="J778" s="8"/>
      <c r="K778" s="7"/>
      <c r="L778" s="7" t="s">
        <v>22</v>
      </c>
      <c r="M778" s="7">
        <f>M775/1000</f>
        <v>2.3E-2</v>
      </c>
      <c r="N778" s="7"/>
      <c r="O778" s="7"/>
      <c r="P778" s="7"/>
      <c r="Q778" s="7"/>
      <c r="R778" s="7"/>
      <c r="S778" s="7"/>
      <c r="T778" s="7"/>
    </row>
    <row r="779" spans="3:20" x14ac:dyDescent="0.25">
      <c r="C779" s="7"/>
      <c r="D779" s="7"/>
      <c r="E779" s="7" t="s">
        <v>19</v>
      </c>
      <c r="F779" s="7">
        <v>2040</v>
      </c>
      <c r="G779" s="8" t="s">
        <v>20</v>
      </c>
      <c r="H779" s="30" t="s">
        <v>66</v>
      </c>
      <c r="I779" s="7" t="s">
        <v>62</v>
      </c>
      <c r="J779" s="8"/>
      <c r="K779" s="7"/>
      <c r="L779" s="7" t="s">
        <v>22</v>
      </c>
      <c r="M779" s="7">
        <f t="shared" ref="M779:M780" si="183">M776/1000</f>
        <v>2.3E-2</v>
      </c>
      <c r="N779" s="7"/>
      <c r="O779" s="7"/>
      <c r="P779" s="7"/>
      <c r="Q779" s="7"/>
      <c r="R779" s="7"/>
      <c r="S779" s="7"/>
      <c r="T779" s="7"/>
    </row>
    <row r="780" spans="3:20" x14ac:dyDescent="0.25">
      <c r="C780" s="7"/>
      <c r="D780" s="7"/>
      <c r="E780" s="7" t="s">
        <v>19</v>
      </c>
      <c r="F780" s="7">
        <v>2050</v>
      </c>
      <c r="G780" s="8" t="s">
        <v>20</v>
      </c>
      <c r="H780" s="30" t="s">
        <v>66</v>
      </c>
      <c r="I780" s="7" t="s">
        <v>62</v>
      </c>
      <c r="J780" s="8"/>
      <c r="K780" s="7"/>
      <c r="L780" s="7" t="s">
        <v>22</v>
      </c>
      <c r="M780" s="7">
        <f t="shared" si="183"/>
        <v>2.3E-2</v>
      </c>
      <c r="N780" s="7"/>
      <c r="O780" s="7"/>
      <c r="P780" s="7"/>
      <c r="Q780" s="7"/>
      <c r="R780" s="7"/>
      <c r="S780" s="7"/>
      <c r="T780" s="7"/>
    </row>
    <row r="781" spans="3:20" x14ac:dyDescent="0.25">
      <c r="C781" s="15" t="s">
        <v>33</v>
      </c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 spans="3:20" x14ac:dyDescent="0.25">
      <c r="C782" s="7"/>
      <c r="D782" s="7"/>
      <c r="E782" s="7" t="s">
        <v>19</v>
      </c>
      <c r="F782" s="7">
        <v>2010</v>
      </c>
      <c r="G782" s="8" t="s">
        <v>20</v>
      </c>
      <c r="H782" s="30" t="s">
        <v>67</v>
      </c>
      <c r="I782" s="8"/>
      <c r="J782" s="7" t="s">
        <v>68</v>
      </c>
      <c r="K782" s="7"/>
      <c r="L782" s="7" t="s">
        <v>69</v>
      </c>
      <c r="M782" s="121">
        <f>M786*1000</f>
        <v>145.34722222222223</v>
      </c>
      <c r="N782" s="7"/>
      <c r="O782" s="7"/>
      <c r="P782" s="7"/>
      <c r="Q782" s="7"/>
      <c r="R782" s="7"/>
      <c r="S782" s="7"/>
      <c r="T782" s="7"/>
    </row>
    <row r="783" spans="3:20" x14ac:dyDescent="0.25">
      <c r="C783" s="7"/>
      <c r="D783" s="7"/>
      <c r="E783" s="7" t="s">
        <v>19</v>
      </c>
      <c r="F783" s="7">
        <v>2015</v>
      </c>
      <c r="G783" s="8" t="s">
        <v>20</v>
      </c>
      <c r="H783" s="30" t="s">
        <v>67</v>
      </c>
      <c r="I783" s="8"/>
      <c r="J783" s="7" t="s">
        <v>68</v>
      </c>
      <c r="K783" s="7"/>
      <c r="L783" s="7" t="s">
        <v>69</v>
      </c>
      <c r="M783" s="121">
        <f t="shared" ref="M783:M785" si="184">M787*1000</f>
        <v>128.91666666666669</v>
      </c>
      <c r="N783" s="7"/>
      <c r="O783" s="7"/>
      <c r="P783" s="7"/>
      <c r="Q783" s="7"/>
      <c r="R783" s="7"/>
      <c r="S783" s="7"/>
      <c r="T783" s="7"/>
    </row>
    <row r="784" spans="3:20" x14ac:dyDescent="0.25">
      <c r="C784" s="7"/>
      <c r="D784" s="7"/>
      <c r="E784" s="7" t="s">
        <v>19</v>
      </c>
      <c r="F784" s="7">
        <v>2020</v>
      </c>
      <c r="G784" s="8" t="s">
        <v>20</v>
      </c>
      <c r="H784" s="30" t="s">
        <v>67</v>
      </c>
      <c r="I784" s="8"/>
      <c r="J784" s="7" t="s">
        <v>68</v>
      </c>
      <c r="K784" s="7"/>
      <c r="L784" s="7" t="s">
        <v>69</v>
      </c>
      <c r="M784" s="121">
        <f t="shared" si="184"/>
        <v>98.583333333333357</v>
      </c>
      <c r="N784" s="7"/>
      <c r="O784" s="7"/>
      <c r="P784" s="7"/>
      <c r="Q784" s="7"/>
      <c r="R784" s="7"/>
      <c r="S784" s="7"/>
      <c r="T784" s="7"/>
    </row>
    <row r="785" spans="3:20" x14ac:dyDescent="0.25">
      <c r="C785" s="7"/>
      <c r="D785" s="7"/>
      <c r="E785" s="7" t="s">
        <v>19</v>
      </c>
      <c r="F785" s="7">
        <v>2050</v>
      </c>
      <c r="G785" s="8" t="s">
        <v>20</v>
      </c>
      <c r="H785" s="30" t="s">
        <v>67</v>
      </c>
      <c r="I785" s="8"/>
      <c r="J785" s="7" t="s">
        <v>68</v>
      </c>
      <c r="K785" s="7"/>
      <c r="L785" s="7" t="s">
        <v>69</v>
      </c>
      <c r="M785" s="121">
        <f t="shared" si="184"/>
        <v>73.937500000000014</v>
      </c>
      <c r="N785" s="7"/>
      <c r="O785" s="7"/>
      <c r="P785" s="7"/>
      <c r="Q785" s="7"/>
      <c r="R785" s="7"/>
      <c r="S785" s="7"/>
      <c r="T785" s="7"/>
    </row>
    <row r="786" spans="3:20" x14ac:dyDescent="0.25">
      <c r="C786" s="7"/>
      <c r="D786" s="7"/>
      <c r="E786" s="7" t="s">
        <v>19</v>
      </c>
      <c r="F786" s="7">
        <v>2010</v>
      </c>
      <c r="G786" s="8" t="s">
        <v>20</v>
      </c>
      <c r="H786" s="30" t="s">
        <v>67</v>
      </c>
      <c r="I786" s="8"/>
      <c r="J786" s="7" t="s">
        <v>68</v>
      </c>
      <c r="K786" s="7"/>
      <c r="L786" s="7" t="s">
        <v>22</v>
      </c>
      <c r="M786" s="76">
        <v>0.14534722222222224</v>
      </c>
      <c r="N786" s="7"/>
      <c r="O786" s="7"/>
      <c r="P786" s="7"/>
      <c r="Q786" s="7"/>
      <c r="R786" s="7"/>
      <c r="S786" s="7"/>
      <c r="T786" s="7"/>
    </row>
    <row r="787" spans="3:20" x14ac:dyDescent="0.25">
      <c r="C787" s="7"/>
      <c r="D787" s="7"/>
      <c r="E787" s="7" t="s">
        <v>19</v>
      </c>
      <c r="F787" s="7">
        <v>2015</v>
      </c>
      <c r="G787" s="8" t="s">
        <v>20</v>
      </c>
      <c r="H787" s="30" t="s">
        <v>67</v>
      </c>
      <c r="I787" s="8"/>
      <c r="J787" s="7" t="s">
        <v>68</v>
      </c>
      <c r="K787" s="7"/>
      <c r="L787" s="7" t="s">
        <v>22</v>
      </c>
      <c r="M787" s="76">
        <v>0.12891666666666668</v>
      </c>
      <c r="N787" s="7"/>
      <c r="O787" s="7"/>
      <c r="P787" s="7"/>
      <c r="Q787" s="7"/>
      <c r="R787" s="7"/>
      <c r="S787" s="7"/>
      <c r="T787" s="7"/>
    </row>
    <row r="788" spans="3:20" x14ac:dyDescent="0.25">
      <c r="C788" s="7"/>
      <c r="D788" s="7"/>
      <c r="E788" s="7" t="s">
        <v>19</v>
      </c>
      <c r="F788" s="7">
        <v>2020</v>
      </c>
      <c r="G788" s="8" t="s">
        <v>20</v>
      </c>
      <c r="H788" s="30" t="s">
        <v>67</v>
      </c>
      <c r="I788" s="8"/>
      <c r="J788" s="7" t="s">
        <v>68</v>
      </c>
      <c r="K788" s="7"/>
      <c r="L788" s="7" t="s">
        <v>22</v>
      </c>
      <c r="M788" s="76">
        <v>9.8583333333333356E-2</v>
      </c>
      <c r="N788" s="7"/>
      <c r="O788" s="7"/>
      <c r="P788" s="7"/>
      <c r="Q788" s="7"/>
      <c r="R788" s="7"/>
      <c r="S788" s="7"/>
      <c r="T788" s="7"/>
    </row>
    <row r="789" spans="3:20" x14ac:dyDescent="0.25">
      <c r="C789" s="7"/>
      <c r="D789" s="7"/>
      <c r="E789" s="7" t="s">
        <v>19</v>
      </c>
      <c r="F789" s="7">
        <v>2050</v>
      </c>
      <c r="G789" s="8" t="s">
        <v>20</v>
      </c>
      <c r="H789" s="30" t="s">
        <v>67</v>
      </c>
      <c r="I789" s="8"/>
      <c r="J789" s="7" t="s">
        <v>68</v>
      </c>
      <c r="K789" s="7"/>
      <c r="L789" s="7" t="s">
        <v>22</v>
      </c>
      <c r="M789" s="76">
        <f>M788*0.75</f>
        <v>7.3937500000000017E-2</v>
      </c>
      <c r="N789" s="7"/>
      <c r="O789" s="7"/>
      <c r="P789" s="7"/>
      <c r="Q789" s="7"/>
      <c r="R789" s="7"/>
      <c r="S789" s="7"/>
      <c r="T789" s="7"/>
    </row>
    <row r="790" spans="3:20" x14ac:dyDescent="0.25">
      <c r="C790" s="15" t="s">
        <v>33</v>
      </c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 spans="3:20" x14ac:dyDescent="0.25">
      <c r="C791" s="7"/>
      <c r="D791" s="7"/>
      <c r="E791" s="7" t="s">
        <v>19</v>
      </c>
      <c r="F791" s="7">
        <v>2010</v>
      </c>
      <c r="G791" s="8" t="s">
        <v>20</v>
      </c>
      <c r="H791" s="30" t="s">
        <v>70</v>
      </c>
      <c r="I791" s="8"/>
      <c r="J791" s="7" t="s">
        <v>68</v>
      </c>
      <c r="K791" s="7"/>
      <c r="L791" s="7" t="s">
        <v>69</v>
      </c>
      <c r="M791" s="121">
        <f>M795*1000</f>
        <v>111.56648451730419</v>
      </c>
      <c r="N791" s="7"/>
      <c r="O791" s="7"/>
      <c r="P791" s="7"/>
      <c r="Q791" s="7"/>
      <c r="R791" s="7"/>
      <c r="S791" s="7"/>
      <c r="T791" s="7"/>
    </row>
    <row r="792" spans="3:20" x14ac:dyDescent="0.25">
      <c r="C792" s="7"/>
      <c r="D792" s="7"/>
      <c r="E792" s="7" t="s">
        <v>19</v>
      </c>
      <c r="F792" s="7">
        <v>2015</v>
      </c>
      <c r="G792" s="8" t="s">
        <v>20</v>
      </c>
      <c r="H792" s="30" t="s">
        <v>70</v>
      </c>
      <c r="I792" s="8"/>
      <c r="J792" s="7" t="s">
        <v>68</v>
      </c>
      <c r="K792" s="7"/>
      <c r="L792" s="7" t="s">
        <v>69</v>
      </c>
      <c r="M792" s="121">
        <f t="shared" ref="M792:M794" si="185">M796*1000</f>
        <v>104.16666666666666</v>
      </c>
      <c r="N792" s="7"/>
      <c r="O792" s="7"/>
      <c r="P792" s="7"/>
      <c r="Q792" s="7"/>
      <c r="R792" s="7"/>
      <c r="S792" s="7"/>
      <c r="T792" s="7"/>
    </row>
    <row r="793" spans="3:20" x14ac:dyDescent="0.25">
      <c r="C793" s="7"/>
      <c r="D793" s="7"/>
      <c r="E793" s="7" t="s">
        <v>19</v>
      </c>
      <c r="F793" s="7">
        <v>2020</v>
      </c>
      <c r="G793" s="8" t="s">
        <v>20</v>
      </c>
      <c r="H793" s="30" t="s">
        <v>70</v>
      </c>
      <c r="I793" s="8"/>
      <c r="J793" s="7" t="s">
        <v>68</v>
      </c>
      <c r="K793" s="7"/>
      <c r="L793" s="7" t="s">
        <v>69</v>
      </c>
      <c r="M793" s="121">
        <f t="shared" si="185"/>
        <v>92.592592592592581</v>
      </c>
      <c r="N793" s="7"/>
      <c r="O793" s="7"/>
      <c r="P793" s="7"/>
      <c r="Q793" s="7"/>
      <c r="R793" s="7"/>
      <c r="S793" s="7"/>
      <c r="T793" s="7"/>
    </row>
    <row r="794" spans="3:20" x14ac:dyDescent="0.25">
      <c r="C794" s="7"/>
      <c r="D794" s="7"/>
      <c r="E794" s="7" t="s">
        <v>19</v>
      </c>
      <c r="F794" s="7">
        <v>2050</v>
      </c>
      <c r="G794" s="8" t="s">
        <v>20</v>
      </c>
      <c r="H794" s="30" t="s">
        <v>70</v>
      </c>
      <c r="I794" s="8"/>
      <c r="J794" s="7" t="s">
        <v>68</v>
      </c>
      <c r="K794" s="7"/>
      <c r="L794" s="7" t="s">
        <v>69</v>
      </c>
      <c r="M794" s="121">
        <f t="shared" si="185"/>
        <v>69.444444444444443</v>
      </c>
      <c r="N794" s="7"/>
      <c r="O794" s="7"/>
      <c r="P794" s="7"/>
      <c r="Q794" s="7"/>
      <c r="R794" s="7"/>
      <c r="S794" s="7"/>
      <c r="T794" s="7"/>
    </row>
    <row r="795" spans="3:20" x14ac:dyDescent="0.25">
      <c r="C795" s="7"/>
      <c r="D795" s="7"/>
      <c r="E795" s="7" t="s">
        <v>19</v>
      </c>
      <c r="F795" s="7">
        <v>2010</v>
      </c>
      <c r="G795" s="8" t="s">
        <v>20</v>
      </c>
      <c r="H795" s="30" t="s">
        <v>70</v>
      </c>
      <c r="I795" s="8"/>
      <c r="J795" s="7" t="s">
        <v>68</v>
      </c>
      <c r="K795" s="7"/>
      <c r="L795" s="7" t="s">
        <v>22</v>
      </c>
      <c r="M795" s="76">
        <v>0.11156648451730419</v>
      </c>
      <c r="N795" s="7"/>
      <c r="O795" s="7"/>
      <c r="P795" s="7"/>
      <c r="Q795" s="7"/>
      <c r="R795" s="7"/>
      <c r="S795" s="7"/>
      <c r="T795" s="7"/>
    </row>
    <row r="796" spans="3:20" x14ac:dyDescent="0.25">
      <c r="C796" s="7"/>
      <c r="D796" s="7"/>
      <c r="E796" s="7" t="s">
        <v>19</v>
      </c>
      <c r="F796" s="7">
        <v>2015</v>
      </c>
      <c r="G796" s="8" t="s">
        <v>20</v>
      </c>
      <c r="H796" s="30" t="s">
        <v>70</v>
      </c>
      <c r="I796" s="8"/>
      <c r="J796" s="7" t="s">
        <v>68</v>
      </c>
      <c r="K796" s="7"/>
      <c r="L796" s="7" t="s">
        <v>22</v>
      </c>
      <c r="M796" s="76">
        <v>0.10416666666666666</v>
      </c>
      <c r="N796" s="7"/>
      <c r="O796" s="7"/>
      <c r="P796" s="7"/>
      <c r="Q796" s="7"/>
      <c r="R796" s="7"/>
      <c r="S796" s="7"/>
      <c r="T796" s="7"/>
    </row>
    <row r="797" spans="3:20" x14ac:dyDescent="0.25">
      <c r="C797" s="7"/>
      <c r="D797" s="7"/>
      <c r="E797" s="7" t="s">
        <v>19</v>
      </c>
      <c r="F797" s="7">
        <v>2020</v>
      </c>
      <c r="G797" s="8" t="s">
        <v>20</v>
      </c>
      <c r="H797" s="30" t="s">
        <v>70</v>
      </c>
      <c r="I797" s="8"/>
      <c r="J797" s="7" t="s">
        <v>68</v>
      </c>
      <c r="K797" s="7"/>
      <c r="L797" s="7" t="s">
        <v>22</v>
      </c>
      <c r="M797" s="76">
        <v>9.2592592592592587E-2</v>
      </c>
      <c r="N797" s="7"/>
      <c r="O797" s="7"/>
      <c r="P797" s="7"/>
      <c r="Q797" s="7"/>
      <c r="R797" s="7"/>
      <c r="S797" s="7"/>
      <c r="T797" s="7"/>
    </row>
    <row r="798" spans="3:20" x14ac:dyDescent="0.25">
      <c r="C798" s="7"/>
      <c r="D798" s="7"/>
      <c r="E798" s="7" t="s">
        <v>19</v>
      </c>
      <c r="F798" s="7">
        <v>2050</v>
      </c>
      <c r="G798" s="8" t="s">
        <v>20</v>
      </c>
      <c r="H798" s="30" t="s">
        <v>70</v>
      </c>
      <c r="I798" s="8"/>
      <c r="J798" s="7" t="s">
        <v>68</v>
      </c>
      <c r="K798" s="7"/>
      <c r="L798" s="7" t="s">
        <v>22</v>
      </c>
      <c r="M798" s="76">
        <f>M797*0.75</f>
        <v>6.9444444444444448E-2</v>
      </c>
      <c r="N798" s="7"/>
      <c r="O798" s="7"/>
      <c r="P798" s="7"/>
      <c r="Q798" s="7"/>
      <c r="R798" s="7"/>
      <c r="S798" s="7"/>
      <c r="T798" s="7"/>
    </row>
    <row r="799" spans="3:20" ht="21" customHeight="1" x14ac:dyDescent="0.25">
      <c r="C799" s="15" t="s">
        <v>33</v>
      </c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 spans="3:20" x14ac:dyDescent="0.25">
      <c r="C800" s="7"/>
      <c r="D800" s="7"/>
      <c r="E800" s="7" t="s">
        <v>19</v>
      </c>
      <c r="F800" s="7">
        <v>2010</v>
      </c>
      <c r="G800" s="8" t="s">
        <v>20</v>
      </c>
      <c r="H800" s="30" t="s">
        <v>71</v>
      </c>
      <c r="I800" s="8"/>
      <c r="J800" s="7" t="s">
        <v>68</v>
      </c>
      <c r="K800" s="7"/>
      <c r="L800" s="7" t="s">
        <v>69</v>
      </c>
      <c r="M800" s="121">
        <f>M804*1000</f>
        <v>19.791666666666664</v>
      </c>
      <c r="N800" s="7"/>
      <c r="O800" s="7"/>
      <c r="P800" s="7"/>
      <c r="Q800" s="7"/>
      <c r="R800" s="7"/>
      <c r="S800" s="7"/>
      <c r="T800" s="7"/>
    </row>
    <row r="801" spans="3:20" x14ac:dyDescent="0.25">
      <c r="C801" s="7"/>
      <c r="D801" s="7"/>
      <c r="E801" s="7" t="s">
        <v>19</v>
      </c>
      <c r="F801" s="7">
        <v>2015</v>
      </c>
      <c r="G801" s="8" t="s">
        <v>20</v>
      </c>
      <c r="H801" s="30" t="s">
        <v>71</v>
      </c>
      <c r="I801" s="8"/>
      <c r="J801" s="7" t="s">
        <v>68</v>
      </c>
      <c r="K801" s="7"/>
      <c r="L801" s="7" t="s">
        <v>69</v>
      </c>
      <c r="M801" s="121">
        <f t="shared" ref="M801:M803" si="186">M805*1000</f>
        <v>5.6944444444444429</v>
      </c>
      <c r="N801" s="7"/>
      <c r="O801" s="7"/>
      <c r="P801" s="7"/>
      <c r="Q801" s="7"/>
      <c r="R801" s="7"/>
      <c r="S801" s="7"/>
      <c r="T801" s="7"/>
    </row>
    <row r="802" spans="3:20" x14ac:dyDescent="0.25">
      <c r="C802" s="7"/>
      <c r="D802" s="7"/>
      <c r="E802" s="7" t="s">
        <v>19</v>
      </c>
      <c r="F802" s="7">
        <v>2020</v>
      </c>
      <c r="G802" s="8" t="s">
        <v>20</v>
      </c>
      <c r="H802" s="30" t="s">
        <v>71</v>
      </c>
      <c r="I802" s="8"/>
      <c r="J802" s="7" t="s">
        <v>68</v>
      </c>
      <c r="K802" s="7"/>
      <c r="L802" s="7" t="s">
        <v>69</v>
      </c>
      <c r="M802" s="121">
        <f t="shared" si="186"/>
        <v>2.9861111111111103</v>
      </c>
      <c r="N802" s="7"/>
      <c r="O802" s="7"/>
      <c r="P802" s="7"/>
      <c r="Q802" s="7"/>
      <c r="R802" s="7"/>
      <c r="S802" s="7"/>
      <c r="T802" s="7"/>
    </row>
    <row r="803" spans="3:20" x14ac:dyDescent="0.25">
      <c r="C803" s="7"/>
      <c r="D803" s="7"/>
      <c r="E803" s="7" t="s">
        <v>19</v>
      </c>
      <c r="F803" s="7">
        <v>2050</v>
      </c>
      <c r="G803" s="8" t="s">
        <v>20</v>
      </c>
      <c r="H803" s="30" t="s">
        <v>71</v>
      </c>
      <c r="I803" s="8"/>
      <c r="J803" s="7" t="s">
        <v>68</v>
      </c>
      <c r="K803" s="7"/>
      <c r="L803" s="7" t="s">
        <v>69</v>
      </c>
      <c r="M803" s="121">
        <f t="shared" si="186"/>
        <v>2.239583333333333</v>
      </c>
      <c r="N803" s="7"/>
      <c r="O803" s="7"/>
      <c r="P803" s="7"/>
      <c r="Q803" s="7"/>
      <c r="R803" s="7"/>
      <c r="S803" s="7"/>
      <c r="T803" s="7"/>
    </row>
    <row r="804" spans="3:20" x14ac:dyDescent="0.25">
      <c r="C804" s="7"/>
      <c r="D804" s="7"/>
      <c r="E804" s="7" t="s">
        <v>19</v>
      </c>
      <c r="F804" s="7">
        <v>2010</v>
      </c>
      <c r="G804" s="8" t="s">
        <v>20</v>
      </c>
      <c r="H804" s="30" t="s">
        <v>71</v>
      </c>
      <c r="I804" s="8"/>
      <c r="J804" s="7" t="s">
        <v>68</v>
      </c>
      <c r="K804" s="7"/>
      <c r="L804" s="7" t="s">
        <v>22</v>
      </c>
      <c r="M804" s="76">
        <v>1.9791666666666666E-2</v>
      </c>
      <c r="N804" s="7"/>
      <c r="O804" s="7"/>
      <c r="P804" s="7"/>
      <c r="Q804" s="7"/>
      <c r="R804" s="7"/>
      <c r="S804" s="7"/>
      <c r="T804" s="7"/>
    </row>
    <row r="805" spans="3:20" x14ac:dyDescent="0.25">
      <c r="C805" s="7"/>
      <c r="D805" s="7"/>
      <c r="E805" s="7" t="s">
        <v>19</v>
      </c>
      <c r="F805" s="7">
        <v>2015</v>
      </c>
      <c r="G805" s="8" t="s">
        <v>20</v>
      </c>
      <c r="H805" s="30" t="s">
        <v>71</v>
      </c>
      <c r="I805" s="8"/>
      <c r="J805" s="7" t="s">
        <v>68</v>
      </c>
      <c r="K805" s="7"/>
      <c r="L805" s="7" t="s">
        <v>22</v>
      </c>
      <c r="M805" s="76">
        <v>5.6944444444444429E-3</v>
      </c>
      <c r="N805" s="7"/>
      <c r="O805" s="7"/>
      <c r="P805" s="7"/>
      <c r="Q805" s="7"/>
      <c r="R805" s="7"/>
      <c r="S805" s="7"/>
      <c r="T805" s="7"/>
    </row>
    <row r="806" spans="3:20" x14ac:dyDescent="0.25">
      <c r="C806" s="7"/>
      <c r="D806" s="7"/>
      <c r="E806" s="7" t="s">
        <v>19</v>
      </c>
      <c r="F806" s="7">
        <v>2020</v>
      </c>
      <c r="G806" s="8" t="s">
        <v>20</v>
      </c>
      <c r="H806" s="30" t="s">
        <v>71</v>
      </c>
      <c r="I806" s="8"/>
      <c r="J806" s="7" t="s">
        <v>68</v>
      </c>
      <c r="K806" s="7"/>
      <c r="L806" s="7" t="s">
        <v>22</v>
      </c>
      <c r="M806" s="76">
        <v>2.9861111111111104E-3</v>
      </c>
      <c r="N806" s="7"/>
      <c r="O806" s="7"/>
      <c r="P806" s="7"/>
      <c r="Q806" s="7"/>
      <c r="R806" s="7"/>
      <c r="S806" s="7"/>
      <c r="T806" s="7"/>
    </row>
    <row r="807" spans="3:20" x14ac:dyDescent="0.25">
      <c r="C807" s="7"/>
      <c r="D807" s="7"/>
      <c r="E807" s="7" t="s">
        <v>19</v>
      </c>
      <c r="F807" s="7">
        <v>2050</v>
      </c>
      <c r="G807" s="8" t="s">
        <v>20</v>
      </c>
      <c r="H807" s="30" t="s">
        <v>71</v>
      </c>
      <c r="I807" s="8"/>
      <c r="J807" s="7" t="s">
        <v>68</v>
      </c>
      <c r="K807" s="7"/>
      <c r="L807" s="7" t="s">
        <v>22</v>
      </c>
      <c r="M807" s="76">
        <f>M806*0.75</f>
        <v>2.239583333333333E-3</v>
      </c>
      <c r="N807" s="7"/>
      <c r="O807" s="7"/>
      <c r="P807" s="7"/>
      <c r="Q807" s="7"/>
      <c r="R807" s="7"/>
      <c r="S807" s="7"/>
      <c r="T807" s="7"/>
    </row>
    <row r="808" spans="3:20" ht="21" customHeight="1" x14ac:dyDescent="0.25">
      <c r="C808" s="15" t="s">
        <v>33</v>
      </c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 spans="3:20" x14ac:dyDescent="0.25">
      <c r="C809" s="7"/>
      <c r="D809" s="7"/>
      <c r="E809" s="7" t="s">
        <v>19</v>
      </c>
      <c r="F809" s="7">
        <v>2010</v>
      </c>
      <c r="G809" s="8" t="s">
        <v>20</v>
      </c>
      <c r="H809" s="30" t="s">
        <v>72</v>
      </c>
      <c r="I809" s="8"/>
      <c r="J809" s="7" t="s">
        <v>68</v>
      </c>
      <c r="K809" s="7"/>
      <c r="L809" s="7" t="s">
        <v>69</v>
      </c>
      <c r="M809" s="121">
        <f>M813*1000</f>
        <v>59.402777777777771</v>
      </c>
      <c r="N809" s="7"/>
      <c r="O809" s="7"/>
      <c r="P809" s="7"/>
      <c r="Q809" s="7"/>
      <c r="R809" s="7"/>
      <c r="S809" s="7"/>
      <c r="T809" s="7"/>
    </row>
    <row r="810" spans="3:20" x14ac:dyDescent="0.25">
      <c r="C810" s="7"/>
      <c r="D810" s="7"/>
      <c r="E810" s="7" t="s">
        <v>19</v>
      </c>
      <c r="F810" s="7">
        <v>2015</v>
      </c>
      <c r="G810" s="8" t="s">
        <v>20</v>
      </c>
      <c r="H810" s="30" t="s">
        <v>72</v>
      </c>
      <c r="I810" s="8"/>
      <c r="J810" s="7" t="s">
        <v>68</v>
      </c>
      <c r="K810" s="7"/>
      <c r="L810" s="7" t="s">
        <v>69</v>
      </c>
      <c r="M810" s="121">
        <f t="shared" ref="M810:M812" si="187">M814*1000</f>
        <v>59.402777777777771</v>
      </c>
      <c r="N810" s="7"/>
      <c r="O810" s="7"/>
      <c r="P810" s="7"/>
      <c r="Q810" s="7"/>
      <c r="R810" s="7"/>
      <c r="S810" s="7"/>
      <c r="T810" s="7"/>
    </row>
    <row r="811" spans="3:20" x14ac:dyDescent="0.25">
      <c r="C811" s="7"/>
      <c r="D811" s="7"/>
      <c r="E811" s="7" t="s">
        <v>19</v>
      </c>
      <c r="F811" s="7">
        <v>2020</v>
      </c>
      <c r="G811" s="8" t="s">
        <v>20</v>
      </c>
      <c r="H811" s="30" t="s">
        <v>72</v>
      </c>
      <c r="I811" s="8"/>
      <c r="J811" s="7" t="s">
        <v>68</v>
      </c>
      <c r="K811" s="7"/>
      <c r="L811" s="7" t="s">
        <v>69</v>
      </c>
      <c r="M811" s="121">
        <f>M815*1000</f>
        <v>45.879166666666663</v>
      </c>
      <c r="N811" s="7"/>
      <c r="O811" s="7"/>
      <c r="P811" s="7"/>
      <c r="Q811" s="7"/>
      <c r="R811" s="7"/>
      <c r="S811" s="7"/>
      <c r="T811" s="7"/>
    </row>
    <row r="812" spans="3:20" x14ac:dyDescent="0.25">
      <c r="C812" s="7"/>
      <c r="D812" s="7"/>
      <c r="E812" s="7" t="s">
        <v>19</v>
      </c>
      <c r="F812" s="7">
        <v>2050</v>
      </c>
      <c r="G812" s="8" t="s">
        <v>20</v>
      </c>
      <c r="H812" s="30" t="s">
        <v>72</v>
      </c>
      <c r="I812" s="8"/>
      <c r="J812" s="7" t="s">
        <v>68</v>
      </c>
      <c r="K812" s="7"/>
      <c r="L812" s="7" t="s">
        <v>69</v>
      </c>
      <c r="M812" s="121">
        <f t="shared" si="187"/>
        <v>34.409374999999997</v>
      </c>
      <c r="N812" s="7"/>
      <c r="O812" s="7"/>
      <c r="P812" s="7"/>
      <c r="Q812" s="7"/>
      <c r="R812" s="7"/>
      <c r="S812" s="7"/>
      <c r="T812" s="7"/>
    </row>
    <row r="813" spans="3:20" x14ac:dyDescent="0.25">
      <c r="C813" s="7"/>
      <c r="D813" s="7"/>
      <c r="E813" s="7" t="s">
        <v>19</v>
      </c>
      <c r="F813" s="7">
        <v>2010</v>
      </c>
      <c r="G813" s="8" t="s">
        <v>20</v>
      </c>
      <c r="H813" s="30" t="s">
        <v>72</v>
      </c>
      <c r="I813" s="8"/>
      <c r="J813" s="7" t="s">
        <v>68</v>
      </c>
      <c r="K813" s="7"/>
      <c r="L813" s="7" t="s">
        <v>22</v>
      </c>
      <c r="M813" s="76">
        <f>M814</f>
        <v>5.940277777777777E-2</v>
      </c>
      <c r="N813" s="7"/>
      <c r="O813" s="7"/>
      <c r="P813" s="7"/>
      <c r="Q813" s="7"/>
      <c r="R813" s="7"/>
      <c r="S813" s="7"/>
      <c r="T813" s="7"/>
    </row>
    <row r="814" spans="3:20" x14ac:dyDescent="0.25">
      <c r="C814" s="7"/>
      <c r="D814" s="7"/>
      <c r="E814" s="7" t="s">
        <v>19</v>
      </c>
      <c r="F814" s="7">
        <v>2015</v>
      </c>
      <c r="G814" s="8" t="s">
        <v>20</v>
      </c>
      <c r="H814" s="30" t="s">
        <v>72</v>
      </c>
      <c r="I814" s="8"/>
      <c r="J814" s="7" t="s">
        <v>68</v>
      </c>
      <c r="K814" s="7"/>
      <c r="L814" s="7" t="s">
        <v>22</v>
      </c>
      <c r="M814" s="76">
        <f>0.47*0.455/3.6</f>
        <v>5.940277777777777E-2</v>
      </c>
      <c r="N814" s="7"/>
      <c r="O814" s="7"/>
      <c r="P814" s="7"/>
      <c r="Q814" s="7"/>
      <c r="R814" s="7"/>
      <c r="S814" s="7"/>
      <c r="T814" s="7"/>
    </row>
    <row r="815" spans="3:20" x14ac:dyDescent="0.25">
      <c r="C815" s="7"/>
      <c r="D815" s="7"/>
      <c r="E815" s="7" t="s">
        <v>19</v>
      </c>
      <c r="F815" s="7">
        <v>2020</v>
      </c>
      <c r="G815" s="8" t="s">
        <v>20</v>
      </c>
      <c r="H815" s="30" t="s">
        <v>72</v>
      </c>
      <c r="I815" s="8"/>
      <c r="J815" s="7" t="s">
        <v>68</v>
      </c>
      <c r="K815" s="7"/>
      <c r="L815" s="7" t="s">
        <v>22</v>
      </c>
      <c r="M815" s="76">
        <f>0.363*0.455/3.6</f>
        <v>4.5879166666666665E-2</v>
      </c>
      <c r="N815" s="7"/>
      <c r="O815" s="7"/>
      <c r="P815" s="7"/>
      <c r="Q815" s="7"/>
      <c r="R815" s="7"/>
      <c r="S815" s="7"/>
      <c r="T815" s="7"/>
    </row>
    <row r="816" spans="3:20" x14ac:dyDescent="0.25">
      <c r="C816" s="7"/>
      <c r="D816" s="7"/>
      <c r="E816" s="7" t="s">
        <v>19</v>
      </c>
      <c r="F816" s="7">
        <v>2050</v>
      </c>
      <c r="G816" s="8" t="s">
        <v>20</v>
      </c>
      <c r="H816" s="30" t="s">
        <v>72</v>
      </c>
      <c r="I816" s="8"/>
      <c r="J816" s="7" t="s">
        <v>68</v>
      </c>
      <c r="K816" s="7"/>
      <c r="L816" s="7" t="s">
        <v>22</v>
      </c>
      <c r="M816" s="76">
        <f>M815*0.75</f>
        <v>3.4409374999999999E-2</v>
      </c>
      <c r="N816" s="7"/>
      <c r="O816" s="7"/>
      <c r="P816" s="7"/>
      <c r="Q816" s="7"/>
      <c r="R816" s="7"/>
      <c r="S816" s="7"/>
      <c r="T816" s="7"/>
    </row>
    <row r="821" spans="3:20" x14ac:dyDescent="0.25">
      <c r="C821" s="7"/>
      <c r="D821" s="7"/>
      <c r="E821" s="7" t="s">
        <v>19</v>
      </c>
      <c r="F821" s="7">
        <v>2010</v>
      </c>
      <c r="G821" s="8" t="s">
        <v>20</v>
      </c>
      <c r="H821" s="19" t="s">
        <v>73</v>
      </c>
      <c r="I821" s="7" t="s">
        <v>74</v>
      </c>
      <c r="J821" s="8"/>
      <c r="K821" s="7"/>
      <c r="L821" s="7" t="s">
        <v>22</v>
      </c>
      <c r="M821" s="18">
        <f>M877/1000</f>
        <v>6.1238892740000002E-3</v>
      </c>
      <c r="N821" s="7"/>
      <c r="O821" s="7"/>
      <c r="P821" s="7"/>
      <c r="Q821" s="7"/>
      <c r="R821" s="7"/>
      <c r="S821" s="7"/>
      <c r="T821" s="7"/>
    </row>
    <row r="822" spans="3:20" x14ac:dyDescent="0.25">
      <c r="C822" s="7"/>
      <c r="D822" s="7"/>
      <c r="E822" s="7" t="s">
        <v>19</v>
      </c>
      <c r="F822" s="7">
        <v>2015</v>
      </c>
      <c r="G822" s="8" t="s">
        <v>20</v>
      </c>
      <c r="H822" s="19" t="s">
        <v>73</v>
      </c>
      <c r="I822" s="7" t="s">
        <v>74</v>
      </c>
      <c r="J822" s="8"/>
      <c r="K822" s="7"/>
      <c r="L822" s="7" t="s">
        <v>22</v>
      </c>
      <c r="M822" s="18">
        <f t="shared" ref="M822:M824" si="188">M878/1000</f>
        <v>6.1238892740000002E-3</v>
      </c>
      <c r="N822" s="7"/>
      <c r="O822" s="7"/>
      <c r="P822" s="7"/>
      <c r="Q822" s="7"/>
      <c r="R822" s="7"/>
      <c r="S822" s="7"/>
      <c r="T822" s="7"/>
    </row>
    <row r="823" spans="3:20" x14ac:dyDescent="0.25">
      <c r="C823" s="7"/>
      <c r="D823" s="7"/>
      <c r="E823" s="7" t="s">
        <v>19</v>
      </c>
      <c r="F823" s="7">
        <v>2020</v>
      </c>
      <c r="G823" s="8" t="s">
        <v>20</v>
      </c>
      <c r="H823" s="19" t="s">
        <v>73</v>
      </c>
      <c r="I823" s="7" t="s">
        <v>74</v>
      </c>
      <c r="J823" s="8"/>
      <c r="K823" s="7"/>
      <c r="L823" s="7" t="s">
        <v>22</v>
      </c>
      <c r="M823" s="18">
        <f t="shared" si="188"/>
        <v>6.1238892740000002E-3</v>
      </c>
      <c r="N823" s="7"/>
      <c r="O823" s="7"/>
      <c r="P823" s="7"/>
      <c r="Q823" s="7"/>
      <c r="R823" s="7"/>
      <c r="S823" s="7"/>
      <c r="T823" s="7"/>
    </row>
    <row r="824" spans="3:20" x14ac:dyDescent="0.25">
      <c r="C824" s="7"/>
      <c r="D824" s="7"/>
      <c r="E824" s="7" t="s">
        <v>19</v>
      </c>
      <c r="F824" s="7">
        <v>2055</v>
      </c>
      <c r="G824" s="8" t="s">
        <v>20</v>
      </c>
      <c r="H824" s="19" t="s">
        <v>73</v>
      </c>
      <c r="I824" s="7" t="s">
        <v>74</v>
      </c>
      <c r="J824" s="8"/>
      <c r="K824" s="7"/>
      <c r="L824" s="7" t="s">
        <v>22</v>
      </c>
      <c r="M824" s="18">
        <f t="shared" si="188"/>
        <v>6.1238892740000002E-3</v>
      </c>
      <c r="N824" s="7"/>
      <c r="O824" s="7"/>
      <c r="P824" s="7"/>
      <c r="Q824" s="7"/>
      <c r="R824" s="7"/>
      <c r="S824" s="7"/>
      <c r="T824" s="7"/>
    </row>
    <row r="825" spans="3:20" x14ac:dyDescent="0.25">
      <c r="C825" s="7"/>
      <c r="D825" s="7"/>
      <c r="E825" s="7" t="s">
        <v>19</v>
      </c>
      <c r="F825" s="7">
        <v>2010</v>
      </c>
      <c r="G825" s="8" t="s">
        <v>20</v>
      </c>
      <c r="H825" s="19" t="s">
        <v>73</v>
      </c>
      <c r="I825" s="7" t="s">
        <v>74</v>
      </c>
      <c r="J825" s="8"/>
      <c r="K825" s="7"/>
      <c r="L825" s="7" t="s">
        <v>23</v>
      </c>
      <c r="M825" s="18">
        <f>'Emissions - REF'!$C$71</f>
        <v>2.3232959999999999E-3</v>
      </c>
      <c r="N825" s="7"/>
      <c r="O825" s="7"/>
      <c r="P825" s="7"/>
      <c r="Q825" s="7"/>
      <c r="R825" s="7"/>
      <c r="S825" s="7"/>
      <c r="T825" s="7"/>
    </row>
    <row r="826" spans="3:20" x14ac:dyDescent="0.25">
      <c r="C826" s="7"/>
      <c r="D826" s="7"/>
      <c r="E826" s="7" t="s">
        <v>19</v>
      </c>
      <c r="F826" s="7">
        <v>2015</v>
      </c>
      <c r="G826" s="8" t="s">
        <v>20</v>
      </c>
      <c r="H826" s="19" t="s">
        <v>73</v>
      </c>
      <c r="I826" s="7" t="s">
        <v>74</v>
      </c>
      <c r="J826" s="8"/>
      <c r="K826" s="7"/>
      <c r="L826" s="7" t="s">
        <v>23</v>
      </c>
      <c r="M826" s="18">
        <f>'Emissions - REF'!$D$71</f>
        <v>2.3232959999999999E-3</v>
      </c>
      <c r="N826" s="7"/>
      <c r="O826" s="7"/>
      <c r="P826" s="7"/>
      <c r="Q826" s="7"/>
      <c r="R826" s="7"/>
      <c r="S826" s="7"/>
      <c r="T826" s="7"/>
    </row>
    <row r="827" spans="3:20" x14ac:dyDescent="0.25">
      <c r="C827" s="7"/>
      <c r="D827" s="7"/>
      <c r="E827" s="7" t="s">
        <v>19</v>
      </c>
      <c r="F827" s="7">
        <v>2020</v>
      </c>
      <c r="G827" s="8" t="s">
        <v>20</v>
      </c>
      <c r="H827" s="19" t="s">
        <v>73</v>
      </c>
      <c r="I827" s="7" t="s">
        <v>74</v>
      </c>
      <c r="J827" s="8"/>
      <c r="K827" s="7"/>
      <c r="L827" s="7" t="s">
        <v>23</v>
      </c>
      <c r="M827" s="18">
        <f>'Emissions - REF'!$E$71</f>
        <v>2.3232959999999999E-3</v>
      </c>
      <c r="N827" s="7"/>
      <c r="O827" s="7"/>
      <c r="P827" s="7"/>
      <c r="Q827" s="7"/>
      <c r="R827" s="7"/>
      <c r="S827" s="7"/>
      <c r="T827" s="7"/>
    </row>
    <row r="828" spans="3:20" x14ac:dyDescent="0.25">
      <c r="C828" s="7"/>
      <c r="D828" s="7"/>
      <c r="E828" s="7" t="s">
        <v>19</v>
      </c>
      <c r="F828" s="7">
        <v>2055</v>
      </c>
      <c r="G828" s="8" t="s">
        <v>20</v>
      </c>
      <c r="H828" s="19" t="s">
        <v>73</v>
      </c>
      <c r="I828" s="7" t="s">
        <v>74</v>
      </c>
      <c r="J828" s="8"/>
      <c r="K828" s="7"/>
      <c r="L828" s="7" t="s">
        <v>23</v>
      </c>
      <c r="M828" s="18">
        <f>M827</f>
        <v>2.3232959999999999E-3</v>
      </c>
      <c r="N828" s="7"/>
      <c r="O828" s="7"/>
      <c r="P828" s="7"/>
      <c r="Q828" s="7"/>
      <c r="R828" s="7"/>
      <c r="S828" s="7"/>
      <c r="T828" s="7"/>
    </row>
    <row r="829" spans="3:20" x14ac:dyDescent="0.25">
      <c r="C829" s="7"/>
      <c r="D829" s="7"/>
      <c r="E829" s="7" t="s">
        <v>19</v>
      </c>
      <c r="F829" s="7">
        <v>2010</v>
      </c>
      <c r="G829" s="8" t="s">
        <v>20</v>
      </c>
      <c r="H829" s="19" t="s">
        <v>73</v>
      </c>
      <c r="I829" s="7" t="s">
        <v>74</v>
      </c>
      <c r="J829" s="8"/>
      <c r="K829" s="7"/>
      <c r="L829" s="7" t="s">
        <v>24</v>
      </c>
      <c r="M829" s="18">
        <f>'Emissions - REF'!$C$72</f>
        <v>3.5583539999999997E-3</v>
      </c>
      <c r="N829" s="7"/>
      <c r="O829" s="7"/>
      <c r="P829" s="7"/>
      <c r="Q829" s="7"/>
      <c r="R829" s="7"/>
      <c r="S829" s="7"/>
      <c r="T829" s="7"/>
    </row>
    <row r="830" spans="3:20" x14ac:dyDescent="0.25">
      <c r="C830" s="7"/>
      <c r="D830" s="7"/>
      <c r="E830" s="7" t="s">
        <v>19</v>
      </c>
      <c r="F830" s="7">
        <v>2015</v>
      </c>
      <c r="G830" s="8" t="s">
        <v>20</v>
      </c>
      <c r="H830" s="19" t="s">
        <v>73</v>
      </c>
      <c r="I830" s="7" t="s">
        <v>74</v>
      </c>
      <c r="J830" s="8"/>
      <c r="K830" s="7"/>
      <c r="L830" s="7" t="s">
        <v>24</v>
      </c>
      <c r="M830" s="18">
        <f>'Emissions - REF'!$D$72</f>
        <v>3.5583539999999997E-3</v>
      </c>
      <c r="N830" s="7"/>
      <c r="O830" s="7"/>
      <c r="P830" s="7"/>
      <c r="Q830" s="7"/>
      <c r="R830" s="7"/>
      <c r="S830" s="7"/>
      <c r="T830" s="7"/>
    </row>
    <row r="831" spans="3:20" x14ac:dyDescent="0.25">
      <c r="C831" s="7"/>
      <c r="D831" s="7"/>
      <c r="E831" s="7" t="s">
        <v>19</v>
      </c>
      <c r="F831" s="7">
        <v>2020</v>
      </c>
      <c r="G831" s="8" t="s">
        <v>20</v>
      </c>
      <c r="H831" s="19" t="s">
        <v>73</v>
      </c>
      <c r="I831" s="7" t="s">
        <v>74</v>
      </c>
      <c r="J831" s="8"/>
      <c r="K831" s="7"/>
      <c r="L831" s="7" t="s">
        <v>24</v>
      </c>
      <c r="M831" s="18">
        <f>'Emissions - REF'!$E$72</f>
        <v>3.5583539999999997E-3</v>
      </c>
      <c r="N831" s="7"/>
      <c r="O831" s="7"/>
      <c r="P831" s="7"/>
      <c r="Q831" s="7"/>
      <c r="R831" s="7"/>
      <c r="S831" s="7"/>
      <c r="T831" s="7"/>
    </row>
    <row r="832" spans="3:20" x14ac:dyDescent="0.25">
      <c r="C832" s="7"/>
      <c r="D832" s="7"/>
      <c r="E832" s="7" t="s">
        <v>19</v>
      </c>
      <c r="F832" s="7">
        <v>2055</v>
      </c>
      <c r="G832" s="8" t="s">
        <v>20</v>
      </c>
      <c r="H832" s="19" t="s">
        <v>73</v>
      </c>
      <c r="I832" s="7" t="s">
        <v>74</v>
      </c>
      <c r="J832" s="8"/>
      <c r="K832" s="7"/>
      <c r="L832" s="7" t="s">
        <v>24</v>
      </c>
      <c r="M832" s="18">
        <f>M831</f>
        <v>3.5583539999999997E-3</v>
      </c>
      <c r="N832" s="7"/>
      <c r="O832" s="7"/>
      <c r="P832" s="7"/>
      <c r="Q832" s="7"/>
      <c r="R832" s="7"/>
      <c r="S832" s="7"/>
      <c r="T832" s="7"/>
    </row>
    <row r="833" spans="3:20" x14ac:dyDescent="0.25">
      <c r="C833" s="7"/>
      <c r="D833" s="7"/>
      <c r="E833" s="7" t="s">
        <v>19</v>
      </c>
      <c r="F833" s="7">
        <v>2010</v>
      </c>
      <c r="G833" s="8" t="s">
        <v>20</v>
      </c>
      <c r="H833" s="19" t="s">
        <v>73</v>
      </c>
      <c r="I833" s="7" t="s">
        <v>74</v>
      </c>
      <c r="J833" s="8"/>
      <c r="K833" s="7"/>
      <c r="L833" s="7" t="s">
        <v>25</v>
      </c>
      <c r="M833" s="18">
        <f>'Emissions - REF'!$C$73</f>
        <v>8.1445739999999999E-3</v>
      </c>
      <c r="N833" s="7"/>
      <c r="O833" s="7"/>
      <c r="P833" s="7"/>
      <c r="Q833" s="7"/>
      <c r="R833" s="7"/>
      <c r="S833" s="7"/>
      <c r="T833" s="7"/>
    </row>
    <row r="834" spans="3:20" x14ac:dyDescent="0.25">
      <c r="C834" s="7"/>
      <c r="D834" s="7"/>
      <c r="E834" s="7" t="s">
        <v>19</v>
      </c>
      <c r="F834" s="7">
        <v>2015</v>
      </c>
      <c r="G834" s="8" t="s">
        <v>20</v>
      </c>
      <c r="H834" s="19" t="s">
        <v>73</v>
      </c>
      <c r="I834" s="7" t="s">
        <v>74</v>
      </c>
      <c r="J834" s="8"/>
      <c r="K834" s="7"/>
      <c r="L834" s="7" t="s">
        <v>25</v>
      </c>
      <c r="M834" s="18">
        <f>'Emissions - REF'!$D$73</f>
        <v>7.2285450000000003E-3</v>
      </c>
      <c r="N834" s="7"/>
      <c r="O834" s="7"/>
      <c r="P834" s="7"/>
      <c r="Q834" s="7"/>
      <c r="R834" s="7"/>
      <c r="S834" s="7"/>
      <c r="T834" s="7"/>
    </row>
    <row r="835" spans="3:20" x14ac:dyDescent="0.25">
      <c r="C835" s="7"/>
      <c r="D835" s="7"/>
      <c r="E835" s="7" t="s">
        <v>19</v>
      </c>
      <c r="F835" s="7">
        <v>2020</v>
      </c>
      <c r="G835" s="8" t="s">
        <v>20</v>
      </c>
      <c r="H835" s="19" t="s">
        <v>73</v>
      </c>
      <c r="I835" s="7" t="s">
        <v>74</v>
      </c>
      <c r="J835" s="8"/>
      <c r="K835" s="7"/>
      <c r="L835" s="7" t="s">
        <v>25</v>
      </c>
      <c r="M835" s="18">
        <f>'Emissions - REF'!$E$73</f>
        <v>6.8384420000000001E-3</v>
      </c>
      <c r="N835" s="7"/>
      <c r="O835" s="7"/>
      <c r="P835" s="7"/>
      <c r="Q835" s="7"/>
      <c r="R835" s="7"/>
      <c r="S835" s="7"/>
      <c r="T835" s="7"/>
    </row>
    <row r="836" spans="3:20" x14ac:dyDescent="0.25">
      <c r="C836" s="7"/>
      <c r="D836" s="7"/>
      <c r="E836" s="7" t="s">
        <v>19</v>
      </c>
      <c r="F836" s="7">
        <v>2055</v>
      </c>
      <c r="G836" s="8" t="s">
        <v>20</v>
      </c>
      <c r="H836" s="19" t="s">
        <v>73</v>
      </c>
      <c r="I836" s="7" t="s">
        <v>74</v>
      </c>
      <c r="J836" s="8"/>
      <c r="K836" s="7"/>
      <c r="L836" s="7" t="s">
        <v>25</v>
      </c>
      <c r="M836" s="18">
        <f>M835</f>
        <v>6.8384420000000001E-3</v>
      </c>
      <c r="N836" s="7"/>
      <c r="O836" s="7"/>
      <c r="P836" s="7"/>
      <c r="Q836" s="7"/>
      <c r="R836" s="7"/>
      <c r="S836" s="7"/>
      <c r="T836" s="7"/>
    </row>
    <row r="837" spans="3:20" x14ac:dyDescent="0.25">
      <c r="C837" s="7"/>
      <c r="D837" s="7"/>
      <c r="E837" s="7" t="s">
        <v>19</v>
      </c>
      <c r="F837" s="7">
        <v>2010</v>
      </c>
      <c r="G837" s="8" t="s">
        <v>20</v>
      </c>
      <c r="H837" s="19" t="s">
        <v>73</v>
      </c>
      <c r="I837" s="7" t="s">
        <v>74</v>
      </c>
      <c r="J837" s="8"/>
      <c r="K837" s="7"/>
      <c r="L837" s="7" t="s">
        <v>26</v>
      </c>
      <c r="M837" s="18">
        <f>'Emissions - REF'!$C$74</f>
        <v>1.9528169999999999E-3</v>
      </c>
      <c r="N837" s="7"/>
      <c r="O837" s="7"/>
      <c r="P837" s="7"/>
      <c r="Q837" s="7"/>
      <c r="R837" s="7"/>
      <c r="S837" s="7"/>
      <c r="T837" s="7"/>
    </row>
    <row r="838" spans="3:20" x14ac:dyDescent="0.25">
      <c r="C838" s="7"/>
      <c r="D838" s="7"/>
      <c r="E838" s="7" t="s">
        <v>19</v>
      </c>
      <c r="F838" s="7">
        <v>2015</v>
      </c>
      <c r="G838" s="8" t="s">
        <v>20</v>
      </c>
      <c r="H838" s="19" t="s">
        <v>73</v>
      </c>
      <c r="I838" s="7" t="s">
        <v>74</v>
      </c>
      <c r="J838" s="8"/>
      <c r="K838" s="7"/>
      <c r="L838" s="7" t="s">
        <v>26</v>
      </c>
      <c r="M838" s="18">
        <f>'Emissions - REF'!$D$74</f>
        <v>1.7367280000000001E-3</v>
      </c>
      <c r="N838" s="7"/>
      <c r="O838" s="7"/>
      <c r="P838" s="7"/>
      <c r="Q838" s="7"/>
      <c r="R838" s="7"/>
      <c r="S838" s="7"/>
      <c r="T838" s="7"/>
    </row>
    <row r="839" spans="3:20" x14ac:dyDescent="0.25">
      <c r="C839" s="7"/>
      <c r="D839" s="7"/>
      <c r="E839" s="7" t="s">
        <v>19</v>
      </c>
      <c r="F839" s="7">
        <v>2020</v>
      </c>
      <c r="G839" s="8" t="s">
        <v>20</v>
      </c>
      <c r="H839" s="19" t="s">
        <v>73</v>
      </c>
      <c r="I839" s="7" t="s">
        <v>74</v>
      </c>
      <c r="J839" s="8"/>
      <c r="K839" s="7"/>
      <c r="L839" s="7" t="s">
        <v>26</v>
      </c>
      <c r="M839" s="18">
        <f>'Emissions - REF'!$E$74</f>
        <v>1.6640840000000001E-3</v>
      </c>
      <c r="N839" s="7"/>
      <c r="O839" s="7"/>
      <c r="P839" s="7"/>
      <c r="Q839" s="7"/>
      <c r="R839" s="7"/>
      <c r="S839" s="7"/>
      <c r="T839" s="7"/>
    </row>
    <row r="840" spans="3:20" x14ac:dyDescent="0.25">
      <c r="C840" s="7"/>
      <c r="D840" s="7"/>
      <c r="E840" s="7" t="s">
        <v>19</v>
      </c>
      <c r="F840" s="7">
        <v>2055</v>
      </c>
      <c r="G840" s="8" t="s">
        <v>20</v>
      </c>
      <c r="H840" s="19" t="s">
        <v>73</v>
      </c>
      <c r="I840" s="7" t="s">
        <v>74</v>
      </c>
      <c r="J840" s="8"/>
      <c r="K840" s="7"/>
      <c r="L840" s="7" t="s">
        <v>26</v>
      </c>
      <c r="M840" s="18">
        <f>M839</f>
        <v>1.6640840000000001E-3</v>
      </c>
      <c r="N840" s="7"/>
      <c r="O840" s="7"/>
      <c r="P840" s="7"/>
      <c r="Q840" s="7"/>
      <c r="R840" s="7"/>
      <c r="S840" s="7"/>
      <c r="T840" s="7"/>
    </row>
    <row r="841" spans="3:20" x14ac:dyDescent="0.25">
      <c r="C841" s="7"/>
      <c r="D841" s="7"/>
      <c r="E841" s="7" t="s">
        <v>19</v>
      </c>
      <c r="F841" s="7">
        <v>2010</v>
      </c>
      <c r="G841" s="8" t="s">
        <v>20</v>
      </c>
      <c r="H841" s="19" t="s">
        <v>73</v>
      </c>
      <c r="I841" s="7" t="s">
        <v>74</v>
      </c>
      <c r="J841" s="8"/>
      <c r="K841" s="7"/>
      <c r="L841" s="7" t="s">
        <v>27</v>
      </c>
      <c r="M841" s="18">
        <f>'Emissions - REF'!$C$75</f>
        <v>1.0860750000000001E-3</v>
      </c>
      <c r="N841" s="7"/>
      <c r="O841" s="7"/>
      <c r="P841" s="7"/>
      <c r="Q841" s="7"/>
      <c r="R841" s="7"/>
      <c r="S841" s="7"/>
      <c r="T841" s="7"/>
    </row>
    <row r="842" spans="3:20" x14ac:dyDescent="0.25">
      <c r="C842" s="7"/>
      <c r="D842" s="7"/>
      <c r="E842" s="7" t="s">
        <v>19</v>
      </c>
      <c r="F842" s="7">
        <v>2015</v>
      </c>
      <c r="G842" s="8" t="s">
        <v>20</v>
      </c>
      <c r="H842" s="19" t="s">
        <v>73</v>
      </c>
      <c r="I842" s="7" t="s">
        <v>74</v>
      </c>
      <c r="J842" s="8"/>
      <c r="K842" s="7"/>
      <c r="L842" s="7" t="s">
        <v>27</v>
      </c>
      <c r="M842" s="18">
        <f>'Emissions - REF'!$D$75</f>
        <v>1.0130639999999999E-3</v>
      </c>
      <c r="N842" s="7"/>
      <c r="O842" s="7"/>
      <c r="P842" s="7"/>
      <c r="Q842" s="7"/>
      <c r="R842" s="7"/>
      <c r="S842" s="7"/>
      <c r="T842" s="7"/>
    </row>
    <row r="843" spans="3:20" x14ac:dyDescent="0.25">
      <c r="C843" s="7"/>
      <c r="D843" s="7"/>
      <c r="E843" s="7" t="s">
        <v>19</v>
      </c>
      <c r="F843" s="7">
        <v>2020</v>
      </c>
      <c r="G843" s="8" t="s">
        <v>20</v>
      </c>
      <c r="H843" s="19" t="s">
        <v>73</v>
      </c>
      <c r="I843" s="7" t="s">
        <v>74</v>
      </c>
      <c r="J843" s="8"/>
      <c r="K843" s="7"/>
      <c r="L843" s="7" t="s">
        <v>27</v>
      </c>
      <c r="M843" s="18">
        <f>'Emissions - REF'!$E$75</f>
        <v>9.4099699999999995E-4</v>
      </c>
      <c r="N843" s="7"/>
      <c r="O843" s="7"/>
      <c r="P843" s="7"/>
      <c r="Q843" s="7"/>
      <c r="R843" s="7"/>
      <c r="S843" s="7"/>
      <c r="T843" s="7"/>
    </row>
    <row r="844" spans="3:20" x14ac:dyDescent="0.25">
      <c r="C844" s="7"/>
      <c r="D844" s="7"/>
      <c r="E844" s="7" t="s">
        <v>19</v>
      </c>
      <c r="F844" s="7">
        <v>2055</v>
      </c>
      <c r="G844" s="8" t="s">
        <v>20</v>
      </c>
      <c r="H844" s="19" t="s">
        <v>73</v>
      </c>
      <c r="I844" s="7" t="s">
        <v>74</v>
      </c>
      <c r="J844" s="8"/>
      <c r="K844" s="7"/>
      <c r="L844" s="7" t="s">
        <v>27</v>
      </c>
      <c r="M844" s="18">
        <f>M843</f>
        <v>9.4099699999999995E-4</v>
      </c>
      <c r="N844" s="7"/>
      <c r="O844" s="7"/>
      <c r="P844" s="7"/>
      <c r="Q844" s="7"/>
      <c r="R844" s="7"/>
      <c r="S844" s="7"/>
      <c r="T844" s="7"/>
    </row>
    <row r="845" spans="3:20" x14ac:dyDescent="0.25">
      <c r="C845" s="7"/>
      <c r="D845" s="7"/>
      <c r="E845" s="7" t="s">
        <v>19</v>
      </c>
      <c r="F845" s="7">
        <v>2010</v>
      </c>
      <c r="G845" s="8" t="s">
        <v>20</v>
      </c>
      <c r="H845" s="19" t="s">
        <v>73</v>
      </c>
      <c r="I845" s="7" t="s">
        <v>74</v>
      </c>
      <c r="J845" s="8"/>
      <c r="K845" s="7"/>
      <c r="L845" s="7" t="s">
        <v>28</v>
      </c>
      <c r="M845" s="18">
        <f>'Emissions - REF'!$C$76</f>
        <v>7.1047430000000002E-3</v>
      </c>
      <c r="N845" s="7"/>
      <c r="O845" s="7"/>
      <c r="P845" s="7"/>
      <c r="Q845" s="7"/>
      <c r="R845" s="7"/>
      <c r="S845" s="7"/>
      <c r="T845" s="7"/>
    </row>
    <row r="846" spans="3:20" x14ac:dyDescent="0.25">
      <c r="C846" s="7"/>
      <c r="D846" s="7"/>
      <c r="E846" s="7" t="s">
        <v>19</v>
      </c>
      <c r="F846" s="7">
        <v>2015</v>
      </c>
      <c r="G846" s="8" t="s">
        <v>20</v>
      </c>
      <c r="H846" s="19" t="s">
        <v>73</v>
      </c>
      <c r="I846" s="7" t="s">
        <v>74</v>
      </c>
      <c r="J846" s="8"/>
      <c r="K846" s="7"/>
      <c r="L846" s="7" t="s">
        <v>28</v>
      </c>
      <c r="M846" s="18">
        <f>'Emissions - REF'!$D$76</f>
        <v>6.1107830000000007E-3</v>
      </c>
      <c r="N846" s="7"/>
      <c r="O846" s="7"/>
      <c r="P846" s="7"/>
      <c r="Q846" s="7"/>
      <c r="R846" s="7"/>
      <c r="S846" s="7"/>
      <c r="T846" s="7"/>
    </row>
    <row r="847" spans="3:20" x14ac:dyDescent="0.25">
      <c r="C847" s="7"/>
      <c r="D847" s="7"/>
      <c r="E847" s="7" t="s">
        <v>19</v>
      </c>
      <c r="F847" s="7">
        <v>2020</v>
      </c>
      <c r="G847" s="8" t="s">
        <v>20</v>
      </c>
      <c r="H847" s="19" t="s">
        <v>73</v>
      </c>
      <c r="I847" s="7" t="s">
        <v>74</v>
      </c>
      <c r="J847" s="8"/>
      <c r="K847" s="7"/>
      <c r="L847" s="7" t="s">
        <v>28</v>
      </c>
      <c r="M847" s="18">
        <f>'Emissions - REF'!$E$76</f>
        <v>5.6848000000000003E-3</v>
      </c>
      <c r="N847" s="7"/>
      <c r="O847" s="7"/>
      <c r="P847" s="7"/>
      <c r="Q847" s="7"/>
      <c r="R847" s="7"/>
      <c r="S847" s="7"/>
      <c r="T847" s="7"/>
    </row>
    <row r="848" spans="3:20" x14ac:dyDescent="0.25">
      <c r="C848" s="7"/>
      <c r="D848" s="7"/>
      <c r="E848" s="7" t="s">
        <v>19</v>
      </c>
      <c r="F848" s="7">
        <v>2055</v>
      </c>
      <c r="G848" s="8" t="s">
        <v>20</v>
      </c>
      <c r="H848" s="19" t="s">
        <v>73</v>
      </c>
      <c r="I848" s="7" t="s">
        <v>74</v>
      </c>
      <c r="J848" s="8"/>
      <c r="K848" s="7"/>
      <c r="L848" s="7" t="s">
        <v>28</v>
      </c>
      <c r="M848" s="18">
        <f>M847</f>
        <v>5.6848000000000003E-3</v>
      </c>
      <c r="N848" s="7"/>
      <c r="O848" s="7"/>
      <c r="P848" s="7"/>
      <c r="Q848" s="7"/>
      <c r="R848" s="7"/>
      <c r="S848" s="7"/>
      <c r="T848" s="7"/>
    </row>
    <row r="849" spans="3:20" x14ac:dyDescent="0.25">
      <c r="C849" s="7"/>
      <c r="D849" s="7"/>
      <c r="E849" s="7" t="s">
        <v>19</v>
      </c>
      <c r="F849" s="7">
        <v>2010</v>
      </c>
      <c r="G849" s="8" t="s">
        <v>20</v>
      </c>
      <c r="H849" s="19" t="s">
        <v>73</v>
      </c>
      <c r="I849" s="7" t="s">
        <v>74</v>
      </c>
      <c r="J849" s="8"/>
      <c r="K849" s="7"/>
      <c r="L849" s="7" t="s">
        <v>29</v>
      </c>
      <c r="M849" s="18">
        <f>'Emissions - REF'!$C$77</f>
        <v>1.8631100000000001E-4</v>
      </c>
      <c r="N849" s="7"/>
      <c r="O849" s="7"/>
      <c r="P849" s="7"/>
      <c r="Q849" s="7"/>
      <c r="R849" s="7"/>
      <c r="S849" s="7"/>
      <c r="T849" s="7"/>
    </row>
    <row r="850" spans="3:20" x14ac:dyDescent="0.25">
      <c r="C850" s="7"/>
      <c r="D850" s="7"/>
      <c r="E850" s="7" t="s">
        <v>19</v>
      </c>
      <c r="F850" s="7">
        <v>2015</v>
      </c>
      <c r="G850" s="8" t="s">
        <v>20</v>
      </c>
      <c r="H850" s="19" t="s">
        <v>73</v>
      </c>
      <c r="I850" s="7" t="s">
        <v>74</v>
      </c>
      <c r="J850" s="8"/>
      <c r="K850" s="7"/>
      <c r="L850" s="7" t="s">
        <v>29</v>
      </c>
      <c r="M850" s="18">
        <f>'Emissions - REF'!$D$77</f>
        <v>1.8631100000000001E-4</v>
      </c>
      <c r="N850" s="7"/>
      <c r="O850" s="7"/>
      <c r="P850" s="7"/>
      <c r="Q850" s="7"/>
      <c r="R850" s="7"/>
      <c r="S850" s="7"/>
      <c r="T850" s="7"/>
    </row>
    <row r="851" spans="3:20" x14ac:dyDescent="0.25">
      <c r="C851" s="7"/>
      <c r="D851" s="7"/>
      <c r="E851" s="7" t="s">
        <v>19</v>
      </c>
      <c r="F851" s="7">
        <v>2020</v>
      </c>
      <c r="G851" s="8" t="s">
        <v>20</v>
      </c>
      <c r="H851" s="19" t="s">
        <v>73</v>
      </c>
      <c r="I851" s="7" t="s">
        <v>74</v>
      </c>
      <c r="J851" s="8"/>
      <c r="K851" s="7"/>
      <c r="L851" s="7" t="s">
        <v>29</v>
      </c>
      <c r="M851" s="18">
        <f>'Emissions - REF'!$E$77</f>
        <v>1.8631100000000001E-4</v>
      </c>
      <c r="N851" s="7"/>
      <c r="O851" s="7"/>
      <c r="P851" s="7"/>
      <c r="Q851" s="7"/>
      <c r="R851" s="7"/>
      <c r="S851" s="7"/>
      <c r="T851" s="7"/>
    </row>
    <row r="852" spans="3:20" x14ac:dyDescent="0.25">
      <c r="C852" s="7"/>
      <c r="D852" s="7"/>
      <c r="E852" s="7" t="s">
        <v>19</v>
      </c>
      <c r="F852" s="7">
        <v>2055</v>
      </c>
      <c r="G852" s="8" t="s">
        <v>20</v>
      </c>
      <c r="H852" s="19" t="s">
        <v>73</v>
      </c>
      <c r="I852" s="7" t="s">
        <v>74</v>
      </c>
      <c r="J852" s="8"/>
      <c r="K852" s="7"/>
      <c r="L852" s="7" t="s">
        <v>29</v>
      </c>
      <c r="M852" s="18">
        <f>M851</f>
        <v>1.8631100000000001E-4</v>
      </c>
      <c r="N852" s="7"/>
      <c r="O852" s="7"/>
      <c r="P852" s="7"/>
      <c r="Q852" s="7"/>
      <c r="R852" s="7"/>
      <c r="S852" s="7"/>
      <c r="T852" s="7"/>
    </row>
    <row r="853" spans="3:20" x14ac:dyDescent="0.25">
      <c r="C853" s="7"/>
      <c r="D853" s="7"/>
      <c r="E853" s="7" t="s">
        <v>19</v>
      </c>
      <c r="F853" s="7">
        <v>2010</v>
      </c>
      <c r="G853" s="8" t="s">
        <v>20</v>
      </c>
      <c r="H853" s="19" t="s">
        <v>73</v>
      </c>
      <c r="I853" s="7" t="s">
        <v>74</v>
      </c>
      <c r="J853" s="8"/>
      <c r="K853" s="7"/>
      <c r="L853" s="7" t="s">
        <v>30</v>
      </c>
      <c r="M853" s="18">
        <f>'Emissions - REF'!$C$78</f>
        <v>9.9822999999999996E-5</v>
      </c>
      <c r="N853" s="7"/>
      <c r="O853" s="7"/>
      <c r="P853" s="7"/>
      <c r="Q853" s="7"/>
      <c r="R853" s="7"/>
      <c r="S853" s="7"/>
      <c r="T853" s="7"/>
    </row>
    <row r="854" spans="3:20" x14ac:dyDescent="0.25">
      <c r="C854" s="7"/>
      <c r="D854" s="7"/>
      <c r="E854" s="7" t="s">
        <v>19</v>
      </c>
      <c r="F854" s="7">
        <v>2015</v>
      </c>
      <c r="G854" s="8" t="s">
        <v>20</v>
      </c>
      <c r="H854" s="19" t="s">
        <v>73</v>
      </c>
      <c r="I854" s="7" t="s">
        <v>74</v>
      </c>
      <c r="J854" s="8"/>
      <c r="K854" s="7"/>
      <c r="L854" s="7" t="s">
        <v>30</v>
      </c>
      <c r="M854" s="18">
        <f>'Emissions - REF'!$D$78</f>
        <v>9.9822999999999996E-5</v>
      </c>
      <c r="N854" s="7"/>
      <c r="O854" s="7"/>
      <c r="P854" s="7"/>
      <c r="Q854" s="7"/>
      <c r="R854" s="7"/>
      <c r="S854" s="7"/>
      <c r="T854" s="7"/>
    </row>
    <row r="855" spans="3:20" x14ac:dyDescent="0.25">
      <c r="C855" s="7"/>
      <c r="D855" s="7"/>
      <c r="E855" s="7" t="s">
        <v>19</v>
      </c>
      <c r="F855" s="7">
        <v>2020</v>
      </c>
      <c r="G855" s="8" t="s">
        <v>20</v>
      </c>
      <c r="H855" s="19" t="s">
        <v>73</v>
      </c>
      <c r="I855" s="7" t="s">
        <v>74</v>
      </c>
      <c r="J855" s="8"/>
      <c r="K855" s="7"/>
      <c r="L855" s="7" t="s">
        <v>30</v>
      </c>
      <c r="M855" s="18">
        <f>'Emissions - REF'!$E$78</f>
        <v>9.9822999999999996E-5</v>
      </c>
      <c r="N855" s="7"/>
      <c r="O855" s="7"/>
      <c r="P855" s="7"/>
      <c r="Q855" s="7"/>
      <c r="R855" s="7"/>
      <c r="S855" s="7"/>
      <c r="T855" s="7"/>
    </row>
    <row r="856" spans="3:20" x14ac:dyDescent="0.25">
      <c r="C856" s="7"/>
      <c r="D856" s="7"/>
      <c r="E856" s="7" t="s">
        <v>19</v>
      </c>
      <c r="F856" s="7">
        <v>2055</v>
      </c>
      <c r="G856" s="8" t="s">
        <v>20</v>
      </c>
      <c r="H856" s="19" t="s">
        <v>73</v>
      </c>
      <c r="I856" s="7" t="s">
        <v>74</v>
      </c>
      <c r="J856" s="8"/>
      <c r="K856" s="7"/>
      <c r="L856" s="7" t="s">
        <v>30</v>
      </c>
      <c r="M856" s="18">
        <f>M855</f>
        <v>9.9822999999999996E-5</v>
      </c>
      <c r="N856" s="7"/>
      <c r="O856" s="7"/>
      <c r="P856" s="7"/>
      <c r="Q856" s="7"/>
      <c r="R856" s="7"/>
      <c r="S856" s="7"/>
      <c r="T856" s="7"/>
    </row>
    <row r="857" spans="3:20" x14ac:dyDescent="0.25">
      <c r="C857" s="7"/>
      <c r="D857" s="7"/>
      <c r="E857" s="7" t="s">
        <v>19</v>
      </c>
      <c r="F857" s="7">
        <v>2010</v>
      </c>
      <c r="G857" s="8" t="s">
        <v>20</v>
      </c>
      <c r="H857" s="19" t="s">
        <v>73</v>
      </c>
      <c r="I857" s="7" t="s">
        <v>74</v>
      </c>
      <c r="J857" s="8"/>
      <c r="K857" s="7"/>
      <c r="L857" s="7" t="s">
        <v>31</v>
      </c>
      <c r="M857" s="7">
        <v>1E-4</v>
      </c>
      <c r="N857" s="7"/>
      <c r="O857" s="7"/>
      <c r="P857" s="7"/>
      <c r="Q857" s="7"/>
      <c r="R857" s="7"/>
      <c r="S857" s="7"/>
      <c r="T857" s="7"/>
    </row>
    <row r="858" spans="3:20" x14ac:dyDescent="0.25">
      <c r="C858" s="7"/>
      <c r="D858" s="7"/>
      <c r="E858" s="7" t="s">
        <v>19</v>
      </c>
      <c r="F858" s="7">
        <v>2015</v>
      </c>
      <c r="G858" s="8" t="s">
        <v>20</v>
      </c>
      <c r="H858" s="19" t="s">
        <v>73</v>
      </c>
      <c r="I858" s="7" t="s">
        <v>74</v>
      </c>
      <c r="J858" s="8"/>
      <c r="K858" s="7"/>
      <c r="L858" s="7" t="s">
        <v>31</v>
      </c>
      <c r="M858" s="7">
        <f>M857</f>
        <v>1E-4</v>
      </c>
      <c r="N858" s="7"/>
      <c r="O858" s="7"/>
      <c r="P858" s="7"/>
      <c r="Q858" s="7"/>
      <c r="R858" s="7"/>
      <c r="S858" s="7"/>
      <c r="T858" s="7"/>
    </row>
    <row r="859" spans="3:20" x14ac:dyDescent="0.25">
      <c r="C859" s="7"/>
      <c r="D859" s="7"/>
      <c r="E859" s="7" t="s">
        <v>19</v>
      </c>
      <c r="F859" s="7">
        <v>2020</v>
      </c>
      <c r="G859" s="8" t="s">
        <v>20</v>
      </c>
      <c r="H859" s="19" t="s">
        <v>73</v>
      </c>
      <c r="I859" s="7" t="s">
        <v>74</v>
      </c>
      <c r="J859" s="8"/>
      <c r="K859" s="7"/>
      <c r="L859" s="7" t="s">
        <v>31</v>
      </c>
      <c r="M859" s="7">
        <f t="shared" ref="M859:M860" si="189">M858</f>
        <v>1E-4</v>
      </c>
      <c r="N859" s="7"/>
      <c r="O859" s="7"/>
      <c r="P859" s="7"/>
      <c r="Q859" s="7"/>
      <c r="R859" s="7"/>
      <c r="S859" s="7"/>
      <c r="T859" s="7"/>
    </row>
    <row r="860" spans="3:20" x14ac:dyDescent="0.25">
      <c r="C860" s="7"/>
      <c r="D860" s="7"/>
      <c r="E860" s="7" t="s">
        <v>19</v>
      </c>
      <c r="F860" s="7">
        <v>2055</v>
      </c>
      <c r="G860" s="8" t="s">
        <v>20</v>
      </c>
      <c r="H860" s="19" t="s">
        <v>73</v>
      </c>
      <c r="I860" s="7" t="s">
        <v>74</v>
      </c>
      <c r="J860" s="8"/>
      <c r="K860" s="7"/>
      <c r="L860" s="7" t="s">
        <v>31</v>
      </c>
      <c r="M860" s="7">
        <f t="shared" si="189"/>
        <v>1E-4</v>
      </c>
      <c r="N860" s="7"/>
      <c r="O860" s="7"/>
      <c r="P860" s="7"/>
      <c r="Q860" s="7"/>
      <c r="R860" s="7"/>
      <c r="S860" s="7"/>
      <c r="T860" s="7"/>
    </row>
    <row r="861" spans="3:20" x14ac:dyDescent="0.25">
      <c r="C861" s="7"/>
      <c r="D861" s="7"/>
      <c r="E861" s="7" t="s">
        <v>19</v>
      </c>
      <c r="F861" s="7">
        <v>2010</v>
      </c>
      <c r="G861" s="8" t="s">
        <v>20</v>
      </c>
      <c r="H861" s="19" t="s">
        <v>73</v>
      </c>
      <c r="I861" s="7" t="s">
        <v>74</v>
      </c>
      <c r="J861" s="8"/>
      <c r="K861" s="7"/>
      <c r="L861" s="7" t="s">
        <v>32</v>
      </c>
      <c r="M861" s="7">
        <v>2.0000000000000001E-4</v>
      </c>
      <c r="N861" s="7"/>
      <c r="O861" s="7"/>
      <c r="P861" s="7"/>
      <c r="Q861" s="7"/>
      <c r="R861" s="7"/>
      <c r="S861" s="7"/>
      <c r="T861" s="7"/>
    </row>
    <row r="862" spans="3:20" x14ac:dyDescent="0.25">
      <c r="C862" s="7"/>
      <c r="D862" s="7"/>
      <c r="E862" s="7" t="s">
        <v>19</v>
      </c>
      <c r="F862" s="7">
        <v>2015</v>
      </c>
      <c r="G862" s="8" t="s">
        <v>20</v>
      </c>
      <c r="H862" s="19" t="s">
        <v>73</v>
      </c>
      <c r="I862" s="7" t="s">
        <v>74</v>
      </c>
      <c r="J862" s="8"/>
      <c r="K862" s="7"/>
      <c r="L862" s="7" t="s">
        <v>32</v>
      </c>
      <c r="M862" s="7">
        <f>M861</f>
        <v>2.0000000000000001E-4</v>
      </c>
      <c r="N862" s="7"/>
      <c r="O862" s="7"/>
      <c r="P862" s="7"/>
      <c r="Q862" s="7"/>
      <c r="R862" s="7"/>
      <c r="S862" s="7"/>
      <c r="T862" s="7"/>
    </row>
    <row r="863" spans="3:20" x14ac:dyDescent="0.25">
      <c r="C863" s="7"/>
      <c r="D863" s="7"/>
      <c r="E863" s="7" t="s">
        <v>19</v>
      </c>
      <c r="F863" s="7">
        <v>2020</v>
      </c>
      <c r="G863" s="8" t="s">
        <v>20</v>
      </c>
      <c r="H863" s="19" t="s">
        <v>73</v>
      </c>
      <c r="I863" s="7" t="s">
        <v>74</v>
      </c>
      <c r="J863" s="8"/>
      <c r="K863" s="7"/>
      <c r="L863" s="7" t="s">
        <v>32</v>
      </c>
      <c r="M863" s="7">
        <f t="shared" ref="M863:M864" si="190">M862</f>
        <v>2.0000000000000001E-4</v>
      </c>
      <c r="N863" s="7"/>
      <c r="O863" s="7"/>
      <c r="P863" s="7"/>
      <c r="Q863" s="7"/>
      <c r="R863" s="7"/>
      <c r="S863" s="7"/>
      <c r="T863" s="7"/>
    </row>
    <row r="864" spans="3:20" x14ac:dyDescent="0.25">
      <c r="C864" s="7"/>
      <c r="D864" s="7"/>
      <c r="E864" s="7" t="s">
        <v>19</v>
      </c>
      <c r="F864" s="7">
        <v>2055</v>
      </c>
      <c r="G864" s="8" t="s">
        <v>20</v>
      </c>
      <c r="H864" s="19" t="s">
        <v>73</v>
      </c>
      <c r="I864" s="7" t="s">
        <v>74</v>
      </c>
      <c r="J864" s="8"/>
      <c r="K864" s="7"/>
      <c r="L864" s="7" t="s">
        <v>32</v>
      </c>
      <c r="M864" s="7">
        <f t="shared" si="190"/>
        <v>2.0000000000000001E-4</v>
      </c>
      <c r="N864" s="7"/>
      <c r="O864" s="7"/>
      <c r="P864" s="7"/>
      <c r="Q864" s="7"/>
      <c r="R864" s="7"/>
      <c r="S864" s="7"/>
      <c r="T864" s="7"/>
    </row>
    <row r="865" spans="3:20" x14ac:dyDescent="0.25">
      <c r="C865" s="7"/>
      <c r="D865" s="7"/>
      <c r="E865" s="7" t="s">
        <v>19</v>
      </c>
      <c r="F865" s="7">
        <v>2010</v>
      </c>
      <c r="G865" s="8" t="s">
        <v>20</v>
      </c>
      <c r="H865" s="19" t="s">
        <v>73</v>
      </c>
      <c r="I865" s="7" t="s">
        <v>74</v>
      </c>
      <c r="J865" s="8"/>
      <c r="K865" s="7"/>
      <c r="L865" s="7" t="s">
        <v>46</v>
      </c>
      <c r="M865" s="18">
        <f>M833</f>
        <v>8.1445739999999999E-3</v>
      </c>
      <c r="N865" s="7"/>
      <c r="O865" s="7"/>
      <c r="P865" s="7"/>
      <c r="Q865" s="7"/>
      <c r="R865" s="7"/>
      <c r="S865" s="7"/>
      <c r="T865" s="7"/>
    </row>
    <row r="866" spans="3:20" x14ac:dyDescent="0.25">
      <c r="C866" s="7"/>
      <c r="D866" s="7"/>
      <c r="E866" s="7" t="s">
        <v>19</v>
      </c>
      <c r="F866" s="7">
        <v>2015</v>
      </c>
      <c r="G866" s="8" t="s">
        <v>20</v>
      </c>
      <c r="H866" s="19" t="s">
        <v>73</v>
      </c>
      <c r="I866" s="7" t="s">
        <v>74</v>
      </c>
      <c r="J866" s="8"/>
      <c r="K866" s="7"/>
      <c r="L866" s="7" t="s">
        <v>46</v>
      </c>
      <c r="M866" s="18">
        <f t="shared" ref="M866:M868" si="191">M834</f>
        <v>7.2285450000000003E-3</v>
      </c>
      <c r="N866" s="7"/>
      <c r="O866" s="7"/>
      <c r="P866" s="7"/>
      <c r="Q866" s="7"/>
      <c r="R866" s="7"/>
      <c r="S866" s="7"/>
      <c r="T866" s="7"/>
    </row>
    <row r="867" spans="3:20" x14ac:dyDescent="0.25">
      <c r="C867" s="7"/>
      <c r="D867" s="7"/>
      <c r="E867" s="7" t="s">
        <v>19</v>
      </c>
      <c r="F867" s="7">
        <v>2020</v>
      </c>
      <c r="G867" s="8" t="s">
        <v>20</v>
      </c>
      <c r="H867" s="19" t="s">
        <v>73</v>
      </c>
      <c r="I867" s="7" t="s">
        <v>74</v>
      </c>
      <c r="J867" s="8"/>
      <c r="K867" s="7"/>
      <c r="L867" s="7" t="s">
        <v>46</v>
      </c>
      <c r="M867" s="18">
        <f t="shared" si="191"/>
        <v>6.8384420000000001E-3</v>
      </c>
      <c r="N867" s="7"/>
      <c r="O867" s="7"/>
      <c r="P867" s="7"/>
      <c r="Q867" s="7"/>
      <c r="R867" s="7"/>
      <c r="S867" s="7"/>
      <c r="T867" s="7"/>
    </row>
    <row r="868" spans="3:20" x14ac:dyDescent="0.25">
      <c r="C868" s="7"/>
      <c r="D868" s="7"/>
      <c r="E868" s="7" t="s">
        <v>19</v>
      </c>
      <c r="F868" s="7">
        <v>2055</v>
      </c>
      <c r="G868" s="8" t="s">
        <v>20</v>
      </c>
      <c r="H868" s="19" t="s">
        <v>73</v>
      </c>
      <c r="I868" s="7" t="s">
        <v>74</v>
      </c>
      <c r="J868" s="8"/>
      <c r="K868" s="7"/>
      <c r="L868" s="7" t="s">
        <v>46</v>
      </c>
      <c r="M868" s="18">
        <f t="shared" si="191"/>
        <v>6.8384420000000001E-3</v>
      </c>
      <c r="N868" s="7"/>
      <c r="O868" s="7"/>
      <c r="P868" s="7"/>
      <c r="Q868" s="7"/>
      <c r="R868" s="7"/>
      <c r="S868" s="7"/>
      <c r="T868" s="7"/>
    </row>
    <row r="869" spans="3:20" x14ac:dyDescent="0.25">
      <c r="C869" s="7"/>
      <c r="D869" s="7"/>
      <c r="E869" s="7" t="s">
        <v>19</v>
      </c>
      <c r="F869" s="7">
        <v>2010</v>
      </c>
      <c r="G869" s="8" t="s">
        <v>20</v>
      </c>
      <c r="H869" s="19" t="s">
        <v>73</v>
      </c>
      <c r="I869" s="7" t="s">
        <v>74</v>
      </c>
      <c r="J869" s="8"/>
      <c r="K869" s="7"/>
      <c r="L869" s="7" t="s">
        <v>47</v>
      </c>
      <c r="M869" s="18">
        <f>M845</f>
        <v>7.1047430000000002E-3</v>
      </c>
      <c r="N869" s="7"/>
      <c r="O869" s="7"/>
      <c r="P869" s="7"/>
      <c r="Q869" s="7"/>
      <c r="R869" s="7"/>
      <c r="S869" s="7"/>
      <c r="T869" s="7"/>
    </row>
    <row r="870" spans="3:20" x14ac:dyDescent="0.25">
      <c r="C870" s="7"/>
      <c r="D870" s="7"/>
      <c r="E870" s="7" t="s">
        <v>19</v>
      </c>
      <c r="F870" s="7">
        <v>2015</v>
      </c>
      <c r="G870" s="8" t="s">
        <v>20</v>
      </c>
      <c r="H870" s="19" t="s">
        <v>73</v>
      </c>
      <c r="I870" s="7" t="s">
        <v>74</v>
      </c>
      <c r="J870" s="8"/>
      <c r="K870" s="7"/>
      <c r="L870" s="7" t="s">
        <v>47</v>
      </c>
      <c r="M870" s="18">
        <f t="shared" ref="M870:M872" si="192">M846</f>
        <v>6.1107830000000007E-3</v>
      </c>
      <c r="N870" s="7"/>
      <c r="O870" s="7"/>
      <c r="P870" s="7"/>
      <c r="Q870" s="7"/>
      <c r="R870" s="7"/>
      <c r="S870" s="7"/>
      <c r="T870" s="7"/>
    </row>
    <row r="871" spans="3:20" x14ac:dyDescent="0.25">
      <c r="C871" s="7"/>
      <c r="D871" s="7"/>
      <c r="E871" s="7" t="s">
        <v>19</v>
      </c>
      <c r="F871" s="7">
        <v>2020</v>
      </c>
      <c r="G871" s="8" t="s">
        <v>20</v>
      </c>
      <c r="H871" s="19" t="s">
        <v>73</v>
      </c>
      <c r="I871" s="7" t="s">
        <v>74</v>
      </c>
      <c r="J871" s="8"/>
      <c r="K871" s="7"/>
      <c r="L871" s="7" t="s">
        <v>47</v>
      </c>
      <c r="M871" s="18">
        <f t="shared" si="192"/>
        <v>5.6848000000000003E-3</v>
      </c>
      <c r="N871" s="7"/>
      <c r="O871" s="7"/>
      <c r="P871" s="7"/>
      <c r="Q871" s="7"/>
      <c r="R871" s="7"/>
      <c r="S871" s="7"/>
      <c r="T871" s="7"/>
    </row>
    <row r="872" spans="3:20" x14ac:dyDescent="0.25">
      <c r="C872" s="7"/>
      <c r="D872" s="7"/>
      <c r="E872" s="7" t="s">
        <v>19</v>
      </c>
      <c r="F872" s="7">
        <v>2055</v>
      </c>
      <c r="G872" s="8" t="s">
        <v>20</v>
      </c>
      <c r="H872" s="19" t="s">
        <v>73</v>
      </c>
      <c r="I872" s="7" t="s">
        <v>74</v>
      </c>
      <c r="J872" s="8"/>
      <c r="K872" s="7"/>
      <c r="L872" s="7" t="s">
        <v>47</v>
      </c>
      <c r="M872" s="18">
        <f t="shared" si="192"/>
        <v>5.6848000000000003E-3</v>
      </c>
      <c r="N872" s="7"/>
      <c r="O872" s="7"/>
      <c r="P872" s="7"/>
      <c r="Q872" s="7"/>
      <c r="R872" s="7"/>
      <c r="S872" s="7"/>
      <c r="T872" s="7"/>
    </row>
    <row r="873" spans="3:20" x14ac:dyDescent="0.25">
      <c r="C873" s="7"/>
      <c r="D873" s="7"/>
      <c r="E873" s="7" t="s">
        <v>19</v>
      </c>
      <c r="F873" s="7">
        <v>2010</v>
      </c>
      <c r="G873" s="8" t="s">
        <v>20</v>
      </c>
      <c r="H873" s="19" t="s">
        <v>73</v>
      </c>
      <c r="I873" s="7" t="s">
        <v>74</v>
      </c>
      <c r="J873" s="8"/>
      <c r="K873" s="7"/>
      <c r="L873" s="7" t="s">
        <v>48</v>
      </c>
      <c r="M873" s="18">
        <f>M837</f>
        <v>1.9528169999999999E-3</v>
      </c>
      <c r="N873" s="7"/>
      <c r="O873" s="7"/>
      <c r="P873" s="7"/>
      <c r="Q873" s="7"/>
      <c r="R873" s="7"/>
      <c r="S873" s="7"/>
      <c r="T873" s="7"/>
    </row>
    <row r="874" spans="3:20" x14ac:dyDescent="0.25">
      <c r="C874" s="7"/>
      <c r="D874" s="7"/>
      <c r="E874" s="7" t="s">
        <v>19</v>
      </c>
      <c r="F874" s="7">
        <v>2015</v>
      </c>
      <c r="G874" s="8" t="s">
        <v>20</v>
      </c>
      <c r="H874" s="19" t="s">
        <v>73</v>
      </c>
      <c r="I874" s="7" t="s">
        <v>74</v>
      </c>
      <c r="J874" s="8"/>
      <c r="K874" s="7"/>
      <c r="L874" s="7" t="s">
        <v>48</v>
      </c>
      <c r="M874" s="18">
        <f t="shared" ref="M874:M876" si="193">M838</f>
        <v>1.7367280000000001E-3</v>
      </c>
      <c r="N874" s="7"/>
      <c r="O874" s="7"/>
      <c r="P874" s="7"/>
      <c r="Q874" s="7"/>
      <c r="R874" s="7"/>
      <c r="S874" s="7"/>
      <c r="T874" s="7"/>
    </row>
    <row r="875" spans="3:20" x14ac:dyDescent="0.25">
      <c r="C875" s="7"/>
      <c r="D875" s="7"/>
      <c r="E875" s="7" t="s">
        <v>19</v>
      </c>
      <c r="F875" s="7">
        <v>2020</v>
      </c>
      <c r="G875" s="8" t="s">
        <v>20</v>
      </c>
      <c r="H875" s="19" t="s">
        <v>73</v>
      </c>
      <c r="I875" s="7" t="s">
        <v>74</v>
      </c>
      <c r="J875" s="8"/>
      <c r="K875" s="7"/>
      <c r="L875" s="7" t="s">
        <v>48</v>
      </c>
      <c r="M875" s="18">
        <f t="shared" si="193"/>
        <v>1.6640840000000001E-3</v>
      </c>
      <c r="N875" s="7"/>
      <c r="O875" s="7"/>
      <c r="P875" s="7"/>
      <c r="Q875" s="7"/>
      <c r="R875" s="7"/>
      <c r="S875" s="7"/>
      <c r="T875" s="7"/>
    </row>
    <row r="876" spans="3:20" x14ac:dyDescent="0.25">
      <c r="C876" s="7"/>
      <c r="D876" s="7"/>
      <c r="E876" s="7" t="s">
        <v>19</v>
      </c>
      <c r="F876" s="7">
        <v>2055</v>
      </c>
      <c r="G876" s="8" t="s">
        <v>20</v>
      </c>
      <c r="H876" s="19" t="s">
        <v>73</v>
      </c>
      <c r="I876" s="7" t="s">
        <v>74</v>
      </c>
      <c r="J876" s="8"/>
      <c r="K876" s="7"/>
      <c r="L876" s="7" t="s">
        <v>48</v>
      </c>
      <c r="M876" s="18">
        <f t="shared" si="193"/>
        <v>1.6640840000000001E-3</v>
      </c>
      <c r="N876" s="7"/>
      <c r="O876" s="7"/>
      <c r="P876" s="7"/>
      <c r="Q876" s="7"/>
      <c r="R876" s="7"/>
      <c r="S876" s="7"/>
      <c r="T876" s="7"/>
    </row>
    <row r="877" spans="3:20" x14ac:dyDescent="0.25">
      <c r="C877" s="7"/>
      <c r="D877" s="7"/>
      <c r="E877" s="7" t="s">
        <v>19</v>
      </c>
      <c r="F877" s="7">
        <v>2010</v>
      </c>
      <c r="G877" s="8" t="s">
        <v>20</v>
      </c>
      <c r="H877" s="19" t="s">
        <v>73</v>
      </c>
      <c r="I877" s="7" t="s">
        <v>74</v>
      </c>
      <c r="J877" s="8"/>
      <c r="K877" s="7"/>
      <c r="L877" s="7" t="s">
        <v>49</v>
      </c>
      <c r="M877" s="7">
        <f>'Emissions - REF'!$C$79</f>
        <v>6.1238892740000006</v>
      </c>
      <c r="N877" s="7"/>
      <c r="O877" s="7"/>
      <c r="P877" s="7"/>
      <c r="Q877" s="7"/>
      <c r="R877" s="7"/>
      <c r="S877" s="7"/>
      <c r="T877" s="7"/>
    </row>
    <row r="878" spans="3:20" x14ac:dyDescent="0.25">
      <c r="C878" s="7"/>
      <c r="D878" s="7"/>
      <c r="E878" s="7" t="s">
        <v>19</v>
      </c>
      <c r="F878" s="7">
        <v>2015</v>
      </c>
      <c r="G878" s="8" t="s">
        <v>20</v>
      </c>
      <c r="H878" s="19" t="s">
        <v>73</v>
      </c>
      <c r="I878" s="7" t="s">
        <v>74</v>
      </c>
      <c r="J878" s="8"/>
      <c r="K878" s="7"/>
      <c r="L878" s="7" t="s">
        <v>49</v>
      </c>
      <c r="M878" s="7">
        <f>'Emissions - REF'!$D$79</f>
        <v>6.1238892740000006</v>
      </c>
      <c r="N878" s="7"/>
      <c r="O878" s="7"/>
      <c r="P878" s="7"/>
      <c r="Q878" s="7"/>
      <c r="R878" s="7"/>
      <c r="S878" s="7"/>
      <c r="T878" s="7"/>
    </row>
    <row r="879" spans="3:20" x14ac:dyDescent="0.25">
      <c r="C879" s="7"/>
      <c r="D879" s="7"/>
      <c r="E879" s="7" t="s">
        <v>19</v>
      </c>
      <c r="F879" s="7">
        <v>2020</v>
      </c>
      <c r="G879" s="8" t="s">
        <v>20</v>
      </c>
      <c r="H879" s="19" t="s">
        <v>73</v>
      </c>
      <c r="I879" s="7" t="s">
        <v>74</v>
      </c>
      <c r="J879" s="8"/>
      <c r="K879" s="7"/>
      <c r="L879" s="7" t="s">
        <v>49</v>
      </c>
      <c r="M879" s="7">
        <f>'Emissions - REF'!$E$79</f>
        <v>6.1238892740000006</v>
      </c>
      <c r="N879" s="7"/>
      <c r="O879" s="7"/>
      <c r="P879" s="7"/>
      <c r="Q879" s="7"/>
      <c r="R879" s="7"/>
      <c r="S879" s="7"/>
      <c r="T879" s="7"/>
    </row>
    <row r="880" spans="3:20" x14ac:dyDescent="0.25">
      <c r="C880" s="7"/>
      <c r="D880" s="7"/>
      <c r="E880" s="7" t="s">
        <v>19</v>
      </c>
      <c r="F880" s="7">
        <v>2055</v>
      </c>
      <c r="G880" s="8" t="s">
        <v>20</v>
      </c>
      <c r="H880" s="19" t="s">
        <v>73</v>
      </c>
      <c r="I880" s="7" t="s">
        <v>74</v>
      </c>
      <c r="J880" s="8"/>
      <c r="K880" s="7"/>
      <c r="L880" s="7" t="s">
        <v>49</v>
      </c>
      <c r="M880" s="7">
        <f>M879</f>
        <v>6.1238892740000006</v>
      </c>
      <c r="N880" s="7"/>
      <c r="O880" s="7"/>
      <c r="P880" s="7"/>
      <c r="Q880" s="7"/>
      <c r="R880" s="7"/>
      <c r="S880" s="7"/>
      <c r="T880" s="7"/>
    </row>
    <row r="881" spans="3:20" x14ac:dyDescent="0.25">
      <c r="C881" s="7"/>
      <c r="D881" s="7"/>
      <c r="E881" s="7" t="s">
        <v>19</v>
      </c>
      <c r="F881" s="7">
        <v>2010</v>
      </c>
      <c r="G881" s="8" t="s">
        <v>20</v>
      </c>
      <c r="H881" s="19" t="s">
        <v>73</v>
      </c>
      <c r="I881" s="7" t="s">
        <v>74</v>
      </c>
      <c r="J881" s="8"/>
      <c r="K881" s="7"/>
      <c r="L881" s="7" t="s">
        <v>50</v>
      </c>
      <c r="M881" s="18">
        <f>M865</f>
        <v>8.1445739999999999E-3</v>
      </c>
      <c r="N881" s="7"/>
      <c r="O881" s="7"/>
      <c r="P881" s="7"/>
      <c r="Q881" s="7"/>
      <c r="R881" s="7"/>
      <c r="S881" s="7"/>
      <c r="T881" s="7"/>
    </row>
    <row r="882" spans="3:20" x14ac:dyDescent="0.25">
      <c r="C882" s="7"/>
      <c r="D882" s="7"/>
      <c r="E882" s="7" t="s">
        <v>19</v>
      </c>
      <c r="F882" s="7">
        <v>2015</v>
      </c>
      <c r="G882" s="8" t="s">
        <v>20</v>
      </c>
      <c r="H882" s="19" t="s">
        <v>73</v>
      </c>
      <c r="I882" s="7" t="s">
        <v>74</v>
      </c>
      <c r="J882" s="8"/>
      <c r="K882" s="7"/>
      <c r="L882" s="7" t="s">
        <v>50</v>
      </c>
      <c r="M882" s="18">
        <f t="shared" ref="M882:M884" si="194">M866</f>
        <v>7.2285450000000003E-3</v>
      </c>
      <c r="N882" s="7"/>
      <c r="O882" s="7"/>
      <c r="P882" s="7"/>
      <c r="Q882" s="7"/>
      <c r="R882" s="7"/>
      <c r="S882" s="7"/>
      <c r="T882" s="7"/>
    </row>
    <row r="883" spans="3:20" x14ac:dyDescent="0.25">
      <c r="C883" s="7"/>
      <c r="D883" s="7"/>
      <c r="E883" s="7" t="s">
        <v>19</v>
      </c>
      <c r="F883" s="7">
        <v>2020</v>
      </c>
      <c r="G883" s="8" t="s">
        <v>20</v>
      </c>
      <c r="H883" s="19" t="s">
        <v>73</v>
      </c>
      <c r="I883" s="7" t="s">
        <v>74</v>
      </c>
      <c r="J883" s="8"/>
      <c r="K883" s="7"/>
      <c r="L883" s="7" t="s">
        <v>50</v>
      </c>
      <c r="M883" s="18">
        <f t="shared" si="194"/>
        <v>6.8384420000000001E-3</v>
      </c>
      <c r="N883" s="7"/>
      <c r="O883" s="7"/>
      <c r="P883" s="7"/>
      <c r="Q883" s="7"/>
      <c r="R883" s="7"/>
      <c r="S883" s="7"/>
      <c r="T883" s="7"/>
    </row>
    <row r="884" spans="3:20" x14ac:dyDescent="0.25">
      <c r="C884" s="7"/>
      <c r="D884" s="7"/>
      <c r="E884" s="7" t="s">
        <v>19</v>
      </c>
      <c r="F884" s="7">
        <v>2055</v>
      </c>
      <c r="G884" s="8" t="s">
        <v>20</v>
      </c>
      <c r="H884" s="19" t="s">
        <v>73</v>
      </c>
      <c r="I884" s="7" t="s">
        <v>74</v>
      </c>
      <c r="J884" s="8"/>
      <c r="K884" s="7"/>
      <c r="L884" s="7" t="s">
        <v>50</v>
      </c>
      <c r="M884" s="18">
        <f t="shared" si="194"/>
        <v>6.8384420000000001E-3</v>
      </c>
      <c r="N884" s="7"/>
      <c r="O884" s="7"/>
      <c r="P884" s="7"/>
      <c r="Q884" s="7"/>
      <c r="R884" s="7"/>
      <c r="S884" s="7"/>
      <c r="T884" s="7"/>
    </row>
    <row r="885" spans="3:20" x14ac:dyDescent="0.25">
      <c r="C885" s="15" t="s">
        <v>33</v>
      </c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 spans="3:20" x14ac:dyDescent="0.25">
      <c r="C886" s="7"/>
      <c r="D886" s="7"/>
      <c r="E886" s="7" t="s">
        <v>19</v>
      </c>
      <c r="F886" s="7">
        <v>2010</v>
      </c>
      <c r="G886" s="8" t="s">
        <v>20</v>
      </c>
      <c r="H886" s="19" t="s">
        <v>75</v>
      </c>
      <c r="I886" s="7" t="s">
        <v>76</v>
      </c>
      <c r="J886" s="8"/>
      <c r="K886" s="7"/>
      <c r="L886" s="7" t="s">
        <v>22</v>
      </c>
      <c r="M886" s="18">
        <f>M942/1000</f>
        <v>5.0055087690000005E-3</v>
      </c>
      <c r="N886" s="7"/>
      <c r="O886" s="7"/>
      <c r="P886" s="7"/>
      <c r="Q886" s="7"/>
      <c r="R886" s="7"/>
      <c r="S886" s="7"/>
      <c r="T886" s="7"/>
    </row>
    <row r="887" spans="3:20" x14ac:dyDescent="0.25">
      <c r="C887" s="7"/>
      <c r="D887" s="7"/>
      <c r="E887" s="7" t="s">
        <v>19</v>
      </c>
      <c r="F887" s="7">
        <v>2015</v>
      </c>
      <c r="G887" s="8" t="s">
        <v>20</v>
      </c>
      <c r="H887" s="19" t="s">
        <v>75</v>
      </c>
      <c r="I887" s="7" t="s">
        <v>76</v>
      </c>
      <c r="J887" s="8"/>
      <c r="K887" s="7"/>
      <c r="L887" s="7" t="s">
        <v>22</v>
      </c>
      <c r="M887" s="18">
        <f t="shared" ref="M887:M889" si="195">M943/1000</f>
        <v>5.0055087690000005E-3</v>
      </c>
      <c r="N887" s="7"/>
      <c r="O887" s="7"/>
      <c r="P887" s="7"/>
      <c r="Q887" s="7"/>
      <c r="R887" s="7"/>
      <c r="S887" s="7"/>
      <c r="T887" s="7"/>
    </row>
    <row r="888" spans="3:20" x14ac:dyDescent="0.25">
      <c r="C888" s="7"/>
      <c r="D888" s="7"/>
      <c r="E888" s="7" t="s">
        <v>19</v>
      </c>
      <c r="F888" s="7">
        <v>2020</v>
      </c>
      <c r="G888" s="8" t="s">
        <v>20</v>
      </c>
      <c r="H888" s="19" t="s">
        <v>75</v>
      </c>
      <c r="I888" s="7" t="s">
        <v>76</v>
      </c>
      <c r="J888" s="8"/>
      <c r="K888" s="7"/>
      <c r="L888" s="7" t="s">
        <v>22</v>
      </c>
      <c r="M888" s="18">
        <f t="shared" si="195"/>
        <v>5.0055087690000005E-3</v>
      </c>
      <c r="N888" s="7"/>
      <c r="O888" s="7"/>
      <c r="P888" s="7"/>
      <c r="Q888" s="7"/>
      <c r="R888" s="7"/>
      <c r="S888" s="7"/>
      <c r="T888" s="7"/>
    </row>
    <row r="889" spans="3:20" x14ac:dyDescent="0.25">
      <c r="C889" s="7"/>
      <c r="D889" s="7"/>
      <c r="E889" s="7" t="s">
        <v>19</v>
      </c>
      <c r="F889" s="7">
        <v>2055</v>
      </c>
      <c r="G889" s="8" t="s">
        <v>20</v>
      </c>
      <c r="H889" s="19" t="s">
        <v>75</v>
      </c>
      <c r="I889" s="7" t="s">
        <v>76</v>
      </c>
      <c r="J889" s="8"/>
      <c r="K889" s="7"/>
      <c r="L889" s="7" t="s">
        <v>22</v>
      </c>
      <c r="M889" s="18">
        <f t="shared" si="195"/>
        <v>5.0055087690000005E-3</v>
      </c>
      <c r="N889" s="7"/>
      <c r="O889" s="7"/>
      <c r="P889" s="7"/>
      <c r="Q889" s="7"/>
      <c r="R889" s="7"/>
      <c r="S889" s="7"/>
      <c r="T889" s="7"/>
    </row>
    <row r="890" spans="3:20" x14ac:dyDescent="0.25">
      <c r="C890" s="7"/>
      <c r="D890" s="7"/>
      <c r="E890" s="7" t="s">
        <v>19</v>
      </c>
      <c r="F890" s="7">
        <v>2010</v>
      </c>
      <c r="G890" s="8" t="s">
        <v>20</v>
      </c>
      <c r="H890" s="19" t="s">
        <v>75</v>
      </c>
      <c r="I890" s="7" t="s">
        <v>76</v>
      </c>
      <c r="J890" s="8"/>
      <c r="K890" s="7"/>
      <c r="L890" s="7" t="s">
        <v>23</v>
      </c>
      <c r="M890" s="18">
        <f>'Emissions - REF'!$C$32</f>
        <v>1.30362E-4</v>
      </c>
      <c r="N890" s="7"/>
      <c r="O890" s="7"/>
      <c r="P890" s="7"/>
      <c r="Q890" s="7"/>
      <c r="R890" s="7"/>
      <c r="S890" s="7"/>
      <c r="T890" s="7"/>
    </row>
    <row r="891" spans="3:20" x14ac:dyDescent="0.25">
      <c r="C891" s="7"/>
      <c r="D891" s="7"/>
      <c r="E891" s="7" t="s">
        <v>19</v>
      </c>
      <c r="F891" s="7">
        <v>2015</v>
      </c>
      <c r="G891" s="8" t="s">
        <v>20</v>
      </c>
      <c r="H891" s="19" t="s">
        <v>75</v>
      </c>
      <c r="I891" s="7" t="s">
        <v>76</v>
      </c>
      <c r="J891" s="8"/>
      <c r="K891" s="7"/>
      <c r="L891" s="7" t="s">
        <v>23</v>
      </c>
      <c r="M891" s="18">
        <f>'Emissions - REF'!$D$32</f>
        <v>1.30362E-4</v>
      </c>
      <c r="N891" s="7"/>
      <c r="O891" s="7"/>
      <c r="P891" s="7"/>
      <c r="Q891" s="7"/>
      <c r="R891" s="7"/>
      <c r="S891" s="7"/>
      <c r="T891" s="7"/>
    </row>
    <row r="892" spans="3:20" x14ac:dyDescent="0.25">
      <c r="C892" s="7"/>
      <c r="D892" s="7"/>
      <c r="E892" s="7" t="s">
        <v>19</v>
      </c>
      <c r="F892" s="7">
        <v>2020</v>
      </c>
      <c r="G892" s="8" t="s">
        <v>20</v>
      </c>
      <c r="H892" s="19" t="s">
        <v>75</v>
      </c>
      <c r="I892" s="7" t="s">
        <v>76</v>
      </c>
      <c r="J892" s="8"/>
      <c r="K892" s="7"/>
      <c r="L892" s="7" t="s">
        <v>23</v>
      </c>
      <c r="M892" s="18">
        <f>'Emissions - REF'!$E$32</f>
        <v>1.30362E-4</v>
      </c>
      <c r="N892" s="7"/>
      <c r="O892" s="7"/>
      <c r="P892" s="7"/>
      <c r="Q892" s="7"/>
      <c r="R892" s="7"/>
      <c r="S892" s="7"/>
      <c r="T892" s="7"/>
    </row>
    <row r="893" spans="3:20" x14ac:dyDescent="0.25">
      <c r="C893" s="7"/>
      <c r="D893" s="7"/>
      <c r="E893" s="7" t="s">
        <v>19</v>
      </c>
      <c r="F893" s="7">
        <v>2055</v>
      </c>
      <c r="G893" s="8" t="s">
        <v>20</v>
      </c>
      <c r="H893" s="19" t="s">
        <v>75</v>
      </c>
      <c r="I893" s="7" t="s">
        <v>76</v>
      </c>
      <c r="J893" s="8"/>
      <c r="K893" s="7"/>
      <c r="L893" s="7" t="s">
        <v>23</v>
      </c>
      <c r="M893" s="18">
        <f>M892</f>
        <v>1.30362E-4</v>
      </c>
      <c r="N893" s="7"/>
      <c r="O893" s="7"/>
      <c r="P893" s="7"/>
      <c r="Q893" s="7"/>
      <c r="R893" s="7"/>
      <c r="S893" s="7"/>
      <c r="T893" s="7"/>
    </row>
    <row r="894" spans="3:20" x14ac:dyDescent="0.25">
      <c r="C894" s="7"/>
      <c r="D894" s="7"/>
      <c r="E894" s="7" t="s">
        <v>19</v>
      </c>
      <c r="F894" s="7">
        <v>2010</v>
      </c>
      <c r="G894" s="8" t="s">
        <v>20</v>
      </c>
      <c r="H894" s="19" t="s">
        <v>75</v>
      </c>
      <c r="I894" s="7" t="s">
        <v>76</v>
      </c>
      <c r="J894" s="8"/>
      <c r="K894" s="7"/>
      <c r="L894" s="7" t="s">
        <v>24</v>
      </c>
      <c r="M894" s="18">
        <f>'Emissions - REF'!$C$33</f>
        <v>2.375158E-3</v>
      </c>
      <c r="N894" s="7"/>
      <c r="O894" s="7"/>
      <c r="P894" s="7"/>
      <c r="Q894" s="7"/>
      <c r="R894" s="7"/>
      <c r="S894" s="7"/>
      <c r="T894" s="7"/>
    </row>
    <row r="895" spans="3:20" x14ac:dyDescent="0.25">
      <c r="C895" s="7"/>
      <c r="D895" s="7"/>
      <c r="E895" s="7" t="s">
        <v>19</v>
      </c>
      <c r="F895" s="7">
        <v>2015</v>
      </c>
      <c r="G895" s="8" t="s">
        <v>20</v>
      </c>
      <c r="H895" s="19" t="s">
        <v>75</v>
      </c>
      <c r="I895" s="7" t="s">
        <v>76</v>
      </c>
      <c r="J895" s="8"/>
      <c r="K895" s="7"/>
      <c r="L895" s="7" t="s">
        <v>24</v>
      </c>
      <c r="M895" s="18">
        <f>'Emissions - REF'!$D$33</f>
        <v>2.375158E-3</v>
      </c>
      <c r="N895" s="7"/>
      <c r="O895" s="7"/>
      <c r="P895" s="7"/>
      <c r="Q895" s="7"/>
      <c r="R895" s="7"/>
      <c r="S895" s="7"/>
      <c r="T895" s="7"/>
    </row>
    <row r="896" spans="3:20" x14ac:dyDescent="0.25">
      <c r="C896" s="7"/>
      <c r="D896" s="7"/>
      <c r="E896" s="7" t="s">
        <v>19</v>
      </c>
      <c r="F896" s="7">
        <v>2020</v>
      </c>
      <c r="G896" s="8" t="s">
        <v>20</v>
      </c>
      <c r="H896" s="19" t="s">
        <v>75</v>
      </c>
      <c r="I896" s="7" t="s">
        <v>76</v>
      </c>
      <c r="J896" s="8"/>
      <c r="K896" s="7"/>
      <c r="L896" s="7" t="s">
        <v>24</v>
      </c>
      <c r="M896" s="18">
        <f>'Emissions - REF'!$E$33</f>
        <v>2.375158E-3</v>
      </c>
      <c r="N896" s="7"/>
      <c r="O896" s="7"/>
      <c r="P896" s="7"/>
      <c r="Q896" s="7"/>
      <c r="R896" s="7"/>
      <c r="S896" s="7"/>
      <c r="T896" s="7"/>
    </row>
    <row r="897" spans="3:20" x14ac:dyDescent="0.25">
      <c r="C897" s="7"/>
      <c r="D897" s="7"/>
      <c r="E897" s="7" t="s">
        <v>19</v>
      </c>
      <c r="F897" s="7">
        <v>2055</v>
      </c>
      <c r="G897" s="8" t="s">
        <v>20</v>
      </c>
      <c r="H897" s="19" t="s">
        <v>75</v>
      </c>
      <c r="I897" s="7" t="s">
        <v>76</v>
      </c>
      <c r="J897" s="8"/>
      <c r="K897" s="7"/>
      <c r="L897" s="7" t="s">
        <v>24</v>
      </c>
      <c r="M897" s="18">
        <f>M896</f>
        <v>2.375158E-3</v>
      </c>
      <c r="N897" s="7"/>
      <c r="O897" s="7"/>
      <c r="P897" s="7"/>
      <c r="Q897" s="7"/>
      <c r="R897" s="7"/>
      <c r="S897" s="7"/>
      <c r="T897" s="7"/>
    </row>
    <row r="898" spans="3:20" x14ac:dyDescent="0.25">
      <c r="C898" s="7"/>
      <c r="D898" s="7"/>
      <c r="E898" s="7" t="s">
        <v>19</v>
      </c>
      <c r="F898" s="7">
        <v>2010</v>
      </c>
      <c r="G898" s="8" t="s">
        <v>20</v>
      </c>
      <c r="H898" s="19" t="s">
        <v>75</v>
      </c>
      <c r="I898" s="7" t="s">
        <v>76</v>
      </c>
      <c r="J898" s="8"/>
      <c r="K898" s="7"/>
      <c r="L898" s="7" t="s">
        <v>25</v>
      </c>
      <c r="M898" s="18">
        <f>'Emissions - REF'!$C$34</f>
        <v>6.9174759999999997E-3</v>
      </c>
      <c r="N898" s="7"/>
      <c r="O898" s="7"/>
      <c r="P898" s="7"/>
      <c r="Q898" s="7"/>
      <c r="R898" s="7"/>
      <c r="S898" s="7"/>
      <c r="T898" s="7"/>
    </row>
    <row r="899" spans="3:20" x14ac:dyDescent="0.25">
      <c r="C899" s="7"/>
      <c r="D899" s="7"/>
      <c r="E899" s="7" t="s">
        <v>19</v>
      </c>
      <c r="F899" s="7">
        <v>2015</v>
      </c>
      <c r="G899" s="8" t="s">
        <v>20</v>
      </c>
      <c r="H899" s="19" t="s">
        <v>75</v>
      </c>
      <c r="I899" s="7" t="s">
        <v>76</v>
      </c>
      <c r="J899" s="8"/>
      <c r="K899" s="7"/>
      <c r="L899" s="7" t="s">
        <v>25</v>
      </c>
      <c r="M899" s="18">
        <f>'Emissions - REF'!$D$34</f>
        <v>6.01345E-3</v>
      </c>
      <c r="N899" s="7"/>
      <c r="O899" s="7"/>
      <c r="P899" s="7"/>
      <c r="Q899" s="7"/>
      <c r="R899" s="7"/>
      <c r="S899" s="7"/>
      <c r="T899" s="7"/>
    </row>
    <row r="900" spans="3:20" x14ac:dyDescent="0.25">
      <c r="C900" s="7"/>
      <c r="D900" s="7"/>
      <c r="E900" s="7" t="s">
        <v>19</v>
      </c>
      <c r="F900" s="7">
        <v>2020</v>
      </c>
      <c r="G900" s="8" t="s">
        <v>20</v>
      </c>
      <c r="H900" s="19" t="s">
        <v>75</v>
      </c>
      <c r="I900" s="7" t="s">
        <v>76</v>
      </c>
      <c r="J900" s="8"/>
      <c r="K900" s="7"/>
      <c r="L900" s="7" t="s">
        <v>25</v>
      </c>
      <c r="M900" s="18">
        <f>'Emissions - REF'!$E$34</f>
        <v>5.6254759999999999E-3</v>
      </c>
      <c r="N900" s="7"/>
      <c r="O900" s="7"/>
      <c r="P900" s="7"/>
      <c r="Q900" s="7"/>
      <c r="R900" s="7"/>
      <c r="S900" s="7"/>
      <c r="T900" s="7"/>
    </row>
    <row r="901" spans="3:20" x14ac:dyDescent="0.25">
      <c r="C901" s="7"/>
      <c r="D901" s="7"/>
      <c r="E901" s="7" t="s">
        <v>19</v>
      </c>
      <c r="F901" s="7">
        <v>2055</v>
      </c>
      <c r="G901" s="8" t="s">
        <v>20</v>
      </c>
      <c r="H901" s="19" t="s">
        <v>75</v>
      </c>
      <c r="I901" s="7" t="s">
        <v>76</v>
      </c>
      <c r="J901" s="8"/>
      <c r="K901" s="7"/>
      <c r="L901" s="7" t="s">
        <v>25</v>
      </c>
      <c r="M901" s="18">
        <f>M900</f>
        <v>5.6254759999999999E-3</v>
      </c>
      <c r="N901" s="7"/>
      <c r="O901" s="7"/>
      <c r="P901" s="7"/>
      <c r="Q901" s="7"/>
      <c r="R901" s="7"/>
      <c r="S901" s="7"/>
      <c r="T901" s="7"/>
    </row>
    <row r="902" spans="3:20" x14ac:dyDescent="0.25">
      <c r="C902" s="7"/>
      <c r="D902" s="7"/>
      <c r="E902" s="7" t="s">
        <v>19</v>
      </c>
      <c r="F902" s="7">
        <v>2010</v>
      </c>
      <c r="G902" s="8" t="s">
        <v>20</v>
      </c>
      <c r="H902" s="19" t="s">
        <v>75</v>
      </c>
      <c r="I902" s="7" t="s">
        <v>76</v>
      </c>
      <c r="J902" s="8"/>
      <c r="K902" s="7"/>
      <c r="L902" s="7" t="s">
        <v>26</v>
      </c>
      <c r="M902" s="18">
        <f>'Emissions - REF'!$C$35</f>
        <v>1.7336600000000001E-3</v>
      </c>
      <c r="N902" s="7"/>
      <c r="O902" s="7"/>
      <c r="P902" s="7"/>
      <c r="Q902" s="7"/>
      <c r="R902" s="7"/>
      <c r="S902" s="7"/>
      <c r="T902" s="7"/>
    </row>
    <row r="903" spans="3:20" x14ac:dyDescent="0.25">
      <c r="C903" s="7"/>
      <c r="D903" s="7"/>
      <c r="E903" s="7" t="s">
        <v>19</v>
      </c>
      <c r="F903" s="7">
        <v>2015</v>
      </c>
      <c r="G903" s="8" t="s">
        <v>20</v>
      </c>
      <c r="H903" s="19" t="s">
        <v>75</v>
      </c>
      <c r="I903" s="7" t="s">
        <v>76</v>
      </c>
      <c r="J903" s="8"/>
      <c r="K903" s="7"/>
      <c r="L903" s="7" t="s">
        <v>26</v>
      </c>
      <c r="M903" s="18">
        <f>'Emissions - REF'!$D$35</f>
        <v>1.4917260000000001E-3</v>
      </c>
      <c r="N903" s="7"/>
      <c r="O903" s="7"/>
      <c r="P903" s="7"/>
      <c r="Q903" s="7"/>
      <c r="R903" s="7"/>
      <c r="S903" s="7"/>
      <c r="T903" s="7"/>
    </row>
    <row r="904" spans="3:20" x14ac:dyDescent="0.25">
      <c r="C904" s="7"/>
      <c r="D904" s="7"/>
      <c r="E904" s="7" t="s">
        <v>19</v>
      </c>
      <c r="F904" s="7">
        <v>2020</v>
      </c>
      <c r="G904" s="8" t="s">
        <v>20</v>
      </c>
      <c r="H904" s="19" t="s">
        <v>75</v>
      </c>
      <c r="I904" s="7" t="s">
        <v>76</v>
      </c>
      <c r="J904" s="8"/>
      <c r="K904" s="7"/>
      <c r="L904" s="7" t="s">
        <v>26</v>
      </c>
      <c r="M904" s="18">
        <f>'Emissions - REF'!$E$35</f>
        <v>1.402946E-3</v>
      </c>
      <c r="N904" s="7"/>
      <c r="O904" s="7"/>
      <c r="P904" s="7"/>
      <c r="Q904" s="7"/>
      <c r="R904" s="7"/>
      <c r="S904" s="7"/>
      <c r="T904" s="7"/>
    </row>
    <row r="905" spans="3:20" x14ac:dyDescent="0.25">
      <c r="C905" s="7"/>
      <c r="D905" s="7"/>
      <c r="E905" s="7" t="s">
        <v>19</v>
      </c>
      <c r="F905" s="7">
        <v>2055</v>
      </c>
      <c r="G905" s="8" t="s">
        <v>20</v>
      </c>
      <c r="H905" s="19" t="s">
        <v>75</v>
      </c>
      <c r="I905" s="7" t="s">
        <v>76</v>
      </c>
      <c r="J905" s="8"/>
      <c r="K905" s="7"/>
      <c r="L905" s="7" t="s">
        <v>26</v>
      </c>
      <c r="M905" s="18">
        <f>M904</f>
        <v>1.402946E-3</v>
      </c>
      <c r="N905" s="7"/>
      <c r="O905" s="7"/>
      <c r="P905" s="7"/>
      <c r="Q905" s="7"/>
      <c r="R905" s="7"/>
      <c r="S905" s="7"/>
      <c r="T905" s="7"/>
    </row>
    <row r="906" spans="3:20" x14ac:dyDescent="0.25">
      <c r="C906" s="7"/>
      <c r="D906" s="7"/>
      <c r="E906" s="7" t="s">
        <v>19</v>
      </c>
      <c r="F906" s="7">
        <v>2010</v>
      </c>
      <c r="G906" s="8" t="s">
        <v>20</v>
      </c>
      <c r="H906" s="19" t="s">
        <v>75</v>
      </c>
      <c r="I906" s="7" t="s">
        <v>76</v>
      </c>
      <c r="J906" s="8"/>
      <c r="K906" s="7"/>
      <c r="L906" s="7" t="s">
        <v>27</v>
      </c>
      <c r="M906" s="18">
        <f>'Emissions - REF'!$C$36</f>
        <v>9.9604800000000003E-4</v>
      </c>
      <c r="N906" s="7"/>
      <c r="O906" s="7"/>
      <c r="P906" s="7"/>
      <c r="Q906" s="7"/>
      <c r="R906" s="7"/>
      <c r="S906" s="7"/>
      <c r="T906" s="7"/>
    </row>
    <row r="907" spans="3:20" x14ac:dyDescent="0.25">
      <c r="C907" s="7"/>
      <c r="D907" s="7"/>
      <c r="E907" s="7" t="s">
        <v>19</v>
      </c>
      <c r="F907" s="7">
        <v>2015</v>
      </c>
      <c r="G907" s="8" t="s">
        <v>20</v>
      </c>
      <c r="H907" s="19" t="s">
        <v>75</v>
      </c>
      <c r="I907" s="7" t="s">
        <v>76</v>
      </c>
      <c r="J907" s="8"/>
      <c r="K907" s="7"/>
      <c r="L907" s="7" t="s">
        <v>27</v>
      </c>
      <c r="M907" s="18">
        <f>'Emissions - REF'!$D$36</f>
        <v>9.0242899999999995E-4</v>
      </c>
      <c r="N907" s="7"/>
      <c r="O907" s="7"/>
      <c r="P907" s="7"/>
      <c r="Q907" s="7"/>
      <c r="R907" s="7"/>
      <c r="S907" s="7"/>
      <c r="T907" s="7"/>
    </row>
    <row r="908" spans="3:20" x14ac:dyDescent="0.25">
      <c r="C908" s="7"/>
      <c r="D908" s="7"/>
      <c r="E908" s="7" t="s">
        <v>19</v>
      </c>
      <c r="F908" s="7">
        <v>2020</v>
      </c>
      <c r="G908" s="8" t="s">
        <v>20</v>
      </c>
      <c r="H908" s="19" t="s">
        <v>75</v>
      </c>
      <c r="I908" s="7" t="s">
        <v>76</v>
      </c>
      <c r="J908" s="8"/>
      <c r="K908" s="7"/>
      <c r="L908" s="7" t="s">
        <v>27</v>
      </c>
      <c r="M908" s="18">
        <f>'Emissions - REF'!$E$36</f>
        <v>8.2127599999999991E-4</v>
      </c>
      <c r="N908" s="7"/>
      <c r="O908" s="7"/>
      <c r="P908" s="7"/>
      <c r="Q908" s="7"/>
      <c r="R908" s="7"/>
      <c r="S908" s="7"/>
      <c r="T908" s="7"/>
    </row>
    <row r="909" spans="3:20" x14ac:dyDescent="0.25">
      <c r="C909" s="7"/>
      <c r="D909" s="7"/>
      <c r="E909" s="7" t="s">
        <v>19</v>
      </c>
      <c r="F909" s="7">
        <v>2055</v>
      </c>
      <c r="G909" s="8" t="s">
        <v>20</v>
      </c>
      <c r="H909" s="19" t="s">
        <v>75</v>
      </c>
      <c r="I909" s="7" t="s">
        <v>76</v>
      </c>
      <c r="J909" s="8"/>
      <c r="K909" s="7"/>
      <c r="L909" s="7" t="s">
        <v>27</v>
      </c>
      <c r="M909" s="18">
        <f>M908</f>
        <v>8.2127599999999991E-4</v>
      </c>
      <c r="N909" s="7"/>
      <c r="O909" s="7"/>
      <c r="P909" s="7"/>
      <c r="Q909" s="7"/>
      <c r="R909" s="7"/>
      <c r="S909" s="7"/>
      <c r="T909" s="7"/>
    </row>
    <row r="910" spans="3:20" x14ac:dyDescent="0.25">
      <c r="C910" s="7"/>
      <c r="D910" s="7"/>
      <c r="E910" s="7" t="s">
        <v>19</v>
      </c>
      <c r="F910" s="7">
        <v>2010</v>
      </c>
      <c r="G910" s="8" t="s">
        <v>20</v>
      </c>
      <c r="H910" s="19" t="s">
        <v>75</v>
      </c>
      <c r="I910" s="7" t="s">
        <v>76</v>
      </c>
      <c r="J910" s="8"/>
      <c r="K910" s="7"/>
      <c r="L910" s="7" t="s">
        <v>28</v>
      </c>
      <c r="M910" s="18">
        <f>'Emissions - REF'!$C$37</f>
        <v>3.577855E-3</v>
      </c>
      <c r="N910" s="7"/>
      <c r="O910" s="7"/>
      <c r="P910" s="7"/>
      <c r="Q910" s="7"/>
      <c r="R910" s="7"/>
      <c r="S910" s="7"/>
      <c r="T910" s="7"/>
    </row>
    <row r="911" spans="3:20" x14ac:dyDescent="0.25">
      <c r="C911" s="7"/>
      <c r="D911" s="7"/>
      <c r="E911" s="7" t="s">
        <v>19</v>
      </c>
      <c r="F911" s="7">
        <v>2015</v>
      </c>
      <c r="G911" s="8" t="s">
        <v>20</v>
      </c>
      <c r="H911" s="19" t="s">
        <v>75</v>
      </c>
      <c r="I911" s="7" t="s">
        <v>76</v>
      </c>
      <c r="J911" s="8"/>
      <c r="K911" s="7"/>
      <c r="L911" s="7" t="s">
        <v>28</v>
      </c>
      <c r="M911" s="18">
        <f>'Emissions - REF'!$D$37</f>
        <v>2.640019E-3</v>
      </c>
      <c r="N911" s="7"/>
      <c r="O911" s="7"/>
      <c r="P911" s="7"/>
      <c r="Q911" s="7"/>
      <c r="R911" s="7"/>
      <c r="S911" s="7"/>
      <c r="T911" s="7"/>
    </row>
    <row r="912" spans="3:20" x14ac:dyDescent="0.25">
      <c r="C912" s="7"/>
      <c r="D912" s="7"/>
      <c r="E912" s="7" t="s">
        <v>19</v>
      </c>
      <c r="F912" s="7">
        <v>2020</v>
      </c>
      <c r="G912" s="8" t="s">
        <v>20</v>
      </c>
      <c r="H912" s="19" t="s">
        <v>75</v>
      </c>
      <c r="I912" s="7" t="s">
        <v>76</v>
      </c>
      <c r="J912" s="8"/>
      <c r="K912" s="7"/>
      <c r="L912" s="7" t="s">
        <v>28</v>
      </c>
      <c r="M912" s="18">
        <f>'Emissions - REF'!$E$37</f>
        <v>2.2380900000000003E-3</v>
      </c>
      <c r="N912" s="7"/>
      <c r="O912" s="7"/>
      <c r="P912" s="7"/>
      <c r="Q912" s="7"/>
      <c r="R912" s="7"/>
      <c r="S912" s="7"/>
      <c r="T912" s="7"/>
    </row>
    <row r="913" spans="3:20" x14ac:dyDescent="0.25">
      <c r="C913" s="7"/>
      <c r="D913" s="7"/>
      <c r="E913" s="7" t="s">
        <v>19</v>
      </c>
      <c r="F913" s="7">
        <v>2055</v>
      </c>
      <c r="G913" s="8" t="s">
        <v>20</v>
      </c>
      <c r="H913" s="19" t="s">
        <v>75</v>
      </c>
      <c r="I913" s="7" t="s">
        <v>76</v>
      </c>
      <c r="J913" s="8"/>
      <c r="K913" s="7"/>
      <c r="L913" s="7" t="s">
        <v>28</v>
      </c>
      <c r="M913" s="18">
        <f>M912</f>
        <v>2.2380900000000003E-3</v>
      </c>
      <c r="N913" s="7"/>
      <c r="O913" s="7"/>
      <c r="P913" s="7"/>
      <c r="Q913" s="7"/>
      <c r="R913" s="7"/>
      <c r="S913" s="7"/>
      <c r="T913" s="7"/>
    </row>
    <row r="914" spans="3:20" x14ac:dyDescent="0.25">
      <c r="C914" s="7"/>
      <c r="D914" s="7"/>
      <c r="E914" s="7" t="s">
        <v>19</v>
      </c>
      <c r="F914" s="7">
        <v>2010</v>
      </c>
      <c r="G914" s="8" t="s">
        <v>20</v>
      </c>
      <c r="H914" s="19" t="s">
        <v>75</v>
      </c>
      <c r="I914" s="7" t="s">
        <v>76</v>
      </c>
      <c r="J914" s="8"/>
      <c r="K914" s="7"/>
      <c r="L914" s="7" t="s">
        <v>29</v>
      </c>
      <c r="M914" s="18">
        <f>'Emissions - REF'!$C$38</f>
        <v>1.8799299999999999E-4</v>
      </c>
      <c r="N914" s="7"/>
      <c r="O914" s="7"/>
      <c r="P914" s="7"/>
      <c r="Q914" s="7"/>
      <c r="R914" s="7"/>
      <c r="S914" s="7"/>
      <c r="T914" s="7"/>
    </row>
    <row r="915" spans="3:20" x14ac:dyDescent="0.25">
      <c r="C915" s="7"/>
      <c r="D915" s="7"/>
      <c r="E915" s="7" t="s">
        <v>19</v>
      </c>
      <c r="F915" s="7">
        <v>2015</v>
      </c>
      <c r="G915" s="8" t="s">
        <v>20</v>
      </c>
      <c r="H915" s="19" t="s">
        <v>75</v>
      </c>
      <c r="I915" s="7" t="s">
        <v>76</v>
      </c>
      <c r="J915" s="8"/>
      <c r="K915" s="7"/>
      <c r="L915" s="7" t="s">
        <v>29</v>
      </c>
      <c r="M915" s="18">
        <f>'Emissions - REF'!$D$38</f>
        <v>1.8799299999999999E-4</v>
      </c>
      <c r="N915" s="7"/>
      <c r="O915" s="7"/>
      <c r="P915" s="7"/>
      <c r="Q915" s="7"/>
      <c r="R915" s="7"/>
      <c r="S915" s="7"/>
      <c r="T915" s="7"/>
    </row>
    <row r="916" spans="3:20" x14ac:dyDescent="0.25">
      <c r="C916" s="7"/>
      <c r="D916" s="7"/>
      <c r="E916" s="7" t="s">
        <v>19</v>
      </c>
      <c r="F916" s="7">
        <v>2020</v>
      </c>
      <c r="G916" s="8" t="s">
        <v>20</v>
      </c>
      <c r="H916" s="19" t="s">
        <v>75</v>
      </c>
      <c r="I916" s="7" t="s">
        <v>76</v>
      </c>
      <c r="J916" s="8"/>
      <c r="K916" s="7"/>
      <c r="L916" s="7" t="s">
        <v>29</v>
      </c>
      <c r="M916" s="18">
        <f>'Emissions - REF'!$E$38</f>
        <v>1.8799299999999999E-4</v>
      </c>
      <c r="N916" s="7"/>
      <c r="O916" s="7"/>
      <c r="P916" s="7"/>
      <c r="Q916" s="7"/>
      <c r="R916" s="7"/>
      <c r="S916" s="7"/>
      <c r="T916" s="7"/>
    </row>
    <row r="917" spans="3:20" x14ac:dyDescent="0.25">
      <c r="C917" s="7"/>
      <c r="D917" s="7"/>
      <c r="E917" s="7" t="s">
        <v>19</v>
      </c>
      <c r="F917" s="7">
        <v>2055</v>
      </c>
      <c r="G917" s="8" t="s">
        <v>20</v>
      </c>
      <c r="H917" s="19" t="s">
        <v>75</v>
      </c>
      <c r="I917" s="7" t="s">
        <v>76</v>
      </c>
      <c r="J917" s="8"/>
      <c r="K917" s="7"/>
      <c r="L917" s="7" t="s">
        <v>29</v>
      </c>
      <c r="M917" s="18">
        <f>M916</f>
        <v>1.8799299999999999E-4</v>
      </c>
      <c r="N917" s="7"/>
      <c r="O917" s="7"/>
      <c r="P917" s="7"/>
      <c r="Q917" s="7"/>
      <c r="R917" s="7"/>
      <c r="S917" s="7"/>
      <c r="T917" s="7"/>
    </row>
    <row r="918" spans="3:20" x14ac:dyDescent="0.25">
      <c r="C918" s="7"/>
      <c r="D918" s="7"/>
      <c r="E918" s="7" t="s">
        <v>19</v>
      </c>
      <c r="F918" s="7">
        <v>2010</v>
      </c>
      <c r="G918" s="8" t="s">
        <v>20</v>
      </c>
      <c r="H918" s="19" t="s">
        <v>75</v>
      </c>
      <c r="I918" s="7" t="s">
        <v>76</v>
      </c>
      <c r="J918" s="8"/>
      <c r="K918" s="7"/>
      <c r="L918" s="7" t="s">
        <v>30</v>
      </c>
      <c r="M918" s="18">
        <f>'Emissions - REF'!$C$39</f>
        <v>9.2440000000000003E-5</v>
      </c>
      <c r="N918" s="7"/>
      <c r="O918" s="7"/>
      <c r="P918" s="7"/>
      <c r="Q918" s="7"/>
      <c r="R918" s="7"/>
      <c r="S918" s="7"/>
      <c r="T918" s="7"/>
    </row>
    <row r="919" spans="3:20" x14ac:dyDescent="0.25">
      <c r="C919" s="7"/>
      <c r="D919" s="7"/>
      <c r="E919" s="7" t="s">
        <v>19</v>
      </c>
      <c r="F919" s="7">
        <v>2015</v>
      </c>
      <c r="G919" s="8" t="s">
        <v>20</v>
      </c>
      <c r="H919" s="19" t="s">
        <v>75</v>
      </c>
      <c r="I919" s="7" t="s">
        <v>76</v>
      </c>
      <c r="J919" s="8"/>
      <c r="K919" s="7"/>
      <c r="L919" s="7" t="s">
        <v>30</v>
      </c>
      <c r="M919" s="18">
        <f>'Emissions - REF'!$D$39</f>
        <v>9.2440000000000003E-5</v>
      </c>
      <c r="N919" s="7"/>
      <c r="O919" s="7"/>
      <c r="P919" s="7"/>
      <c r="Q919" s="7"/>
      <c r="R919" s="7"/>
      <c r="S919" s="7"/>
      <c r="T919" s="7"/>
    </row>
    <row r="920" spans="3:20" x14ac:dyDescent="0.25">
      <c r="C920" s="7"/>
      <c r="D920" s="7"/>
      <c r="E920" s="7" t="s">
        <v>19</v>
      </c>
      <c r="F920" s="7">
        <v>2020</v>
      </c>
      <c r="G920" s="8" t="s">
        <v>20</v>
      </c>
      <c r="H920" s="19" t="s">
        <v>75</v>
      </c>
      <c r="I920" s="7" t="s">
        <v>76</v>
      </c>
      <c r="J920" s="8"/>
      <c r="K920" s="7"/>
      <c r="L920" s="7" t="s">
        <v>30</v>
      </c>
      <c r="M920" s="18">
        <f>'Emissions - REF'!$E$39</f>
        <v>9.2440000000000003E-5</v>
      </c>
      <c r="N920" s="7"/>
      <c r="O920" s="7"/>
      <c r="P920" s="7"/>
      <c r="Q920" s="7"/>
      <c r="R920" s="7"/>
      <c r="S920" s="7"/>
      <c r="T920" s="7"/>
    </row>
    <row r="921" spans="3:20" x14ac:dyDescent="0.25">
      <c r="C921" s="7"/>
      <c r="D921" s="7"/>
      <c r="E921" s="7" t="s">
        <v>19</v>
      </c>
      <c r="F921" s="7">
        <v>2055</v>
      </c>
      <c r="G921" s="8" t="s">
        <v>20</v>
      </c>
      <c r="H921" s="19" t="s">
        <v>75</v>
      </c>
      <c r="I921" s="7" t="s">
        <v>76</v>
      </c>
      <c r="J921" s="8"/>
      <c r="K921" s="7"/>
      <c r="L921" s="7" t="s">
        <v>30</v>
      </c>
      <c r="M921" s="18">
        <f>M920</f>
        <v>9.2440000000000003E-5</v>
      </c>
      <c r="N921" s="7"/>
      <c r="O921" s="7"/>
      <c r="P921" s="7"/>
      <c r="Q921" s="7"/>
      <c r="R921" s="7"/>
      <c r="S921" s="7"/>
      <c r="T921" s="7"/>
    </row>
    <row r="922" spans="3:20" x14ac:dyDescent="0.25">
      <c r="C922" s="7"/>
      <c r="D922" s="7"/>
      <c r="E922" s="7" t="s">
        <v>19</v>
      </c>
      <c r="F922" s="7">
        <v>2010</v>
      </c>
      <c r="G922" s="8" t="s">
        <v>20</v>
      </c>
      <c r="H922" s="19" t="s">
        <v>75</v>
      </c>
      <c r="I922" s="7" t="s">
        <v>76</v>
      </c>
      <c r="J922" s="8"/>
      <c r="K922" s="7"/>
      <c r="L922" s="7" t="s">
        <v>31</v>
      </c>
      <c r="M922" s="7">
        <v>1E-4</v>
      </c>
      <c r="N922" s="7"/>
      <c r="O922" s="7"/>
      <c r="P922" s="7"/>
      <c r="Q922" s="7"/>
      <c r="R922" s="7"/>
      <c r="S922" s="7"/>
      <c r="T922" s="7"/>
    </row>
    <row r="923" spans="3:20" x14ac:dyDescent="0.25">
      <c r="C923" s="7"/>
      <c r="D923" s="7"/>
      <c r="E923" s="7" t="s">
        <v>19</v>
      </c>
      <c r="F923" s="7">
        <v>2015</v>
      </c>
      <c r="G923" s="8" t="s">
        <v>20</v>
      </c>
      <c r="H923" s="19" t="s">
        <v>75</v>
      </c>
      <c r="I923" s="7" t="s">
        <v>76</v>
      </c>
      <c r="J923" s="8"/>
      <c r="K923" s="7"/>
      <c r="L923" s="7" t="s">
        <v>31</v>
      </c>
      <c r="M923" s="7">
        <f>M922</f>
        <v>1E-4</v>
      </c>
      <c r="N923" s="7"/>
      <c r="O923" s="7"/>
      <c r="P923" s="7"/>
      <c r="Q923" s="7"/>
      <c r="R923" s="7"/>
      <c r="S923" s="7"/>
      <c r="T923" s="7"/>
    </row>
    <row r="924" spans="3:20" x14ac:dyDescent="0.25">
      <c r="C924" s="7"/>
      <c r="D924" s="7"/>
      <c r="E924" s="7" t="s">
        <v>19</v>
      </c>
      <c r="F924" s="7">
        <v>2020</v>
      </c>
      <c r="G924" s="8" t="s">
        <v>20</v>
      </c>
      <c r="H924" s="19" t="s">
        <v>75</v>
      </c>
      <c r="I924" s="7" t="s">
        <v>76</v>
      </c>
      <c r="J924" s="8"/>
      <c r="K924" s="7"/>
      <c r="L924" s="7" t="s">
        <v>31</v>
      </c>
      <c r="M924" s="7">
        <f t="shared" ref="M924:M925" si="196">M923</f>
        <v>1E-4</v>
      </c>
      <c r="N924" s="7"/>
      <c r="O924" s="7"/>
      <c r="P924" s="7"/>
      <c r="Q924" s="7"/>
      <c r="R924" s="7"/>
      <c r="S924" s="7"/>
      <c r="T924" s="7"/>
    </row>
    <row r="925" spans="3:20" x14ac:dyDescent="0.25">
      <c r="C925" s="7"/>
      <c r="D925" s="7"/>
      <c r="E925" s="7" t="s">
        <v>19</v>
      </c>
      <c r="F925" s="7">
        <v>2055</v>
      </c>
      <c r="G925" s="8" t="s">
        <v>20</v>
      </c>
      <c r="H925" s="19" t="s">
        <v>75</v>
      </c>
      <c r="I925" s="7" t="s">
        <v>76</v>
      </c>
      <c r="J925" s="8"/>
      <c r="K925" s="7"/>
      <c r="L925" s="7" t="s">
        <v>31</v>
      </c>
      <c r="M925" s="7">
        <f t="shared" si="196"/>
        <v>1E-4</v>
      </c>
      <c r="N925" s="7"/>
      <c r="O925" s="7"/>
      <c r="P925" s="7"/>
      <c r="Q925" s="7"/>
      <c r="R925" s="7"/>
      <c r="S925" s="7"/>
      <c r="T925" s="7"/>
    </row>
    <row r="926" spans="3:20" x14ac:dyDescent="0.25">
      <c r="C926" s="7"/>
      <c r="D926" s="7"/>
      <c r="E926" s="7" t="s">
        <v>19</v>
      </c>
      <c r="F926" s="7">
        <v>2010</v>
      </c>
      <c r="G926" s="8" t="s">
        <v>20</v>
      </c>
      <c r="H926" s="19" t="s">
        <v>75</v>
      </c>
      <c r="I926" s="7" t="s">
        <v>76</v>
      </c>
      <c r="J926" s="8"/>
      <c r="K926" s="7"/>
      <c r="L926" s="7" t="s">
        <v>32</v>
      </c>
      <c r="M926" s="7">
        <v>2.0000000000000001E-4</v>
      </c>
      <c r="N926" s="7"/>
      <c r="O926" s="7"/>
      <c r="P926" s="7"/>
      <c r="Q926" s="7"/>
      <c r="R926" s="7"/>
      <c r="S926" s="7"/>
      <c r="T926" s="7"/>
    </row>
    <row r="927" spans="3:20" x14ac:dyDescent="0.25">
      <c r="C927" s="7"/>
      <c r="D927" s="7"/>
      <c r="E927" s="7" t="s">
        <v>19</v>
      </c>
      <c r="F927" s="7">
        <v>2015</v>
      </c>
      <c r="G927" s="8" t="s">
        <v>20</v>
      </c>
      <c r="H927" s="19" t="s">
        <v>75</v>
      </c>
      <c r="I927" s="7" t="s">
        <v>76</v>
      </c>
      <c r="J927" s="8"/>
      <c r="K927" s="7"/>
      <c r="L927" s="7" t="s">
        <v>32</v>
      </c>
      <c r="M927" s="7">
        <f>M926</f>
        <v>2.0000000000000001E-4</v>
      </c>
      <c r="N927" s="7"/>
      <c r="O927" s="7"/>
      <c r="P927" s="7"/>
      <c r="Q927" s="7"/>
      <c r="R927" s="7"/>
      <c r="S927" s="7"/>
      <c r="T927" s="7"/>
    </row>
    <row r="928" spans="3:20" x14ac:dyDescent="0.25">
      <c r="C928" s="7"/>
      <c r="D928" s="7"/>
      <c r="E928" s="7" t="s">
        <v>19</v>
      </c>
      <c r="F928" s="7">
        <v>2020</v>
      </c>
      <c r="G928" s="8" t="s">
        <v>20</v>
      </c>
      <c r="H928" s="19" t="s">
        <v>75</v>
      </c>
      <c r="I928" s="7" t="s">
        <v>76</v>
      </c>
      <c r="J928" s="8"/>
      <c r="K928" s="7"/>
      <c r="L928" s="7" t="s">
        <v>32</v>
      </c>
      <c r="M928" s="7">
        <f t="shared" ref="M928:M929" si="197">M927</f>
        <v>2.0000000000000001E-4</v>
      </c>
      <c r="N928" s="7"/>
      <c r="O928" s="7"/>
      <c r="P928" s="7"/>
      <c r="Q928" s="7"/>
      <c r="R928" s="7"/>
      <c r="S928" s="7"/>
      <c r="T928" s="7"/>
    </row>
    <row r="929" spans="3:20" x14ac:dyDescent="0.25">
      <c r="C929" s="7"/>
      <c r="D929" s="7"/>
      <c r="E929" s="7" t="s">
        <v>19</v>
      </c>
      <c r="F929" s="7">
        <v>2055</v>
      </c>
      <c r="G929" s="8" t="s">
        <v>20</v>
      </c>
      <c r="H929" s="19" t="s">
        <v>75</v>
      </c>
      <c r="I929" s="7" t="s">
        <v>76</v>
      </c>
      <c r="J929" s="8"/>
      <c r="K929" s="7"/>
      <c r="L929" s="7" t="s">
        <v>32</v>
      </c>
      <c r="M929" s="7">
        <f t="shared" si="197"/>
        <v>2.0000000000000001E-4</v>
      </c>
      <c r="N929" s="7"/>
      <c r="O929" s="7"/>
      <c r="P929" s="7"/>
      <c r="Q929" s="7"/>
      <c r="R929" s="7"/>
      <c r="S929" s="7"/>
      <c r="T929" s="7"/>
    </row>
    <row r="930" spans="3:20" x14ac:dyDescent="0.25">
      <c r="C930" s="7"/>
      <c r="D930" s="7"/>
      <c r="E930" s="7" t="s">
        <v>19</v>
      </c>
      <c r="F930" s="7">
        <v>2010</v>
      </c>
      <c r="G930" s="8" t="s">
        <v>20</v>
      </c>
      <c r="H930" s="19" t="s">
        <v>75</v>
      </c>
      <c r="I930" s="7" t="s">
        <v>76</v>
      </c>
      <c r="J930" s="8"/>
      <c r="K930" s="7"/>
      <c r="L930" s="7" t="s">
        <v>46</v>
      </c>
      <c r="M930" s="18">
        <f>M898</f>
        <v>6.9174759999999997E-3</v>
      </c>
      <c r="N930" s="7"/>
      <c r="O930" s="7"/>
      <c r="P930" s="7"/>
      <c r="Q930" s="7"/>
      <c r="R930" s="7"/>
      <c r="S930" s="7"/>
      <c r="T930" s="7"/>
    </row>
    <row r="931" spans="3:20" x14ac:dyDescent="0.25">
      <c r="C931" s="7"/>
      <c r="D931" s="7"/>
      <c r="E931" s="7" t="s">
        <v>19</v>
      </c>
      <c r="F931" s="7">
        <v>2015</v>
      </c>
      <c r="G931" s="8" t="s">
        <v>20</v>
      </c>
      <c r="H931" s="19" t="s">
        <v>75</v>
      </c>
      <c r="I931" s="7" t="s">
        <v>76</v>
      </c>
      <c r="J931" s="8"/>
      <c r="K931" s="7"/>
      <c r="L931" s="7" t="s">
        <v>46</v>
      </c>
      <c r="M931" s="18">
        <f t="shared" ref="M931:M933" si="198">M899</f>
        <v>6.01345E-3</v>
      </c>
      <c r="N931" s="7"/>
      <c r="O931" s="7"/>
      <c r="P931" s="7"/>
      <c r="Q931" s="7"/>
      <c r="R931" s="7"/>
      <c r="S931" s="7"/>
      <c r="T931" s="7"/>
    </row>
    <row r="932" spans="3:20" x14ac:dyDescent="0.25">
      <c r="C932" s="7"/>
      <c r="D932" s="7"/>
      <c r="E932" s="7" t="s">
        <v>19</v>
      </c>
      <c r="F932" s="7">
        <v>2020</v>
      </c>
      <c r="G932" s="8" t="s">
        <v>20</v>
      </c>
      <c r="H932" s="19" t="s">
        <v>75</v>
      </c>
      <c r="I932" s="7" t="s">
        <v>76</v>
      </c>
      <c r="J932" s="8"/>
      <c r="K932" s="7"/>
      <c r="L932" s="7" t="s">
        <v>46</v>
      </c>
      <c r="M932" s="18">
        <f t="shared" si="198"/>
        <v>5.6254759999999999E-3</v>
      </c>
      <c r="N932" s="7"/>
      <c r="O932" s="7"/>
      <c r="P932" s="7"/>
      <c r="Q932" s="7"/>
      <c r="R932" s="7"/>
      <c r="S932" s="7"/>
      <c r="T932" s="7"/>
    </row>
    <row r="933" spans="3:20" x14ac:dyDescent="0.25">
      <c r="C933" s="7"/>
      <c r="D933" s="7"/>
      <c r="E933" s="7" t="s">
        <v>19</v>
      </c>
      <c r="F933" s="7">
        <v>2055</v>
      </c>
      <c r="G933" s="8" t="s">
        <v>20</v>
      </c>
      <c r="H933" s="19" t="s">
        <v>75</v>
      </c>
      <c r="I933" s="7" t="s">
        <v>76</v>
      </c>
      <c r="J933" s="8"/>
      <c r="K933" s="7"/>
      <c r="L933" s="7" t="s">
        <v>46</v>
      </c>
      <c r="M933" s="18">
        <f t="shared" si="198"/>
        <v>5.6254759999999999E-3</v>
      </c>
      <c r="N933" s="7"/>
      <c r="O933" s="7"/>
      <c r="P933" s="7"/>
      <c r="Q933" s="7"/>
      <c r="R933" s="7"/>
      <c r="S933" s="7"/>
      <c r="T933" s="7"/>
    </row>
    <row r="934" spans="3:20" x14ac:dyDescent="0.25">
      <c r="C934" s="7"/>
      <c r="D934" s="7"/>
      <c r="E934" s="7" t="s">
        <v>19</v>
      </c>
      <c r="F934" s="7">
        <v>2010</v>
      </c>
      <c r="G934" s="8" t="s">
        <v>20</v>
      </c>
      <c r="H934" s="19" t="s">
        <v>75</v>
      </c>
      <c r="I934" s="7" t="s">
        <v>76</v>
      </c>
      <c r="J934" s="8"/>
      <c r="K934" s="7"/>
      <c r="L934" s="7" t="s">
        <v>47</v>
      </c>
      <c r="M934" s="18">
        <f>M910</f>
        <v>3.577855E-3</v>
      </c>
      <c r="N934" s="7"/>
      <c r="O934" s="7"/>
      <c r="P934" s="7"/>
      <c r="Q934" s="7"/>
      <c r="R934" s="7"/>
      <c r="S934" s="7"/>
      <c r="T934" s="7"/>
    </row>
    <row r="935" spans="3:20" x14ac:dyDescent="0.25">
      <c r="C935" s="7"/>
      <c r="D935" s="7"/>
      <c r="E935" s="7" t="s">
        <v>19</v>
      </c>
      <c r="F935" s="7">
        <v>2015</v>
      </c>
      <c r="G935" s="8" t="s">
        <v>20</v>
      </c>
      <c r="H935" s="19" t="s">
        <v>75</v>
      </c>
      <c r="I935" s="7" t="s">
        <v>76</v>
      </c>
      <c r="J935" s="8"/>
      <c r="K935" s="7"/>
      <c r="L935" s="7" t="s">
        <v>47</v>
      </c>
      <c r="M935" s="18">
        <f t="shared" ref="M935:M937" si="199">M911</f>
        <v>2.640019E-3</v>
      </c>
      <c r="N935" s="7"/>
      <c r="O935" s="7"/>
      <c r="P935" s="7"/>
      <c r="Q935" s="7"/>
      <c r="R935" s="7"/>
      <c r="S935" s="7"/>
      <c r="T935" s="7"/>
    </row>
    <row r="936" spans="3:20" x14ac:dyDescent="0.25">
      <c r="C936" s="7"/>
      <c r="D936" s="7"/>
      <c r="E936" s="7" t="s">
        <v>19</v>
      </c>
      <c r="F936" s="7">
        <v>2020</v>
      </c>
      <c r="G936" s="8" t="s">
        <v>20</v>
      </c>
      <c r="H936" s="19" t="s">
        <v>75</v>
      </c>
      <c r="I936" s="7" t="s">
        <v>76</v>
      </c>
      <c r="J936" s="8"/>
      <c r="K936" s="7"/>
      <c r="L936" s="7" t="s">
        <v>47</v>
      </c>
      <c r="M936" s="18">
        <f t="shared" si="199"/>
        <v>2.2380900000000003E-3</v>
      </c>
      <c r="N936" s="7"/>
      <c r="O936" s="7"/>
      <c r="P936" s="7"/>
      <c r="Q936" s="7"/>
      <c r="R936" s="7"/>
      <c r="S936" s="7"/>
      <c r="T936" s="7"/>
    </row>
    <row r="937" spans="3:20" x14ac:dyDescent="0.25">
      <c r="C937" s="7"/>
      <c r="D937" s="7"/>
      <c r="E937" s="7" t="s">
        <v>19</v>
      </c>
      <c r="F937" s="7">
        <v>2055</v>
      </c>
      <c r="G937" s="8" t="s">
        <v>20</v>
      </c>
      <c r="H937" s="19" t="s">
        <v>75</v>
      </c>
      <c r="I937" s="7" t="s">
        <v>76</v>
      </c>
      <c r="J937" s="8"/>
      <c r="K937" s="7"/>
      <c r="L937" s="7" t="s">
        <v>47</v>
      </c>
      <c r="M937" s="18">
        <f t="shared" si="199"/>
        <v>2.2380900000000003E-3</v>
      </c>
      <c r="N937" s="7"/>
      <c r="O937" s="7"/>
      <c r="P937" s="7"/>
      <c r="Q937" s="7"/>
      <c r="R937" s="7"/>
      <c r="S937" s="7"/>
      <c r="T937" s="7"/>
    </row>
    <row r="938" spans="3:20" x14ac:dyDescent="0.25">
      <c r="C938" s="7"/>
      <c r="D938" s="7"/>
      <c r="E938" s="7" t="s">
        <v>19</v>
      </c>
      <c r="F938" s="7">
        <v>2010</v>
      </c>
      <c r="G938" s="8" t="s">
        <v>20</v>
      </c>
      <c r="H938" s="19" t="s">
        <v>75</v>
      </c>
      <c r="I938" s="7" t="s">
        <v>76</v>
      </c>
      <c r="J938" s="8"/>
      <c r="K938" s="7"/>
      <c r="L938" s="7" t="s">
        <v>48</v>
      </c>
      <c r="M938" s="18">
        <f>M902</f>
        <v>1.7336600000000001E-3</v>
      </c>
      <c r="N938" s="7"/>
      <c r="O938" s="7"/>
      <c r="P938" s="7"/>
      <c r="Q938" s="7"/>
      <c r="R938" s="7"/>
      <c r="S938" s="7"/>
      <c r="T938" s="7"/>
    </row>
    <row r="939" spans="3:20" x14ac:dyDescent="0.25">
      <c r="C939" s="7"/>
      <c r="D939" s="7"/>
      <c r="E939" s="7" t="s">
        <v>19</v>
      </c>
      <c r="F939" s="7">
        <v>2015</v>
      </c>
      <c r="G939" s="8" t="s">
        <v>20</v>
      </c>
      <c r="H939" s="19" t="s">
        <v>75</v>
      </c>
      <c r="I939" s="7" t="s">
        <v>76</v>
      </c>
      <c r="J939" s="8"/>
      <c r="K939" s="7"/>
      <c r="L939" s="7" t="s">
        <v>48</v>
      </c>
      <c r="M939" s="18">
        <f t="shared" ref="M939:M941" si="200">M903</f>
        <v>1.4917260000000001E-3</v>
      </c>
      <c r="N939" s="7"/>
      <c r="O939" s="7"/>
      <c r="P939" s="7"/>
      <c r="Q939" s="7"/>
      <c r="R939" s="7"/>
      <c r="S939" s="7"/>
      <c r="T939" s="7"/>
    </row>
    <row r="940" spans="3:20" x14ac:dyDescent="0.25">
      <c r="C940" s="7"/>
      <c r="D940" s="7"/>
      <c r="E940" s="7" t="s">
        <v>19</v>
      </c>
      <c r="F940" s="7">
        <v>2020</v>
      </c>
      <c r="G940" s="8" t="s">
        <v>20</v>
      </c>
      <c r="H940" s="19" t="s">
        <v>75</v>
      </c>
      <c r="I940" s="7" t="s">
        <v>76</v>
      </c>
      <c r="J940" s="8"/>
      <c r="K940" s="7"/>
      <c r="L940" s="7" t="s">
        <v>48</v>
      </c>
      <c r="M940" s="18">
        <f t="shared" si="200"/>
        <v>1.402946E-3</v>
      </c>
      <c r="N940" s="7"/>
      <c r="O940" s="7"/>
      <c r="P940" s="7"/>
      <c r="Q940" s="7"/>
      <c r="R940" s="7"/>
      <c r="S940" s="7"/>
      <c r="T940" s="7"/>
    </row>
    <row r="941" spans="3:20" x14ac:dyDescent="0.25">
      <c r="C941" s="7"/>
      <c r="D941" s="7"/>
      <c r="E941" s="7" t="s">
        <v>19</v>
      </c>
      <c r="F941" s="7">
        <v>2055</v>
      </c>
      <c r="G941" s="8" t="s">
        <v>20</v>
      </c>
      <c r="H941" s="19" t="s">
        <v>75</v>
      </c>
      <c r="I941" s="7" t="s">
        <v>76</v>
      </c>
      <c r="J941" s="8"/>
      <c r="K941" s="7"/>
      <c r="L941" s="7" t="s">
        <v>48</v>
      </c>
      <c r="M941" s="18">
        <f t="shared" si="200"/>
        <v>1.402946E-3</v>
      </c>
      <c r="N941" s="7"/>
      <c r="O941" s="7"/>
      <c r="P941" s="7"/>
      <c r="Q941" s="7"/>
      <c r="R941" s="7"/>
      <c r="S941" s="7"/>
      <c r="T941" s="7"/>
    </row>
    <row r="942" spans="3:20" x14ac:dyDescent="0.25">
      <c r="C942" s="7"/>
      <c r="D942" s="7"/>
      <c r="E942" s="7" t="s">
        <v>19</v>
      </c>
      <c r="F942" s="7">
        <v>2010</v>
      </c>
      <c r="G942" s="8" t="s">
        <v>20</v>
      </c>
      <c r="H942" s="19" t="s">
        <v>75</v>
      </c>
      <c r="I942" s="7" t="s">
        <v>76</v>
      </c>
      <c r="J942" s="8"/>
      <c r="K942" s="7"/>
      <c r="L942" s="7" t="s">
        <v>49</v>
      </c>
      <c r="M942" s="7">
        <f>'Emissions - REF'!$C$40</f>
        <v>5.0055087690000004</v>
      </c>
      <c r="N942" s="7"/>
      <c r="O942" s="7"/>
      <c r="P942" s="7"/>
      <c r="Q942" s="7"/>
      <c r="R942" s="7"/>
      <c r="S942" s="7"/>
      <c r="T942" s="7"/>
    </row>
    <row r="943" spans="3:20" x14ac:dyDescent="0.25">
      <c r="C943" s="7"/>
      <c r="D943" s="7"/>
      <c r="E943" s="7" t="s">
        <v>19</v>
      </c>
      <c r="F943" s="7">
        <v>2015</v>
      </c>
      <c r="G943" s="8" t="s">
        <v>20</v>
      </c>
      <c r="H943" s="19" t="s">
        <v>75</v>
      </c>
      <c r="I943" s="7" t="s">
        <v>76</v>
      </c>
      <c r="J943" s="8"/>
      <c r="K943" s="7"/>
      <c r="L943" s="7" t="s">
        <v>49</v>
      </c>
      <c r="M943" s="7">
        <f>'Emissions - REF'!$D$40</f>
        <v>5.0055087690000004</v>
      </c>
      <c r="N943" s="7"/>
      <c r="O943" s="7"/>
      <c r="P943" s="7"/>
      <c r="Q943" s="7"/>
      <c r="R943" s="7"/>
      <c r="S943" s="7"/>
      <c r="T943" s="7"/>
    </row>
    <row r="944" spans="3:20" x14ac:dyDescent="0.25">
      <c r="C944" s="7"/>
      <c r="D944" s="7"/>
      <c r="E944" s="7" t="s">
        <v>19</v>
      </c>
      <c r="F944" s="7">
        <v>2020</v>
      </c>
      <c r="G944" s="8" t="s">
        <v>20</v>
      </c>
      <c r="H944" s="19" t="s">
        <v>75</v>
      </c>
      <c r="I944" s="7" t="s">
        <v>76</v>
      </c>
      <c r="J944" s="8"/>
      <c r="K944" s="7"/>
      <c r="L944" s="7" t="s">
        <v>49</v>
      </c>
      <c r="M944" s="7">
        <f>'Emissions - REF'!$E$40</f>
        <v>5.0055087690000004</v>
      </c>
      <c r="N944" s="7"/>
      <c r="O944" s="7"/>
      <c r="P944" s="7"/>
      <c r="Q944" s="7"/>
      <c r="R944" s="7"/>
      <c r="S944" s="7"/>
      <c r="T944" s="7"/>
    </row>
    <row r="945" spans="3:20" x14ac:dyDescent="0.25">
      <c r="C945" s="7"/>
      <c r="D945" s="7"/>
      <c r="E945" s="7" t="s">
        <v>19</v>
      </c>
      <c r="F945" s="7">
        <v>2055</v>
      </c>
      <c r="G945" s="8" t="s">
        <v>20</v>
      </c>
      <c r="H945" s="19" t="s">
        <v>75</v>
      </c>
      <c r="I945" s="7" t="s">
        <v>76</v>
      </c>
      <c r="J945" s="8"/>
      <c r="K945" s="7"/>
      <c r="L945" s="7" t="s">
        <v>49</v>
      </c>
      <c r="M945" s="7">
        <f>M944</f>
        <v>5.0055087690000004</v>
      </c>
      <c r="N945" s="7"/>
      <c r="O945" s="7"/>
      <c r="P945" s="7"/>
      <c r="Q945" s="7"/>
      <c r="R945" s="7"/>
      <c r="S945" s="7"/>
      <c r="T945" s="7"/>
    </row>
    <row r="946" spans="3:20" x14ac:dyDescent="0.25">
      <c r="C946" s="7"/>
      <c r="D946" s="7"/>
      <c r="E946" s="7" t="s">
        <v>19</v>
      </c>
      <c r="F946" s="7">
        <v>2010</v>
      </c>
      <c r="G946" s="8" t="s">
        <v>20</v>
      </c>
      <c r="H946" s="19" t="s">
        <v>75</v>
      </c>
      <c r="I946" s="7" t="s">
        <v>76</v>
      </c>
      <c r="J946" s="8"/>
      <c r="K946" s="7"/>
      <c r="L946" s="7" t="s">
        <v>50</v>
      </c>
      <c r="M946" s="18">
        <f>M930</f>
        <v>6.9174759999999997E-3</v>
      </c>
      <c r="N946" s="7"/>
      <c r="O946" s="7"/>
      <c r="P946" s="7"/>
      <c r="Q946" s="7"/>
      <c r="R946" s="7"/>
      <c r="S946" s="7"/>
      <c r="T946" s="7"/>
    </row>
    <row r="947" spans="3:20" x14ac:dyDescent="0.25">
      <c r="C947" s="7"/>
      <c r="D947" s="7"/>
      <c r="E947" s="7" t="s">
        <v>19</v>
      </c>
      <c r="F947" s="7">
        <v>2015</v>
      </c>
      <c r="G947" s="8" t="s">
        <v>20</v>
      </c>
      <c r="H947" s="19" t="s">
        <v>75</v>
      </c>
      <c r="I947" s="7" t="s">
        <v>76</v>
      </c>
      <c r="J947" s="8"/>
      <c r="K947" s="7"/>
      <c r="L947" s="7" t="s">
        <v>50</v>
      </c>
      <c r="M947" s="18">
        <f t="shared" ref="M947:M949" si="201">M931</f>
        <v>6.01345E-3</v>
      </c>
      <c r="N947" s="7"/>
      <c r="O947" s="7"/>
      <c r="P947" s="7"/>
      <c r="Q947" s="7"/>
      <c r="R947" s="7"/>
      <c r="S947" s="7"/>
      <c r="T947" s="7"/>
    </row>
    <row r="948" spans="3:20" x14ac:dyDescent="0.25">
      <c r="C948" s="7"/>
      <c r="D948" s="7"/>
      <c r="E948" s="7" t="s">
        <v>19</v>
      </c>
      <c r="F948" s="7">
        <v>2020</v>
      </c>
      <c r="G948" s="8" t="s">
        <v>20</v>
      </c>
      <c r="H948" s="19" t="s">
        <v>75</v>
      </c>
      <c r="I948" s="7" t="s">
        <v>76</v>
      </c>
      <c r="J948" s="8"/>
      <c r="K948" s="7"/>
      <c r="L948" s="7" t="s">
        <v>50</v>
      </c>
      <c r="M948" s="18">
        <f t="shared" si="201"/>
        <v>5.6254759999999999E-3</v>
      </c>
      <c r="N948" s="7"/>
      <c r="O948" s="7"/>
      <c r="P948" s="7"/>
      <c r="Q948" s="7"/>
      <c r="R948" s="7"/>
      <c r="S948" s="7"/>
      <c r="T948" s="7"/>
    </row>
    <row r="949" spans="3:20" x14ac:dyDescent="0.25">
      <c r="C949" s="7"/>
      <c r="D949" s="7"/>
      <c r="E949" s="7" t="s">
        <v>19</v>
      </c>
      <c r="F949" s="7">
        <v>2055</v>
      </c>
      <c r="G949" s="8" t="s">
        <v>20</v>
      </c>
      <c r="H949" s="19" t="s">
        <v>75</v>
      </c>
      <c r="I949" s="7" t="s">
        <v>76</v>
      </c>
      <c r="J949" s="8"/>
      <c r="K949" s="7"/>
      <c r="L949" s="7" t="s">
        <v>50</v>
      </c>
      <c r="M949" s="18">
        <f t="shared" si="201"/>
        <v>5.6254759999999999E-3</v>
      </c>
      <c r="N949" s="7"/>
      <c r="O949" s="7"/>
      <c r="P949" s="7"/>
      <c r="Q949" s="7"/>
      <c r="R949" s="7"/>
      <c r="S949" s="7"/>
      <c r="T949" s="7"/>
    </row>
    <row r="950" spans="3:20" x14ac:dyDescent="0.25">
      <c r="C950" s="15" t="s">
        <v>33</v>
      </c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 spans="3:20" x14ac:dyDescent="0.25">
      <c r="C951" s="7"/>
      <c r="D951" s="7"/>
      <c r="E951" s="7" t="s">
        <v>19</v>
      </c>
      <c r="F951" s="7">
        <v>2010</v>
      </c>
      <c r="G951" s="8" t="s">
        <v>20</v>
      </c>
      <c r="H951" s="19" t="s">
        <v>77</v>
      </c>
      <c r="I951" s="7" t="s">
        <v>78</v>
      </c>
      <c r="J951" s="8"/>
      <c r="K951" s="7"/>
      <c r="L951" s="7" t="s">
        <v>22</v>
      </c>
      <c r="M951" s="18">
        <f>M1007/1000</f>
        <v>2.2722135510000003E-3</v>
      </c>
      <c r="N951" s="7"/>
      <c r="O951" s="7"/>
      <c r="P951" s="7"/>
      <c r="Q951" s="7"/>
      <c r="R951" s="7"/>
      <c r="S951" s="7"/>
      <c r="T951" s="7"/>
    </row>
    <row r="952" spans="3:20" x14ac:dyDescent="0.25">
      <c r="C952" s="7"/>
      <c r="D952" s="7"/>
      <c r="E952" s="7" t="s">
        <v>19</v>
      </c>
      <c r="F952" s="7">
        <v>2015</v>
      </c>
      <c r="G952" s="8" t="s">
        <v>20</v>
      </c>
      <c r="H952" s="19" t="s">
        <v>77</v>
      </c>
      <c r="I952" s="7" t="s">
        <v>78</v>
      </c>
      <c r="J952" s="8"/>
      <c r="K952" s="7"/>
      <c r="L952" s="7" t="s">
        <v>22</v>
      </c>
      <c r="M952" s="18">
        <f t="shared" ref="M952:M954" si="202">M1008/1000</f>
        <v>2.2722135510000003E-3</v>
      </c>
      <c r="N952" s="7"/>
      <c r="O952" s="7"/>
      <c r="P952" s="7"/>
      <c r="Q952" s="7"/>
      <c r="R952" s="7"/>
      <c r="S952" s="7"/>
      <c r="T952" s="7"/>
    </row>
    <row r="953" spans="3:20" x14ac:dyDescent="0.25">
      <c r="C953" s="7"/>
      <c r="D953" s="7"/>
      <c r="E953" s="7" t="s">
        <v>19</v>
      </c>
      <c r="F953" s="7">
        <v>2020</v>
      </c>
      <c r="G953" s="8" t="s">
        <v>20</v>
      </c>
      <c r="H953" s="19" t="s">
        <v>77</v>
      </c>
      <c r="I953" s="7" t="s">
        <v>78</v>
      </c>
      <c r="J953" s="8"/>
      <c r="K953" s="7"/>
      <c r="L953" s="7" t="s">
        <v>22</v>
      </c>
      <c r="M953" s="18">
        <f t="shared" si="202"/>
        <v>2.2722135510000003E-3</v>
      </c>
      <c r="N953" s="7"/>
      <c r="O953" s="7"/>
      <c r="P953" s="7"/>
      <c r="Q953" s="7"/>
      <c r="R953" s="7"/>
      <c r="S953" s="7"/>
      <c r="T953" s="7"/>
    </row>
    <row r="954" spans="3:20" x14ac:dyDescent="0.25">
      <c r="C954" s="7"/>
      <c r="D954" s="7"/>
      <c r="E954" s="7" t="s">
        <v>19</v>
      </c>
      <c r="F954" s="7">
        <v>2055</v>
      </c>
      <c r="G954" s="8" t="s">
        <v>20</v>
      </c>
      <c r="H954" s="19" t="s">
        <v>77</v>
      </c>
      <c r="I954" s="7" t="s">
        <v>78</v>
      </c>
      <c r="J954" s="8"/>
      <c r="K954" s="7"/>
      <c r="L954" s="7" t="s">
        <v>22</v>
      </c>
      <c r="M954" s="18">
        <f t="shared" si="202"/>
        <v>2.2722135510000003E-3</v>
      </c>
      <c r="N954" s="7"/>
      <c r="O954" s="7"/>
      <c r="P954" s="7"/>
      <c r="Q954" s="7"/>
      <c r="R954" s="7"/>
      <c r="S954" s="7"/>
      <c r="T954" s="7"/>
    </row>
    <row r="955" spans="3:20" x14ac:dyDescent="0.25">
      <c r="C955" s="7"/>
      <c r="D955" s="7"/>
      <c r="E955" s="7" t="s">
        <v>19</v>
      </c>
      <c r="F955" s="7">
        <v>2010</v>
      </c>
      <c r="G955" s="8" t="s">
        <v>20</v>
      </c>
      <c r="H955" s="19" t="s">
        <v>77</v>
      </c>
      <c r="I955" s="7" t="s">
        <v>78</v>
      </c>
      <c r="J955" s="8"/>
      <c r="K955" s="7"/>
      <c r="L955" s="7" t="s">
        <v>23</v>
      </c>
      <c r="M955" s="18">
        <f>'Emissions - REF'!$C$84</f>
        <v>8.6203799999999998E-4</v>
      </c>
      <c r="N955" s="7"/>
      <c r="O955" s="7"/>
      <c r="P955" s="7"/>
      <c r="Q955" s="7"/>
      <c r="R955" s="7"/>
      <c r="S955" s="7"/>
      <c r="T955" s="7"/>
    </row>
    <row r="956" spans="3:20" x14ac:dyDescent="0.25">
      <c r="C956" s="7"/>
      <c r="D956" s="7"/>
      <c r="E956" s="7" t="s">
        <v>19</v>
      </c>
      <c r="F956" s="7">
        <v>2015</v>
      </c>
      <c r="G956" s="8" t="s">
        <v>20</v>
      </c>
      <c r="H956" s="19" t="s">
        <v>77</v>
      </c>
      <c r="I956" s="7" t="s">
        <v>78</v>
      </c>
      <c r="J956" s="8"/>
      <c r="K956" s="7"/>
      <c r="L956" s="7" t="s">
        <v>23</v>
      </c>
      <c r="M956" s="18">
        <f>'Emissions - REF'!$D$84</f>
        <v>8.6203799999999998E-4</v>
      </c>
      <c r="N956" s="7"/>
      <c r="O956" s="7"/>
      <c r="P956" s="7"/>
      <c r="Q956" s="7"/>
      <c r="R956" s="7"/>
      <c r="S956" s="7"/>
      <c r="T956" s="7"/>
    </row>
    <row r="957" spans="3:20" x14ac:dyDescent="0.25">
      <c r="C957" s="7"/>
      <c r="D957" s="7"/>
      <c r="E957" s="7" t="s">
        <v>19</v>
      </c>
      <c r="F957" s="7">
        <v>2020</v>
      </c>
      <c r="G957" s="8" t="s">
        <v>20</v>
      </c>
      <c r="H957" s="19" t="s">
        <v>77</v>
      </c>
      <c r="I957" s="7" t="s">
        <v>78</v>
      </c>
      <c r="J957" s="8"/>
      <c r="K957" s="7"/>
      <c r="L957" s="7" t="s">
        <v>23</v>
      </c>
      <c r="M957" s="18">
        <f>'Emissions - REF'!$E$84</f>
        <v>8.6203799999999998E-4</v>
      </c>
      <c r="N957" s="7"/>
      <c r="O957" s="7"/>
      <c r="P957" s="7"/>
      <c r="Q957" s="7"/>
      <c r="R957" s="7"/>
      <c r="S957" s="7"/>
      <c r="T957" s="7"/>
    </row>
    <row r="958" spans="3:20" x14ac:dyDescent="0.25">
      <c r="C958" s="7"/>
      <c r="D958" s="7"/>
      <c r="E958" s="7" t="s">
        <v>19</v>
      </c>
      <c r="F958" s="7">
        <v>2055</v>
      </c>
      <c r="G958" s="8" t="s">
        <v>20</v>
      </c>
      <c r="H958" s="19" t="s">
        <v>77</v>
      </c>
      <c r="I958" s="7" t="s">
        <v>78</v>
      </c>
      <c r="J958" s="8"/>
      <c r="K958" s="7"/>
      <c r="L958" s="7" t="s">
        <v>23</v>
      </c>
      <c r="M958" s="18">
        <f>M957</f>
        <v>8.6203799999999998E-4</v>
      </c>
      <c r="N958" s="7"/>
      <c r="O958" s="7"/>
      <c r="P958" s="7"/>
      <c r="Q958" s="7"/>
      <c r="R958" s="7"/>
      <c r="S958" s="7"/>
      <c r="T958" s="7"/>
    </row>
    <row r="959" spans="3:20" x14ac:dyDescent="0.25">
      <c r="C959" s="7"/>
      <c r="D959" s="7"/>
      <c r="E959" s="7" t="s">
        <v>19</v>
      </c>
      <c r="F959" s="7">
        <v>2010</v>
      </c>
      <c r="G959" s="8" t="s">
        <v>20</v>
      </c>
      <c r="H959" s="19" t="s">
        <v>77</v>
      </c>
      <c r="I959" s="7" t="s">
        <v>78</v>
      </c>
      <c r="J959" s="8"/>
      <c r="K959" s="7"/>
      <c r="L959" s="7" t="s">
        <v>24</v>
      </c>
      <c r="M959" s="18">
        <f>'Emissions - REF'!$C$85</f>
        <v>1.320295E-3</v>
      </c>
      <c r="N959" s="7"/>
      <c r="O959" s="7"/>
      <c r="P959" s="7"/>
      <c r="Q959" s="7"/>
      <c r="R959" s="7"/>
      <c r="S959" s="7"/>
      <c r="T959" s="7"/>
    </row>
    <row r="960" spans="3:20" x14ac:dyDescent="0.25">
      <c r="C960" s="7"/>
      <c r="D960" s="7"/>
      <c r="E960" s="7" t="s">
        <v>19</v>
      </c>
      <c r="F960" s="7">
        <v>2015</v>
      </c>
      <c r="G960" s="8" t="s">
        <v>20</v>
      </c>
      <c r="H960" s="19" t="s">
        <v>77</v>
      </c>
      <c r="I960" s="7" t="s">
        <v>78</v>
      </c>
      <c r="J960" s="8"/>
      <c r="K960" s="7"/>
      <c r="L960" s="7" t="s">
        <v>24</v>
      </c>
      <c r="M960" s="18">
        <f>'Emissions - REF'!$D$85</f>
        <v>1.320295E-3</v>
      </c>
      <c r="N960" s="7"/>
      <c r="O960" s="7"/>
      <c r="P960" s="7"/>
      <c r="Q960" s="7"/>
      <c r="R960" s="7"/>
      <c r="S960" s="7"/>
      <c r="T960" s="7"/>
    </row>
    <row r="961" spans="3:20" x14ac:dyDescent="0.25">
      <c r="C961" s="7"/>
      <c r="D961" s="7"/>
      <c r="E961" s="7" t="s">
        <v>19</v>
      </c>
      <c r="F961" s="7">
        <v>2020</v>
      </c>
      <c r="G961" s="8" t="s">
        <v>20</v>
      </c>
      <c r="H961" s="19" t="s">
        <v>77</v>
      </c>
      <c r="I961" s="7" t="s">
        <v>78</v>
      </c>
      <c r="J961" s="8"/>
      <c r="K961" s="7"/>
      <c r="L961" s="7" t="s">
        <v>24</v>
      </c>
      <c r="M961" s="18">
        <f>'Emissions - REF'!$E$85</f>
        <v>1.320295E-3</v>
      </c>
      <c r="N961" s="7"/>
      <c r="O961" s="7"/>
      <c r="P961" s="7"/>
      <c r="Q961" s="7"/>
      <c r="R961" s="7"/>
      <c r="S961" s="7"/>
      <c r="T961" s="7"/>
    </row>
    <row r="962" spans="3:20" x14ac:dyDescent="0.25">
      <c r="C962" s="7"/>
      <c r="D962" s="7"/>
      <c r="E962" s="7" t="s">
        <v>19</v>
      </c>
      <c r="F962" s="7">
        <v>2055</v>
      </c>
      <c r="G962" s="8" t="s">
        <v>20</v>
      </c>
      <c r="H962" s="19" t="s">
        <v>77</v>
      </c>
      <c r="I962" s="7" t="s">
        <v>78</v>
      </c>
      <c r="J962" s="8"/>
      <c r="K962" s="7"/>
      <c r="L962" s="7" t="s">
        <v>24</v>
      </c>
      <c r="M962" s="18">
        <f>M961</f>
        <v>1.320295E-3</v>
      </c>
      <c r="N962" s="7"/>
      <c r="O962" s="7"/>
      <c r="P962" s="7"/>
      <c r="Q962" s="7"/>
      <c r="R962" s="7"/>
      <c r="S962" s="7"/>
      <c r="T962" s="7"/>
    </row>
    <row r="963" spans="3:20" x14ac:dyDescent="0.25">
      <c r="C963" s="7"/>
      <c r="D963" s="7"/>
      <c r="E963" s="7" t="s">
        <v>19</v>
      </c>
      <c r="F963" s="7">
        <v>2010</v>
      </c>
      <c r="G963" s="8" t="s">
        <v>20</v>
      </c>
      <c r="H963" s="19" t="s">
        <v>77</v>
      </c>
      <c r="I963" s="7" t="s">
        <v>78</v>
      </c>
      <c r="J963" s="8"/>
      <c r="K963" s="7"/>
      <c r="L963" s="7" t="s">
        <v>25</v>
      </c>
      <c r="M963" s="18">
        <f>'Emissions - REF'!$C$86</f>
        <v>3.0219699999999997E-3</v>
      </c>
      <c r="N963" s="7"/>
      <c r="O963" s="7"/>
      <c r="P963" s="7"/>
      <c r="Q963" s="7"/>
      <c r="R963" s="7"/>
      <c r="S963" s="7"/>
      <c r="T963" s="7"/>
    </row>
    <row r="964" spans="3:20" x14ac:dyDescent="0.25">
      <c r="C964" s="7"/>
      <c r="D964" s="7"/>
      <c r="E964" s="7" t="s">
        <v>19</v>
      </c>
      <c r="F964" s="7">
        <v>2015</v>
      </c>
      <c r="G964" s="8" t="s">
        <v>20</v>
      </c>
      <c r="H964" s="19" t="s">
        <v>77</v>
      </c>
      <c r="I964" s="7" t="s">
        <v>78</v>
      </c>
      <c r="J964" s="8"/>
      <c r="K964" s="7"/>
      <c r="L964" s="7" t="s">
        <v>25</v>
      </c>
      <c r="M964" s="18">
        <f>'Emissions - REF'!$D$86</f>
        <v>2.6820859999999998E-3</v>
      </c>
      <c r="N964" s="7"/>
      <c r="O964" s="7"/>
      <c r="P964" s="7"/>
      <c r="Q964" s="7"/>
      <c r="R964" s="7"/>
      <c r="S964" s="7"/>
      <c r="T964" s="7"/>
    </row>
    <row r="965" spans="3:20" x14ac:dyDescent="0.25">
      <c r="C965" s="7"/>
      <c r="D965" s="7"/>
      <c r="E965" s="7" t="s">
        <v>19</v>
      </c>
      <c r="F965" s="7">
        <v>2020</v>
      </c>
      <c r="G965" s="8" t="s">
        <v>20</v>
      </c>
      <c r="H965" s="19" t="s">
        <v>77</v>
      </c>
      <c r="I965" s="7" t="s">
        <v>78</v>
      </c>
      <c r="J965" s="8"/>
      <c r="K965" s="7"/>
      <c r="L965" s="7" t="s">
        <v>25</v>
      </c>
      <c r="M965" s="18">
        <f>'Emissions - REF'!$E$86</f>
        <v>2.5373420000000002E-3</v>
      </c>
      <c r="N965" s="7"/>
      <c r="O965" s="7"/>
      <c r="P965" s="7"/>
      <c r="Q965" s="7"/>
      <c r="R965" s="7"/>
      <c r="S965" s="7"/>
      <c r="T965" s="7"/>
    </row>
    <row r="966" spans="3:20" x14ac:dyDescent="0.25">
      <c r="C966" s="7"/>
      <c r="D966" s="7"/>
      <c r="E966" s="7" t="s">
        <v>19</v>
      </c>
      <c r="F966" s="7">
        <v>2055</v>
      </c>
      <c r="G966" s="8" t="s">
        <v>20</v>
      </c>
      <c r="H966" s="19" t="s">
        <v>77</v>
      </c>
      <c r="I966" s="7" t="s">
        <v>78</v>
      </c>
      <c r="J966" s="8"/>
      <c r="K966" s="7"/>
      <c r="L966" s="7" t="s">
        <v>25</v>
      </c>
      <c r="M966" s="18">
        <f>M965</f>
        <v>2.5373420000000002E-3</v>
      </c>
      <c r="N966" s="7"/>
      <c r="O966" s="7"/>
      <c r="P966" s="7"/>
      <c r="Q966" s="7"/>
      <c r="R966" s="7"/>
      <c r="S966" s="7"/>
      <c r="T966" s="7"/>
    </row>
    <row r="967" spans="3:20" x14ac:dyDescent="0.25">
      <c r="C967" s="7"/>
      <c r="D967" s="7"/>
      <c r="E967" s="7" t="s">
        <v>19</v>
      </c>
      <c r="F967" s="7">
        <v>2010</v>
      </c>
      <c r="G967" s="8" t="s">
        <v>20</v>
      </c>
      <c r="H967" s="19" t="s">
        <v>77</v>
      </c>
      <c r="I967" s="7" t="s">
        <v>78</v>
      </c>
      <c r="J967" s="8"/>
      <c r="K967" s="7"/>
      <c r="L967" s="7" t="s">
        <v>26</v>
      </c>
      <c r="M967" s="18">
        <f>'Emissions - REF'!$C$87</f>
        <v>7.2457500000000009E-4</v>
      </c>
      <c r="N967" s="7"/>
      <c r="O967" s="7"/>
      <c r="P967" s="7"/>
      <c r="Q967" s="7"/>
      <c r="R967" s="7"/>
      <c r="S967" s="7"/>
      <c r="T967" s="7"/>
    </row>
    <row r="968" spans="3:20" x14ac:dyDescent="0.25">
      <c r="C968" s="7"/>
      <c r="D968" s="7"/>
      <c r="E968" s="7" t="s">
        <v>19</v>
      </c>
      <c r="F968" s="7">
        <v>2015</v>
      </c>
      <c r="G968" s="8" t="s">
        <v>20</v>
      </c>
      <c r="H968" s="19" t="s">
        <v>77</v>
      </c>
      <c r="I968" s="7" t="s">
        <v>78</v>
      </c>
      <c r="J968" s="8"/>
      <c r="K968" s="7"/>
      <c r="L968" s="7" t="s">
        <v>26</v>
      </c>
      <c r="M968" s="18">
        <f>'Emissions - REF'!$D$87</f>
        <v>6.44397E-4</v>
      </c>
      <c r="N968" s="7"/>
      <c r="O968" s="7"/>
      <c r="P968" s="7"/>
      <c r="Q968" s="7"/>
      <c r="R968" s="7"/>
      <c r="S968" s="7"/>
      <c r="T968" s="7"/>
    </row>
    <row r="969" spans="3:20" x14ac:dyDescent="0.25">
      <c r="C969" s="7"/>
      <c r="D969" s="7"/>
      <c r="E969" s="7" t="s">
        <v>19</v>
      </c>
      <c r="F969" s="7">
        <v>2020</v>
      </c>
      <c r="G969" s="8" t="s">
        <v>20</v>
      </c>
      <c r="H969" s="19" t="s">
        <v>77</v>
      </c>
      <c r="I969" s="7" t="s">
        <v>78</v>
      </c>
      <c r="J969" s="8"/>
      <c r="K969" s="7"/>
      <c r="L969" s="7" t="s">
        <v>26</v>
      </c>
      <c r="M969" s="18">
        <f>'Emissions - REF'!$E$87</f>
        <v>6.1744299999999996E-4</v>
      </c>
      <c r="N969" s="7"/>
      <c r="O969" s="7"/>
      <c r="P969" s="7"/>
      <c r="Q969" s="7"/>
      <c r="R969" s="7"/>
      <c r="S969" s="7"/>
      <c r="T969" s="7"/>
    </row>
    <row r="970" spans="3:20" x14ac:dyDescent="0.25">
      <c r="C970" s="7"/>
      <c r="D970" s="7"/>
      <c r="E970" s="7" t="s">
        <v>19</v>
      </c>
      <c r="F970" s="7">
        <v>2055</v>
      </c>
      <c r="G970" s="8" t="s">
        <v>20</v>
      </c>
      <c r="H970" s="19" t="s">
        <v>77</v>
      </c>
      <c r="I970" s="7" t="s">
        <v>78</v>
      </c>
      <c r="J970" s="8"/>
      <c r="K970" s="7"/>
      <c r="L970" s="7" t="s">
        <v>26</v>
      </c>
      <c r="M970" s="18">
        <f>M969</f>
        <v>6.1744299999999996E-4</v>
      </c>
      <c r="N970" s="7"/>
      <c r="O970" s="7"/>
      <c r="P970" s="7"/>
      <c r="Q970" s="7"/>
      <c r="R970" s="7"/>
      <c r="S970" s="7"/>
      <c r="T970" s="7"/>
    </row>
    <row r="971" spans="3:20" x14ac:dyDescent="0.25">
      <c r="C971" s="7"/>
      <c r="D971" s="7"/>
      <c r="E971" s="7" t="s">
        <v>19</v>
      </c>
      <c r="F971" s="7">
        <v>2010</v>
      </c>
      <c r="G971" s="8" t="s">
        <v>20</v>
      </c>
      <c r="H971" s="19" t="s">
        <v>77</v>
      </c>
      <c r="I971" s="7" t="s">
        <v>78</v>
      </c>
      <c r="J971" s="8"/>
      <c r="K971" s="7"/>
      <c r="L971" s="7" t="s">
        <v>27</v>
      </c>
      <c r="M971" s="18">
        <f>'Emissions - REF'!$C$88</f>
        <v>4.0297800000000002E-4</v>
      </c>
      <c r="N971" s="7"/>
      <c r="O971" s="7"/>
      <c r="P971" s="7"/>
      <c r="Q971" s="7"/>
      <c r="R971" s="7"/>
      <c r="S971" s="7"/>
      <c r="T971" s="7"/>
    </row>
    <row r="972" spans="3:20" x14ac:dyDescent="0.25">
      <c r="C972" s="7"/>
      <c r="D972" s="7"/>
      <c r="E972" s="7" t="s">
        <v>19</v>
      </c>
      <c r="F972" s="7">
        <v>2015</v>
      </c>
      <c r="G972" s="8" t="s">
        <v>20</v>
      </c>
      <c r="H972" s="19" t="s">
        <v>77</v>
      </c>
      <c r="I972" s="7" t="s">
        <v>78</v>
      </c>
      <c r="J972" s="8"/>
      <c r="K972" s="7"/>
      <c r="L972" s="7" t="s">
        <v>27</v>
      </c>
      <c r="M972" s="18">
        <f>'Emissions - REF'!$D$88</f>
        <v>3.75888E-4</v>
      </c>
      <c r="N972" s="7"/>
      <c r="O972" s="7"/>
      <c r="P972" s="7"/>
      <c r="Q972" s="7"/>
      <c r="R972" s="7"/>
      <c r="S972" s="7"/>
      <c r="T972" s="7"/>
    </row>
    <row r="973" spans="3:20" x14ac:dyDescent="0.25">
      <c r="C973" s="7"/>
      <c r="D973" s="7"/>
      <c r="E973" s="7" t="s">
        <v>19</v>
      </c>
      <c r="F973" s="7">
        <v>2020</v>
      </c>
      <c r="G973" s="8" t="s">
        <v>20</v>
      </c>
      <c r="H973" s="19" t="s">
        <v>77</v>
      </c>
      <c r="I973" s="7" t="s">
        <v>78</v>
      </c>
      <c r="J973" s="8"/>
      <c r="K973" s="7"/>
      <c r="L973" s="7" t="s">
        <v>27</v>
      </c>
      <c r="M973" s="18">
        <f>'Emissions - REF'!$E$88</f>
        <v>3.4914800000000003E-4</v>
      </c>
      <c r="N973" s="7"/>
      <c r="O973" s="7"/>
      <c r="P973" s="7"/>
      <c r="Q973" s="7"/>
      <c r="R973" s="7"/>
      <c r="S973" s="7"/>
      <c r="T973" s="7"/>
    </row>
    <row r="974" spans="3:20" x14ac:dyDescent="0.25">
      <c r="C974" s="7"/>
      <c r="D974" s="7"/>
      <c r="E974" s="7" t="s">
        <v>19</v>
      </c>
      <c r="F974" s="7">
        <v>2055</v>
      </c>
      <c r="G974" s="8" t="s">
        <v>20</v>
      </c>
      <c r="H974" s="19" t="s">
        <v>77</v>
      </c>
      <c r="I974" s="7" t="s">
        <v>78</v>
      </c>
      <c r="J974" s="8"/>
      <c r="K974" s="7"/>
      <c r="L974" s="7" t="s">
        <v>27</v>
      </c>
      <c r="M974" s="18">
        <f>M973</f>
        <v>3.4914800000000003E-4</v>
      </c>
      <c r="N974" s="7"/>
      <c r="O974" s="7"/>
      <c r="P974" s="7"/>
      <c r="Q974" s="7"/>
      <c r="R974" s="7"/>
      <c r="S974" s="7"/>
      <c r="T974" s="7"/>
    </row>
    <row r="975" spans="3:20" x14ac:dyDescent="0.25">
      <c r="C975" s="7"/>
      <c r="D975" s="7"/>
      <c r="E975" s="7" t="s">
        <v>19</v>
      </c>
      <c r="F975" s="7">
        <v>2010</v>
      </c>
      <c r="G975" s="8" t="s">
        <v>20</v>
      </c>
      <c r="H975" s="19" t="s">
        <v>77</v>
      </c>
      <c r="I975" s="7" t="s">
        <v>78</v>
      </c>
      <c r="J975" s="8"/>
      <c r="K975" s="7"/>
      <c r="L975" s="7" t="s">
        <v>28</v>
      </c>
      <c r="M975" s="18">
        <f>'Emissions - REF'!$C$89</f>
        <v>2.6361500000000003E-3</v>
      </c>
      <c r="N975" s="7"/>
      <c r="O975" s="7"/>
      <c r="P975" s="7"/>
      <c r="Q975" s="7"/>
      <c r="R975" s="7"/>
      <c r="S975" s="7"/>
      <c r="T975" s="7"/>
    </row>
    <row r="976" spans="3:20" x14ac:dyDescent="0.25">
      <c r="C976" s="7"/>
      <c r="D976" s="7"/>
      <c r="E976" s="7" t="s">
        <v>19</v>
      </c>
      <c r="F976" s="7">
        <v>2015</v>
      </c>
      <c r="G976" s="8" t="s">
        <v>20</v>
      </c>
      <c r="H976" s="19" t="s">
        <v>77</v>
      </c>
      <c r="I976" s="7" t="s">
        <v>78</v>
      </c>
      <c r="J976" s="8"/>
      <c r="K976" s="7"/>
      <c r="L976" s="7" t="s">
        <v>28</v>
      </c>
      <c r="M976" s="18">
        <f>'Emissions - REF'!$D$89</f>
        <v>2.26735E-3</v>
      </c>
      <c r="N976" s="7"/>
      <c r="O976" s="7"/>
      <c r="P976" s="7"/>
      <c r="Q976" s="7"/>
      <c r="R976" s="7"/>
      <c r="S976" s="7"/>
      <c r="T976" s="7"/>
    </row>
    <row r="977" spans="3:20" x14ac:dyDescent="0.25">
      <c r="C977" s="7"/>
      <c r="D977" s="7"/>
      <c r="E977" s="7" t="s">
        <v>19</v>
      </c>
      <c r="F977" s="7">
        <v>2020</v>
      </c>
      <c r="G977" s="8" t="s">
        <v>20</v>
      </c>
      <c r="H977" s="19" t="s">
        <v>77</v>
      </c>
      <c r="I977" s="7" t="s">
        <v>78</v>
      </c>
      <c r="J977" s="8"/>
      <c r="K977" s="7"/>
      <c r="L977" s="7" t="s">
        <v>28</v>
      </c>
      <c r="M977" s="18">
        <f>'Emissions - REF'!$E$89</f>
        <v>2.1092929999999999E-3</v>
      </c>
      <c r="N977" s="7"/>
      <c r="O977" s="7"/>
      <c r="P977" s="7"/>
      <c r="Q977" s="7"/>
      <c r="R977" s="7"/>
      <c r="S977" s="7"/>
      <c r="T977" s="7"/>
    </row>
    <row r="978" spans="3:20" x14ac:dyDescent="0.25">
      <c r="C978" s="7"/>
      <c r="D978" s="7"/>
      <c r="E978" s="7" t="s">
        <v>19</v>
      </c>
      <c r="F978" s="7">
        <v>2055</v>
      </c>
      <c r="G978" s="8" t="s">
        <v>20</v>
      </c>
      <c r="H978" s="19" t="s">
        <v>77</v>
      </c>
      <c r="I978" s="7" t="s">
        <v>78</v>
      </c>
      <c r="J978" s="8"/>
      <c r="K978" s="7"/>
      <c r="L978" s="7" t="s">
        <v>28</v>
      </c>
      <c r="M978" s="18">
        <f>M977</f>
        <v>2.1092929999999999E-3</v>
      </c>
      <c r="N978" s="7"/>
      <c r="O978" s="7"/>
      <c r="P978" s="7"/>
      <c r="Q978" s="7"/>
      <c r="R978" s="7"/>
      <c r="S978" s="7"/>
      <c r="T978" s="7"/>
    </row>
    <row r="979" spans="3:20" x14ac:dyDescent="0.25">
      <c r="C979" s="7"/>
      <c r="D979" s="7"/>
      <c r="E979" s="7" t="s">
        <v>19</v>
      </c>
      <c r="F979" s="7">
        <v>2010</v>
      </c>
      <c r="G979" s="8" t="s">
        <v>20</v>
      </c>
      <c r="H979" s="19" t="s">
        <v>77</v>
      </c>
      <c r="I979" s="7" t="s">
        <v>78</v>
      </c>
      <c r="J979" s="8"/>
      <c r="K979" s="7"/>
      <c r="L979" s="7" t="s">
        <v>29</v>
      </c>
      <c r="M979" s="18">
        <f>'Emissions - REF'!$C$90</f>
        <v>6.9129000000000008E-5</v>
      </c>
      <c r="N979" s="7"/>
      <c r="O979" s="7"/>
      <c r="P979" s="7"/>
      <c r="Q979" s="7"/>
      <c r="R979" s="7"/>
      <c r="S979" s="7"/>
      <c r="T979" s="7"/>
    </row>
    <row r="980" spans="3:20" x14ac:dyDescent="0.25">
      <c r="C980" s="7"/>
      <c r="D980" s="7"/>
      <c r="E980" s="7" t="s">
        <v>19</v>
      </c>
      <c r="F980" s="7">
        <v>2015</v>
      </c>
      <c r="G980" s="8" t="s">
        <v>20</v>
      </c>
      <c r="H980" s="19" t="s">
        <v>77</v>
      </c>
      <c r="I980" s="7" t="s">
        <v>78</v>
      </c>
      <c r="J980" s="8"/>
      <c r="K980" s="7"/>
      <c r="L980" s="7" t="s">
        <v>29</v>
      </c>
      <c r="M980" s="18">
        <f>'Emissions - REF'!$D$90</f>
        <v>6.9129000000000008E-5</v>
      </c>
      <c r="N980" s="7"/>
      <c r="O980" s="7"/>
      <c r="P980" s="7"/>
      <c r="Q980" s="7"/>
      <c r="R980" s="7"/>
      <c r="S980" s="7"/>
      <c r="T980" s="7"/>
    </row>
    <row r="981" spans="3:20" x14ac:dyDescent="0.25">
      <c r="C981" s="7"/>
      <c r="D981" s="7"/>
      <c r="E981" s="7" t="s">
        <v>19</v>
      </c>
      <c r="F981" s="7">
        <v>2020</v>
      </c>
      <c r="G981" s="8" t="s">
        <v>20</v>
      </c>
      <c r="H981" s="19" t="s">
        <v>77</v>
      </c>
      <c r="I981" s="7" t="s">
        <v>78</v>
      </c>
      <c r="J981" s="8"/>
      <c r="K981" s="7"/>
      <c r="L981" s="7" t="s">
        <v>29</v>
      </c>
      <c r="M981" s="18">
        <f>'Emissions - REF'!$E$90</f>
        <v>6.9129000000000008E-5</v>
      </c>
      <c r="N981" s="7"/>
      <c r="O981" s="7"/>
      <c r="P981" s="7"/>
      <c r="Q981" s="7"/>
      <c r="R981" s="7"/>
      <c r="S981" s="7"/>
      <c r="T981" s="7"/>
    </row>
    <row r="982" spans="3:20" x14ac:dyDescent="0.25">
      <c r="C982" s="7"/>
      <c r="D982" s="7"/>
      <c r="E982" s="7" t="s">
        <v>19</v>
      </c>
      <c r="F982" s="7">
        <v>2055</v>
      </c>
      <c r="G982" s="8" t="s">
        <v>20</v>
      </c>
      <c r="H982" s="19" t="s">
        <v>77</v>
      </c>
      <c r="I982" s="7" t="s">
        <v>78</v>
      </c>
      <c r="J982" s="8"/>
      <c r="K982" s="7"/>
      <c r="L982" s="7" t="s">
        <v>29</v>
      </c>
      <c r="M982" s="18">
        <f>M981</f>
        <v>6.9129000000000008E-5</v>
      </c>
      <c r="N982" s="7"/>
      <c r="O982" s="7"/>
      <c r="P982" s="7"/>
      <c r="Q982" s="7"/>
      <c r="R982" s="7"/>
      <c r="S982" s="7"/>
      <c r="T982" s="7"/>
    </row>
    <row r="983" spans="3:20" x14ac:dyDescent="0.25">
      <c r="C983" s="7"/>
      <c r="D983" s="7"/>
      <c r="E983" s="7" t="s">
        <v>19</v>
      </c>
      <c r="F983" s="7">
        <v>2010</v>
      </c>
      <c r="G983" s="8" t="s">
        <v>20</v>
      </c>
      <c r="H983" s="19" t="s">
        <v>77</v>
      </c>
      <c r="I983" s="7" t="s">
        <v>78</v>
      </c>
      <c r="J983" s="8"/>
      <c r="K983" s="7"/>
      <c r="L983" s="7" t="s">
        <v>30</v>
      </c>
      <c r="M983" s="18">
        <f>'Emissions - REF'!$C$91</f>
        <v>3.7039000000000002E-5</v>
      </c>
      <c r="N983" s="7"/>
      <c r="O983" s="7"/>
      <c r="P983" s="7"/>
      <c r="Q983" s="7"/>
      <c r="R983" s="7"/>
      <c r="S983" s="7"/>
      <c r="T983" s="7"/>
    </row>
    <row r="984" spans="3:20" x14ac:dyDescent="0.25">
      <c r="C984" s="7"/>
      <c r="D984" s="7"/>
      <c r="E984" s="7" t="s">
        <v>19</v>
      </c>
      <c r="F984" s="7">
        <v>2015</v>
      </c>
      <c r="G984" s="8" t="s">
        <v>20</v>
      </c>
      <c r="H984" s="19" t="s">
        <v>77</v>
      </c>
      <c r="I984" s="7" t="s">
        <v>78</v>
      </c>
      <c r="J984" s="8"/>
      <c r="K984" s="7"/>
      <c r="L984" s="7" t="s">
        <v>30</v>
      </c>
      <c r="M984" s="18">
        <f>'Emissions - REF'!$D$91</f>
        <v>3.7039000000000002E-5</v>
      </c>
      <c r="N984" s="7"/>
      <c r="O984" s="7"/>
      <c r="P984" s="7"/>
      <c r="Q984" s="7"/>
      <c r="R984" s="7"/>
      <c r="S984" s="7"/>
      <c r="T984" s="7"/>
    </row>
    <row r="985" spans="3:20" x14ac:dyDescent="0.25">
      <c r="C985" s="7"/>
      <c r="D985" s="7"/>
      <c r="E985" s="7" t="s">
        <v>19</v>
      </c>
      <c r="F985" s="7">
        <v>2020</v>
      </c>
      <c r="G985" s="8" t="s">
        <v>20</v>
      </c>
      <c r="H985" s="19" t="s">
        <v>77</v>
      </c>
      <c r="I985" s="7" t="s">
        <v>78</v>
      </c>
      <c r="J985" s="8"/>
      <c r="K985" s="7"/>
      <c r="L985" s="7" t="s">
        <v>30</v>
      </c>
      <c r="M985" s="18">
        <f>'Emissions - REF'!$E$91</f>
        <v>3.7039000000000002E-5</v>
      </c>
      <c r="N985" s="7"/>
      <c r="O985" s="7"/>
      <c r="P985" s="7"/>
      <c r="Q985" s="7"/>
      <c r="R985" s="7"/>
      <c r="S985" s="7"/>
      <c r="T985" s="7"/>
    </row>
    <row r="986" spans="3:20" x14ac:dyDescent="0.25">
      <c r="C986" s="7"/>
      <c r="D986" s="7"/>
      <c r="E986" s="7" t="s">
        <v>19</v>
      </c>
      <c r="F986" s="7">
        <v>2055</v>
      </c>
      <c r="G986" s="8" t="s">
        <v>20</v>
      </c>
      <c r="H986" s="19" t="s">
        <v>77</v>
      </c>
      <c r="I986" s="7" t="s">
        <v>78</v>
      </c>
      <c r="J986" s="8"/>
      <c r="K986" s="7"/>
      <c r="L986" s="7" t="s">
        <v>30</v>
      </c>
      <c r="M986" s="18">
        <f>M985</f>
        <v>3.7039000000000002E-5</v>
      </c>
      <c r="N986" s="7"/>
      <c r="O986" s="7"/>
      <c r="P986" s="7"/>
      <c r="Q986" s="7"/>
      <c r="R986" s="7"/>
      <c r="S986" s="7"/>
      <c r="T986" s="7"/>
    </row>
    <row r="987" spans="3:20" x14ac:dyDescent="0.25">
      <c r="C987" s="7"/>
      <c r="D987" s="7"/>
      <c r="E987" s="7" t="s">
        <v>19</v>
      </c>
      <c r="F987" s="7">
        <v>2010</v>
      </c>
      <c r="G987" s="8" t="s">
        <v>20</v>
      </c>
      <c r="H987" s="19" t="s">
        <v>77</v>
      </c>
      <c r="I987" s="7" t="s">
        <v>78</v>
      </c>
      <c r="J987" s="8"/>
      <c r="K987" s="7"/>
      <c r="L987" s="7" t="s">
        <v>31</v>
      </c>
      <c r="M987" s="7">
        <v>1E-4</v>
      </c>
      <c r="N987" s="7"/>
      <c r="O987" s="7"/>
      <c r="P987" s="7"/>
      <c r="Q987" s="7"/>
      <c r="R987" s="7"/>
      <c r="S987" s="7"/>
      <c r="T987" s="7"/>
    </row>
    <row r="988" spans="3:20" x14ac:dyDescent="0.25">
      <c r="C988" s="7"/>
      <c r="D988" s="7"/>
      <c r="E988" s="7" t="s">
        <v>19</v>
      </c>
      <c r="F988" s="7">
        <v>2015</v>
      </c>
      <c r="G988" s="8" t="s">
        <v>20</v>
      </c>
      <c r="H988" s="19" t="s">
        <v>77</v>
      </c>
      <c r="I988" s="7" t="s">
        <v>78</v>
      </c>
      <c r="J988" s="8"/>
      <c r="K988" s="7"/>
      <c r="L988" s="7" t="s">
        <v>31</v>
      </c>
      <c r="M988" s="7">
        <f>M987</f>
        <v>1E-4</v>
      </c>
      <c r="N988" s="7"/>
      <c r="O988" s="7"/>
      <c r="P988" s="7"/>
      <c r="Q988" s="7"/>
      <c r="R988" s="7"/>
      <c r="S988" s="7"/>
      <c r="T988" s="7"/>
    </row>
    <row r="989" spans="3:20" x14ac:dyDescent="0.25">
      <c r="C989" s="7"/>
      <c r="D989" s="7"/>
      <c r="E989" s="7" t="s">
        <v>19</v>
      </c>
      <c r="F989" s="7">
        <v>2020</v>
      </c>
      <c r="G989" s="8" t="s">
        <v>20</v>
      </c>
      <c r="H989" s="19" t="s">
        <v>77</v>
      </c>
      <c r="I989" s="7" t="s">
        <v>78</v>
      </c>
      <c r="J989" s="8"/>
      <c r="K989" s="7"/>
      <c r="L989" s="7" t="s">
        <v>31</v>
      </c>
      <c r="M989" s="7">
        <f t="shared" ref="M989:M990" si="203">M988</f>
        <v>1E-4</v>
      </c>
      <c r="N989" s="7"/>
      <c r="O989" s="7"/>
      <c r="P989" s="7"/>
      <c r="Q989" s="7"/>
      <c r="R989" s="7"/>
      <c r="S989" s="7"/>
      <c r="T989" s="7"/>
    </row>
    <row r="990" spans="3:20" x14ac:dyDescent="0.25">
      <c r="C990" s="7"/>
      <c r="D990" s="7"/>
      <c r="E990" s="7" t="s">
        <v>19</v>
      </c>
      <c r="F990" s="7">
        <v>2055</v>
      </c>
      <c r="G990" s="8" t="s">
        <v>20</v>
      </c>
      <c r="H990" s="19" t="s">
        <v>77</v>
      </c>
      <c r="I990" s="7" t="s">
        <v>78</v>
      </c>
      <c r="J990" s="8"/>
      <c r="K990" s="7"/>
      <c r="L990" s="7" t="s">
        <v>31</v>
      </c>
      <c r="M990" s="7">
        <f t="shared" si="203"/>
        <v>1E-4</v>
      </c>
      <c r="N990" s="7"/>
      <c r="O990" s="7"/>
      <c r="P990" s="7"/>
      <c r="Q990" s="7"/>
      <c r="R990" s="7"/>
      <c r="S990" s="7"/>
      <c r="T990" s="7"/>
    </row>
    <row r="991" spans="3:20" x14ac:dyDescent="0.25">
      <c r="C991" s="7"/>
      <c r="D991" s="7"/>
      <c r="E991" s="7" t="s">
        <v>19</v>
      </c>
      <c r="F991" s="7">
        <v>2010</v>
      </c>
      <c r="G991" s="8" t="s">
        <v>20</v>
      </c>
      <c r="H991" s="19" t="s">
        <v>77</v>
      </c>
      <c r="I991" s="7" t="s">
        <v>78</v>
      </c>
      <c r="J991" s="8"/>
      <c r="K991" s="7"/>
      <c r="L991" s="7" t="s">
        <v>32</v>
      </c>
      <c r="M991" s="7">
        <v>2.0000000000000001E-4</v>
      </c>
      <c r="N991" s="7"/>
      <c r="O991" s="7"/>
      <c r="P991" s="7"/>
      <c r="Q991" s="7"/>
      <c r="R991" s="7"/>
      <c r="S991" s="7"/>
      <c r="T991" s="7"/>
    </row>
    <row r="992" spans="3:20" x14ac:dyDescent="0.25">
      <c r="C992" s="7"/>
      <c r="D992" s="7"/>
      <c r="E992" s="7" t="s">
        <v>19</v>
      </c>
      <c r="F992" s="7">
        <v>2015</v>
      </c>
      <c r="G992" s="8" t="s">
        <v>20</v>
      </c>
      <c r="H992" s="19" t="s">
        <v>77</v>
      </c>
      <c r="I992" s="7" t="s">
        <v>78</v>
      </c>
      <c r="J992" s="8"/>
      <c r="K992" s="7"/>
      <c r="L992" s="7" t="s">
        <v>32</v>
      </c>
      <c r="M992" s="7">
        <f>M991</f>
        <v>2.0000000000000001E-4</v>
      </c>
      <c r="N992" s="7"/>
      <c r="O992" s="7"/>
      <c r="P992" s="7"/>
      <c r="Q992" s="7"/>
      <c r="R992" s="7"/>
      <c r="S992" s="7"/>
      <c r="T992" s="7"/>
    </row>
    <row r="993" spans="3:20" x14ac:dyDescent="0.25">
      <c r="C993" s="7"/>
      <c r="D993" s="7"/>
      <c r="E993" s="7" t="s">
        <v>19</v>
      </c>
      <c r="F993" s="7">
        <v>2020</v>
      </c>
      <c r="G993" s="8" t="s">
        <v>20</v>
      </c>
      <c r="H993" s="19" t="s">
        <v>77</v>
      </c>
      <c r="I993" s="7" t="s">
        <v>78</v>
      </c>
      <c r="J993" s="8"/>
      <c r="K993" s="7"/>
      <c r="L993" s="7" t="s">
        <v>32</v>
      </c>
      <c r="M993" s="7">
        <f t="shared" ref="M993:M994" si="204">M992</f>
        <v>2.0000000000000001E-4</v>
      </c>
      <c r="N993" s="7"/>
      <c r="O993" s="7"/>
      <c r="P993" s="7"/>
      <c r="Q993" s="7"/>
      <c r="R993" s="7"/>
      <c r="S993" s="7"/>
      <c r="T993" s="7"/>
    </row>
    <row r="994" spans="3:20" x14ac:dyDescent="0.25">
      <c r="C994" s="7"/>
      <c r="D994" s="7"/>
      <c r="E994" s="7" t="s">
        <v>19</v>
      </c>
      <c r="F994" s="7">
        <v>2055</v>
      </c>
      <c r="G994" s="8" t="s">
        <v>20</v>
      </c>
      <c r="H994" s="19" t="s">
        <v>77</v>
      </c>
      <c r="I994" s="7" t="s">
        <v>78</v>
      </c>
      <c r="J994" s="8"/>
      <c r="K994" s="7"/>
      <c r="L994" s="7" t="s">
        <v>32</v>
      </c>
      <c r="M994" s="7">
        <f t="shared" si="204"/>
        <v>2.0000000000000001E-4</v>
      </c>
      <c r="N994" s="7"/>
      <c r="O994" s="7"/>
      <c r="P994" s="7"/>
      <c r="Q994" s="7"/>
      <c r="R994" s="7"/>
      <c r="S994" s="7"/>
      <c r="T994" s="7"/>
    </row>
    <row r="995" spans="3:20" x14ac:dyDescent="0.25">
      <c r="C995" s="7"/>
      <c r="D995" s="7"/>
      <c r="E995" s="7" t="s">
        <v>19</v>
      </c>
      <c r="F995" s="7">
        <v>2010</v>
      </c>
      <c r="G995" s="8" t="s">
        <v>20</v>
      </c>
      <c r="H995" s="19" t="s">
        <v>77</v>
      </c>
      <c r="I995" s="7" t="s">
        <v>78</v>
      </c>
      <c r="J995" s="8"/>
      <c r="K995" s="7"/>
      <c r="L995" s="7" t="s">
        <v>46</v>
      </c>
      <c r="M995" s="18">
        <f>M963</f>
        <v>3.0219699999999997E-3</v>
      </c>
      <c r="N995" s="7"/>
      <c r="O995" s="7"/>
      <c r="P995" s="7"/>
      <c r="Q995" s="7"/>
      <c r="R995" s="7"/>
      <c r="S995" s="7"/>
      <c r="T995" s="7"/>
    </row>
    <row r="996" spans="3:20" x14ac:dyDescent="0.25">
      <c r="C996" s="7"/>
      <c r="D996" s="7"/>
      <c r="E996" s="7" t="s">
        <v>19</v>
      </c>
      <c r="F996" s="7">
        <v>2015</v>
      </c>
      <c r="G996" s="8" t="s">
        <v>20</v>
      </c>
      <c r="H996" s="19" t="s">
        <v>77</v>
      </c>
      <c r="I996" s="7" t="s">
        <v>78</v>
      </c>
      <c r="J996" s="8"/>
      <c r="K996" s="7"/>
      <c r="L996" s="7" t="s">
        <v>46</v>
      </c>
      <c r="M996" s="18">
        <f t="shared" ref="M996:M998" si="205">M964</f>
        <v>2.6820859999999998E-3</v>
      </c>
      <c r="N996" s="7"/>
      <c r="O996" s="7"/>
      <c r="P996" s="7"/>
      <c r="Q996" s="7"/>
      <c r="R996" s="7"/>
      <c r="S996" s="7"/>
      <c r="T996" s="7"/>
    </row>
    <row r="997" spans="3:20" x14ac:dyDescent="0.25">
      <c r="C997" s="7"/>
      <c r="D997" s="7"/>
      <c r="E997" s="7" t="s">
        <v>19</v>
      </c>
      <c r="F997" s="7">
        <v>2020</v>
      </c>
      <c r="G997" s="8" t="s">
        <v>20</v>
      </c>
      <c r="H997" s="19" t="s">
        <v>77</v>
      </c>
      <c r="I997" s="7" t="s">
        <v>78</v>
      </c>
      <c r="J997" s="8"/>
      <c r="K997" s="7"/>
      <c r="L997" s="7" t="s">
        <v>46</v>
      </c>
      <c r="M997" s="18">
        <f t="shared" si="205"/>
        <v>2.5373420000000002E-3</v>
      </c>
      <c r="N997" s="7"/>
      <c r="O997" s="7"/>
      <c r="P997" s="7"/>
      <c r="Q997" s="7"/>
      <c r="R997" s="7"/>
      <c r="S997" s="7"/>
      <c r="T997" s="7"/>
    </row>
    <row r="998" spans="3:20" x14ac:dyDescent="0.25">
      <c r="C998" s="7"/>
      <c r="D998" s="7"/>
      <c r="E998" s="7" t="s">
        <v>19</v>
      </c>
      <c r="F998" s="7">
        <v>2055</v>
      </c>
      <c r="G998" s="8" t="s">
        <v>20</v>
      </c>
      <c r="H998" s="19" t="s">
        <v>77</v>
      </c>
      <c r="I998" s="7" t="s">
        <v>78</v>
      </c>
      <c r="J998" s="8"/>
      <c r="K998" s="7"/>
      <c r="L998" s="7" t="s">
        <v>46</v>
      </c>
      <c r="M998" s="18">
        <f t="shared" si="205"/>
        <v>2.5373420000000002E-3</v>
      </c>
      <c r="N998" s="7"/>
      <c r="O998" s="7"/>
      <c r="P998" s="7"/>
      <c r="Q998" s="7"/>
      <c r="R998" s="7"/>
      <c r="S998" s="7"/>
      <c r="T998" s="7"/>
    </row>
    <row r="999" spans="3:20" x14ac:dyDescent="0.25">
      <c r="C999" s="7"/>
      <c r="D999" s="7"/>
      <c r="E999" s="7" t="s">
        <v>19</v>
      </c>
      <c r="F999" s="7">
        <v>2010</v>
      </c>
      <c r="G999" s="8" t="s">
        <v>20</v>
      </c>
      <c r="H999" s="19" t="s">
        <v>77</v>
      </c>
      <c r="I999" s="7" t="s">
        <v>78</v>
      </c>
      <c r="J999" s="8"/>
      <c r="K999" s="7"/>
      <c r="L999" s="7" t="s">
        <v>47</v>
      </c>
      <c r="M999" s="18">
        <f>M975</f>
        <v>2.6361500000000003E-3</v>
      </c>
      <c r="N999" s="7"/>
      <c r="O999" s="7"/>
      <c r="P999" s="7"/>
      <c r="Q999" s="7"/>
      <c r="R999" s="7"/>
      <c r="S999" s="7"/>
      <c r="T999" s="7"/>
    </row>
    <row r="1000" spans="3:20" x14ac:dyDescent="0.25">
      <c r="C1000" s="7"/>
      <c r="D1000" s="7"/>
      <c r="E1000" s="7" t="s">
        <v>19</v>
      </c>
      <c r="F1000" s="7">
        <v>2015</v>
      </c>
      <c r="G1000" s="8" t="s">
        <v>20</v>
      </c>
      <c r="H1000" s="19" t="s">
        <v>77</v>
      </c>
      <c r="I1000" s="7" t="s">
        <v>78</v>
      </c>
      <c r="J1000" s="8"/>
      <c r="K1000" s="7"/>
      <c r="L1000" s="7" t="s">
        <v>47</v>
      </c>
      <c r="M1000" s="18">
        <f t="shared" ref="M1000:M1002" si="206">M976</f>
        <v>2.26735E-3</v>
      </c>
      <c r="N1000" s="7"/>
      <c r="O1000" s="7"/>
      <c r="P1000" s="7"/>
      <c r="Q1000" s="7"/>
      <c r="R1000" s="7"/>
      <c r="S1000" s="7"/>
      <c r="T1000" s="7"/>
    </row>
    <row r="1001" spans="3:20" x14ac:dyDescent="0.25">
      <c r="C1001" s="7"/>
      <c r="D1001" s="7"/>
      <c r="E1001" s="7" t="s">
        <v>19</v>
      </c>
      <c r="F1001" s="7">
        <v>2020</v>
      </c>
      <c r="G1001" s="8" t="s">
        <v>20</v>
      </c>
      <c r="H1001" s="19" t="s">
        <v>77</v>
      </c>
      <c r="I1001" s="7" t="s">
        <v>78</v>
      </c>
      <c r="J1001" s="8"/>
      <c r="K1001" s="7"/>
      <c r="L1001" s="7" t="s">
        <v>47</v>
      </c>
      <c r="M1001" s="18">
        <f t="shared" si="206"/>
        <v>2.1092929999999999E-3</v>
      </c>
      <c r="N1001" s="7"/>
      <c r="O1001" s="7"/>
      <c r="P1001" s="7"/>
      <c r="Q1001" s="7"/>
      <c r="R1001" s="7"/>
      <c r="S1001" s="7"/>
      <c r="T1001" s="7"/>
    </row>
    <row r="1002" spans="3:20" x14ac:dyDescent="0.25">
      <c r="C1002" s="7"/>
      <c r="D1002" s="7"/>
      <c r="E1002" s="7" t="s">
        <v>19</v>
      </c>
      <c r="F1002" s="7">
        <v>2055</v>
      </c>
      <c r="G1002" s="8" t="s">
        <v>20</v>
      </c>
      <c r="H1002" s="19" t="s">
        <v>77</v>
      </c>
      <c r="I1002" s="7" t="s">
        <v>78</v>
      </c>
      <c r="J1002" s="8"/>
      <c r="K1002" s="7"/>
      <c r="L1002" s="7" t="s">
        <v>47</v>
      </c>
      <c r="M1002" s="18">
        <f t="shared" si="206"/>
        <v>2.1092929999999999E-3</v>
      </c>
      <c r="N1002" s="7"/>
      <c r="O1002" s="7"/>
      <c r="P1002" s="7"/>
      <c r="Q1002" s="7"/>
      <c r="R1002" s="7"/>
      <c r="S1002" s="7"/>
      <c r="T1002" s="7"/>
    </row>
    <row r="1003" spans="3:20" x14ac:dyDescent="0.25">
      <c r="C1003" s="7"/>
      <c r="D1003" s="7"/>
      <c r="E1003" s="7" t="s">
        <v>19</v>
      </c>
      <c r="F1003" s="7">
        <v>2010</v>
      </c>
      <c r="G1003" s="8" t="s">
        <v>20</v>
      </c>
      <c r="H1003" s="19" t="s">
        <v>77</v>
      </c>
      <c r="I1003" s="7" t="s">
        <v>78</v>
      </c>
      <c r="J1003" s="8"/>
      <c r="K1003" s="7"/>
      <c r="L1003" s="7" t="s">
        <v>48</v>
      </c>
      <c r="M1003" s="18">
        <f>M967</f>
        <v>7.2457500000000009E-4</v>
      </c>
      <c r="N1003" s="7"/>
      <c r="O1003" s="7"/>
      <c r="P1003" s="7"/>
      <c r="Q1003" s="7"/>
      <c r="R1003" s="7"/>
      <c r="S1003" s="7"/>
      <c r="T1003" s="7"/>
    </row>
    <row r="1004" spans="3:20" x14ac:dyDescent="0.25">
      <c r="C1004" s="7"/>
      <c r="D1004" s="7"/>
      <c r="E1004" s="7" t="s">
        <v>19</v>
      </c>
      <c r="F1004" s="7">
        <v>2015</v>
      </c>
      <c r="G1004" s="8" t="s">
        <v>20</v>
      </c>
      <c r="H1004" s="19" t="s">
        <v>77</v>
      </c>
      <c r="I1004" s="7" t="s">
        <v>78</v>
      </c>
      <c r="J1004" s="8"/>
      <c r="K1004" s="7"/>
      <c r="L1004" s="7" t="s">
        <v>48</v>
      </c>
      <c r="M1004" s="18">
        <f t="shared" ref="M1004:M1006" si="207">M968</f>
        <v>6.44397E-4</v>
      </c>
      <c r="N1004" s="7"/>
      <c r="O1004" s="7"/>
      <c r="P1004" s="7"/>
      <c r="Q1004" s="7"/>
      <c r="R1004" s="7"/>
      <c r="S1004" s="7"/>
      <c r="T1004" s="7"/>
    </row>
    <row r="1005" spans="3:20" x14ac:dyDescent="0.25">
      <c r="C1005" s="7"/>
      <c r="D1005" s="7"/>
      <c r="E1005" s="7" t="s">
        <v>19</v>
      </c>
      <c r="F1005" s="7">
        <v>2020</v>
      </c>
      <c r="G1005" s="8" t="s">
        <v>20</v>
      </c>
      <c r="H1005" s="19" t="s">
        <v>77</v>
      </c>
      <c r="I1005" s="7" t="s">
        <v>78</v>
      </c>
      <c r="J1005" s="8"/>
      <c r="K1005" s="7"/>
      <c r="L1005" s="7" t="s">
        <v>48</v>
      </c>
      <c r="M1005" s="18">
        <f t="shared" si="207"/>
        <v>6.1744299999999996E-4</v>
      </c>
      <c r="N1005" s="7"/>
      <c r="O1005" s="7"/>
      <c r="P1005" s="7"/>
      <c r="Q1005" s="7"/>
      <c r="R1005" s="7"/>
      <c r="S1005" s="7"/>
      <c r="T1005" s="7"/>
    </row>
    <row r="1006" spans="3:20" x14ac:dyDescent="0.25">
      <c r="C1006" s="7"/>
      <c r="D1006" s="7"/>
      <c r="E1006" s="7" t="s">
        <v>19</v>
      </c>
      <c r="F1006" s="7">
        <v>2055</v>
      </c>
      <c r="G1006" s="8" t="s">
        <v>20</v>
      </c>
      <c r="H1006" s="19" t="s">
        <v>77</v>
      </c>
      <c r="I1006" s="7" t="s">
        <v>78</v>
      </c>
      <c r="J1006" s="8"/>
      <c r="K1006" s="7"/>
      <c r="L1006" s="7" t="s">
        <v>48</v>
      </c>
      <c r="M1006" s="18">
        <f t="shared" si="207"/>
        <v>6.1744299999999996E-4</v>
      </c>
      <c r="N1006" s="7"/>
      <c r="O1006" s="7"/>
      <c r="P1006" s="7"/>
      <c r="Q1006" s="7"/>
      <c r="R1006" s="7"/>
      <c r="S1006" s="7"/>
      <c r="T1006" s="7"/>
    </row>
    <row r="1007" spans="3:20" x14ac:dyDescent="0.25">
      <c r="C1007" s="7"/>
      <c r="D1007" s="7"/>
      <c r="E1007" s="7" t="s">
        <v>19</v>
      </c>
      <c r="F1007" s="7">
        <v>2010</v>
      </c>
      <c r="G1007" s="8" t="s">
        <v>20</v>
      </c>
      <c r="H1007" s="19" t="s">
        <v>77</v>
      </c>
      <c r="I1007" s="7" t="s">
        <v>78</v>
      </c>
      <c r="J1007" s="8"/>
      <c r="K1007" s="7"/>
      <c r="L1007" s="7" t="s">
        <v>49</v>
      </c>
      <c r="M1007" s="7">
        <f>'Emissions - REF'!$C$92</f>
        <v>2.2722135510000001</v>
      </c>
      <c r="N1007" s="7"/>
      <c r="O1007" s="7"/>
      <c r="P1007" s="7"/>
      <c r="Q1007" s="7"/>
      <c r="R1007" s="7"/>
      <c r="S1007" s="7"/>
      <c r="T1007" s="7"/>
    </row>
    <row r="1008" spans="3:20" x14ac:dyDescent="0.25">
      <c r="C1008" s="7"/>
      <c r="D1008" s="7"/>
      <c r="E1008" s="7" t="s">
        <v>19</v>
      </c>
      <c r="F1008" s="7">
        <v>2015</v>
      </c>
      <c r="G1008" s="8" t="s">
        <v>20</v>
      </c>
      <c r="H1008" s="19" t="s">
        <v>77</v>
      </c>
      <c r="I1008" s="7" t="s">
        <v>78</v>
      </c>
      <c r="J1008" s="8"/>
      <c r="K1008" s="7"/>
      <c r="L1008" s="7" t="s">
        <v>49</v>
      </c>
      <c r="M1008" s="7">
        <f>'Emissions - REF'!$D$92</f>
        <v>2.2722135510000001</v>
      </c>
      <c r="N1008" s="7"/>
      <c r="O1008" s="7"/>
      <c r="P1008" s="7"/>
      <c r="Q1008" s="7"/>
      <c r="R1008" s="7"/>
      <c r="S1008" s="7"/>
      <c r="T1008" s="7"/>
    </row>
    <row r="1009" spans="3:20" x14ac:dyDescent="0.25">
      <c r="C1009" s="7"/>
      <c r="D1009" s="7"/>
      <c r="E1009" s="7" t="s">
        <v>19</v>
      </c>
      <c r="F1009" s="7">
        <v>2020</v>
      </c>
      <c r="G1009" s="8" t="s">
        <v>20</v>
      </c>
      <c r="H1009" s="19" t="s">
        <v>77</v>
      </c>
      <c r="I1009" s="7" t="s">
        <v>78</v>
      </c>
      <c r="J1009" s="8"/>
      <c r="K1009" s="7"/>
      <c r="L1009" s="7" t="s">
        <v>49</v>
      </c>
      <c r="M1009" s="7">
        <f>'Emissions - REF'!$E$92</f>
        <v>2.2722135510000001</v>
      </c>
      <c r="N1009" s="7"/>
      <c r="O1009" s="7"/>
      <c r="P1009" s="7"/>
      <c r="Q1009" s="7"/>
      <c r="R1009" s="7"/>
      <c r="S1009" s="7"/>
      <c r="T1009" s="7"/>
    </row>
    <row r="1010" spans="3:20" x14ac:dyDescent="0.25">
      <c r="C1010" s="7"/>
      <c r="D1010" s="7"/>
      <c r="E1010" s="7" t="s">
        <v>19</v>
      </c>
      <c r="F1010" s="7">
        <v>2055</v>
      </c>
      <c r="G1010" s="8" t="s">
        <v>20</v>
      </c>
      <c r="H1010" s="19" t="s">
        <v>77</v>
      </c>
      <c r="I1010" s="7" t="s">
        <v>78</v>
      </c>
      <c r="J1010" s="8"/>
      <c r="K1010" s="7"/>
      <c r="L1010" s="7" t="s">
        <v>49</v>
      </c>
      <c r="M1010" s="7">
        <f>M1009</f>
        <v>2.2722135510000001</v>
      </c>
      <c r="N1010" s="7"/>
      <c r="O1010" s="7"/>
      <c r="P1010" s="7"/>
      <c r="Q1010" s="7"/>
      <c r="R1010" s="7"/>
      <c r="S1010" s="7"/>
      <c r="T1010" s="7"/>
    </row>
    <row r="1011" spans="3:20" x14ac:dyDescent="0.25">
      <c r="C1011" s="7"/>
      <c r="D1011" s="7"/>
      <c r="E1011" s="7" t="s">
        <v>19</v>
      </c>
      <c r="F1011" s="7">
        <v>2010</v>
      </c>
      <c r="G1011" s="8" t="s">
        <v>20</v>
      </c>
      <c r="H1011" s="19" t="s">
        <v>77</v>
      </c>
      <c r="I1011" s="7" t="s">
        <v>78</v>
      </c>
      <c r="J1011" s="8"/>
      <c r="K1011" s="7"/>
      <c r="L1011" s="7" t="s">
        <v>50</v>
      </c>
      <c r="M1011" s="18">
        <f>M995</f>
        <v>3.0219699999999997E-3</v>
      </c>
      <c r="N1011" s="7"/>
      <c r="O1011" s="7"/>
      <c r="P1011" s="7"/>
      <c r="Q1011" s="7"/>
      <c r="R1011" s="7"/>
      <c r="S1011" s="7"/>
      <c r="T1011" s="7"/>
    </row>
    <row r="1012" spans="3:20" x14ac:dyDescent="0.25">
      <c r="C1012" s="7"/>
      <c r="D1012" s="7"/>
      <c r="E1012" s="7" t="s">
        <v>19</v>
      </c>
      <c r="F1012" s="7">
        <v>2015</v>
      </c>
      <c r="G1012" s="8" t="s">
        <v>20</v>
      </c>
      <c r="H1012" s="19" t="s">
        <v>77</v>
      </c>
      <c r="I1012" s="7" t="s">
        <v>78</v>
      </c>
      <c r="J1012" s="8"/>
      <c r="K1012" s="7"/>
      <c r="L1012" s="7" t="s">
        <v>50</v>
      </c>
      <c r="M1012" s="18">
        <f t="shared" ref="M1012:M1014" si="208">M996</f>
        <v>2.6820859999999998E-3</v>
      </c>
      <c r="N1012" s="7"/>
      <c r="O1012" s="7"/>
      <c r="P1012" s="7"/>
      <c r="Q1012" s="7"/>
      <c r="R1012" s="7"/>
      <c r="S1012" s="7"/>
      <c r="T1012" s="7"/>
    </row>
    <row r="1013" spans="3:20" x14ac:dyDescent="0.25">
      <c r="C1013" s="7"/>
      <c r="D1013" s="7"/>
      <c r="E1013" s="7" t="s">
        <v>19</v>
      </c>
      <c r="F1013" s="7">
        <v>2020</v>
      </c>
      <c r="G1013" s="8" t="s">
        <v>20</v>
      </c>
      <c r="H1013" s="19" t="s">
        <v>77</v>
      </c>
      <c r="I1013" s="7" t="s">
        <v>78</v>
      </c>
      <c r="J1013" s="8"/>
      <c r="K1013" s="7"/>
      <c r="L1013" s="7" t="s">
        <v>50</v>
      </c>
      <c r="M1013" s="18">
        <f t="shared" si="208"/>
        <v>2.5373420000000002E-3</v>
      </c>
      <c r="N1013" s="7"/>
      <c r="O1013" s="7"/>
      <c r="P1013" s="7"/>
      <c r="Q1013" s="7"/>
      <c r="R1013" s="7"/>
      <c r="S1013" s="7"/>
      <c r="T1013" s="7"/>
    </row>
    <row r="1014" spans="3:20" x14ac:dyDescent="0.25">
      <c r="C1014" s="7"/>
      <c r="D1014" s="7"/>
      <c r="E1014" s="7" t="s">
        <v>19</v>
      </c>
      <c r="F1014" s="7">
        <v>2055</v>
      </c>
      <c r="G1014" s="8" t="s">
        <v>20</v>
      </c>
      <c r="H1014" s="19" t="s">
        <v>77</v>
      </c>
      <c r="I1014" s="7" t="s">
        <v>78</v>
      </c>
      <c r="J1014" s="8"/>
      <c r="K1014" s="7"/>
      <c r="L1014" s="7" t="s">
        <v>50</v>
      </c>
      <c r="M1014" s="18">
        <f t="shared" si="208"/>
        <v>2.5373420000000002E-3</v>
      </c>
      <c r="N1014" s="7"/>
      <c r="O1014" s="7"/>
      <c r="P1014" s="7"/>
      <c r="Q1014" s="7"/>
      <c r="R1014" s="7"/>
      <c r="S1014" s="7"/>
      <c r="T1014" s="7"/>
    </row>
    <row r="1015" spans="3:20" x14ac:dyDescent="0.25">
      <c r="C1015" s="15" t="s">
        <v>33</v>
      </c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</row>
    <row r="1016" spans="3:20" x14ac:dyDescent="0.25">
      <c r="C1016" s="7"/>
      <c r="D1016" s="7"/>
      <c r="E1016" s="7" t="s">
        <v>19</v>
      </c>
      <c r="F1016" s="7">
        <v>2010</v>
      </c>
      <c r="G1016" s="8" t="s">
        <v>20</v>
      </c>
      <c r="H1016" s="19" t="s">
        <v>79</v>
      </c>
      <c r="I1016" s="7" t="s">
        <v>80</v>
      </c>
      <c r="J1016" s="8"/>
      <c r="K1016" s="7"/>
      <c r="L1016" s="7" t="s">
        <v>22</v>
      </c>
      <c r="M1016" s="18">
        <f>M1072/1000</f>
        <v>5.0055087690000005E-3</v>
      </c>
      <c r="N1016" s="7"/>
      <c r="O1016" s="7"/>
      <c r="P1016" s="7"/>
      <c r="Q1016" s="7"/>
      <c r="R1016" s="7"/>
      <c r="S1016" s="7"/>
      <c r="T1016" s="7"/>
    </row>
    <row r="1017" spans="3:20" x14ac:dyDescent="0.25">
      <c r="C1017" s="7"/>
      <c r="D1017" s="7"/>
      <c r="E1017" s="7" t="s">
        <v>19</v>
      </c>
      <c r="F1017" s="7">
        <v>2015</v>
      </c>
      <c r="G1017" s="8" t="s">
        <v>20</v>
      </c>
      <c r="H1017" s="19" t="s">
        <v>79</v>
      </c>
      <c r="I1017" s="7" t="s">
        <v>80</v>
      </c>
      <c r="J1017" s="8"/>
      <c r="K1017" s="7"/>
      <c r="L1017" s="7" t="s">
        <v>22</v>
      </c>
      <c r="M1017" s="18">
        <f t="shared" ref="M1017:M1019" si="209">M1073/1000</f>
        <v>5.0055087690000005E-3</v>
      </c>
      <c r="N1017" s="7"/>
      <c r="O1017" s="7"/>
      <c r="P1017" s="7"/>
      <c r="Q1017" s="7"/>
      <c r="R1017" s="7"/>
      <c r="S1017" s="7"/>
      <c r="T1017" s="7"/>
    </row>
    <row r="1018" spans="3:20" x14ac:dyDescent="0.25">
      <c r="C1018" s="7"/>
      <c r="D1018" s="7"/>
      <c r="E1018" s="7" t="s">
        <v>19</v>
      </c>
      <c r="F1018" s="7">
        <v>2020</v>
      </c>
      <c r="G1018" s="8" t="s">
        <v>20</v>
      </c>
      <c r="H1018" s="19" t="s">
        <v>79</v>
      </c>
      <c r="I1018" s="7" t="s">
        <v>80</v>
      </c>
      <c r="J1018" s="8"/>
      <c r="K1018" s="7"/>
      <c r="L1018" s="7" t="s">
        <v>22</v>
      </c>
      <c r="M1018" s="18">
        <f t="shared" si="209"/>
        <v>5.0055087690000005E-3</v>
      </c>
      <c r="N1018" s="7"/>
      <c r="O1018" s="7"/>
      <c r="P1018" s="7"/>
      <c r="Q1018" s="7"/>
      <c r="R1018" s="7"/>
      <c r="S1018" s="7"/>
      <c r="T1018" s="7"/>
    </row>
    <row r="1019" spans="3:20" x14ac:dyDescent="0.25">
      <c r="C1019" s="7"/>
      <c r="D1019" s="7"/>
      <c r="E1019" s="7" t="s">
        <v>19</v>
      </c>
      <c r="F1019" s="7">
        <v>2055</v>
      </c>
      <c r="G1019" s="8" t="s">
        <v>20</v>
      </c>
      <c r="H1019" s="19" t="s">
        <v>79</v>
      </c>
      <c r="I1019" s="7" t="s">
        <v>80</v>
      </c>
      <c r="J1019" s="8"/>
      <c r="K1019" s="7"/>
      <c r="L1019" s="7" t="s">
        <v>22</v>
      </c>
      <c r="M1019" s="18">
        <f t="shared" si="209"/>
        <v>5.0055087690000005E-3</v>
      </c>
      <c r="N1019" s="7"/>
      <c r="O1019" s="7"/>
      <c r="P1019" s="7"/>
      <c r="Q1019" s="7"/>
      <c r="R1019" s="7"/>
      <c r="S1019" s="7"/>
      <c r="T1019" s="7"/>
    </row>
    <row r="1020" spans="3:20" x14ac:dyDescent="0.25">
      <c r="C1020" s="7"/>
      <c r="D1020" s="7"/>
      <c r="E1020" s="7" t="s">
        <v>19</v>
      </c>
      <c r="F1020" s="7">
        <v>2010</v>
      </c>
      <c r="G1020" s="8" t="s">
        <v>20</v>
      </c>
      <c r="H1020" s="19" t="s">
        <v>79</v>
      </c>
      <c r="I1020" s="7" t="s">
        <v>80</v>
      </c>
      <c r="J1020" s="8"/>
      <c r="K1020" s="7"/>
      <c r="L1020" s="7" t="s">
        <v>23</v>
      </c>
      <c r="M1020" s="18">
        <f>'Emissions - REF'!$C$32</f>
        <v>1.30362E-4</v>
      </c>
      <c r="N1020" s="7"/>
      <c r="O1020" s="7"/>
      <c r="P1020" s="7"/>
      <c r="Q1020" s="7"/>
      <c r="R1020" s="7"/>
      <c r="S1020" s="7"/>
      <c r="T1020" s="7"/>
    </row>
    <row r="1021" spans="3:20" x14ac:dyDescent="0.25">
      <c r="C1021" s="7"/>
      <c r="D1021" s="7"/>
      <c r="E1021" s="7" t="s">
        <v>19</v>
      </c>
      <c r="F1021" s="7">
        <v>2015</v>
      </c>
      <c r="G1021" s="8" t="s">
        <v>20</v>
      </c>
      <c r="H1021" s="19" t="s">
        <v>79</v>
      </c>
      <c r="I1021" s="7" t="s">
        <v>80</v>
      </c>
      <c r="J1021" s="8"/>
      <c r="K1021" s="7"/>
      <c r="L1021" s="7" t="s">
        <v>23</v>
      </c>
      <c r="M1021" s="18">
        <f>'Emissions - REF'!$D$32</f>
        <v>1.30362E-4</v>
      </c>
      <c r="N1021" s="7"/>
      <c r="O1021" s="7"/>
      <c r="P1021" s="7"/>
      <c r="Q1021" s="7"/>
      <c r="R1021" s="7"/>
      <c r="S1021" s="7"/>
      <c r="T1021" s="7"/>
    </row>
    <row r="1022" spans="3:20" x14ac:dyDescent="0.25">
      <c r="C1022" s="7"/>
      <c r="D1022" s="7"/>
      <c r="E1022" s="7" t="s">
        <v>19</v>
      </c>
      <c r="F1022" s="7">
        <v>2020</v>
      </c>
      <c r="G1022" s="8" t="s">
        <v>20</v>
      </c>
      <c r="H1022" s="19" t="s">
        <v>79</v>
      </c>
      <c r="I1022" s="7" t="s">
        <v>80</v>
      </c>
      <c r="J1022" s="8"/>
      <c r="K1022" s="7"/>
      <c r="L1022" s="7" t="s">
        <v>23</v>
      </c>
      <c r="M1022" s="18">
        <f>'Emissions - REF'!$E$32</f>
        <v>1.30362E-4</v>
      </c>
      <c r="N1022" s="7"/>
      <c r="O1022" s="7"/>
      <c r="P1022" s="7"/>
      <c r="Q1022" s="7"/>
      <c r="R1022" s="7"/>
      <c r="S1022" s="7"/>
      <c r="T1022" s="7"/>
    </row>
    <row r="1023" spans="3:20" x14ac:dyDescent="0.25">
      <c r="C1023" s="7"/>
      <c r="D1023" s="7"/>
      <c r="E1023" s="7" t="s">
        <v>19</v>
      </c>
      <c r="F1023" s="7">
        <v>2055</v>
      </c>
      <c r="G1023" s="8" t="s">
        <v>20</v>
      </c>
      <c r="H1023" s="19" t="s">
        <v>79</v>
      </c>
      <c r="I1023" s="7" t="s">
        <v>80</v>
      </c>
      <c r="J1023" s="8"/>
      <c r="K1023" s="7"/>
      <c r="L1023" s="7" t="s">
        <v>23</v>
      </c>
      <c r="M1023" s="18">
        <f>M1022</f>
        <v>1.30362E-4</v>
      </c>
      <c r="N1023" s="7"/>
      <c r="O1023" s="7"/>
      <c r="P1023" s="7"/>
      <c r="Q1023" s="7"/>
      <c r="R1023" s="7"/>
      <c r="S1023" s="7"/>
      <c r="T1023" s="7"/>
    </row>
    <row r="1024" spans="3:20" x14ac:dyDescent="0.25">
      <c r="C1024" s="7"/>
      <c r="D1024" s="7"/>
      <c r="E1024" s="7" t="s">
        <v>19</v>
      </c>
      <c r="F1024" s="7">
        <v>2010</v>
      </c>
      <c r="G1024" s="8" t="s">
        <v>20</v>
      </c>
      <c r="H1024" s="19" t="s">
        <v>79</v>
      </c>
      <c r="I1024" s="7" t="s">
        <v>80</v>
      </c>
      <c r="J1024" s="8"/>
      <c r="K1024" s="7"/>
      <c r="L1024" s="7" t="s">
        <v>24</v>
      </c>
      <c r="M1024" s="18">
        <f>'Emissions - REF'!$C$33</f>
        <v>2.375158E-3</v>
      </c>
      <c r="N1024" s="7"/>
      <c r="O1024" s="7"/>
      <c r="P1024" s="7"/>
      <c r="Q1024" s="7"/>
      <c r="R1024" s="7"/>
      <c r="S1024" s="7"/>
      <c r="T1024" s="7"/>
    </row>
    <row r="1025" spans="3:20" x14ac:dyDescent="0.25">
      <c r="C1025" s="7"/>
      <c r="D1025" s="7"/>
      <c r="E1025" s="7" t="s">
        <v>19</v>
      </c>
      <c r="F1025" s="7">
        <v>2015</v>
      </c>
      <c r="G1025" s="8" t="s">
        <v>20</v>
      </c>
      <c r="H1025" s="19" t="s">
        <v>79</v>
      </c>
      <c r="I1025" s="7" t="s">
        <v>80</v>
      </c>
      <c r="J1025" s="8"/>
      <c r="K1025" s="7"/>
      <c r="L1025" s="7" t="s">
        <v>24</v>
      </c>
      <c r="M1025" s="18">
        <f>'Emissions - REF'!$D$33</f>
        <v>2.375158E-3</v>
      </c>
      <c r="N1025" s="7"/>
      <c r="O1025" s="7"/>
      <c r="P1025" s="7"/>
      <c r="Q1025" s="7"/>
      <c r="R1025" s="7"/>
      <c r="S1025" s="7"/>
      <c r="T1025" s="7"/>
    </row>
    <row r="1026" spans="3:20" x14ac:dyDescent="0.25">
      <c r="C1026" s="7"/>
      <c r="D1026" s="7"/>
      <c r="E1026" s="7" t="s">
        <v>19</v>
      </c>
      <c r="F1026" s="7">
        <v>2020</v>
      </c>
      <c r="G1026" s="8" t="s">
        <v>20</v>
      </c>
      <c r="H1026" s="19" t="s">
        <v>79</v>
      </c>
      <c r="I1026" s="7" t="s">
        <v>80</v>
      </c>
      <c r="J1026" s="8"/>
      <c r="K1026" s="7"/>
      <c r="L1026" s="7" t="s">
        <v>24</v>
      </c>
      <c r="M1026" s="18">
        <f>'Emissions - REF'!$E$33</f>
        <v>2.375158E-3</v>
      </c>
      <c r="N1026" s="7"/>
      <c r="O1026" s="7"/>
      <c r="P1026" s="7"/>
      <c r="Q1026" s="7"/>
      <c r="R1026" s="7"/>
      <c r="S1026" s="7"/>
      <c r="T1026" s="7"/>
    </row>
    <row r="1027" spans="3:20" x14ac:dyDescent="0.25">
      <c r="C1027" s="7"/>
      <c r="D1027" s="7"/>
      <c r="E1027" s="7" t="s">
        <v>19</v>
      </c>
      <c r="F1027" s="7">
        <v>2055</v>
      </c>
      <c r="G1027" s="8" t="s">
        <v>20</v>
      </c>
      <c r="H1027" s="19" t="s">
        <v>79</v>
      </c>
      <c r="I1027" s="7" t="s">
        <v>80</v>
      </c>
      <c r="J1027" s="8"/>
      <c r="K1027" s="7"/>
      <c r="L1027" s="7" t="s">
        <v>24</v>
      </c>
      <c r="M1027" s="18">
        <f>M1026</f>
        <v>2.375158E-3</v>
      </c>
      <c r="N1027" s="7"/>
      <c r="O1027" s="7"/>
      <c r="P1027" s="7"/>
      <c r="Q1027" s="7"/>
      <c r="R1027" s="7"/>
      <c r="S1027" s="7"/>
      <c r="T1027" s="7"/>
    </row>
    <row r="1028" spans="3:20" x14ac:dyDescent="0.25">
      <c r="C1028" s="7"/>
      <c r="D1028" s="7"/>
      <c r="E1028" s="7" t="s">
        <v>19</v>
      </c>
      <c r="F1028" s="7">
        <v>2010</v>
      </c>
      <c r="G1028" s="8" t="s">
        <v>20</v>
      </c>
      <c r="H1028" s="19" t="s">
        <v>79</v>
      </c>
      <c r="I1028" s="7" t="s">
        <v>80</v>
      </c>
      <c r="J1028" s="8"/>
      <c r="K1028" s="7"/>
      <c r="L1028" s="7" t="s">
        <v>25</v>
      </c>
      <c r="M1028" s="18">
        <f>'Emissions - REF'!$C$34</f>
        <v>6.9174759999999997E-3</v>
      </c>
      <c r="N1028" s="7"/>
      <c r="O1028" s="7"/>
      <c r="P1028" s="7"/>
      <c r="Q1028" s="7"/>
      <c r="R1028" s="7"/>
      <c r="S1028" s="7"/>
      <c r="T1028" s="7"/>
    </row>
    <row r="1029" spans="3:20" x14ac:dyDescent="0.25">
      <c r="C1029" s="7"/>
      <c r="D1029" s="7"/>
      <c r="E1029" s="7" t="s">
        <v>19</v>
      </c>
      <c r="F1029" s="7">
        <v>2015</v>
      </c>
      <c r="G1029" s="8" t="s">
        <v>20</v>
      </c>
      <c r="H1029" s="19" t="s">
        <v>79</v>
      </c>
      <c r="I1029" s="7" t="s">
        <v>80</v>
      </c>
      <c r="J1029" s="8"/>
      <c r="K1029" s="7"/>
      <c r="L1029" s="7" t="s">
        <v>25</v>
      </c>
      <c r="M1029" s="18">
        <f>'Emissions - REF'!$D$34</f>
        <v>6.01345E-3</v>
      </c>
      <c r="N1029" s="7"/>
      <c r="O1029" s="7"/>
      <c r="P1029" s="7"/>
      <c r="Q1029" s="7"/>
      <c r="R1029" s="7"/>
      <c r="S1029" s="7"/>
      <c r="T1029" s="7"/>
    </row>
    <row r="1030" spans="3:20" x14ac:dyDescent="0.25">
      <c r="C1030" s="7"/>
      <c r="D1030" s="7"/>
      <c r="E1030" s="7" t="s">
        <v>19</v>
      </c>
      <c r="F1030" s="7">
        <v>2020</v>
      </c>
      <c r="G1030" s="8" t="s">
        <v>20</v>
      </c>
      <c r="H1030" s="19" t="s">
        <v>79</v>
      </c>
      <c r="I1030" s="7" t="s">
        <v>80</v>
      </c>
      <c r="J1030" s="8"/>
      <c r="K1030" s="7"/>
      <c r="L1030" s="7" t="s">
        <v>25</v>
      </c>
      <c r="M1030" s="18">
        <f>'Emissions - REF'!$E$34</f>
        <v>5.6254759999999999E-3</v>
      </c>
      <c r="N1030" s="7"/>
      <c r="O1030" s="7"/>
      <c r="P1030" s="7"/>
      <c r="Q1030" s="7"/>
      <c r="R1030" s="7"/>
      <c r="S1030" s="7"/>
      <c r="T1030" s="7"/>
    </row>
    <row r="1031" spans="3:20" x14ac:dyDescent="0.25">
      <c r="C1031" s="7"/>
      <c r="D1031" s="7"/>
      <c r="E1031" s="7" t="s">
        <v>19</v>
      </c>
      <c r="F1031" s="7">
        <v>2055</v>
      </c>
      <c r="G1031" s="8" t="s">
        <v>20</v>
      </c>
      <c r="H1031" s="19" t="s">
        <v>79</v>
      </c>
      <c r="I1031" s="7" t="s">
        <v>80</v>
      </c>
      <c r="J1031" s="8"/>
      <c r="K1031" s="7"/>
      <c r="L1031" s="7" t="s">
        <v>25</v>
      </c>
      <c r="M1031" s="18">
        <f>M1030</f>
        <v>5.6254759999999999E-3</v>
      </c>
      <c r="N1031" s="7"/>
      <c r="O1031" s="7"/>
      <c r="P1031" s="7"/>
      <c r="Q1031" s="7"/>
      <c r="R1031" s="7"/>
      <c r="S1031" s="7"/>
      <c r="T1031" s="7"/>
    </row>
    <row r="1032" spans="3:20" x14ac:dyDescent="0.25">
      <c r="C1032" s="7"/>
      <c r="D1032" s="7"/>
      <c r="E1032" s="7" t="s">
        <v>19</v>
      </c>
      <c r="F1032" s="7">
        <v>2010</v>
      </c>
      <c r="G1032" s="8" t="s">
        <v>20</v>
      </c>
      <c r="H1032" s="19" t="s">
        <v>79</v>
      </c>
      <c r="I1032" s="7" t="s">
        <v>80</v>
      </c>
      <c r="J1032" s="8"/>
      <c r="K1032" s="7"/>
      <c r="L1032" s="7" t="s">
        <v>26</v>
      </c>
      <c r="M1032" s="18">
        <f>'Emissions - REF'!$C$35</f>
        <v>1.7336600000000001E-3</v>
      </c>
      <c r="N1032" s="7"/>
      <c r="O1032" s="7"/>
      <c r="P1032" s="7"/>
      <c r="Q1032" s="7"/>
      <c r="R1032" s="7"/>
      <c r="S1032" s="7"/>
      <c r="T1032" s="7"/>
    </row>
    <row r="1033" spans="3:20" x14ac:dyDescent="0.25">
      <c r="C1033" s="7"/>
      <c r="D1033" s="7"/>
      <c r="E1033" s="7" t="s">
        <v>19</v>
      </c>
      <c r="F1033" s="7">
        <v>2015</v>
      </c>
      <c r="G1033" s="8" t="s">
        <v>20</v>
      </c>
      <c r="H1033" s="19" t="s">
        <v>79</v>
      </c>
      <c r="I1033" s="7" t="s">
        <v>80</v>
      </c>
      <c r="J1033" s="8"/>
      <c r="K1033" s="7"/>
      <c r="L1033" s="7" t="s">
        <v>26</v>
      </c>
      <c r="M1033" s="18">
        <f>'Emissions - REF'!$D$35</f>
        <v>1.4917260000000001E-3</v>
      </c>
      <c r="N1033" s="7"/>
      <c r="O1033" s="7"/>
      <c r="P1033" s="7"/>
      <c r="Q1033" s="7"/>
      <c r="R1033" s="7"/>
      <c r="S1033" s="7"/>
      <c r="T1033" s="7"/>
    </row>
    <row r="1034" spans="3:20" x14ac:dyDescent="0.25">
      <c r="C1034" s="7"/>
      <c r="D1034" s="7"/>
      <c r="E1034" s="7" t="s">
        <v>19</v>
      </c>
      <c r="F1034" s="7">
        <v>2020</v>
      </c>
      <c r="G1034" s="8" t="s">
        <v>20</v>
      </c>
      <c r="H1034" s="19" t="s">
        <v>79</v>
      </c>
      <c r="I1034" s="7" t="s">
        <v>80</v>
      </c>
      <c r="J1034" s="8"/>
      <c r="K1034" s="7"/>
      <c r="L1034" s="7" t="s">
        <v>26</v>
      </c>
      <c r="M1034" s="18">
        <f>'Emissions - REF'!$E$35</f>
        <v>1.402946E-3</v>
      </c>
      <c r="N1034" s="7"/>
      <c r="O1034" s="7"/>
      <c r="P1034" s="7"/>
      <c r="Q1034" s="7"/>
      <c r="R1034" s="7"/>
      <c r="S1034" s="7"/>
      <c r="T1034" s="7"/>
    </row>
    <row r="1035" spans="3:20" x14ac:dyDescent="0.25">
      <c r="C1035" s="7"/>
      <c r="D1035" s="7"/>
      <c r="E1035" s="7" t="s">
        <v>19</v>
      </c>
      <c r="F1035" s="7">
        <v>2055</v>
      </c>
      <c r="G1035" s="8" t="s">
        <v>20</v>
      </c>
      <c r="H1035" s="19" t="s">
        <v>79</v>
      </c>
      <c r="I1035" s="7" t="s">
        <v>80</v>
      </c>
      <c r="J1035" s="8"/>
      <c r="K1035" s="7"/>
      <c r="L1035" s="7" t="s">
        <v>26</v>
      </c>
      <c r="M1035" s="18">
        <f>M1034</f>
        <v>1.402946E-3</v>
      </c>
      <c r="N1035" s="7"/>
      <c r="O1035" s="7"/>
      <c r="P1035" s="7"/>
      <c r="Q1035" s="7"/>
      <c r="R1035" s="7"/>
      <c r="S1035" s="7"/>
      <c r="T1035" s="7"/>
    </row>
    <row r="1036" spans="3:20" x14ac:dyDescent="0.25">
      <c r="C1036" s="7"/>
      <c r="D1036" s="7"/>
      <c r="E1036" s="7" t="s">
        <v>19</v>
      </c>
      <c r="F1036" s="7">
        <v>2010</v>
      </c>
      <c r="G1036" s="8" t="s">
        <v>20</v>
      </c>
      <c r="H1036" s="19" t="s">
        <v>79</v>
      </c>
      <c r="I1036" s="7" t="s">
        <v>80</v>
      </c>
      <c r="J1036" s="8"/>
      <c r="K1036" s="7"/>
      <c r="L1036" s="7" t="s">
        <v>27</v>
      </c>
      <c r="M1036" s="18">
        <f>'Emissions - REF'!$C$36</f>
        <v>9.9604800000000003E-4</v>
      </c>
      <c r="N1036" s="7"/>
      <c r="O1036" s="7"/>
      <c r="P1036" s="7"/>
      <c r="Q1036" s="7"/>
      <c r="R1036" s="7"/>
      <c r="S1036" s="7"/>
      <c r="T1036" s="7"/>
    </row>
    <row r="1037" spans="3:20" x14ac:dyDescent="0.25">
      <c r="C1037" s="7"/>
      <c r="D1037" s="7"/>
      <c r="E1037" s="7" t="s">
        <v>19</v>
      </c>
      <c r="F1037" s="7">
        <v>2015</v>
      </c>
      <c r="G1037" s="8" t="s">
        <v>20</v>
      </c>
      <c r="H1037" s="19" t="s">
        <v>79</v>
      </c>
      <c r="I1037" s="7" t="s">
        <v>80</v>
      </c>
      <c r="J1037" s="8"/>
      <c r="K1037" s="7"/>
      <c r="L1037" s="7" t="s">
        <v>27</v>
      </c>
      <c r="M1037" s="18">
        <f>'Emissions - REF'!$D$36</f>
        <v>9.0242899999999995E-4</v>
      </c>
      <c r="N1037" s="7"/>
      <c r="O1037" s="7"/>
      <c r="P1037" s="7"/>
      <c r="Q1037" s="7"/>
      <c r="R1037" s="7"/>
      <c r="S1037" s="7"/>
      <c r="T1037" s="7"/>
    </row>
    <row r="1038" spans="3:20" x14ac:dyDescent="0.25">
      <c r="C1038" s="7"/>
      <c r="D1038" s="7"/>
      <c r="E1038" s="7" t="s">
        <v>19</v>
      </c>
      <c r="F1038" s="7">
        <v>2020</v>
      </c>
      <c r="G1038" s="8" t="s">
        <v>20</v>
      </c>
      <c r="H1038" s="19" t="s">
        <v>79</v>
      </c>
      <c r="I1038" s="7" t="s">
        <v>80</v>
      </c>
      <c r="J1038" s="8"/>
      <c r="K1038" s="7"/>
      <c r="L1038" s="7" t="s">
        <v>27</v>
      </c>
      <c r="M1038" s="18">
        <f>'Emissions - REF'!$E$36</f>
        <v>8.2127599999999991E-4</v>
      </c>
      <c r="N1038" s="7"/>
      <c r="O1038" s="7"/>
      <c r="P1038" s="7"/>
      <c r="Q1038" s="7"/>
      <c r="R1038" s="7"/>
      <c r="S1038" s="7"/>
      <c r="T1038" s="7"/>
    </row>
    <row r="1039" spans="3:20" x14ac:dyDescent="0.25">
      <c r="C1039" s="7"/>
      <c r="D1039" s="7"/>
      <c r="E1039" s="7" t="s">
        <v>19</v>
      </c>
      <c r="F1039" s="7">
        <v>2055</v>
      </c>
      <c r="G1039" s="8" t="s">
        <v>20</v>
      </c>
      <c r="H1039" s="19" t="s">
        <v>79</v>
      </c>
      <c r="I1039" s="7" t="s">
        <v>80</v>
      </c>
      <c r="J1039" s="8"/>
      <c r="K1039" s="7"/>
      <c r="L1039" s="7" t="s">
        <v>27</v>
      </c>
      <c r="M1039" s="18">
        <f>M1038</f>
        <v>8.2127599999999991E-4</v>
      </c>
      <c r="N1039" s="7"/>
      <c r="O1039" s="7"/>
      <c r="P1039" s="7"/>
      <c r="Q1039" s="7"/>
      <c r="R1039" s="7"/>
      <c r="S1039" s="7"/>
      <c r="T1039" s="7"/>
    </row>
    <row r="1040" spans="3:20" x14ac:dyDescent="0.25">
      <c r="C1040" s="7"/>
      <c r="D1040" s="7"/>
      <c r="E1040" s="7" t="s">
        <v>19</v>
      </c>
      <c r="F1040" s="7">
        <v>2010</v>
      </c>
      <c r="G1040" s="8" t="s">
        <v>20</v>
      </c>
      <c r="H1040" s="19" t="s">
        <v>79</v>
      </c>
      <c r="I1040" s="7" t="s">
        <v>80</v>
      </c>
      <c r="J1040" s="8"/>
      <c r="K1040" s="7"/>
      <c r="L1040" s="7" t="s">
        <v>28</v>
      </c>
      <c r="M1040" s="18">
        <f>'Emissions - REF'!$C$37</f>
        <v>3.577855E-3</v>
      </c>
      <c r="N1040" s="7"/>
      <c r="O1040" s="7"/>
      <c r="P1040" s="7"/>
      <c r="Q1040" s="7"/>
      <c r="R1040" s="7"/>
      <c r="S1040" s="7"/>
      <c r="T1040" s="7"/>
    </row>
    <row r="1041" spans="3:20" x14ac:dyDescent="0.25">
      <c r="C1041" s="7"/>
      <c r="D1041" s="7"/>
      <c r="E1041" s="7" t="s">
        <v>19</v>
      </c>
      <c r="F1041" s="7">
        <v>2015</v>
      </c>
      <c r="G1041" s="8" t="s">
        <v>20</v>
      </c>
      <c r="H1041" s="19" t="s">
        <v>79</v>
      </c>
      <c r="I1041" s="7" t="s">
        <v>80</v>
      </c>
      <c r="J1041" s="8"/>
      <c r="K1041" s="7"/>
      <c r="L1041" s="7" t="s">
        <v>28</v>
      </c>
      <c r="M1041" s="18">
        <f>'Emissions - REF'!$D$37</f>
        <v>2.640019E-3</v>
      </c>
      <c r="N1041" s="7"/>
      <c r="O1041" s="7"/>
      <c r="P1041" s="7"/>
      <c r="Q1041" s="7"/>
      <c r="R1041" s="7"/>
      <c r="S1041" s="7"/>
      <c r="T1041" s="7"/>
    </row>
    <row r="1042" spans="3:20" x14ac:dyDescent="0.25">
      <c r="C1042" s="7"/>
      <c r="D1042" s="7"/>
      <c r="E1042" s="7" t="s">
        <v>19</v>
      </c>
      <c r="F1042" s="7">
        <v>2020</v>
      </c>
      <c r="G1042" s="8" t="s">
        <v>20</v>
      </c>
      <c r="H1042" s="19" t="s">
        <v>79</v>
      </c>
      <c r="I1042" s="7" t="s">
        <v>80</v>
      </c>
      <c r="J1042" s="8"/>
      <c r="K1042" s="7"/>
      <c r="L1042" s="7" t="s">
        <v>28</v>
      </c>
      <c r="M1042" s="18">
        <f>'Emissions - REF'!$E$37</f>
        <v>2.2380900000000003E-3</v>
      </c>
      <c r="N1042" s="7"/>
      <c r="O1042" s="7"/>
      <c r="P1042" s="7"/>
      <c r="Q1042" s="7"/>
      <c r="R1042" s="7"/>
      <c r="S1042" s="7"/>
      <c r="T1042" s="7"/>
    </row>
    <row r="1043" spans="3:20" x14ac:dyDescent="0.25">
      <c r="C1043" s="7"/>
      <c r="D1043" s="7"/>
      <c r="E1043" s="7" t="s">
        <v>19</v>
      </c>
      <c r="F1043" s="7">
        <v>2055</v>
      </c>
      <c r="G1043" s="8" t="s">
        <v>20</v>
      </c>
      <c r="H1043" s="19" t="s">
        <v>79</v>
      </c>
      <c r="I1043" s="7" t="s">
        <v>80</v>
      </c>
      <c r="J1043" s="8"/>
      <c r="K1043" s="7"/>
      <c r="L1043" s="7" t="s">
        <v>28</v>
      </c>
      <c r="M1043" s="18">
        <f>M1042</f>
        <v>2.2380900000000003E-3</v>
      </c>
      <c r="N1043" s="7"/>
      <c r="O1043" s="7"/>
      <c r="P1043" s="7"/>
      <c r="Q1043" s="7"/>
      <c r="R1043" s="7"/>
      <c r="S1043" s="7"/>
      <c r="T1043" s="7"/>
    </row>
    <row r="1044" spans="3:20" x14ac:dyDescent="0.25">
      <c r="C1044" s="7"/>
      <c r="D1044" s="7"/>
      <c r="E1044" s="7" t="s">
        <v>19</v>
      </c>
      <c r="F1044" s="7">
        <v>2010</v>
      </c>
      <c r="G1044" s="8" t="s">
        <v>20</v>
      </c>
      <c r="H1044" s="19" t="s">
        <v>79</v>
      </c>
      <c r="I1044" s="7" t="s">
        <v>80</v>
      </c>
      <c r="J1044" s="8"/>
      <c r="K1044" s="7"/>
      <c r="L1044" s="7" t="s">
        <v>29</v>
      </c>
      <c r="M1044" s="18">
        <f>'Emissions - REF'!$C$38</f>
        <v>1.8799299999999999E-4</v>
      </c>
      <c r="N1044" s="7"/>
      <c r="O1044" s="7"/>
      <c r="P1044" s="7"/>
      <c r="Q1044" s="7"/>
      <c r="R1044" s="7"/>
      <c r="S1044" s="7"/>
      <c r="T1044" s="7"/>
    </row>
    <row r="1045" spans="3:20" x14ac:dyDescent="0.25">
      <c r="C1045" s="7"/>
      <c r="D1045" s="7"/>
      <c r="E1045" s="7" t="s">
        <v>19</v>
      </c>
      <c r="F1045" s="7">
        <v>2015</v>
      </c>
      <c r="G1045" s="8" t="s">
        <v>20</v>
      </c>
      <c r="H1045" s="19" t="s">
        <v>79</v>
      </c>
      <c r="I1045" s="7" t="s">
        <v>80</v>
      </c>
      <c r="J1045" s="8"/>
      <c r="K1045" s="7"/>
      <c r="L1045" s="7" t="s">
        <v>29</v>
      </c>
      <c r="M1045" s="18">
        <f>'Emissions - REF'!$D$38</f>
        <v>1.8799299999999999E-4</v>
      </c>
      <c r="N1045" s="7"/>
      <c r="O1045" s="7"/>
      <c r="P1045" s="7"/>
      <c r="Q1045" s="7"/>
      <c r="R1045" s="7"/>
      <c r="S1045" s="7"/>
      <c r="T1045" s="7"/>
    </row>
    <row r="1046" spans="3:20" x14ac:dyDescent="0.25">
      <c r="C1046" s="7"/>
      <c r="D1046" s="7"/>
      <c r="E1046" s="7" t="s">
        <v>19</v>
      </c>
      <c r="F1046" s="7">
        <v>2020</v>
      </c>
      <c r="G1046" s="8" t="s">
        <v>20</v>
      </c>
      <c r="H1046" s="19" t="s">
        <v>79</v>
      </c>
      <c r="I1046" s="7" t="s">
        <v>80</v>
      </c>
      <c r="J1046" s="8"/>
      <c r="K1046" s="7"/>
      <c r="L1046" s="7" t="s">
        <v>29</v>
      </c>
      <c r="M1046" s="18">
        <f>'Emissions - REF'!$E$38</f>
        <v>1.8799299999999999E-4</v>
      </c>
      <c r="N1046" s="7"/>
      <c r="O1046" s="7"/>
      <c r="P1046" s="7"/>
      <c r="Q1046" s="7"/>
      <c r="R1046" s="7"/>
      <c r="S1046" s="7"/>
      <c r="T1046" s="7"/>
    </row>
    <row r="1047" spans="3:20" x14ac:dyDescent="0.25">
      <c r="C1047" s="7"/>
      <c r="D1047" s="7"/>
      <c r="E1047" s="7" t="s">
        <v>19</v>
      </c>
      <c r="F1047" s="7">
        <v>2055</v>
      </c>
      <c r="G1047" s="8" t="s">
        <v>20</v>
      </c>
      <c r="H1047" s="19" t="s">
        <v>79</v>
      </c>
      <c r="I1047" s="7" t="s">
        <v>80</v>
      </c>
      <c r="J1047" s="8"/>
      <c r="K1047" s="7"/>
      <c r="L1047" s="7" t="s">
        <v>29</v>
      </c>
      <c r="M1047" s="18">
        <f>M1046</f>
        <v>1.8799299999999999E-4</v>
      </c>
      <c r="N1047" s="7"/>
      <c r="O1047" s="7"/>
      <c r="P1047" s="7"/>
      <c r="Q1047" s="7"/>
      <c r="R1047" s="7"/>
      <c r="S1047" s="7"/>
      <c r="T1047" s="7"/>
    </row>
    <row r="1048" spans="3:20" x14ac:dyDescent="0.25">
      <c r="C1048" s="7"/>
      <c r="D1048" s="7"/>
      <c r="E1048" s="7" t="s">
        <v>19</v>
      </c>
      <c r="F1048" s="7">
        <v>2010</v>
      </c>
      <c r="G1048" s="8" t="s">
        <v>20</v>
      </c>
      <c r="H1048" s="19" t="s">
        <v>79</v>
      </c>
      <c r="I1048" s="7" t="s">
        <v>80</v>
      </c>
      <c r="J1048" s="8"/>
      <c r="K1048" s="7"/>
      <c r="L1048" s="7" t="s">
        <v>30</v>
      </c>
      <c r="M1048" s="18">
        <f>'Emissions - REF'!$C$39</f>
        <v>9.2440000000000003E-5</v>
      </c>
      <c r="N1048" s="7"/>
      <c r="O1048" s="7"/>
      <c r="P1048" s="7"/>
      <c r="Q1048" s="7"/>
      <c r="R1048" s="7"/>
      <c r="S1048" s="7"/>
      <c r="T1048" s="7"/>
    </row>
    <row r="1049" spans="3:20" x14ac:dyDescent="0.25">
      <c r="C1049" s="7"/>
      <c r="D1049" s="7"/>
      <c r="E1049" s="7" t="s">
        <v>19</v>
      </c>
      <c r="F1049" s="7">
        <v>2015</v>
      </c>
      <c r="G1049" s="8" t="s">
        <v>20</v>
      </c>
      <c r="H1049" s="19" t="s">
        <v>79</v>
      </c>
      <c r="I1049" s="7" t="s">
        <v>80</v>
      </c>
      <c r="J1049" s="8"/>
      <c r="K1049" s="7"/>
      <c r="L1049" s="7" t="s">
        <v>30</v>
      </c>
      <c r="M1049" s="18">
        <f>'Emissions - REF'!$D$39</f>
        <v>9.2440000000000003E-5</v>
      </c>
      <c r="N1049" s="7"/>
      <c r="O1049" s="7"/>
      <c r="P1049" s="7"/>
      <c r="Q1049" s="7"/>
      <c r="R1049" s="7"/>
      <c r="S1049" s="7"/>
      <c r="T1049" s="7"/>
    </row>
    <row r="1050" spans="3:20" x14ac:dyDescent="0.25">
      <c r="C1050" s="7"/>
      <c r="D1050" s="7"/>
      <c r="E1050" s="7" t="s">
        <v>19</v>
      </c>
      <c r="F1050" s="7">
        <v>2020</v>
      </c>
      <c r="G1050" s="8" t="s">
        <v>20</v>
      </c>
      <c r="H1050" s="19" t="s">
        <v>79</v>
      </c>
      <c r="I1050" s="7" t="s">
        <v>80</v>
      </c>
      <c r="J1050" s="8"/>
      <c r="K1050" s="7"/>
      <c r="L1050" s="7" t="s">
        <v>30</v>
      </c>
      <c r="M1050" s="18">
        <f>'Emissions - REF'!$E$39</f>
        <v>9.2440000000000003E-5</v>
      </c>
      <c r="N1050" s="7"/>
      <c r="O1050" s="7"/>
      <c r="P1050" s="7"/>
      <c r="Q1050" s="7"/>
      <c r="R1050" s="7"/>
      <c r="S1050" s="7"/>
      <c r="T1050" s="7"/>
    </row>
    <row r="1051" spans="3:20" x14ac:dyDescent="0.25">
      <c r="C1051" s="7"/>
      <c r="D1051" s="7"/>
      <c r="E1051" s="7" t="s">
        <v>19</v>
      </c>
      <c r="F1051" s="7">
        <v>2055</v>
      </c>
      <c r="G1051" s="8" t="s">
        <v>20</v>
      </c>
      <c r="H1051" s="19" t="s">
        <v>79</v>
      </c>
      <c r="I1051" s="7" t="s">
        <v>80</v>
      </c>
      <c r="J1051" s="8"/>
      <c r="K1051" s="7"/>
      <c r="L1051" s="7" t="s">
        <v>30</v>
      </c>
      <c r="M1051" s="18">
        <f>M1050</f>
        <v>9.2440000000000003E-5</v>
      </c>
      <c r="N1051" s="7"/>
      <c r="O1051" s="7"/>
      <c r="P1051" s="7"/>
      <c r="Q1051" s="7"/>
      <c r="R1051" s="7"/>
      <c r="S1051" s="7"/>
      <c r="T1051" s="7"/>
    </row>
    <row r="1052" spans="3:20" x14ac:dyDescent="0.25">
      <c r="C1052" s="7"/>
      <c r="D1052" s="7"/>
      <c r="E1052" s="7" t="s">
        <v>19</v>
      </c>
      <c r="F1052" s="7">
        <v>2010</v>
      </c>
      <c r="G1052" s="8" t="s">
        <v>20</v>
      </c>
      <c r="H1052" s="19" t="s">
        <v>79</v>
      </c>
      <c r="I1052" s="7" t="s">
        <v>80</v>
      </c>
      <c r="J1052" s="8"/>
      <c r="K1052" s="7"/>
      <c r="L1052" s="7" t="s">
        <v>31</v>
      </c>
      <c r="M1052" s="7">
        <v>1E-4</v>
      </c>
      <c r="N1052" s="7"/>
      <c r="O1052" s="7"/>
      <c r="P1052" s="7"/>
      <c r="Q1052" s="7"/>
      <c r="R1052" s="7"/>
      <c r="S1052" s="7"/>
      <c r="T1052" s="7"/>
    </row>
    <row r="1053" spans="3:20" x14ac:dyDescent="0.25">
      <c r="C1053" s="7"/>
      <c r="D1053" s="7"/>
      <c r="E1053" s="7" t="s">
        <v>19</v>
      </c>
      <c r="F1053" s="7">
        <v>2015</v>
      </c>
      <c r="G1053" s="8" t="s">
        <v>20</v>
      </c>
      <c r="H1053" s="19" t="s">
        <v>79</v>
      </c>
      <c r="I1053" s="7" t="s">
        <v>80</v>
      </c>
      <c r="J1053" s="8"/>
      <c r="K1053" s="7"/>
      <c r="L1053" s="7" t="s">
        <v>31</v>
      </c>
      <c r="M1053" s="7">
        <f>M1052</f>
        <v>1E-4</v>
      </c>
      <c r="N1053" s="7"/>
      <c r="O1053" s="7"/>
      <c r="P1053" s="7"/>
      <c r="Q1053" s="7"/>
      <c r="R1053" s="7"/>
      <c r="S1053" s="7"/>
      <c r="T1053" s="7"/>
    </row>
    <row r="1054" spans="3:20" x14ac:dyDescent="0.25">
      <c r="C1054" s="7"/>
      <c r="D1054" s="7"/>
      <c r="E1054" s="7" t="s">
        <v>19</v>
      </c>
      <c r="F1054" s="7">
        <v>2020</v>
      </c>
      <c r="G1054" s="8" t="s">
        <v>20</v>
      </c>
      <c r="H1054" s="19" t="s">
        <v>79</v>
      </c>
      <c r="I1054" s="7" t="s">
        <v>80</v>
      </c>
      <c r="J1054" s="8"/>
      <c r="K1054" s="7"/>
      <c r="L1054" s="7" t="s">
        <v>31</v>
      </c>
      <c r="M1054" s="7">
        <f t="shared" ref="M1054:M1055" si="210">M1053</f>
        <v>1E-4</v>
      </c>
      <c r="N1054" s="7"/>
      <c r="O1054" s="7"/>
      <c r="P1054" s="7"/>
      <c r="Q1054" s="7"/>
      <c r="R1054" s="7"/>
      <c r="S1054" s="7"/>
      <c r="T1054" s="7"/>
    </row>
    <row r="1055" spans="3:20" x14ac:dyDescent="0.25">
      <c r="C1055" s="7"/>
      <c r="D1055" s="7"/>
      <c r="E1055" s="7" t="s">
        <v>19</v>
      </c>
      <c r="F1055" s="7">
        <v>2055</v>
      </c>
      <c r="G1055" s="8" t="s">
        <v>20</v>
      </c>
      <c r="H1055" s="19" t="s">
        <v>79</v>
      </c>
      <c r="I1055" s="7" t="s">
        <v>80</v>
      </c>
      <c r="J1055" s="8"/>
      <c r="K1055" s="7"/>
      <c r="L1055" s="7" t="s">
        <v>31</v>
      </c>
      <c r="M1055" s="7">
        <f t="shared" si="210"/>
        <v>1E-4</v>
      </c>
      <c r="N1055" s="7"/>
      <c r="O1055" s="7"/>
      <c r="P1055" s="7"/>
      <c r="Q1055" s="7"/>
      <c r="R1055" s="7"/>
      <c r="S1055" s="7"/>
      <c r="T1055" s="7"/>
    </row>
    <row r="1056" spans="3:20" x14ac:dyDescent="0.25">
      <c r="C1056" s="7"/>
      <c r="D1056" s="7"/>
      <c r="E1056" s="7" t="s">
        <v>19</v>
      </c>
      <c r="F1056" s="7">
        <v>2010</v>
      </c>
      <c r="G1056" s="8" t="s">
        <v>20</v>
      </c>
      <c r="H1056" s="19" t="s">
        <v>79</v>
      </c>
      <c r="I1056" s="7" t="s">
        <v>80</v>
      </c>
      <c r="J1056" s="8"/>
      <c r="K1056" s="7"/>
      <c r="L1056" s="7" t="s">
        <v>32</v>
      </c>
      <c r="M1056" s="7">
        <v>2.0000000000000001E-4</v>
      </c>
      <c r="N1056" s="7"/>
      <c r="O1056" s="7"/>
      <c r="P1056" s="7"/>
      <c r="Q1056" s="7"/>
      <c r="R1056" s="7"/>
      <c r="S1056" s="7"/>
      <c r="T1056" s="7"/>
    </row>
    <row r="1057" spans="3:20" x14ac:dyDescent="0.25">
      <c r="C1057" s="7"/>
      <c r="D1057" s="7"/>
      <c r="E1057" s="7" t="s">
        <v>19</v>
      </c>
      <c r="F1057" s="7">
        <v>2015</v>
      </c>
      <c r="G1057" s="8" t="s">
        <v>20</v>
      </c>
      <c r="H1057" s="19" t="s">
        <v>79</v>
      </c>
      <c r="I1057" s="7" t="s">
        <v>80</v>
      </c>
      <c r="J1057" s="8"/>
      <c r="K1057" s="7"/>
      <c r="L1057" s="7" t="s">
        <v>32</v>
      </c>
      <c r="M1057" s="7">
        <f>M1056</f>
        <v>2.0000000000000001E-4</v>
      </c>
      <c r="N1057" s="7"/>
      <c r="O1057" s="7"/>
      <c r="P1057" s="7"/>
      <c r="Q1057" s="7"/>
      <c r="R1057" s="7"/>
      <c r="S1057" s="7"/>
      <c r="T1057" s="7"/>
    </row>
    <row r="1058" spans="3:20" x14ac:dyDescent="0.25">
      <c r="C1058" s="7"/>
      <c r="D1058" s="7"/>
      <c r="E1058" s="7" t="s">
        <v>19</v>
      </c>
      <c r="F1058" s="7">
        <v>2020</v>
      </c>
      <c r="G1058" s="8" t="s">
        <v>20</v>
      </c>
      <c r="H1058" s="19" t="s">
        <v>79</v>
      </c>
      <c r="I1058" s="7" t="s">
        <v>80</v>
      </c>
      <c r="J1058" s="8"/>
      <c r="K1058" s="7"/>
      <c r="L1058" s="7" t="s">
        <v>32</v>
      </c>
      <c r="M1058" s="7">
        <f t="shared" ref="M1058:M1059" si="211">M1057</f>
        <v>2.0000000000000001E-4</v>
      </c>
      <c r="N1058" s="7"/>
      <c r="O1058" s="7"/>
      <c r="P1058" s="7"/>
      <c r="Q1058" s="7"/>
      <c r="R1058" s="7"/>
      <c r="S1058" s="7"/>
      <c r="T1058" s="7"/>
    </row>
    <row r="1059" spans="3:20" x14ac:dyDescent="0.25">
      <c r="C1059" s="7"/>
      <c r="D1059" s="7"/>
      <c r="E1059" s="7" t="s">
        <v>19</v>
      </c>
      <c r="F1059" s="7">
        <v>2055</v>
      </c>
      <c r="G1059" s="8" t="s">
        <v>20</v>
      </c>
      <c r="H1059" s="19" t="s">
        <v>79</v>
      </c>
      <c r="I1059" s="7" t="s">
        <v>80</v>
      </c>
      <c r="J1059" s="8"/>
      <c r="K1059" s="7"/>
      <c r="L1059" s="7" t="s">
        <v>32</v>
      </c>
      <c r="M1059" s="7">
        <f t="shared" si="211"/>
        <v>2.0000000000000001E-4</v>
      </c>
      <c r="N1059" s="7"/>
      <c r="O1059" s="7"/>
      <c r="P1059" s="7"/>
      <c r="Q1059" s="7"/>
      <c r="R1059" s="7"/>
      <c r="S1059" s="7"/>
      <c r="T1059" s="7"/>
    </row>
    <row r="1060" spans="3:20" x14ac:dyDescent="0.25">
      <c r="C1060" s="7"/>
      <c r="D1060" s="7"/>
      <c r="E1060" s="7" t="s">
        <v>19</v>
      </c>
      <c r="F1060" s="7">
        <v>2010</v>
      </c>
      <c r="G1060" s="8" t="s">
        <v>20</v>
      </c>
      <c r="H1060" s="19" t="s">
        <v>79</v>
      </c>
      <c r="I1060" s="7" t="s">
        <v>80</v>
      </c>
      <c r="J1060" s="8"/>
      <c r="K1060" s="7"/>
      <c r="L1060" s="7" t="s">
        <v>46</v>
      </c>
      <c r="M1060" s="18">
        <f>M1028</f>
        <v>6.9174759999999997E-3</v>
      </c>
      <c r="N1060" s="7"/>
      <c r="O1060" s="7"/>
      <c r="P1060" s="7"/>
      <c r="Q1060" s="7"/>
      <c r="R1060" s="7"/>
      <c r="S1060" s="7"/>
      <c r="T1060" s="7"/>
    </row>
    <row r="1061" spans="3:20" x14ac:dyDescent="0.25">
      <c r="C1061" s="7"/>
      <c r="D1061" s="7"/>
      <c r="E1061" s="7" t="s">
        <v>19</v>
      </c>
      <c r="F1061" s="7">
        <v>2015</v>
      </c>
      <c r="G1061" s="8" t="s">
        <v>20</v>
      </c>
      <c r="H1061" s="19" t="s">
        <v>79</v>
      </c>
      <c r="I1061" s="7" t="s">
        <v>80</v>
      </c>
      <c r="J1061" s="8"/>
      <c r="K1061" s="7"/>
      <c r="L1061" s="7" t="s">
        <v>46</v>
      </c>
      <c r="M1061" s="18">
        <f t="shared" ref="M1061:M1063" si="212">M1029</f>
        <v>6.01345E-3</v>
      </c>
      <c r="N1061" s="7"/>
      <c r="O1061" s="7"/>
      <c r="P1061" s="7"/>
      <c r="Q1061" s="7"/>
      <c r="R1061" s="7"/>
      <c r="S1061" s="7"/>
      <c r="T1061" s="7"/>
    </row>
    <row r="1062" spans="3:20" x14ac:dyDescent="0.25">
      <c r="C1062" s="7"/>
      <c r="D1062" s="7"/>
      <c r="E1062" s="7" t="s">
        <v>19</v>
      </c>
      <c r="F1062" s="7">
        <v>2020</v>
      </c>
      <c r="G1062" s="8" t="s">
        <v>20</v>
      </c>
      <c r="H1062" s="19" t="s">
        <v>79</v>
      </c>
      <c r="I1062" s="7" t="s">
        <v>80</v>
      </c>
      <c r="J1062" s="8"/>
      <c r="K1062" s="7"/>
      <c r="L1062" s="7" t="s">
        <v>46</v>
      </c>
      <c r="M1062" s="18">
        <f t="shared" si="212"/>
        <v>5.6254759999999999E-3</v>
      </c>
      <c r="N1062" s="7"/>
      <c r="O1062" s="7"/>
      <c r="P1062" s="7"/>
      <c r="Q1062" s="7"/>
      <c r="R1062" s="7"/>
      <c r="S1062" s="7"/>
      <c r="T1062" s="7"/>
    </row>
    <row r="1063" spans="3:20" x14ac:dyDescent="0.25">
      <c r="C1063" s="7"/>
      <c r="D1063" s="7"/>
      <c r="E1063" s="7" t="s">
        <v>19</v>
      </c>
      <c r="F1063" s="7">
        <v>2055</v>
      </c>
      <c r="G1063" s="8" t="s">
        <v>20</v>
      </c>
      <c r="H1063" s="19" t="s">
        <v>79</v>
      </c>
      <c r="I1063" s="7" t="s">
        <v>80</v>
      </c>
      <c r="J1063" s="8"/>
      <c r="K1063" s="7"/>
      <c r="L1063" s="7" t="s">
        <v>46</v>
      </c>
      <c r="M1063" s="18">
        <f t="shared" si="212"/>
        <v>5.6254759999999999E-3</v>
      </c>
      <c r="N1063" s="7"/>
      <c r="O1063" s="7"/>
      <c r="P1063" s="7"/>
      <c r="Q1063" s="7"/>
      <c r="R1063" s="7"/>
      <c r="S1063" s="7"/>
      <c r="T1063" s="7"/>
    </row>
    <row r="1064" spans="3:20" x14ac:dyDescent="0.25">
      <c r="C1064" s="7"/>
      <c r="D1064" s="7"/>
      <c r="E1064" s="7" t="s">
        <v>19</v>
      </c>
      <c r="F1064" s="7">
        <v>2010</v>
      </c>
      <c r="G1064" s="8" t="s">
        <v>20</v>
      </c>
      <c r="H1064" s="19" t="s">
        <v>79</v>
      </c>
      <c r="I1064" s="7" t="s">
        <v>80</v>
      </c>
      <c r="J1064" s="8"/>
      <c r="K1064" s="7"/>
      <c r="L1064" s="7" t="s">
        <v>47</v>
      </c>
      <c r="M1064" s="18">
        <f>M1040</f>
        <v>3.577855E-3</v>
      </c>
      <c r="N1064" s="7"/>
      <c r="O1064" s="7"/>
      <c r="P1064" s="7"/>
      <c r="Q1064" s="7"/>
      <c r="R1064" s="7"/>
      <c r="S1064" s="7"/>
      <c r="T1064" s="7"/>
    </row>
    <row r="1065" spans="3:20" x14ac:dyDescent="0.25">
      <c r="C1065" s="7"/>
      <c r="D1065" s="7"/>
      <c r="E1065" s="7" t="s">
        <v>19</v>
      </c>
      <c r="F1065" s="7">
        <v>2015</v>
      </c>
      <c r="G1065" s="8" t="s">
        <v>20</v>
      </c>
      <c r="H1065" s="19" t="s">
        <v>79</v>
      </c>
      <c r="I1065" s="7" t="s">
        <v>80</v>
      </c>
      <c r="J1065" s="8"/>
      <c r="K1065" s="7"/>
      <c r="L1065" s="7" t="s">
        <v>47</v>
      </c>
      <c r="M1065" s="18">
        <f t="shared" ref="M1065:M1067" si="213">M1041</f>
        <v>2.640019E-3</v>
      </c>
      <c r="N1065" s="7"/>
      <c r="O1065" s="7"/>
      <c r="P1065" s="7"/>
      <c r="Q1065" s="7"/>
      <c r="R1065" s="7"/>
      <c r="S1065" s="7"/>
      <c r="T1065" s="7"/>
    </row>
    <row r="1066" spans="3:20" x14ac:dyDescent="0.25">
      <c r="C1066" s="7"/>
      <c r="D1066" s="7"/>
      <c r="E1066" s="7" t="s">
        <v>19</v>
      </c>
      <c r="F1066" s="7">
        <v>2020</v>
      </c>
      <c r="G1066" s="8" t="s">
        <v>20</v>
      </c>
      <c r="H1066" s="19" t="s">
        <v>79</v>
      </c>
      <c r="I1066" s="7" t="s">
        <v>80</v>
      </c>
      <c r="J1066" s="8"/>
      <c r="K1066" s="7"/>
      <c r="L1066" s="7" t="s">
        <v>47</v>
      </c>
      <c r="M1066" s="18">
        <f t="shared" si="213"/>
        <v>2.2380900000000003E-3</v>
      </c>
      <c r="N1066" s="7"/>
      <c r="O1066" s="7"/>
      <c r="P1066" s="7"/>
      <c r="Q1066" s="7"/>
      <c r="R1066" s="7"/>
      <c r="S1066" s="7"/>
      <c r="T1066" s="7"/>
    </row>
    <row r="1067" spans="3:20" x14ac:dyDescent="0.25">
      <c r="C1067" s="7"/>
      <c r="D1067" s="7"/>
      <c r="E1067" s="7" t="s">
        <v>19</v>
      </c>
      <c r="F1067" s="7">
        <v>2055</v>
      </c>
      <c r="G1067" s="8" t="s">
        <v>20</v>
      </c>
      <c r="H1067" s="19" t="s">
        <v>79</v>
      </c>
      <c r="I1067" s="7" t="s">
        <v>80</v>
      </c>
      <c r="J1067" s="8"/>
      <c r="K1067" s="7"/>
      <c r="L1067" s="7" t="s">
        <v>47</v>
      </c>
      <c r="M1067" s="18">
        <f t="shared" si="213"/>
        <v>2.2380900000000003E-3</v>
      </c>
      <c r="N1067" s="7"/>
      <c r="O1067" s="7"/>
      <c r="P1067" s="7"/>
      <c r="Q1067" s="7"/>
      <c r="R1067" s="7"/>
      <c r="S1067" s="7"/>
      <c r="T1067" s="7"/>
    </row>
    <row r="1068" spans="3:20" x14ac:dyDescent="0.25">
      <c r="C1068" s="7"/>
      <c r="D1068" s="7"/>
      <c r="E1068" s="7" t="s">
        <v>19</v>
      </c>
      <c r="F1068" s="7">
        <v>2010</v>
      </c>
      <c r="G1068" s="8" t="s">
        <v>20</v>
      </c>
      <c r="H1068" s="19" t="s">
        <v>79</v>
      </c>
      <c r="I1068" s="7" t="s">
        <v>80</v>
      </c>
      <c r="J1068" s="8"/>
      <c r="K1068" s="7"/>
      <c r="L1068" s="7" t="s">
        <v>48</v>
      </c>
      <c r="M1068" s="18">
        <f>M1032</f>
        <v>1.7336600000000001E-3</v>
      </c>
      <c r="N1068" s="7"/>
      <c r="O1068" s="7"/>
      <c r="P1068" s="7"/>
      <c r="Q1068" s="7"/>
      <c r="R1068" s="7"/>
      <c r="S1068" s="7"/>
      <c r="T1068" s="7"/>
    </row>
    <row r="1069" spans="3:20" x14ac:dyDescent="0.25">
      <c r="C1069" s="7"/>
      <c r="D1069" s="7"/>
      <c r="E1069" s="7" t="s">
        <v>19</v>
      </c>
      <c r="F1069" s="7">
        <v>2015</v>
      </c>
      <c r="G1069" s="8" t="s">
        <v>20</v>
      </c>
      <c r="H1069" s="19" t="s">
        <v>79</v>
      </c>
      <c r="I1069" s="7" t="s">
        <v>80</v>
      </c>
      <c r="J1069" s="8"/>
      <c r="K1069" s="7"/>
      <c r="L1069" s="7" t="s">
        <v>48</v>
      </c>
      <c r="M1069" s="18">
        <f t="shared" ref="M1069:M1071" si="214">M1033</f>
        <v>1.4917260000000001E-3</v>
      </c>
      <c r="N1069" s="7"/>
      <c r="O1069" s="7"/>
      <c r="P1069" s="7"/>
      <c r="Q1069" s="7"/>
      <c r="R1069" s="7"/>
      <c r="S1069" s="7"/>
      <c r="T1069" s="7"/>
    </row>
    <row r="1070" spans="3:20" x14ac:dyDescent="0.25">
      <c r="C1070" s="7"/>
      <c r="D1070" s="7"/>
      <c r="E1070" s="7" t="s">
        <v>19</v>
      </c>
      <c r="F1070" s="7">
        <v>2020</v>
      </c>
      <c r="G1070" s="8" t="s">
        <v>20</v>
      </c>
      <c r="H1070" s="19" t="s">
        <v>79</v>
      </c>
      <c r="I1070" s="7" t="s">
        <v>80</v>
      </c>
      <c r="J1070" s="8"/>
      <c r="K1070" s="7"/>
      <c r="L1070" s="7" t="s">
        <v>48</v>
      </c>
      <c r="M1070" s="18">
        <f t="shared" si="214"/>
        <v>1.402946E-3</v>
      </c>
      <c r="N1070" s="7"/>
      <c r="O1070" s="7"/>
      <c r="P1070" s="7"/>
      <c r="Q1070" s="7"/>
      <c r="R1070" s="7"/>
      <c r="S1070" s="7"/>
      <c r="T1070" s="7"/>
    </row>
    <row r="1071" spans="3:20" x14ac:dyDescent="0.25">
      <c r="C1071" s="7"/>
      <c r="D1071" s="7"/>
      <c r="E1071" s="7" t="s">
        <v>19</v>
      </c>
      <c r="F1071" s="7">
        <v>2055</v>
      </c>
      <c r="G1071" s="8" t="s">
        <v>20</v>
      </c>
      <c r="H1071" s="19" t="s">
        <v>79</v>
      </c>
      <c r="I1071" s="7" t="s">
        <v>80</v>
      </c>
      <c r="J1071" s="8"/>
      <c r="K1071" s="7"/>
      <c r="L1071" s="7" t="s">
        <v>48</v>
      </c>
      <c r="M1071" s="18">
        <f t="shared" si="214"/>
        <v>1.402946E-3</v>
      </c>
      <c r="N1071" s="7"/>
      <c r="O1071" s="7"/>
      <c r="P1071" s="7"/>
      <c r="Q1071" s="7"/>
      <c r="R1071" s="7"/>
      <c r="S1071" s="7"/>
      <c r="T1071" s="7"/>
    </row>
    <row r="1072" spans="3:20" x14ac:dyDescent="0.25">
      <c r="C1072" s="7"/>
      <c r="D1072" s="7"/>
      <c r="E1072" s="7" t="s">
        <v>19</v>
      </c>
      <c r="F1072" s="7">
        <v>2010</v>
      </c>
      <c r="G1072" s="8" t="s">
        <v>20</v>
      </c>
      <c r="H1072" s="19" t="s">
        <v>79</v>
      </c>
      <c r="I1072" s="7" t="s">
        <v>80</v>
      </c>
      <c r="J1072" s="8"/>
      <c r="K1072" s="7"/>
      <c r="L1072" s="7" t="s">
        <v>49</v>
      </c>
      <c r="M1072" s="7">
        <f>'Emissions - REF'!$C$40</f>
        <v>5.0055087690000004</v>
      </c>
      <c r="N1072" s="7"/>
      <c r="O1072" s="7"/>
      <c r="P1072" s="7"/>
      <c r="Q1072" s="7"/>
      <c r="R1072" s="7"/>
      <c r="S1072" s="7"/>
      <c r="T1072" s="7"/>
    </row>
    <row r="1073" spans="3:20" x14ac:dyDescent="0.25">
      <c r="C1073" s="7"/>
      <c r="D1073" s="7"/>
      <c r="E1073" s="7" t="s">
        <v>19</v>
      </c>
      <c r="F1073" s="7">
        <v>2015</v>
      </c>
      <c r="G1073" s="8" t="s">
        <v>20</v>
      </c>
      <c r="H1073" s="19" t="s">
        <v>79</v>
      </c>
      <c r="I1073" s="7" t="s">
        <v>80</v>
      </c>
      <c r="J1073" s="8"/>
      <c r="K1073" s="7"/>
      <c r="L1073" s="7" t="s">
        <v>49</v>
      </c>
      <c r="M1073" s="7">
        <f>'Emissions - REF'!$D$40</f>
        <v>5.0055087690000004</v>
      </c>
      <c r="N1073" s="7"/>
      <c r="O1073" s="7"/>
      <c r="P1073" s="7"/>
      <c r="Q1073" s="7"/>
      <c r="R1073" s="7"/>
      <c r="S1073" s="7"/>
      <c r="T1073" s="7"/>
    </row>
    <row r="1074" spans="3:20" x14ac:dyDescent="0.25">
      <c r="C1074" s="7"/>
      <c r="D1074" s="7"/>
      <c r="E1074" s="7" t="s">
        <v>19</v>
      </c>
      <c r="F1074" s="7">
        <v>2020</v>
      </c>
      <c r="G1074" s="8" t="s">
        <v>20</v>
      </c>
      <c r="H1074" s="19" t="s">
        <v>79</v>
      </c>
      <c r="I1074" s="7" t="s">
        <v>80</v>
      </c>
      <c r="J1074" s="8"/>
      <c r="K1074" s="7"/>
      <c r="L1074" s="7" t="s">
        <v>49</v>
      </c>
      <c r="M1074" s="7">
        <f>'Emissions - REF'!$E$40</f>
        <v>5.0055087690000004</v>
      </c>
      <c r="N1074" s="7"/>
      <c r="O1074" s="7"/>
      <c r="P1074" s="7"/>
      <c r="Q1074" s="7"/>
      <c r="R1074" s="7"/>
      <c r="S1074" s="7"/>
      <c r="T1074" s="7"/>
    </row>
    <row r="1075" spans="3:20" x14ac:dyDescent="0.25">
      <c r="C1075" s="7"/>
      <c r="D1075" s="7"/>
      <c r="E1075" s="7" t="s">
        <v>19</v>
      </c>
      <c r="F1075" s="7">
        <v>2055</v>
      </c>
      <c r="G1075" s="8" t="s">
        <v>20</v>
      </c>
      <c r="H1075" s="19" t="s">
        <v>79</v>
      </c>
      <c r="I1075" s="7" t="s">
        <v>80</v>
      </c>
      <c r="J1075" s="8"/>
      <c r="K1075" s="7"/>
      <c r="L1075" s="7" t="s">
        <v>49</v>
      </c>
      <c r="M1075" s="7">
        <f>M1074</f>
        <v>5.0055087690000004</v>
      </c>
      <c r="N1075" s="7"/>
      <c r="O1075" s="7"/>
      <c r="P1075" s="7"/>
      <c r="Q1075" s="7"/>
      <c r="R1075" s="7"/>
      <c r="S1075" s="7"/>
      <c r="T1075" s="7"/>
    </row>
    <row r="1076" spans="3:20" x14ac:dyDescent="0.25">
      <c r="C1076" s="7"/>
      <c r="D1076" s="7"/>
      <c r="E1076" s="7" t="s">
        <v>19</v>
      </c>
      <c r="F1076" s="7">
        <v>2010</v>
      </c>
      <c r="G1076" s="8" t="s">
        <v>20</v>
      </c>
      <c r="H1076" s="19" t="s">
        <v>79</v>
      </c>
      <c r="I1076" s="7" t="s">
        <v>80</v>
      </c>
      <c r="J1076" s="8"/>
      <c r="K1076" s="7"/>
      <c r="L1076" s="7" t="s">
        <v>50</v>
      </c>
      <c r="M1076" s="18">
        <f>M1060</f>
        <v>6.9174759999999997E-3</v>
      </c>
      <c r="N1076" s="7"/>
      <c r="O1076" s="7"/>
      <c r="P1076" s="7"/>
      <c r="Q1076" s="7"/>
      <c r="R1076" s="7"/>
      <c r="S1076" s="7"/>
      <c r="T1076" s="7"/>
    </row>
    <row r="1077" spans="3:20" x14ac:dyDescent="0.25">
      <c r="C1077" s="7"/>
      <c r="D1077" s="7"/>
      <c r="E1077" s="7" t="s">
        <v>19</v>
      </c>
      <c r="F1077" s="7">
        <v>2015</v>
      </c>
      <c r="G1077" s="8" t="s">
        <v>20</v>
      </c>
      <c r="H1077" s="19" t="s">
        <v>79</v>
      </c>
      <c r="I1077" s="7" t="s">
        <v>80</v>
      </c>
      <c r="J1077" s="8"/>
      <c r="K1077" s="7"/>
      <c r="L1077" s="7" t="s">
        <v>50</v>
      </c>
      <c r="M1077" s="18">
        <f t="shared" ref="M1077:M1079" si="215">M1061</f>
        <v>6.01345E-3</v>
      </c>
      <c r="N1077" s="7"/>
      <c r="O1077" s="7"/>
      <c r="P1077" s="7"/>
      <c r="Q1077" s="7"/>
      <c r="R1077" s="7"/>
      <c r="S1077" s="7"/>
      <c r="T1077" s="7"/>
    </row>
    <row r="1078" spans="3:20" x14ac:dyDescent="0.25">
      <c r="C1078" s="7"/>
      <c r="D1078" s="7"/>
      <c r="E1078" s="7" t="s">
        <v>19</v>
      </c>
      <c r="F1078" s="7">
        <v>2020</v>
      </c>
      <c r="G1078" s="8" t="s">
        <v>20</v>
      </c>
      <c r="H1078" s="19" t="s">
        <v>79</v>
      </c>
      <c r="I1078" s="7" t="s">
        <v>80</v>
      </c>
      <c r="J1078" s="8"/>
      <c r="K1078" s="7"/>
      <c r="L1078" s="7" t="s">
        <v>50</v>
      </c>
      <c r="M1078" s="18">
        <f t="shared" si="215"/>
        <v>5.6254759999999999E-3</v>
      </c>
      <c r="N1078" s="7"/>
      <c r="O1078" s="7"/>
      <c r="P1078" s="7"/>
      <c r="Q1078" s="7"/>
      <c r="R1078" s="7"/>
      <c r="S1078" s="7"/>
      <c r="T1078" s="7"/>
    </row>
    <row r="1079" spans="3:20" x14ac:dyDescent="0.25">
      <c r="C1079" s="7"/>
      <c r="D1079" s="7"/>
      <c r="E1079" s="7" t="s">
        <v>19</v>
      </c>
      <c r="F1079" s="7">
        <v>2055</v>
      </c>
      <c r="G1079" s="8" t="s">
        <v>20</v>
      </c>
      <c r="H1079" s="19" t="s">
        <v>79</v>
      </c>
      <c r="I1079" s="7" t="s">
        <v>80</v>
      </c>
      <c r="J1079" s="8"/>
      <c r="K1079" s="7"/>
      <c r="L1079" s="7" t="s">
        <v>50</v>
      </c>
      <c r="M1079" s="18">
        <f t="shared" si="215"/>
        <v>5.6254759999999999E-3</v>
      </c>
      <c r="N1079" s="7"/>
      <c r="O1079" s="7"/>
      <c r="P1079" s="7"/>
      <c r="Q1079" s="7"/>
      <c r="R1079" s="7"/>
      <c r="S1079" s="7"/>
      <c r="T1079" s="7"/>
    </row>
    <row r="1080" spans="3:20" x14ac:dyDescent="0.25">
      <c r="C1080" s="15" t="s">
        <v>33</v>
      </c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</row>
    <row r="1081" spans="3:20" x14ac:dyDescent="0.25">
      <c r="C1081" s="7"/>
      <c r="D1081" s="7"/>
      <c r="E1081" s="7" t="s">
        <v>19</v>
      </c>
      <c r="F1081" s="7">
        <v>2010</v>
      </c>
      <c r="G1081" s="8" t="s">
        <v>20</v>
      </c>
      <c r="H1081" s="19" t="s">
        <v>81</v>
      </c>
      <c r="I1081" s="7" t="s">
        <v>82</v>
      </c>
      <c r="J1081" s="8"/>
      <c r="K1081" s="7"/>
      <c r="L1081" s="7" t="s">
        <v>22</v>
      </c>
      <c r="M1081" s="18">
        <f>M1137/1000</f>
        <v>6.124010979E-3</v>
      </c>
      <c r="N1081" s="7"/>
      <c r="O1081" s="7"/>
      <c r="P1081" s="7"/>
      <c r="Q1081" s="7"/>
      <c r="R1081" s="7"/>
      <c r="S1081" s="7"/>
      <c r="T1081" s="7"/>
    </row>
    <row r="1082" spans="3:20" x14ac:dyDescent="0.25">
      <c r="C1082" s="7"/>
      <c r="D1082" s="7"/>
      <c r="E1082" s="7" t="s">
        <v>19</v>
      </c>
      <c r="F1082" s="7">
        <v>2015</v>
      </c>
      <c r="G1082" s="8" t="s">
        <v>20</v>
      </c>
      <c r="H1082" s="19" t="s">
        <v>81</v>
      </c>
      <c r="I1082" s="7" t="s">
        <v>82</v>
      </c>
      <c r="J1082" s="8"/>
      <c r="K1082" s="7"/>
      <c r="L1082" s="7" t="s">
        <v>22</v>
      </c>
      <c r="M1082" s="18">
        <f t="shared" ref="M1082:M1084" si="216">M1138/1000</f>
        <v>6.124010979E-3</v>
      </c>
      <c r="N1082" s="7"/>
      <c r="O1082" s="7"/>
      <c r="P1082" s="7"/>
      <c r="Q1082" s="7"/>
      <c r="R1082" s="7"/>
      <c r="S1082" s="7"/>
      <c r="T1082" s="7"/>
    </row>
    <row r="1083" spans="3:20" x14ac:dyDescent="0.25">
      <c r="C1083" s="7"/>
      <c r="D1083" s="7"/>
      <c r="E1083" s="7" t="s">
        <v>19</v>
      </c>
      <c r="F1083" s="7">
        <v>2020</v>
      </c>
      <c r="G1083" s="8" t="s">
        <v>20</v>
      </c>
      <c r="H1083" s="19" t="s">
        <v>81</v>
      </c>
      <c r="I1083" s="7" t="s">
        <v>82</v>
      </c>
      <c r="J1083" s="8"/>
      <c r="K1083" s="7"/>
      <c r="L1083" s="7" t="s">
        <v>22</v>
      </c>
      <c r="M1083" s="18">
        <f t="shared" si="216"/>
        <v>6.124010979E-3</v>
      </c>
      <c r="N1083" s="7"/>
      <c r="O1083" s="7"/>
      <c r="P1083" s="7"/>
      <c r="Q1083" s="7"/>
      <c r="R1083" s="7"/>
      <c r="S1083" s="7"/>
      <c r="T1083" s="7"/>
    </row>
    <row r="1084" spans="3:20" x14ac:dyDescent="0.25">
      <c r="C1084" s="7"/>
      <c r="D1084" s="7"/>
      <c r="E1084" s="7" t="s">
        <v>19</v>
      </c>
      <c r="F1084" s="7">
        <v>2055</v>
      </c>
      <c r="G1084" s="8" t="s">
        <v>20</v>
      </c>
      <c r="H1084" s="19" t="s">
        <v>81</v>
      </c>
      <c r="I1084" s="7" t="s">
        <v>82</v>
      </c>
      <c r="J1084" s="8"/>
      <c r="K1084" s="7"/>
      <c r="L1084" s="7" t="s">
        <v>22</v>
      </c>
      <c r="M1084" s="18">
        <f t="shared" si="216"/>
        <v>6.124010979E-3</v>
      </c>
      <c r="N1084" s="7"/>
      <c r="O1084" s="7"/>
      <c r="P1084" s="7"/>
      <c r="Q1084" s="7"/>
      <c r="R1084" s="7"/>
      <c r="S1084" s="7"/>
      <c r="T1084" s="7"/>
    </row>
    <row r="1085" spans="3:20" x14ac:dyDescent="0.25">
      <c r="C1085" s="7"/>
      <c r="D1085" s="7"/>
      <c r="E1085" s="7" t="s">
        <v>19</v>
      </c>
      <c r="F1085" s="7">
        <v>2010</v>
      </c>
      <c r="G1085" s="8" t="s">
        <v>20</v>
      </c>
      <c r="H1085" s="19" t="s">
        <v>81</v>
      </c>
      <c r="I1085" s="7" t="s">
        <v>82</v>
      </c>
      <c r="J1085" s="8"/>
      <c r="K1085" s="7"/>
      <c r="L1085" s="7" t="s">
        <v>23</v>
      </c>
      <c r="M1085" s="18">
        <f>'Emissions - REF'!$C$6</f>
        <v>2.3232979999999997E-3</v>
      </c>
      <c r="N1085" s="7"/>
      <c r="O1085" s="7"/>
      <c r="P1085" s="7"/>
      <c r="Q1085" s="7"/>
      <c r="R1085" s="7"/>
      <c r="S1085" s="7"/>
      <c r="T1085" s="7"/>
    </row>
    <row r="1086" spans="3:20" x14ac:dyDescent="0.25">
      <c r="C1086" s="7"/>
      <c r="D1086" s="7"/>
      <c r="E1086" s="7" t="s">
        <v>19</v>
      </c>
      <c r="F1086" s="7">
        <v>2015</v>
      </c>
      <c r="G1086" s="8" t="s">
        <v>20</v>
      </c>
      <c r="H1086" s="19" t="s">
        <v>81</v>
      </c>
      <c r="I1086" s="7" t="s">
        <v>82</v>
      </c>
      <c r="J1086" s="8"/>
      <c r="K1086" s="7"/>
      <c r="L1086" s="7" t="s">
        <v>23</v>
      </c>
      <c r="M1086" s="18">
        <f>'Emissions - REF'!$D$6</f>
        <v>2.3232979999999997E-3</v>
      </c>
      <c r="N1086" s="7"/>
      <c r="O1086" s="7"/>
      <c r="P1086" s="7"/>
      <c r="Q1086" s="7"/>
      <c r="R1086" s="7"/>
      <c r="S1086" s="7"/>
      <c r="T1086" s="7"/>
    </row>
    <row r="1087" spans="3:20" x14ac:dyDescent="0.25">
      <c r="C1087" s="7"/>
      <c r="D1087" s="7"/>
      <c r="E1087" s="7" t="s">
        <v>19</v>
      </c>
      <c r="F1087" s="7">
        <v>2020</v>
      </c>
      <c r="G1087" s="8" t="s">
        <v>20</v>
      </c>
      <c r="H1087" s="19" t="s">
        <v>81</v>
      </c>
      <c r="I1087" s="7" t="s">
        <v>82</v>
      </c>
      <c r="J1087" s="8"/>
      <c r="K1087" s="7"/>
      <c r="L1087" s="7" t="s">
        <v>23</v>
      </c>
      <c r="M1087" s="18">
        <f>'Emissions - REF'!$E$6</f>
        <v>2.3232979999999997E-3</v>
      </c>
      <c r="N1087" s="7"/>
      <c r="O1087" s="7"/>
      <c r="P1087" s="7"/>
      <c r="Q1087" s="7"/>
      <c r="R1087" s="7"/>
      <c r="S1087" s="7"/>
      <c r="T1087" s="7"/>
    </row>
    <row r="1088" spans="3:20" x14ac:dyDescent="0.25">
      <c r="C1088" s="7"/>
      <c r="D1088" s="7"/>
      <c r="E1088" s="7" t="s">
        <v>19</v>
      </c>
      <c r="F1088" s="7">
        <v>2055</v>
      </c>
      <c r="G1088" s="8" t="s">
        <v>20</v>
      </c>
      <c r="H1088" s="19" t="s">
        <v>81</v>
      </c>
      <c r="I1088" s="7" t="s">
        <v>82</v>
      </c>
      <c r="J1088" s="8"/>
      <c r="K1088" s="7"/>
      <c r="L1088" s="7" t="s">
        <v>23</v>
      </c>
      <c r="M1088" s="18">
        <f>M1087</f>
        <v>2.3232979999999997E-3</v>
      </c>
      <c r="N1088" s="7"/>
      <c r="O1088" s="7"/>
      <c r="P1088" s="7"/>
      <c r="Q1088" s="7"/>
      <c r="R1088" s="7"/>
      <c r="S1088" s="7"/>
      <c r="T1088" s="7"/>
    </row>
    <row r="1089" spans="3:20" x14ac:dyDescent="0.25">
      <c r="C1089" s="7"/>
      <c r="D1089" s="7"/>
      <c r="E1089" s="7" t="s">
        <v>19</v>
      </c>
      <c r="F1089" s="7">
        <v>2010</v>
      </c>
      <c r="G1089" s="8" t="s">
        <v>20</v>
      </c>
      <c r="H1089" s="19" t="s">
        <v>81</v>
      </c>
      <c r="I1089" s="7" t="s">
        <v>82</v>
      </c>
      <c r="J1089" s="8"/>
      <c r="K1089" s="7"/>
      <c r="L1089" s="7" t="s">
        <v>24</v>
      </c>
      <c r="M1089" s="18">
        <f>'Emissions - REF'!$C$7</f>
        <v>3.5583780000000001E-3</v>
      </c>
      <c r="N1089" s="7"/>
      <c r="O1089" s="7"/>
      <c r="P1089" s="7"/>
      <c r="Q1089" s="7"/>
      <c r="R1089" s="7"/>
      <c r="S1089" s="7"/>
      <c r="T1089" s="7"/>
    </row>
    <row r="1090" spans="3:20" x14ac:dyDescent="0.25">
      <c r="C1090" s="7"/>
      <c r="D1090" s="7"/>
      <c r="E1090" s="7" t="s">
        <v>19</v>
      </c>
      <c r="F1090" s="7">
        <v>2015</v>
      </c>
      <c r="G1090" s="8" t="s">
        <v>20</v>
      </c>
      <c r="H1090" s="19" t="s">
        <v>81</v>
      </c>
      <c r="I1090" s="7" t="s">
        <v>82</v>
      </c>
      <c r="J1090" s="8"/>
      <c r="K1090" s="7"/>
      <c r="L1090" s="7" t="s">
        <v>24</v>
      </c>
      <c r="M1090" s="18">
        <f>'Emissions - REF'!$D$7</f>
        <v>3.5583780000000001E-3</v>
      </c>
      <c r="N1090" s="7"/>
      <c r="O1090" s="7"/>
      <c r="P1090" s="7"/>
      <c r="Q1090" s="7"/>
      <c r="R1090" s="7"/>
      <c r="S1090" s="7"/>
      <c r="T1090" s="7"/>
    </row>
    <row r="1091" spans="3:20" x14ac:dyDescent="0.25">
      <c r="C1091" s="7"/>
      <c r="D1091" s="7"/>
      <c r="E1091" s="7" t="s">
        <v>19</v>
      </c>
      <c r="F1091" s="7">
        <v>2020</v>
      </c>
      <c r="G1091" s="8" t="s">
        <v>20</v>
      </c>
      <c r="H1091" s="19" t="s">
        <v>81</v>
      </c>
      <c r="I1091" s="7" t="s">
        <v>82</v>
      </c>
      <c r="J1091" s="8"/>
      <c r="K1091" s="7"/>
      <c r="L1091" s="7" t="s">
        <v>24</v>
      </c>
      <c r="M1091" s="18">
        <f>'Emissions - REF'!$E$7</f>
        <v>3.5583780000000001E-3</v>
      </c>
      <c r="N1091" s="7"/>
      <c r="O1091" s="7"/>
      <c r="P1091" s="7"/>
      <c r="Q1091" s="7"/>
      <c r="R1091" s="7"/>
      <c r="S1091" s="7"/>
      <c r="T1091" s="7"/>
    </row>
    <row r="1092" spans="3:20" x14ac:dyDescent="0.25">
      <c r="C1092" s="7"/>
      <c r="D1092" s="7"/>
      <c r="E1092" s="7" t="s">
        <v>19</v>
      </c>
      <c r="F1092" s="7">
        <v>2055</v>
      </c>
      <c r="G1092" s="8" t="s">
        <v>20</v>
      </c>
      <c r="H1092" s="19" t="s">
        <v>81</v>
      </c>
      <c r="I1092" s="7" t="s">
        <v>82</v>
      </c>
      <c r="J1092" s="8"/>
      <c r="K1092" s="7"/>
      <c r="L1092" s="7" t="s">
        <v>24</v>
      </c>
      <c r="M1092" s="18">
        <f>M1091</f>
        <v>3.5583780000000001E-3</v>
      </c>
      <c r="N1092" s="7"/>
      <c r="O1092" s="7"/>
      <c r="P1092" s="7"/>
      <c r="Q1092" s="7"/>
      <c r="R1092" s="7"/>
      <c r="S1092" s="7"/>
      <c r="T1092" s="7"/>
    </row>
    <row r="1093" spans="3:20" x14ac:dyDescent="0.25">
      <c r="C1093" s="7"/>
      <c r="D1093" s="7"/>
      <c r="E1093" s="7" t="s">
        <v>19</v>
      </c>
      <c r="F1093" s="7">
        <v>2010</v>
      </c>
      <c r="G1093" s="8" t="s">
        <v>20</v>
      </c>
      <c r="H1093" s="19" t="s">
        <v>81</v>
      </c>
      <c r="I1093" s="7" t="s">
        <v>82</v>
      </c>
      <c r="J1093" s="8"/>
      <c r="K1093" s="7"/>
      <c r="L1093" s="7" t="s">
        <v>25</v>
      </c>
      <c r="M1093" s="18">
        <f>'Emissions - REF'!$C$8</f>
        <v>8.144765E-3</v>
      </c>
      <c r="N1093" s="7"/>
      <c r="O1093" s="7"/>
      <c r="P1093" s="7"/>
      <c r="Q1093" s="7"/>
      <c r="R1093" s="7"/>
      <c r="S1093" s="7"/>
      <c r="T1093" s="7"/>
    </row>
    <row r="1094" spans="3:20" x14ac:dyDescent="0.25">
      <c r="C1094" s="7"/>
      <c r="D1094" s="7"/>
      <c r="E1094" s="7" t="s">
        <v>19</v>
      </c>
      <c r="F1094" s="7">
        <v>2015</v>
      </c>
      <c r="G1094" s="8" t="s">
        <v>20</v>
      </c>
      <c r="H1094" s="19" t="s">
        <v>81</v>
      </c>
      <c r="I1094" s="7" t="s">
        <v>82</v>
      </c>
      <c r="J1094" s="8"/>
      <c r="K1094" s="7"/>
      <c r="L1094" s="7" t="s">
        <v>25</v>
      </c>
      <c r="M1094" s="18">
        <f>'Emissions - REF'!$D$8</f>
        <v>7.2287209999999996E-3</v>
      </c>
      <c r="N1094" s="7"/>
      <c r="O1094" s="7"/>
      <c r="P1094" s="7"/>
      <c r="Q1094" s="7"/>
      <c r="R1094" s="7"/>
      <c r="S1094" s="7"/>
      <c r="T1094" s="7"/>
    </row>
    <row r="1095" spans="3:20" x14ac:dyDescent="0.25">
      <c r="C1095" s="7"/>
      <c r="D1095" s="7"/>
      <c r="E1095" s="7" t="s">
        <v>19</v>
      </c>
      <c r="F1095" s="7">
        <v>2020</v>
      </c>
      <c r="G1095" s="8" t="s">
        <v>20</v>
      </c>
      <c r="H1095" s="19" t="s">
        <v>81</v>
      </c>
      <c r="I1095" s="7" t="s">
        <v>82</v>
      </c>
      <c r="J1095" s="8"/>
      <c r="K1095" s="7"/>
      <c r="L1095" s="7" t="s">
        <v>25</v>
      </c>
      <c r="M1095" s="18">
        <f>'Emissions - REF'!$E$8</f>
        <v>6.8386099999999993E-3</v>
      </c>
      <c r="N1095" s="7"/>
      <c r="O1095" s="7"/>
      <c r="P1095" s="7"/>
      <c r="Q1095" s="7"/>
      <c r="R1095" s="7"/>
      <c r="S1095" s="7"/>
      <c r="T1095" s="7"/>
    </row>
    <row r="1096" spans="3:20" x14ac:dyDescent="0.25">
      <c r="C1096" s="7"/>
      <c r="D1096" s="7"/>
      <c r="E1096" s="7" t="s">
        <v>19</v>
      </c>
      <c r="F1096" s="7">
        <v>2055</v>
      </c>
      <c r="G1096" s="8" t="s">
        <v>20</v>
      </c>
      <c r="H1096" s="19" t="s">
        <v>81</v>
      </c>
      <c r="I1096" s="7" t="s">
        <v>82</v>
      </c>
      <c r="J1096" s="8"/>
      <c r="K1096" s="7"/>
      <c r="L1096" s="7" t="s">
        <v>25</v>
      </c>
      <c r="M1096" s="18">
        <f>M1095</f>
        <v>6.8386099999999993E-3</v>
      </c>
      <c r="N1096" s="7"/>
      <c r="O1096" s="7"/>
      <c r="P1096" s="7"/>
      <c r="Q1096" s="7"/>
      <c r="R1096" s="7"/>
      <c r="S1096" s="7"/>
      <c r="T1096" s="7"/>
    </row>
    <row r="1097" spans="3:20" x14ac:dyDescent="0.25">
      <c r="C1097" s="7"/>
      <c r="D1097" s="7"/>
      <c r="E1097" s="7" t="s">
        <v>19</v>
      </c>
      <c r="F1097" s="7">
        <v>2010</v>
      </c>
      <c r="G1097" s="8" t="s">
        <v>20</v>
      </c>
      <c r="H1097" s="19" t="s">
        <v>81</v>
      </c>
      <c r="I1097" s="7" t="s">
        <v>82</v>
      </c>
      <c r="J1097" s="8"/>
      <c r="K1097" s="7"/>
      <c r="L1097" s="7" t="s">
        <v>26</v>
      </c>
      <c r="M1097" s="18">
        <f>'Emissions - REF'!$C$9</f>
        <v>1.9528849999999999E-3</v>
      </c>
      <c r="N1097" s="7"/>
      <c r="O1097" s="7"/>
      <c r="P1097" s="7"/>
      <c r="Q1097" s="7"/>
      <c r="R1097" s="7"/>
      <c r="S1097" s="7"/>
      <c r="T1097" s="7"/>
    </row>
    <row r="1098" spans="3:20" x14ac:dyDescent="0.25">
      <c r="C1098" s="7"/>
      <c r="D1098" s="7"/>
      <c r="E1098" s="7" t="s">
        <v>19</v>
      </c>
      <c r="F1098" s="7">
        <v>2015</v>
      </c>
      <c r="G1098" s="8" t="s">
        <v>20</v>
      </c>
      <c r="H1098" s="19" t="s">
        <v>81</v>
      </c>
      <c r="I1098" s="7" t="s">
        <v>82</v>
      </c>
      <c r="J1098" s="8"/>
      <c r="K1098" s="7"/>
      <c r="L1098" s="7" t="s">
        <v>26</v>
      </c>
      <c r="M1098" s="18">
        <f>'Emissions - REF'!$D$9</f>
        <v>1.7367819999999999E-3</v>
      </c>
      <c r="N1098" s="7"/>
      <c r="O1098" s="7"/>
      <c r="P1098" s="7"/>
      <c r="Q1098" s="7"/>
      <c r="R1098" s="7"/>
      <c r="S1098" s="7"/>
      <c r="T1098" s="7"/>
    </row>
    <row r="1099" spans="3:20" x14ac:dyDescent="0.25">
      <c r="C1099" s="7"/>
      <c r="D1099" s="7"/>
      <c r="E1099" s="7" t="s">
        <v>19</v>
      </c>
      <c r="F1099" s="7">
        <v>2020</v>
      </c>
      <c r="G1099" s="8" t="s">
        <v>20</v>
      </c>
      <c r="H1099" s="19" t="s">
        <v>81</v>
      </c>
      <c r="I1099" s="7" t="s">
        <v>82</v>
      </c>
      <c r="J1099" s="8"/>
      <c r="K1099" s="7"/>
      <c r="L1099" s="7" t="s">
        <v>26</v>
      </c>
      <c r="M1099" s="18">
        <f>'Emissions - REF'!$E$9</f>
        <v>1.6641300000000002E-3</v>
      </c>
      <c r="N1099" s="7"/>
      <c r="O1099" s="7"/>
      <c r="P1099" s="7"/>
      <c r="Q1099" s="7"/>
      <c r="R1099" s="7"/>
      <c r="S1099" s="7"/>
      <c r="T1099" s="7"/>
    </row>
    <row r="1100" spans="3:20" x14ac:dyDescent="0.25">
      <c r="C1100" s="7"/>
      <c r="D1100" s="7"/>
      <c r="E1100" s="7" t="s">
        <v>19</v>
      </c>
      <c r="F1100" s="7">
        <v>2055</v>
      </c>
      <c r="G1100" s="8" t="s">
        <v>20</v>
      </c>
      <c r="H1100" s="19" t="s">
        <v>81</v>
      </c>
      <c r="I1100" s="7" t="s">
        <v>82</v>
      </c>
      <c r="J1100" s="8"/>
      <c r="K1100" s="7"/>
      <c r="L1100" s="7" t="s">
        <v>26</v>
      </c>
      <c r="M1100" s="18">
        <f>M1099</f>
        <v>1.6641300000000002E-3</v>
      </c>
      <c r="N1100" s="7"/>
      <c r="O1100" s="7"/>
      <c r="P1100" s="7"/>
      <c r="Q1100" s="7"/>
      <c r="R1100" s="7"/>
      <c r="S1100" s="7"/>
      <c r="T1100" s="7"/>
    </row>
    <row r="1101" spans="3:20" x14ac:dyDescent="0.25">
      <c r="C1101" s="7"/>
      <c r="D1101" s="7"/>
      <c r="E1101" s="7" t="s">
        <v>19</v>
      </c>
      <c r="F1101" s="7">
        <v>2010</v>
      </c>
      <c r="G1101" s="8" t="s">
        <v>20</v>
      </c>
      <c r="H1101" s="19" t="s">
        <v>81</v>
      </c>
      <c r="I1101" s="7" t="s">
        <v>82</v>
      </c>
      <c r="J1101" s="8"/>
      <c r="K1101" s="7"/>
      <c r="L1101" s="7" t="s">
        <v>27</v>
      </c>
      <c r="M1101" s="18">
        <f>'Emissions - REF'!$C$10</f>
        <v>1.086119E-3</v>
      </c>
      <c r="N1101" s="7"/>
      <c r="O1101" s="7"/>
      <c r="P1101" s="7"/>
      <c r="Q1101" s="7"/>
      <c r="R1101" s="7"/>
      <c r="S1101" s="7"/>
      <c r="T1101" s="7"/>
    </row>
    <row r="1102" spans="3:20" x14ac:dyDescent="0.25">
      <c r="C1102" s="7"/>
      <c r="D1102" s="7"/>
      <c r="E1102" s="7" t="s">
        <v>19</v>
      </c>
      <c r="F1102" s="7">
        <v>2015</v>
      </c>
      <c r="G1102" s="8" t="s">
        <v>20</v>
      </c>
      <c r="H1102" s="19" t="s">
        <v>81</v>
      </c>
      <c r="I1102" s="7" t="s">
        <v>82</v>
      </c>
      <c r="J1102" s="8"/>
      <c r="K1102" s="7"/>
      <c r="L1102" s="7" t="s">
        <v>27</v>
      </c>
      <c r="M1102" s="18">
        <f>'Emissions - REF'!$D$10</f>
        <v>1.0130989999999999E-3</v>
      </c>
      <c r="N1102" s="7"/>
      <c r="O1102" s="7"/>
      <c r="P1102" s="7"/>
      <c r="Q1102" s="7"/>
      <c r="R1102" s="7"/>
      <c r="S1102" s="7"/>
      <c r="T1102" s="7"/>
    </row>
    <row r="1103" spans="3:20" x14ac:dyDescent="0.25">
      <c r="C1103" s="7"/>
      <c r="D1103" s="7"/>
      <c r="E1103" s="7" t="s">
        <v>19</v>
      </c>
      <c r="F1103" s="7">
        <v>2020</v>
      </c>
      <c r="G1103" s="8" t="s">
        <v>20</v>
      </c>
      <c r="H1103" s="19" t="s">
        <v>81</v>
      </c>
      <c r="I1103" s="7" t="s">
        <v>82</v>
      </c>
      <c r="J1103" s="8"/>
      <c r="K1103" s="7"/>
      <c r="L1103" s="7" t="s">
        <v>27</v>
      </c>
      <c r="M1103" s="18">
        <f>'Emissions - REF'!$E$10</f>
        <v>9.4102599999999997E-4</v>
      </c>
      <c r="N1103" s="7"/>
      <c r="O1103" s="7"/>
      <c r="P1103" s="7"/>
      <c r="Q1103" s="7"/>
      <c r="R1103" s="7"/>
      <c r="S1103" s="7"/>
      <c r="T1103" s="7"/>
    </row>
    <row r="1104" spans="3:20" x14ac:dyDescent="0.25">
      <c r="C1104" s="7"/>
      <c r="D1104" s="7"/>
      <c r="E1104" s="7" t="s">
        <v>19</v>
      </c>
      <c r="F1104" s="7">
        <v>2055</v>
      </c>
      <c r="G1104" s="8" t="s">
        <v>20</v>
      </c>
      <c r="H1104" s="19" t="s">
        <v>81</v>
      </c>
      <c r="I1104" s="7" t="s">
        <v>82</v>
      </c>
      <c r="J1104" s="8"/>
      <c r="K1104" s="7"/>
      <c r="L1104" s="7" t="s">
        <v>27</v>
      </c>
      <c r="M1104" s="18">
        <f>M1103</f>
        <v>9.4102599999999997E-4</v>
      </c>
      <c r="N1104" s="7"/>
      <c r="O1104" s="7"/>
      <c r="P1104" s="7"/>
      <c r="Q1104" s="7"/>
      <c r="R1104" s="7"/>
      <c r="S1104" s="7"/>
      <c r="T1104" s="7"/>
    </row>
    <row r="1105" spans="3:20" x14ac:dyDescent="0.25">
      <c r="C1105" s="7"/>
      <c r="D1105" s="7"/>
      <c r="E1105" s="7" t="s">
        <v>19</v>
      </c>
      <c r="F1105" s="7">
        <v>2010</v>
      </c>
      <c r="G1105" s="8" t="s">
        <v>20</v>
      </c>
      <c r="H1105" s="19" t="s">
        <v>81</v>
      </c>
      <c r="I1105" s="7" t="s">
        <v>82</v>
      </c>
      <c r="J1105" s="8"/>
      <c r="K1105" s="7"/>
      <c r="L1105" s="7" t="s">
        <v>28</v>
      </c>
      <c r="M1105" s="18">
        <f>'Emissions - REF'!$C$11</f>
        <v>7.1050530000000001E-3</v>
      </c>
      <c r="N1105" s="7"/>
      <c r="O1105" s="7"/>
      <c r="P1105" s="7"/>
      <c r="Q1105" s="7"/>
      <c r="R1105" s="7"/>
      <c r="S1105" s="7"/>
      <c r="T1105" s="7"/>
    </row>
    <row r="1106" spans="3:20" x14ac:dyDescent="0.25">
      <c r="C1106" s="7"/>
      <c r="D1106" s="7"/>
      <c r="E1106" s="7" t="s">
        <v>19</v>
      </c>
      <c r="F1106" s="7">
        <v>2015</v>
      </c>
      <c r="G1106" s="8" t="s">
        <v>20</v>
      </c>
      <c r="H1106" s="19" t="s">
        <v>81</v>
      </c>
      <c r="I1106" s="7" t="s">
        <v>82</v>
      </c>
      <c r="J1106" s="8"/>
      <c r="K1106" s="7"/>
      <c r="L1106" s="7" t="s">
        <v>28</v>
      </c>
      <c r="M1106" s="18">
        <f>'Emissions - REF'!$D$11</f>
        <v>6.1110929999999997E-3</v>
      </c>
      <c r="N1106" s="7"/>
      <c r="O1106" s="7"/>
      <c r="P1106" s="7"/>
      <c r="Q1106" s="7"/>
      <c r="R1106" s="7"/>
      <c r="S1106" s="7"/>
      <c r="T1106" s="7"/>
    </row>
    <row r="1107" spans="3:20" x14ac:dyDescent="0.25">
      <c r="C1107" s="7"/>
      <c r="D1107" s="7"/>
      <c r="E1107" s="7" t="s">
        <v>19</v>
      </c>
      <c r="F1107" s="7">
        <v>2020</v>
      </c>
      <c r="G1107" s="8" t="s">
        <v>20</v>
      </c>
      <c r="H1107" s="19" t="s">
        <v>81</v>
      </c>
      <c r="I1107" s="7" t="s">
        <v>82</v>
      </c>
      <c r="J1107" s="8"/>
      <c r="K1107" s="7"/>
      <c r="L1107" s="7" t="s">
        <v>28</v>
      </c>
      <c r="M1107" s="18">
        <f>'Emissions - REF'!$E$11</f>
        <v>5.6851099999999993E-3</v>
      </c>
      <c r="N1107" s="7"/>
      <c r="O1107" s="7"/>
      <c r="P1107" s="7"/>
      <c r="Q1107" s="7"/>
      <c r="R1107" s="7"/>
      <c r="S1107" s="7"/>
      <c r="T1107" s="7"/>
    </row>
    <row r="1108" spans="3:20" x14ac:dyDescent="0.25">
      <c r="C1108" s="7"/>
      <c r="D1108" s="7"/>
      <c r="E1108" s="7" t="s">
        <v>19</v>
      </c>
      <c r="F1108" s="7">
        <v>2055</v>
      </c>
      <c r="G1108" s="8" t="s">
        <v>20</v>
      </c>
      <c r="H1108" s="19" t="s">
        <v>81</v>
      </c>
      <c r="I1108" s="7" t="s">
        <v>82</v>
      </c>
      <c r="J1108" s="8"/>
      <c r="K1108" s="7"/>
      <c r="L1108" s="7" t="s">
        <v>28</v>
      </c>
      <c r="M1108" s="18">
        <f>M1107</f>
        <v>5.6851099999999993E-3</v>
      </c>
      <c r="N1108" s="7"/>
      <c r="O1108" s="7"/>
      <c r="P1108" s="7"/>
      <c r="Q1108" s="7"/>
      <c r="R1108" s="7"/>
      <c r="S1108" s="7"/>
      <c r="T1108" s="7"/>
    </row>
    <row r="1109" spans="3:20" x14ac:dyDescent="0.25">
      <c r="C1109" s="7"/>
      <c r="D1109" s="7"/>
      <c r="E1109" s="7" t="s">
        <v>19</v>
      </c>
      <c r="F1109" s="7">
        <v>2010</v>
      </c>
      <c r="G1109" s="8" t="s">
        <v>20</v>
      </c>
      <c r="H1109" s="19" t="s">
        <v>81</v>
      </c>
      <c r="I1109" s="7" t="s">
        <v>82</v>
      </c>
      <c r="J1109" s="8"/>
      <c r="K1109" s="7"/>
      <c r="L1109" s="7" t="s">
        <v>29</v>
      </c>
      <c r="M1109" s="18">
        <f>'Emissions - REF'!$C$12</f>
        <v>1.8631600000000001E-4</v>
      </c>
      <c r="N1109" s="7"/>
      <c r="O1109" s="7"/>
      <c r="P1109" s="7"/>
      <c r="Q1109" s="7"/>
      <c r="R1109" s="7"/>
      <c r="S1109" s="7"/>
      <c r="T1109" s="7"/>
    </row>
    <row r="1110" spans="3:20" x14ac:dyDescent="0.25">
      <c r="C1110" s="7"/>
      <c r="D1110" s="7"/>
      <c r="E1110" s="7" t="s">
        <v>19</v>
      </c>
      <c r="F1110" s="7">
        <v>2015</v>
      </c>
      <c r="G1110" s="8" t="s">
        <v>20</v>
      </c>
      <c r="H1110" s="19" t="s">
        <v>81</v>
      </c>
      <c r="I1110" s="7" t="s">
        <v>82</v>
      </c>
      <c r="J1110" s="8"/>
      <c r="K1110" s="7"/>
      <c r="L1110" s="7" t="s">
        <v>29</v>
      </c>
      <c r="M1110" s="18">
        <f>'Emissions - REF'!$D$12</f>
        <v>1.8631600000000001E-4</v>
      </c>
      <c r="N1110" s="7"/>
      <c r="O1110" s="7"/>
      <c r="P1110" s="7"/>
      <c r="Q1110" s="7"/>
      <c r="R1110" s="7"/>
      <c r="S1110" s="7"/>
      <c r="T1110" s="7"/>
    </row>
    <row r="1111" spans="3:20" x14ac:dyDescent="0.25">
      <c r="C1111" s="7"/>
      <c r="D1111" s="7"/>
      <c r="E1111" s="7" t="s">
        <v>19</v>
      </c>
      <c r="F1111" s="7">
        <v>2020</v>
      </c>
      <c r="G1111" s="8" t="s">
        <v>20</v>
      </c>
      <c r="H1111" s="19" t="s">
        <v>81</v>
      </c>
      <c r="I1111" s="7" t="s">
        <v>82</v>
      </c>
      <c r="J1111" s="8"/>
      <c r="K1111" s="7"/>
      <c r="L1111" s="7" t="s">
        <v>29</v>
      </c>
      <c r="M1111" s="18">
        <f>'Emissions - REF'!$E$12</f>
        <v>1.8631600000000001E-4</v>
      </c>
      <c r="N1111" s="7"/>
      <c r="O1111" s="7"/>
      <c r="P1111" s="7"/>
      <c r="Q1111" s="7"/>
      <c r="R1111" s="7"/>
      <c r="S1111" s="7"/>
      <c r="T1111" s="7"/>
    </row>
    <row r="1112" spans="3:20" x14ac:dyDescent="0.25">
      <c r="C1112" s="7"/>
      <c r="D1112" s="7"/>
      <c r="E1112" s="7" t="s">
        <v>19</v>
      </c>
      <c r="F1112" s="7">
        <v>2055</v>
      </c>
      <c r="G1112" s="8" t="s">
        <v>20</v>
      </c>
      <c r="H1112" s="19" t="s">
        <v>81</v>
      </c>
      <c r="I1112" s="7" t="s">
        <v>82</v>
      </c>
      <c r="J1112" s="8"/>
      <c r="K1112" s="7"/>
      <c r="L1112" s="7" t="s">
        <v>29</v>
      </c>
      <c r="M1112" s="18">
        <f>M1111</f>
        <v>1.8631600000000001E-4</v>
      </c>
      <c r="N1112" s="7"/>
      <c r="O1112" s="7"/>
      <c r="P1112" s="7"/>
      <c r="Q1112" s="7"/>
      <c r="R1112" s="7"/>
      <c r="S1112" s="7"/>
      <c r="T1112" s="7"/>
    </row>
    <row r="1113" spans="3:20" x14ac:dyDescent="0.25">
      <c r="C1113" s="7"/>
      <c r="D1113" s="7"/>
      <c r="E1113" s="7" t="s">
        <v>19</v>
      </c>
      <c r="F1113" s="7">
        <v>2010</v>
      </c>
      <c r="G1113" s="8" t="s">
        <v>20</v>
      </c>
      <c r="H1113" s="19" t="s">
        <v>81</v>
      </c>
      <c r="I1113" s="7" t="s">
        <v>82</v>
      </c>
      <c r="J1113" s="8"/>
      <c r="K1113" s="7"/>
      <c r="L1113" s="7" t="s">
        <v>30</v>
      </c>
      <c r="M1113" s="18">
        <f>'Emissions - REF'!$C$13</f>
        <v>9.9823999999999998E-5</v>
      </c>
      <c r="N1113" s="7"/>
      <c r="O1113" s="7"/>
      <c r="P1113" s="7"/>
      <c r="Q1113" s="7"/>
      <c r="R1113" s="7"/>
      <c r="S1113" s="7"/>
      <c r="T1113" s="7"/>
    </row>
    <row r="1114" spans="3:20" x14ac:dyDescent="0.25">
      <c r="C1114" s="7"/>
      <c r="D1114" s="7"/>
      <c r="E1114" s="7" t="s">
        <v>19</v>
      </c>
      <c r="F1114" s="7">
        <v>2015</v>
      </c>
      <c r="G1114" s="8" t="s">
        <v>20</v>
      </c>
      <c r="H1114" s="19" t="s">
        <v>81</v>
      </c>
      <c r="I1114" s="7" t="s">
        <v>82</v>
      </c>
      <c r="J1114" s="8"/>
      <c r="K1114" s="7"/>
      <c r="L1114" s="7" t="s">
        <v>30</v>
      </c>
      <c r="M1114" s="18">
        <f>'Emissions - REF'!$D$13</f>
        <v>9.9823999999999998E-5</v>
      </c>
      <c r="N1114" s="7"/>
      <c r="O1114" s="7"/>
      <c r="P1114" s="7"/>
      <c r="Q1114" s="7"/>
      <c r="R1114" s="7"/>
      <c r="S1114" s="7"/>
      <c r="T1114" s="7"/>
    </row>
    <row r="1115" spans="3:20" x14ac:dyDescent="0.25">
      <c r="C1115" s="7"/>
      <c r="D1115" s="7"/>
      <c r="E1115" s="7" t="s">
        <v>19</v>
      </c>
      <c r="F1115" s="7">
        <v>2020</v>
      </c>
      <c r="G1115" s="8" t="s">
        <v>20</v>
      </c>
      <c r="H1115" s="19" t="s">
        <v>81</v>
      </c>
      <c r="I1115" s="7" t="s">
        <v>82</v>
      </c>
      <c r="J1115" s="8"/>
      <c r="K1115" s="7"/>
      <c r="L1115" s="7" t="s">
        <v>30</v>
      </c>
      <c r="M1115" s="18">
        <f>'Emissions - REF'!$E$13</f>
        <v>9.9823999999999998E-5</v>
      </c>
      <c r="N1115" s="7"/>
      <c r="O1115" s="7"/>
      <c r="P1115" s="7"/>
      <c r="Q1115" s="7"/>
      <c r="R1115" s="7"/>
      <c r="S1115" s="7"/>
      <c r="T1115" s="7"/>
    </row>
    <row r="1116" spans="3:20" x14ac:dyDescent="0.25">
      <c r="C1116" s="7"/>
      <c r="D1116" s="7"/>
      <c r="E1116" s="7" t="s">
        <v>19</v>
      </c>
      <c r="F1116" s="7">
        <v>2055</v>
      </c>
      <c r="G1116" s="8" t="s">
        <v>20</v>
      </c>
      <c r="H1116" s="19" t="s">
        <v>81</v>
      </c>
      <c r="I1116" s="7" t="s">
        <v>82</v>
      </c>
      <c r="J1116" s="8"/>
      <c r="K1116" s="7"/>
      <c r="L1116" s="7" t="s">
        <v>30</v>
      </c>
      <c r="M1116" s="18">
        <f>M1115</f>
        <v>9.9823999999999998E-5</v>
      </c>
      <c r="N1116" s="7"/>
      <c r="O1116" s="7"/>
      <c r="P1116" s="7"/>
      <c r="Q1116" s="7"/>
      <c r="R1116" s="7"/>
      <c r="S1116" s="7"/>
      <c r="T1116" s="7"/>
    </row>
    <row r="1117" spans="3:20" x14ac:dyDescent="0.25">
      <c r="C1117" s="7"/>
      <c r="D1117" s="7"/>
      <c r="E1117" s="7" t="s">
        <v>19</v>
      </c>
      <c r="F1117" s="7">
        <v>2010</v>
      </c>
      <c r="G1117" s="8" t="s">
        <v>20</v>
      </c>
      <c r="H1117" s="19" t="s">
        <v>81</v>
      </c>
      <c r="I1117" s="7" t="s">
        <v>82</v>
      </c>
      <c r="J1117" s="8"/>
      <c r="K1117" s="7"/>
      <c r="L1117" s="7" t="s">
        <v>31</v>
      </c>
      <c r="M1117" s="7">
        <v>1E-4</v>
      </c>
      <c r="N1117" s="7"/>
      <c r="O1117" s="7"/>
      <c r="P1117" s="7"/>
      <c r="Q1117" s="7"/>
      <c r="R1117" s="7"/>
      <c r="S1117" s="7"/>
      <c r="T1117" s="7"/>
    </row>
    <row r="1118" spans="3:20" x14ac:dyDescent="0.25">
      <c r="C1118" s="7"/>
      <c r="D1118" s="7"/>
      <c r="E1118" s="7" t="s">
        <v>19</v>
      </c>
      <c r="F1118" s="7">
        <v>2015</v>
      </c>
      <c r="G1118" s="8" t="s">
        <v>20</v>
      </c>
      <c r="H1118" s="19" t="s">
        <v>81</v>
      </c>
      <c r="I1118" s="7" t="s">
        <v>82</v>
      </c>
      <c r="J1118" s="8"/>
      <c r="K1118" s="7"/>
      <c r="L1118" s="7" t="s">
        <v>31</v>
      </c>
      <c r="M1118" s="7">
        <f>M1117</f>
        <v>1E-4</v>
      </c>
      <c r="N1118" s="7"/>
      <c r="O1118" s="7"/>
      <c r="P1118" s="7"/>
      <c r="Q1118" s="7"/>
      <c r="R1118" s="7"/>
      <c r="S1118" s="7"/>
      <c r="T1118" s="7"/>
    </row>
    <row r="1119" spans="3:20" x14ac:dyDescent="0.25">
      <c r="C1119" s="7"/>
      <c r="D1119" s="7"/>
      <c r="E1119" s="7" t="s">
        <v>19</v>
      </c>
      <c r="F1119" s="7">
        <v>2020</v>
      </c>
      <c r="G1119" s="8" t="s">
        <v>20</v>
      </c>
      <c r="H1119" s="19" t="s">
        <v>81</v>
      </c>
      <c r="I1119" s="7" t="s">
        <v>82</v>
      </c>
      <c r="J1119" s="8"/>
      <c r="K1119" s="7"/>
      <c r="L1119" s="7" t="s">
        <v>31</v>
      </c>
      <c r="M1119" s="7">
        <f t="shared" ref="M1119:M1120" si="217">M1118</f>
        <v>1E-4</v>
      </c>
      <c r="N1119" s="7"/>
      <c r="O1119" s="7"/>
      <c r="P1119" s="7"/>
      <c r="Q1119" s="7"/>
      <c r="R1119" s="7"/>
      <c r="S1119" s="7"/>
      <c r="T1119" s="7"/>
    </row>
    <row r="1120" spans="3:20" x14ac:dyDescent="0.25">
      <c r="C1120" s="7"/>
      <c r="D1120" s="7"/>
      <c r="E1120" s="7" t="s">
        <v>19</v>
      </c>
      <c r="F1120" s="7">
        <v>2055</v>
      </c>
      <c r="G1120" s="8" t="s">
        <v>20</v>
      </c>
      <c r="H1120" s="19" t="s">
        <v>81</v>
      </c>
      <c r="I1120" s="7" t="s">
        <v>82</v>
      </c>
      <c r="J1120" s="8"/>
      <c r="K1120" s="7"/>
      <c r="L1120" s="7" t="s">
        <v>31</v>
      </c>
      <c r="M1120" s="7">
        <f t="shared" si="217"/>
        <v>1E-4</v>
      </c>
      <c r="N1120" s="7"/>
      <c r="O1120" s="7"/>
      <c r="P1120" s="7"/>
      <c r="Q1120" s="7"/>
      <c r="R1120" s="7"/>
      <c r="S1120" s="7"/>
      <c r="T1120" s="7"/>
    </row>
    <row r="1121" spans="3:20" x14ac:dyDescent="0.25">
      <c r="C1121" s="7"/>
      <c r="D1121" s="7"/>
      <c r="E1121" s="7" t="s">
        <v>19</v>
      </c>
      <c r="F1121" s="7">
        <v>2010</v>
      </c>
      <c r="G1121" s="8" t="s">
        <v>20</v>
      </c>
      <c r="H1121" s="19" t="s">
        <v>81</v>
      </c>
      <c r="I1121" s="7" t="s">
        <v>82</v>
      </c>
      <c r="J1121" s="8"/>
      <c r="K1121" s="7"/>
      <c r="L1121" s="7" t="s">
        <v>32</v>
      </c>
      <c r="M1121" s="7">
        <v>2.0000000000000001E-4</v>
      </c>
      <c r="N1121" s="7"/>
      <c r="O1121" s="7"/>
      <c r="P1121" s="7"/>
      <c r="Q1121" s="7"/>
      <c r="R1121" s="7"/>
      <c r="S1121" s="7"/>
      <c r="T1121" s="7"/>
    </row>
    <row r="1122" spans="3:20" x14ac:dyDescent="0.25">
      <c r="C1122" s="7"/>
      <c r="D1122" s="7"/>
      <c r="E1122" s="7" t="s">
        <v>19</v>
      </c>
      <c r="F1122" s="7">
        <v>2015</v>
      </c>
      <c r="G1122" s="8" t="s">
        <v>20</v>
      </c>
      <c r="H1122" s="19" t="s">
        <v>81</v>
      </c>
      <c r="I1122" s="7" t="s">
        <v>82</v>
      </c>
      <c r="J1122" s="8"/>
      <c r="K1122" s="7"/>
      <c r="L1122" s="7" t="s">
        <v>32</v>
      </c>
      <c r="M1122" s="7">
        <f>M1121</f>
        <v>2.0000000000000001E-4</v>
      </c>
      <c r="N1122" s="7"/>
      <c r="O1122" s="7"/>
      <c r="P1122" s="7"/>
      <c r="Q1122" s="7"/>
      <c r="R1122" s="7"/>
      <c r="S1122" s="7"/>
      <c r="T1122" s="7"/>
    </row>
    <row r="1123" spans="3:20" x14ac:dyDescent="0.25">
      <c r="C1123" s="7"/>
      <c r="D1123" s="7"/>
      <c r="E1123" s="7" t="s">
        <v>19</v>
      </c>
      <c r="F1123" s="7">
        <v>2020</v>
      </c>
      <c r="G1123" s="8" t="s">
        <v>20</v>
      </c>
      <c r="H1123" s="19" t="s">
        <v>81</v>
      </c>
      <c r="I1123" s="7" t="s">
        <v>82</v>
      </c>
      <c r="J1123" s="8"/>
      <c r="K1123" s="7"/>
      <c r="L1123" s="7" t="s">
        <v>32</v>
      </c>
      <c r="M1123" s="7">
        <f t="shared" ref="M1123:M1124" si="218">M1122</f>
        <v>2.0000000000000001E-4</v>
      </c>
      <c r="N1123" s="7"/>
      <c r="O1123" s="7"/>
      <c r="P1123" s="7"/>
      <c r="Q1123" s="7"/>
      <c r="R1123" s="7"/>
      <c r="S1123" s="7"/>
      <c r="T1123" s="7"/>
    </row>
    <row r="1124" spans="3:20" x14ac:dyDescent="0.25">
      <c r="C1124" s="7"/>
      <c r="D1124" s="7"/>
      <c r="E1124" s="7" t="s">
        <v>19</v>
      </c>
      <c r="F1124" s="7">
        <v>2055</v>
      </c>
      <c r="G1124" s="8" t="s">
        <v>20</v>
      </c>
      <c r="H1124" s="19" t="s">
        <v>81</v>
      </c>
      <c r="I1124" s="7" t="s">
        <v>82</v>
      </c>
      <c r="J1124" s="8"/>
      <c r="K1124" s="7"/>
      <c r="L1124" s="7" t="s">
        <v>32</v>
      </c>
      <c r="M1124" s="7">
        <f t="shared" si="218"/>
        <v>2.0000000000000001E-4</v>
      </c>
      <c r="N1124" s="7"/>
      <c r="O1124" s="7"/>
      <c r="P1124" s="7"/>
      <c r="Q1124" s="7"/>
      <c r="R1124" s="7"/>
      <c r="S1124" s="7"/>
      <c r="T1124" s="7"/>
    </row>
    <row r="1125" spans="3:20" x14ac:dyDescent="0.25">
      <c r="C1125" s="7"/>
      <c r="D1125" s="7"/>
      <c r="E1125" s="7" t="s">
        <v>19</v>
      </c>
      <c r="F1125" s="7">
        <v>2010</v>
      </c>
      <c r="G1125" s="8" t="s">
        <v>20</v>
      </c>
      <c r="H1125" s="19" t="s">
        <v>81</v>
      </c>
      <c r="I1125" s="7" t="s">
        <v>82</v>
      </c>
      <c r="J1125" s="8"/>
      <c r="K1125" s="7"/>
      <c r="L1125" s="7" t="s">
        <v>46</v>
      </c>
      <c r="M1125" s="18">
        <f>M1093</f>
        <v>8.144765E-3</v>
      </c>
      <c r="N1125" s="7"/>
      <c r="O1125" s="7"/>
      <c r="P1125" s="7"/>
      <c r="Q1125" s="7"/>
      <c r="R1125" s="7"/>
      <c r="S1125" s="7"/>
      <c r="T1125" s="7"/>
    </row>
    <row r="1126" spans="3:20" x14ac:dyDescent="0.25">
      <c r="C1126" s="7"/>
      <c r="D1126" s="7"/>
      <c r="E1126" s="7" t="s">
        <v>19</v>
      </c>
      <c r="F1126" s="7">
        <v>2015</v>
      </c>
      <c r="G1126" s="8" t="s">
        <v>20</v>
      </c>
      <c r="H1126" s="19" t="s">
        <v>81</v>
      </c>
      <c r="I1126" s="7" t="s">
        <v>82</v>
      </c>
      <c r="J1126" s="8"/>
      <c r="K1126" s="7"/>
      <c r="L1126" s="7" t="s">
        <v>46</v>
      </c>
      <c r="M1126" s="18">
        <f t="shared" ref="M1126:M1128" si="219">M1094</f>
        <v>7.2287209999999996E-3</v>
      </c>
      <c r="N1126" s="7"/>
      <c r="O1126" s="7"/>
      <c r="P1126" s="7"/>
      <c r="Q1126" s="7"/>
      <c r="R1126" s="7"/>
      <c r="S1126" s="7"/>
      <c r="T1126" s="7"/>
    </row>
    <row r="1127" spans="3:20" x14ac:dyDescent="0.25">
      <c r="C1127" s="7"/>
      <c r="D1127" s="7"/>
      <c r="E1127" s="7" t="s">
        <v>19</v>
      </c>
      <c r="F1127" s="7">
        <v>2020</v>
      </c>
      <c r="G1127" s="8" t="s">
        <v>20</v>
      </c>
      <c r="H1127" s="19" t="s">
        <v>81</v>
      </c>
      <c r="I1127" s="7" t="s">
        <v>82</v>
      </c>
      <c r="J1127" s="8"/>
      <c r="K1127" s="7"/>
      <c r="L1127" s="7" t="s">
        <v>46</v>
      </c>
      <c r="M1127" s="18">
        <f t="shared" si="219"/>
        <v>6.8386099999999993E-3</v>
      </c>
      <c r="N1127" s="7"/>
      <c r="O1127" s="7"/>
      <c r="P1127" s="7"/>
      <c r="Q1127" s="7"/>
      <c r="R1127" s="7"/>
      <c r="S1127" s="7"/>
      <c r="T1127" s="7"/>
    </row>
    <row r="1128" spans="3:20" x14ac:dyDescent="0.25">
      <c r="C1128" s="7"/>
      <c r="D1128" s="7"/>
      <c r="E1128" s="7" t="s">
        <v>19</v>
      </c>
      <c r="F1128" s="7">
        <v>2055</v>
      </c>
      <c r="G1128" s="8" t="s">
        <v>20</v>
      </c>
      <c r="H1128" s="19" t="s">
        <v>81</v>
      </c>
      <c r="I1128" s="7" t="s">
        <v>82</v>
      </c>
      <c r="J1128" s="8"/>
      <c r="K1128" s="7"/>
      <c r="L1128" s="7" t="s">
        <v>46</v>
      </c>
      <c r="M1128" s="18">
        <f t="shared" si="219"/>
        <v>6.8386099999999993E-3</v>
      </c>
      <c r="N1128" s="7"/>
      <c r="O1128" s="7"/>
      <c r="P1128" s="7"/>
      <c r="Q1128" s="7"/>
      <c r="R1128" s="7"/>
      <c r="S1128" s="7"/>
      <c r="T1128" s="7"/>
    </row>
    <row r="1129" spans="3:20" x14ac:dyDescent="0.25">
      <c r="C1129" s="7"/>
      <c r="D1129" s="7"/>
      <c r="E1129" s="7" t="s">
        <v>19</v>
      </c>
      <c r="F1129" s="7">
        <v>2010</v>
      </c>
      <c r="G1129" s="8" t="s">
        <v>20</v>
      </c>
      <c r="H1129" s="19" t="s">
        <v>81</v>
      </c>
      <c r="I1129" s="7" t="s">
        <v>82</v>
      </c>
      <c r="J1129" s="8"/>
      <c r="K1129" s="7"/>
      <c r="L1129" s="7" t="s">
        <v>47</v>
      </c>
      <c r="M1129" s="18">
        <f>M1105</f>
        <v>7.1050530000000001E-3</v>
      </c>
      <c r="N1129" s="7"/>
      <c r="O1129" s="7"/>
      <c r="P1129" s="7"/>
      <c r="Q1129" s="7"/>
      <c r="R1129" s="7"/>
      <c r="S1129" s="7"/>
      <c r="T1129" s="7"/>
    </row>
    <row r="1130" spans="3:20" x14ac:dyDescent="0.25">
      <c r="C1130" s="7"/>
      <c r="D1130" s="7"/>
      <c r="E1130" s="7" t="s">
        <v>19</v>
      </c>
      <c r="F1130" s="7">
        <v>2015</v>
      </c>
      <c r="G1130" s="8" t="s">
        <v>20</v>
      </c>
      <c r="H1130" s="19" t="s">
        <v>81</v>
      </c>
      <c r="I1130" s="7" t="s">
        <v>82</v>
      </c>
      <c r="J1130" s="8"/>
      <c r="K1130" s="7"/>
      <c r="L1130" s="7" t="s">
        <v>47</v>
      </c>
      <c r="M1130" s="18">
        <f t="shared" ref="M1130:M1132" si="220">M1106</f>
        <v>6.1110929999999997E-3</v>
      </c>
      <c r="N1130" s="7"/>
      <c r="O1130" s="7"/>
      <c r="P1130" s="7"/>
      <c r="Q1130" s="7"/>
      <c r="R1130" s="7"/>
      <c r="S1130" s="7"/>
      <c r="T1130" s="7"/>
    </row>
    <row r="1131" spans="3:20" x14ac:dyDescent="0.25">
      <c r="C1131" s="7"/>
      <c r="D1131" s="7"/>
      <c r="E1131" s="7" t="s">
        <v>19</v>
      </c>
      <c r="F1131" s="7">
        <v>2020</v>
      </c>
      <c r="G1131" s="8" t="s">
        <v>20</v>
      </c>
      <c r="H1131" s="19" t="s">
        <v>81</v>
      </c>
      <c r="I1131" s="7" t="s">
        <v>82</v>
      </c>
      <c r="J1131" s="8"/>
      <c r="K1131" s="7"/>
      <c r="L1131" s="7" t="s">
        <v>47</v>
      </c>
      <c r="M1131" s="18">
        <f t="shared" si="220"/>
        <v>5.6851099999999993E-3</v>
      </c>
      <c r="N1131" s="7"/>
      <c r="O1131" s="7"/>
      <c r="P1131" s="7"/>
      <c r="Q1131" s="7"/>
      <c r="R1131" s="7"/>
      <c r="S1131" s="7"/>
      <c r="T1131" s="7"/>
    </row>
    <row r="1132" spans="3:20" x14ac:dyDescent="0.25">
      <c r="C1132" s="7"/>
      <c r="D1132" s="7"/>
      <c r="E1132" s="7" t="s">
        <v>19</v>
      </c>
      <c r="F1132" s="7">
        <v>2055</v>
      </c>
      <c r="G1132" s="8" t="s">
        <v>20</v>
      </c>
      <c r="H1132" s="19" t="s">
        <v>81</v>
      </c>
      <c r="I1132" s="7" t="s">
        <v>82</v>
      </c>
      <c r="J1132" s="8"/>
      <c r="K1132" s="7"/>
      <c r="L1132" s="7" t="s">
        <v>47</v>
      </c>
      <c r="M1132" s="18">
        <f t="shared" si="220"/>
        <v>5.6851099999999993E-3</v>
      </c>
      <c r="N1132" s="7"/>
      <c r="O1132" s="7"/>
      <c r="P1132" s="7"/>
      <c r="Q1132" s="7"/>
      <c r="R1132" s="7"/>
      <c r="S1132" s="7"/>
      <c r="T1132" s="7"/>
    </row>
    <row r="1133" spans="3:20" x14ac:dyDescent="0.25">
      <c r="C1133" s="7"/>
      <c r="D1133" s="7"/>
      <c r="E1133" s="7" t="s">
        <v>19</v>
      </c>
      <c r="F1133" s="7">
        <v>2010</v>
      </c>
      <c r="G1133" s="8" t="s">
        <v>20</v>
      </c>
      <c r="H1133" s="19" t="s">
        <v>81</v>
      </c>
      <c r="I1133" s="7" t="s">
        <v>82</v>
      </c>
      <c r="J1133" s="8"/>
      <c r="K1133" s="7"/>
      <c r="L1133" s="7" t="s">
        <v>48</v>
      </c>
      <c r="M1133" s="18">
        <f>M1097</f>
        <v>1.9528849999999999E-3</v>
      </c>
      <c r="N1133" s="7"/>
      <c r="O1133" s="7"/>
      <c r="P1133" s="7"/>
      <c r="Q1133" s="7"/>
      <c r="R1133" s="7"/>
      <c r="S1133" s="7"/>
      <c r="T1133" s="7"/>
    </row>
    <row r="1134" spans="3:20" x14ac:dyDescent="0.25">
      <c r="C1134" s="7"/>
      <c r="D1134" s="7"/>
      <c r="E1134" s="7" t="s">
        <v>19</v>
      </c>
      <c r="F1134" s="7">
        <v>2015</v>
      </c>
      <c r="G1134" s="8" t="s">
        <v>20</v>
      </c>
      <c r="H1134" s="19" t="s">
        <v>81</v>
      </c>
      <c r="I1134" s="7" t="s">
        <v>82</v>
      </c>
      <c r="J1134" s="8"/>
      <c r="K1134" s="7"/>
      <c r="L1134" s="7" t="s">
        <v>48</v>
      </c>
      <c r="M1134" s="18">
        <f t="shared" ref="M1134:M1136" si="221">M1098</f>
        <v>1.7367819999999999E-3</v>
      </c>
      <c r="N1134" s="7"/>
      <c r="O1134" s="7"/>
      <c r="P1134" s="7"/>
      <c r="Q1134" s="7"/>
      <c r="R1134" s="7"/>
      <c r="S1134" s="7"/>
      <c r="T1134" s="7"/>
    </row>
    <row r="1135" spans="3:20" x14ac:dyDescent="0.25">
      <c r="C1135" s="7"/>
      <c r="D1135" s="7"/>
      <c r="E1135" s="7" t="s">
        <v>19</v>
      </c>
      <c r="F1135" s="7">
        <v>2020</v>
      </c>
      <c r="G1135" s="8" t="s">
        <v>20</v>
      </c>
      <c r="H1135" s="19" t="s">
        <v>81</v>
      </c>
      <c r="I1135" s="7" t="s">
        <v>82</v>
      </c>
      <c r="J1135" s="8"/>
      <c r="K1135" s="7"/>
      <c r="L1135" s="7" t="s">
        <v>48</v>
      </c>
      <c r="M1135" s="18">
        <f t="shared" si="221"/>
        <v>1.6641300000000002E-3</v>
      </c>
      <c r="N1135" s="7"/>
      <c r="O1135" s="7"/>
      <c r="P1135" s="7"/>
      <c r="Q1135" s="7"/>
      <c r="R1135" s="7"/>
      <c r="S1135" s="7"/>
      <c r="T1135" s="7"/>
    </row>
    <row r="1136" spans="3:20" x14ac:dyDescent="0.25">
      <c r="C1136" s="7"/>
      <c r="D1136" s="7"/>
      <c r="E1136" s="7" t="s">
        <v>19</v>
      </c>
      <c r="F1136" s="7">
        <v>2055</v>
      </c>
      <c r="G1136" s="8" t="s">
        <v>20</v>
      </c>
      <c r="H1136" s="19" t="s">
        <v>81</v>
      </c>
      <c r="I1136" s="7" t="s">
        <v>82</v>
      </c>
      <c r="J1136" s="8"/>
      <c r="K1136" s="7"/>
      <c r="L1136" s="7" t="s">
        <v>48</v>
      </c>
      <c r="M1136" s="18">
        <f t="shared" si="221"/>
        <v>1.6641300000000002E-3</v>
      </c>
      <c r="N1136" s="7"/>
      <c r="O1136" s="7"/>
      <c r="P1136" s="7"/>
      <c r="Q1136" s="7"/>
      <c r="R1136" s="7"/>
      <c r="S1136" s="7"/>
      <c r="T1136" s="7"/>
    </row>
    <row r="1137" spans="3:20" x14ac:dyDescent="0.25">
      <c r="C1137" s="7"/>
      <c r="D1137" s="7"/>
      <c r="E1137" s="7" t="s">
        <v>19</v>
      </c>
      <c r="F1137" s="7">
        <v>2010</v>
      </c>
      <c r="G1137" s="8" t="s">
        <v>20</v>
      </c>
      <c r="H1137" s="19" t="s">
        <v>81</v>
      </c>
      <c r="I1137" s="7" t="s">
        <v>82</v>
      </c>
      <c r="J1137" s="8"/>
      <c r="K1137" s="7"/>
      <c r="L1137" s="7" t="s">
        <v>49</v>
      </c>
      <c r="M1137" s="7">
        <f>'Emissions - REF'!$C$14</f>
        <v>6.1240109790000004</v>
      </c>
      <c r="N1137" s="7"/>
      <c r="O1137" s="7"/>
      <c r="P1137" s="7"/>
      <c r="Q1137" s="7"/>
      <c r="R1137" s="7"/>
      <c r="S1137" s="7"/>
      <c r="T1137" s="7"/>
    </row>
    <row r="1138" spans="3:20" x14ac:dyDescent="0.25">
      <c r="C1138" s="7"/>
      <c r="D1138" s="7"/>
      <c r="E1138" s="7" t="s">
        <v>19</v>
      </c>
      <c r="F1138" s="7">
        <v>2015</v>
      </c>
      <c r="G1138" s="8" t="s">
        <v>20</v>
      </c>
      <c r="H1138" s="19" t="s">
        <v>81</v>
      </c>
      <c r="I1138" s="7" t="s">
        <v>82</v>
      </c>
      <c r="J1138" s="8"/>
      <c r="K1138" s="7"/>
      <c r="L1138" s="7" t="s">
        <v>49</v>
      </c>
      <c r="M1138" s="7">
        <f>'Emissions - REF'!$D$14</f>
        <v>6.1240109790000004</v>
      </c>
      <c r="N1138" s="7"/>
      <c r="O1138" s="7"/>
      <c r="P1138" s="7"/>
      <c r="Q1138" s="7"/>
      <c r="R1138" s="7"/>
      <c r="S1138" s="7"/>
      <c r="T1138" s="7"/>
    </row>
    <row r="1139" spans="3:20" x14ac:dyDescent="0.25">
      <c r="C1139" s="7"/>
      <c r="D1139" s="7"/>
      <c r="E1139" s="7" t="s">
        <v>19</v>
      </c>
      <c r="F1139" s="7">
        <v>2020</v>
      </c>
      <c r="G1139" s="8" t="s">
        <v>20</v>
      </c>
      <c r="H1139" s="19" t="s">
        <v>81</v>
      </c>
      <c r="I1139" s="7" t="s">
        <v>82</v>
      </c>
      <c r="J1139" s="8"/>
      <c r="K1139" s="7"/>
      <c r="L1139" s="7" t="s">
        <v>49</v>
      </c>
      <c r="M1139" s="7">
        <f>'Emissions - REF'!$E$14</f>
        <v>6.1240109790000004</v>
      </c>
      <c r="N1139" s="7"/>
      <c r="O1139" s="7"/>
      <c r="P1139" s="7"/>
      <c r="Q1139" s="7"/>
      <c r="R1139" s="7"/>
      <c r="S1139" s="7"/>
      <c r="T1139" s="7"/>
    </row>
    <row r="1140" spans="3:20" x14ac:dyDescent="0.25">
      <c r="C1140" s="7"/>
      <c r="D1140" s="7"/>
      <c r="E1140" s="7" t="s">
        <v>19</v>
      </c>
      <c r="F1140" s="7">
        <v>2055</v>
      </c>
      <c r="G1140" s="8" t="s">
        <v>20</v>
      </c>
      <c r="H1140" s="19" t="s">
        <v>81</v>
      </c>
      <c r="I1140" s="7" t="s">
        <v>82</v>
      </c>
      <c r="J1140" s="8"/>
      <c r="K1140" s="7"/>
      <c r="L1140" s="7" t="s">
        <v>49</v>
      </c>
      <c r="M1140" s="7">
        <f>M1139</f>
        <v>6.1240109790000004</v>
      </c>
      <c r="N1140" s="7"/>
      <c r="O1140" s="7"/>
      <c r="P1140" s="7"/>
      <c r="Q1140" s="7"/>
      <c r="R1140" s="7"/>
      <c r="S1140" s="7"/>
      <c r="T1140" s="7"/>
    </row>
    <row r="1141" spans="3:20" x14ac:dyDescent="0.25">
      <c r="C1141" s="7"/>
      <c r="D1141" s="7"/>
      <c r="E1141" s="7" t="s">
        <v>19</v>
      </c>
      <c r="F1141" s="7">
        <v>2010</v>
      </c>
      <c r="G1141" s="8" t="s">
        <v>20</v>
      </c>
      <c r="H1141" s="19" t="s">
        <v>81</v>
      </c>
      <c r="I1141" s="7" t="s">
        <v>82</v>
      </c>
      <c r="J1141" s="8"/>
      <c r="K1141" s="7"/>
      <c r="L1141" s="7" t="s">
        <v>50</v>
      </c>
      <c r="M1141" s="18">
        <f>M1125</f>
        <v>8.144765E-3</v>
      </c>
      <c r="N1141" s="7"/>
      <c r="O1141" s="7"/>
      <c r="P1141" s="7"/>
      <c r="Q1141" s="7"/>
      <c r="R1141" s="7"/>
      <c r="S1141" s="7"/>
      <c r="T1141" s="7"/>
    </row>
    <row r="1142" spans="3:20" x14ac:dyDescent="0.25">
      <c r="C1142" s="7"/>
      <c r="D1142" s="7"/>
      <c r="E1142" s="7" t="s">
        <v>19</v>
      </c>
      <c r="F1142" s="7">
        <v>2015</v>
      </c>
      <c r="G1142" s="8" t="s">
        <v>20</v>
      </c>
      <c r="H1142" s="19" t="s">
        <v>81</v>
      </c>
      <c r="I1142" s="7" t="s">
        <v>82</v>
      </c>
      <c r="J1142" s="8"/>
      <c r="K1142" s="7"/>
      <c r="L1142" s="7" t="s">
        <v>50</v>
      </c>
      <c r="M1142" s="18">
        <f t="shared" ref="M1142:M1144" si="222">M1126</f>
        <v>7.2287209999999996E-3</v>
      </c>
      <c r="N1142" s="7"/>
      <c r="O1142" s="7"/>
      <c r="P1142" s="7"/>
      <c r="Q1142" s="7"/>
      <c r="R1142" s="7"/>
      <c r="S1142" s="7"/>
      <c r="T1142" s="7"/>
    </row>
    <row r="1143" spans="3:20" x14ac:dyDescent="0.25">
      <c r="C1143" s="7"/>
      <c r="D1143" s="7"/>
      <c r="E1143" s="7" t="s">
        <v>19</v>
      </c>
      <c r="F1143" s="7">
        <v>2020</v>
      </c>
      <c r="G1143" s="8" t="s">
        <v>20</v>
      </c>
      <c r="H1143" s="19" t="s">
        <v>81</v>
      </c>
      <c r="I1143" s="7" t="s">
        <v>82</v>
      </c>
      <c r="J1143" s="8"/>
      <c r="K1143" s="7"/>
      <c r="L1143" s="7" t="s">
        <v>50</v>
      </c>
      <c r="M1143" s="18">
        <f t="shared" si="222"/>
        <v>6.8386099999999993E-3</v>
      </c>
      <c r="N1143" s="7"/>
      <c r="O1143" s="7"/>
      <c r="P1143" s="7"/>
      <c r="Q1143" s="7"/>
      <c r="R1143" s="7"/>
      <c r="S1143" s="7"/>
      <c r="T1143" s="7"/>
    </row>
    <row r="1144" spans="3:20" x14ac:dyDescent="0.25">
      <c r="C1144" s="7"/>
      <c r="D1144" s="7"/>
      <c r="E1144" s="7" t="s">
        <v>19</v>
      </c>
      <c r="F1144" s="7">
        <v>2055</v>
      </c>
      <c r="G1144" s="8" t="s">
        <v>20</v>
      </c>
      <c r="H1144" s="19" t="s">
        <v>81</v>
      </c>
      <c r="I1144" s="7" t="s">
        <v>82</v>
      </c>
      <c r="J1144" s="8"/>
      <c r="K1144" s="7"/>
      <c r="L1144" s="7" t="s">
        <v>50</v>
      </c>
      <c r="M1144" s="18">
        <f t="shared" si="222"/>
        <v>6.8386099999999993E-3</v>
      </c>
      <c r="N1144" s="7"/>
      <c r="O1144" s="7"/>
      <c r="P1144" s="7"/>
      <c r="Q1144" s="7"/>
      <c r="R1144" s="7"/>
      <c r="S1144" s="7"/>
      <c r="T1144" s="7"/>
    </row>
    <row r="1145" spans="3:20" x14ac:dyDescent="0.25">
      <c r="C1145" s="15" t="s">
        <v>33</v>
      </c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</row>
    <row r="1146" spans="3:20" x14ac:dyDescent="0.25">
      <c r="C1146" s="7"/>
      <c r="D1146" s="7"/>
      <c r="E1146" s="7" t="s">
        <v>19</v>
      </c>
      <c r="F1146" s="7">
        <v>2010</v>
      </c>
      <c r="G1146" s="8" t="s">
        <v>20</v>
      </c>
      <c r="H1146" s="19" t="s">
        <v>83</v>
      </c>
      <c r="I1146" s="7" t="s">
        <v>84</v>
      </c>
      <c r="J1146" s="8"/>
      <c r="K1146" s="7"/>
      <c r="L1146" s="7" t="s">
        <v>22</v>
      </c>
      <c r="M1146" s="18">
        <f>M1202/1000</f>
        <v>2.2722135510000003E-3</v>
      </c>
      <c r="N1146" s="7"/>
      <c r="O1146" s="7"/>
      <c r="P1146" s="7"/>
      <c r="Q1146" s="7"/>
      <c r="R1146" s="7"/>
      <c r="S1146" s="7"/>
      <c r="T1146" s="7"/>
    </row>
    <row r="1147" spans="3:20" x14ac:dyDescent="0.25">
      <c r="C1147" s="7"/>
      <c r="D1147" s="7"/>
      <c r="E1147" s="7" t="s">
        <v>19</v>
      </c>
      <c r="F1147" s="7">
        <v>2015</v>
      </c>
      <c r="G1147" s="8" t="s">
        <v>20</v>
      </c>
      <c r="H1147" s="19" t="s">
        <v>83</v>
      </c>
      <c r="I1147" s="7" t="s">
        <v>84</v>
      </c>
      <c r="J1147" s="8"/>
      <c r="K1147" s="7"/>
      <c r="L1147" s="7" t="s">
        <v>22</v>
      </c>
      <c r="M1147" s="18">
        <f t="shared" ref="M1147:M1149" si="223">M1203/1000</f>
        <v>2.2722135510000003E-3</v>
      </c>
      <c r="N1147" s="7"/>
      <c r="O1147" s="7"/>
      <c r="P1147" s="7"/>
      <c r="Q1147" s="7"/>
      <c r="R1147" s="7"/>
      <c r="S1147" s="7"/>
      <c r="T1147" s="7"/>
    </row>
    <row r="1148" spans="3:20" x14ac:dyDescent="0.25">
      <c r="C1148" s="7"/>
      <c r="D1148" s="7"/>
      <c r="E1148" s="7" t="s">
        <v>19</v>
      </c>
      <c r="F1148" s="7">
        <v>2020</v>
      </c>
      <c r="G1148" s="8" t="s">
        <v>20</v>
      </c>
      <c r="H1148" s="19" t="s">
        <v>83</v>
      </c>
      <c r="I1148" s="7" t="s">
        <v>84</v>
      </c>
      <c r="J1148" s="8"/>
      <c r="K1148" s="7"/>
      <c r="L1148" s="7" t="s">
        <v>22</v>
      </c>
      <c r="M1148" s="18">
        <f t="shared" si="223"/>
        <v>2.2722135510000003E-3</v>
      </c>
      <c r="N1148" s="7"/>
      <c r="O1148" s="7"/>
      <c r="P1148" s="7"/>
      <c r="Q1148" s="7"/>
      <c r="R1148" s="7"/>
      <c r="S1148" s="7"/>
      <c r="T1148" s="7"/>
    </row>
    <row r="1149" spans="3:20" x14ac:dyDescent="0.25">
      <c r="C1149" s="7"/>
      <c r="D1149" s="7"/>
      <c r="E1149" s="7" t="s">
        <v>19</v>
      </c>
      <c r="F1149" s="7">
        <v>2055</v>
      </c>
      <c r="G1149" s="8" t="s">
        <v>20</v>
      </c>
      <c r="H1149" s="19" t="s">
        <v>83</v>
      </c>
      <c r="I1149" s="7" t="s">
        <v>84</v>
      </c>
      <c r="J1149" s="8"/>
      <c r="K1149" s="7"/>
      <c r="L1149" s="7" t="s">
        <v>22</v>
      </c>
      <c r="M1149" s="18">
        <f t="shared" si="223"/>
        <v>2.2722135510000003E-3</v>
      </c>
      <c r="N1149" s="7"/>
      <c r="O1149" s="7"/>
      <c r="P1149" s="7"/>
      <c r="Q1149" s="7"/>
      <c r="R1149" s="7"/>
      <c r="S1149" s="7"/>
      <c r="T1149" s="7"/>
    </row>
    <row r="1150" spans="3:20" x14ac:dyDescent="0.25">
      <c r="C1150" s="7"/>
      <c r="D1150" s="7"/>
      <c r="E1150" s="7" t="s">
        <v>19</v>
      </c>
      <c r="F1150" s="7">
        <v>2010</v>
      </c>
      <c r="G1150" s="8" t="s">
        <v>20</v>
      </c>
      <c r="H1150" s="19" t="s">
        <v>83</v>
      </c>
      <c r="I1150" s="7" t="s">
        <v>84</v>
      </c>
      <c r="J1150" s="8"/>
      <c r="K1150" s="7"/>
      <c r="L1150" s="7" t="s">
        <v>23</v>
      </c>
      <c r="M1150" s="18">
        <f>'Emissions - REF'!$C$84</f>
        <v>8.6203799999999998E-4</v>
      </c>
      <c r="N1150" s="7"/>
      <c r="O1150" s="7"/>
      <c r="P1150" s="7"/>
      <c r="Q1150" s="7"/>
      <c r="R1150" s="7"/>
      <c r="S1150" s="7"/>
      <c r="T1150" s="7"/>
    </row>
    <row r="1151" spans="3:20" x14ac:dyDescent="0.25">
      <c r="C1151" s="7"/>
      <c r="D1151" s="7"/>
      <c r="E1151" s="7" t="s">
        <v>19</v>
      </c>
      <c r="F1151" s="7">
        <v>2015</v>
      </c>
      <c r="G1151" s="8" t="s">
        <v>20</v>
      </c>
      <c r="H1151" s="19" t="s">
        <v>83</v>
      </c>
      <c r="I1151" s="7" t="s">
        <v>84</v>
      </c>
      <c r="J1151" s="8"/>
      <c r="K1151" s="7"/>
      <c r="L1151" s="7" t="s">
        <v>23</v>
      </c>
      <c r="M1151" s="18">
        <f>'Emissions - REF'!$D$84</f>
        <v>8.6203799999999998E-4</v>
      </c>
      <c r="N1151" s="7"/>
      <c r="O1151" s="7"/>
      <c r="P1151" s="7"/>
      <c r="Q1151" s="7"/>
      <c r="R1151" s="7"/>
      <c r="S1151" s="7"/>
      <c r="T1151" s="7"/>
    </row>
    <row r="1152" spans="3:20" x14ac:dyDescent="0.25">
      <c r="C1152" s="7"/>
      <c r="D1152" s="7"/>
      <c r="E1152" s="7" t="s">
        <v>19</v>
      </c>
      <c r="F1152" s="7">
        <v>2020</v>
      </c>
      <c r="G1152" s="8" t="s">
        <v>20</v>
      </c>
      <c r="H1152" s="19" t="s">
        <v>83</v>
      </c>
      <c r="I1152" s="7" t="s">
        <v>84</v>
      </c>
      <c r="J1152" s="8"/>
      <c r="K1152" s="7"/>
      <c r="L1152" s="7" t="s">
        <v>23</v>
      </c>
      <c r="M1152" s="18">
        <f>'Emissions - REF'!$E$84</f>
        <v>8.6203799999999998E-4</v>
      </c>
      <c r="N1152" s="7"/>
      <c r="O1152" s="7"/>
      <c r="P1152" s="7"/>
      <c r="Q1152" s="7"/>
      <c r="R1152" s="7"/>
      <c r="S1152" s="7"/>
      <c r="T1152" s="7"/>
    </row>
    <row r="1153" spans="3:20" x14ac:dyDescent="0.25">
      <c r="C1153" s="7"/>
      <c r="D1153" s="7"/>
      <c r="E1153" s="7" t="s">
        <v>19</v>
      </c>
      <c r="F1153" s="7">
        <v>2055</v>
      </c>
      <c r="G1153" s="8" t="s">
        <v>20</v>
      </c>
      <c r="H1153" s="19" t="s">
        <v>83</v>
      </c>
      <c r="I1153" s="7" t="s">
        <v>84</v>
      </c>
      <c r="J1153" s="8"/>
      <c r="K1153" s="7"/>
      <c r="L1153" s="7" t="s">
        <v>23</v>
      </c>
      <c r="M1153" s="18">
        <f>M1152</f>
        <v>8.6203799999999998E-4</v>
      </c>
      <c r="N1153" s="7"/>
      <c r="O1153" s="7"/>
      <c r="P1153" s="7"/>
      <c r="Q1153" s="7"/>
      <c r="R1153" s="7"/>
      <c r="S1153" s="7"/>
      <c r="T1153" s="7"/>
    </row>
    <row r="1154" spans="3:20" x14ac:dyDescent="0.25">
      <c r="C1154" s="7"/>
      <c r="D1154" s="7"/>
      <c r="E1154" s="7" t="s">
        <v>19</v>
      </c>
      <c r="F1154" s="7">
        <v>2010</v>
      </c>
      <c r="G1154" s="8" t="s">
        <v>20</v>
      </c>
      <c r="H1154" s="19" t="s">
        <v>83</v>
      </c>
      <c r="I1154" s="7" t="s">
        <v>84</v>
      </c>
      <c r="J1154" s="8"/>
      <c r="K1154" s="7"/>
      <c r="L1154" s="7" t="s">
        <v>24</v>
      </c>
      <c r="M1154" s="18">
        <f>'Emissions - REF'!$C$85</f>
        <v>1.320295E-3</v>
      </c>
      <c r="N1154" s="7"/>
      <c r="O1154" s="7"/>
      <c r="P1154" s="7"/>
      <c r="Q1154" s="7"/>
      <c r="R1154" s="7"/>
      <c r="S1154" s="7"/>
      <c r="T1154" s="7"/>
    </row>
    <row r="1155" spans="3:20" x14ac:dyDescent="0.25">
      <c r="C1155" s="7"/>
      <c r="D1155" s="7"/>
      <c r="E1155" s="7" t="s">
        <v>19</v>
      </c>
      <c r="F1155" s="7">
        <v>2015</v>
      </c>
      <c r="G1155" s="8" t="s">
        <v>20</v>
      </c>
      <c r="H1155" s="19" t="s">
        <v>83</v>
      </c>
      <c r="I1155" s="7" t="s">
        <v>84</v>
      </c>
      <c r="J1155" s="8"/>
      <c r="K1155" s="7"/>
      <c r="L1155" s="7" t="s">
        <v>24</v>
      </c>
      <c r="M1155" s="18">
        <f>'Emissions - REF'!$D$85</f>
        <v>1.320295E-3</v>
      </c>
      <c r="N1155" s="7"/>
      <c r="O1155" s="7"/>
      <c r="P1155" s="7"/>
      <c r="Q1155" s="7"/>
      <c r="R1155" s="7"/>
      <c r="S1155" s="7"/>
      <c r="T1155" s="7"/>
    </row>
    <row r="1156" spans="3:20" x14ac:dyDescent="0.25">
      <c r="C1156" s="7"/>
      <c r="D1156" s="7"/>
      <c r="E1156" s="7" t="s">
        <v>19</v>
      </c>
      <c r="F1156" s="7">
        <v>2020</v>
      </c>
      <c r="G1156" s="8" t="s">
        <v>20</v>
      </c>
      <c r="H1156" s="19" t="s">
        <v>83</v>
      </c>
      <c r="I1156" s="7" t="s">
        <v>84</v>
      </c>
      <c r="J1156" s="8"/>
      <c r="K1156" s="7"/>
      <c r="L1156" s="7" t="s">
        <v>24</v>
      </c>
      <c r="M1156" s="18">
        <f>'Emissions - REF'!$E$85</f>
        <v>1.320295E-3</v>
      </c>
      <c r="N1156" s="7"/>
      <c r="O1156" s="7"/>
      <c r="P1156" s="7"/>
      <c r="Q1156" s="7"/>
      <c r="R1156" s="7"/>
      <c r="S1156" s="7"/>
      <c r="T1156" s="7"/>
    </row>
    <row r="1157" spans="3:20" x14ac:dyDescent="0.25">
      <c r="C1157" s="7"/>
      <c r="D1157" s="7"/>
      <c r="E1157" s="7" t="s">
        <v>19</v>
      </c>
      <c r="F1157" s="7">
        <v>2055</v>
      </c>
      <c r="G1157" s="8" t="s">
        <v>20</v>
      </c>
      <c r="H1157" s="19" t="s">
        <v>83</v>
      </c>
      <c r="I1157" s="7" t="s">
        <v>84</v>
      </c>
      <c r="J1157" s="8"/>
      <c r="K1157" s="7"/>
      <c r="L1157" s="7" t="s">
        <v>24</v>
      </c>
      <c r="M1157" s="18">
        <f>M1156</f>
        <v>1.320295E-3</v>
      </c>
      <c r="N1157" s="7"/>
      <c r="O1157" s="7"/>
      <c r="P1157" s="7"/>
      <c r="Q1157" s="7"/>
      <c r="R1157" s="7"/>
      <c r="S1157" s="7"/>
      <c r="T1157" s="7"/>
    </row>
    <row r="1158" spans="3:20" x14ac:dyDescent="0.25">
      <c r="C1158" s="7"/>
      <c r="D1158" s="7"/>
      <c r="E1158" s="7" t="s">
        <v>19</v>
      </c>
      <c r="F1158" s="7">
        <v>2010</v>
      </c>
      <c r="G1158" s="8" t="s">
        <v>20</v>
      </c>
      <c r="H1158" s="19" t="s">
        <v>83</v>
      </c>
      <c r="I1158" s="7" t="s">
        <v>84</v>
      </c>
      <c r="J1158" s="8"/>
      <c r="K1158" s="7"/>
      <c r="L1158" s="7" t="s">
        <v>25</v>
      </c>
      <c r="M1158" s="18">
        <f>'Emissions - REF'!$C$86</f>
        <v>3.0219699999999997E-3</v>
      </c>
      <c r="N1158" s="7"/>
      <c r="O1158" s="7"/>
      <c r="P1158" s="7"/>
      <c r="Q1158" s="7"/>
      <c r="R1158" s="7"/>
      <c r="S1158" s="7"/>
      <c r="T1158" s="7"/>
    </row>
    <row r="1159" spans="3:20" x14ac:dyDescent="0.25">
      <c r="C1159" s="7"/>
      <c r="D1159" s="7"/>
      <c r="E1159" s="7" t="s">
        <v>19</v>
      </c>
      <c r="F1159" s="7">
        <v>2015</v>
      </c>
      <c r="G1159" s="8" t="s">
        <v>20</v>
      </c>
      <c r="H1159" s="19" t="s">
        <v>83</v>
      </c>
      <c r="I1159" s="7" t="s">
        <v>84</v>
      </c>
      <c r="J1159" s="8"/>
      <c r="K1159" s="7"/>
      <c r="L1159" s="7" t="s">
        <v>25</v>
      </c>
      <c r="M1159" s="18">
        <f>'Emissions - REF'!$D$86</f>
        <v>2.6820859999999998E-3</v>
      </c>
      <c r="N1159" s="7"/>
      <c r="O1159" s="7"/>
      <c r="P1159" s="7"/>
      <c r="Q1159" s="7"/>
      <c r="R1159" s="7"/>
      <c r="S1159" s="7"/>
      <c r="T1159" s="7"/>
    </row>
    <row r="1160" spans="3:20" x14ac:dyDescent="0.25">
      <c r="C1160" s="7"/>
      <c r="D1160" s="7"/>
      <c r="E1160" s="7" t="s">
        <v>19</v>
      </c>
      <c r="F1160" s="7">
        <v>2020</v>
      </c>
      <c r="G1160" s="8" t="s">
        <v>20</v>
      </c>
      <c r="H1160" s="19" t="s">
        <v>83</v>
      </c>
      <c r="I1160" s="7" t="s">
        <v>84</v>
      </c>
      <c r="J1160" s="8"/>
      <c r="K1160" s="7"/>
      <c r="L1160" s="7" t="s">
        <v>25</v>
      </c>
      <c r="M1160" s="18">
        <f>'Emissions - REF'!$E$86</f>
        <v>2.5373420000000002E-3</v>
      </c>
      <c r="N1160" s="7"/>
      <c r="O1160" s="7"/>
      <c r="P1160" s="7"/>
      <c r="Q1160" s="7"/>
      <c r="R1160" s="7"/>
      <c r="S1160" s="7"/>
      <c r="T1160" s="7"/>
    </row>
    <row r="1161" spans="3:20" x14ac:dyDescent="0.25">
      <c r="C1161" s="7"/>
      <c r="D1161" s="7"/>
      <c r="E1161" s="7" t="s">
        <v>19</v>
      </c>
      <c r="F1161" s="7">
        <v>2055</v>
      </c>
      <c r="G1161" s="8" t="s">
        <v>20</v>
      </c>
      <c r="H1161" s="19" t="s">
        <v>83</v>
      </c>
      <c r="I1161" s="7" t="s">
        <v>84</v>
      </c>
      <c r="J1161" s="8"/>
      <c r="K1161" s="7"/>
      <c r="L1161" s="7" t="s">
        <v>25</v>
      </c>
      <c r="M1161" s="18">
        <f>M1160</f>
        <v>2.5373420000000002E-3</v>
      </c>
      <c r="N1161" s="7"/>
      <c r="O1161" s="7"/>
      <c r="P1161" s="7"/>
      <c r="Q1161" s="7"/>
      <c r="R1161" s="7"/>
      <c r="S1161" s="7"/>
      <c r="T1161" s="7"/>
    </row>
    <row r="1162" spans="3:20" x14ac:dyDescent="0.25">
      <c r="C1162" s="7"/>
      <c r="D1162" s="7"/>
      <c r="E1162" s="7" t="s">
        <v>19</v>
      </c>
      <c r="F1162" s="7">
        <v>2010</v>
      </c>
      <c r="G1162" s="8" t="s">
        <v>20</v>
      </c>
      <c r="H1162" s="19" t="s">
        <v>83</v>
      </c>
      <c r="I1162" s="7" t="s">
        <v>84</v>
      </c>
      <c r="J1162" s="8"/>
      <c r="K1162" s="7"/>
      <c r="L1162" s="7" t="s">
        <v>26</v>
      </c>
      <c r="M1162" s="18">
        <f>'Emissions - REF'!$C$87</f>
        <v>7.2457500000000009E-4</v>
      </c>
      <c r="N1162" s="7"/>
      <c r="O1162" s="7"/>
      <c r="P1162" s="7"/>
      <c r="Q1162" s="7"/>
      <c r="R1162" s="7"/>
      <c r="S1162" s="7"/>
      <c r="T1162" s="7"/>
    </row>
    <row r="1163" spans="3:20" x14ac:dyDescent="0.25">
      <c r="C1163" s="7"/>
      <c r="D1163" s="7"/>
      <c r="E1163" s="7" t="s">
        <v>19</v>
      </c>
      <c r="F1163" s="7">
        <v>2015</v>
      </c>
      <c r="G1163" s="8" t="s">
        <v>20</v>
      </c>
      <c r="H1163" s="19" t="s">
        <v>83</v>
      </c>
      <c r="I1163" s="7" t="s">
        <v>84</v>
      </c>
      <c r="J1163" s="8"/>
      <c r="K1163" s="7"/>
      <c r="L1163" s="7" t="s">
        <v>26</v>
      </c>
      <c r="M1163" s="18">
        <f>'Emissions - REF'!$D$87</f>
        <v>6.44397E-4</v>
      </c>
      <c r="N1163" s="7"/>
      <c r="O1163" s="7"/>
      <c r="P1163" s="7"/>
      <c r="Q1163" s="7"/>
      <c r="R1163" s="7"/>
      <c r="S1163" s="7"/>
      <c r="T1163" s="7"/>
    </row>
    <row r="1164" spans="3:20" x14ac:dyDescent="0.25">
      <c r="C1164" s="7"/>
      <c r="D1164" s="7"/>
      <c r="E1164" s="7" t="s">
        <v>19</v>
      </c>
      <c r="F1164" s="7">
        <v>2020</v>
      </c>
      <c r="G1164" s="8" t="s">
        <v>20</v>
      </c>
      <c r="H1164" s="19" t="s">
        <v>83</v>
      </c>
      <c r="I1164" s="7" t="s">
        <v>84</v>
      </c>
      <c r="J1164" s="8"/>
      <c r="K1164" s="7"/>
      <c r="L1164" s="7" t="s">
        <v>26</v>
      </c>
      <c r="M1164" s="18">
        <f>'Emissions - REF'!$E$87</f>
        <v>6.1744299999999996E-4</v>
      </c>
      <c r="N1164" s="7"/>
      <c r="O1164" s="7"/>
      <c r="P1164" s="7"/>
      <c r="Q1164" s="7"/>
      <c r="R1164" s="7"/>
      <c r="S1164" s="7"/>
      <c r="T1164" s="7"/>
    </row>
    <row r="1165" spans="3:20" x14ac:dyDescent="0.25">
      <c r="C1165" s="7"/>
      <c r="D1165" s="7"/>
      <c r="E1165" s="7" t="s">
        <v>19</v>
      </c>
      <c r="F1165" s="7">
        <v>2055</v>
      </c>
      <c r="G1165" s="8" t="s">
        <v>20</v>
      </c>
      <c r="H1165" s="19" t="s">
        <v>83</v>
      </c>
      <c r="I1165" s="7" t="s">
        <v>84</v>
      </c>
      <c r="J1165" s="8"/>
      <c r="K1165" s="7"/>
      <c r="L1165" s="7" t="s">
        <v>26</v>
      </c>
      <c r="M1165" s="18">
        <f>M1164</f>
        <v>6.1744299999999996E-4</v>
      </c>
      <c r="N1165" s="7"/>
      <c r="O1165" s="7"/>
      <c r="P1165" s="7"/>
      <c r="Q1165" s="7"/>
      <c r="R1165" s="7"/>
      <c r="S1165" s="7"/>
      <c r="T1165" s="7"/>
    </row>
    <row r="1166" spans="3:20" x14ac:dyDescent="0.25">
      <c r="C1166" s="7"/>
      <c r="D1166" s="7"/>
      <c r="E1166" s="7" t="s">
        <v>19</v>
      </c>
      <c r="F1166" s="7">
        <v>2010</v>
      </c>
      <c r="G1166" s="8" t="s">
        <v>20</v>
      </c>
      <c r="H1166" s="19" t="s">
        <v>83</v>
      </c>
      <c r="I1166" s="7" t="s">
        <v>84</v>
      </c>
      <c r="J1166" s="8"/>
      <c r="K1166" s="7"/>
      <c r="L1166" s="7" t="s">
        <v>27</v>
      </c>
      <c r="M1166" s="18">
        <f>'Emissions - REF'!$C$88</f>
        <v>4.0297800000000002E-4</v>
      </c>
      <c r="N1166" s="7"/>
      <c r="O1166" s="7"/>
      <c r="P1166" s="7"/>
      <c r="Q1166" s="7"/>
      <c r="R1166" s="7"/>
      <c r="S1166" s="7"/>
      <c r="T1166" s="7"/>
    </row>
    <row r="1167" spans="3:20" x14ac:dyDescent="0.25">
      <c r="C1167" s="7"/>
      <c r="D1167" s="7"/>
      <c r="E1167" s="7" t="s">
        <v>19</v>
      </c>
      <c r="F1167" s="7">
        <v>2015</v>
      </c>
      <c r="G1167" s="8" t="s">
        <v>20</v>
      </c>
      <c r="H1167" s="19" t="s">
        <v>83</v>
      </c>
      <c r="I1167" s="7" t="s">
        <v>84</v>
      </c>
      <c r="J1167" s="8"/>
      <c r="K1167" s="7"/>
      <c r="L1167" s="7" t="s">
        <v>27</v>
      </c>
      <c r="M1167" s="18">
        <f>'Emissions - REF'!$D$88</f>
        <v>3.75888E-4</v>
      </c>
      <c r="N1167" s="7"/>
      <c r="O1167" s="7"/>
      <c r="P1167" s="7"/>
      <c r="Q1167" s="7"/>
      <c r="R1167" s="7"/>
      <c r="S1167" s="7"/>
      <c r="T1167" s="7"/>
    </row>
    <row r="1168" spans="3:20" x14ac:dyDescent="0.25">
      <c r="C1168" s="7"/>
      <c r="D1168" s="7"/>
      <c r="E1168" s="7" t="s">
        <v>19</v>
      </c>
      <c r="F1168" s="7">
        <v>2020</v>
      </c>
      <c r="G1168" s="8" t="s">
        <v>20</v>
      </c>
      <c r="H1168" s="19" t="s">
        <v>83</v>
      </c>
      <c r="I1168" s="7" t="s">
        <v>84</v>
      </c>
      <c r="J1168" s="8"/>
      <c r="K1168" s="7"/>
      <c r="L1168" s="7" t="s">
        <v>27</v>
      </c>
      <c r="M1168" s="18">
        <f>'Emissions - REF'!$E$88</f>
        <v>3.4914800000000003E-4</v>
      </c>
      <c r="N1168" s="7"/>
      <c r="O1168" s="7"/>
      <c r="P1168" s="7"/>
      <c r="Q1168" s="7"/>
      <c r="R1168" s="7"/>
      <c r="S1168" s="7"/>
      <c r="T1168" s="7"/>
    </row>
    <row r="1169" spans="3:20" x14ac:dyDescent="0.25">
      <c r="C1169" s="7"/>
      <c r="D1169" s="7"/>
      <c r="E1169" s="7" t="s">
        <v>19</v>
      </c>
      <c r="F1169" s="7">
        <v>2055</v>
      </c>
      <c r="G1169" s="8" t="s">
        <v>20</v>
      </c>
      <c r="H1169" s="19" t="s">
        <v>83</v>
      </c>
      <c r="I1169" s="7" t="s">
        <v>84</v>
      </c>
      <c r="J1169" s="8"/>
      <c r="K1169" s="7"/>
      <c r="L1169" s="7" t="s">
        <v>27</v>
      </c>
      <c r="M1169" s="18">
        <f>M1168</f>
        <v>3.4914800000000003E-4</v>
      </c>
      <c r="N1169" s="7"/>
      <c r="O1169" s="7"/>
      <c r="P1169" s="7"/>
      <c r="Q1169" s="7"/>
      <c r="R1169" s="7"/>
      <c r="S1169" s="7"/>
      <c r="T1169" s="7"/>
    </row>
    <row r="1170" spans="3:20" x14ac:dyDescent="0.25">
      <c r="C1170" s="7"/>
      <c r="D1170" s="7"/>
      <c r="E1170" s="7" t="s">
        <v>19</v>
      </c>
      <c r="F1170" s="7">
        <v>2010</v>
      </c>
      <c r="G1170" s="8" t="s">
        <v>20</v>
      </c>
      <c r="H1170" s="19" t="s">
        <v>83</v>
      </c>
      <c r="I1170" s="7" t="s">
        <v>84</v>
      </c>
      <c r="J1170" s="8"/>
      <c r="K1170" s="7"/>
      <c r="L1170" s="7" t="s">
        <v>28</v>
      </c>
      <c r="M1170" s="18">
        <f>'Emissions - REF'!$C$89</f>
        <v>2.6361500000000003E-3</v>
      </c>
      <c r="N1170" s="7"/>
      <c r="O1170" s="7"/>
      <c r="P1170" s="7"/>
      <c r="Q1170" s="7"/>
      <c r="R1170" s="7"/>
      <c r="S1170" s="7"/>
      <c r="T1170" s="7"/>
    </row>
    <row r="1171" spans="3:20" x14ac:dyDescent="0.25">
      <c r="C1171" s="7"/>
      <c r="D1171" s="7"/>
      <c r="E1171" s="7" t="s">
        <v>19</v>
      </c>
      <c r="F1171" s="7">
        <v>2015</v>
      </c>
      <c r="G1171" s="8" t="s">
        <v>20</v>
      </c>
      <c r="H1171" s="19" t="s">
        <v>83</v>
      </c>
      <c r="I1171" s="7" t="s">
        <v>84</v>
      </c>
      <c r="J1171" s="8"/>
      <c r="K1171" s="7"/>
      <c r="L1171" s="7" t="s">
        <v>28</v>
      </c>
      <c r="M1171" s="18">
        <f>'Emissions - REF'!$D$89</f>
        <v>2.26735E-3</v>
      </c>
      <c r="N1171" s="7"/>
      <c r="O1171" s="7"/>
      <c r="P1171" s="7"/>
      <c r="Q1171" s="7"/>
      <c r="R1171" s="7"/>
      <c r="S1171" s="7"/>
      <c r="T1171" s="7"/>
    </row>
    <row r="1172" spans="3:20" x14ac:dyDescent="0.25">
      <c r="C1172" s="7"/>
      <c r="D1172" s="7"/>
      <c r="E1172" s="7" t="s">
        <v>19</v>
      </c>
      <c r="F1172" s="7">
        <v>2020</v>
      </c>
      <c r="G1172" s="8" t="s">
        <v>20</v>
      </c>
      <c r="H1172" s="19" t="s">
        <v>83</v>
      </c>
      <c r="I1172" s="7" t="s">
        <v>84</v>
      </c>
      <c r="J1172" s="8"/>
      <c r="K1172" s="7"/>
      <c r="L1172" s="7" t="s">
        <v>28</v>
      </c>
      <c r="M1172" s="18">
        <f>'Emissions - REF'!$E$89</f>
        <v>2.1092929999999999E-3</v>
      </c>
      <c r="N1172" s="7"/>
      <c r="O1172" s="7"/>
      <c r="P1172" s="7"/>
      <c r="Q1172" s="7"/>
      <c r="R1172" s="7"/>
      <c r="S1172" s="7"/>
      <c r="T1172" s="7"/>
    </row>
    <row r="1173" spans="3:20" x14ac:dyDescent="0.25">
      <c r="C1173" s="7"/>
      <c r="D1173" s="7"/>
      <c r="E1173" s="7" t="s">
        <v>19</v>
      </c>
      <c r="F1173" s="7">
        <v>2055</v>
      </c>
      <c r="G1173" s="8" t="s">
        <v>20</v>
      </c>
      <c r="H1173" s="19" t="s">
        <v>83</v>
      </c>
      <c r="I1173" s="7" t="s">
        <v>84</v>
      </c>
      <c r="J1173" s="8"/>
      <c r="K1173" s="7"/>
      <c r="L1173" s="7" t="s">
        <v>28</v>
      </c>
      <c r="M1173" s="18">
        <f>M1172</f>
        <v>2.1092929999999999E-3</v>
      </c>
      <c r="N1173" s="7"/>
      <c r="O1173" s="7"/>
      <c r="P1173" s="7"/>
      <c r="Q1173" s="7"/>
      <c r="R1173" s="7"/>
      <c r="S1173" s="7"/>
      <c r="T1173" s="7"/>
    </row>
    <row r="1174" spans="3:20" x14ac:dyDescent="0.25">
      <c r="C1174" s="7"/>
      <c r="D1174" s="7"/>
      <c r="E1174" s="7" t="s">
        <v>19</v>
      </c>
      <c r="F1174" s="7">
        <v>2010</v>
      </c>
      <c r="G1174" s="8" t="s">
        <v>20</v>
      </c>
      <c r="H1174" s="19" t="s">
        <v>83</v>
      </c>
      <c r="I1174" s="7" t="s">
        <v>84</v>
      </c>
      <c r="J1174" s="8"/>
      <c r="K1174" s="7"/>
      <c r="L1174" s="7" t="s">
        <v>29</v>
      </c>
      <c r="M1174" s="18">
        <f>'Emissions - REF'!$C$90</f>
        <v>6.9129000000000008E-5</v>
      </c>
      <c r="N1174" s="7"/>
      <c r="O1174" s="7"/>
      <c r="P1174" s="7"/>
      <c r="Q1174" s="7"/>
      <c r="R1174" s="7"/>
      <c r="S1174" s="7"/>
      <c r="T1174" s="7"/>
    </row>
    <row r="1175" spans="3:20" x14ac:dyDescent="0.25">
      <c r="C1175" s="7"/>
      <c r="D1175" s="7"/>
      <c r="E1175" s="7" t="s">
        <v>19</v>
      </c>
      <c r="F1175" s="7">
        <v>2015</v>
      </c>
      <c r="G1175" s="8" t="s">
        <v>20</v>
      </c>
      <c r="H1175" s="19" t="s">
        <v>83</v>
      </c>
      <c r="I1175" s="7" t="s">
        <v>84</v>
      </c>
      <c r="J1175" s="8"/>
      <c r="K1175" s="7"/>
      <c r="L1175" s="7" t="s">
        <v>29</v>
      </c>
      <c r="M1175" s="18">
        <f>'Emissions - REF'!$D$90</f>
        <v>6.9129000000000008E-5</v>
      </c>
      <c r="N1175" s="7"/>
      <c r="O1175" s="7"/>
      <c r="P1175" s="7"/>
      <c r="Q1175" s="7"/>
      <c r="R1175" s="7"/>
      <c r="S1175" s="7"/>
      <c r="T1175" s="7"/>
    </row>
    <row r="1176" spans="3:20" x14ac:dyDescent="0.25">
      <c r="C1176" s="7"/>
      <c r="D1176" s="7"/>
      <c r="E1176" s="7" t="s">
        <v>19</v>
      </c>
      <c r="F1176" s="7">
        <v>2020</v>
      </c>
      <c r="G1176" s="8" t="s">
        <v>20</v>
      </c>
      <c r="H1176" s="19" t="s">
        <v>83</v>
      </c>
      <c r="I1176" s="7" t="s">
        <v>84</v>
      </c>
      <c r="J1176" s="8"/>
      <c r="K1176" s="7"/>
      <c r="L1176" s="7" t="s">
        <v>29</v>
      </c>
      <c r="M1176" s="18">
        <f>'Emissions - REF'!$E$90</f>
        <v>6.9129000000000008E-5</v>
      </c>
      <c r="N1176" s="7"/>
      <c r="O1176" s="7"/>
      <c r="P1176" s="7"/>
      <c r="Q1176" s="7"/>
      <c r="R1176" s="7"/>
      <c r="S1176" s="7"/>
      <c r="T1176" s="7"/>
    </row>
    <row r="1177" spans="3:20" x14ac:dyDescent="0.25">
      <c r="C1177" s="7"/>
      <c r="D1177" s="7"/>
      <c r="E1177" s="7" t="s">
        <v>19</v>
      </c>
      <c r="F1177" s="7">
        <v>2055</v>
      </c>
      <c r="G1177" s="8" t="s">
        <v>20</v>
      </c>
      <c r="H1177" s="19" t="s">
        <v>83</v>
      </c>
      <c r="I1177" s="7" t="s">
        <v>84</v>
      </c>
      <c r="J1177" s="8"/>
      <c r="K1177" s="7"/>
      <c r="L1177" s="7" t="s">
        <v>29</v>
      </c>
      <c r="M1177" s="18">
        <f>M1176</f>
        <v>6.9129000000000008E-5</v>
      </c>
      <c r="N1177" s="7"/>
      <c r="O1177" s="7"/>
      <c r="P1177" s="7"/>
      <c r="Q1177" s="7"/>
      <c r="R1177" s="7"/>
      <c r="S1177" s="7"/>
      <c r="T1177" s="7"/>
    </row>
    <row r="1178" spans="3:20" x14ac:dyDescent="0.25">
      <c r="C1178" s="7"/>
      <c r="D1178" s="7"/>
      <c r="E1178" s="7" t="s">
        <v>19</v>
      </c>
      <c r="F1178" s="7">
        <v>2010</v>
      </c>
      <c r="G1178" s="8" t="s">
        <v>20</v>
      </c>
      <c r="H1178" s="19" t="s">
        <v>83</v>
      </c>
      <c r="I1178" s="7" t="s">
        <v>84</v>
      </c>
      <c r="J1178" s="8"/>
      <c r="K1178" s="7"/>
      <c r="L1178" s="7" t="s">
        <v>30</v>
      </c>
      <c r="M1178" s="18">
        <f>'Emissions - REF'!$C$91</f>
        <v>3.7039000000000002E-5</v>
      </c>
      <c r="N1178" s="7"/>
      <c r="O1178" s="7"/>
      <c r="P1178" s="7"/>
      <c r="Q1178" s="7"/>
      <c r="R1178" s="7"/>
      <c r="S1178" s="7"/>
      <c r="T1178" s="7"/>
    </row>
    <row r="1179" spans="3:20" x14ac:dyDescent="0.25">
      <c r="C1179" s="7"/>
      <c r="D1179" s="7"/>
      <c r="E1179" s="7" t="s">
        <v>19</v>
      </c>
      <c r="F1179" s="7">
        <v>2015</v>
      </c>
      <c r="G1179" s="8" t="s">
        <v>20</v>
      </c>
      <c r="H1179" s="19" t="s">
        <v>83</v>
      </c>
      <c r="I1179" s="7" t="s">
        <v>84</v>
      </c>
      <c r="J1179" s="8"/>
      <c r="K1179" s="7"/>
      <c r="L1179" s="7" t="s">
        <v>30</v>
      </c>
      <c r="M1179" s="18">
        <f>'Emissions - REF'!$D$91</f>
        <v>3.7039000000000002E-5</v>
      </c>
      <c r="N1179" s="7"/>
      <c r="O1179" s="7"/>
      <c r="P1179" s="7"/>
      <c r="Q1179" s="7"/>
      <c r="R1179" s="7"/>
      <c r="S1179" s="7"/>
      <c r="T1179" s="7"/>
    </row>
    <row r="1180" spans="3:20" x14ac:dyDescent="0.25">
      <c r="C1180" s="7"/>
      <c r="D1180" s="7"/>
      <c r="E1180" s="7" t="s">
        <v>19</v>
      </c>
      <c r="F1180" s="7">
        <v>2020</v>
      </c>
      <c r="G1180" s="8" t="s">
        <v>20</v>
      </c>
      <c r="H1180" s="19" t="s">
        <v>83</v>
      </c>
      <c r="I1180" s="7" t="s">
        <v>84</v>
      </c>
      <c r="J1180" s="8"/>
      <c r="K1180" s="7"/>
      <c r="L1180" s="7" t="s">
        <v>30</v>
      </c>
      <c r="M1180" s="18">
        <f>'Emissions - REF'!$E$91</f>
        <v>3.7039000000000002E-5</v>
      </c>
      <c r="N1180" s="7"/>
      <c r="O1180" s="7"/>
      <c r="P1180" s="7"/>
      <c r="Q1180" s="7"/>
      <c r="R1180" s="7"/>
      <c r="S1180" s="7"/>
      <c r="T1180" s="7"/>
    </row>
    <row r="1181" spans="3:20" x14ac:dyDescent="0.25">
      <c r="C1181" s="7"/>
      <c r="D1181" s="7"/>
      <c r="E1181" s="7" t="s">
        <v>19</v>
      </c>
      <c r="F1181" s="7">
        <v>2055</v>
      </c>
      <c r="G1181" s="8" t="s">
        <v>20</v>
      </c>
      <c r="H1181" s="19" t="s">
        <v>83</v>
      </c>
      <c r="I1181" s="7" t="s">
        <v>84</v>
      </c>
      <c r="J1181" s="8"/>
      <c r="K1181" s="7"/>
      <c r="L1181" s="7" t="s">
        <v>30</v>
      </c>
      <c r="M1181" s="18">
        <f>M1180</f>
        <v>3.7039000000000002E-5</v>
      </c>
      <c r="N1181" s="7"/>
      <c r="O1181" s="7"/>
      <c r="P1181" s="7"/>
      <c r="Q1181" s="7"/>
      <c r="R1181" s="7"/>
      <c r="S1181" s="7"/>
      <c r="T1181" s="7"/>
    </row>
    <row r="1182" spans="3:20" x14ac:dyDescent="0.25">
      <c r="C1182" s="7"/>
      <c r="D1182" s="7"/>
      <c r="E1182" s="7" t="s">
        <v>19</v>
      </c>
      <c r="F1182" s="7">
        <v>2010</v>
      </c>
      <c r="G1182" s="8" t="s">
        <v>20</v>
      </c>
      <c r="H1182" s="19" t="s">
        <v>83</v>
      </c>
      <c r="I1182" s="7" t="s">
        <v>84</v>
      </c>
      <c r="J1182" s="8"/>
      <c r="K1182" s="7"/>
      <c r="L1182" s="7" t="s">
        <v>31</v>
      </c>
      <c r="M1182" s="7">
        <v>1E-4</v>
      </c>
      <c r="N1182" s="7"/>
      <c r="O1182" s="7"/>
      <c r="P1182" s="7"/>
      <c r="Q1182" s="7"/>
      <c r="R1182" s="7"/>
      <c r="S1182" s="7"/>
      <c r="T1182" s="7"/>
    </row>
    <row r="1183" spans="3:20" x14ac:dyDescent="0.25">
      <c r="C1183" s="7"/>
      <c r="D1183" s="7"/>
      <c r="E1183" s="7" t="s">
        <v>19</v>
      </c>
      <c r="F1183" s="7">
        <v>2015</v>
      </c>
      <c r="G1183" s="8" t="s">
        <v>20</v>
      </c>
      <c r="H1183" s="19" t="s">
        <v>83</v>
      </c>
      <c r="I1183" s="7" t="s">
        <v>84</v>
      </c>
      <c r="J1183" s="8"/>
      <c r="K1183" s="7"/>
      <c r="L1183" s="7" t="s">
        <v>31</v>
      </c>
      <c r="M1183" s="7">
        <f>M1182</f>
        <v>1E-4</v>
      </c>
      <c r="N1183" s="7"/>
      <c r="O1183" s="7"/>
      <c r="P1183" s="7"/>
      <c r="Q1183" s="7"/>
      <c r="R1183" s="7"/>
      <c r="S1183" s="7"/>
      <c r="T1183" s="7"/>
    </row>
    <row r="1184" spans="3:20" x14ac:dyDescent="0.25">
      <c r="C1184" s="7"/>
      <c r="D1184" s="7"/>
      <c r="E1184" s="7" t="s">
        <v>19</v>
      </c>
      <c r="F1184" s="7">
        <v>2020</v>
      </c>
      <c r="G1184" s="8" t="s">
        <v>20</v>
      </c>
      <c r="H1184" s="19" t="s">
        <v>83</v>
      </c>
      <c r="I1184" s="7" t="s">
        <v>84</v>
      </c>
      <c r="J1184" s="8"/>
      <c r="K1184" s="7"/>
      <c r="L1184" s="7" t="s">
        <v>31</v>
      </c>
      <c r="M1184" s="7">
        <f t="shared" ref="M1184:M1185" si="224">M1183</f>
        <v>1E-4</v>
      </c>
      <c r="N1184" s="7"/>
      <c r="O1184" s="7"/>
      <c r="P1184" s="7"/>
      <c r="Q1184" s="7"/>
      <c r="R1184" s="7"/>
      <c r="S1184" s="7"/>
      <c r="T1184" s="7"/>
    </row>
    <row r="1185" spans="3:20" x14ac:dyDescent="0.25">
      <c r="C1185" s="7"/>
      <c r="D1185" s="7"/>
      <c r="E1185" s="7" t="s">
        <v>19</v>
      </c>
      <c r="F1185" s="7">
        <v>2055</v>
      </c>
      <c r="G1185" s="8" t="s">
        <v>20</v>
      </c>
      <c r="H1185" s="19" t="s">
        <v>83</v>
      </c>
      <c r="I1185" s="7" t="s">
        <v>84</v>
      </c>
      <c r="J1185" s="8"/>
      <c r="K1185" s="7"/>
      <c r="L1185" s="7" t="s">
        <v>31</v>
      </c>
      <c r="M1185" s="7">
        <f t="shared" si="224"/>
        <v>1E-4</v>
      </c>
      <c r="N1185" s="7"/>
      <c r="O1185" s="7"/>
      <c r="P1185" s="7"/>
      <c r="Q1185" s="7"/>
      <c r="R1185" s="7"/>
      <c r="S1185" s="7"/>
      <c r="T1185" s="7"/>
    </row>
    <row r="1186" spans="3:20" x14ac:dyDescent="0.25">
      <c r="C1186" s="7"/>
      <c r="D1186" s="7"/>
      <c r="E1186" s="7" t="s">
        <v>19</v>
      </c>
      <c r="F1186" s="7">
        <v>2010</v>
      </c>
      <c r="G1186" s="8" t="s">
        <v>20</v>
      </c>
      <c r="H1186" s="19" t="s">
        <v>83</v>
      </c>
      <c r="I1186" s="7" t="s">
        <v>84</v>
      </c>
      <c r="J1186" s="8"/>
      <c r="K1186" s="7"/>
      <c r="L1186" s="7" t="s">
        <v>32</v>
      </c>
      <c r="M1186" s="7">
        <v>2.0000000000000001E-4</v>
      </c>
      <c r="N1186" s="7"/>
      <c r="O1186" s="7"/>
      <c r="P1186" s="7"/>
      <c r="Q1186" s="7"/>
      <c r="R1186" s="7"/>
      <c r="S1186" s="7"/>
      <c r="T1186" s="7"/>
    </row>
    <row r="1187" spans="3:20" x14ac:dyDescent="0.25">
      <c r="C1187" s="7"/>
      <c r="D1187" s="7"/>
      <c r="E1187" s="7" t="s">
        <v>19</v>
      </c>
      <c r="F1187" s="7">
        <v>2015</v>
      </c>
      <c r="G1187" s="8" t="s">
        <v>20</v>
      </c>
      <c r="H1187" s="19" t="s">
        <v>83</v>
      </c>
      <c r="I1187" s="7" t="s">
        <v>84</v>
      </c>
      <c r="J1187" s="8"/>
      <c r="K1187" s="7"/>
      <c r="L1187" s="7" t="s">
        <v>32</v>
      </c>
      <c r="M1187" s="7">
        <f>M1186</f>
        <v>2.0000000000000001E-4</v>
      </c>
      <c r="N1187" s="7"/>
      <c r="O1187" s="7"/>
      <c r="P1187" s="7"/>
      <c r="Q1187" s="7"/>
      <c r="R1187" s="7"/>
      <c r="S1187" s="7"/>
      <c r="T1187" s="7"/>
    </row>
    <row r="1188" spans="3:20" x14ac:dyDescent="0.25">
      <c r="C1188" s="7"/>
      <c r="D1188" s="7"/>
      <c r="E1188" s="7" t="s">
        <v>19</v>
      </c>
      <c r="F1188" s="7">
        <v>2020</v>
      </c>
      <c r="G1188" s="8" t="s">
        <v>20</v>
      </c>
      <c r="H1188" s="19" t="s">
        <v>83</v>
      </c>
      <c r="I1188" s="7" t="s">
        <v>84</v>
      </c>
      <c r="J1188" s="8"/>
      <c r="K1188" s="7"/>
      <c r="L1188" s="7" t="s">
        <v>32</v>
      </c>
      <c r="M1188" s="7">
        <f t="shared" ref="M1188:M1189" si="225">M1187</f>
        <v>2.0000000000000001E-4</v>
      </c>
      <c r="N1188" s="7"/>
      <c r="O1188" s="7"/>
      <c r="P1188" s="7"/>
      <c r="Q1188" s="7"/>
      <c r="R1188" s="7"/>
      <c r="S1188" s="7"/>
      <c r="T1188" s="7"/>
    </row>
    <row r="1189" spans="3:20" x14ac:dyDescent="0.25">
      <c r="C1189" s="7"/>
      <c r="D1189" s="7"/>
      <c r="E1189" s="7" t="s">
        <v>19</v>
      </c>
      <c r="F1189" s="7">
        <v>2055</v>
      </c>
      <c r="G1189" s="8" t="s">
        <v>20</v>
      </c>
      <c r="H1189" s="19" t="s">
        <v>83</v>
      </c>
      <c r="I1189" s="7" t="s">
        <v>84</v>
      </c>
      <c r="J1189" s="8"/>
      <c r="K1189" s="7"/>
      <c r="L1189" s="7" t="s">
        <v>32</v>
      </c>
      <c r="M1189" s="7">
        <f t="shared" si="225"/>
        <v>2.0000000000000001E-4</v>
      </c>
      <c r="N1189" s="7"/>
      <c r="O1189" s="7"/>
      <c r="P1189" s="7"/>
      <c r="Q1189" s="7"/>
      <c r="R1189" s="7"/>
      <c r="S1189" s="7"/>
      <c r="T1189" s="7"/>
    </row>
    <row r="1190" spans="3:20" x14ac:dyDescent="0.25">
      <c r="C1190" s="7"/>
      <c r="D1190" s="7"/>
      <c r="E1190" s="7" t="s">
        <v>19</v>
      </c>
      <c r="F1190" s="7">
        <v>2010</v>
      </c>
      <c r="G1190" s="8" t="s">
        <v>20</v>
      </c>
      <c r="H1190" s="19" t="s">
        <v>83</v>
      </c>
      <c r="I1190" s="7" t="s">
        <v>84</v>
      </c>
      <c r="J1190" s="8"/>
      <c r="K1190" s="7"/>
      <c r="L1190" s="7" t="s">
        <v>46</v>
      </c>
      <c r="M1190" s="18">
        <f>M1158</f>
        <v>3.0219699999999997E-3</v>
      </c>
      <c r="N1190" s="7"/>
      <c r="O1190" s="7"/>
      <c r="P1190" s="7"/>
      <c r="Q1190" s="7"/>
      <c r="R1190" s="7"/>
      <c r="S1190" s="7"/>
      <c r="T1190" s="7"/>
    </row>
    <row r="1191" spans="3:20" x14ac:dyDescent="0.25">
      <c r="C1191" s="7"/>
      <c r="D1191" s="7"/>
      <c r="E1191" s="7" t="s">
        <v>19</v>
      </c>
      <c r="F1191" s="7">
        <v>2015</v>
      </c>
      <c r="G1191" s="8" t="s">
        <v>20</v>
      </c>
      <c r="H1191" s="19" t="s">
        <v>83</v>
      </c>
      <c r="I1191" s="7" t="s">
        <v>84</v>
      </c>
      <c r="J1191" s="8"/>
      <c r="K1191" s="7"/>
      <c r="L1191" s="7" t="s">
        <v>46</v>
      </c>
      <c r="M1191" s="18">
        <f t="shared" ref="M1191:M1193" si="226">M1159</f>
        <v>2.6820859999999998E-3</v>
      </c>
      <c r="N1191" s="7"/>
      <c r="O1191" s="7"/>
      <c r="P1191" s="7"/>
      <c r="Q1191" s="7"/>
      <c r="R1191" s="7"/>
      <c r="S1191" s="7"/>
      <c r="T1191" s="7"/>
    </row>
    <row r="1192" spans="3:20" x14ac:dyDescent="0.25">
      <c r="C1192" s="7"/>
      <c r="D1192" s="7"/>
      <c r="E1192" s="7" t="s">
        <v>19</v>
      </c>
      <c r="F1192" s="7">
        <v>2020</v>
      </c>
      <c r="G1192" s="8" t="s">
        <v>20</v>
      </c>
      <c r="H1192" s="19" t="s">
        <v>83</v>
      </c>
      <c r="I1192" s="7" t="s">
        <v>84</v>
      </c>
      <c r="J1192" s="8"/>
      <c r="K1192" s="7"/>
      <c r="L1192" s="7" t="s">
        <v>46</v>
      </c>
      <c r="M1192" s="18">
        <f t="shared" si="226"/>
        <v>2.5373420000000002E-3</v>
      </c>
      <c r="N1192" s="7"/>
      <c r="O1192" s="7"/>
      <c r="P1192" s="7"/>
      <c r="Q1192" s="7"/>
      <c r="R1192" s="7"/>
      <c r="S1192" s="7"/>
      <c r="T1192" s="7"/>
    </row>
    <row r="1193" spans="3:20" x14ac:dyDescent="0.25">
      <c r="C1193" s="7"/>
      <c r="D1193" s="7"/>
      <c r="E1193" s="7" t="s">
        <v>19</v>
      </c>
      <c r="F1193" s="7">
        <v>2055</v>
      </c>
      <c r="G1193" s="8" t="s">
        <v>20</v>
      </c>
      <c r="H1193" s="19" t="s">
        <v>83</v>
      </c>
      <c r="I1193" s="7" t="s">
        <v>84</v>
      </c>
      <c r="J1193" s="8"/>
      <c r="K1193" s="7"/>
      <c r="L1193" s="7" t="s">
        <v>46</v>
      </c>
      <c r="M1193" s="18">
        <f t="shared" si="226"/>
        <v>2.5373420000000002E-3</v>
      </c>
      <c r="N1193" s="7"/>
      <c r="O1193" s="7"/>
      <c r="P1193" s="7"/>
      <c r="Q1193" s="7"/>
      <c r="R1193" s="7"/>
      <c r="S1193" s="7"/>
      <c r="T1193" s="7"/>
    </row>
    <row r="1194" spans="3:20" x14ac:dyDescent="0.25">
      <c r="C1194" s="7"/>
      <c r="D1194" s="7"/>
      <c r="E1194" s="7" t="s">
        <v>19</v>
      </c>
      <c r="F1194" s="7">
        <v>2010</v>
      </c>
      <c r="G1194" s="8" t="s">
        <v>20</v>
      </c>
      <c r="H1194" s="19" t="s">
        <v>83</v>
      </c>
      <c r="I1194" s="7" t="s">
        <v>84</v>
      </c>
      <c r="J1194" s="8"/>
      <c r="K1194" s="7"/>
      <c r="L1194" s="7" t="s">
        <v>47</v>
      </c>
      <c r="M1194" s="18">
        <f>M1170</f>
        <v>2.6361500000000003E-3</v>
      </c>
      <c r="N1194" s="7"/>
      <c r="O1194" s="7"/>
      <c r="P1194" s="7"/>
      <c r="Q1194" s="7"/>
      <c r="R1194" s="7"/>
      <c r="S1194" s="7"/>
      <c r="T1194" s="7"/>
    </row>
    <row r="1195" spans="3:20" x14ac:dyDescent="0.25">
      <c r="C1195" s="7"/>
      <c r="D1195" s="7"/>
      <c r="E1195" s="7" t="s">
        <v>19</v>
      </c>
      <c r="F1195" s="7">
        <v>2015</v>
      </c>
      <c r="G1195" s="8" t="s">
        <v>20</v>
      </c>
      <c r="H1195" s="19" t="s">
        <v>83</v>
      </c>
      <c r="I1195" s="7" t="s">
        <v>84</v>
      </c>
      <c r="J1195" s="8"/>
      <c r="K1195" s="7"/>
      <c r="L1195" s="7" t="s">
        <v>47</v>
      </c>
      <c r="M1195" s="18">
        <f t="shared" ref="M1195:M1197" si="227">M1171</f>
        <v>2.26735E-3</v>
      </c>
      <c r="N1195" s="7"/>
      <c r="O1195" s="7"/>
      <c r="P1195" s="7"/>
      <c r="Q1195" s="7"/>
      <c r="R1195" s="7"/>
      <c r="S1195" s="7"/>
      <c r="T1195" s="7"/>
    </row>
    <row r="1196" spans="3:20" x14ac:dyDescent="0.25">
      <c r="C1196" s="7"/>
      <c r="D1196" s="7"/>
      <c r="E1196" s="7" t="s">
        <v>19</v>
      </c>
      <c r="F1196" s="7">
        <v>2020</v>
      </c>
      <c r="G1196" s="8" t="s">
        <v>20</v>
      </c>
      <c r="H1196" s="19" t="s">
        <v>83</v>
      </c>
      <c r="I1196" s="7" t="s">
        <v>84</v>
      </c>
      <c r="J1196" s="8"/>
      <c r="K1196" s="7"/>
      <c r="L1196" s="7" t="s">
        <v>47</v>
      </c>
      <c r="M1196" s="18">
        <f t="shared" si="227"/>
        <v>2.1092929999999999E-3</v>
      </c>
      <c r="N1196" s="7"/>
      <c r="O1196" s="7"/>
      <c r="P1196" s="7"/>
      <c r="Q1196" s="7"/>
      <c r="R1196" s="7"/>
      <c r="S1196" s="7"/>
      <c r="T1196" s="7"/>
    </row>
    <row r="1197" spans="3:20" x14ac:dyDescent="0.25">
      <c r="C1197" s="7"/>
      <c r="D1197" s="7"/>
      <c r="E1197" s="7" t="s">
        <v>19</v>
      </c>
      <c r="F1197" s="7">
        <v>2055</v>
      </c>
      <c r="G1197" s="8" t="s">
        <v>20</v>
      </c>
      <c r="H1197" s="19" t="s">
        <v>83</v>
      </c>
      <c r="I1197" s="7" t="s">
        <v>84</v>
      </c>
      <c r="J1197" s="8"/>
      <c r="K1197" s="7"/>
      <c r="L1197" s="7" t="s">
        <v>47</v>
      </c>
      <c r="M1197" s="18">
        <f t="shared" si="227"/>
        <v>2.1092929999999999E-3</v>
      </c>
      <c r="N1197" s="7"/>
      <c r="O1197" s="7"/>
      <c r="P1197" s="7"/>
      <c r="Q1197" s="7"/>
      <c r="R1197" s="7"/>
      <c r="S1197" s="7"/>
      <c r="T1197" s="7"/>
    </row>
    <row r="1198" spans="3:20" x14ac:dyDescent="0.25">
      <c r="C1198" s="7"/>
      <c r="D1198" s="7"/>
      <c r="E1198" s="7" t="s">
        <v>19</v>
      </c>
      <c r="F1198" s="7">
        <v>2010</v>
      </c>
      <c r="G1198" s="8" t="s">
        <v>20</v>
      </c>
      <c r="H1198" s="19" t="s">
        <v>83</v>
      </c>
      <c r="I1198" s="7" t="s">
        <v>84</v>
      </c>
      <c r="J1198" s="8"/>
      <c r="K1198" s="7"/>
      <c r="L1198" s="7" t="s">
        <v>48</v>
      </c>
      <c r="M1198" s="18">
        <f>M1162</f>
        <v>7.2457500000000009E-4</v>
      </c>
      <c r="N1198" s="7"/>
      <c r="O1198" s="7"/>
      <c r="P1198" s="7"/>
      <c r="Q1198" s="7"/>
      <c r="R1198" s="7"/>
      <c r="S1198" s="7"/>
      <c r="T1198" s="7"/>
    </row>
    <row r="1199" spans="3:20" x14ac:dyDescent="0.25">
      <c r="C1199" s="7"/>
      <c r="D1199" s="7"/>
      <c r="E1199" s="7" t="s">
        <v>19</v>
      </c>
      <c r="F1199" s="7">
        <v>2015</v>
      </c>
      <c r="G1199" s="8" t="s">
        <v>20</v>
      </c>
      <c r="H1199" s="19" t="s">
        <v>83</v>
      </c>
      <c r="I1199" s="7" t="s">
        <v>84</v>
      </c>
      <c r="J1199" s="8"/>
      <c r="K1199" s="7"/>
      <c r="L1199" s="7" t="s">
        <v>48</v>
      </c>
      <c r="M1199" s="18">
        <f t="shared" ref="M1199:M1201" si="228">M1163</f>
        <v>6.44397E-4</v>
      </c>
      <c r="N1199" s="7"/>
      <c r="O1199" s="7"/>
      <c r="P1199" s="7"/>
      <c r="Q1199" s="7"/>
      <c r="R1199" s="7"/>
      <c r="S1199" s="7"/>
      <c r="T1199" s="7"/>
    </row>
    <row r="1200" spans="3:20" x14ac:dyDescent="0.25">
      <c r="C1200" s="7"/>
      <c r="D1200" s="7"/>
      <c r="E1200" s="7" t="s">
        <v>19</v>
      </c>
      <c r="F1200" s="7">
        <v>2020</v>
      </c>
      <c r="G1200" s="8" t="s">
        <v>20</v>
      </c>
      <c r="H1200" s="19" t="s">
        <v>83</v>
      </c>
      <c r="I1200" s="7" t="s">
        <v>84</v>
      </c>
      <c r="J1200" s="8"/>
      <c r="K1200" s="7"/>
      <c r="L1200" s="7" t="s">
        <v>48</v>
      </c>
      <c r="M1200" s="18">
        <f t="shared" si="228"/>
        <v>6.1744299999999996E-4</v>
      </c>
      <c r="N1200" s="7"/>
      <c r="O1200" s="7"/>
      <c r="P1200" s="7"/>
      <c r="Q1200" s="7"/>
      <c r="R1200" s="7"/>
      <c r="S1200" s="7"/>
      <c r="T1200" s="7"/>
    </row>
    <row r="1201" spans="3:20" x14ac:dyDescent="0.25">
      <c r="C1201" s="7"/>
      <c r="D1201" s="7"/>
      <c r="E1201" s="7" t="s">
        <v>19</v>
      </c>
      <c r="F1201" s="7">
        <v>2055</v>
      </c>
      <c r="G1201" s="8" t="s">
        <v>20</v>
      </c>
      <c r="H1201" s="19" t="s">
        <v>83</v>
      </c>
      <c r="I1201" s="7" t="s">
        <v>84</v>
      </c>
      <c r="J1201" s="8"/>
      <c r="K1201" s="7"/>
      <c r="L1201" s="7" t="s">
        <v>48</v>
      </c>
      <c r="M1201" s="18">
        <f t="shared" si="228"/>
        <v>6.1744299999999996E-4</v>
      </c>
      <c r="N1201" s="7"/>
      <c r="O1201" s="7"/>
      <c r="P1201" s="7"/>
      <c r="Q1201" s="7"/>
      <c r="R1201" s="7"/>
      <c r="S1201" s="7"/>
      <c r="T1201" s="7"/>
    </row>
    <row r="1202" spans="3:20" x14ac:dyDescent="0.25">
      <c r="C1202" s="7"/>
      <c r="D1202" s="7"/>
      <c r="E1202" s="7" t="s">
        <v>19</v>
      </c>
      <c r="F1202" s="7">
        <v>2010</v>
      </c>
      <c r="G1202" s="8" t="s">
        <v>20</v>
      </c>
      <c r="H1202" s="19" t="s">
        <v>83</v>
      </c>
      <c r="I1202" s="7" t="s">
        <v>84</v>
      </c>
      <c r="J1202" s="8"/>
      <c r="K1202" s="7"/>
      <c r="L1202" s="7" t="s">
        <v>49</v>
      </c>
      <c r="M1202" s="7">
        <f>'Emissions - REF'!$C$92</f>
        <v>2.2722135510000001</v>
      </c>
      <c r="N1202" s="7"/>
      <c r="O1202" s="7"/>
      <c r="P1202" s="7"/>
      <c r="Q1202" s="7"/>
      <c r="R1202" s="7"/>
      <c r="S1202" s="7"/>
      <c r="T1202" s="7"/>
    </row>
    <row r="1203" spans="3:20" x14ac:dyDescent="0.25">
      <c r="C1203" s="7"/>
      <c r="D1203" s="7"/>
      <c r="E1203" s="7" t="s">
        <v>19</v>
      </c>
      <c r="F1203" s="7">
        <v>2015</v>
      </c>
      <c r="G1203" s="8" t="s">
        <v>20</v>
      </c>
      <c r="H1203" s="19" t="s">
        <v>83</v>
      </c>
      <c r="I1203" s="7" t="s">
        <v>84</v>
      </c>
      <c r="J1203" s="8"/>
      <c r="K1203" s="7"/>
      <c r="L1203" s="7" t="s">
        <v>49</v>
      </c>
      <c r="M1203" s="7">
        <f>'Emissions - REF'!$D$92</f>
        <v>2.2722135510000001</v>
      </c>
      <c r="N1203" s="7"/>
      <c r="O1203" s="7"/>
      <c r="P1203" s="7"/>
      <c r="Q1203" s="7"/>
      <c r="R1203" s="7"/>
      <c r="S1203" s="7"/>
      <c r="T1203" s="7"/>
    </row>
    <row r="1204" spans="3:20" x14ac:dyDescent="0.25">
      <c r="C1204" s="7"/>
      <c r="D1204" s="7"/>
      <c r="E1204" s="7" t="s">
        <v>19</v>
      </c>
      <c r="F1204" s="7">
        <v>2020</v>
      </c>
      <c r="G1204" s="8" t="s">
        <v>20</v>
      </c>
      <c r="H1204" s="19" t="s">
        <v>83</v>
      </c>
      <c r="I1204" s="7" t="s">
        <v>84</v>
      </c>
      <c r="J1204" s="8"/>
      <c r="K1204" s="7"/>
      <c r="L1204" s="7" t="s">
        <v>49</v>
      </c>
      <c r="M1204" s="7">
        <f>'Emissions - REF'!$E$92</f>
        <v>2.2722135510000001</v>
      </c>
      <c r="N1204" s="7"/>
      <c r="O1204" s="7"/>
      <c r="P1204" s="7"/>
      <c r="Q1204" s="7"/>
      <c r="R1204" s="7"/>
      <c r="S1204" s="7"/>
      <c r="T1204" s="7"/>
    </row>
    <row r="1205" spans="3:20" x14ac:dyDescent="0.25">
      <c r="C1205" s="7"/>
      <c r="D1205" s="7"/>
      <c r="E1205" s="7" t="s">
        <v>19</v>
      </c>
      <c r="F1205" s="7">
        <v>2055</v>
      </c>
      <c r="G1205" s="8" t="s">
        <v>20</v>
      </c>
      <c r="H1205" s="19" t="s">
        <v>83</v>
      </c>
      <c r="I1205" s="7" t="s">
        <v>84</v>
      </c>
      <c r="J1205" s="8"/>
      <c r="K1205" s="7"/>
      <c r="L1205" s="7" t="s">
        <v>49</v>
      </c>
      <c r="M1205" s="7">
        <f>M1204</f>
        <v>2.2722135510000001</v>
      </c>
      <c r="N1205" s="7"/>
      <c r="O1205" s="7"/>
      <c r="P1205" s="7"/>
      <c r="Q1205" s="7"/>
      <c r="R1205" s="7"/>
      <c r="S1205" s="7"/>
      <c r="T1205" s="7"/>
    </row>
    <row r="1206" spans="3:20" x14ac:dyDescent="0.25">
      <c r="C1206" s="7"/>
      <c r="D1206" s="7"/>
      <c r="E1206" s="7" t="s">
        <v>19</v>
      </c>
      <c r="F1206" s="7">
        <v>2010</v>
      </c>
      <c r="G1206" s="8" t="s">
        <v>20</v>
      </c>
      <c r="H1206" s="19" t="s">
        <v>83</v>
      </c>
      <c r="I1206" s="7" t="s">
        <v>84</v>
      </c>
      <c r="J1206" s="8"/>
      <c r="K1206" s="7"/>
      <c r="L1206" s="7" t="s">
        <v>50</v>
      </c>
      <c r="M1206" s="18">
        <f>M1190</f>
        <v>3.0219699999999997E-3</v>
      </c>
      <c r="N1206" s="7"/>
      <c r="O1206" s="7"/>
      <c r="P1206" s="7"/>
      <c r="Q1206" s="7"/>
      <c r="R1206" s="7"/>
      <c r="S1206" s="7"/>
      <c r="T1206" s="7"/>
    </row>
    <row r="1207" spans="3:20" x14ac:dyDescent="0.25">
      <c r="C1207" s="7"/>
      <c r="D1207" s="7"/>
      <c r="E1207" s="7" t="s">
        <v>19</v>
      </c>
      <c r="F1207" s="7">
        <v>2015</v>
      </c>
      <c r="G1207" s="8" t="s">
        <v>20</v>
      </c>
      <c r="H1207" s="19" t="s">
        <v>83</v>
      </c>
      <c r="I1207" s="7" t="s">
        <v>84</v>
      </c>
      <c r="J1207" s="8"/>
      <c r="K1207" s="7"/>
      <c r="L1207" s="7" t="s">
        <v>50</v>
      </c>
      <c r="M1207" s="18">
        <f t="shared" ref="M1207:M1209" si="229">M1191</f>
        <v>2.6820859999999998E-3</v>
      </c>
      <c r="N1207" s="7"/>
      <c r="O1207" s="7"/>
      <c r="P1207" s="7"/>
      <c r="Q1207" s="7"/>
      <c r="R1207" s="7"/>
      <c r="S1207" s="7"/>
      <c r="T1207" s="7"/>
    </row>
    <row r="1208" spans="3:20" x14ac:dyDescent="0.25">
      <c r="C1208" s="7"/>
      <c r="D1208" s="7"/>
      <c r="E1208" s="7" t="s">
        <v>19</v>
      </c>
      <c r="F1208" s="7">
        <v>2020</v>
      </c>
      <c r="G1208" s="8" t="s">
        <v>20</v>
      </c>
      <c r="H1208" s="19" t="s">
        <v>83</v>
      </c>
      <c r="I1208" s="7" t="s">
        <v>84</v>
      </c>
      <c r="J1208" s="8"/>
      <c r="K1208" s="7"/>
      <c r="L1208" s="7" t="s">
        <v>50</v>
      </c>
      <c r="M1208" s="18">
        <f t="shared" si="229"/>
        <v>2.5373420000000002E-3</v>
      </c>
      <c r="N1208" s="7"/>
      <c r="O1208" s="7"/>
      <c r="P1208" s="7"/>
      <c r="Q1208" s="7"/>
      <c r="R1208" s="7"/>
      <c r="S1208" s="7"/>
      <c r="T1208" s="7"/>
    </row>
    <row r="1209" spans="3:20" x14ac:dyDescent="0.25">
      <c r="C1209" s="7"/>
      <c r="D1209" s="7"/>
      <c r="E1209" s="7" t="s">
        <v>19</v>
      </c>
      <c r="F1209" s="7">
        <v>2055</v>
      </c>
      <c r="G1209" s="8" t="s">
        <v>20</v>
      </c>
      <c r="H1209" s="19" t="s">
        <v>83</v>
      </c>
      <c r="I1209" s="7" t="s">
        <v>84</v>
      </c>
      <c r="J1209" s="8"/>
      <c r="K1209" s="7"/>
      <c r="L1209" s="7" t="s">
        <v>50</v>
      </c>
      <c r="M1209" s="18">
        <f t="shared" si="229"/>
        <v>2.5373420000000002E-3</v>
      </c>
      <c r="N1209" s="7"/>
      <c r="O1209" s="7"/>
      <c r="P1209" s="7"/>
      <c r="Q1209" s="7"/>
      <c r="R1209" s="7"/>
      <c r="S1209" s="7"/>
      <c r="T1209" s="7"/>
    </row>
    <row r="1210" spans="3:20" x14ac:dyDescent="0.25">
      <c r="C1210" s="15" t="s">
        <v>33</v>
      </c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</row>
    <row r="1211" spans="3:20" x14ac:dyDescent="0.25">
      <c r="C1211" s="7"/>
      <c r="D1211" s="7"/>
      <c r="E1211" s="7" t="s">
        <v>19</v>
      </c>
      <c r="F1211" s="7">
        <v>2010</v>
      </c>
      <c r="G1211" s="8" t="s">
        <v>20</v>
      </c>
      <c r="H1211" s="19" t="s">
        <v>85</v>
      </c>
      <c r="I1211" s="7" t="s">
        <v>86</v>
      </c>
      <c r="J1211" s="8"/>
      <c r="K1211" s="7"/>
      <c r="L1211" s="7" t="s">
        <v>22</v>
      </c>
      <c r="M1211" s="18">
        <f>M1267/1000</f>
        <v>6.124010979E-3</v>
      </c>
      <c r="N1211" s="7"/>
      <c r="O1211" s="7"/>
      <c r="P1211" s="7"/>
      <c r="Q1211" s="7"/>
      <c r="R1211" s="7"/>
      <c r="S1211" s="7"/>
      <c r="T1211" s="7"/>
    </row>
    <row r="1212" spans="3:20" x14ac:dyDescent="0.25">
      <c r="C1212" s="7"/>
      <c r="D1212" s="7"/>
      <c r="E1212" s="7" t="s">
        <v>19</v>
      </c>
      <c r="F1212" s="7">
        <v>2015</v>
      </c>
      <c r="G1212" s="8" t="s">
        <v>20</v>
      </c>
      <c r="H1212" s="19" t="s">
        <v>85</v>
      </c>
      <c r="I1212" s="7" t="s">
        <v>86</v>
      </c>
      <c r="J1212" s="8"/>
      <c r="K1212" s="7"/>
      <c r="L1212" s="7" t="s">
        <v>22</v>
      </c>
      <c r="M1212" s="18">
        <f t="shared" ref="M1212:M1214" si="230">M1268/1000</f>
        <v>6.124010979E-3</v>
      </c>
      <c r="N1212" s="7"/>
      <c r="O1212" s="7"/>
      <c r="P1212" s="7"/>
      <c r="Q1212" s="7"/>
      <c r="R1212" s="7"/>
      <c r="S1212" s="7"/>
      <c r="T1212" s="7"/>
    </row>
    <row r="1213" spans="3:20" x14ac:dyDescent="0.25">
      <c r="C1213" s="7"/>
      <c r="D1213" s="7"/>
      <c r="E1213" s="7" t="s">
        <v>19</v>
      </c>
      <c r="F1213" s="7">
        <v>2020</v>
      </c>
      <c r="G1213" s="8" t="s">
        <v>20</v>
      </c>
      <c r="H1213" s="19" t="s">
        <v>85</v>
      </c>
      <c r="I1213" s="7" t="s">
        <v>86</v>
      </c>
      <c r="J1213" s="8"/>
      <c r="K1213" s="7"/>
      <c r="L1213" s="7" t="s">
        <v>22</v>
      </c>
      <c r="M1213" s="18">
        <f t="shared" si="230"/>
        <v>6.124010979E-3</v>
      </c>
      <c r="N1213" s="7"/>
      <c r="O1213" s="7"/>
      <c r="P1213" s="7"/>
      <c r="Q1213" s="7"/>
      <c r="R1213" s="7"/>
      <c r="S1213" s="7"/>
      <c r="T1213" s="7"/>
    </row>
    <row r="1214" spans="3:20" x14ac:dyDescent="0.25">
      <c r="C1214" s="7"/>
      <c r="D1214" s="7"/>
      <c r="E1214" s="7" t="s">
        <v>19</v>
      </c>
      <c r="F1214" s="7">
        <v>2055</v>
      </c>
      <c r="G1214" s="8" t="s">
        <v>20</v>
      </c>
      <c r="H1214" s="19" t="s">
        <v>85</v>
      </c>
      <c r="I1214" s="7" t="s">
        <v>86</v>
      </c>
      <c r="J1214" s="8"/>
      <c r="K1214" s="7"/>
      <c r="L1214" s="7" t="s">
        <v>22</v>
      </c>
      <c r="M1214" s="18">
        <f t="shared" si="230"/>
        <v>6.124010979E-3</v>
      </c>
      <c r="N1214" s="7"/>
      <c r="O1214" s="7"/>
      <c r="P1214" s="7"/>
      <c r="Q1214" s="7"/>
      <c r="R1214" s="7"/>
      <c r="S1214" s="7"/>
      <c r="T1214" s="7"/>
    </row>
    <row r="1215" spans="3:20" x14ac:dyDescent="0.25">
      <c r="C1215" s="7"/>
      <c r="D1215" s="7"/>
      <c r="E1215" s="7" t="s">
        <v>19</v>
      </c>
      <c r="F1215" s="7">
        <v>2010</v>
      </c>
      <c r="G1215" s="8" t="s">
        <v>20</v>
      </c>
      <c r="H1215" s="19" t="s">
        <v>85</v>
      </c>
      <c r="I1215" s="7" t="s">
        <v>86</v>
      </c>
      <c r="J1215" s="8"/>
      <c r="K1215" s="7"/>
      <c r="L1215" s="7" t="s">
        <v>23</v>
      </c>
      <c r="M1215" s="18">
        <f>'Emissions - REF'!$C$6</f>
        <v>2.3232979999999997E-3</v>
      </c>
      <c r="N1215" s="7"/>
      <c r="O1215" s="7"/>
      <c r="P1215" s="7"/>
      <c r="Q1215" s="7"/>
      <c r="R1215" s="7"/>
      <c r="S1215" s="7"/>
      <c r="T1215" s="7"/>
    </row>
    <row r="1216" spans="3:20" x14ac:dyDescent="0.25">
      <c r="C1216" s="7"/>
      <c r="D1216" s="7"/>
      <c r="E1216" s="7" t="s">
        <v>19</v>
      </c>
      <c r="F1216" s="7">
        <v>2015</v>
      </c>
      <c r="G1216" s="8" t="s">
        <v>20</v>
      </c>
      <c r="H1216" s="19" t="s">
        <v>85</v>
      </c>
      <c r="I1216" s="7" t="s">
        <v>86</v>
      </c>
      <c r="J1216" s="8"/>
      <c r="K1216" s="7"/>
      <c r="L1216" s="7" t="s">
        <v>23</v>
      </c>
      <c r="M1216" s="18">
        <f>'Emissions - REF'!$D$6</f>
        <v>2.3232979999999997E-3</v>
      </c>
      <c r="N1216" s="7"/>
      <c r="O1216" s="7"/>
      <c r="P1216" s="7"/>
      <c r="Q1216" s="7"/>
      <c r="R1216" s="7"/>
      <c r="S1216" s="7"/>
      <c r="T1216" s="7"/>
    </row>
    <row r="1217" spans="3:20" x14ac:dyDescent="0.25">
      <c r="C1217" s="7"/>
      <c r="D1217" s="7"/>
      <c r="E1217" s="7" t="s">
        <v>19</v>
      </c>
      <c r="F1217" s="7">
        <v>2020</v>
      </c>
      <c r="G1217" s="8" t="s">
        <v>20</v>
      </c>
      <c r="H1217" s="19" t="s">
        <v>85</v>
      </c>
      <c r="I1217" s="7" t="s">
        <v>86</v>
      </c>
      <c r="J1217" s="8"/>
      <c r="K1217" s="7"/>
      <c r="L1217" s="7" t="s">
        <v>23</v>
      </c>
      <c r="M1217" s="18">
        <f>'Emissions - REF'!$E$6</f>
        <v>2.3232979999999997E-3</v>
      </c>
      <c r="N1217" s="7"/>
      <c r="O1217" s="7"/>
      <c r="P1217" s="7"/>
      <c r="Q1217" s="7"/>
      <c r="R1217" s="7"/>
      <c r="S1217" s="7"/>
      <c r="T1217" s="7"/>
    </row>
    <row r="1218" spans="3:20" x14ac:dyDescent="0.25">
      <c r="C1218" s="7"/>
      <c r="D1218" s="7"/>
      <c r="E1218" s="7" t="s">
        <v>19</v>
      </c>
      <c r="F1218" s="7">
        <v>2055</v>
      </c>
      <c r="G1218" s="8" t="s">
        <v>20</v>
      </c>
      <c r="H1218" s="19" t="s">
        <v>85</v>
      </c>
      <c r="I1218" s="7" t="s">
        <v>86</v>
      </c>
      <c r="J1218" s="8"/>
      <c r="K1218" s="7"/>
      <c r="L1218" s="7" t="s">
        <v>23</v>
      </c>
      <c r="M1218" s="18">
        <f>M1217</f>
        <v>2.3232979999999997E-3</v>
      </c>
      <c r="N1218" s="7"/>
      <c r="O1218" s="7"/>
      <c r="P1218" s="7"/>
      <c r="Q1218" s="7"/>
      <c r="R1218" s="7"/>
      <c r="S1218" s="7"/>
      <c r="T1218" s="7"/>
    </row>
    <row r="1219" spans="3:20" x14ac:dyDescent="0.25">
      <c r="C1219" s="7"/>
      <c r="D1219" s="7"/>
      <c r="E1219" s="7" t="s">
        <v>19</v>
      </c>
      <c r="F1219" s="7">
        <v>2010</v>
      </c>
      <c r="G1219" s="8" t="s">
        <v>20</v>
      </c>
      <c r="H1219" s="19" t="s">
        <v>85</v>
      </c>
      <c r="I1219" s="7" t="s">
        <v>86</v>
      </c>
      <c r="J1219" s="8"/>
      <c r="K1219" s="7"/>
      <c r="L1219" s="7" t="s">
        <v>24</v>
      </c>
      <c r="M1219" s="18">
        <f>'Emissions - REF'!$C$7</f>
        <v>3.5583780000000001E-3</v>
      </c>
      <c r="N1219" s="7"/>
      <c r="O1219" s="7"/>
      <c r="P1219" s="7"/>
      <c r="Q1219" s="7"/>
      <c r="R1219" s="7"/>
      <c r="S1219" s="7"/>
      <c r="T1219" s="7"/>
    </row>
    <row r="1220" spans="3:20" x14ac:dyDescent="0.25">
      <c r="C1220" s="7"/>
      <c r="D1220" s="7"/>
      <c r="E1220" s="7" t="s">
        <v>19</v>
      </c>
      <c r="F1220" s="7">
        <v>2015</v>
      </c>
      <c r="G1220" s="8" t="s">
        <v>20</v>
      </c>
      <c r="H1220" s="19" t="s">
        <v>85</v>
      </c>
      <c r="I1220" s="7" t="s">
        <v>86</v>
      </c>
      <c r="J1220" s="8"/>
      <c r="K1220" s="7"/>
      <c r="L1220" s="7" t="s">
        <v>24</v>
      </c>
      <c r="M1220" s="18">
        <f>'Emissions - REF'!$D$7</f>
        <v>3.5583780000000001E-3</v>
      </c>
      <c r="N1220" s="7"/>
      <c r="O1220" s="7"/>
      <c r="P1220" s="7"/>
      <c r="Q1220" s="7"/>
      <c r="R1220" s="7"/>
      <c r="S1220" s="7"/>
      <c r="T1220" s="7"/>
    </row>
    <row r="1221" spans="3:20" x14ac:dyDescent="0.25">
      <c r="C1221" s="7"/>
      <c r="D1221" s="7"/>
      <c r="E1221" s="7" t="s">
        <v>19</v>
      </c>
      <c r="F1221" s="7">
        <v>2020</v>
      </c>
      <c r="G1221" s="8" t="s">
        <v>20</v>
      </c>
      <c r="H1221" s="19" t="s">
        <v>85</v>
      </c>
      <c r="I1221" s="7" t="s">
        <v>86</v>
      </c>
      <c r="J1221" s="8"/>
      <c r="K1221" s="7"/>
      <c r="L1221" s="7" t="s">
        <v>24</v>
      </c>
      <c r="M1221" s="18">
        <f>'Emissions - REF'!$E$7</f>
        <v>3.5583780000000001E-3</v>
      </c>
      <c r="N1221" s="7"/>
      <c r="O1221" s="7"/>
      <c r="P1221" s="7"/>
      <c r="Q1221" s="7"/>
      <c r="R1221" s="7"/>
      <c r="S1221" s="7"/>
      <c r="T1221" s="7"/>
    </row>
    <row r="1222" spans="3:20" x14ac:dyDescent="0.25">
      <c r="C1222" s="7"/>
      <c r="D1222" s="7"/>
      <c r="E1222" s="7" t="s">
        <v>19</v>
      </c>
      <c r="F1222" s="7">
        <v>2055</v>
      </c>
      <c r="G1222" s="8" t="s">
        <v>20</v>
      </c>
      <c r="H1222" s="19" t="s">
        <v>85</v>
      </c>
      <c r="I1222" s="7" t="s">
        <v>86</v>
      </c>
      <c r="J1222" s="8"/>
      <c r="K1222" s="7"/>
      <c r="L1222" s="7" t="s">
        <v>24</v>
      </c>
      <c r="M1222" s="18">
        <f>M1221</f>
        <v>3.5583780000000001E-3</v>
      </c>
      <c r="N1222" s="7"/>
      <c r="O1222" s="7"/>
      <c r="P1222" s="7"/>
      <c r="Q1222" s="7"/>
      <c r="R1222" s="7"/>
      <c r="S1222" s="7"/>
      <c r="T1222" s="7"/>
    </row>
    <row r="1223" spans="3:20" x14ac:dyDescent="0.25">
      <c r="C1223" s="7"/>
      <c r="D1223" s="7"/>
      <c r="E1223" s="7" t="s">
        <v>19</v>
      </c>
      <c r="F1223" s="7">
        <v>2010</v>
      </c>
      <c r="G1223" s="8" t="s">
        <v>20</v>
      </c>
      <c r="H1223" s="19" t="s">
        <v>85</v>
      </c>
      <c r="I1223" s="7" t="s">
        <v>86</v>
      </c>
      <c r="J1223" s="8"/>
      <c r="K1223" s="7"/>
      <c r="L1223" s="7" t="s">
        <v>25</v>
      </c>
      <c r="M1223" s="18">
        <f>'Emissions - REF'!$C$8</f>
        <v>8.144765E-3</v>
      </c>
      <c r="N1223" s="7"/>
      <c r="O1223" s="7"/>
      <c r="P1223" s="7"/>
      <c r="Q1223" s="7"/>
      <c r="R1223" s="7"/>
      <c r="S1223" s="7"/>
      <c r="T1223" s="7"/>
    </row>
    <row r="1224" spans="3:20" x14ac:dyDescent="0.25">
      <c r="C1224" s="7"/>
      <c r="D1224" s="7"/>
      <c r="E1224" s="7" t="s">
        <v>19</v>
      </c>
      <c r="F1224" s="7">
        <v>2015</v>
      </c>
      <c r="G1224" s="8" t="s">
        <v>20</v>
      </c>
      <c r="H1224" s="19" t="s">
        <v>85</v>
      </c>
      <c r="I1224" s="7" t="s">
        <v>86</v>
      </c>
      <c r="J1224" s="8"/>
      <c r="K1224" s="7"/>
      <c r="L1224" s="7" t="s">
        <v>25</v>
      </c>
      <c r="M1224" s="18">
        <f>'Emissions - REF'!$D$8</f>
        <v>7.2287209999999996E-3</v>
      </c>
      <c r="N1224" s="7"/>
      <c r="O1224" s="7"/>
      <c r="P1224" s="7"/>
      <c r="Q1224" s="7"/>
      <c r="R1224" s="7"/>
      <c r="S1224" s="7"/>
      <c r="T1224" s="7"/>
    </row>
    <row r="1225" spans="3:20" x14ac:dyDescent="0.25">
      <c r="C1225" s="7"/>
      <c r="D1225" s="7"/>
      <c r="E1225" s="7" t="s">
        <v>19</v>
      </c>
      <c r="F1225" s="7">
        <v>2020</v>
      </c>
      <c r="G1225" s="8" t="s">
        <v>20</v>
      </c>
      <c r="H1225" s="19" t="s">
        <v>85</v>
      </c>
      <c r="I1225" s="7" t="s">
        <v>86</v>
      </c>
      <c r="J1225" s="8"/>
      <c r="K1225" s="7"/>
      <c r="L1225" s="7" t="s">
        <v>25</v>
      </c>
      <c r="M1225" s="18">
        <f>'Emissions - REF'!$E$8</f>
        <v>6.8386099999999993E-3</v>
      </c>
      <c r="N1225" s="7"/>
      <c r="O1225" s="7"/>
      <c r="P1225" s="7"/>
      <c r="Q1225" s="7"/>
      <c r="R1225" s="7"/>
      <c r="S1225" s="7"/>
      <c r="T1225" s="7"/>
    </row>
    <row r="1226" spans="3:20" x14ac:dyDescent="0.25">
      <c r="C1226" s="7"/>
      <c r="D1226" s="7"/>
      <c r="E1226" s="7" t="s">
        <v>19</v>
      </c>
      <c r="F1226" s="7">
        <v>2055</v>
      </c>
      <c r="G1226" s="8" t="s">
        <v>20</v>
      </c>
      <c r="H1226" s="19" t="s">
        <v>85</v>
      </c>
      <c r="I1226" s="7" t="s">
        <v>86</v>
      </c>
      <c r="J1226" s="8"/>
      <c r="K1226" s="7"/>
      <c r="L1226" s="7" t="s">
        <v>25</v>
      </c>
      <c r="M1226" s="18">
        <f>M1225</f>
        <v>6.8386099999999993E-3</v>
      </c>
      <c r="N1226" s="7"/>
      <c r="O1226" s="7"/>
      <c r="P1226" s="7"/>
      <c r="Q1226" s="7"/>
      <c r="R1226" s="7"/>
      <c r="S1226" s="7"/>
      <c r="T1226" s="7"/>
    </row>
    <row r="1227" spans="3:20" x14ac:dyDescent="0.25">
      <c r="C1227" s="7"/>
      <c r="D1227" s="7"/>
      <c r="E1227" s="7" t="s">
        <v>19</v>
      </c>
      <c r="F1227" s="7">
        <v>2010</v>
      </c>
      <c r="G1227" s="8" t="s">
        <v>20</v>
      </c>
      <c r="H1227" s="19" t="s">
        <v>85</v>
      </c>
      <c r="I1227" s="7" t="s">
        <v>86</v>
      </c>
      <c r="J1227" s="8"/>
      <c r="K1227" s="7"/>
      <c r="L1227" s="7" t="s">
        <v>26</v>
      </c>
      <c r="M1227" s="18">
        <f>'Emissions - REF'!$C$9</f>
        <v>1.9528849999999999E-3</v>
      </c>
      <c r="N1227" s="7"/>
      <c r="O1227" s="7"/>
      <c r="P1227" s="7"/>
      <c r="Q1227" s="7"/>
      <c r="R1227" s="7"/>
      <c r="S1227" s="7"/>
      <c r="T1227" s="7"/>
    </row>
    <row r="1228" spans="3:20" x14ac:dyDescent="0.25">
      <c r="C1228" s="7"/>
      <c r="D1228" s="7"/>
      <c r="E1228" s="7" t="s">
        <v>19</v>
      </c>
      <c r="F1228" s="7">
        <v>2015</v>
      </c>
      <c r="G1228" s="8" t="s">
        <v>20</v>
      </c>
      <c r="H1228" s="19" t="s">
        <v>85</v>
      </c>
      <c r="I1228" s="7" t="s">
        <v>86</v>
      </c>
      <c r="J1228" s="8"/>
      <c r="K1228" s="7"/>
      <c r="L1228" s="7" t="s">
        <v>26</v>
      </c>
      <c r="M1228" s="18">
        <f>'Emissions - REF'!$D$9</f>
        <v>1.7367819999999999E-3</v>
      </c>
      <c r="N1228" s="7"/>
      <c r="O1228" s="7"/>
      <c r="P1228" s="7"/>
      <c r="Q1228" s="7"/>
      <c r="R1228" s="7"/>
      <c r="S1228" s="7"/>
      <c r="T1228" s="7"/>
    </row>
    <row r="1229" spans="3:20" x14ac:dyDescent="0.25">
      <c r="C1229" s="7"/>
      <c r="D1229" s="7"/>
      <c r="E1229" s="7" t="s">
        <v>19</v>
      </c>
      <c r="F1229" s="7">
        <v>2020</v>
      </c>
      <c r="G1229" s="8" t="s">
        <v>20</v>
      </c>
      <c r="H1229" s="19" t="s">
        <v>85</v>
      </c>
      <c r="I1229" s="7" t="s">
        <v>86</v>
      </c>
      <c r="J1229" s="8"/>
      <c r="K1229" s="7"/>
      <c r="L1229" s="7" t="s">
        <v>26</v>
      </c>
      <c r="M1229" s="18">
        <f>'Emissions - REF'!$E$9</f>
        <v>1.6641300000000002E-3</v>
      </c>
      <c r="N1229" s="7"/>
      <c r="O1229" s="7"/>
      <c r="P1229" s="7"/>
      <c r="Q1229" s="7"/>
      <c r="R1229" s="7"/>
      <c r="S1229" s="7"/>
      <c r="T1229" s="7"/>
    </row>
    <row r="1230" spans="3:20" x14ac:dyDescent="0.25">
      <c r="C1230" s="7"/>
      <c r="D1230" s="7"/>
      <c r="E1230" s="7" t="s">
        <v>19</v>
      </c>
      <c r="F1230" s="7">
        <v>2055</v>
      </c>
      <c r="G1230" s="8" t="s">
        <v>20</v>
      </c>
      <c r="H1230" s="19" t="s">
        <v>85</v>
      </c>
      <c r="I1230" s="7" t="s">
        <v>86</v>
      </c>
      <c r="J1230" s="8"/>
      <c r="K1230" s="7"/>
      <c r="L1230" s="7" t="s">
        <v>26</v>
      </c>
      <c r="M1230" s="18">
        <f>M1229</f>
        <v>1.6641300000000002E-3</v>
      </c>
      <c r="N1230" s="7"/>
      <c r="O1230" s="7"/>
      <c r="P1230" s="7"/>
      <c r="Q1230" s="7"/>
      <c r="R1230" s="7"/>
      <c r="S1230" s="7"/>
      <c r="T1230" s="7"/>
    </row>
    <row r="1231" spans="3:20" x14ac:dyDescent="0.25">
      <c r="C1231" s="7"/>
      <c r="D1231" s="7"/>
      <c r="E1231" s="7" t="s">
        <v>19</v>
      </c>
      <c r="F1231" s="7">
        <v>2010</v>
      </c>
      <c r="G1231" s="8" t="s">
        <v>20</v>
      </c>
      <c r="H1231" s="19" t="s">
        <v>85</v>
      </c>
      <c r="I1231" s="7" t="s">
        <v>86</v>
      </c>
      <c r="J1231" s="8"/>
      <c r="K1231" s="7"/>
      <c r="L1231" s="7" t="s">
        <v>27</v>
      </c>
      <c r="M1231" s="18">
        <f>'Emissions - REF'!$C$10</f>
        <v>1.086119E-3</v>
      </c>
      <c r="N1231" s="7"/>
      <c r="O1231" s="7"/>
      <c r="P1231" s="7"/>
      <c r="Q1231" s="7"/>
      <c r="R1231" s="7"/>
      <c r="S1231" s="7"/>
      <c r="T1231" s="7"/>
    </row>
    <row r="1232" spans="3:20" x14ac:dyDescent="0.25">
      <c r="C1232" s="7"/>
      <c r="D1232" s="7"/>
      <c r="E1232" s="7" t="s">
        <v>19</v>
      </c>
      <c r="F1232" s="7">
        <v>2015</v>
      </c>
      <c r="G1232" s="8" t="s">
        <v>20</v>
      </c>
      <c r="H1232" s="19" t="s">
        <v>85</v>
      </c>
      <c r="I1232" s="7" t="s">
        <v>86</v>
      </c>
      <c r="J1232" s="8"/>
      <c r="K1232" s="7"/>
      <c r="L1232" s="7" t="s">
        <v>27</v>
      </c>
      <c r="M1232" s="18">
        <f>'Emissions - REF'!$D$10</f>
        <v>1.0130989999999999E-3</v>
      </c>
      <c r="N1232" s="7"/>
      <c r="O1232" s="7"/>
      <c r="P1232" s="7"/>
      <c r="Q1232" s="7"/>
      <c r="R1232" s="7"/>
      <c r="S1232" s="7"/>
      <c r="T1232" s="7"/>
    </row>
    <row r="1233" spans="3:20" x14ac:dyDescent="0.25">
      <c r="C1233" s="7"/>
      <c r="D1233" s="7"/>
      <c r="E1233" s="7" t="s">
        <v>19</v>
      </c>
      <c r="F1233" s="7">
        <v>2020</v>
      </c>
      <c r="G1233" s="8" t="s">
        <v>20</v>
      </c>
      <c r="H1233" s="19" t="s">
        <v>85</v>
      </c>
      <c r="I1233" s="7" t="s">
        <v>86</v>
      </c>
      <c r="J1233" s="8"/>
      <c r="K1233" s="7"/>
      <c r="L1233" s="7" t="s">
        <v>27</v>
      </c>
      <c r="M1233" s="18">
        <f>'Emissions - REF'!$E$10</f>
        <v>9.4102599999999997E-4</v>
      </c>
      <c r="N1233" s="7"/>
      <c r="O1233" s="7"/>
      <c r="P1233" s="7"/>
      <c r="Q1233" s="7"/>
      <c r="R1233" s="7"/>
      <c r="S1233" s="7"/>
      <c r="T1233" s="7"/>
    </row>
    <row r="1234" spans="3:20" x14ac:dyDescent="0.25">
      <c r="C1234" s="7"/>
      <c r="D1234" s="7"/>
      <c r="E1234" s="7" t="s">
        <v>19</v>
      </c>
      <c r="F1234" s="7">
        <v>2055</v>
      </c>
      <c r="G1234" s="8" t="s">
        <v>20</v>
      </c>
      <c r="H1234" s="19" t="s">
        <v>85</v>
      </c>
      <c r="I1234" s="7" t="s">
        <v>86</v>
      </c>
      <c r="J1234" s="8"/>
      <c r="K1234" s="7"/>
      <c r="L1234" s="7" t="s">
        <v>27</v>
      </c>
      <c r="M1234" s="18">
        <f>M1233</f>
        <v>9.4102599999999997E-4</v>
      </c>
      <c r="N1234" s="7"/>
      <c r="O1234" s="7"/>
      <c r="P1234" s="7"/>
      <c r="Q1234" s="7"/>
      <c r="R1234" s="7"/>
      <c r="S1234" s="7"/>
      <c r="T1234" s="7"/>
    </row>
    <row r="1235" spans="3:20" x14ac:dyDescent="0.25">
      <c r="C1235" s="7"/>
      <c r="D1235" s="7"/>
      <c r="E1235" s="7" t="s">
        <v>19</v>
      </c>
      <c r="F1235" s="7">
        <v>2010</v>
      </c>
      <c r="G1235" s="8" t="s">
        <v>20</v>
      </c>
      <c r="H1235" s="19" t="s">
        <v>85</v>
      </c>
      <c r="I1235" s="7" t="s">
        <v>86</v>
      </c>
      <c r="J1235" s="8"/>
      <c r="K1235" s="7"/>
      <c r="L1235" s="7" t="s">
        <v>28</v>
      </c>
      <c r="M1235" s="18">
        <f>'Emissions - REF'!$C$11</f>
        <v>7.1050530000000001E-3</v>
      </c>
      <c r="N1235" s="7"/>
      <c r="O1235" s="7"/>
      <c r="P1235" s="7"/>
      <c r="Q1235" s="7"/>
      <c r="R1235" s="7"/>
      <c r="S1235" s="7"/>
      <c r="T1235" s="7"/>
    </row>
    <row r="1236" spans="3:20" x14ac:dyDescent="0.25">
      <c r="C1236" s="7"/>
      <c r="D1236" s="7"/>
      <c r="E1236" s="7" t="s">
        <v>19</v>
      </c>
      <c r="F1236" s="7">
        <v>2015</v>
      </c>
      <c r="G1236" s="8" t="s">
        <v>20</v>
      </c>
      <c r="H1236" s="19" t="s">
        <v>85</v>
      </c>
      <c r="I1236" s="7" t="s">
        <v>86</v>
      </c>
      <c r="J1236" s="8"/>
      <c r="K1236" s="7"/>
      <c r="L1236" s="7" t="s">
        <v>28</v>
      </c>
      <c r="M1236" s="18">
        <f>'Emissions - REF'!$D$11</f>
        <v>6.1110929999999997E-3</v>
      </c>
      <c r="N1236" s="7"/>
      <c r="O1236" s="7"/>
      <c r="P1236" s="7"/>
      <c r="Q1236" s="7"/>
      <c r="R1236" s="7"/>
      <c r="S1236" s="7"/>
      <c r="T1236" s="7"/>
    </row>
    <row r="1237" spans="3:20" x14ac:dyDescent="0.25">
      <c r="C1237" s="7"/>
      <c r="D1237" s="7"/>
      <c r="E1237" s="7" t="s">
        <v>19</v>
      </c>
      <c r="F1237" s="7">
        <v>2020</v>
      </c>
      <c r="G1237" s="8" t="s">
        <v>20</v>
      </c>
      <c r="H1237" s="19" t="s">
        <v>85</v>
      </c>
      <c r="I1237" s="7" t="s">
        <v>86</v>
      </c>
      <c r="J1237" s="8"/>
      <c r="K1237" s="7"/>
      <c r="L1237" s="7" t="s">
        <v>28</v>
      </c>
      <c r="M1237" s="18">
        <f>'Emissions - REF'!$E$11</f>
        <v>5.6851099999999993E-3</v>
      </c>
      <c r="N1237" s="7"/>
      <c r="O1237" s="7"/>
      <c r="P1237" s="7"/>
      <c r="Q1237" s="7"/>
      <c r="R1237" s="7"/>
      <c r="S1237" s="7"/>
      <c r="T1237" s="7"/>
    </row>
    <row r="1238" spans="3:20" x14ac:dyDescent="0.25">
      <c r="C1238" s="7"/>
      <c r="D1238" s="7"/>
      <c r="E1238" s="7" t="s">
        <v>19</v>
      </c>
      <c r="F1238" s="7">
        <v>2055</v>
      </c>
      <c r="G1238" s="8" t="s">
        <v>20</v>
      </c>
      <c r="H1238" s="19" t="s">
        <v>85</v>
      </c>
      <c r="I1238" s="7" t="s">
        <v>86</v>
      </c>
      <c r="J1238" s="8"/>
      <c r="K1238" s="7"/>
      <c r="L1238" s="7" t="s">
        <v>28</v>
      </c>
      <c r="M1238" s="18">
        <f>M1237</f>
        <v>5.6851099999999993E-3</v>
      </c>
      <c r="N1238" s="7"/>
      <c r="O1238" s="7"/>
      <c r="P1238" s="7"/>
      <c r="Q1238" s="7"/>
      <c r="R1238" s="7"/>
      <c r="S1238" s="7"/>
      <c r="T1238" s="7"/>
    </row>
    <row r="1239" spans="3:20" x14ac:dyDescent="0.25">
      <c r="C1239" s="7"/>
      <c r="D1239" s="7"/>
      <c r="E1239" s="7" t="s">
        <v>19</v>
      </c>
      <c r="F1239" s="7">
        <v>2010</v>
      </c>
      <c r="G1239" s="8" t="s">
        <v>20</v>
      </c>
      <c r="H1239" s="19" t="s">
        <v>85</v>
      </c>
      <c r="I1239" s="7" t="s">
        <v>86</v>
      </c>
      <c r="J1239" s="8"/>
      <c r="K1239" s="7"/>
      <c r="L1239" s="7" t="s">
        <v>29</v>
      </c>
      <c r="M1239" s="18">
        <f>'Emissions - REF'!$C$12</f>
        <v>1.8631600000000001E-4</v>
      </c>
      <c r="N1239" s="7"/>
      <c r="O1239" s="7"/>
      <c r="P1239" s="7"/>
      <c r="Q1239" s="7"/>
      <c r="R1239" s="7"/>
      <c r="S1239" s="7"/>
      <c r="T1239" s="7"/>
    </row>
    <row r="1240" spans="3:20" x14ac:dyDescent="0.25">
      <c r="C1240" s="7"/>
      <c r="D1240" s="7"/>
      <c r="E1240" s="7" t="s">
        <v>19</v>
      </c>
      <c r="F1240" s="7">
        <v>2015</v>
      </c>
      <c r="G1240" s="8" t="s">
        <v>20</v>
      </c>
      <c r="H1240" s="19" t="s">
        <v>85</v>
      </c>
      <c r="I1240" s="7" t="s">
        <v>86</v>
      </c>
      <c r="J1240" s="8"/>
      <c r="K1240" s="7"/>
      <c r="L1240" s="7" t="s">
        <v>29</v>
      </c>
      <c r="M1240" s="18">
        <f>'Emissions - REF'!$D$12</f>
        <v>1.8631600000000001E-4</v>
      </c>
      <c r="N1240" s="7"/>
      <c r="O1240" s="7"/>
      <c r="P1240" s="7"/>
      <c r="Q1240" s="7"/>
      <c r="R1240" s="7"/>
      <c r="S1240" s="7"/>
      <c r="T1240" s="7"/>
    </row>
    <row r="1241" spans="3:20" x14ac:dyDescent="0.25">
      <c r="C1241" s="7"/>
      <c r="D1241" s="7"/>
      <c r="E1241" s="7" t="s">
        <v>19</v>
      </c>
      <c r="F1241" s="7">
        <v>2020</v>
      </c>
      <c r="G1241" s="8" t="s">
        <v>20</v>
      </c>
      <c r="H1241" s="19" t="s">
        <v>85</v>
      </c>
      <c r="I1241" s="7" t="s">
        <v>86</v>
      </c>
      <c r="J1241" s="8"/>
      <c r="K1241" s="7"/>
      <c r="L1241" s="7" t="s">
        <v>29</v>
      </c>
      <c r="M1241" s="18">
        <f>'Emissions - REF'!$E$12</f>
        <v>1.8631600000000001E-4</v>
      </c>
      <c r="N1241" s="7"/>
      <c r="O1241" s="7"/>
      <c r="P1241" s="7"/>
      <c r="Q1241" s="7"/>
      <c r="R1241" s="7"/>
      <c r="S1241" s="7"/>
      <c r="T1241" s="7"/>
    </row>
    <row r="1242" spans="3:20" x14ac:dyDescent="0.25">
      <c r="C1242" s="7"/>
      <c r="D1242" s="7"/>
      <c r="E1242" s="7" t="s">
        <v>19</v>
      </c>
      <c r="F1242" s="7">
        <v>2055</v>
      </c>
      <c r="G1242" s="8" t="s">
        <v>20</v>
      </c>
      <c r="H1242" s="19" t="s">
        <v>85</v>
      </c>
      <c r="I1242" s="7" t="s">
        <v>86</v>
      </c>
      <c r="J1242" s="8"/>
      <c r="K1242" s="7"/>
      <c r="L1242" s="7" t="s">
        <v>29</v>
      </c>
      <c r="M1242" s="18">
        <f>M1241</f>
        <v>1.8631600000000001E-4</v>
      </c>
      <c r="N1242" s="7"/>
      <c r="O1242" s="7"/>
      <c r="P1242" s="7"/>
      <c r="Q1242" s="7"/>
      <c r="R1242" s="7"/>
      <c r="S1242" s="7"/>
      <c r="T1242" s="7"/>
    </row>
    <row r="1243" spans="3:20" x14ac:dyDescent="0.25">
      <c r="C1243" s="7"/>
      <c r="D1243" s="7"/>
      <c r="E1243" s="7" t="s">
        <v>19</v>
      </c>
      <c r="F1243" s="7">
        <v>2010</v>
      </c>
      <c r="G1243" s="8" t="s">
        <v>20</v>
      </c>
      <c r="H1243" s="19" t="s">
        <v>85</v>
      </c>
      <c r="I1243" s="7" t="s">
        <v>86</v>
      </c>
      <c r="J1243" s="8"/>
      <c r="K1243" s="7"/>
      <c r="L1243" s="7" t="s">
        <v>30</v>
      </c>
      <c r="M1243" s="18">
        <f>'Emissions - REF'!$C$13</f>
        <v>9.9823999999999998E-5</v>
      </c>
      <c r="N1243" s="7"/>
      <c r="O1243" s="7"/>
      <c r="P1243" s="7"/>
      <c r="Q1243" s="7"/>
      <c r="R1243" s="7"/>
      <c r="S1243" s="7"/>
      <c r="T1243" s="7"/>
    </row>
    <row r="1244" spans="3:20" x14ac:dyDescent="0.25">
      <c r="C1244" s="7"/>
      <c r="D1244" s="7"/>
      <c r="E1244" s="7" t="s">
        <v>19</v>
      </c>
      <c r="F1244" s="7">
        <v>2015</v>
      </c>
      <c r="G1244" s="8" t="s">
        <v>20</v>
      </c>
      <c r="H1244" s="19" t="s">
        <v>85</v>
      </c>
      <c r="I1244" s="7" t="s">
        <v>86</v>
      </c>
      <c r="J1244" s="8"/>
      <c r="K1244" s="7"/>
      <c r="L1244" s="7" t="s">
        <v>30</v>
      </c>
      <c r="M1244" s="18">
        <f>'Emissions - REF'!$D$13</f>
        <v>9.9823999999999998E-5</v>
      </c>
      <c r="N1244" s="7"/>
      <c r="O1244" s="7"/>
      <c r="P1244" s="7"/>
      <c r="Q1244" s="7"/>
      <c r="R1244" s="7"/>
      <c r="S1244" s="7"/>
      <c r="T1244" s="7"/>
    </row>
    <row r="1245" spans="3:20" x14ac:dyDescent="0.25">
      <c r="C1245" s="7"/>
      <c r="D1245" s="7"/>
      <c r="E1245" s="7" t="s">
        <v>19</v>
      </c>
      <c r="F1245" s="7">
        <v>2020</v>
      </c>
      <c r="G1245" s="8" t="s">
        <v>20</v>
      </c>
      <c r="H1245" s="19" t="s">
        <v>85</v>
      </c>
      <c r="I1245" s="7" t="s">
        <v>86</v>
      </c>
      <c r="J1245" s="8"/>
      <c r="K1245" s="7"/>
      <c r="L1245" s="7" t="s">
        <v>30</v>
      </c>
      <c r="M1245" s="18">
        <f>'Emissions - REF'!$E$13</f>
        <v>9.9823999999999998E-5</v>
      </c>
      <c r="N1245" s="7"/>
      <c r="O1245" s="7"/>
      <c r="P1245" s="7"/>
      <c r="Q1245" s="7"/>
      <c r="R1245" s="7"/>
      <c r="S1245" s="7"/>
      <c r="T1245" s="7"/>
    </row>
    <row r="1246" spans="3:20" x14ac:dyDescent="0.25">
      <c r="C1246" s="7"/>
      <c r="D1246" s="7"/>
      <c r="E1246" s="7" t="s">
        <v>19</v>
      </c>
      <c r="F1246" s="7">
        <v>2055</v>
      </c>
      <c r="G1246" s="8" t="s">
        <v>20</v>
      </c>
      <c r="H1246" s="19" t="s">
        <v>85</v>
      </c>
      <c r="I1246" s="7" t="s">
        <v>86</v>
      </c>
      <c r="J1246" s="8"/>
      <c r="K1246" s="7"/>
      <c r="L1246" s="7" t="s">
        <v>30</v>
      </c>
      <c r="M1246" s="18">
        <f>M1245</f>
        <v>9.9823999999999998E-5</v>
      </c>
      <c r="N1246" s="7"/>
      <c r="O1246" s="7"/>
      <c r="P1246" s="7"/>
      <c r="Q1246" s="7"/>
      <c r="R1246" s="7"/>
      <c r="S1246" s="7"/>
      <c r="T1246" s="7"/>
    </row>
    <row r="1247" spans="3:20" x14ac:dyDescent="0.25">
      <c r="C1247" s="7"/>
      <c r="D1247" s="7"/>
      <c r="E1247" s="7" t="s">
        <v>19</v>
      </c>
      <c r="F1247" s="7">
        <v>2010</v>
      </c>
      <c r="G1247" s="8" t="s">
        <v>20</v>
      </c>
      <c r="H1247" s="19" t="s">
        <v>85</v>
      </c>
      <c r="I1247" s="7" t="s">
        <v>86</v>
      </c>
      <c r="J1247" s="8"/>
      <c r="K1247" s="7"/>
      <c r="L1247" s="7" t="s">
        <v>31</v>
      </c>
      <c r="M1247" s="7">
        <v>1E-4</v>
      </c>
      <c r="N1247" s="7"/>
      <c r="O1247" s="7"/>
      <c r="P1247" s="7"/>
      <c r="Q1247" s="7"/>
      <c r="R1247" s="7"/>
      <c r="S1247" s="7"/>
      <c r="T1247" s="7"/>
    </row>
    <row r="1248" spans="3:20" x14ac:dyDescent="0.25">
      <c r="C1248" s="7"/>
      <c r="D1248" s="7"/>
      <c r="E1248" s="7" t="s">
        <v>19</v>
      </c>
      <c r="F1248" s="7">
        <v>2015</v>
      </c>
      <c r="G1248" s="8" t="s">
        <v>20</v>
      </c>
      <c r="H1248" s="19" t="s">
        <v>85</v>
      </c>
      <c r="I1248" s="7" t="s">
        <v>86</v>
      </c>
      <c r="J1248" s="8"/>
      <c r="K1248" s="7"/>
      <c r="L1248" s="7" t="s">
        <v>31</v>
      </c>
      <c r="M1248" s="7">
        <f>M1247</f>
        <v>1E-4</v>
      </c>
      <c r="N1248" s="7"/>
      <c r="O1248" s="7"/>
      <c r="P1248" s="7"/>
      <c r="Q1248" s="7"/>
      <c r="R1248" s="7"/>
      <c r="S1248" s="7"/>
      <c r="T1248" s="7"/>
    </row>
    <row r="1249" spans="3:20" x14ac:dyDescent="0.25">
      <c r="C1249" s="7"/>
      <c r="D1249" s="7"/>
      <c r="E1249" s="7" t="s">
        <v>19</v>
      </c>
      <c r="F1249" s="7">
        <v>2020</v>
      </c>
      <c r="G1249" s="8" t="s">
        <v>20</v>
      </c>
      <c r="H1249" s="19" t="s">
        <v>85</v>
      </c>
      <c r="I1249" s="7" t="s">
        <v>86</v>
      </c>
      <c r="J1249" s="8"/>
      <c r="K1249" s="7"/>
      <c r="L1249" s="7" t="s">
        <v>31</v>
      </c>
      <c r="M1249" s="7">
        <f t="shared" ref="M1249:M1250" si="231">M1248</f>
        <v>1E-4</v>
      </c>
      <c r="N1249" s="7"/>
      <c r="O1249" s="7"/>
      <c r="P1249" s="7"/>
      <c r="Q1249" s="7"/>
      <c r="R1249" s="7"/>
      <c r="S1249" s="7"/>
      <c r="T1249" s="7"/>
    </row>
    <row r="1250" spans="3:20" x14ac:dyDescent="0.25">
      <c r="C1250" s="7"/>
      <c r="D1250" s="7"/>
      <c r="E1250" s="7" t="s">
        <v>19</v>
      </c>
      <c r="F1250" s="7">
        <v>2055</v>
      </c>
      <c r="G1250" s="8" t="s">
        <v>20</v>
      </c>
      <c r="H1250" s="19" t="s">
        <v>85</v>
      </c>
      <c r="I1250" s="7" t="s">
        <v>86</v>
      </c>
      <c r="J1250" s="8"/>
      <c r="K1250" s="7"/>
      <c r="L1250" s="7" t="s">
        <v>31</v>
      </c>
      <c r="M1250" s="7">
        <f t="shared" si="231"/>
        <v>1E-4</v>
      </c>
      <c r="N1250" s="7"/>
      <c r="O1250" s="7"/>
      <c r="P1250" s="7"/>
      <c r="Q1250" s="7"/>
      <c r="R1250" s="7"/>
      <c r="S1250" s="7"/>
      <c r="T1250" s="7"/>
    </row>
    <row r="1251" spans="3:20" x14ac:dyDescent="0.25">
      <c r="C1251" s="7"/>
      <c r="D1251" s="7"/>
      <c r="E1251" s="7" t="s">
        <v>19</v>
      </c>
      <c r="F1251" s="7">
        <v>2010</v>
      </c>
      <c r="G1251" s="8" t="s">
        <v>20</v>
      </c>
      <c r="H1251" s="19" t="s">
        <v>85</v>
      </c>
      <c r="I1251" s="7" t="s">
        <v>86</v>
      </c>
      <c r="J1251" s="8"/>
      <c r="K1251" s="7"/>
      <c r="L1251" s="7" t="s">
        <v>32</v>
      </c>
      <c r="M1251" s="7">
        <v>2.0000000000000001E-4</v>
      </c>
      <c r="N1251" s="7"/>
      <c r="O1251" s="7"/>
      <c r="P1251" s="7"/>
      <c r="Q1251" s="7"/>
      <c r="R1251" s="7"/>
      <c r="S1251" s="7"/>
      <c r="T1251" s="7"/>
    </row>
    <row r="1252" spans="3:20" x14ac:dyDescent="0.25">
      <c r="C1252" s="7"/>
      <c r="D1252" s="7"/>
      <c r="E1252" s="7" t="s">
        <v>19</v>
      </c>
      <c r="F1252" s="7">
        <v>2015</v>
      </c>
      <c r="G1252" s="8" t="s">
        <v>20</v>
      </c>
      <c r="H1252" s="19" t="s">
        <v>85</v>
      </c>
      <c r="I1252" s="7" t="s">
        <v>86</v>
      </c>
      <c r="J1252" s="8"/>
      <c r="K1252" s="7"/>
      <c r="L1252" s="7" t="s">
        <v>32</v>
      </c>
      <c r="M1252" s="7">
        <f>M1251</f>
        <v>2.0000000000000001E-4</v>
      </c>
      <c r="N1252" s="7"/>
      <c r="O1252" s="7"/>
      <c r="P1252" s="7"/>
      <c r="Q1252" s="7"/>
      <c r="R1252" s="7"/>
      <c r="S1252" s="7"/>
      <c r="T1252" s="7"/>
    </row>
    <row r="1253" spans="3:20" x14ac:dyDescent="0.25">
      <c r="C1253" s="7"/>
      <c r="D1253" s="7"/>
      <c r="E1253" s="7" t="s">
        <v>19</v>
      </c>
      <c r="F1253" s="7">
        <v>2020</v>
      </c>
      <c r="G1253" s="8" t="s">
        <v>20</v>
      </c>
      <c r="H1253" s="19" t="s">
        <v>85</v>
      </c>
      <c r="I1253" s="7" t="s">
        <v>86</v>
      </c>
      <c r="J1253" s="8"/>
      <c r="K1253" s="7"/>
      <c r="L1253" s="7" t="s">
        <v>32</v>
      </c>
      <c r="M1253" s="7">
        <f t="shared" ref="M1253:M1254" si="232">M1252</f>
        <v>2.0000000000000001E-4</v>
      </c>
      <c r="N1253" s="7"/>
      <c r="O1253" s="7"/>
      <c r="P1253" s="7"/>
      <c r="Q1253" s="7"/>
      <c r="R1253" s="7"/>
      <c r="S1253" s="7"/>
      <c r="T1253" s="7"/>
    </row>
    <row r="1254" spans="3:20" x14ac:dyDescent="0.25">
      <c r="C1254" s="7"/>
      <c r="D1254" s="7"/>
      <c r="E1254" s="7" t="s">
        <v>19</v>
      </c>
      <c r="F1254" s="7">
        <v>2055</v>
      </c>
      <c r="G1254" s="8" t="s">
        <v>20</v>
      </c>
      <c r="H1254" s="19" t="s">
        <v>85</v>
      </c>
      <c r="I1254" s="7" t="s">
        <v>86</v>
      </c>
      <c r="J1254" s="8"/>
      <c r="K1254" s="7"/>
      <c r="L1254" s="7" t="s">
        <v>32</v>
      </c>
      <c r="M1254" s="7">
        <f t="shared" si="232"/>
        <v>2.0000000000000001E-4</v>
      </c>
      <c r="N1254" s="7"/>
      <c r="O1254" s="7"/>
      <c r="P1254" s="7"/>
      <c r="Q1254" s="7"/>
      <c r="R1254" s="7"/>
      <c r="S1254" s="7"/>
      <c r="T1254" s="7"/>
    </row>
    <row r="1255" spans="3:20" x14ac:dyDescent="0.25">
      <c r="C1255" s="7"/>
      <c r="D1255" s="7"/>
      <c r="E1255" s="7" t="s">
        <v>19</v>
      </c>
      <c r="F1255" s="7">
        <v>2010</v>
      </c>
      <c r="G1255" s="8" t="s">
        <v>20</v>
      </c>
      <c r="H1255" s="19" t="s">
        <v>85</v>
      </c>
      <c r="I1255" s="7" t="s">
        <v>86</v>
      </c>
      <c r="J1255" s="8"/>
      <c r="K1255" s="7"/>
      <c r="L1255" s="7" t="s">
        <v>46</v>
      </c>
      <c r="M1255" s="18">
        <f>M1223</f>
        <v>8.144765E-3</v>
      </c>
      <c r="N1255" s="7"/>
      <c r="O1255" s="7"/>
      <c r="P1255" s="7"/>
      <c r="Q1255" s="7"/>
      <c r="R1255" s="7"/>
      <c r="S1255" s="7"/>
      <c r="T1255" s="7"/>
    </row>
    <row r="1256" spans="3:20" x14ac:dyDescent="0.25">
      <c r="C1256" s="7"/>
      <c r="D1256" s="7"/>
      <c r="E1256" s="7" t="s">
        <v>19</v>
      </c>
      <c r="F1256" s="7">
        <v>2015</v>
      </c>
      <c r="G1256" s="8" t="s">
        <v>20</v>
      </c>
      <c r="H1256" s="19" t="s">
        <v>85</v>
      </c>
      <c r="I1256" s="7" t="s">
        <v>86</v>
      </c>
      <c r="J1256" s="8"/>
      <c r="K1256" s="7"/>
      <c r="L1256" s="7" t="s">
        <v>46</v>
      </c>
      <c r="M1256" s="18">
        <f t="shared" ref="M1256:M1258" si="233">M1224</f>
        <v>7.2287209999999996E-3</v>
      </c>
      <c r="N1256" s="7"/>
      <c r="O1256" s="7"/>
      <c r="P1256" s="7"/>
      <c r="Q1256" s="7"/>
      <c r="R1256" s="7"/>
      <c r="S1256" s="7"/>
      <c r="T1256" s="7"/>
    </row>
    <row r="1257" spans="3:20" x14ac:dyDescent="0.25">
      <c r="C1257" s="7"/>
      <c r="D1257" s="7"/>
      <c r="E1257" s="7" t="s">
        <v>19</v>
      </c>
      <c r="F1257" s="7">
        <v>2020</v>
      </c>
      <c r="G1257" s="8" t="s">
        <v>20</v>
      </c>
      <c r="H1257" s="19" t="s">
        <v>85</v>
      </c>
      <c r="I1257" s="7" t="s">
        <v>86</v>
      </c>
      <c r="J1257" s="8"/>
      <c r="K1257" s="7"/>
      <c r="L1257" s="7" t="s">
        <v>46</v>
      </c>
      <c r="M1257" s="18">
        <f t="shared" si="233"/>
        <v>6.8386099999999993E-3</v>
      </c>
      <c r="N1257" s="7"/>
      <c r="O1257" s="7"/>
      <c r="P1257" s="7"/>
      <c r="Q1257" s="7"/>
      <c r="R1257" s="7"/>
      <c r="S1257" s="7"/>
      <c r="T1257" s="7"/>
    </row>
    <row r="1258" spans="3:20" x14ac:dyDescent="0.25">
      <c r="C1258" s="7"/>
      <c r="D1258" s="7"/>
      <c r="E1258" s="7" t="s">
        <v>19</v>
      </c>
      <c r="F1258" s="7">
        <v>2055</v>
      </c>
      <c r="G1258" s="8" t="s">
        <v>20</v>
      </c>
      <c r="H1258" s="19" t="s">
        <v>85</v>
      </c>
      <c r="I1258" s="7" t="s">
        <v>86</v>
      </c>
      <c r="J1258" s="8"/>
      <c r="K1258" s="7"/>
      <c r="L1258" s="7" t="s">
        <v>46</v>
      </c>
      <c r="M1258" s="18">
        <f t="shared" si="233"/>
        <v>6.8386099999999993E-3</v>
      </c>
      <c r="N1258" s="7"/>
      <c r="O1258" s="7"/>
      <c r="P1258" s="7"/>
      <c r="Q1258" s="7"/>
      <c r="R1258" s="7"/>
      <c r="S1258" s="7"/>
      <c r="T1258" s="7"/>
    </row>
    <row r="1259" spans="3:20" x14ac:dyDescent="0.25">
      <c r="C1259" s="7"/>
      <c r="D1259" s="7"/>
      <c r="E1259" s="7" t="s">
        <v>19</v>
      </c>
      <c r="F1259" s="7">
        <v>2010</v>
      </c>
      <c r="G1259" s="8" t="s">
        <v>20</v>
      </c>
      <c r="H1259" s="19" t="s">
        <v>85</v>
      </c>
      <c r="I1259" s="7" t="s">
        <v>86</v>
      </c>
      <c r="J1259" s="8"/>
      <c r="K1259" s="7"/>
      <c r="L1259" s="7" t="s">
        <v>47</v>
      </c>
      <c r="M1259" s="18">
        <f>M1235</f>
        <v>7.1050530000000001E-3</v>
      </c>
      <c r="N1259" s="7"/>
      <c r="O1259" s="7"/>
      <c r="P1259" s="7"/>
      <c r="Q1259" s="7"/>
      <c r="R1259" s="7"/>
      <c r="S1259" s="7"/>
      <c r="T1259" s="7"/>
    </row>
    <row r="1260" spans="3:20" x14ac:dyDescent="0.25">
      <c r="C1260" s="7"/>
      <c r="D1260" s="7"/>
      <c r="E1260" s="7" t="s">
        <v>19</v>
      </c>
      <c r="F1260" s="7">
        <v>2015</v>
      </c>
      <c r="G1260" s="8" t="s">
        <v>20</v>
      </c>
      <c r="H1260" s="19" t="s">
        <v>85</v>
      </c>
      <c r="I1260" s="7" t="s">
        <v>86</v>
      </c>
      <c r="J1260" s="8"/>
      <c r="K1260" s="7"/>
      <c r="L1260" s="7" t="s">
        <v>47</v>
      </c>
      <c r="M1260" s="18">
        <f t="shared" ref="M1260:M1262" si="234">M1236</f>
        <v>6.1110929999999997E-3</v>
      </c>
      <c r="N1260" s="7"/>
      <c r="O1260" s="7"/>
      <c r="P1260" s="7"/>
      <c r="Q1260" s="7"/>
      <c r="R1260" s="7"/>
      <c r="S1260" s="7"/>
      <c r="T1260" s="7"/>
    </row>
    <row r="1261" spans="3:20" x14ac:dyDescent="0.25">
      <c r="C1261" s="7"/>
      <c r="D1261" s="7"/>
      <c r="E1261" s="7" t="s">
        <v>19</v>
      </c>
      <c r="F1261" s="7">
        <v>2020</v>
      </c>
      <c r="G1261" s="8" t="s">
        <v>20</v>
      </c>
      <c r="H1261" s="19" t="s">
        <v>85</v>
      </c>
      <c r="I1261" s="7" t="s">
        <v>86</v>
      </c>
      <c r="J1261" s="8"/>
      <c r="K1261" s="7"/>
      <c r="L1261" s="7" t="s">
        <v>47</v>
      </c>
      <c r="M1261" s="18">
        <f t="shared" si="234"/>
        <v>5.6851099999999993E-3</v>
      </c>
      <c r="N1261" s="7"/>
      <c r="O1261" s="7"/>
      <c r="P1261" s="7"/>
      <c r="Q1261" s="7"/>
      <c r="R1261" s="7"/>
      <c r="S1261" s="7"/>
      <c r="T1261" s="7"/>
    </row>
    <row r="1262" spans="3:20" x14ac:dyDescent="0.25">
      <c r="C1262" s="7"/>
      <c r="D1262" s="7"/>
      <c r="E1262" s="7" t="s">
        <v>19</v>
      </c>
      <c r="F1262" s="7">
        <v>2055</v>
      </c>
      <c r="G1262" s="8" t="s">
        <v>20</v>
      </c>
      <c r="H1262" s="19" t="s">
        <v>85</v>
      </c>
      <c r="I1262" s="7" t="s">
        <v>86</v>
      </c>
      <c r="J1262" s="8"/>
      <c r="K1262" s="7"/>
      <c r="L1262" s="7" t="s">
        <v>47</v>
      </c>
      <c r="M1262" s="18">
        <f t="shared" si="234"/>
        <v>5.6851099999999993E-3</v>
      </c>
      <c r="N1262" s="7"/>
      <c r="O1262" s="7"/>
      <c r="P1262" s="7"/>
      <c r="Q1262" s="7"/>
      <c r="R1262" s="7"/>
      <c r="S1262" s="7"/>
      <c r="T1262" s="7"/>
    </row>
    <row r="1263" spans="3:20" x14ac:dyDescent="0.25">
      <c r="C1263" s="7"/>
      <c r="D1263" s="7"/>
      <c r="E1263" s="7" t="s">
        <v>19</v>
      </c>
      <c r="F1263" s="7">
        <v>2010</v>
      </c>
      <c r="G1263" s="8" t="s">
        <v>20</v>
      </c>
      <c r="H1263" s="19" t="s">
        <v>85</v>
      </c>
      <c r="I1263" s="7" t="s">
        <v>86</v>
      </c>
      <c r="J1263" s="8"/>
      <c r="K1263" s="7"/>
      <c r="L1263" s="7" t="s">
        <v>48</v>
      </c>
      <c r="M1263" s="18">
        <f>M1227</f>
        <v>1.9528849999999999E-3</v>
      </c>
      <c r="N1263" s="7"/>
      <c r="O1263" s="7"/>
      <c r="P1263" s="7"/>
      <c r="Q1263" s="7"/>
      <c r="R1263" s="7"/>
      <c r="S1263" s="7"/>
      <c r="T1263" s="7"/>
    </row>
    <row r="1264" spans="3:20" x14ac:dyDescent="0.25">
      <c r="C1264" s="7"/>
      <c r="D1264" s="7"/>
      <c r="E1264" s="7" t="s">
        <v>19</v>
      </c>
      <c r="F1264" s="7">
        <v>2015</v>
      </c>
      <c r="G1264" s="8" t="s">
        <v>20</v>
      </c>
      <c r="H1264" s="19" t="s">
        <v>85</v>
      </c>
      <c r="I1264" s="7" t="s">
        <v>86</v>
      </c>
      <c r="J1264" s="8"/>
      <c r="K1264" s="7"/>
      <c r="L1264" s="7" t="s">
        <v>48</v>
      </c>
      <c r="M1264" s="18">
        <f t="shared" ref="M1264:M1266" si="235">M1228</f>
        <v>1.7367819999999999E-3</v>
      </c>
      <c r="N1264" s="7"/>
      <c r="O1264" s="7"/>
      <c r="P1264" s="7"/>
      <c r="Q1264" s="7"/>
      <c r="R1264" s="7"/>
      <c r="S1264" s="7"/>
      <c r="T1264" s="7"/>
    </row>
    <row r="1265" spans="3:20" x14ac:dyDescent="0.25">
      <c r="C1265" s="7"/>
      <c r="D1265" s="7"/>
      <c r="E1265" s="7" t="s">
        <v>19</v>
      </c>
      <c r="F1265" s="7">
        <v>2020</v>
      </c>
      <c r="G1265" s="8" t="s">
        <v>20</v>
      </c>
      <c r="H1265" s="19" t="s">
        <v>85</v>
      </c>
      <c r="I1265" s="7" t="s">
        <v>86</v>
      </c>
      <c r="J1265" s="8"/>
      <c r="K1265" s="7"/>
      <c r="L1265" s="7" t="s">
        <v>48</v>
      </c>
      <c r="M1265" s="18">
        <f t="shared" si="235"/>
        <v>1.6641300000000002E-3</v>
      </c>
      <c r="N1265" s="7"/>
      <c r="O1265" s="7"/>
      <c r="P1265" s="7"/>
      <c r="Q1265" s="7"/>
      <c r="R1265" s="7"/>
      <c r="S1265" s="7"/>
      <c r="T1265" s="7"/>
    </row>
    <row r="1266" spans="3:20" x14ac:dyDescent="0.25">
      <c r="C1266" s="7"/>
      <c r="D1266" s="7"/>
      <c r="E1266" s="7" t="s">
        <v>19</v>
      </c>
      <c r="F1266" s="7">
        <v>2055</v>
      </c>
      <c r="G1266" s="8" t="s">
        <v>20</v>
      </c>
      <c r="H1266" s="19" t="s">
        <v>85</v>
      </c>
      <c r="I1266" s="7" t="s">
        <v>86</v>
      </c>
      <c r="J1266" s="8"/>
      <c r="K1266" s="7"/>
      <c r="L1266" s="7" t="s">
        <v>48</v>
      </c>
      <c r="M1266" s="18">
        <f t="shared" si="235"/>
        <v>1.6641300000000002E-3</v>
      </c>
      <c r="N1266" s="7"/>
      <c r="O1266" s="7"/>
      <c r="P1266" s="7"/>
      <c r="Q1266" s="7"/>
      <c r="R1266" s="7"/>
      <c r="S1266" s="7"/>
      <c r="T1266" s="7"/>
    </row>
    <row r="1267" spans="3:20" x14ac:dyDescent="0.25">
      <c r="C1267" s="7"/>
      <c r="D1267" s="7"/>
      <c r="E1267" s="7" t="s">
        <v>19</v>
      </c>
      <c r="F1267" s="7">
        <v>2010</v>
      </c>
      <c r="G1267" s="8" t="s">
        <v>20</v>
      </c>
      <c r="H1267" s="19" t="s">
        <v>85</v>
      </c>
      <c r="I1267" s="7" t="s">
        <v>86</v>
      </c>
      <c r="J1267" s="8"/>
      <c r="K1267" s="7"/>
      <c r="L1267" s="7" t="s">
        <v>49</v>
      </c>
      <c r="M1267" s="7">
        <f>'Emissions - REF'!$C$14</f>
        <v>6.1240109790000004</v>
      </c>
      <c r="N1267" s="7"/>
      <c r="O1267" s="7"/>
      <c r="P1267" s="7"/>
      <c r="Q1267" s="7"/>
      <c r="R1267" s="7"/>
      <c r="S1267" s="7"/>
      <c r="T1267" s="7"/>
    </row>
    <row r="1268" spans="3:20" x14ac:dyDescent="0.25">
      <c r="C1268" s="7"/>
      <c r="D1268" s="7"/>
      <c r="E1268" s="7" t="s">
        <v>19</v>
      </c>
      <c r="F1268" s="7">
        <v>2015</v>
      </c>
      <c r="G1268" s="8" t="s">
        <v>20</v>
      </c>
      <c r="H1268" s="19" t="s">
        <v>85</v>
      </c>
      <c r="I1268" s="7" t="s">
        <v>86</v>
      </c>
      <c r="J1268" s="8"/>
      <c r="K1268" s="7"/>
      <c r="L1268" s="7" t="s">
        <v>49</v>
      </c>
      <c r="M1268" s="7">
        <f>'Emissions - REF'!$D$14</f>
        <v>6.1240109790000004</v>
      </c>
      <c r="N1268" s="7"/>
      <c r="O1268" s="7"/>
      <c r="P1268" s="7"/>
      <c r="Q1268" s="7"/>
      <c r="R1268" s="7"/>
      <c r="S1268" s="7"/>
      <c r="T1268" s="7"/>
    </row>
    <row r="1269" spans="3:20" x14ac:dyDescent="0.25">
      <c r="C1269" s="7"/>
      <c r="D1269" s="7"/>
      <c r="E1269" s="7" t="s">
        <v>19</v>
      </c>
      <c r="F1269" s="7">
        <v>2020</v>
      </c>
      <c r="G1269" s="8" t="s">
        <v>20</v>
      </c>
      <c r="H1269" s="19" t="s">
        <v>85</v>
      </c>
      <c r="I1269" s="7" t="s">
        <v>86</v>
      </c>
      <c r="J1269" s="8"/>
      <c r="K1269" s="7"/>
      <c r="L1269" s="7" t="s">
        <v>49</v>
      </c>
      <c r="M1269" s="7">
        <f>'Emissions - REF'!$E$14</f>
        <v>6.1240109790000004</v>
      </c>
      <c r="N1269" s="7"/>
      <c r="O1269" s="7"/>
      <c r="P1269" s="7"/>
      <c r="Q1269" s="7"/>
      <c r="R1269" s="7"/>
      <c r="S1269" s="7"/>
      <c r="T1269" s="7"/>
    </row>
    <row r="1270" spans="3:20" x14ac:dyDescent="0.25">
      <c r="C1270" s="7"/>
      <c r="D1270" s="7"/>
      <c r="E1270" s="7" t="s">
        <v>19</v>
      </c>
      <c r="F1270" s="7">
        <v>2055</v>
      </c>
      <c r="G1270" s="8" t="s">
        <v>20</v>
      </c>
      <c r="H1270" s="19" t="s">
        <v>85</v>
      </c>
      <c r="I1270" s="7" t="s">
        <v>86</v>
      </c>
      <c r="J1270" s="8"/>
      <c r="K1270" s="7"/>
      <c r="L1270" s="7" t="s">
        <v>49</v>
      </c>
      <c r="M1270" s="7">
        <f>M1269</f>
        <v>6.1240109790000004</v>
      </c>
      <c r="N1270" s="7"/>
      <c r="O1270" s="7"/>
      <c r="P1270" s="7"/>
      <c r="Q1270" s="7"/>
      <c r="R1270" s="7"/>
      <c r="S1270" s="7"/>
      <c r="T1270" s="7"/>
    </row>
    <row r="1271" spans="3:20" x14ac:dyDescent="0.25">
      <c r="C1271" s="7"/>
      <c r="D1271" s="7"/>
      <c r="E1271" s="7" t="s">
        <v>19</v>
      </c>
      <c r="F1271" s="7">
        <v>2010</v>
      </c>
      <c r="G1271" s="8" t="s">
        <v>20</v>
      </c>
      <c r="H1271" s="19" t="s">
        <v>85</v>
      </c>
      <c r="I1271" s="7" t="s">
        <v>86</v>
      </c>
      <c r="J1271" s="8"/>
      <c r="K1271" s="7"/>
      <c r="L1271" s="7" t="s">
        <v>50</v>
      </c>
      <c r="M1271" s="18">
        <f>M1255</f>
        <v>8.144765E-3</v>
      </c>
      <c r="N1271" s="7"/>
      <c r="O1271" s="7"/>
      <c r="P1271" s="7"/>
      <c r="Q1271" s="7"/>
      <c r="R1271" s="7"/>
      <c r="S1271" s="7"/>
      <c r="T1271" s="7"/>
    </row>
    <row r="1272" spans="3:20" x14ac:dyDescent="0.25">
      <c r="C1272" s="7"/>
      <c r="D1272" s="7"/>
      <c r="E1272" s="7" t="s">
        <v>19</v>
      </c>
      <c r="F1272" s="7">
        <v>2015</v>
      </c>
      <c r="G1272" s="8" t="s">
        <v>20</v>
      </c>
      <c r="H1272" s="19" t="s">
        <v>85</v>
      </c>
      <c r="I1272" s="7" t="s">
        <v>86</v>
      </c>
      <c r="J1272" s="8"/>
      <c r="K1272" s="7"/>
      <c r="L1272" s="7" t="s">
        <v>50</v>
      </c>
      <c r="M1272" s="18">
        <f t="shared" ref="M1272:M1274" si="236">M1256</f>
        <v>7.2287209999999996E-3</v>
      </c>
      <c r="N1272" s="7"/>
      <c r="O1272" s="7"/>
      <c r="P1272" s="7"/>
      <c r="Q1272" s="7"/>
      <c r="R1272" s="7"/>
      <c r="S1272" s="7"/>
      <c r="T1272" s="7"/>
    </row>
    <row r="1273" spans="3:20" x14ac:dyDescent="0.25">
      <c r="C1273" s="7"/>
      <c r="D1273" s="7"/>
      <c r="E1273" s="7" t="s">
        <v>19</v>
      </c>
      <c r="F1273" s="7">
        <v>2020</v>
      </c>
      <c r="G1273" s="8" t="s">
        <v>20</v>
      </c>
      <c r="H1273" s="19" t="s">
        <v>85</v>
      </c>
      <c r="I1273" s="7" t="s">
        <v>86</v>
      </c>
      <c r="J1273" s="8"/>
      <c r="K1273" s="7"/>
      <c r="L1273" s="7" t="s">
        <v>50</v>
      </c>
      <c r="M1273" s="18">
        <f t="shared" si="236"/>
        <v>6.8386099999999993E-3</v>
      </c>
      <c r="N1273" s="7"/>
      <c r="O1273" s="7"/>
      <c r="P1273" s="7"/>
      <c r="Q1273" s="7"/>
      <c r="R1273" s="7"/>
      <c r="S1273" s="7"/>
      <c r="T1273" s="7"/>
    </row>
    <row r="1274" spans="3:20" x14ac:dyDescent="0.25">
      <c r="C1274" s="7"/>
      <c r="D1274" s="7"/>
      <c r="E1274" s="7" t="s">
        <v>19</v>
      </c>
      <c r="F1274" s="7">
        <v>2055</v>
      </c>
      <c r="G1274" s="8" t="s">
        <v>20</v>
      </c>
      <c r="H1274" s="19" t="s">
        <v>85</v>
      </c>
      <c r="I1274" s="7" t="s">
        <v>86</v>
      </c>
      <c r="J1274" s="8"/>
      <c r="K1274" s="7"/>
      <c r="L1274" s="7" t="s">
        <v>50</v>
      </c>
      <c r="M1274" s="18">
        <f t="shared" si="236"/>
        <v>6.8386099999999993E-3</v>
      </c>
      <c r="N1274" s="7"/>
      <c r="O1274" s="7"/>
      <c r="P1274" s="7"/>
      <c r="Q1274" s="7"/>
      <c r="R1274" s="7"/>
      <c r="S1274" s="7"/>
      <c r="T1274" s="7"/>
    </row>
    <row r="1275" spans="3:20" x14ac:dyDescent="0.25">
      <c r="C1275" s="15" t="s">
        <v>33</v>
      </c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</row>
    <row r="1276" spans="3:20" x14ac:dyDescent="0.25">
      <c r="C1276" s="7"/>
      <c r="D1276" s="7"/>
      <c r="E1276" s="7" t="s">
        <v>19</v>
      </c>
      <c r="F1276" s="7">
        <v>2010</v>
      </c>
      <c r="G1276" s="8" t="s">
        <v>20</v>
      </c>
      <c r="H1276" s="19" t="s">
        <v>87</v>
      </c>
      <c r="I1276" s="7" t="s">
        <v>88</v>
      </c>
      <c r="J1276" s="8"/>
      <c r="K1276" s="7"/>
      <c r="L1276" s="7" t="s">
        <v>22</v>
      </c>
      <c r="M1276" s="18">
        <f>M1332/1000</f>
        <v>6.1003237490000004E-3</v>
      </c>
      <c r="N1276" s="7"/>
      <c r="O1276" s="7"/>
      <c r="P1276" s="7"/>
      <c r="Q1276" s="7"/>
      <c r="R1276" s="7"/>
      <c r="S1276" s="7"/>
      <c r="T1276" s="7"/>
    </row>
    <row r="1277" spans="3:20" x14ac:dyDescent="0.25">
      <c r="C1277" s="7"/>
      <c r="D1277" s="7"/>
      <c r="E1277" s="7" t="s">
        <v>19</v>
      </c>
      <c r="F1277" s="7">
        <v>2015</v>
      </c>
      <c r="G1277" s="8" t="s">
        <v>20</v>
      </c>
      <c r="H1277" s="19" t="s">
        <v>87</v>
      </c>
      <c r="I1277" s="7" t="s">
        <v>88</v>
      </c>
      <c r="J1277" s="8"/>
      <c r="K1277" s="7"/>
      <c r="L1277" s="7" t="s">
        <v>22</v>
      </c>
      <c r="M1277" s="18">
        <f t="shared" ref="M1277:M1279" si="237">M1333/1000</f>
        <v>6.1003237490000004E-3</v>
      </c>
      <c r="N1277" s="7"/>
      <c r="O1277" s="7"/>
      <c r="P1277" s="7"/>
      <c r="Q1277" s="7"/>
      <c r="R1277" s="7"/>
      <c r="S1277" s="7"/>
      <c r="T1277" s="7"/>
    </row>
    <row r="1278" spans="3:20" x14ac:dyDescent="0.25">
      <c r="C1278" s="7"/>
      <c r="D1278" s="7"/>
      <c r="E1278" s="7" t="s">
        <v>19</v>
      </c>
      <c r="F1278" s="7">
        <v>2020</v>
      </c>
      <c r="G1278" s="8" t="s">
        <v>20</v>
      </c>
      <c r="H1278" s="19" t="s">
        <v>87</v>
      </c>
      <c r="I1278" s="7" t="s">
        <v>88</v>
      </c>
      <c r="J1278" s="8"/>
      <c r="K1278" s="7"/>
      <c r="L1278" s="7" t="s">
        <v>22</v>
      </c>
      <c r="M1278" s="18">
        <f t="shared" si="237"/>
        <v>6.1003237490000004E-3</v>
      </c>
      <c r="N1278" s="7"/>
      <c r="O1278" s="7"/>
      <c r="P1278" s="7"/>
      <c r="Q1278" s="7"/>
      <c r="R1278" s="7"/>
      <c r="S1278" s="7"/>
      <c r="T1278" s="7"/>
    </row>
    <row r="1279" spans="3:20" x14ac:dyDescent="0.25">
      <c r="C1279" s="7"/>
      <c r="D1279" s="7"/>
      <c r="E1279" s="7" t="s">
        <v>19</v>
      </c>
      <c r="F1279" s="7">
        <v>2055</v>
      </c>
      <c r="G1279" s="8" t="s">
        <v>20</v>
      </c>
      <c r="H1279" s="19" t="s">
        <v>87</v>
      </c>
      <c r="I1279" s="7" t="s">
        <v>88</v>
      </c>
      <c r="J1279" s="8"/>
      <c r="K1279" s="7"/>
      <c r="L1279" s="7" t="s">
        <v>22</v>
      </c>
      <c r="M1279" s="18">
        <f t="shared" si="237"/>
        <v>6.1003237490000004E-3</v>
      </c>
      <c r="N1279" s="7"/>
      <c r="O1279" s="7"/>
      <c r="P1279" s="7"/>
      <c r="Q1279" s="7"/>
      <c r="R1279" s="7"/>
      <c r="S1279" s="7"/>
      <c r="T1279" s="7"/>
    </row>
    <row r="1280" spans="3:20" x14ac:dyDescent="0.25">
      <c r="C1280" s="7"/>
      <c r="D1280" s="7"/>
      <c r="E1280" s="7" t="s">
        <v>19</v>
      </c>
      <c r="F1280" s="7">
        <v>2010</v>
      </c>
      <c r="G1280" s="8" t="s">
        <v>20</v>
      </c>
      <c r="H1280" s="19" t="s">
        <v>87</v>
      </c>
      <c r="I1280" s="7" t="s">
        <v>88</v>
      </c>
      <c r="J1280" s="8"/>
      <c r="K1280" s="7"/>
      <c r="L1280" s="7" t="s">
        <v>23</v>
      </c>
      <c r="M1280" s="18">
        <f>'Emissions - REF'!$C$19</f>
        <v>2.3230270000000001E-3</v>
      </c>
      <c r="N1280" s="7"/>
      <c r="O1280" s="7"/>
      <c r="P1280" s="7"/>
      <c r="Q1280" s="7"/>
      <c r="R1280" s="7"/>
      <c r="S1280" s="7"/>
      <c r="T1280" s="7"/>
    </row>
    <row r="1281" spans="3:20" x14ac:dyDescent="0.25">
      <c r="C1281" s="7"/>
      <c r="D1281" s="7"/>
      <c r="E1281" s="7" t="s">
        <v>19</v>
      </c>
      <c r="F1281" s="7">
        <v>2015</v>
      </c>
      <c r="G1281" s="8" t="s">
        <v>20</v>
      </c>
      <c r="H1281" s="19" t="s">
        <v>87</v>
      </c>
      <c r="I1281" s="7" t="s">
        <v>88</v>
      </c>
      <c r="J1281" s="8"/>
      <c r="K1281" s="7"/>
      <c r="L1281" s="7" t="s">
        <v>23</v>
      </c>
      <c r="M1281" s="18">
        <f>'Emissions - REF'!$D$19</f>
        <v>2.3230270000000001E-3</v>
      </c>
      <c r="N1281" s="7"/>
      <c r="O1281" s="7"/>
      <c r="P1281" s="7"/>
      <c r="Q1281" s="7"/>
      <c r="R1281" s="7"/>
      <c r="S1281" s="7"/>
      <c r="T1281" s="7"/>
    </row>
    <row r="1282" spans="3:20" x14ac:dyDescent="0.25">
      <c r="C1282" s="7"/>
      <c r="D1282" s="7"/>
      <c r="E1282" s="7" t="s">
        <v>19</v>
      </c>
      <c r="F1282" s="7">
        <v>2020</v>
      </c>
      <c r="G1282" s="8" t="s">
        <v>20</v>
      </c>
      <c r="H1282" s="19" t="s">
        <v>87</v>
      </c>
      <c r="I1282" s="7" t="s">
        <v>88</v>
      </c>
      <c r="J1282" s="8"/>
      <c r="K1282" s="7"/>
      <c r="L1282" s="7" t="s">
        <v>23</v>
      </c>
      <c r="M1282" s="18">
        <f>'Emissions - REF'!$E$19</f>
        <v>2.3230270000000001E-3</v>
      </c>
      <c r="N1282" s="7"/>
      <c r="O1282" s="7"/>
      <c r="P1282" s="7"/>
      <c r="Q1282" s="7"/>
      <c r="R1282" s="7"/>
      <c r="S1282" s="7"/>
      <c r="T1282" s="7"/>
    </row>
    <row r="1283" spans="3:20" x14ac:dyDescent="0.25">
      <c r="C1283" s="7"/>
      <c r="D1283" s="7"/>
      <c r="E1283" s="7" t="s">
        <v>19</v>
      </c>
      <c r="F1283" s="7">
        <v>2055</v>
      </c>
      <c r="G1283" s="8" t="s">
        <v>20</v>
      </c>
      <c r="H1283" s="19" t="s">
        <v>87</v>
      </c>
      <c r="I1283" s="7" t="s">
        <v>88</v>
      </c>
      <c r="J1283" s="8"/>
      <c r="K1283" s="7"/>
      <c r="L1283" s="7" t="s">
        <v>23</v>
      </c>
      <c r="M1283" s="18">
        <f>M1282</f>
        <v>2.3230270000000001E-3</v>
      </c>
      <c r="N1283" s="7"/>
      <c r="O1283" s="7"/>
      <c r="P1283" s="7"/>
      <c r="Q1283" s="7"/>
      <c r="R1283" s="7"/>
      <c r="S1283" s="7"/>
      <c r="T1283" s="7"/>
    </row>
    <row r="1284" spans="3:20" x14ac:dyDescent="0.25">
      <c r="C1284" s="7"/>
      <c r="D1284" s="7"/>
      <c r="E1284" s="7" t="s">
        <v>19</v>
      </c>
      <c r="F1284" s="7">
        <v>2010</v>
      </c>
      <c r="G1284" s="8" t="s">
        <v>20</v>
      </c>
      <c r="H1284" s="19" t="s">
        <v>87</v>
      </c>
      <c r="I1284" s="7" t="s">
        <v>88</v>
      </c>
      <c r="J1284" s="8"/>
      <c r="K1284" s="7"/>
      <c r="L1284" s="7" t="s">
        <v>24</v>
      </c>
      <c r="M1284" s="18">
        <f>'Emissions - REF'!$C$20</f>
        <v>3.5536819999999998E-3</v>
      </c>
      <c r="N1284" s="7"/>
      <c r="O1284" s="7"/>
      <c r="P1284" s="7"/>
      <c r="Q1284" s="7"/>
      <c r="R1284" s="7"/>
      <c r="S1284" s="7"/>
      <c r="T1284" s="7"/>
    </row>
    <row r="1285" spans="3:20" x14ac:dyDescent="0.25">
      <c r="C1285" s="7"/>
      <c r="D1285" s="7"/>
      <c r="E1285" s="7" t="s">
        <v>19</v>
      </c>
      <c r="F1285" s="7">
        <v>2015</v>
      </c>
      <c r="G1285" s="8" t="s">
        <v>20</v>
      </c>
      <c r="H1285" s="19" t="s">
        <v>87</v>
      </c>
      <c r="I1285" s="7" t="s">
        <v>88</v>
      </c>
      <c r="J1285" s="8"/>
      <c r="K1285" s="7"/>
      <c r="L1285" s="7" t="s">
        <v>24</v>
      </c>
      <c r="M1285" s="18">
        <f>'Emissions - REF'!$D$20</f>
        <v>3.5536819999999998E-3</v>
      </c>
      <c r="N1285" s="7"/>
      <c r="O1285" s="7"/>
      <c r="P1285" s="7"/>
      <c r="Q1285" s="7"/>
      <c r="R1285" s="7"/>
      <c r="S1285" s="7"/>
      <c r="T1285" s="7"/>
    </row>
    <row r="1286" spans="3:20" x14ac:dyDescent="0.25">
      <c r="C1286" s="7"/>
      <c r="D1286" s="7"/>
      <c r="E1286" s="7" t="s">
        <v>19</v>
      </c>
      <c r="F1286" s="7">
        <v>2020</v>
      </c>
      <c r="G1286" s="8" t="s">
        <v>20</v>
      </c>
      <c r="H1286" s="19" t="s">
        <v>87</v>
      </c>
      <c r="I1286" s="7" t="s">
        <v>88</v>
      </c>
      <c r="J1286" s="8"/>
      <c r="K1286" s="7"/>
      <c r="L1286" s="7" t="s">
        <v>24</v>
      </c>
      <c r="M1286" s="18">
        <f>'Emissions - REF'!$E$20</f>
        <v>3.5536819999999998E-3</v>
      </c>
      <c r="N1286" s="7"/>
      <c r="O1286" s="7"/>
      <c r="P1286" s="7"/>
      <c r="Q1286" s="7"/>
      <c r="R1286" s="7"/>
      <c r="S1286" s="7"/>
      <c r="T1286" s="7"/>
    </row>
    <row r="1287" spans="3:20" x14ac:dyDescent="0.25">
      <c r="C1287" s="7"/>
      <c r="D1287" s="7"/>
      <c r="E1287" s="7" t="s">
        <v>19</v>
      </c>
      <c r="F1287" s="7">
        <v>2055</v>
      </c>
      <c r="G1287" s="8" t="s">
        <v>20</v>
      </c>
      <c r="H1287" s="19" t="s">
        <v>87</v>
      </c>
      <c r="I1287" s="7" t="s">
        <v>88</v>
      </c>
      <c r="J1287" s="8"/>
      <c r="K1287" s="7"/>
      <c r="L1287" s="7" t="s">
        <v>24</v>
      </c>
      <c r="M1287" s="18">
        <f>M1286</f>
        <v>3.5536819999999998E-3</v>
      </c>
      <c r="N1287" s="7"/>
      <c r="O1287" s="7"/>
      <c r="P1287" s="7"/>
      <c r="Q1287" s="7"/>
      <c r="R1287" s="7"/>
      <c r="S1287" s="7"/>
      <c r="T1287" s="7"/>
    </row>
    <row r="1288" spans="3:20" x14ac:dyDescent="0.25">
      <c r="C1288" s="7"/>
      <c r="D1288" s="7"/>
      <c r="E1288" s="7" t="s">
        <v>19</v>
      </c>
      <c r="F1288" s="7">
        <v>2010</v>
      </c>
      <c r="G1288" s="8" t="s">
        <v>20</v>
      </c>
      <c r="H1288" s="19" t="s">
        <v>87</v>
      </c>
      <c r="I1288" s="7" t="s">
        <v>88</v>
      </c>
      <c r="J1288" s="8"/>
      <c r="K1288" s="7"/>
      <c r="L1288" s="7" t="s">
        <v>25</v>
      </c>
      <c r="M1288" s="18">
        <f>'Emissions - REF'!$C$21</f>
        <v>8.107528000000001E-3</v>
      </c>
      <c r="N1288" s="7"/>
      <c r="O1288" s="7"/>
      <c r="P1288" s="7"/>
      <c r="Q1288" s="7"/>
      <c r="R1288" s="7"/>
      <c r="S1288" s="7"/>
      <c r="T1288" s="7"/>
    </row>
    <row r="1289" spans="3:20" x14ac:dyDescent="0.25">
      <c r="C1289" s="7"/>
      <c r="D1289" s="7"/>
      <c r="E1289" s="7" t="s">
        <v>19</v>
      </c>
      <c r="F1289" s="7">
        <v>2015</v>
      </c>
      <c r="G1289" s="8" t="s">
        <v>20</v>
      </c>
      <c r="H1289" s="19" t="s">
        <v>87</v>
      </c>
      <c r="I1289" s="7" t="s">
        <v>88</v>
      </c>
      <c r="J1289" s="8"/>
      <c r="K1289" s="7"/>
      <c r="L1289" s="7" t="s">
        <v>25</v>
      </c>
      <c r="M1289" s="18">
        <f>'Emissions - REF'!$D$21</f>
        <v>7.1944629999999999E-3</v>
      </c>
      <c r="N1289" s="7"/>
      <c r="O1289" s="7"/>
      <c r="P1289" s="7"/>
      <c r="Q1289" s="7"/>
      <c r="R1289" s="7"/>
      <c r="S1289" s="7"/>
      <c r="T1289" s="7"/>
    </row>
    <row r="1290" spans="3:20" x14ac:dyDescent="0.25">
      <c r="C1290" s="7"/>
      <c r="D1290" s="7"/>
      <c r="E1290" s="7" t="s">
        <v>19</v>
      </c>
      <c r="F1290" s="7">
        <v>2020</v>
      </c>
      <c r="G1290" s="8" t="s">
        <v>20</v>
      </c>
      <c r="H1290" s="19" t="s">
        <v>87</v>
      </c>
      <c r="I1290" s="7" t="s">
        <v>88</v>
      </c>
      <c r="J1290" s="8"/>
      <c r="K1290" s="7"/>
      <c r="L1290" s="7" t="s">
        <v>25</v>
      </c>
      <c r="M1290" s="18">
        <f>'Emissions - REF'!$E$21</f>
        <v>6.805841E-3</v>
      </c>
      <c r="N1290" s="7"/>
      <c r="O1290" s="7"/>
      <c r="P1290" s="7"/>
      <c r="Q1290" s="7"/>
      <c r="R1290" s="7"/>
      <c r="S1290" s="7"/>
      <c r="T1290" s="7"/>
    </row>
    <row r="1291" spans="3:20" x14ac:dyDescent="0.25">
      <c r="C1291" s="7"/>
      <c r="D1291" s="7"/>
      <c r="E1291" s="7" t="s">
        <v>19</v>
      </c>
      <c r="F1291" s="7">
        <v>2055</v>
      </c>
      <c r="G1291" s="8" t="s">
        <v>20</v>
      </c>
      <c r="H1291" s="19" t="s">
        <v>87</v>
      </c>
      <c r="I1291" s="7" t="s">
        <v>88</v>
      </c>
      <c r="J1291" s="8"/>
      <c r="K1291" s="7"/>
      <c r="L1291" s="7" t="s">
        <v>25</v>
      </c>
      <c r="M1291" s="18">
        <f>M1290</f>
        <v>6.805841E-3</v>
      </c>
      <c r="N1291" s="7"/>
      <c r="O1291" s="7"/>
      <c r="P1291" s="7"/>
      <c r="Q1291" s="7"/>
      <c r="R1291" s="7"/>
      <c r="S1291" s="7"/>
      <c r="T1291" s="7"/>
    </row>
    <row r="1292" spans="3:20" x14ac:dyDescent="0.25">
      <c r="C1292" s="7"/>
      <c r="D1292" s="7"/>
      <c r="E1292" s="7" t="s">
        <v>19</v>
      </c>
      <c r="F1292" s="7">
        <v>2010</v>
      </c>
      <c r="G1292" s="8" t="s">
        <v>20</v>
      </c>
      <c r="H1292" s="19" t="s">
        <v>87</v>
      </c>
      <c r="I1292" s="7" t="s">
        <v>88</v>
      </c>
      <c r="J1292" s="8"/>
      <c r="K1292" s="7"/>
      <c r="L1292" s="7" t="s">
        <v>26</v>
      </c>
      <c r="M1292" s="18">
        <f>'Emissions - REF'!$C$22</f>
        <v>1.9396579999999999E-3</v>
      </c>
      <c r="N1292" s="7"/>
      <c r="O1292" s="7"/>
      <c r="P1292" s="7"/>
      <c r="Q1292" s="7"/>
      <c r="R1292" s="7"/>
      <c r="S1292" s="7"/>
      <c r="T1292" s="7"/>
    </row>
    <row r="1293" spans="3:20" x14ac:dyDescent="0.25">
      <c r="C1293" s="7"/>
      <c r="D1293" s="7"/>
      <c r="E1293" s="7" t="s">
        <v>19</v>
      </c>
      <c r="F1293" s="7">
        <v>2015</v>
      </c>
      <c r="G1293" s="8" t="s">
        <v>20</v>
      </c>
      <c r="H1293" s="19" t="s">
        <v>87</v>
      </c>
      <c r="I1293" s="7" t="s">
        <v>88</v>
      </c>
      <c r="J1293" s="8"/>
      <c r="K1293" s="7"/>
      <c r="L1293" s="7" t="s">
        <v>26</v>
      </c>
      <c r="M1293" s="18">
        <f>'Emissions - REF'!$D$22</f>
        <v>1.7263549999999999E-3</v>
      </c>
      <c r="N1293" s="7"/>
      <c r="O1293" s="7"/>
      <c r="P1293" s="7"/>
      <c r="Q1293" s="7"/>
      <c r="R1293" s="7"/>
      <c r="S1293" s="7"/>
      <c r="T1293" s="7"/>
    </row>
    <row r="1294" spans="3:20" x14ac:dyDescent="0.25">
      <c r="C1294" s="7"/>
      <c r="D1294" s="7"/>
      <c r="E1294" s="7" t="s">
        <v>19</v>
      </c>
      <c r="F1294" s="7">
        <v>2020</v>
      </c>
      <c r="G1294" s="8" t="s">
        <v>20</v>
      </c>
      <c r="H1294" s="19" t="s">
        <v>87</v>
      </c>
      <c r="I1294" s="7" t="s">
        <v>88</v>
      </c>
      <c r="J1294" s="8"/>
      <c r="K1294" s="7"/>
      <c r="L1294" s="7" t="s">
        <v>26</v>
      </c>
      <c r="M1294" s="18">
        <f>'Emissions - REF'!$E$22</f>
        <v>1.6551929999999999E-3</v>
      </c>
      <c r="N1294" s="7"/>
      <c r="O1294" s="7"/>
      <c r="P1294" s="7"/>
      <c r="Q1294" s="7"/>
      <c r="R1294" s="7"/>
      <c r="S1294" s="7"/>
      <c r="T1294" s="7"/>
    </row>
    <row r="1295" spans="3:20" x14ac:dyDescent="0.25">
      <c r="C1295" s="7"/>
      <c r="D1295" s="7"/>
      <c r="E1295" s="7" t="s">
        <v>19</v>
      </c>
      <c r="F1295" s="7">
        <v>2055</v>
      </c>
      <c r="G1295" s="8" t="s">
        <v>20</v>
      </c>
      <c r="H1295" s="19" t="s">
        <v>87</v>
      </c>
      <c r="I1295" s="7" t="s">
        <v>88</v>
      </c>
      <c r="J1295" s="8"/>
      <c r="K1295" s="7"/>
      <c r="L1295" s="7" t="s">
        <v>26</v>
      </c>
      <c r="M1295" s="18">
        <f>M1294</f>
        <v>1.6551929999999999E-3</v>
      </c>
      <c r="N1295" s="7"/>
      <c r="O1295" s="7"/>
      <c r="P1295" s="7"/>
      <c r="Q1295" s="7"/>
      <c r="R1295" s="7"/>
      <c r="S1295" s="7"/>
      <c r="T1295" s="7"/>
    </row>
    <row r="1296" spans="3:20" x14ac:dyDescent="0.25">
      <c r="C1296" s="7"/>
      <c r="D1296" s="7"/>
      <c r="E1296" s="7" t="s">
        <v>19</v>
      </c>
      <c r="F1296" s="7">
        <v>2010</v>
      </c>
      <c r="G1296" s="8" t="s">
        <v>20</v>
      </c>
      <c r="H1296" s="19" t="s">
        <v>87</v>
      </c>
      <c r="I1296" s="7" t="s">
        <v>88</v>
      </c>
      <c r="J1296" s="8"/>
      <c r="K1296" s="7"/>
      <c r="L1296" s="7" t="s">
        <v>27</v>
      </c>
      <c r="M1296" s="18">
        <f>'Emissions - REF'!$C$23</f>
        <v>1.0775209999999999E-3</v>
      </c>
      <c r="N1296" s="7"/>
      <c r="O1296" s="7"/>
      <c r="P1296" s="7"/>
      <c r="Q1296" s="7"/>
      <c r="R1296" s="7"/>
      <c r="S1296" s="7"/>
      <c r="T1296" s="7"/>
    </row>
    <row r="1297" spans="3:20" x14ac:dyDescent="0.25">
      <c r="C1297" s="7"/>
      <c r="D1297" s="7"/>
      <c r="E1297" s="7" t="s">
        <v>19</v>
      </c>
      <c r="F1297" s="7">
        <v>2015</v>
      </c>
      <c r="G1297" s="8" t="s">
        <v>20</v>
      </c>
      <c r="H1297" s="19" t="s">
        <v>87</v>
      </c>
      <c r="I1297" s="7" t="s">
        <v>88</v>
      </c>
      <c r="J1297" s="8"/>
      <c r="K1297" s="7"/>
      <c r="L1297" s="7" t="s">
        <v>27</v>
      </c>
      <c r="M1297" s="18">
        <f>'Emissions - REF'!$D$23</f>
        <v>1.006322E-3</v>
      </c>
      <c r="N1297" s="7"/>
      <c r="O1297" s="7"/>
      <c r="P1297" s="7"/>
      <c r="Q1297" s="7"/>
      <c r="R1297" s="7"/>
      <c r="S1297" s="7"/>
      <c r="T1297" s="7"/>
    </row>
    <row r="1298" spans="3:20" x14ac:dyDescent="0.25">
      <c r="C1298" s="7"/>
      <c r="D1298" s="7"/>
      <c r="E1298" s="7" t="s">
        <v>19</v>
      </c>
      <c r="F1298" s="7">
        <v>2020</v>
      </c>
      <c r="G1298" s="8" t="s">
        <v>20</v>
      </c>
      <c r="H1298" s="19" t="s">
        <v>87</v>
      </c>
      <c r="I1298" s="7" t="s">
        <v>88</v>
      </c>
      <c r="J1298" s="8"/>
      <c r="K1298" s="7"/>
      <c r="L1298" s="7" t="s">
        <v>27</v>
      </c>
      <c r="M1298" s="18">
        <f>'Emissions - REF'!$E$23</f>
        <v>9.3521700000000001E-4</v>
      </c>
      <c r="N1298" s="7"/>
      <c r="O1298" s="7"/>
      <c r="P1298" s="7"/>
      <c r="Q1298" s="7"/>
      <c r="R1298" s="7"/>
      <c r="S1298" s="7"/>
      <c r="T1298" s="7"/>
    </row>
    <row r="1299" spans="3:20" x14ac:dyDescent="0.25">
      <c r="C1299" s="7"/>
      <c r="D1299" s="7"/>
      <c r="E1299" s="7" t="s">
        <v>19</v>
      </c>
      <c r="F1299" s="7">
        <v>2055</v>
      </c>
      <c r="G1299" s="8" t="s">
        <v>20</v>
      </c>
      <c r="H1299" s="19" t="s">
        <v>87</v>
      </c>
      <c r="I1299" s="7" t="s">
        <v>88</v>
      </c>
      <c r="J1299" s="8"/>
      <c r="K1299" s="7"/>
      <c r="L1299" s="7" t="s">
        <v>27</v>
      </c>
      <c r="M1299" s="18">
        <f>M1298</f>
        <v>9.3521700000000001E-4</v>
      </c>
      <c r="N1299" s="7"/>
      <c r="O1299" s="7"/>
      <c r="P1299" s="7"/>
      <c r="Q1299" s="7"/>
      <c r="R1299" s="7"/>
      <c r="S1299" s="7"/>
      <c r="T1299" s="7"/>
    </row>
    <row r="1300" spans="3:20" x14ac:dyDescent="0.25">
      <c r="C1300" s="7"/>
      <c r="D1300" s="7"/>
      <c r="E1300" s="7" t="s">
        <v>19</v>
      </c>
      <c r="F1300" s="7">
        <v>2010</v>
      </c>
      <c r="G1300" s="8" t="s">
        <v>20</v>
      </c>
      <c r="H1300" s="19" t="s">
        <v>87</v>
      </c>
      <c r="I1300" s="7" t="s">
        <v>88</v>
      </c>
      <c r="J1300" s="8"/>
      <c r="K1300" s="7"/>
      <c r="L1300" s="7" t="s">
        <v>28</v>
      </c>
      <c r="M1300" s="18">
        <f>'Emissions - REF'!$C$24</f>
        <v>7.0447039999999997E-3</v>
      </c>
      <c r="N1300" s="7"/>
      <c r="O1300" s="7"/>
      <c r="P1300" s="7"/>
      <c r="Q1300" s="7"/>
      <c r="R1300" s="7"/>
      <c r="S1300" s="7"/>
      <c r="T1300" s="7"/>
    </row>
    <row r="1301" spans="3:20" x14ac:dyDescent="0.25">
      <c r="C1301" s="7"/>
      <c r="D1301" s="7"/>
      <c r="E1301" s="7" t="s">
        <v>19</v>
      </c>
      <c r="F1301" s="7">
        <v>2015</v>
      </c>
      <c r="G1301" s="8" t="s">
        <v>20</v>
      </c>
      <c r="H1301" s="19" t="s">
        <v>87</v>
      </c>
      <c r="I1301" s="7" t="s">
        <v>88</v>
      </c>
      <c r="J1301" s="8"/>
      <c r="K1301" s="7"/>
      <c r="L1301" s="7" t="s">
        <v>28</v>
      </c>
      <c r="M1301" s="18">
        <f>'Emissions - REF'!$D$24</f>
        <v>6.0507439999999994E-3</v>
      </c>
      <c r="N1301" s="7"/>
      <c r="O1301" s="7"/>
      <c r="P1301" s="7"/>
      <c r="Q1301" s="7"/>
      <c r="R1301" s="7"/>
      <c r="S1301" s="7"/>
      <c r="T1301" s="7"/>
    </row>
    <row r="1302" spans="3:20" x14ac:dyDescent="0.25">
      <c r="C1302" s="7"/>
      <c r="D1302" s="7"/>
      <c r="E1302" s="7" t="s">
        <v>19</v>
      </c>
      <c r="F1302" s="7">
        <v>2020</v>
      </c>
      <c r="G1302" s="8" t="s">
        <v>20</v>
      </c>
      <c r="H1302" s="19" t="s">
        <v>87</v>
      </c>
      <c r="I1302" s="7" t="s">
        <v>88</v>
      </c>
      <c r="J1302" s="8"/>
      <c r="K1302" s="7"/>
      <c r="L1302" s="7" t="s">
        <v>28</v>
      </c>
      <c r="M1302" s="18">
        <f>'Emissions - REF'!$E$24</f>
        <v>5.6247619999999993E-3</v>
      </c>
      <c r="N1302" s="7"/>
      <c r="O1302" s="7"/>
      <c r="P1302" s="7"/>
      <c r="Q1302" s="7"/>
      <c r="R1302" s="7"/>
      <c r="S1302" s="7"/>
      <c r="T1302" s="7"/>
    </row>
    <row r="1303" spans="3:20" x14ac:dyDescent="0.25">
      <c r="C1303" s="7"/>
      <c r="D1303" s="7"/>
      <c r="E1303" s="7" t="s">
        <v>19</v>
      </c>
      <c r="F1303" s="7">
        <v>2055</v>
      </c>
      <c r="G1303" s="8" t="s">
        <v>20</v>
      </c>
      <c r="H1303" s="19" t="s">
        <v>87</v>
      </c>
      <c r="I1303" s="7" t="s">
        <v>88</v>
      </c>
      <c r="J1303" s="8"/>
      <c r="K1303" s="7"/>
      <c r="L1303" s="7" t="s">
        <v>28</v>
      </c>
      <c r="M1303" s="18">
        <f>M1302</f>
        <v>5.6247619999999993E-3</v>
      </c>
      <c r="N1303" s="7"/>
      <c r="O1303" s="7"/>
      <c r="P1303" s="7"/>
      <c r="Q1303" s="7"/>
      <c r="R1303" s="7"/>
      <c r="S1303" s="7"/>
      <c r="T1303" s="7"/>
    </row>
    <row r="1304" spans="3:20" x14ac:dyDescent="0.25">
      <c r="C1304" s="7"/>
      <c r="D1304" s="7"/>
      <c r="E1304" s="7" t="s">
        <v>19</v>
      </c>
      <c r="F1304" s="7">
        <v>2010</v>
      </c>
      <c r="G1304" s="8" t="s">
        <v>20</v>
      </c>
      <c r="H1304" s="19" t="s">
        <v>87</v>
      </c>
      <c r="I1304" s="7" t="s">
        <v>88</v>
      </c>
      <c r="J1304" s="8"/>
      <c r="K1304" s="7"/>
      <c r="L1304" s="7" t="s">
        <v>29</v>
      </c>
      <c r="M1304" s="18">
        <f>'Emissions - REF'!$C$25</f>
        <v>1.8535099999999999E-4</v>
      </c>
      <c r="N1304" s="7"/>
      <c r="O1304" s="7"/>
      <c r="P1304" s="7"/>
      <c r="Q1304" s="7"/>
      <c r="R1304" s="7"/>
      <c r="S1304" s="7"/>
      <c r="T1304" s="7"/>
    </row>
    <row r="1305" spans="3:20" x14ac:dyDescent="0.25">
      <c r="C1305" s="7"/>
      <c r="D1305" s="7"/>
      <c r="E1305" s="7" t="s">
        <v>19</v>
      </c>
      <c r="F1305" s="7">
        <v>2015</v>
      </c>
      <c r="G1305" s="8" t="s">
        <v>20</v>
      </c>
      <c r="H1305" s="19" t="s">
        <v>87</v>
      </c>
      <c r="I1305" s="7" t="s">
        <v>88</v>
      </c>
      <c r="J1305" s="8"/>
      <c r="K1305" s="7"/>
      <c r="L1305" s="7" t="s">
        <v>29</v>
      </c>
      <c r="M1305" s="18">
        <f>'Emissions - REF'!$D$25</f>
        <v>1.8535099999999999E-4</v>
      </c>
      <c r="N1305" s="7"/>
      <c r="O1305" s="7"/>
      <c r="P1305" s="7"/>
      <c r="Q1305" s="7"/>
      <c r="R1305" s="7"/>
      <c r="S1305" s="7"/>
      <c r="T1305" s="7"/>
    </row>
    <row r="1306" spans="3:20" x14ac:dyDescent="0.25">
      <c r="C1306" s="7"/>
      <c r="D1306" s="7"/>
      <c r="E1306" s="7" t="s">
        <v>19</v>
      </c>
      <c r="F1306" s="7">
        <v>2020</v>
      </c>
      <c r="G1306" s="8" t="s">
        <v>20</v>
      </c>
      <c r="H1306" s="19" t="s">
        <v>87</v>
      </c>
      <c r="I1306" s="7" t="s">
        <v>88</v>
      </c>
      <c r="J1306" s="8"/>
      <c r="K1306" s="7"/>
      <c r="L1306" s="7" t="s">
        <v>29</v>
      </c>
      <c r="M1306" s="18">
        <f>'Emissions - REF'!$E$25</f>
        <v>1.8535099999999999E-4</v>
      </c>
      <c r="N1306" s="7"/>
      <c r="O1306" s="7"/>
      <c r="P1306" s="7"/>
      <c r="Q1306" s="7"/>
      <c r="R1306" s="7"/>
      <c r="S1306" s="7"/>
      <c r="T1306" s="7"/>
    </row>
    <row r="1307" spans="3:20" x14ac:dyDescent="0.25">
      <c r="C1307" s="7"/>
      <c r="D1307" s="7"/>
      <c r="E1307" s="7" t="s">
        <v>19</v>
      </c>
      <c r="F1307" s="7">
        <v>2055</v>
      </c>
      <c r="G1307" s="8" t="s">
        <v>20</v>
      </c>
      <c r="H1307" s="19" t="s">
        <v>87</v>
      </c>
      <c r="I1307" s="7" t="s">
        <v>88</v>
      </c>
      <c r="J1307" s="8"/>
      <c r="K1307" s="7"/>
      <c r="L1307" s="7" t="s">
        <v>29</v>
      </c>
      <c r="M1307" s="18">
        <f>M1306</f>
        <v>1.8535099999999999E-4</v>
      </c>
      <c r="N1307" s="7"/>
      <c r="O1307" s="7"/>
      <c r="P1307" s="7"/>
      <c r="Q1307" s="7"/>
      <c r="R1307" s="7"/>
      <c r="S1307" s="7"/>
      <c r="T1307" s="7"/>
    </row>
    <row r="1308" spans="3:20" x14ac:dyDescent="0.25">
      <c r="C1308" s="7"/>
      <c r="D1308" s="7"/>
      <c r="E1308" s="7" t="s">
        <v>19</v>
      </c>
      <c r="F1308" s="7">
        <v>2010</v>
      </c>
      <c r="G1308" s="8" t="s">
        <v>20</v>
      </c>
      <c r="H1308" s="19" t="s">
        <v>87</v>
      </c>
      <c r="I1308" s="7" t="s">
        <v>88</v>
      </c>
      <c r="J1308" s="8"/>
      <c r="K1308" s="7"/>
      <c r="L1308" s="7" t="s">
        <v>30</v>
      </c>
      <c r="M1308" s="18">
        <f>'Emissions - REF'!$C$26</f>
        <v>9.9716999999999994E-5</v>
      </c>
      <c r="N1308" s="7"/>
      <c r="O1308" s="7"/>
      <c r="P1308" s="7"/>
      <c r="Q1308" s="7"/>
      <c r="R1308" s="7"/>
      <c r="S1308" s="7"/>
      <c r="T1308" s="7"/>
    </row>
    <row r="1309" spans="3:20" x14ac:dyDescent="0.25">
      <c r="C1309" s="7"/>
      <c r="D1309" s="7"/>
      <c r="E1309" s="7" t="s">
        <v>19</v>
      </c>
      <c r="F1309" s="7">
        <v>2015</v>
      </c>
      <c r="G1309" s="8" t="s">
        <v>20</v>
      </c>
      <c r="H1309" s="19" t="s">
        <v>87</v>
      </c>
      <c r="I1309" s="7" t="s">
        <v>88</v>
      </c>
      <c r="J1309" s="8"/>
      <c r="K1309" s="7"/>
      <c r="L1309" s="7" t="s">
        <v>30</v>
      </c>
      <c r="M1309" s="18">
        <f>'Emissions - REF'!$D$26</f>
        <v>9.9716999999999994E-5</v>
      </c>
      <c r="N1309" s="7"/>
      <c r="O1309" s="7"/>
      <c r="P1309" s="7"/>
      <c r="Q1309" s="7"/>
      <c r="R1309" s="7"/>
      <c r="S1309" s="7"/>
      <c r="T1309" s="7"/>
    </row>
    <row r="1310" spans="3:20" x14ac:dyDescent="0.25">
      <c r="C1310" s="7"/>
      <c r="D1310" s="7"/>
      <c r="E1310" s="7" t="s">
        <v>19</v>
      </c>
      <c r="F1310" s="7">
        <v>2020</v>
      </c>
      <c r="G1310" s="8" t="s">
        <v>20</v>
      </c>
      <c r="H1310" s="19" t="s">
        <v>87</v>
      </c>
      <c r="I1310" s="7" t="s">
        <v>88</v>
      </c>
      <c r="J1310" s="8"/>
      <c r="K1310" s="7"/>
      <c r="L1310" s="7" t="s">
        <v>30</v>
      </c>
      <c r="M1310" s="18">
        <f>'Emissions - REF'!$E$26</f>
        <v>9.9716999999999994E-5</v>
      </c>
      <c r="N1310" s="7"/>
      <c r="O1310" s="7"/>
      <c r="P1310" s="7"/>
      <c r="Q1310" s="7"/>
      <c r="R1310" s="7"/>
      <c r="S1310" s="7"/>
      <c r="T1310" s="7"/>
    </row>
    <row r="1311" spans="3:20" x14ac:dyDescent="0.25">
      <c r="C1311" s="7"/>
      <c r="D1311" s="7"/>
      <c r="E1311" s="7" t="s">
        <v>19</v>
      </c>
      <c r="F1311" s="7">
        <v>2055</v>
      </c>
      <c r="G1311" s="8" t="s">
        <v>20</v>
      </c>
      <c r="H1311" s="19" t="s">
        <v>87</v>
      </c>
      <c r="I1311" s="7" t="s">
        <v>88</v>
      </c>
      <c r="J1311" s="8"/>
      <c r="K1311" s="7"/>
      <c r="L1311" s="7" t="s">
        <v>30</v>
      </c>
      <c r="M1311" s="18">
        <f>M1310</f>
        <v>9.9716999999999994E-5</v>
      </c>
      <c r="N1311" s="7"/>
      <c r="O1311" s="7"/>
      <c r="P1311" s="7"/>
      <c r="Q1311" s="7"/>
      <c r="R1311" s="7"/>
      <c r="S1311" s="7"/>
      <c r="T1311" s="7"/>
    </row>
    <row r="1312" spans="3:20" x14ac:dyDescent="0.25">
      <c r="C1312" s="7"/>
      <c r="D1312" s="7"/>
      <c r="E1312" s="7" t="s">
        <v>19</v>
      </c>
      <c r="F1312" s="7">
        <v>2010</v>
      </c>
      <c r="G1312" s="8" t="s">
        <v>20</v>
      </c>
      <c r="H1312" s="19" t="s">
        <v>87</v>
      </c>
      <c r="I1312" s="7" t="s">
        <v>88</v>
      </c>
      <c r="J1312" s="8"/>
      <c r="K1312" s="7"/>
      <c r="L1312" s="7" t="s">
        <v>31</v>
      </c>
      <c r="M1312" s="7">
        <v>1E-4</v>
      </c>
      <c r="N1312" s="7"/>
      <c r="O1312" s="7"/>
      <c r="P1312" s="7"/>
      <c r="Q1312" s="7"/>
      <c r="R1312" s="7"/>
      <c r="S1312" s="7"/>
      <c r="T1312" s="7"/>
    </row>
    <row r="1313" spans="3:20" x14ac:dyDescent="0.25">
      <c r="C1313" s="7"/>
      <c r="D1313" s="7"/>
      <c r="E1313" s="7" t="s">
        <v>19</v>
      </c>
      <c r="F1313" s="7">
        <v>2015</v>
      </c>
      <c r="G1313" s="8" t="s">
        <v>20</v>
      </c>
      <c r="H1313" s="19" t="s">
        <v>87</v>
      </c>
      <c r="I1313" s="7" t="s">
        <v>88</v>
      </c>
      <c r="J1313" s="8"/>
      <c r="K1313" s="7"/>
      <c r="L1313" s="7" t="s">
        <v>31</v>
      </c>
      <c r="M1313" s="7">
        <f>M1312</f>
        <v>1E-4</v>
      </c>
      <c r="N1313" s="7"/>
      <c r="O1313" s="7"/>
      <c r="P1313" s="7"/>
      <c r="Q1313" s="7"/>
      <c r="R1313" s="7"/>
      <c r="S1313" s="7"/>
      <c r="T1313" s="7"/>
    </row>
    <row r="1314" spans="3:20" x14ac:dyDescent="0.25">
      <c r="C1314" s="7"/>
      <c r="D1314" s="7"/>
      <c r="E1314" s="7" t="s">
        <v>19</v>
      </c>
      <c r="F1314" s="7">
        <v>2020</v>
      </c>
      <c r="G1314" s="8" t="s">
        <v>20</v>
      </c>
      <c r="H1314" s="19" t="s">
        <v>87</v>
      </c>
      <c r="I1314" s="7" t="s">
        <v>88</v>
      </c>
      <c r="J1314" s="8"/>
      <c r="K1314" s="7"/>
      <c r="L1314" s="7" t="s">
        <v>31</v>
      </c>
      <c r="M1314" s="7">
        <f t="shared" ref="M1314:M1315" si="238">M1313</f>
        <v>1E-4</v>
      </c>
      <c r="N1314" s="7"/>
      <c r="O1314" s="7"/>
      <c r="P1314" s="7"/>
      <c r="Q1314" s="7"/>
      <c r="R1314" s="7"/>
      <c r="S1314" s="7"/>
      <c r="T1314" s="7"/>
    </row>
    <row r="1315" spans="3:20" x14ac:dyDescent="0.25">
      <c r="C1315" s="7"/>
      <c r="D1315" s="7"/>
      <c r="E1315" s="7" t="s">
        <v>19</v>
      </c>
      <c r="F1315" s="7">
        <v>2055</v>
      </c>
      <c r="G1315" s="8" t="s">
        <v>20</v>
      </c>
      <c r="H1315" s="19" t="s">
        <v>87</v>
      </c>
      <c r="I1315" s="7" t="s">
        <v>88</v>
      </c>
      <c r="J1315" s="8"/>
      <c r="K1315" s="7"/>
      <c r="L1315" s="7" t="s">
        <v>31</v>
      </c>
      <c r="M1315" s="7">
        <f t="shared" si="238"/>
        <v>1E-4</v>
      </c>
      <c r="N1315" s="7"/>
      <c r="O1315" s="7"/>
      <c r="P1315" s="7"/>
      <c r="Q1315" s="7"/>
      <c r="R1315" s="7"/>
      <c r="S1315" s="7"/>
      <c r="T1315" s="7"/>
    </row>
    <row r="1316" spans="3:20" x14ac:dyDescent="0.25">
      <c r="C1316" s="7"/>
      <c r="D1316" s="7"/>
      <c r="E1316" s="7" t="s">
        <v>19</v>
      </c>
      <c r="F1316" s="7">
        <v>2010</v>
      </c>
      <c r="G1316" s="8" t="s">
        <v>20</v>
      </c>
      <c r="H1316" s="19" t="s">
        <v>87</v>
      </c>
      <c r="I1316" s="7" t="s">
        <v>88</v>
      </c>
      <c r="J1316" s="8"/>
      <c r="K1316" s="7"/>
      <c r="L1316" s="7" t="s">
        <v>32</v>
      </c>
      <c r="M1316" s="7">
        <v>2.0000000000000001E-4</v>
      </c>
      <c r="N1316" s="7"/>
      <c r="O1316" s="7"/>
      <c r="P1316" s="7"/>
      <c r="Q1316" s="7"/>
      <c r="R1316" s="7"/>
      <c r="S1316" s="7"/>
      <c r="T1316" s="7"/>
    </row>
    <row r="1317" spans="3:20" x14ac:dyDescent="0.25">
      <c r="C1317" s="7"/>
      <c r="D1317" s="7"/>
      <c r="E1317" s="7" t="s">
        <v>19</v>
      </c>
      <c r="F1317" s="7">
        <v>2015</v>
      </c>
      <c r="G1317" s="8" t="s">
        <v>20</v>
      </c>
      <c r="H1317" s="19" t="s">
        <v>87</v>
      </c>
      <c r="I1317" s="7" t="s">
        <v>88</v>
      </c>
      <c r="J1317" s="8"/>
      <c r="K1317" s="7"/>
      <c r="L1317" s="7" t="s">
        <v>32</v>
      </c>
      <c r="M1317" s="7">
        <f>M1316</f>
        <v>2.0000000000000001E-4</v>
      </c>
      <c r="N1317" s="7"/>
      <c r="O1317" s="7"/>
      <c r="P1317" s="7"/>
      <c r="Q1317" s="7"/>
      <c r="R1317" s="7"/>
      <c r="S1317" s="7"/>
      <c r="T1317" s="7"/>
    </row>
    <row r="1318" spans="3:20" x14ac:dyDescent="0.25">
      <c r="C1318" s="7"/>
      <c r="D1318" s="7"/>
      <c r="E1318" s="7" t="s">
        <v>19</v>
      </c>
      <c r="F1318" s="7">
        <v>2020</v>
      </c>
      <c r="G1318" s="8" t="s">
        <v>20</v>
      </c>
      <c r="H1318" s="19" t="s">
        <v>87</v>
      </c>
      <c r="I1318" s="7" t="s">
        <v>88</v>
      </c>
      <c r="J1318" s="8"/>
      <c r="K1318" s="7"/>
      <c r="L1318" s="7" t="s">
        <v>32</v>
      </c>
      <c r="M1318" s="7">
        <f t="shared" ref="M1318:M1319" si="239">M1317</f>
        <v>2.0000000000000001E-4</v>
      </c>
      <c r="N1318" s="7"/>
      <c r="O1318" s="7"/>
      <c r="P1318" s="7"/>
      <c r="Q1318" s="7"/>
      <c r="R1318" s="7"/>
      <c r="S1318" s="7"/>
      <c r="T1318" s="7"/>
    </row>
    <row r="1319" spans="3:20" x14ac:dyDescent="0.25">
      <c r="C1319" s="7"/>
      <c r="D1319" s="7"/>
      <c r="E1319" s="7" t="s">
        <v>19</v>
      </c>
      <c r="F1319" s="7">
        <v>2055</v>
      </c>
      <c r="G1319" s="8" t="s">
        <v>20</v>
      </c>
      <c r="H1319" s="19" t="s">
        <v>87</v>
      </c>
      <c r="I1319" s="7" t="s">
        <v>88</v>
      </c>
      <c r="J1319" s="8"/>
      <c r="K1319" s="7"/>
      <c r="L1319" s="7" t="s">
        <v>32</v>
      </c>
      <c r="M1319" s="7">
        <f t="shared" si="239"/>
        <v>2.0000000000000001E-4</v>
      </c>
      <c r="N1319" s="7"/>
      <c r="O1319" s="7"/>
      <c r="P1319" s="7"/>
      <c r="Q1319" s="7"/>
      <c r="R1319" s="7"/>
      <c r="S1319" s="7"/>
      <c r="T1319" s="7"/>
    </row>
    <row r="1320" spans="3:20" x14ac:dyDescent="0.25">
      <c r="C1320" s="7"/>
      <c r="D1320" s="7"/>
      <c r="E1320" s="7" t="s">
        <v>19</v>
      </c>
      <c r="F1320" s="7">
        <v>2010</v>
      </c>
      <c r="G1320" s="8" t="s">
        <v>20</v>
      </c>
      <c r="H1320" s="19" t="s">
        <v>87</v>
      </c>
      <c r="I1320" s="7" t="s">
        <v>88</v>
      </c>
      <c r="J1320" s="8"/>
      <c r="K1320" s="7"/>
      <c r="L1320" s="7" t="s">
        <v>46</v>
      </c>
      <c r="M1320" s="18">
        <f>M1288</f>
        <v>8.107528000000001E-3</v>
      </c>
      <c r="N1320" s="7"/>
      <c r="O1320" s="7"/>
      <c r="P1320" s="7"/>
      <c r="Q1320" s="7"/>
      <c r="R1320" s="7"/>
      <c r="S1320" s="7"/>
      <c r="T1320" s="7"/>
    </row>
    <row r="1321" spans="3:20" x14ac:dyDescent="0.25">
      <c r="C1321" s="7"/>
      <c r="D1321" s="7"/>
      <c r="E1321" s="7" t="s">
        <v>19</v>
      </c>
      <c r="F1321" s="7">
        <v>2015</v>
      </c>
      <c r="G1321" s="8" t="s">
        <v>20</v>
      </c>
      <c r="H1321" s="19" t="s">
        <v>87</v>
      </c>
      <c r="I1321" s="7" t="s">
        <v>88</v>
      </c>
      <c r="J1321" s="8"/>
      <c r="K1321" s="7"/>
      <c r="L1321" s="7" t="s">
        <v>46</v>
      </c>
      <c r="M1321" s="18">
        <f t="shared" ref="M1321:M1323" si="240">M1289</f>
        <v>7.1944629999999999E-3</v>
      </c>
      <c r="N1321" s="7"/>
      <c r="O1321" s="7"/>
      <c r="P1321" s="7"/>
      <c r="Q1321" s="7"/>
      <c r="R1321" s="7"/>
      <c r="S1321" s="7"/>
      <c r="T1321" s="7"/>
    </row>
    <row r="1322" spans="3:20" x14ac:dyDescent="0.25">
      <c r="C1322" s="7"/>
      <c r="D1322" s="7"/>
      <c r="E1322" s="7" t="s">
        <v>19</v>
      </c>
      <c r="F1322" s="7">
        <v>2020</v>
      </c>
      <c r="G1322" s="8" t="s">
        <v>20</v>
      </c>
      <c r="H1322" s="19" t="s">
        <v>87</v>
      </c>
      <c r="I1322" s="7" t="s">
        <v>88</v>
      </c>
      <c r="J1322" s="8"/>
      <c r="K1322" s="7"/>
      <c r="L1322" s="7" t="s">
        <v>46</v>
      </c>
      <c r="M1322" s="18">
        <f t="shared" si="240"/>
        <v>6.805841E-3</v>
      </c>
      <c r="N1322" s="7"/>
      <c r="O1322" s="7"/>
      <c r="P1322" s="7"/>
      <c r="Q1322" s="7"/>
      <c r="R1322" s="7"/>
      <c r="S1322" s="7"/>
      <c r="T1322" s="7"/>
    </row>
    <row r="1323" spans="3:20" x14ac:dyDescent="0.25">
      <c r="C1323" s="7"/>
      <c r="D1323" s="7"/>
      <c r="E1323" s="7" t="s">
        <v>19</v>
      </c>
      <c r="F1323" s="7">
        <v>2055</v>
      </c>
      <c r="G1323" s="8" t="s">
        <v>20</v>
      </c>
      <c r="H1323" s="19" t="s">
        <v>87</v>
      </c>
      <c r="I1323" s="7" t="s">
        <v>88</v>
      </c>
      <c r="J1323" s="8"/>
      <c r="K1323" s="7"/>
      <c r="L1323" s="7" t="s">
        <v>46</v>
      </c>
      <c r="M1323" s="18">
        <f t="shared" si="240"/>
        <v>6.805841E-3</v>
      </c>
      <c r="N1323" s="7"/>
      <c r="O1323" s="7"/>
      <c r="P1323" s="7"/>
      <c r="Q1323" s="7"/>
      <c r="R1323" s="7"/>
      <c r="S1323" s="7"/>
      <c r="T1323" s="7"/>
    </row>
    <row r="1324" spans="3:20" x14ac:dyDescent="0.25">
      <c r="C1324" s="7"/>
      <c r="D1324" s="7"/>
      <c r="E1324" s="7" t="s">
        <v>19</v>
      </c>
      <c r="F1324" s="7">
        <v>2010</v>
      </c>
      <c r="G1324" s="8" t="s">
        <v>20</v>
      </c>
      <c r="H1324" s="19" t="s">
        <v>87</v>
      </c>
      <c r="I1324" s="7" t="s">
        <v>88</v>
      </c>
      <c r="J1324" s="8"/>
      <c r="K1324" s="7"/>
      <c r="L1324" s="7" t="s">
        <v>47</v>
      </c>
      <c r="M1324" s="18">
        <f>M1300</f>
        <v>7.0447039999999997E-3</v>
      </c>
      <c r="N1324" s="7"/>
      <c r="O1324" s="7"/>
      <c r="P1324" s="7"/>
      <c r="Q1324" s="7"/>
      <c r="R1324" s="7"/>
      <c r="S1324" s="7"/>
      <c r="T1324" s="7"/>
    </row>
    <row r="1325" spans="3:20" x14ac:dyDescent="0.25">
      <c r="C1325" s="7"/>
      <c r="D1325" s="7"/>
      <c r="E1325" s="7" t="s">
        <v>19</v>
      </c>
      <c r="F1325" s="7">
        <v>2015</v>
      </c>
      <c r="G1325" s="8" t="s">
        <v>20</v>
      </c>
      <c r="H1325" s="19" t="s">
        <v>87</v>
      </c>
      <c r="I1325" s="7" t="s">
        <v>88</v>
      </c>
      <c r="J1325" s="8"/>
      <c r="K1325" s="7"/>
      <c r="L1325" s="7" t="s">
        <v>47</v>
      </c>
      <c r="M1325" s="18">
        <f t="shared" ref="M1325:M1327" si="241">M1301</f>
        <v>6.0507439999999994E-3</v>
      </c>
      <c r="N1325" s="7"/>
      <c r="O1325" s="7"/>
      <c r="P1325" s="7"/>
      <c r="Q1325" s="7"/>
      <c r="R1325" s="7"/>
      <c r="S1325" s="7"/>
      <c r="T1325" s="7"/>
    </row>
    <row r="1326" spans="3:20" x14ac:dyDescent="0.25">
      <c r="C1326" s="7"/>
      <c r="D1326" s="7"/>
      <c r="E1326" s="7" t="s">
        <v>19</v>
      </c>
      <c r="F1326" s="7">
        <v>2020</v>
      </c>
      <c r="G1326" s="8" t="s">
        <v>20</v>
      </c>
      <c r="H1326" s="19" t="s">
        <v>87</v>
      </c>
      <c r="I1326" s="7" t="s">
        <v>88</v>
      </c>
      <c r="J1326" s="8"/>
      <c r="K1326" s="7"/>
      <c r="L1326" s="7" t="s">
        <v>47</v>
      </c>
      <c r="M1326" s="18">
        <f t="shared" si="241"/>
        <v>5.6247619999999993E-3</v>
      </c>
      <c r="N1326" s="7"/>
      <c r="O1326" s="7"/>
      <c r="P1326" s="7"/>
      <c r="Q1326" s="7"/>
      <c r="R1326" s="7"/>
      <c r="S1326" s="7"/>
      <c r="T1326" s="7"/>
    </row>
    <row r="1327" spans="3:20" x14ac:dyDescent="0.25">
      <c r="C1327" s="7"/>
      <c r="D1327" s="7"/>
      <c r="E1327" s="7" t="s">
        <v>19</v>
      </c>
      <c r="F1327" s="7">
        <v>2055</v>
      </c>
      <c r="G1327" s="8" t="s">
        <v>20</v>
      </c>
      <c r="H1327" s="19" t="s">
        <v>87</v>
      </c>
      <c r="I1327" s="7" t="s">
        <v>88</v>
      </c>
      <c r="J1327" s="8"/>
      <c r="K1327" s="7"/>
      <c r="L1327" s="7" t="s">
        <v>47</v>
      </c>
      <c r="M1327" s="18">
        <f t="shared" si="241"/>
        <v>5.6247619999999993E-3</v>
      </c>
      <c r="N1327" s="7"/>
      <c r="O1327" s="7"/>
      <c r="P1327" s="7"/>
      <c r="Q1327" s="7"/>
      <c r="R1327" s="7"/>
      <c r="S1327" s="7"/>
      <c r="T1327" s="7"/>
    </row>
    <row r="1328" spans="3:20" x14ac:dyDescent="0.25">
      <c r="C1328" s="7"/>
      <c r="D1328" s="7"/>
      <c r="E1328" s="7" t="s">
        <v>19</v>
      </c>
      <c r="F1328" s="7">
        <v>2010</v>
      </c>
      <c r="G1328" s="8" t="s">
        <v>20</v>
      </c>
      <c r="H1328" s="19" t="s">
        <v>87</v>
      </c>
      <c r="I1328" s="7" t="s">
        <v>88</v>
      </c>
      <c r="J1328" s="8"/>
      <c r="K1328" s="7"/>
      <c r="L1328" s="7" t="s">
        <v>48</v>
      </c>
      <c r="M1328" s="18">
        <f>M1292</f>
        <v>1.9396579999999999E-3</v>
      </c>
      <c r="N1328" s="7"/>
      <c r="O1328" s="7"/>
      <c r="P1328" s="7"/>
      <c r="Q1328" s="7"/>
      <c r="R1328" s="7"/>
      <c r="S1328" s="7"/>
      <c r="T1328" s="7"/>
    </row>
    <row r="1329" spans="3:20" x14ac:dyDescent="0.25">
      <c r="C1329" s="7"/>
      <c r="D1329" s="7"/>
      <c r="E1329" s="7" t="s">
        <v>19</v>
      </c>
      <c r="F1329" s="7">
        <v>2015</v>
      </c>
      <c r="G1329" s="8" t="s">
        <v>20</v>
      </c>
      <c r="H1329" s="19" t="s">
        <v>87</v>
      </c>
      <c r="I1329" s="7" t="s">
        <v>88</v>
      </c>
      <c r="J1329" s="8"/>
      <c r="K1329" s="7"/>
      <c r="L1329" s="7" t="s">
        <v>48</v>
      </c>
      <c r="M1329" s="18">
        <f t="shared" ref="M1329:M1331" si="242">M1293</f>
        <v>1.7263549999999999E-3</v>
      </c>
      <c r="N1329" s="7"/>
      <c r="O1329" s="7"/>
      <c r="P1329" s="7"/>
      <c r="Q1329" s="7"/>
      <c r="R1329" s="7"/>
      <c r="S1329" s="7"/>
      <c r="T1329" s="7"/>
    </row>
    <row r="1330" spans="3:20" x14ac:dyDescent="0.25">
      <c r="C1330" s="7"/>
      <c r="D1330" s="7"/>
      <c r="E1330" s="7" t="s">
        <v>19</v>
      </c>
      <c r="F1330" s="7">
        <v>2020</v>
      </c>
      <c r="G1330" s="8" t="s">
        <v>20</v>
      </c>
      <c r="H1330" s="19" t="s">
        <v>87</v>
      </c>
      <c r="I1330" s="7" t="s">
        <v>88</v>
      </c>
      <c r="J1330" s="8"/>
      <c r="K1330" s="7"/>
      <c r="L1330" s="7" t="s">
        <v>48</v>
      </c>
      <c r="M1330" s="18">
        <f t="shared" si="242"/>
        <v>1.6551929999999999E-3</v>
      </c>
      <c r="N1330" s="7"/>
      <c r="O1330" s="7"/>
      <c r="P1330" s="7"/>
      <c r="Q1330" s="7"/>
      <c r="R1330" s="7"/>
      <c r="S1330" s="7"/>
      <c r="T1330" s="7"/>
    </row>
    <row r="1331" spans="3:20" x14ac:dyDescent="0.25">
      <c r="C1331" s="7"/>
      <c r="D1331" s="7"/>
      <c r="E1331" s="7" t="s">
        <v>19</v>
      </c>
      <c r="F1331" s="7">
        <v>2055</v>
      </c>
      <c r="G1331" s="8" t="s">
        <v>20</v>
      </c>
      <c r="H1331" s="19" t="s">
        <v>87</v>
      </c>
      <c r="I1331" s="7" t="s">
        <v>88</v>
      </c>
      <c r="J1331" s="8"/>
      <c r="K1331" s="7"/>
      <c r="L1331" s="7" t="s">
        <v>48</v>
      </c>
      <c r="M1331" s="18">
        <f t="shared" si="242"/>
        <v>1.6551929999999999E-3</v>
      </c>
      <c r="N1331" s="7"/>
      <c r="O1331" s="7"/>
      <c r="P1331" s="7"/>
      <c r="Q1331" s="7"/>
      <c r="R1331" s="7"/>
      <c r="S1331" s="7"/>
      <c r="T1331" s="7"/>
    </row>
    <row r="1332" spans="3:20" x14ac:dyDescent="0.25">
      <c r="C1332" s="7"/>
      <c r="D1332" s="7"/>
      <c r="E1332" s="7" t="s">
        <v>19</v>
      </c>
      <c r="F1332" s="7">
        <v>2010</v>
      </c>
      <c r="G1332" s="8" t="s">
        <v>20</v>
      </c>
      <c r="H1332" s="19" t="s">
        <v>87</v>
      </c>
      <c r="I1332" s="7" t="s">
        <v>88</v>
      </c>
      <c r="J1332" s="8"/>
      <c r="K1332" s="7"/>
      <c r="L1332" s="7" t="s">
        <v>49</v>
      </c>
      <c r="M1332" s="7">
        <f>'Emissions - REF'!$C$27</f>
        <v>6.1003237490000002</v>
      </c>
      <c r="N1332" s="7"/>
      <c r="O1332" s="7"/>
      <c r="P1332" s="7"/>
      <c r="Q1332" s="7"/>
      <c r="R1332" s="7"/>
      <c r="S1332" s="7"/>
      <c r="T1332" s="7"/>
    </row>
    <row r="1333" spans="3:20" x14ac:dyDescent="0.25">
      <c r="C1333" s="7"/>
      <c r="D1333" s="7"/>
      <c r="E1333" s="7" t="s">
        <v>19</v>
      </c>
      <c r="F1333" s="7">
        <v>2015</v>
      </c>
      <c r="G1333" s="8" t="s">
        <v>20</v>
      </c>
      <c r="H1333" s="19" t="s">
        <v>87</v>
      </c>
      <c r="I1333" s="7" t="s">
        <v>88</v>
      </c>
      <c r="J1333" s="8"/>
      <c r="K1333" s="7"/>
      <c r="L1333" s="7" t="s">
        <v>49</v>
      </c>
      <c r="M1333" s="7">
        <f>'Emissions - REF'!$D$27</f>
        <v>6.1003237490000002</v>
      </c>
      <c r="N1333" s="7"/>
      <c r="O1333" s="7"/>
      <c r="P1333" s="7"/>
      <c r="Q1333" s="7"/>
      <c r="R1333" s="7"/>
      <c r="S1333" s="7"/>
      <c r="T1333" s="7"/>
    </row>
    <row r="1334" spans="3:20" x14ac:dyDescent="0.25">
      <c r="C1334" s="7"/>
      <c r="D1334" s="7"/>
      <c r="E1334" s="7" t="s">
        <v>19</v>
      </c>
      <c r="F1334" s="7">
        <v>2020</v>
      </c>
      <c r="G1334" s="8" t="s">
        <v>20</v>
      </c>
      <c r="H1334" s="19" t="s">
        <v>87</v>
      </c>
      <c r="I1334" s="7" t="s">
        <v>88</v>
      </c>
      <c r="J1334" s="8"/>
      <c r="K1334" s="7"/>
      <c r="L1334" s="7" t="s">
        <v>49</v>
      </c>
      <c r="M1334" s="7">
        <f>'Emissions - REF'!$E$27</f>
        <v>6.1003237490000002</v>
      </c>
      <c r="N1334" s="7"/>
      <c r="O1334" s="7"/>
      <c r="P1334" s="7"/>
      <c r="Q1334" s="7"/>
      <c r="R1334" s="7"/>
      <c r="S1334" s="7"/>
      <c r="T1334" s="7"/>
    </row>
    <row r="1335" spans="3:20" x14ac:dyDescent="0.25">
      <c r="C1335" s="7"/>
      <c r="D1335" s="7"/>
      <c r="E1335" s="7" t="s">
        <v>19</v>
      </c>
      <c r="F1335" s="7">
        <v>2055</v>
      </c>
      <c r="G1335" s="8" t="s">
        <v>20</v>
      </c>
      <c r="H1335" s="19" t="s">
        <v>87</v>
      </c>
      <c r="I1335" s="7" t="s">
        <v>88</v>
      </c>
      <c r="J1335" s="8"/>
      <c r="K1335" s="7"/>
      <c r="L1335" s="7" t="s">
        <v>49</v>
      </c>
      <c r="M1335" s="7">
        <f>M1334</f>
        <v>6.1003237490000002</v>
      </c>
      <c r="N1335" s="7"/>
      <c r="O1335" s="7"/>
      <c r="P1335" s="7"/>
      <c r="Q1335" s="7"/>
      <c r="R1335" s="7"/>
      <c r="S1335" s="7"/>
      <c r="T1335" s="7"/>
    </row>
    <row r="1336" spans="3:20" x14ac:dyDescent="0.25">
      <c r="C1336" s="7"/>
      <c r="D1336" s="7"/>
      <c r="E1336" s="7" t="s">
        <v>19</v>
      </c>
      <c r="F1336" s="7">
        <v>2010</v>
      </c>
      <c r="G1336" s="8" t="s">
        <v>20</v>
      </c>
      <c r="H1336" s="19" t="s">
        <v>87</v>
      </c>
      <c r="I1336" s="7" t="s">
        <v>88</v>
      </c>
      <c r="J1336" s="8"/>
      <c r="K1336" s="7"/>
      <c r="L1336" s="7" t="s">
        <v>50</v>
      </c>
      <c r="M1336" s="18">
        <f>M1320</f>
        <v>8.107528000000001E-3</v>
      </c>
      <c r="N1336" s="7"/>
      <c r="O1336" s="7"/>
      <c r="P1336" s="7"/>
      <c r="Q1336" s="7"/>
      <c r="R1336" s="7"/>
      <c r="S1336" s="7"/>
      <c r="T1336" s="7"/>
    </row>
    <row r="1337" spans="3:20" x14ac:dyDescent="0.25">
      <c r="C1337" s="7"/>
      <c r="D1337" s="7"/>
      <c r="E1337" s="7" t="s">
        <v>19</v>
      </c>
      <c r="F1337" s="7">
        <v>2015</v>
      </c>
      <c r="G1337" s="8" t="s">
        <v>20</v>
      </c>
      <c r="H1337" s="19" t="s">
        <v>87</v>
      </c>
      <c r="I1337" s="7" t="s">
        <v>88</v>
      </c>
      <c r="J1337" s="8"/>
      <c r="K1337" s="7"/>
      <c r="L1337" s="7" t="s">
        <v>50</v>
      </c>
      <c r="M1337" s="18">
        <f t="shared" ref="M1337:M1339" si="243">M1321</f>
        <v>7.1944629999999999E-3</v>
      </c>
      <c r="N1337" s="7"/>
      <c r="O1337" s="7"/>
      <c r="P1337" s="7"/>
      <c r="Q1337" s="7"/>
      <c r="R1337" s="7"/>
      <c r="S1337" s="7"/>
      <c r="T1337" s="7"/>
    </row>
    <row r="1338" spans="3:20" x14ac:dyDescent="0.25">
      <c r="C1338" s="7"/>
      <c r="D1338" s="7"/>
      <c r="E1338" s="7" t="s">
        <v>19</v>
      </c>
      <c r="F1338" s="7">
        <v>2020</v>
      </c>
      <c r="G1338" s="8" t="s">
        <v>20</v>
      </c>
      <c r="H1338" s="19" t="s">
        <v>87</v>
      </c>
      <c r="I1338" s="7" t="s">
        <v>88</v>
      </c>
      <c r="J1338" s="8"/>
      <c r="K1338" s="7"/>
      <c r="L1338" s="7" t="s">
        <v>50</v>
      </c>
      <c r="M1338" s="18">
        <f t="shared" si="243"/>
        <v>6.805841E-3</v>
      </c>
      <c r="N1338" s="7"/>
      <c r="O1338" s="7"/>
      <c r="P1338" s="7"/>
      <c r="Q1338" s="7"/>
      <c r="R1338" s="7"/>
      <c r="S1338" s="7"/>
      <c r="T1338" s="7"/>
    </row>
    <row r="1339" spans="3:20" x14ac:dyDescent="0.25">
      <c r="C1339" s="7"/>
      <c r="D1339" s="7"/>
      <c r="E1339" s="7" t="s">
        <v>19</v>
      </c>
      <c r="F1339" s="7">
        <v>2055</v>
      </c>
      <c r="G1339" s="8" t="s">
        <v>20</v>
      </c>
      <c r="H1339" s="19" t="s">
        <v>87</v>
      </c>
      <c r="I1339" s="7" t="s">
        <v>88</v>
      </c>
      <c r="J1339" s="8"/>
      <c r="K1339" s="7"/>
      <c r="L1339" s="7" t="s">
        <v>50</v>
      </c>
      <c r="M1339" s="18">
        <f t="shared" si="243"/>
        <v>6.805841E-3</v>
      </c>
      <c r="N1339" s="7"/>
      <c r="O1339" s="7"/>
      <c r="P1339" s="7"/>
      <c r="Q1339" s="7"/>
      <c r="R1339" s="7"/>
      <c r="S1339" s="7"/>
      <c r="T1339" s="7"/>
    </row>
    <row r="1340" spans="3:20" x14ac:dyDescent="0.25">
      <c r="C1340" s="15" t="s">
        <v>33</v>
      </c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06E7-CCE0-434C-A156-C178058F065B}">
  <sheetPr>
    <tabColor theme="7"/>
  </sheetPr>
  <dimension ref="A2:Z349"/>
  <sheetViews>
    <sheetView showFormulas="1" topLeftCell="A325" zoomScale="70" zoomScaleNormal="70" workbookViewId="0">
      <selection activeCell="N195" sqref="N195"/>
    </sheetView>
  </sheetViews>
  <sheetFormatPr defaultRowHeight="15" x14ac:dyDescent="0.25"/>
  <cols>
    <col min="3" max="3" width="9.85546875" bestFit="1" customWidth="1"/>
    <col min="4" max="4" width="8.42578125" bestFit="1" customWidth="1"/>
    <col min="5" max="5" width="9.85546875" bestFit="1" customWidth="1"/>
    <col min="6" max="6" width="5.5703125" bestFit="1" customWidth="1"/>
    <col min="7" max="7" width="13.85546875" bestFit="1" customWidth="1"/>
    <col min="8" max="8" width="13.5703125" bestFit="1" customWidth="1"/>
    <col min="9" max="9" width="8.5703125" bestFit="1" customWidth="1"/>
    <col min="10" max="10" width="9.5703125" bestFit="1" customWidth="1"/>
    <col min="11" max="11" width="8.42578125" bestFit="1" customWidth="1"/>
    <col min="12" max="12" width="8.5703125" bestFit="1" customWidth="1"/>
    <col min="13" max="13" width="11.5703125" bestFit="1" customWidth="1"/>
    <col min="14" max="14" width="7" bestFit="1" customWidth="1"/>
    <col min="15" max="15" width="6.5703125" bestFit="1" customWidth="1"/>
    <col min="16" max="20" width="4.5703125" bestFit="1" customWidth="1"/>
    <col min="23" max="23" width="11.140625" bestFit="1" customWidth="1"/>
  </cols>
  <sheetData>
    <row r="2" spans="1:26" s="1" customFormat="1" ht="12.75" x14ac:dyDescent="0.2">
      <c r="A2" s="127"/>
      <c r="B2" s="127"/>
      <c r="C2" s="2" t="s">
        <v>0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s="3" customFormat="1" ht="13.5" thickBot="1" x14ac:dyDescent="0.25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16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6"/>
      <c r="V3" s="6"/>
      <c r="W3" s="6"/>
      <c r="X3" s="6"/>
      <c r="Y3" s="6"/>
      <c r="Z3" s="6"/>
    </row>
    <row r="4" spans="1:26" s="1" customFormat="1" ht="12.75" x14ac:dyDescent="0.2">
      <c r="A4" s="2"/>
      <c r="B4" s="127"/>
      <c r="C4" s="7"/>
      <c r="D4" s="7"/>
      <c r="E4" s="7" t="s">
        <v>19</v>
      </c>
      <c r="F4" s="7"/>
      <c r="G4" s="8" t="s">
        <v>20</v>
      </c>
      <c r="H4" s="7" t="s">
        <v>89</v>
      </c>
      <c r="I4" s="7"/>
      <c r="J4" s="8"/>
      <c r="K4" s="7"/>
      <c r="L4" s="7" t="s">
        <v>28</v>
      </c>
      <c r="M4" s="31"/>
      <c r="N4" s="31"/>
      <c r="O4" s="31">
        <f>'Retrofit - ELC'!C6-'Retrofit - ELC'!$D$6</f>
        <v>-1.1268507876833302</v>
      </c>
      <c r="P4" s="31"/>
      <c r="Q4" s="31"/>
      <c r="R4" s="31"/>
      <c r="S4" s="31"/>
      <c r="T4" s="31"/>
      <c r="U4" s="127"/>
      <c r="V4" s="127"/>
      <c r="W4" s="127"/>
      <c r="X4" s="127"/>
      <c r="Y4" s="127"/>
      <c r="Z4" s="127"/>
    </row>
    <row r="5" spans="1:26" x14ac:dyDescent="0.25">
      <c r="C5" s="7"/>
      <c r="D5" s="7"/>
      <c r="E5" s="7" t="s">
        <v>19</v>
      </c>
      <c r="F5" s="7"/>
      <c r="G5" s="8" t="s">
        <v>20</v>
      </c>
      <c r="H5" s="7" t="s">
        <v>90</v>
      </c>
      <c r="I5" s="7"/>
      <c r="J5" s="8"/>
      <c r="K5" s="7"/>
      <c r="L5" s="7" t="s">
        <v>28</v>
      </c>
      <c r="M5" s="32"/>
      <c r="N5" s="31"/>
      <c r="O5" s="31">
        <f>'Retrofit - ELC'!$E$6-'Retrofit - ELC'!$F$6</f>
        <v>-0.50478578598764912</v>
      </c>
      <c r="P5" s="31"/>
      <c r="Q5" s="31"/>
      <c r="R5" s="31"/>
      <c r="S5" s="31"/>
      <c r="T5" s="31"/>
    </row>
    <row r="6" spans="1:26" x14ac:dyDescent="0.25">
      <c r="C6" s="7"/>
      <c r="D6" s="7"/>
      <c r="E6" s="7" t="s">
        <v>19</v>
      </c>
      <c r="F6" s="7"/>
      <c r="G6" s="8" t="s">
        <v>20</v>
      </c>
      <c r="H6" s="30" t="s">
        <v>91</v>
      </c>
      <c r="I6" s="30"/>
      <c r="J6" s="30"/>
      <c r="K6" s="30"/>
      <c r="L6" s="7" t="s">
        <v>28</v>
      </c>
      <c r="M6" s="32"/>
      <c r="N6" s="32"/>
      <c r="O6" s="31">
        <f>'Retrofit - ELC'!$G$6-'Retrofit - ELC'!$H$6</f>
        <v>-0.1401098608218439</v>
      </c>
      <c r="P6" s="32"/>
      <c r="Q6" s="32"/>
      <c r="R6" s="32"/>
      <c r="S6" s="32"/>
      <c r="T6" s="32"/>
    </row>
    <row r="7" spans="1:26" x14ac:dyDescent="0.25">
      <c r="C7" s="7"/>
      <c r="D7" s="7"/>
      <c r="E7" s="7" t="s">
        <v>19</v>
      </c>
      <c r="F7" s="7"/>
      <c r="G7" s="8" t="s">
        <v>20</v>
      </c>
      <c r="H7" s="30" t="s">
        <v>92</v>
      </c>
      <c r="I7" s="30"/>
      <c r="J7" s="30"/>
      <c r="K7" s="30"/>
      <c r="L7" s="7" t="s">
        <v>28</v>
      </c>
      <c r="M7" s="32"/>
      <c r="N7" s="32"/>
      <c r="O7" s="31">
        <f>'Retrofit - ELC'!$E$12-'Retrofit - ELC'!$F$12</f>
        <v>-0.34112163263733858</v>
      </c>
      <c r="P7" s="32"/>
      <c r="Q7" s="32"/>
      <c r="R7" s="32"/>
      <c r="S7" s="32"/>
      <c r="T7" s="32"/>
    </row>
    <row r="8" spans="1:26" x14ac:dyDescent="0.25">
      <c r="C8" s="7"/>
      <c r="D8" s="7"/>
      <c r="E8" s="7" t="s">
        <v>19</v>
      </c>
      <c r="F8" s="7"/>
      <c r="G8" s="8" t="s">
        <v>20</v>
      </c>
      <c r="H8" s="30" t="s">
        <v>93</v>
      </c>
      <c r="I8" s="30"/>
      <c r="J8" s="30"/>
      <c r="K8" s="30"/>
      <c r="L8" s="7" t="s">
        <v>28</v>
      </c>
      <c r="M8" s="32"/>
      <c r="N8" s="32"/>
      <c r="O8" s="31">
        <f>'Retrofit - ELC'!$G$12-'Retrofit - ELC'!$H$12</f>
        <v>-0.19686958410575028</v>
      </c>
      <c r="P8" s="32"/>
      <c r="Q8" s="32"/>
      <c r="R8" s="32"/>
      <c r="S8" s="32"/>
      <c r="T8" s="32"/>
    </row>
    <row r="9" spans="1:26" x14ac:dyDescent="0.25">
      <c r="C9" s="7"/>
      <c r="D9" s="7"/>
      <c r="E9" s="7" t="s">
        <v>19</v>
      </c>
      <c r="F9" s="7"/>
      <c r="G9" s="8" t="s">
        <v>20</v>
      </c>
      <c r="H9" s="30" t="s">
        <v>94</v>
      </c>
      <c r="I9" s="30"/>
      <c r="J9" s="30"/>
      <c r="K9" s="30"/>
      <c r="L9" s="7" t="s">
        <v>28</v>
      </c>
      <c r="M9" s="32"/>
      <c r="N9" s="32"/>
      <c r="O9" s="31">
        <f>'Retrofit - ELC'!$C$18-'Retrofit - ELC'!$D$18</f>
        <v>-0.91646047542271747</v>
      </c>
      <c r="P9" s="32"/>
      <c r="Q9" s="32"/>
      <c r="R9" s="32"/>
      <c r="S9" s="32"/>
      <c r="T9" s="32"/>
    </row>
    <row r="10" spans="1:26" x14ac:dyDescent="0.25">
      <c r="C10" s="7"/>
      <c r="D10" s="7"/>
      <c r="E10" s="7" t="s">
        <v>19</v>
      </c>
      <c r="F10" s="7"/>
      <c r="G10" s="8" t="s">
        <v>20</v>
      </c>
      <c r="H10" s="30" t="s">
        <v>95</v>
      </c>
      <c r="I10" s="30"/>
      <c r="J10" s="30"/>
      <c r="K10" s="30"/>
      <c r="L10" s="7" t="s">
        <v>28</v>
      </c>
      <c r="M10" s="32"/>
      <c r="N10" s="32"/>
      <c r="O10" s="31">
        <f>'Retrofit - ELC'!$E$18-'Retrofit - ELC'!$F$18</f>
        <v>-0.63448161650173274</v>
      </c>
      <c r="P10" s="32"/>
      <c r="Q10" s="32"/>
      <c r="R10" s="32"/>
      <c r="S10" s="32"/>
      <c r="T10" s="32"/>
    </row>
    <row r="11" spans="1:26" x14ac:dyDescent="0.25">
      <c r="C11" s="7"/>
      <c r="D11" s="7"/>
      <c r="E11" s="7" t="s">
        <v>19</v>
      </c>
      <c r="F11" s="7"/>
      <c r="G11" s="8" t="s">
        <v>20</v>
      </c>
      <c r="H11" s="30" t="s">
        <v>96</v>
      </c>
      <c r="I11" s="30"/>
      <c r="J11" s="30"/>
      <c r="K11" s="30"/>
      <c r="L11" s="7" t="s">
        <v>28</v>
      </c>
      <c r="M11" s="32"/>
      <c r="N11" s="32"/>
      <c r="O11" s="31">
        <f>'Retrofit - ELC'!$C$6-'Retrofit - ELC'!$D$6</f>
        <v>-1.1268507876833302</v>
      </c>
      <c r="P11" s="32"/>
      <c r="Q11" s="32"/>
      <c r="R11" s="32"/>
      <c r="S11" s="32"/>
      <c r="T11" s="32"/>
    </row>
    <row r="12" spans="1:26" x14ac:dyDescent="0.25">
      <c r="C12" s="7"/>
      <c r="D12" s="7"/>
      <c r="E12" s="7" t="s">
        <v>19</v>
      </c>
      <c r="F12" s="7"/>
      <c r="G12" s="8" t="s">
        <v>20</v>
      </c>
      <c r="H12" s="30" t="s">
        <v>97</v>
      </c>
      <c r="I12" s="30"/>
      <c r="J12" s="30"/>
      <c r="K12" s="30"/>
      <c r="L12" s="7" t="s">
        <v>28</v>
      </c>
      <c r="M12" s="32"/>
      <c r="N12" s="32"/>
      <c r="O12" s="31">
        <f>'Retrofit - ELC'!$E$6-'Retrofit - ELC'!$F$6</f>
        <v>-0.50478578598764912</v>
      </c>
      <c r="P12" s="32"/>
      <c r="Q12" s="32"/>
      <c r="R12" s="32"/>
      <c r="S12" s="32"/>
      <c r="T12" s="32"/>
    </row>
    <row r="13" spans="1:26" x14ac:dyDescent="0.25">
      <c r="C13" s="7"/>
      <c r="D13" s="7"/>
      <c r="E13" s="7" t="s">
        <v>19</v>
      </c>
      <c r="F13" s="7"/>
      <c r="G13" s="8" t="s">
        <v>20</v>
      </c>
      <c r="H13" s="30" t="s">
        <v>98</v>
      </c>
      <c r="I13" s="30"/>
      <c r="J13" s="30"/>
      <c r="K13" s="30"/>
      <c r="L13" s="7" t="s">
        <v>28</v>
      </c>
      <c r="M13" s="32"/>
      <c r="N13" s="32"/>
      <c r="O13" s="31">
        <f>'Retrofit - ELC'!$G$6-'Retrofit - ELC'!$H$6</f>
        <v>-0.1401098608218439</v>
      </c>
      <c r="P13" s="32"/>
      <c r="Q13" s="32"/>
      <c r="R13" s="32"/>
      <c r="S13" s="32"/>
      <c r="T13" s="32"/>
    </row>
    <row r="14" spans="1:26" x14ac:dyDescent="0.25">
      <c r="C14" s="7"/>
      <c r="D14" s="7"/>
      <c r="E14" s="7" t="s">
        <v>19</v>
      </c>
      <c r="F14" s="7"/>
      <c r="G14" s="8" t="s">
        <v>20</v>
      </c>
      <c r="H14" s="30" t="s">
        <v>99</v>
      </c>
      <c r="I14" s="30"/>
      <c r="J14" s="30"/>
      <c r="K14" s="30"/>
      <c r="L14" s="7" t="s">
        <v>28</v>
      </c>
      <c r="M14" s="32"/>
      <c r="N14" s="32"/>
      <c r="O14" s="31">
        <f>'Retrofit - ELC'!$E$12-'Retrofit - ELC'!$F$12</f>
        <v>-0.34112163263733858</v>
      </c>
      <c r="P14" s="32"/>
      <c r="Q14" s="32"/>
      <c r="R14" s="32"/>
      <c r="S14" s="32"/>
      <c r="T14" s="32"/>
    </row>
    <row r="15" spans="1:26" x14ac:dyDescent="0.25">
      <c r="C15" s="7"/>
      <c r="D15" s="7"/>
      <c r="E15" s="7" t="s">
        <v>19</v>
      </c>
      <c r="F15" s="7"/>
      <c r="G15" s="8" t="s">
        <v>20</v>
      </c>
      <c r="H15" s="30" t="s">
        <v>100</v>
      </c>
      <c r="I15" s="30"/>
      <c r="J15" s="30"/>
      <c r="K15" s="30"/>
      <c r="L15" s="7" t="s">
        <v>28</v>
      </c>
      <c r="M15" s="32"/>
      <c r="N15" s="32"/>
      <c r="O15" s="31">
        <f>'Retrofit - ELC'!$G$12-'Retrofit - ELC'!$H$12</f>
        <v>-0.19686958410575028</v>
      </c>
      <c r="P15" s="32"/>
      <c r="Q15" s="32"/>
      <c r="R15" s="32"/>
      <c r="S15" s="32"/>
      <c r="T15" s="32"/>
    </row>
    <row r="16" spans="1:26" x14ac:dyDescent="0.25">
      <c r="C16" s="7"/>
      <c r="D16" s="7"/>
      <c r="E16" s="7" t="s">
        <v>19</v>
      </c>
      <c r="F16" s="7"/>
      <c r="G16" s="8" t="s">
        <v>20</v>
      </c>
      <c r="H16" s="30" t="s">
        <v>101</v>
      </c>
      <c r="I16" s="30"/>
      <c r="J16" s="30"/>
      <c r="K16" s="30"/>
      <c r="L16" s="7" t="s">
        <v>28</v>
      </c>
      <c r="M16" s="32"/>
      <c r="N16" s="32"/>
      <c r="O16" s="31">
        <f>'Retrofit - ELC'!$C$18-'Retrofit - ELC'!$D$18</f>
        <v>-0.91646047542271747</v>
      </c>
      <c r="P16" s="32"/>
      <c r="Q16" s="32"/>
      <c r="R16" s="32"/>
      <c r="S16" s="32"/>
      <c r="T16" s="32"/>
    </row>
    <row r="17" spans="3:20" x14ac:dyDescent="0.25">
      <c r="C17" s="7"/>
      <c r="D17" s="7"/>
      <c r="E17" s="7" t="s">
        <v>19</v>
      </c>
      <c r="F17" s="7"/>
      <c r="G17" s="8" t="s">
        <v>20</v>
      </c>
      <c r="H17" s="30" t="s">
        <v>102</v>
      </c>
      <c r="I17" s="30"/>
      <c r="J17" s="30"/>
      <c r="K17" s="30"/>
      <c r="L17" s="7" t="s">
        <v>28</v>
      </c>
      <c r="M17" s="32"/>
      <c r="N17" s="32"/>
      <c r="O17" s="31">
        <f>'Retrofit - ELC'!$E$18-'Retrofit - ELC'!$F$18</f>
        <v>-0.63448161650173274</v>
      </c>
      <c r="P17" s="32"/>
      <c r="Q17" s="32"/>
      <c r="R17" s="32"/>
      <c r="S17" s="32"/>
      <c r="T17" s="32"/>
    </row>
    <row r="18" spans="3:20" x14ac:dyDescent="0.25">
      <c r="C18" s="7"/>
      <c r="D18" s="7"/>
      <c r="E18" s="7" t="s">
        <v>19</v>
      </c>
      <c r="F18" s="7"/>
      <c r="G18" s="8" t="s">
        <v>20</v>
      </c>
      <c r="H18" s="7" t="s">
        <v>89</v>
      </c>
      <c r="I18" s="7"/>
      <c r="J18" s="8"/>
      <c r="K18" s="7"/>
      <c r="L18" s="7" t="s">
        <v>103</v>
      </c>
      <c r="M18" s="32"/>
      <c r="N18" s="32"/>
      <c r="O18" s="32">
        <f>O4</f>
        <v>-1.1268507876833302</v>
      </c>
      <c r="P18" s="32"/>
      <c r="Q18" s="32"/>
      <c r="R18" s="32"/>
      <c r="S18" s="32"/>
      <c r="T18" s="32"/>
    </row>
    <row r="19" spans="3:20" x14ac:dyDescent="0.25">
      <c r="C19" s="7"/>
      <c r="D19" s="7"/>
      <c r="E19" s="7" t="s">
        <v>19</v>
      </c>
      <c r="F19" s="7"/>
      <c r="G19" s="8" t="s">
        <v>20</v>
      </c>
      <c r="H19" s="7" t="s">
        <v>90</v>
      </c>
      <c r="I19" s="7"/>
      <c r="J19" s="8"/>
      <c r="K19" s="7"/>
      <c r="L19" s="7" t="s">
        <v>103</v>
      </c>
      <c r="M19" s="32"/>
      <c r="N19" s="32"/>
      <c r="O19" s="32">
        <f t="shared" ref="O19:O31" si="0">O5</f>
        <v>-0.50478578598764912</v>
      </c>
      <c r="P19" s="32"/>
      <c r="Q19" s="32"/>
      <c r="R19" s="32"/>
      <c r="S19" s="32"/>
      <c r="T19" s="32"/>
    </row>
    <row r="20" spans="3:20" x14ac:dyDescent="0.25">
      <c r="C20" s="7"/>
      <c r="D20" s="7"/>
      <c r="E20" s="7" t="s">
        <v>19</v>
      </c>
      <c r="F20" s="7"/>
      <c r="G20" s="8" t="s">
        <v>20</v>
      </c>
      <c r="H20" s="30" t="s">
        <v>91</v>
      </c>
      <c r="I20" s="30"/>
      <c r="J20" s="30"/>
      <c r="K20" s="30"/>
      <c r="L20" s="7" t="s">
        <v>103</v>
      </c>
      <c r="M20" s="32"/>
      <c r="N20" s="32"/>
      <c r="O20" s="32">
        <f t="shared" si="0"/>
        <v>-0.1401098608218439</v>
      </c>
      <c r="P20" s="32"/>
      <c r="Q20" s="32"/>
      <c r="R20" s="32"/>
      <c r="S20" s="32"/>
      <c r="T20" s="32"/>
    </row>
    <row r="21" spans="3:20" x14ac:dyDescent="0.25">
      <c r="C21" s="7"/>
      <c r="D21" s="7"/>
      <c r="E21" s="7" t="s">
        <v>19</v>
      </c>
      <c r="F21" s="7"/>
      <c r="G21" s="8" t="s">
        <v>20</v>
      </c>
      <c r="H21" s="30" t="s">
        <v>92</v>
      </c>
      <c r="I21" s="30"/>
      <c r="J21" s="30"/>
      <c r="K21" s="30"/>
      <c r="L21" s="7" t="s">
        <v>103</v>
      </c>
      <c r="M21" s="32"/>
      <c r="N21" s="32"/>
      <c r="O21" s="32">
        <f t="shared" si="0"/>
        <v>-0.34112163263733858</v>
      </c>
      <c r="P21" s="32"/>
      <c r="Q21" s="32"/>
      <c r="R21" s="32"/>
      <c r="S21" s="32"/>
      <c r="T21" s="32"/>
    </row>
    <row r="22" spans="3:20" x14ac:dyDescent="0.25">
      <c r="C22" s="7"/>
      <c r="D22" s="7"/>
      <c r="E22" s="7" t="s">
        <v>19</v>
      </c>
      <c r="F22" s="7"/>
      <c r="G22" s="8" t="s">
        <v>20</v>
      </c>
      <c r="H22" s="30" t="s">
        <v>93</v>
      </c>
      <c r="I22" s="30"/>
      <c r="J22" s="30"/>
      <c r="K22" s="30"/>
      <c r="L22" s="7" t="s">
        <v>103</v>
      </c>
      <c r="M22" s="32"/>
      <c r="N22" s="32"/>
      <c r="O22" s="32">
        <f t="shared" si="0"/>
        <v>-0.19686958410575028</v>
      </c>
      <c r="P22" s="32"/>
      <c r="Q22" s="32"/>
      <c r="R22" s="32"/>
      <c r="S22" s="32"/>
      <c r="T22" s="32"/>
    </row>
    <row r="23" spans="3:20" x14ac:dyDescent="0.25">
      <c r="C23" s="7"/>
      <c r="D23" s="7"/>
      <c r="E23" s="7" t="s">
        <v>19</v>
      </c>
      <c r="F23" s="7"/>
      <c r="G23" s="8" t="s">
        <v>20</v>
      </c>
      <c r="H23" s="30" t="s">
        <v>94</v>
      </c>
      <c r="I23" s="30"/>
      <c r="J23" s="30"/>
      <c r="K23" s="30"/>
      <c r="L23" s="7" t="s">
        <v>103</v>
      </c>
      <c r="M23" s="32"/>
      <c r="N23" s="32"/>
      <c r="O23" s="32">
        <f t="shared" si="0"/>
        <v>-0.91646047542271747</v>
      </c>
      <c r="P23" s="32"/>
      <c r="Q23" s="32"/>
      <c r="R23" s="32"/>
      <c r="S23" s="32"/>
      <c r="T23" s="32"/>
    </row>
    <row r="24" spans="3:20" x14ac:dyDescent="0.25">
      <c r="C24" s="7"/>
      <c r="D24" s="7"/>
      <c r="E24" s="7" t="s">
        <v>19</v>
      </c>
      <c r="F24" s="7"/>
      <c r="G24" s="8" t="s">
        <v>20</v>
      </c>
      <c r="H24" s="30" t="s">
        <v>95</v>
      </c>
      <c r="I24" s="30"/>
      <c r="J24" s="30"/>
      <c r="K24" s="30"/>
      <c r="L24" s="7" t="s">
        <v>103</v>
      </c>
      <c r="M24" s="32"/>
      <c r="N24" s="32"/>
      <c r="O24" s="32">
        <f t="shared" si="0"/>
        <v>-0.63448161650173274</v>
      </c>
      <c r="P24" s="32"/>
      <c r="Q24" s="32"/>
      <c r="R24" s="32"/>
      <c r="S24" s="32"/>
      <c r="T24" s="32"/>
    </row>
    <row r="25" spans="3:20" x14ac:dyDescent="0.25">
      <c r="C25" s="7"/>
      <c r="D25" s="7"/>
      <c r="E25" s="7" t="s">
        <v>19</v>
      </c>
      <c r="F25" s="7"/>
      <c r="G25" s="8" t="s">
        <v>20</v>
      </c>
      <c r="H25" s="30" t="s">
        <v>96</v>
      </c>
      <c r="I25" s="30"/>
      <c r="J25" s="30"/>
      <c r="K25" s="30"/>
      <c r="L25" s="7" t="s">
        <v>103</v>
      </c>
      <c r="M25" s="32"/>
      <c r="N25" s="32"/>
      <c r="O25" s="32">
        <f t="shared" si="0"/>
        <v>-1.1268507876833302</v>
      </c>
      <c r="P25" s="32"/>
      <c r="Q25" s="32"/>
      <c r="R25" s="32"/>
      <c r="S25" s="32"/>
      <c r="T25" s="32"/>
    </row>
    <row r="26" spans="3:20" x14ac:dyDescent="0.25">
      <c r="C26" s="7"/>
      <c r="D26" s="7"/>
      <c r="E26" s="7" t="s">
        <v>19</v>
      </c>
      <c r="F26" s="7"/>
      <c r="G26" s="8" t="s">
        <v>20</v>
      </c>
      <c r="H26" s="30" t="s">
        <v>97</v>
      </c>
      <c r="I26" s="30"/>
      <c r="J26" s="30"/>
      <c r="K26" s="30"/>
      <c r="L26" s="7" t="s">
        <v>103</v>
      </c>
      <c r="M26" s="32"/>
      <c r="N26" s="32"/>
      <c r="O26" s="32">
        <f t="shared" si="0"/>
        <v>-0.50478578598764912</v>
      </c>
      <c r="P26" s="32"/>
      <c r="Q26" s="32"/>
      <c r="R26" s="32"/>
      <c r="S26" s="32"/>
      <c r="T26" s="32"/>
    </row>
    <row r="27" spans="3:20" x14ac:dyDescent="0.25">
      <c r="C27" s="7"/>
      <c r="D27" s="7"/>
      <c r="E27" s="7" t="s">
        <v>19</v>
      </c>
      <c r="F27" s="7"/>
      <c r="G27" s="8" t="s">
        <v>20</v>
      </c>
      <c r="H27" s="30" t="s">
        <v>98</v>
      </c>
      <c r="I27" s="30"/>
      <c r="J27" s="30"/>
      <c r="K27" s="30"/>
      <c r="L27" s="7" t="s">
        <v>103</v>
      </c>
      <c r="M27" s="32"/>
      <c r="N27" s="32"/>
      <c r="O27" s="32">
        <f t="shared" si="0"/>
        <v>-0.1401098608218439</v>
      </c>
      <c r="P27" s="32"/>
      <c r="Q27" s="32"/>
      <c r="R27" s="32"/>
      <c r="S27" s="32"/>
      <c r="T27" s="32"/>
    </row>
    <row r="28" spans="3:20" x14ac:dyDescent="0.25">
      <c r="C28" s="7"/>
      <c r="D28" s="7"/>
      <c r="E28" s="7" t="s">
        <v>19</v>
      </c>
      <c r="F28" s="7"/>
      <c r="G28" s="8" t="s">
        <v>20</v>
      </c>
      <c r="H28" s="30" t="s">
        <v>99</v>
      </c>
      <c r="I28" s="30"/>
      <c r="J28" s="30"/>
      <c r="K28" s="30"/>
      <c r="L28" s="7" t="s">
        <v>103</v>
      </c>
      <c r="M28" s="32"/>
      <c r="N28" s="32"/>
      <c r="O28" s="32">
        <f t="shared" si="0"/>
        <v>-0.34112163263733858</v>
      </c>
      <c r="P28" s="32"/>
      <c r="Q28" s="32"/>
      <c r="R28" s="32"/>
      <c r="S28" s="32"/>
      <c r="T28" s="32"/>
    </row>
    <row r="29" spans="3:20" x14ac:dyDescent="0.25">
      <c r="C29" s="7"/>
      <c r="D29" s="7"/>
      <c r="E29" s="7" t="s">
        <v>19</v>
      </c>
      <c r="F29" s="7"/>
      <c r="G29" s="8" t="s">
        <v>20</v>
      </c>
      <c r="H29" s="30" t="s">
        <v>100</v>
      </c>
      <c r="I29" s="30"/>
      <c r="J29" s="30"/>
      <c r="K29" s="30"/>
      <c r="L29" s="7" t="s">
        <v>103</v>
      </c>
      <c r="M29" s="32"/>
      <c r="N29" s="32"/>
      <c r="O29" s="32">
        <f t="shared" si="0"/>
        <v>-0.19686958410575028</v>
      </c>
      <c r="P29" s="32"/>
      <c r="Q29" s="32"/>
      <c r="R29" s="32"/>
      <c r="S29" s="32"/>
      <c r="T29" s="32"/>
    </row>
    <row r="30" spans="3:20" x14ac:dyDescent="0.25">
      <c r="C30" s="7"/>
      <c r="D30" s="7"/>
      <c r="E30" s="7" t="s">
        <v>19</v>
      </c>
      <c r="F30" s="7"/>
      <c r="G30" s="8" t="s">
        <v>20</v>
      </c>
      <c r="H30" s="30" t="s">
        <v>101</v>
      </c>
      <c r="I30" s="30"/>
      <c r="J30" s="30"/>
      <c r="K30" s="30"/>
      <c r="L30" s="7" t="s">
        <v>103</v>
      </c>
      <c r="M30" s="32"/>
      <c r="N30" s="32"/>
      <c r="O30" s="32">
        <f t="shared" si="0"/>
        <v>-0.91646047542271747</v>
      </c>
      <c r="P30" s="32"/>
      <c r="Q30" s="32"/>
      <c r="R30" s="32"/>
      <c r="S30" s="32"/>
      <c r="T30" s="32"/>
    </row>
    <row r="31" spans="3:20" x14ac:dyDescent="0.25">
      <c r="C31" s="33"/>
      <c r="D31" s="33"/>
      <c r="E31" s="33" t="s">
        <v>19</v>
      </c>
      <c r="F31" s="33"/>
      <c r="G31" s="34" t="s">
        <v>20</v>
      </c>
      <c r="H31" s="35" t="s">
        <v>102</v>
      </c>
      <c r="I31" s="35"/>
      <c r="J31" s="35"/>
      <c r="K31" s="35"/>
      <c r="L31" s="33" t="s">
        <v>103</v>
      </c>
      <c r="M31" s="36"/>
      <c r="N31" s="36"/>
      <c r="O31" s="36">
        <f t="shared" si="0"/>
        <v>-0.63448161650173274</v>
      </c>
      <c r="P31" s="36"/>
      <c r="Q31" s="36"/>
      <c r="R31" s="36"/>
      <c r="S31" s="36"/>
      <c r="T31" s="36"/>
    </row>
    <row r="32" spans="3:20" x14ac:dyDescent="0.25">
      <c r="C32" s="7"/>
      <c r="D32" s="7"/>
      <c r="E32" s="7" t="s">
        <v>19</v>
      </c>
      <c r="F32" s="7"/>
      <c r="G32" s="8" t="s">
        <v>20</v>
      </c>
      <c r="H32" s="30" t="s">
        <v>104</v>
      </c>
      <c r="I32" s="30"/>
      <c r="J32" s="30"/>
      <c r="K32" s="30"/>
      <c r="L32" s="7" t="s">
        <v>25</v>
      </c>
      <c r="M32" s="32"/>
      <c r="N32" s="32"/>
      <c r="O32" s="31">
        <f>'Retrofit - ELC'!$D$25-'Retrofit - ELC'!$C$25</f>
        <v>-0.11641540490364255</v>
      </c>
      <c r="P32" s="32"/>
      <c r="Q32" s="32"/>
      <c r="R32" s="32"/>
      <c r="S32" s="32"/>
      <c r="T32" s="32"/>
    </row>
    <row r="33" spans="3:20" x14ac:dyDescent="0.25">
      <c r="C33" s="7"/>
      <c r="D33" s="7"/>
      <c r="E33" s="7" t="s">
        <v>19</v>
      </c>
      <c r="F33" s="7"/>
      <c r="G33" s="8" t="s">
        <v>20</v>
      </c>
      <c r="H33" s="30" t="s">
        <v>105</v>
      </c>
      <c r="I33" s="30"/>
      <c r="J33" s="30"/>
      <c r="K33" s="30"/>
      <c r="L33" s="7" t="s">
        <v>25</v>
      </c>
      <c r="M33" s="32"/>
      <c r="N33" s="32"/>
      <c r="O33" s="31">
        <f>'Retrofit - ELC'!$E$25-'Retrofit - ELC'!$D$25</f>
        <v>-0.18223190439794668</v>
      </c>
      <c r="P33" s="32"/>
      <c r="Q33" s="32"/>
      <c r="R33" s="32"/>
      <c r="S33" s="32"/>
      <c r="T33" s="32"/>
    </row>
    <row r="34" spans="3:20" x14ac:dyDescent="0.25">
      <c r="C34" s="7"/>
      <c r="D34" s="7"/>
      <c r="E34" s="7" t="s">
        <v>19</v>
      </c>
      <c r="F34" s="7"/>
      <c r="G34" s="8" t="s">
        <v>20</v>
      </c>
      <c r="H34" s="30" t="s">
        <v>106</v>
      </c>
      <c r="I34" s="30"/>
      <c r="J34" s="30"/>
      <c r="K34" s="30"/>
      <c r="L34" s="7" t="s">
        <v>25</v>
      </c>
      <c r="M34" s="32"/>
      <c r="N34" s="32"/>
      <c r="O34" s="31">
        <f>'Retrofit - ELC'!$F$25-'Retrofit - ELC'!$D$25</f>
        <v>-0.11061361968652851</v>
      </c>
      <c r="P34" s="32"/>
      <c r="Q34" s="32"/>
      <c r="R34" s="32"/>
      <c r="S34" s="32"/>
      <c r="T34" s="32"/>
    </row>
    <row r="35" spans="3:20" x14ac:dyDescent="0.25">
      <c r="C35" s="7"/>
      <c r="D35" s="7"/>
      <c r="E35" s="7" t="s">
        <v>19</v>
      </c>
      <c r="F35" s="7"/>
      <c r="G35" s="8" t="s">
        <v>20</v>
      </c>
      <c r="H35" s="30" t="s">
        <v>107</v>
      </c>
      <c r="I35" s="30"/>
      <c r="J35" s="30"/>
      <c r="K35" s="30"/>
      <c r="L35" s="7" t="s">
        <v>25</v>
      </c>
      <c r="M35" s="32"/>
      <c r="N35" s="32"/>
      <c r="O35" s="31">
        <f>'Retrofit - ELC'!$G$25-'Retrofit - ELC'!$C$25</f>
        <v>-0.26973368992957064</v>
      </c>
      <c r="P35" s="32"/>
      <c r="Q35" s="32"/>
      <c r="R35" s="32"/>
      <c r="S35" s="32"/>
      <c r="T35" s="32"/>
    </row>
    <row r="36" spans="3:20" x14ac:dyDescent="0.25">
      <c r="C36" s="7"/>
      <c r="D36" s="7"/>
      <c r="E36" s="7" t="s">
        <v>19</v>
      </c>
      <c r="F36" s="7"/>
      <c r="G36" s="8" t="s">
        <v>20</v>
      </c>
      <c r="H36" s="30" t="s">
        <v>108</v>
      </c>
      <c r="I36" s="30"/>
      <c r="J36" s="30"/>
      <c r="K36" s="30"/>
      <c r="L36" s="7" t="s">
        <v>25</v>
      </c>
      <c r="M36" s="32"/>
      <c r="N36" s="32"/>
      <c r="O36" s="31">
        <f>'Retrofit - ELC'!$H$25-'Retrofit - ELC'!$C$25</f>
        <v>-0.15474497616012459</v>
      </c>
      <c r="P36" s="32"/>
      <c r="Q36" s="32"/>
      <c r="R36" s="32"/>
      <c r="S36" s="32"/>
      <c r="T36" s="32"/>
    </row>
    <row r="37" spans="3:20" x14ac:dyDescent="0.25">
      <c r="C37" s="7"/>
      <c r="D37" s="7"/>
      <c r="E37" s="7" t="s">
        <v>19</v>
      </c>
      <c r="F37" s="7"/>
      <c r="G37" s="8" t="s">
        <v>20</v>
      </c>
      <c r="H37" s="30" t="s">
        <v>109</v>
      </c>
      <c r="I37" s="30"/>
      <c r="J37" s="30"/>
      <c r="K37" s="30"/>
      <c r="L37" s="7" t="s">
        <v>25</v>
      </c>
      <c r="M37" s="32"/>
      <c r="N37" s="32"/>
      <c r="O37" s="31">
        <f>'Retrofit - ELC'!$I$25-'Retrofit - ELC'!$C$25</f>
        <v>-0.30039734693475617</v>
      </c>
      <c r="P37" s="32"/>
      <c r="Q37" s="32"/>
      <c r="R37" s="32"/>
      <c r="S37" s="32"/>
      <c r="T37" s="32"/>
    </row>
    <row r="38" spans="3:20" x14ac:dyDescent="0.25">
      <c r="C38" s="7"/>
      <c r="D38" s="7"/>
      <c r="E38" s="7" t="s">
        <v>19</v>
      </c>
      <c r="F38" s="7"/>
      <c r="G38" s="8" t="s">
        <v>20</v>
      </c>
      <c r="H38" s="30" t="s">
        <v>110</v>
      </c>
      <c r="I38" s="30"/>
      <c r="J38" s="30"/>
      <c r="K38" s="30"/>
      <c r="L38" s="7" t="s">
        <v>25</v>
      </c>
      <c r="M38" s="32"/>
      <c r="N38" s="32"/>
      <c r="O38" s="31">
        <f>'Retrofit - ELC'!$J$25-'Retrofit - ELC'!$C$25</f>
        <v>-0.23140411867308858</v>
      </c>
      <c r="P38" s="32"/>
      <c r="Q38" s="32"/>
      <c r="R38" s="32"/>
      <c r="S38" s="32"/>
      <c r="T38" s="32"/>
    </row>
    <row r="39" spans="3:20" x14ac:dyDescent="0.25">
      <c r="C39" s="7"/>
      <c r="D39" s="7"/>
      <c r="E39" s="7" t="s">
        <v>19</v>
      </c>
      <c r="F39" s="7"/>
      <c r="G39" s="8" t="s">
        <v>20</v>
      </c>
      <c r="H39" s="30" t="s">
        <v>111</v>
      </c>
      <c r="I39" s="30"/>
      <c r="J39" s="30"/>
      <c r="K39" s="30"/>
      <c r="L39" s="7" t="s">
        <v>25</v>
      </c>
      <c r="M39" s="32"/>
      <c r="N39" s="32"/>
      <c r="O39" s="31">
        <f>'Retrofit - ELC'!$D$30-'Retrofit - ELC'!$C$30</f>
        <v>-0.14308236108929492</v>
      </c>
      <c r="P39" s="32"/>
      <c r="Q39" s="32"/>
      <c r="R39" s="32"/>
      <c r="S39" s="32"/>
      <c r="T39" s="32"/>
    </row>
    <row r="40" spans="3:20" x14ac:dyDescent="0.25">
      <c r="C40" s="7"/>
      <c r="D40" s="7"/>
      <c r="E40" s="7" t="s">
        <v>19</v>
      </c>
      <c r="F40" s="7"/>
      <c r="G40" s="8" t="s">
        <v>20</v>
      </c>
      <c r="H40" s="30" t="s">
        <v>112</v>
      </c>
      <c r="I40" s="30"/>
      <c r="J40" s="30"/>
      <c r="K40" s="30"/>
      <c r="L40" s="7" t="s">
        <v>25</v>
      </c>
      <c r="M40" s="32"/>
      <c r="N40" s="32"/>
      <c r="O40" s="31">
        <f>'Retrofit - ELC'!$E$30-'Retrofit - ELC'!$D$30</f>
        <v>-0.17732445400570085</v>
      </c>
      <c r="P40" s="32"/>
      <c r="Q40" s="32"/>
      <c r="R40" s="32"/>
      <c r="S40" s="32"/>
      <c r="T40" s="32"/>
    </row>
    <row r="41" spans="3:20" x14ac:dyDescent="0.25">
      <c r="C41" s="7"/>
      <c r="D41" s="7"/>
      <c r="E41" s="7" t="s">
        <v>19</v>
      </c>
      <c r="F41" s="7"/>
      <c r="G41" s="8" t="s">
        <v>20</v>
      </c>
      <c r="H41" s="30" t="s">
        <v>113</v>
      </c>
      <c r="I41" s="30"/>
      <c r="J41" s="30"/>
      <c r="K41" s="30"/>
      <c r="L41" s="7" t="s">
        <v>25</v>
      </c>
      <c r="M41" s="32"/>
      <c r="N41" s="32"/>
      <c r="O41" s="31">
        <f>'Retrofit - ELC'!$F$30-'Retrofit - ELC'!$D$30</f>
        <v>-0.13134727159888887</v>
      </c>
      <c r="P41" s="32"/>
      <c r="Q41" s="32"/>
      <c r="R41" s="32"/>
      <c r="S41" s="32"/>
      <c r="T41" s="32"/>
    </row>
    <row r="42" spans="3:20" x14ac:dyDescent="0.25">
      <c r="C42" s="7"/>
      <c r="D42" s="7"/>
      <c r="E42" s="7" t="s">
        <v>19</v>
      </c>
      <c r="F42" s="7"/>
      <c r="G42" s="8" t="s">
        <v>20</v>
      </c>
      <c r="H42" s="30" t="s">
        <v>114</v>
      </c>
      <c r="I42" s="30"/>
      <c r="J42" s="30"/>
      <c r="K42" s="30"/>
      <c r="L42" s="7" t="s">
        <v>25</v>
      </c>
      <c r="M42" s="32"/>
      <c r="N42" s="32"/>
      <c r="O42" s="31">
        <f>'Retrofit - ELC'!$G$30-'Retrofit - ELC'!$C$30</f>
        <v>-0.28173296705167861</v>
      </c>
      <c r="P42" s="32"/>
      <c r="Q42" s="32"/>
      <c r="R42" s="32"/>
      <c r="S42" s="32"/>
      <c r="T42" s="32"/>
    </row>
    <row r="43" spans="3:20" x14ac:dyDescent="0.25">
      <c r="C43" s="7"/>
      <c r="D43" s="7"/>
      <c r="E43" s="7" t="s">
        <v>19</v>
      </c>
      <c r="F43" s="7"/>
      <c r="G43" s="8" t="s">
        <v>20</v>
      </c>
      <c r="H43" s="30" t="s">
        <v>115</v>
      </c>
      <c r="I43" s="30"/>
      <c r="J43" s="30"/>
      <c r="K43" s="30"/>
      <c r="L43" s="7" t="s">
        <v>25</v>
      </c>
      <c r="M43" s="32"/>
      <c r="N43" s="32"/>
      <c r="O43" s="31">
        <f>'Retrofit - ELC'!$H$30-'Retrofit - ELC'!$C$30</f>
        <v>-0.17774501257989084</v>
      </c>
      <c r="P43" s="32"/>
      <c r="Q43" s="32"/>
      <c r="R43" s="32"/>
      <c r="S43" s="32"/>
      <c r="T43" s="32"/>
    </row>
    <row r="44" spans="3:20" x14ac:dyDescent="0.25">
      <c r="C44" s="7"/>
      <c r="D44" s="7"/>
      <c r="E44" s="7" t="s">
        <v>19</v>
      </c>
      <c r="F44" s="7"/>
      <c r="G44" s="8" t="s">
        <v>20</v>
      </c>
      <c r="H44" s="30" t="s">
        <v>116</v>
      </c>
      <c r="I44" s="30"/>
      <c r="J44" s="30"/>
      <c r="K44" s="30"/>
      <c r="L44" s="7" t="s">
        <v>25</v>
      </c>
      <c r="M44" s="32"/>
      <c r="N44" s="32"/>
      <c r="O44" s="31">
        <f>'Retrofit - ELC'!$I$30-'Retrofit - ELC'!$C$30</f>
        <v>-0.30946308824415536</v>
      </c>
      <c r="P44" s="32"/>
      <c r="Q44" s="32"/>
      <c r="R44" s="32"/>
      <c r="S44" s="32"/>
      <c r="T44" s="32"/>
    </row>
    <row r="45" spans="3:20" x14ac:dyDescent="0.25">
      <c r="C45" s="7"/>
      <c r="D45" s="7"/>
      <c r="E45" s="7" t="s">
        <v>19</v>
      </c>
      <c r="F45" s="7"/>
      <c r="G45" s="8" t="s">
        <v>20</v>
      </c>
      <c r="H45" s="30" t="s">
        <v>117</v>
      </c>
      <c r="I45" s="30"/>
      <c r="J45" s="30"/>
      <c r="K45" s="30"/>
      <c r="L45" s="7" t="s">
        <v>25</v>
      </c>
      <c r="M45" s="32"/>
      <c r="N45" s="32"/>
      <c r="O45" s="31">
        <f>'Retrofit - ELC'!$J$30-'Retrofit - ELC'!$C$30</f>
        <v>-0.24707031556108267</v>
      </c>
      <c r="P45" s="32"/>
      <c r="Q45" s="32"/>
      <c r="R45" s="32"/>
      <c r="S45" s="32"/>
      <c r="T45" s="32"/>
    </row>
    <row r="46" spans="3:20" x14ac:dyDescent="0.25">
      <c r="C46" s="7"/>
      <c r="D46" s="7"/>
      <c r="E46" s="7" t="s">
        <v>19</v>
      </c>
      <c r="F46" s="7"/>
      <c r="G46" s="8" t="s">
        <v>20</v>
      </c>
      <c r="H46" s="30" t="s">
        <v>118</v>
      </c>
      <c r="I46" s="30"/>
      <c r="J46" s="30"/>
      <c r="K46" s="30"/>
      <c r="L46" s="7" t="s">
        <v>25</v>
      </c>
      <c r="M46" s="32"/>
      <c r="N46" s="32"/>
      <c r="O46" s="31">
        <f>'Retrofit - ELC'!$D$35-'Retrofit - ELC'!$C$35</f>
        <v>-7.2188919142073565E-2</v>
      </c>
      <c r="P46" s="32"/>
      <c r="Q46" s="32"/>
      <c r="R46" s="32"/>
      <c r="S46" s="32"/>
      <c r="T46" s="32"/>
    </row>
    <row r="47" spans="3:20" x14ac:dyDescent="0.25">
      <c r="C47" s="7"/>
      <c r="D47" s="7"/>
      <c r="E47" s="7" t="s">
        <v>19</v>
      </c>
      <c r="F47" s="7"/>
      <c r="G47" s="8" t="s">
        <v>20</v>
      </c>
      <c r="H47" s="30" t="s">
        <v>119</v>
      </c>
      <c r="I47" s="30"/>
      <c r="J47" s="30"/>
      <c r="K47" s="30"/>
      <c r="L47" s="7" t="s">
        <v>25</v>
      </c>
      <c r="M47" s="32"/>
      <c r="N47" s="32"/>
      <c r="O47" s="31">
        <f>'Retrofit - ELC'!$E$35-'Retrofit - ELC'!$D$35</f>
        <v>-8.9163960309573048E-2</v>
      </c>
      <c r="P47" s="32"/>
      <c r="Q47" s="32"/>
      <c r="R47" s="32"/>
      <c r="S47" s="32"/>
      <c r="T47" s="32"/>
    </row>
    <row r="48" spans="3:20" x14ac:dyDescent="0.25">
      <c r="C48" s="7"/>
      <c r="D48" s="7"/>
      <c r="E48" s="7" t="s">
        <v>19</v>
      </c>
      <c r="F48" s="7"/>
      <c r="G48" s="8" t="s">
        <v>20</v>
      </c>
      <c r="H48" s="30" t="s">
        <v>120</v>
      </c>
      <c r="I48" s="30"/>
      <c r="J48" s="30"/>
      <c r="K48" s="30"/>
      <c r="L48" s="7" t="s">
        <v>25</v>
      </c>
      <c r="M48" s="32"/>
      <c r="N48" s="32"/>
      <c r="O48" s="31">
        <f>'Retrofit - ELC'!$F$35-'Retrofit - ELC'!$D$35</f>
        <v>-3.0324440114788756E-2</v>
      </c>
      <c r="P48" s="32"/>
      <c r="Q48" s="32"/>
      <c r="R48" s="32"/>
      <c r="S48" s="32"/>
      <c r="T48" s="32"/>
    </row>
    <row r="49" spans="3:20" x14ac:dyDescent="0.25">
      <c r="C49" s="7"/>
      <c r="D49" s="7"/>
      <c r="E49" s="7" t="s">
        <v>19</v>
      </c>
      <c r="F49" s="7"/>
      <c r="G49" s="8" t="s">
        <v>20</v>
      </c>
      <c r="H49" s="30" t="s">
        <v>121</v>
      </c>
      <c r="I49" s="30"/>
      <c r="J49" s="30"/>
      <c r="K49" s="30"/>
      <c r="L49" s="7" t="s">
        <v>25</v>
      </c>
      <c r="M49" s="32"/>
      <c r="N49" s="32"/>
      <c r="O49" s="31">
        <f>'Retrofit - ELC'!$G$35-'Retrofit - ELC'!$C$35</f>
        <v>-0.15778245721280415</v>
      </c>
      <c r="P49" s="32"/>
      <c r="Q49" s="32"/>
      <c r="R49" s="32"/>
      <c r="S49" s="32"/>
      <c r="T49" s="32"/>
    </row>
    <row r="50" spans="3:20" x14ac:dyDescent="0.25">
      <c r="C50" s="7"/>
      <c r="D50" s="7"/>
      <c r="E50" s="7" t="s">
        <v>19</v>
      </c>
      <c r="F50" s="7"/>
      <c r="G50" s="8" t="s">
        <v>20</v>
      </c>
      <c r="H50" s="30" t="s">
        <v>122</v>
      </c>
      <c r="I50" s="30"/>
      <c r="J50" s="30"/>
      <c r="K50" s="30"/>
      <c r="L50" s="7" t="s">
        <v>25</v>
      </c>
      <c r="M50" s="32"/>
      <c r="N50" s="32"/>
      <c r="O50" s="31">
        <f>'Retrofit - ELC'!$H$35-'Retrofit - ELC'!$C$35</f>
        <v>-9.3587303659756205E-2</v>
      </c>
      <c r="P50" s="32"/>
      <c r="Q50" s="32"/>
      <c r="R50" s="32"/>
      <c r="S50" s="32"/>
      <c r="T50" s="32"/>
    </row>
    <row r="51" spans="3:20" x14ac:dyDescent="0.25">
      <c r="C51" s="7"/>
      <c r="D51" s="7"/>
      <c r="E51" s="7" t="s">
        <v>19</v>
      </c>
      <c r="F51" s="7"/>
      <c r="G51" s="8" t="s">
        <v>20</v>
      </c>
      <c r="H51" s="30" t="s">
        <v>123</v>
      </c>
      <c r="I51" s="30"/>
      <c r="J51" s="30"/>
      <c r="K51" s="30"/>
      <c r="L51" s="7" t="s">
        <v>25</v>
      </c>
      <c r="M51" s="32"/>
      <c r="N51" s="32"/>
      <c r="O51" s="31">
        <f>'Retrofit - ELC'!$I$35-'Retrofit - ELC'!$C$35</f>
        <v>-0.17490116482695028</v>
      </c>
      <c r="P51" s="32"/>
      <c r="Q51" s="32"/>
      <c r="R51" s="32"/>
      <c r="S51" s="32"/>
      <c r="T51" s="32"/>
    </row>
    <row r="52" spans="3:20" x14ac:dyDescent="0.25">
      <c r="C52" s="7"/>
      <c r="D52" s="7"/>
      <c r="E52" s="7" t="s">
        <v>19</v>
      </c>
      <c r="F52" s="7"/>
      <c r="G52" s="8" t="s">
        <v>20</v>
      </c>
      <c r="H52" s="30" t="s">
        <v>124</v>
      </c>
      <c r="I52" s="30"/>
      <c r="J52" s="30"/>
      <c r="K52" s="30"/>
      <c r="L52" s="7" t="s">
        <v>25</v>
      </c>
      <c r="M52" s="32"/>
      <c r="N52" s="32"/>
      <c r="O52" s="31">
        <f>'Retrofit - ELC'!$J$35-'Retrofit - ELC'!$C$35</f>
        <v>-0.13638407269512151</v>
      </c>
      <c r="P52" s="32"/>
      <c r="Q52" s="32"/>
      <c r="R52" s="32"/>
      <c r="S52" s="32"/>
      <c r="T52" s="32"/>
    </row>
    <row r="53" spans="3:20" x14ac:dyDescent="0.25">
      <c r="C53" s="7"/>
      <c r="D53" s="7"/>
      <c r="E53" s="7" t="s">
        <v>19</v>
      </c>
      <c r="F53" s="7"/>
      <c r="G53" s="8" t="s">
        <v>20</v>
      </c>
      <c r="H53" s="30" t="s">
        <v>125</v>
      </c>
      <c r="I53" s="30"/>
      <c r="J53" s="30"/>
      <c r="K53" s="30"/>
      <c r="L53" s="7" t="s">
        <v>25</v>
      </c>
      <c r="M53" s="32"/>
      <c r="N53" s="32"/>
      <c r="O53" s="31">
        <f>'Retrofit - ELC'!$D$25-'Retrofit - ELC'!$C$25</f>
        <v>-0.11641540490364255</v>
      </c>
      <c r="P53" s="32"/>
      <c r="Q53" s="32"/>
      <c r="R53" s="32"/>
      <c r="S53" s="32"/>
      <c r="T53" s="32"/>
    </row>
    <row r="54" spans="3:20" x14ac:dyDescent="0.25">
      <c r="C54" s="7"/>
      <c r="D54" s="7"/>
      <c r="E54" s="7" t="s">
        <v>19</v>
      </c>
      <c r="F54" s="7"/>
      <c r="G54" s="8" t="s">
        <v>20</v>
      </c>
      <c r="H54" s="30" t="s">
        <v>126</v>
      </c>
      <c r="I54" s="30"/>
      <c r="J54" s="30"/>
      <c r="K54" s="30"/>
      <c r="L54" s="7" t="s">
        <v>25</v>
      </c>
      <c r="M54" s="32"/>
      <c r="N54" s="32"/>
      <c r="O54" s="31">
        <f>'Retrofit - ELC'!$E$25-'Retrofit - ELC'!$D$25</f>
        <v>-0.18223190439794668</v>
      </c>
      <c r="P54" s="32"/>
      <c r="Q54" s="32"/>
      <c r="R54" s="32"/>
      <c r="S54" s="32"/>
      <c r="T54" s="32"/>
    </row>
    <row r="55" spans="3:20" x14ac:dyDescent="0.25">
      <c r="C55" s="7"/>
      <c r="D55" s="7"/>
      <c r="E55" s="7" t="s">
        <v>19</v>
      </c>
      <c r="F55" s="7"/>
      <c r="G55" s="8" t="s">
        <v>20</v>
      </c>
      <c r="H55" s="30" t="s">
        <v>127</v>
      </c>
      <c r="I55" s="30"/>
      <c r="J55" s="30"/>
      <c r="K55" s="30"/>
      <c r="L55" s="7" t="s">
        <v>25</v>
      </c>
      <c r="M55" s="32"/>
      <c r="N55" s="32"/>
      <c r="O55" s="31">
        <f>'Retrofit - ELC'!$F$25-'Retrofit - ELC'!$D$25</f>
        <v>-0.11061361968652851</v>
      </c>
      <c r="P55" s="32"/>
      <c r="Q55" s="32"/>
      <c r="R55" s="32"/>
      <c r="S55" s="32"/>
      <c r="T55" s="32"/>
    </row>
    <row r="56" spans="3:20" x14ac:dyDescent="0.25">
      <c r="C56" s="7"/>
      <c r="D56" s="7"/>
      <c r="E56" s="7" t="s">
        <v>19</v>
      </c>
      <c r="F56" s="7"/>
      <c r="G56" s="8" t="s">
        <v>20</v>
      </c>
      <c r="H56" s="30" t="s">
        <v>128</v>
      </c>
      <c r="I56" s="30"/>
      <c r="J56" s="30"/>
      <c r="K56" s="30"/>
      <c r="L56" s="7" t="s">
        <v>25</v>
      </c>
      <c r="M56" s="32"/>
      <c r="N56" s="32"/>
      <c r="O56" s="31">
        <f>'Retrofit - ELC'!$G$25-'Retrofit - ELC'!$C$25</f>
        <v>-0.26973368992957064</v>
      </c>
      <c r="P56" s="32"/>
      <c r="Q56" s="32"/>
      <c r="R56" s="32"/>
      <c r="S56" s="32"/>
      <c r="T56" s="32"/>
    </row>
    <row r="57" spans="3:20" x14ac:dyDescent="0.25">
      <c r="C57" s="7"/>
      <c r="D57" s="7"/>
      <c r="E57" s="7" t="s">
        <v>19</v>
      </c>
      <c r="F57" s="7"/>
      <c r="G57" s="8" t="s">
        <v>20</v>
      </c>
      <c r="H57" s="30" t="s">
        <v>129</v>
      </c>
      <c r="I57" s="30"/>
      <c r="J57" s="30"/>
      <c r="K57" s="30"/>
      <c r="L57" s="7" t="s">
        <v>25</v>
      </c>
      <c r="M57" s="32"/>
      <c r="N57" s="32"/>
      <c r="O57" s="31">
        <f>'Retrofit - ELC'!$H$25-'Retrofit - ELC'!$C$25</f>
        <v>-0.15474497616012459</v>
      </c>
      <c r="P57" s="32"/>
      <c r="Q57" s="32"/>
      <c r="R57" s="32"/>
      <c r="S57" s="32"/>
      <c r="T57" s="32"/>
    </row>
    <row r="58" spans="3:20" x14ac:dyDescent="0.25">
      <c r="C58" s="7"/>
      <c r="D58" s="7"/>
      <c r="E58" s="7" t="s">
        <v>19</v>
      </c>
      <c r="F58" s="7"/>
      <c r="G58" s="8" t="s">
        <v>20</v>
      </c>
      <c r="H58" s="30" t="s">
        <v>130</v>
      </c>
      <c r="I58" s="30"/>
      <c r="J58" s="30"/>
      <c r="K58" s="30"/>
      <c r="L58" s="7" t="s">
        <v>25</v>
      </c>
      <c r="M58" s="32"/>
      <c r="N58" s="32"/>
      <c r="O58" s="31">
        <f>'Retrofit - ELC'!$I$25-'Retrofit - ELC'!$C$25</f>
        <v>-0.30039734693475617</v>
      </c>
      <c r="P58" s="32"/>
      <c r="Q58" s="32"/>
      <c r="R58" s="32"/>
      <c r="S58" s="32"/>
      <c r="T58" s="32"/>
    </row>
    <row r="59" spans="3:20" x14ac:dyDescent="0.25">
      <c r="C59" s="7"/>
      <c r="D59" s="7"/>
      <c r="E59" s="7" t="s">
        <v>19</v>
      </c>
      <c r="F59" s="7"/>
      <c r="G59" s="8" t="s">
        <v>20</v>
      </c>
      <c r="H59" s="30" t="s">
        <v>131</v>
      </c>
      <c r="I59" s="30"/>
      <c r="J59" s="30"/>
      <c r="K59" s="30"/>
      <c r="L59" s="7" t="s">
        <v>25</v>
      </c>
      <c r="M59" s="32"/>
      <c r="N59" s="32"/>
      <c r="O59" s="31">
        <f>'Retrofit - ELC'!$J$25-'Retrofit - ELC'!$C$25</f>
        <v>-0.23140411867308858</v>
      </c>
      <c r="P59" s="32"/>
      <c r="Q59" s="32"/>
      <c r="R59" s="32"/>
      <c r="S59" s="32"/>
      <c r="T59" s="32"/>
    </row>
    <row r="60" spans="3:20" x14ac:dyDescent="0.25">
      <c r="C60" s="7"/>
      <c r="D60" s="7"/>
      <c r="E60" s="7" t="s">
        <v>19</v>
      </c>
      <c r="F60" s="7"/>
      <c r="G60" s="8" t="s">
        <v>20</v>
      </c>
      <c r="H60" s="30" t="s">
        <v>132</v>
      </c>
      <c r="I60" s="30"/>
      <c r="J60" s="30"/>
      <c r="K60" s="30"/>
      <c r="L60" s="7" t="s">
        <v>25</v>
      </c>
      <c r="M60" s="32"/>
      <c r="N60" s="32"/>
      <c r="O60" s="31">
        <f>'Retrofit - ELC'!$D$30-'Retrofit - ELC'!$C$30</f>
        <v>-0.14308236108929492</v>
      </c>
      <c r="P60" s="32"/>
      <c r="Q60" s="32"/>
      <c r="R60" s="32"/>
      <c r="S60" s="32"/>
      <c r="T60" s="32"/>
    </row>
    <row r="61" spans="3:20" x14ac:dyDescent="0.25">
      <c r="C61" s="7"/>
      <c r="D61" s="7"/>
      <c r="E61" s="7" t="s">
        <v>19</v>
      </c>
      <c r="F61" s="7"/>
      <c r="G61" s="8" t="s">
        <v>20</v>
      </c>
      <c r="H61" s="30" t="s">
        <v>133</v>
      </c>
      <c r="I61" s="30"/>
      <c r="J61" s="30"/>
      <c r="K61" s="30"/>
      <c r="L61" s="7" t="s">
        <v>25</v>
      </c>
      <c r="M61" s="32"/>
      <c r="N61" s="32"/>
      <c r="O61" s="31">
        <f>'Retrofit - ELC'!$E$30-'Retrofit - ELC'!$D$30</f>
        <v>-0.17732445400570085</v>
      </c>
      <c r="P61" s="32"/>
      <c r="Q61" s="32"/>
      <c r="R61" s="32"/>
      <c r="S61" s="32"/>
      <c r="T61" s="32"/>
    </row>
    <row r="62" spans="3:20" x14ac:dyDescent="0.25">
      <c r="C62" s="7"/>
      <c r="D62" s="7"/>
      <c r="E62" s="7" t="s">
        <v>19</v>
      </c>
      <c r="F62" s="7"/>
      <c r="G62" s="8" t="s">
        <v>20</v>
      </c>
      <c r="H62" s="30" t="s">
        <v>134</v>
      </c>
      <c r="I62" s="30"/>
      <c r="J62" s="30"/>
      <c r="K62" s="30"/>
      <c r="L62" s="7" t="s">
        <v>25</v>
      </c>
      <c r="M62" s="32"/>
      <c r="N62" s="32"/>
      <c r="O62" s="31">
        <f>'Retrofit - ELC'!$F$30-'Retrofit - ELC'!$D$30</f>
        <v>-0.13134727159888887</v>
      </c>
      <c r="P62" s="32"/>
      <c r="Q62" s="32"/>
      <c r="R62" s="32"/>
      <c r="S62" s="32"/>
      <c r="T62" s="32"/>
    </row>
    <row r="63" spans="3:20" x14ac:dyDescent="0.25">
      <c r="C63" s="7"/>
      <c r="D63" s="7"/>
      <c r="E63" s="7" t="s">
        <v>19</v>
      </c>
      <c r="F63" s="7"/>
      <c r="G63" s="8" t="s">
        <v>20</v>
      </c>
      <c r="H63" s="30" t="s">
        <v>135</v>
      </c>
      <c r="I63" s="30"/>
      <c r="J63" s="30"/>
      <c r="K63" s="30"/>
      <c r="L63" s="7" t="s">
        <v>25</v>
      </c>
      <c r="M63" s="32"/>
      <c r="N63" s="32"/>
      <c r="O63" s="31">
        <f>'Retrofit - ELC'!$G$30-'Retrofit - ELC'!$C$30</f>
        <v>-0.28173296705167861</v>
      </c>
      <c r="P63" s="32"/>
      <c r="Q63" s="32"/>
      <c r="R63" s="32"/>
      <c r="S63" s="32"/>
      <c r="T63" s="32"/>
    </row>
    <row r="64" spans="3:20" x14ac:dyDescent="0.25">
      <c r="C64" s="7"/>
      <c r="D64" s="7"/>
      <c r="E64" s="7" t="s">
        <v>19</v>
      </c>
      <c r="F64" s="7"/>
      <c r="G64" s="8" t="s">
        <v>20</v>
      </c>
      <c r="H64" s="30" t="s">
        <v>136</v>
      </c>
      <c r="I64" s="30"/>
      <c r="J64" s="30"/>
      <c r="K64" s="30"/>
      <c r="L64" s="7" t="s">
        <v>25</v>
      </c>
      <c r="M64" s="32"/>
      <c r="N64" s="32"/>
      <c r="O64" s="31">
        <f>'Retrofit - ELC'!$H$30-'Retrofit - ELC'!$C$30</f>
        <v>-0.17774501257989084</v>
      </c>
      <c r="P64" s="32"/>
      <c r="Q64" s="32"/>
      <c r="R64" s="32"/>
      <c r="S64" s="32"/>
      <c r="T64" s="32"/>
    </row>
    <row r="65" spans="3:20" x14ac:dyDescent="0.25">
      <c r="C65" s="7"/>
      <c r="D65" s="7"/>
      <c r="E65" s="7" t="s">
        <v>19</v>
      </c>
      <c r="F65" s="7"/>
      <c r="G65" s="8" t="s">
        <v>20</v>
      </c>
      <c r="H65" s="30" t="s">
        <v>137</v>
      </c>
      <c r="I65" s="30"/>
      <c r="J65" s="30"/>
      <c r="K65" s="30"/>
      <c r="L65" s="7" t="s">
        <v>25</v>
      </c>
      <c r="M65" s="32"/>
      <c r="N65" s="32"/>
      <c r="O65" s="31">
        <f>'Retrofit - ELC'!$I$30-'Retrofit - ELC'!$C$30</f>
        <v>-0.30946308824415536</v>
      </c>
      <c r="P65" s="32"/>
      <c r="Q65" s="32"/>
      <c r="R65" s="32"/>
      <c r="S65" s="32"/>
      <c r="T65" s="32"/>
    </row>
    <row r="66" spans="3:20" x14ac:dyDescent="0.25">
      <c r="C66" s="7"/>
      <c r="D66" s="7"/>
      <c r="E66" s="7" t="s">
        <v>19</v>
      </c>
      <c r="F66" s="7"/>
      <c r="G66" s="8" t="s">
        <v>20</v>
      </c>
      <c r="H66" s="30" t="s">
        <v>138</v>
      </c>
      <c r="I66" s="30"/>
      <c r="J66" s="30"/>
      <c r="K66" s="30"/>
      <c r="L66" s="7" t="s">
        <v>25</v>
      </c>
      <c r="M66" s="32"/>
      <c r="N66" s="32"/>
      <c r="O66" s="31">
        <f>'Retrofit - ELC'!$J$30-'Retrofit - ELC'!$C$30</f>
        <v>-0.24707031556108267</v>
      </c>
      <c r="P66" s="32"/>
      <c r="Q66" s="32"/>
      <c r="R66" s="32"/>
      <c r="S66" s="32"/>
      <c r="T66" s="32"/>
    </row>
    <row r="67" spans="3:20" x14ac:dyDescent="0.25">
      <c r="C67" s="7"/>
      <c r="D67" s="7"/>
      <c r="E67" s="7" t="s">
        <v>19</v>
      </c>
      <c r="F67" s="7"/>
      <c r="G67" s="8" t="s">
        <v>20</v>
      </c>
      <c r="H67" s="30" t="s">
        <v>139</v>
      </c>
      <c r="I67" s="30"/>
      <c r="J67" s="30"/>
      <c r="K67" s="30"/>
      <c r="L67" s="7" t="s">
        <v>25</v>
      </c>
      <c r="M67" s="32"/>
      <c r="N67" s="32"/>
      <c r="O67" s="31">
        <f>'Retrofit - ELC'!$D$35-'Retrofit - ELC'!$C$35</f>
        <v>-7.2188919142073565E-2</v>
      </c>
      <c r="P67" s="32"/>
      <c r="Q67" s="32"/>
      <c r="R67" s="32"/>
      <c r="S67" s="32"/>
      <c r="T67" s="32"/>
    </row>
    <row r="68" spans="3:20" x14ac:dyDescent="0.25">
      <c r="C68" s="7"/>
      <c r="D68" s="7"/>
      <c r="E68" s="7" t="s">
        <v>19</v>
      </c>
      <c r="F68" s="7"/>
      <c r="G68" s="8" t="s">
        <v>20</v>
      </c>
      <c r="H68" s="30" t="s">
        <v>140</v>
      </c>
      <c r="I68" s="30"/>
      <c r="J68" s="30"/>
      <c r="K68" s="30"/>
      <c r="L68" s="7" t="s">
        <v>25</v>
      </c>
      <c r="M68" s="32"/>
      <c r="N68" s="32"/>
      <c r="O68" s="31">
        <f>'Retrofit - ELC'!$E$35-'Retrofit - ELC'!$D$35</f>
        <v>-8.9163960309573048E-2</v>
      </c>
      <c r="P68" s="32"/>
      <c r="Q68" s="32"/>
      <c r="R68" s="32"/>
      <c r="S68" s="32"/>
      <c r="T68" s="32"/>
    </row>
    <row r="69" spans="3:20" x14ac:dyDescent="0.25">
      <c r="C69" s="7"/>
      <c r="D69" s="7"/>
      <c r="E69" s="7" t="s">
        <v>19</v>
      </c>
      <c r="F69" s="7"/>
      <c r="G69" s="8" t="s">
        <v>20</v>
      </c>
      <c r="H69" s="30" t="s">
        <v>141</v>
      </c>
      <c r="I69" s="30"/>
      <c r="J69" s="30"/>
      <c r="K69" s="30"/>
      <c r="L69" s="7" t="s">
        <v>25</v>
      </c>
      <c r="M69" s="32"/>
      <c r="N69" s="32"/>
      <c r="O69" s="31">
        <f>'Retrofit - ELC'!$F$35-'Retrofit - ELC'!$D$35</f>
        <v>-3.0324440114788756E-2</v>
      </c>
      <c r="P69" s="32"/>
      <c r="Q69" s="32"/>
      <c r="R69" s="32"/>
      <c r="S69" s="32"/>
      <c r="T69" s="32"/>
    </row>
    <row r="70" spans="3:20" x14ac:dyDescent="0.25">
      <c r="C70" s="7"/>
      <c r="D70" s="7"/>
      <c r="E70" s="7" t="s">
        <v>19</v>
      </c>
      <c r="F70" s="7"/>
      <c r="G70" s="8" t="s">
        <v>20</v>
      </c>
      <c r="H70" s="30" t="s">
        <v>142</v>
      </c>
      <c r="I70" s="30"/>
      <c r="J70" s="30"/>
      <c r="K70" s="30"/>
      <c r="L70" s="7" t="s">
        <v>25</v>
      </c>
      <c r="M70" s="32"/>
      <c r="N70" s="32"/>
      <c r="O70" s="31">
        <f>'Retrofit - ELC'!$G$35-'Retrofit - ELC'!$C$35</f>
        <v>-0.15778245721280415</v>
      </c>
      <c r="P70" s="32"/>
      <c r="Q70" s="32"/>
      <c r="R70" s="32"/>
      <c r="S70" s="32"/>
      <c r="T70" s="32"/>
    </row>
    <row r="71" spans="3:20" x14ac:dyDescent="0.25">
      <c r="C71" s="7"/>
      <c r="D71" s="7"/>
      <c r="E71" s="7" t="s">
        <v>19</v>
      </c>
      <c r="F71" s="7"/>
      <c r="G71" s="8" t="s">
        <v>20</v>
      </c>
      <c r="H71" s="30" t="s">
        <v>143</v>
      </c>
      <c r="I71" s="30"/>
      <c r="J71" s="30"/>
      <c r="K71" s="30"/>
      <c r="L71" s="7" t="s">
        <v>25</v>
      </c>
      <c r="M71" s="32"/>
      <c r="N71" s="32"/>
      <c r="O71" s="31">
        <f>'Retrofit - ELC'!$H$35-'Retrofit - ELC'!$C$35</f>
        <v>-9.3587303659756205E-2</v>
      </c>
      <c r="P71" s="32"/>
      <c r="Q71" s="32"/>
      <c r="R71" s="32"/>
      <c r="S71" s="32"/>
      <c r="T71" s="32"/>
    </row>
    <row r="72" spans="3:20" x14ac:dyDescent="0.25">
      <c r="C72" s="7"/>
      <c r="D72" s="7"/>
      <c r="E72" s="7" t="s">
        <v>19</v>
      </c>
      <c r="F72" s="7"/>
      <c r="G72" s="8" t="s">
        <v>20</v>
      </c>
      <c r="H72" s="30" t="s">
        <v>144</v>
      </c>
      <c r="I72" s="30"/>
      <c r="J72" s="30"/>
      <c r="K72" s="30"/>
      <c r="L72" s="7" t="s">
        <v>25</v>
      </c>
      <c r="M72" s="32"/>
      <c r="N72" s="32"/>
      <c r="O72" s="31">
        <f>'Retrofit - ELC'!$I$35-'Retrofit - ELC'!$C$35</f>
        <v>-0.17490116482695028</v>
      </c>
      <c r="P72" s="32"/>
      <c r="Q72" s="32"/>
      <c r="R72" s="32"/>
      <c r="S72" s="32"/>
      <c r="T72" s="32"/>
    </row>
    <row r="73" spans="3:20" x14ac:dyDescent="0.25">
      <c r="C73" s="7"/>
      <c r="D73" s="7"/>
      <c r="E73" s="7" t="s">
        <v>19</v>
      </c>
      <c r="F73" s="7"/>
      <c r="G73" s="8" t="s">
        <v>20</v>
      </c>
      <c r="H73" s="30" t="s">
        <v>145</v>
      </c>
      <c r="I73" s="30"/>
      <c r="J73" s="30"/>
      <c r="K73" s="30"/>
      <c r="L73" s="7" t="s">
        <v>25</v>
      </c>
      <c r="M73" s="32"/>
      <c r="N73" s="32"/>
      <c r="O73" s="31">
        <f>'Retrofit - ELC'!$J$35-'Retrofit - ELC'!$C$35</f>
        <v>-0.13638407269512151</v>
      </c>
      <c r="P73" s="32"/>
      <c r="Q73" s="32"/>
      <c r="R73" s="32"/>
      <c r="S73" s="32"/>
      <c r="T73" s="32"/>
    </row>
    <row r="74" spans="3:20" x14ac:dyDescent="0.25">
      <c r="C74" s="7"/>
      <c r="D74" s="7"/>
      <c r="E74" s="7" t="s">
        <v>19</v>
      </c>
      <c r="F74" s="7"/>
      <c r="G74" s="8" t="s">
        <v>20</v>
      </c>
      <c r="H74" s="30" t="s">
        <v>104</v>
      </c>
      <c r="I74" s="30"/>
      <c r="J74" s="30"/>
      <c r="K74" s="30"/>
      <c r="L74" s="7" t="s">
        <v>146</v>
      </c>
      <c r="M74" s="32"/>
      <c r="N74" s="32"/>
      <c r="O74" s="32">
        <f>O32</f>
        <v>-0.11641540490364255</v>
      </c>
      <c r="P74" s="32"/>
      <c r="Q74" s="32"/>
      <c r="R74" s="32"/>
      <c r="S74" s="32"/>
      <c r="T74" s="32"/>
    </row>
    <row r="75" spans="3:20" x14ac:dyDescent="0.25">
      <c r="C75" s="7"/>
      <c r="D75" s="7"/>
      <c r="E75" s="7" t="s">
        <v>19</v>
      </c>
      <c r="F75" s="7"/>
      <c r="G75" s="8" t="s">
        <v>20</v>
      </c>
      <c r="H75" s="30" t="s">
        <v>105</v>
      </c>
      <c r="I75" s="30"/>
      <c r="J75" s="30"/>
      <c r="K75" s="30"/>
      <c r="L75" s="7" t="s">
        <v>146</v>
      </c>
      <c r="M75" s="32"/>
      <c r="N75" s="32"/>
      <c r="O75" s="32">
        <f t="shared" ref="O75:O115" si="1">O33</f>
        <v>-0.18223190439794668</v>
      </c>
      <c r="P75" s="32"/>
      <c r="Q75" s="32"/>
      <c r="R75" s="32"/>
      <c r="S75" s="32"/>
      <c r="T75" s="32"/>
    </row>
    <row r="76" spans="3:20" x14ac:dyDescent="0.25">
      <c r="C76" s="7"/>
      <c r="D76" s="7"/>
      <c r="E76" s="7" t="s">
        <v>19</v>
      </c>
      <c r="F76" s="7"/>
      <c r="G76" s="8" t="s">
        <v>20</v>
      </c>
      <c r="H76" s="30" t="s">
        <v>106</v>
      </c>
      <c r="I76" s="30"/>
      <c r="J76" s="30"/>
      <c r="K76" s="30"/>
      <c r="L76" s="7" t="s">
        <v>146</v>
      </c>
      <c r="M76" s="32"/>
      <c r="N76" s="32"/>
      <c r="O76" s="32">
        <f t="shared" si="1"/>
        <v>-0.11061361968652851</v>
      </c>
      <c r="P76" s="32"/>
      <c r="Q76" s="32"/>
      <c r="R76" s="32"/>
      <c r="S76" s="32"/>
      <c r="T76" s="32"/>
    </row>
    <row r="77" spans="3:20" x14ac:dyDescent="0.25">
      <c r="C77" s="7"/>
      <c r="D77" s="7"/>
      <c r="E77" s="7" t="s">
        <v>19</v>
      </c>
      <c r="F77" s="7"/>
      <c r="G77" s="8" t="s">
        <v>20</v>
      </c>
      <c r="H77" s="30" t="s">
        <v>107</v>
      </c>
      <c r="I77" s="30"/>
      <c r="J77" s="30"/>
      <c r="K77" s="30"/>
      <c r="L77" s="7" t="s">
        <v>146</v>
      </c>
      <c r="M77" s="32"/>
      <c r="N77" s="32"/>
      <c r="O77" s="32">
        <f t="shared" si="1"/>
        <v>-0.26973368992957064</v>
      </c>
      <c r="P77" s="32"/>
      <c r="Q77" s="32"/>
      <c r="R77" s="32"/>
      <c r="S77" s="32"/>
      <c r="T77" s="32"/>
    </row>
    <row r="78" spans="3:20" x14ac:dyDescent="0.25">
      <c r="C78" s="7"/>
      <c r="D78" s="7"/>
      <c r="E78" s="7" t="s">
        <v>19</v>
      </c>
      <c r="F78" s="7"/>
      <c r="G78" s="8" t="s">
        <v>20</v>
      </c>
      <c r="H78" s="30" t="s">
        <v>108</v>
      </c>
      <c r="I78" s="30"/>
      <c r="J78" s="30"/>
      <c r="K78" s="30"/>
      <c r="L78" s="7" t="s">
        <v>146</v>
      </c>
      <c r="M78" s="32"/>
      <c r="N78" s="32"/>
      <c r="O78" s="32">
        <f t="shared" si="1"/>
        <v>-0.15474497616012459</v>
      </c>
      <c r="P78" s="32"/>
      <c r="Q78" s="32"/>
      <c r="R78" s="32"/>
      <c r="S78" s="32"/>
      <c r="T78" s="32"/>
    </row>
    <row r="79" spans="3:20" x14ac:dyDescent="0.25">
      <c r="C79" s="7"/>
      <c r="D79" s="7"/>
      <c r="E79" s="7" t="s">
        <v>19</v>
      </c>
      <c r="F79" s="7"/>
      <c r="G79" s="8" t="s">
        <v>20</v>
      </c>
      <c r="H79" s="30" t="s">
        <v>109</v>
      </c>
      <c r="I79" s="30"/>
      <c r="J79" s="30"/>
      <c r="K79" s="30"/>
      <c r="L79" s="7" t="s">
        <v>146</v>
      </c>
      <c r="M79" s="32"/>
      <c r="N79" s="32"/>
      <c r="O79" s="32">
        <f t="shared" si="1"/>
        <v>-0.30039734693475617</v>
      </c>
      <c r="P79" s="32"/>
      <c r="Q79" s="32"/>
      <c r="R79" s="32"/>
      <c r="S79" s="32"/>
      <c r="T79" s="32"/>
    </row>
    <row r="80" spans="3:20" x14ac:dyDescent="0.25">
      <c r="C80" s="7"/>
      <c r="D80" s="7"/>
      <c r="E80" s="7" t="s">
        <v>19</v>
      </c>
      <c r="F80" s="7"/>
      <c r="G80" s="8" t="s">
        <v>20</v>
      </c>
      <c r="H80" s="30" t="s">
        <v>110</v>
      </c>
      <c r="I80" s="30"/>
      <c r="J80" s="30"/>
      <c r="K80" s="30"/>
      <c r="L80" s="7" t="s">
        <v>146</v>
      </c>
      <c r="M80" s="32"/>
      <c r="N80" s="32"/>
      <c r="O80" s="32">
        <f t="shared" si="1"/>
        <v>-0.23140411867308858</v>
      </c>
      <c r="P80" s="32"/>
      <c r="Q80" s="32"/>
      <c r="R80" s="32"/>
      <c r="S80" s="32"/>
      <c r="T80" s="32"/>
    </row>
    <row r="81" spans="3:20" x14ac:dyDescent="0.25">
      <c r="C81" s="7"/>
      <c r="D81" s="7"/>
      <c r="E81" s="7" t="s">
        <v>19</v>
      </c>
      <c r="F81" s="7"/>
      <c r="G81" s="8" t="s">
        <v>20</v>
      </c>
      <c r="H81" s="30" t="s">
        <v>111</v>
      </c>
      <c r="I81" s="30"/>
      <c r="J81" s="30"/>
      <c r="K81" s="30"/>
      <c r="L81" s="7" t="s">
        <v>146</v>
      </c>
      <c r="M81" s="32"/>
      <c r="N81" s="32"/>
      <c r="O81" s="32">
        <f t="shared" si="1"/>
        <v>-0.14308236108929492</v>
      </c>
      <c r="P81" s="32"/>
      <c r="Q81" s="32"/>
      <c r="R81" s="32"/>
      <c r="S81" s="32"/>
      <c r="T81" s="32"/>
    </row>
    <row r="82" spans="3:20" x14ac:dyDescent="0.25">
      <c r="C82" s="7"/>
      <c r="D82" s="7"/>
      <c r="E82" s="7" t="s">
        <v>19</v>
      </c>
      <c r="F82" s="7"/>
      <c r="G82" s="8" t="s">
        <v>20</v>
      </c>
      <c r="H82" s="30" t="s">
        <v>112</v>
      </c>
      <c r="I82" s="30"/>
      <c r="J82" s="30"/>
      <c r="K82" s="30"/>
      <c r="L82" s="7" t="s">
        <v>146</v>
      </c>
      <c r="M82" s="32"/>
      <c r="N82" s="32"/>
      <c r="O82" s="32">
        <f t="shared" si="1"/>
        <v>-0.17732445400570085</v>
      </c>
      <c r="P82" s="32"/>
      <c r="Q82" s="32"/>
      <c r="R82" s="32"/>
      <c r="S82" s="32"/>
      <c r="T82" s="32"/>
    </row>
    <row r="83" spans="3:20" x14ac:dyDescent="0.25">
      <c r="C83" s="7"/>
      <c r="D83" s="7"/>
      <c r="E83" s="7" t="s">
        <v>19</v>
      </c>
      <c r="F83" s="7"/>
      <c r="G83" s="8" t="s">
        <v>20</v>
      </c>
      <c r="H83" s="30" t="s">
        <v>113</v>
      </c>
      <c r="I83" s="30"/>
      <c r="J83" s="30"/>
      <c r="K83" s="30"/>
      <c r="L83" s="7" t="s">
        <v>146</v>
      </c>
      <c r="M83" s="32"/>
      <c r="N83" s="32"/>
      <c r="O83" s="32">
        <f t="shared" si="1"/>
        <v>-0.13134727159888887</v>
      </c>
      <c r="P83" s="32"/>
      <c r="Q83" s="32"/>
      <c r="R83" s="32"/>
      <c r="S83" s="32"/>
      <c r="T83" s="32"/>
    </row>
    <row r="84" spans="3:20" x14ac:dyDescent="0.25">
      <c r="C84" s="7"/>
      <c r="D84" s="7"/>
      <c r="E84" s="7" t="s">
        <v>19</v>
      </c>
      <c r="F84" s="7"/>
      <c r="G84" s="8" t="s">
        <v>20</v>
      </c>
      <c r="H84" s="30" t="s">
        <v>114</v>
      </c>
      <c r="I84" s="30"/>
      <c r="J84" s="30"/>
      <c r="K84" s="30"/>
      <c r="L84" s="7" t="s">
        <v>146</v>
      </c>
      <c r="M84" s="32"/>
      <c r="N84" s="32"/>
      <c r="O84" s="32">
        <f t="shared" si="1"/>
        <v>-0.28173296705167861</v>
      </c>
      <c r="P84" s="32"/>
      <c r="Q84" s="32"/>
      <c r="R84" s="32"/>
      <c r="S84" s="32"/>
      <c r="T84" s="32"/>
    </row>
    <row r="85" spans="3:20" x14ac:dyDescent="0.25">
      <c r="C85" s="7"/>
      <c r="D85" s="7"/>
      <c r="E85" s="7" t="s">
        <v>19</v>
      </c>
      <c r="F85" s="7"/>
      <c r="G85" s="8" t="s">
        <v>20</v>
      </c>
      <c r="H85" s="30" t="s">
        <v>115</v>
      </c>
      <c r="I85" s="30"/>
      <c r="J85" s="30"/>
      <c r="K85" s="30"/>
      <c r="L85" s="7" t="s">
        <v>146</v>
      </c>
      <c r="M85" s="32"/>
      <c r="N85" s="32"/>
      <c r="O85" s="32">
        <f t="shared" si="1"/>
        <v>-0.17774501257989084</v>
      </c>
      <c r="P85" s="32"/>
      <c r="Q85" s="32"/>
      <c r="R85" s="32"/>
      <c r="S85" s="32"/>
      <c r="T85" s="32"/>
    </row>
    <row r="86" spans="3:20" x14ac:dyDescent="0.25">
      <c r="C86" s="7"/>
      <c r="D86" s="7"/>
      <c r="E86" s="7" t="s">
        <v>19</v>
      </c>
      <c r="F86" s="7"/>
      <c r="G86" s="8" t="s">
        <v>20</v>
      </c>
      <c r="H86" s="30" t="s">
        <v>116</v>
      </c>
      <c r="I86" s="30"/>
      <c r="J86" s="30"/>
      <c r="K86" s="30"/>
      <c r="L86" s="7" t="s">
        <v>146</v>
      </c>
      <c r="M86" s="32"/>
      <c r="N86" s="32"/>
      <c r="O86" s="32">
        <f t="shared" si="1"/>
        <v>-0.30946308824415536</v>
      </c>
      <c r="P86" s="32"/>
      <c r="Q86" s="32"/>
      <c r="R86" s="32"/>
      <c r="S86" s="32"/>
      <c r="T86" s="32"/>
    </row>
    <row r="87" spans="3:20" x14ac:dyDescent="0.25">
      <c r="C87" s="7"/>
      <c r="D87" s="7"/>
      <c r="E87" s="7" t="s">
        <v>19</v>
      </c>
      <c r="F87" s="7"/>
      <c r="G87" s="8" t="s">
        <v>20</v>
      </c>
      <c r="H87" s="30" t="s">
        <v>117</v>
      </c>
      <c r="I87" s="30"/>
      <c r="J87" s="30"/>
      <c r="K87" s="30"/>
      <c r="L87" s="7" t="s">
        <v>146</v>
      </c>
      <c r="M87" s="32"/>
      <c r="N87" s="32"/>
      <c r="O87" s="32">
        <f t="shared" si="1"/>
        <v>-0.24707031556108267</v>
      </c>
      <c r="P87" s="32"/>
      <c r="Q87" s="32"/>
      <c r="R87" s="32"/>
      <c r="S87" s="32"/>
      <c r="T87" s="32"/>
    </row>
    <row r="88" spans="3:20" x14ac:dyDescent="0.25">
      <c r="C88" s="7"/>
      <c r="D88" s="7"/>
      <c r="E88" s="7" t="s">
        <v>19</v>
      </c>
      <c r="F88" s="7"/>
      <c r="G88" s="8" t="s">
        <v>20</v>
      </c>
      <c r="H88" s="30" t="s">
        <v>118</v>
      </c>
      <c r="I88" s="30"/>
      <c r="J88" s="30"/>
      <c r="K88" s="30"/>
      <c r="L88" s="7" t="s">
        <v>146</v>
      </c>
      <c r="M88" s="32"/>
      <c r="N88" s="32"/>
      <c r="O88" s="32">
        <f t="shared" si="1"/>
        <v>-7.2188919142073565E-2</v>
      </c>
      <c r="P88" s="32"/>
      <c r="Q88" s="32"/>
      <c r="R88" s="32"/>
      <c r="S88" s="32"/>
      <c r="T88" s="32"/>
    </row>
    <row r="89" spans="3:20" x14ac:dyDescent="0.25">
      <c r="C89" s="7"/>
      <c r="D89" s="7"/>
      <c r="E89" s="7" t="s">
        <v>19</v>
      </c>
      <c r="F89" s="7"/>
      <c r="G89" s="8" t="s">
        <v>20</v>
      </c>
      <c r="H89" s="30" t="s">
        <v>119</v>
      </c>
      <c r="I89" s="30"/>
      <c r="J89" s="30"/>
      <c r="K89" s="30"/>
      <c r="L89" s="7" t="s">
        <v>146</v>
      </c>
      <c r="M89" s="32"/>
      <c r="N89" s="32"/>
      <c r="O89" s="32">
        <f t="shared" si="1"/>
        <v>-8.9163960309573048E-2</v>
      </c>
      <c r="P89" s="32"/>
      <c r="Q89" s="32"/>
      <c r="R89" s="32"/>
      <c r="S89" s="32"/>
      <c r="T89" s="32"/>
    </row>
    <row r="90" spans="3:20" x14ac:dyDescent="0.25">
      <c r="C90" s="7"/>
      <c r="D90" s="7"/>
      <c r="E90" s="7" t="s">
        <v>19</v>
      </c>
      <c r="F90" s="7"/>
      <c r="G90" s="8" t="s">
        <v>20</v>
      </c>
      <c r="H90" s="30" t="s">
        <v>120</v>
      </c>
      <c r="I90" s="30"/>
      <c r="J90" s="30"/>
      <c r="K90" s="30"/>
      <c r="L90" s="7" t="s">
        <v>146</v>
      </c>
      <c r="M90" s="32"/>
      <c r="N90" s="32"/>
      <c r="O90" s="32">
        <f t="shared" si="1"/>
        <v>-3.0324440114788756E-2</v>
      </c>
      <c r="P90" s="32"/>
      <c r="Q90" s="32"/>
      <c r="R90" s="32"/>
      <c r="S90" s="32"/>
      <c r="T90" s="32"/>
    </row>
    <row r="91" spans="3:20" x14ac:dyDescent="0.25">
      <c r="C91" s="7"/>
      <c r="D91" s="7"/>
      <c r="E91" s="7" t="s">
        <v>19</v>
      </c>
      <c r="F91" s="7"/>
      <c r="G91" s="8" t="s">
        <v>20</v>
      </c>
      <c r="H91" s="30" t="s">
        <v>121</v>
      </c>
      <c r="I91" s="30"/>
      <c r="J91" s="30"/>
      <c r="K91" s="30"/>
      <c r="L91" s="7" t="s">
        <v>146</v>
      </c>
      <c r="M91" s="32"/>
      <c r="N91" s="32"/>
      <c r="O91" s="32">
        <f t="shared" si="1"/>
        <v>-0.15778245721280415</v>
      </c>
      <c r="P91" s="32"/>
      <c r="Q91" s="32"/>
      <c r="R91" s="32"/>
      <c r="S91" s="32"/>
      <c r="T91" s="32"/>
    </row>
    <row r="92" spans="3:20" x14ac:dyDescent="0.25">
      <c r="C92" s="7"/>
      <c r="D92" s="7"/>
      <c r="E92" s="7" t="s">
        <v>19</v>
      </c>
      <c r="F92" s="7"/>
      <c r="G92" s="8" t="s">
        <v>20</v>
      </c>
      <c r="H92" s="30" t="s">
        <v>122</v>
      </c>
      <c r="I92" s="30"/>
      <c r="J92" s="30"/>
      <c r="K92" s="30"/>
      <c r="L92" s="7" t="s">
        <v>146</v>
      </c>
      <c r="M92" s="32"/>
      <c r="N92" s="32"/>
      <c r="O92" s="32">
        <f t="shared" si="1"/>
        <v>-9.3587303659756205E-2</v>
      </c>
      <c r="P92" s="32"/>
      <c r="Q92" s="32"/>
      <c r="R92" s="32"/>
      <c r="S92" s="32"/>
      <c r="T92" s="32"/>
    </row>
    <row r="93" spans="3:20" x14ac:dyDescent="0.25">
      <c r="C93" s="7"/>
      <c r="D93" s="7"/>
      <c r="E93" s="7" t="s">
        <v>19</v>
      </c>
      <c r="F93" s="7"/>
      <c r="G93" s="8" t="s">
        <v>20</v>
      </c>
      <c r="H93" s="30" t="s">
        <v>123</v>
      </c>
      <c r="I93" s="30"/>
      <c r="J93" s="30"/>
      <c r="K93" s="30"/>
      <c r="L93" s="7" t="s">
        <v>146</v>
      </c>
      <c r="M93" s="32"/>
      <c r="N93" s="32"/>
      <c r="O93" s="32">
        <f t="shared" si="1"/>
        <v>-0.17490116482695028</v>
      </c>
      <c r="P93" s="32"/>
      <c r="Q93" s="32"/>
      <c r="R93" s="32"/>
      <c r="S93" s="32"/>
      <c r="T93" s="32"/>
    </row>
    <row r="94" spans="3:20" x14ac:dyDescent="0.25">
      <c r="C94" s="7"/>
      <c r="D94" s="7"/>
      <c r="E94" s="7" t="s">
        <v>19</v>
      </c>
      <c r="F94" s="7"/>
      <c r="G94" s="8" t="s">
        <v>20</v>
      </c>
      <c r="H94" s="30" t="s">
        <v>124</v>
      </c>
      <c r="I94" s="30"/>
      <c r="J94" s="30"/>
      <c r="K94" s="30"/>
      <c r="L94" s="7" t="s">
        <v>146</v>
      </c>
      <c r="M94" s="32"/>
      <c r="N94" s="32"/>
      <c r="O94" s="32">
        <f t="shared" si="1"/>
        <v>-0.13638407269512151</v>
      </c>
      <c r="P94" s="32"/>
      <c r="Q94" s="32"/>
      <c r="R94" s="32"/>
      <c r="S94" s="32"/>
      <c r="T94" s="32"/>
    </row>
    <row r="95" spans="3:20" x14ac:dyDescent="0.25">
      <c r="C95" s="7"/>
      <c r="D95" s="7"/>
      <c r="E95" s="7" t="s">
        <v>19</v>
      </c>
      <c r="F95" s="7"/>
      <c r="G95" s="8" t="s">
        <v>20</v>
      </c>
      <c r="H95" s="30" t="s">
        <v>125</v>
      </c>
      <c r="I95" s="30"/>
      <c r="J95" s="30"/>
      <c r="K95" s="30"/>
      <c r="L95" s="7" t="s">
        <v>146</v>
      </c>
      <c r="M95" s="32"/>
      <c r="N95" s="32"/>
      <c r="O95" s="32">
        <f t="shared" si="1"/>
        <v>-0.11641540490364255</v>
      </c>
      <c r="P95" s="32"/>
      <c r="Q95" s="32"/>
      <c r="R95" s="32"/>
      <c r="S95" s="32"/>
      <c r="T95" s="32"/>
    </row>
    <row r="96" spans="3:20" x14ac:dyDescent="0.25">
      <c r="C96" s="7"/>
      <c r="D96" s="7"/>
      <c r="E96" s="7" t="s">
        <v>19</v>
      </c>
      <c r="F96" s="7"/>
      <c r="G96" s="8" t="s">
        <v>20</v>
      </c>
      <c r="H96" s="30" t="s">
        <v>126</v>
      </c>
      <c r="I96" s="30"/>
      <c r="J96" s="30"/>
      <c r="K96" s="30"/>
      <c r="L96" s="7" t="s">
        <v>146</v>
      </c>
      <c r="M96" s="32"/>
      <c r="N96" s="32"/>
      <c r="O96" s="32">
        <f t="shared" si="1"/>
        <v>-0.18223190439794668</v>
      </c>
      <c r="P96" s="32"/>
      <c r="Q96" s="32"/>
      <c r="R96" s="32"/>
      <c r="S96" s="32"/>
      <c r="T96" s="32"/>
    </row>
    <row r="97" spans="3:20" x14ac:dyDescent="0.25">
      <c r="C97" s="7"/>
      <c r="D97" s="7"/>
      <c r="E97" s="7" t="s">
        <v>19</v>
      </c>
      <c r="F97" s="7"/>
      <c r="G97" s="8" t="s">
        <v>20</v>
      </c>
      <c r="H97" s="30" t="s">
        <v>127</v>
      </c>
      <c r="I97" s="30"/>
      <c r="J97" s="30"/>
      <c r="K97" s="30"/>
      <c r="L97" s="7" t="s">
        <v>146</v>
      </c>
      <c r="M97" s="32"/>
      <c r="N97" s="32"/>
      <c r="O97" s="32">
        <f t="shared" si="1"/>
        <v>-0.11061361968652851</v>
      </c>
      <c r="P97" s="32"/>
      <c r="Q97" s="32"/>
      <c r="R97" s="32"/>
      <c r="S97" s="32"/>
      <c r="T97" s="32"/>
    </row>
    <row r="98" spans="3:20" x14ac:dyDescent="0.25">
      <c r="C98" s="7"/>
      <c r="D98" s="7"/>
      <c r="E98" s="7" t="s">
        <v>19</v>
      </c>
      <c r="F98" s="7"/>
      <c r="G98" s="8" t="s">
        <v>20</v>
      </c>
      <c r="H98" s="30" t="s">
        <v>128</v>
      </c>
      <c r="I98" s="30"/>
      <c r="J98" s="30"/>
      <c r="K98" s="30"/>
      <c r="L98" s="7" t="s">
        <v>146</v>
      </c>
      <c r="M98" s="32"/>
      <c r="N98" s="32"/>
      <c r="O98" s="32">
        <f t="shared" si="1"/>
        <v>-0.26973368992957064</v>
      </c>
      <c r="P98" s="32"/>
      <c r="Q98" s="32"/>
      <c r="R98" s="32"/>
      <c r="S98" s="32"/>
      <c r="T98" s="32"/>
    </row>
    <row r="99" spans="3:20" x14ac:dyDescent="0.25">
      <c r="C99" s="7"/>
      <c r="D99" s="7"/>
      <c r="E99" s="7" t="s">
        <v>19</v>
      </c>
      <c r="F99" s="7"/>
      <c r="G99" s="8" t="s">
        <v>20</v>
      </c>
      <c r="H99" s="30" t="s">
        <v>129</v>
      </c>
      <c r="I99" s="30"/>
      <c r="J99" s="30"/>
      <c r="K99" s="30"/>
      <c r="L99" s="7" t="s">
        <v>146</v>
      </c>
      <c r="M99" s="32"/>
      <c r="N99" s="32"/>
      <c r="O99" s="32">
        <f t="shared" si="1"/>
        <v>-0.15474497616012459</v>
      </c>
      <c r="P99" s="32"/>
      <c r="Q99" s="32"/>
      <c r="R99" s="32"/>
      <c r="S99" s="32"/>
      <c r="T99" s="32"/>
    </row>
    <row r="100" spans="3:20" x14ac:dyDescent="0.25">
      <c r="C100" s="7"/>
      <c r="D100" s="7"/>
      <c r="E100" s="7" t="s">
        <v>19</v>
      </c>
      <c r="F100" s="7"/>
      <c r="G100" s="8" t="s">
        <v>20</v>
      </c>
      <c r="H100" s="30" t="s">
        <v>130</v>
      </c>
      <c r="I100" s="30"/>
      <c r="J100" s="30"/>
      <c r="K100" s="30"/>
      <c r="L100" s="7" t="s">
        <v>146</v>
      </c>
      <c r="M100" s="32"/>
      <c r="N100" s="32"/>
      <c r="O100" s="32">
        <f t="shared" si="1"/>
        <v>-0.30039734693475617</v>
      </c>
      <c r="P100" s="32"/>
      <c r="Q100" s="32"/>
      <c r="R100" s="32"/>
      <c r="S100" s="32"/>
      <c r="T100" s="32"/>
    </row>
    <row r="101" spans="3:20" x14ac:dyDescent="0.25">
      <c r="C101" s="7"/>
      <c r="D101" s="7"/>
      <c r="E101" s="7" t="s">
        <v>19</v>
      </c>
      <c r="F101" s="7"/>
      <c r="G101" s="8" t="s">
        <v>20</v>
      </c>
      <c r="H101" s="30" t="s">
        <v>131</v>
      </c>
      <c r="I101" s="30"/>
      <c r="J101" s="30"/>
      <c r="K101" s="30"/>
      <c r="L101" s="7" t="s">
        <v>146</v>
      </c>
      <c r="M101" s="32"/>
      <c r="N101" s="32"/>
      <c r="O101" s="32">
        <f t="shared" si="1"/>
        <v>-0.23140411867308858</v>
      </c>
      <c r="P101" s="32"/>
      <c r="Q101" s="32"/>
      <c r="R101" s="32"/>
      <c r="S101" s="32"/>
      <c r="T101" s="32"/>
    </row>
    <row r="102" spans="3:20" x14ac:dyDescent="0.25">
      <c r="C102" s="7"/>
      <c r="D102" s="7"/>
      <c r="E102" s="7" t="s">
        <v>19</v>
      </c>
      <c r="F102" s="7"/>
      <c r="G102" s="8" t="s">
        <v>20</v>
      </c>
      <c r="H102" s="30" t="s">
        <v>132</v>
      </c>
      <c r="I102" s="30"/>
      <c r="J102" s="30"/>
      <c r="K102" s="30"/>
      <c r="L102" s="7" t="s">
        <v>146</v>
      </c>
      <c r="M102" s="32"/>
      <c r="N102" s="32"/>
      <c r="O102" s="32">
        <f t="shared" si="1"/>
        <v>-0.14308236108929492</v>
      </c>
      <c r="P102" s="32"/>
      <c r="Q102" s="32"/>
      <c r="R102" s="32"/>
      <c r="S102" s="32"/>
      <c r="T102" s="32"/>
    </row>
    <row r="103" spans="3:20" x14ac:dyDescent="0.25">
      <c r="C103" s="7"/>
      <c r="D103" s="7"/>
      <c r="E103" s="7" t="s">
        <v>19</v>
      </c>
      <c r="F103" s="7"/>
      <c r="G103" s="8" t="s">
        <v>20</v>
      </c>
      <c r="H103" s="30" t="s">
        <v>133</v>
      </c>
      <c r="I103" s="30"/>
      <c r="J103" s="30"/>
      <c r="K103" s="30"/>
      <c r="L103" s="7" t="s">
        <v>146</v>
      </c>
      <c r="M103" s="32"/>
      <c r="N103" s="32"/>
      <c r="O103" s="32">
        <f t="shared" si="1"/>
        <v>-0.17732445400570085</v>
      </c>
      <c r="P103" s="32"/>
      <c r="Q103" s="32"/>
      <c r="R103" s="32"/>
      <c r="S103" s="32"/>
      <c r="T103" s="32"/>
    </row>
    <row r="104" spans="3:20" x14ac:dyDescent="0.25">
      <c r="C104" s="7"/>
      <c r="D104" s="7"/>
      <c r="E104" s="7" t="s">
        <v>19</v>
      </c>
      <c r="F104" s="7"/>
      <c r="G104" s="8" t="s">
        <v>20</v>
      </c>
      <c r="H104" s="30" t="s">
        <v>134</v>
      </c>
      <c r="I104" s="30"/>
      <c r="J104" s="30"/>
      <c r="K104" s="30"/>
      <c r="L104" s="7" t="s">
        <v>146</v>
      </c>
      <c r="M104" s="32"/>
      <c r="N104" s="32"/>
      <c r="O104" s="32">
        <f t="shared" si="1"/>
        <v>-0.13134727159888887</v>
      </c>
      <c r="P104" s="32"/>
      <c r="Q104" s="32"/>
      <c r="R104" s="32"/>
      <c r="S104" s="32"/>
      <c r="T104" s="32"/>
    </row>
    <row r="105" spans="3:20" x14ac:dyDescent="0.25">
      <c r="C105" s="7"/>
      <c r="D105" s="7"/>
      <c r="E105" s="7" t="s">
        <v>19</v>
      </c>
      <c r="F105" s="7"/>
      <c r="G105" s="8" t="s">
        <v>20</v>
      </c>
      <c r="H105" s="30" t="s">
        <v>135</v>
      </c>
      <c r="I105" s="30"/>
      <c r="J105" s="30"/>
      <c r="K105" s="30"/>
      <c r="L105" s="7" t="s">
        <v>146</v>
      </c>
      <c r="M105" s="32"/>
      <c r="N105" s="32"/>
      <c r="O105" s="32">
        <f t="shared" si="1"/>
        <v>-0.28173296705167861</v>
      </c>
      <c r="P105" s="32"/>
      <c r="Q105" s="32"/>
      <c r="R105" s="32"/>
      <c r="S105" s="32"/>
      <c r="T105" s="32"/>
    </row>
    <row r="106" spans="3:20" x14ac:dyDescent="0.25">
      <c r="C106" s="7"/>
      <c r="D106" s="7"/>
      <c r="E106" s="7" t="s">
        <v>19</v>
      </c>
      <c r="F106" s="7"/>
      <c r="G106" s="8" t="s">
        <v>20</v>
      </c>
      <c r="H106" s="30" t="s">
        <v>136</v>
      </c>
      <c r="I106" s="30"/>
      <c r="J106" s="30"/>
      <c r="K106" s="30"/>
      <c r="L106" s="7" t="s">
        <v>146</v>
      </c>
      <c r="M106" s="32"/>
      <c r="N106" s="32"/>
      <c r="O106" s="32">
        <f t="shared" si="1"/>
        <v>-0.17774501257989084</v>
      </c>
      <c r="P106" s="32"/>
      <c r="Q106" s="32"/>
      <c r="R106" s="32"/>
      <c r="S106" s="32"/>
      <c r="T106" s="32"/>
    </row>
    <row r="107" spans="3:20" x14ac:dyDescent="0.25">
      <c r="C107" s="7"/>
      <c r="D107" s="7"/>
      <c r="E107" s="7" t="s">
        <v>19</v>
      </c>
      <c r="F107" s="7"/>
      <c r="G107" s="8" t="s">
        <v>20</v>
      </c>
      <c r="H107" s="30" t="s">
        <v>137</v>
      </c>
      <c r="I107" s="30"/>
      <c r="J107" s="30"/>
      <c r="K107" s="30"/>
      <c r="L107" s="7" t="s">
        <v>146</v>
      </c>
      <c r="M107" s="32"/>
      <c r="N107" s="32"/>
      <c r="O107" s="32">
        <f t="shared" si="1"/>
        <v>-0.30946308824415536</v>
      </c>
      <c r="P107" s="32"/>
      <c r="Q107" s="32"/>
      <c r="R107" s="32"/>
      <c r="S107" s="32"/>
      <c r="T107" s="32"/>
    </row>
    <row r="108" spans="3:20" x14ac:dyDescent="0.25">
      <c r="C108" s="7"/>
      <c r="D108" s="7"/>
      <c r="E108" s="7" t="s">
        <v>19</v>
      </c>
      <c r="F108" s="7"/>
      <c r="G108" s="8" t="s">
        <v>20</v>
      </c>
      <c r="H108" s="30" t="s">
        <v>138</v>
      </c>
      <c r="I108" s="30"/>
      <c r="J108" s="30"/>
      <c r="K108" s="30"/>
      <c r="L108" s="7" t="s">
        <v>146</v>
      </c>
      <c r="M108" s="32"/>
      <c r="N108" s="32"/>
      <c r="O108" s="32">
        <f t="shared" si="1"/>
        <v>-0.24707031556108267</v>
      </c>
      <c r="P108" s="32"/>
      <c r="Q108" s="32"/>
      <c r="R108" s="32"/>
      <c r="S108" s="32"/>
      <c r="T108" s="32"/>
    </row>
    <row r="109" spans="3:20" x14ac:dyDescent="0.25">
      <c r="C109" s="7"/>
      <c r="D109" s="7"/>
      <c r="E109" s="7" t="s">
        <v>19</v>
      </c>
      <c r="F109" s="7"/>
      <c r="G109" s="8" t="s">
        <v>20</v>
      </c>
      <c r="H109" s="30" t="s">
        <v>139</v>
      </c>
      <c r="I109" s="30"/>
      <c r="J109" s="30"/>
      <c r="K109" s="30"/>
      <c r="L109" s="7" t="s">
        <v>146</v>
      </c>
      <c r="M109" s="32"/>
      <c r="N109" s="32"/>
      <c r="O109" s="32">
        <f t="shared" si="1"/>
        <v>-7.2188919142073565E-2</v>
      </c>
      <c r="P109" s="32"/>
      <c r="Q109" s="32"/>
      <c r="R109" s="32"/>
      <c r="S109" s="32"/>
      <c r="T109" s="32"/>
    </row>
    <row r="110" spans="3:20" x14ac:dyDescent="0.25">
      <c r="C110" s="7"/>
      <c r="D110" s="7"/>
      <c r="E110" s="7" t="s">
        <v>19</v>
      </c>
      <c r="F110" s="7"/>
      <c r="G110" s="8" t="s">
        <v>20</v>
      </c>
      <c r="H110" s="30" t="s">
        <v>140</v>
      </c>
      <c r="I110" s="30"/>
      <c r="J110" s="30"/>
      <c r="K110" s="30"/>
      <c r="L110" s="7" t="s">
        <v>146</v>
      </c>
      <c r="M110" s="32"/>
      <c r="N110" s="32"/>
      <c r="O110" s="32">
        <f t="shared" si="1"/>
        <v>-8.9163960309573048E-2</v>
      </c>
      <c r="P110" s="32"/>
      <c r="Q110" s="32"/>
      <c r="R110" s="32"/>
      <c r="S110" s="32"/>
      <c r="T110" s="32"/>
    </row>
    <row r="111" spans="3:20" x14ac:dyDescent="0.25">
      <c r="C111" s="7"/>
      <c r="D111" s="7"/>
      <c r="E111" s="7" t="s">
        <v>19</v>
      </c>
      <c r="F111" s="7"/>
      <c r="G111" s="8" t="s">
        <v>20</v>
      </c>
      <c r="H111" s="30" t="s">
        <v>141</v>
      </c>
      <c r="I111" s="30"/>
      <c r="J111" s="30"/>
      <c r="K111" s="30"/>
      <c r="L111" s="7" t="s">
        <v>146</v>
      </c>
      <c r="M111" s="32"/>
      <c r="N111" s="32"/>
      <c r="O111" s="32">
        <f t="shared" si="1"/>
        <v>-3.0324440114788756E-2</v>
      </c>
      <c r="P111" s="32"/>
      <c r="Q111" s="32"/>
      <c r="R111" s="32"/>
      <c r="S111" s="32"/>
      <c r="T111" s="32"/>
    </row>
    <row r="112" spans="3:20" x14ac:dyDescent="0.25">
      <c r="C112" s="7"/>
      <c r="D112" s="7"/>
      <c r="E112" s="7" t="s">
        <v>19</v>
      </c>
      <c r="F112" s="7"/>
      <c r="G112" s="8" t="s">
        <v>20</v>
      </c>
      <c r="H112" s="30" t="s">
        <v>142</v>
      </c>
      <c r="I112" s="30"/>
      <c r="J112" s="30"/>
      <c r="K112" s="30"/>
      <c r="L112" s="7" t="s">
        <v>146</v>
      </c>
      <c r="M112" s="32"/>
      <c r="N112" s="32"/>
      <c r="O112" s="32">
        <f t="shared" si="1"/>
        <v>-0.15778245721280415</v>
      </c>
      <c r="P112" s="32"/>
      <c r="Q112" s="32"/>
      <c r="R112" s="32"/>
      <c r="S112" s="32"/>
      <c r="T112" s="32"/>
    </row>
    <row r="113" spans="3:20" x14ac:dyDescent="0.25">
      <c r="C113" s="7"/>
      <c r="D113" s="7"/>
      <c r="E113" s="7" t="s">
        <v>19</v>
      </c>
      <c r="F113" s="7"/>
      <c r="G113" s="8" t="s">
        <v>20</v>
      </c>
      <c r="H113" s="30" t="s">
        <v>143</v>
      </c>
      <c r="I113" s="30"/>
      <c r="J113" s="30"/>
      <c r="K113" s="30"/>
      <c r="L113" s="7" t="s">
        <v>146</v>
      </c>
      <c r="M113" s="32"/>
      <c r="N113" s="32"/>
      <c r="O113" s="32">
        <f t="shared" si="1"/>
        <v>-9.3587303659756205E-2</v>
      </c>
      <c r="P113" s="32"/>
      <c r="Q113" s="32"/>
      <c r="R113" s="32"/>
      <c r="S113" s="32"/>
      <c r="T113" s="32"/>
    </row>
    <row r="114" spans="3:20" x14ac:dyDescent="0.25">
      <c r="C114" s="7"/>
      <c r="D114" s="7"/>
      <c r="E114" s="7" t="s">
        <v>19</v>
      </c>
      <c r="F114" s="7"/>
      <c r="G114" s="8" t="s">
        <v>20</v>
      </c>
      <c r="H114" s="30" t="s">
        <v>144</v>
      </c>
      <c r="I114" s="30"/>
      <c r="J114" s="30"/>
      <c r="K114" s="30"/>
      <c r="L114" s="7" t="s">
        <v>146</v>
      </c>
      <c r="M114" s="32"/>
      <c r="N114" s="32"/>
      <c r="O114" s="32">
        <f t="shared" si="1"/>
        <v>-0.17490116482695028</v>
      </c>
      <c r="P114" s="32"/>
      <c r="Q114" s="32"/>
      <c r="R114" s="32"/>
      <c r="S114" s="32"/>
      <c r="T114" s="32"/>
    </row>
    <row r="115" spans="3:20" x14ac:dyDescent="0.25">
      <c r="C115" s="33"/>
      <c r="D115" s="33"/>
      <c r="E115" s="33" t="s">
        <v>19</v>
      </c>
      <c r="F115" s="33"/>
      <c r="G115" s="34" t="s">
        <v>20</v>
      </c>
      <c r="H115" s="35" t="s">
        <v>145</v>
      </c>
      <c r="I115" s="35"/>
      <c r="J115" s="35"/>
      <c r="K115" s="35"/>
      <c r="L115" s="33" t="s">
        <v>146</v>
      </c>
      <c r="M115" s="36"/>
      <c r="N115" s="36"/>
      <c r="O115" s="36">
        <f t="shared" si="1"/>
        <v>-0.13638407269512151</v>
      </c>
      <c r="P115" s="36"/>
      <c r="Q115" s="36"/>
      <c r="R115" s="36"/>
      <c r="S115" s="36"/>
      <c r="T115" s="36"/>
    </row>
    <row r="116" spans="3:20" x14ac:dyDescent="0.25">
      <c r="C116" s="30"/>
      <c r="D116" s="30"/>
      <c r="E116" s="30" t="s">
        <v>19</v>
      </c>
      <c r="F116" s="30"/>
      <c r="G116" s="30" t="s">
        <v>20</v>
      </c>
      <c r="H116" s="30" t="s">
        <v>147</v>
      </c>
      <c r="I116" s="30"/>
      <c r="J116" s="30"/>
      <c r="K116" s="30"/>
      <c r="L116" s="30" t="s">
        <v>26</v>
      </c>
      <c r="M116" s="32"/>
      <c r="N116" s="32"/>
      <c r="O116" s="31">
        <v>-8.3274750000000043E-3</v>
      </c>
      <c r="P116" s="32"/>
      <c r="Q116" s="32"/>
      <c r="R116" s="32"/>
      <c r="S116" s="32"/>
      <c r="T116" s="32"/>
    </row>
    <row r="117" spans="3:20" x14ac:dyDescent="0.25">
      <c r="C117" s="30"/>
      <c r="D117" s="30"/>
      <c r="E117" s="30" t="s">
        <v>19</v>
      </c>
      <c r="F117" s="30"/>
      <c r="G117" s="30" t="s">
        <v>20</v>
      </c>
      <c r="H117" s="30" t="s">
        <v>148</v>
      </c>
      <c r="I117" s="30"/>
      <c r="J117" s="30"/>
      <c r="K117" s="30"/>
      <c r="L117" s="30" t="s">
        <v>26</v>
      </c>
      <c r="M117" s="32"/>
      <c r="N117" s="32"/>
      <c r="O117" s="31">
        <v>-7.1399999999999996E-3</v>
      </c>
      <c r="P117" s="32"/>
      <c r="Q117" s="32"/>
      <c r="R117" s="32"/>
      <c r="S117" s="32"/>
      <c r="T117" s="32"/>
    </row>
    <row r="118" spans="3:20" x14ac:dyDescent="0.25">
      <c r="C118" s="30"/>
      <c r="D118" s="30"/>
      <c r="E118" s="30" t="s">
        <v>19</v>
      </c>
      <c r="F118" s="30"/>
      <c r="G118" s="30" t="s">
        <v>20</v>
      </c>
      <c r="H118" s="30" t="s">
        <v>149</v>
      </c>
      <c r="I118" s="30"/>
      <c r="J118" s="30"/>
      <c r="K118" s="30"/>
      <c r="L118" s="30" t="s">
        <v>26</v>
      </c>
      <c r="M118" s="32"/>
      <c r="N118" s="32"/>
      <c r="O118" s="31">
        <v>-8.2512409677419317E-3</v>
      </c>
      <c r="P118" s="32"/>
      <c r="Q118" s="32"/>
      <c r="R118" s="32"/>
      <c r="S118" s="32"/>
      <c r="T118" s="32"/>
    </row>
    <row r="119" spans="3:20" x14ac:dyDescent="0.25">
      <c r="C119" s="30"/>
      <c r="D119" s="30"/>
      <c r="E119" s="30" t="s">
        <v>19</v>
      </c>
      <c r="F119" s="30"/>
      <c r="G119" s="30" t="s">
        <v>20</v>
      </c>
      <c r="H119" s="30" t="s">
        <v>150</v>
      </c>
      <c r="I119" s="30"/>
      <c r="J119" s="30"/>
      <c r="K119" s="30"/>
      <c r="L119" s="30" t="s">
        <v>26</v>
      </c>
      <c r="M119" s="32"/>
      <c r="N119" s="32"/>
      <c r="O119" s="31">
        <v>-6.4759032258067048E-5</v>
      </c>
      <c r="P119" s="32"/>
      <c r="Q119" s="32"/>
      <c r="R119" s="32"/>
      <c r="S119" s="32"/>
      <c r="T119" s="32"/>
    </row>
    <row r="120" spans="3:20" x14ac:dyDescent="0.25">
      <c r="C120" s="30"/>
      <c r="D120" s="30"/>
      <c r="E120" s="30" t="s">
        <v>19</v>
      </c>
      <c r="F120" s="30"/>
      <c r="G120" s="30" t="s">
        <v>20</v>
      </c>
      <c r="H120" s="30" t="s">
        <v>151</v>
      </c>
      <c r="I120" s="30"/>
      <c r="J120" s="30"/>
      <c r="K120" s="30"/>
      <c r="L120" s="30" t="s">
        <v>26</v>
      </c>
      <c r="M120" s="32"/>
      <c r="N120" s="32"/>
      <c r="O120" s="31">
        <v>-7.7239933333333333E-3</v>
      </c>
      <c r="P120" s="32"/>
      <c r="Q120" s="32"/>
      <c r="R120" s="32"/>
      <c r="S120" s="32"/>
      <c r="T120" s="32"/>
    </row>
    <row r="121" spans="3:20" x14ac:dyDescent="0.25">
      <c r="C121" s="30"/>
      <c r="D121" s="30"/>
      <c r="E121" s="30" t="s">
        <v>19</v>
      </c>
      <c r="F121" s="30"/>
      <c r="G121" s="30" t="s">
        <v>20</v>
      </c>
      <c r="H121" s="30" t="s">
        <v>152</v>
      </c>
      <c r="I121" s="30"/>
      <c r="J121" s="30"/>
      <c r="K121" s="30"/>
      <c r="L121" s="30" t="s">
        <v>26</v>
      </c>
      <c r="M121" s="32"/>
      <c r="N121" s="32"/>
      <c r="O121" s="31">
        <v>-7.7063999999999995E-3</v>
      </c>
      <c r="P121" s="32"/>
      <c r="Q121" s="32"/>
      <c r="R121" s="32"/>
      <c r="S121" s="32"/>
      <c r="T121" s="32"/>
    </row>
    <row r="122" spans="3:20" x14ac:dyDescent="0.25">
      <c r="C122" s="30"/>
      <c r="D122" s="30"/>
      <c r="E122" s="30" t="s">
        <v>19</v>
      </c>
      <c r="F122" s="30"/>
      <c r="G122" s="30" t="s">
        <v>20</v>
      </c>
      <c r="H122" s="30" t="s">
        <v>153</v>
      </c>
      <c r="I122" s="30"/>
      <c r="J122" s="30"/>
      <c r="K122" s="30"/>
      <c r="L122" s="30" t="s">
        <v>26</v>
      </c>
      <c r="M122" s="32"/>
      <c r="N122" s="32"/>
      <c r="O122" s="31">
        <v>-7.6641451851851916E-3</v>
      </c>
      <c r="P122" s="32"/>
      <c r="Q122" s="32"/>
      <c r="R122" s="32"/>
      <c r="S122" s="32"/>
      <c r="T122" s="32"/>
    </row>
    <row r="123" spans="3:20" x14ac:dyDescent="0.25">
      <c r="C123" s="30"/>
      <c r="D123" s="30"/>
      <c r="E123" s="30" t="s">
        <v>19</v>
      </c>
      <c r="F123" s="30"/>
      <c r="G123" s="30" t="s">
        <v>20</v>
      </c>
      <c r="H123" s="30" t="s">
        <v>154</v>
      </c>
      <c r="I123" s="30"/>
      <c r="J123" s="30"/>
      <c r="K123" s="30"/>
      <c r="L123" s="30" t="s">
        <v>26</v>
      </c>
      <c r="M123" s="32"/>
      <c r="N123" s="32"/>
      <c r="O123" s="31">
        <v>-5.7854814814808052E-5</v>
      </c>
      <c r="P123" s="32"/>
      <c r="Q123" s="32"/>
      <c r="R123" s="32"/>
      <c r="S123" s="32"/>
      <c r="T123" s="32"/>
    </row>
    <row r="124" spans="3:20" x14ac:dyDescent="0.25">
      <c r="C124" s="30"/>
      <c r="D124" s="30"/>
      <c r="E124" s="30" t="s">
        <v>19</v>
      </c>
      <c r="F124" s="30"/>
      <c r="G124" s="30" t="s">
        <v>20</v>
      </c>
      <c r="H124" s="30" t="s">
        <v>155</v>
      </c>
      <c r="I124" s="30"/>
      <c r="J124" s="30"/>
      <c r="K124" s="30"/>
      <c r="L124" s="30" t="s">
        <v>26</v>
      </c>
      <c r="M124" s="32"/>
      <c r="N124" s="32"/>
      <c r="O124" s="31">
        <v>-1.188E-2</v>
      </c>
      <c r="P124" s="32"/>
      <c r="Q124" s="32"/>
      <c r="R124" s="32"/>
      <c r="S124" s="32"/>
      <c r="T124" s="32"/>
    </row>
    <row r="125" spans="3:20" x14ac:dyDescent="0.25">
      <c r="C125" s="30"/>
      <c r="D125" s="30"/>
      <c r="E125" s="30" t="s">
        <v>19</v>
      </c>
      <c r="F125" s="30"/>
      <c r="G125" s="30" t="s">
        <v>20</v>
      </c>
      <c r="H125" s="30" t="s">
        <v>156</v>
      </c>
      <c r="I125" s="30"/>
      <c r="J125" s="30"/>
      <c r="K125" s="30"/>
      <c r="L125" s="30" t="s">
        <v>26</v>
      </c>
      <c r="M125" s="32"/>
      <c r="N125" s="32"/>
      <c r="O125" s="31">
        <v>0</v>
      </c>
      <c r="P125" s="32"/>
      <c r="Q125" s="32"/>
      <c r="R125" s="32"/>
      <c r="S125" s="32"/>
      <c r="T125" s="32"/>
    </row>
    <row r="126" spans="3:20" x14ac:dyDescent="0.25">
      <c r="C126" s="30"/>
      <c r="D126" s="30"/>
      <c r="E126" s="30" t="s">
        <v>19</v>
      </c>
      <c r="F126" s="30"/>
      <c r="G126" s="30" t="s">
        <v>20</v>
      </c>
      <c r="H126" s="30" t="s">
        <v>157</v>
      </c>
      <c r="I126" s="30"/>
      <c r="J126" s="30"/>
      <c r="K126" s="30"/>
      <c r="L126" s="30" t="s">
        <v>26</v>
      </c>
      <c r="M126" s="32"/>
      <c r="N126" s="32"/>
      <c r="O126" s="31">
        <v>-1.179492E-2</v>
      </c>
      <c r="P126" s="32"/>
      <c r="Q126" s="32"/>
      <c r="R126" s="32"/>
      <c r="S126" s="32"/>
      <c r="T126" s="32"/>
    </row>
    <row r="127" spans="3:20" x14ac:dyDescent="0.25">
      <c r="C127" s="30"/>
      <c r="D127" s="30"/>
      <c r="E127" s="30" t="s">
        <v>19</v>
      </c>
      <c r="F127" s="30"/>
      <c r="G127" s="30" t="s">
        <v>20</v>
      </c>
      <c r="H127" s="30" t="s">
        <v>158</v>
      </c>
      <c r="I127" s="30"/>
      <c r="J127" s="30"/>
      <c r="K127" s="30"/>
      <c r="L127" s="30" t="s">
        <v>26</v>
      </c>
      <c r="M127" s="32"/>
      <c r="N127" s="32"/>
      <c r="O127" s="31">
        <v>-8.5079999999999531E-5</v>
      </c>
      <c r="P127" s="32"/>
      <c r="Q127" s="32"/>
      <c r="R127" s="32"/>
      <c r="S127" s="32"/>
      <c r="T127" s="32"/>
    </row>
    <row r="128" spans="3:20" x14ac:dyDescent="0.25">
      <c r="C128" s="30"/>
      <c r="D128" s="30"/>
      <c r="E128" s="30" t="s">
        <v>19</v>
      </c>
      <c r="F128" s="30"/>
      <c r="G128" s="30" t="s">
        <v>20</v>
      </c>
      <c r="H128" s="30" t="s">
        <v>159</v>
      </c>
      <c r="I128" s="30"/>
      <c r="J128" s="30"/>
      <c r="K128" s="30"/>
      <c r="L128" s="30" t="s">
        <v>26</v>
      </c>
      <c r="M128" s="32"/>
      <c r="N128" s="32"/>
      <c r="O128" s="31">
        <v>-8.3215533333333321E-3</v>
      </c>
      <c r="P128" s="32"/>
      <c r="Q128" s="32"/>
      <c r="R128" s="32"/>
      <c r="S128" s="32"/>
      <c r="T128" s="32"/>
    </row>
    <row r="129" spans="3:20" x14ac:dyDescent="0.25">
      <c r="C129" s="30"/>
      <c r="D129" s="30"/>
      <c r="E129" s="30" t="s">
        <v>19</v>
      </c>
      <c r="F129" s="30"/>
      <c r="G129" s="30" t="s">
        <v>20</v>
      </c>
      <c r="H129" s="30" t="s">
        <v>160</v>
      </c>
      <c r="I129" s="30"/>
      <c r="J129" s="30"/>
      <c r="K129" s="30"/>
      <c r="L129" s="30" t="s">
        <v>26</v>
      </c>
      <c r="M129" s="32"/>
      <c r="N129" s="32"/>
      <c r="O129" s="31">
        <v>-7.1399999999999996E-3</v>
      </c>
      <c r="P129" s="32"/>
      <c r="Q129" s="32"/>
      <c r="R129" s="32"/>
      <c r="S129" s="32"/>
      <c r="T129" s="32"/>
    </row>
    <row r="130" spans="3:20" x14ac:dyDescent="0.25">
      <c r="C130" s="30"/>
      <c r="D130" s="30"/>
      <c r="E130" s="30" t="s">
        <v>19</v>
      </c>
      <c r="F130" s="30"/>
      <c r="G130" s="30" t="s">
        <v>20</v>
      </c>
      <c r="H130" s="30" t="s">
        <v>161</v>
      </c>
      <c r="I130" s="30"/>
      <c r="J130" s="30"/>
      <c r="K130" s="30"/>
      <c r="L130" s="30" t="s">
        <v>26</v>
      </c>
      <c r="M130" s="32"/>
      <c r="N130" s="32"/>
      <c r="O130" s="31">
        <v>-8.2625888524590178E-3</v>
      </c>
      <c r="P130" s="32"/>
      <c r="Q130" s="32"/>
      <c r="R130" s="32"/>
      <c r="S130" s="32"/>
      <c r="T130" s="32"/>
    </row>
    <row r="131" spans="3:20" x14ac:dyDescent="0.25">
      <c r="C131" s="30"/>
      <c r="D131" s="30"/>
      <c r="E131" s="30" t="s">
        <v>19</v>
      </c>
      <c r="F131" s="30"/>
      <c r="G131" s="30" t="s">
        <v>20</v>
      </c>
      <c r="H131" s="30" t="s">
        <v>162</v>
      </c>
      <c r="I131" s="30"/>
      <c r="J131" s="30"/>
      <c r="K131" s="30"/>
      <c r="L131" s="30" t="s">
        <v>26</v>
      </c>
      <c r="M131" s="32"/>
      <c r="N131" s="32"/>
      <c r="O131" s="31">
        <v>-5.3411147540980905E-5</v>
      </c>
      <c r="P131" s="32"/>
      <c r="Q131" s="32"/>
      <c r="R131" s="32"/>
      <c r="S131" s="32"/>
      <c r="T131" s="32"/>
    </row>
    <row r="132" spans="3:20" x14ac:dyDescent="0.25">
      <c r="C132" s="30"/>
      <c r="D132" s="30"/>
      <c r="E132" s="30" t="s">
        <v>19</v>
      </c>
      <c r="F132" s="30"/>
      <c r="G132" s="30" t="s">
        <v>20</v>
      </c>
      <c r="H132" s="30" t="s">
        <v>163</v>
      </c>
      <c r="I132" s="30"/>
      <c r="J132" s="30"/>
      <c r="K132" s="30"/>
      <c r="L132" s="30" t="s">
        <v>26</v>
      </c>
      <c r="M132" s="32"/>
      <c r="N132" s="32"/>
      <c r="O132" s="31">
        <v>-7.7219999999999997E-3</v>
      </c>
      <c r="P132" s="32"/>
      <c r="Q132" s="32"/>
      <c r="R132" s="32"/>
      <c r="S132" s="32"/>
      <c r="T132" s="32"/>
    </row>
    <row r="133" spans="3:20" x14ac:dyDescent="0.25">
      <c r="C133" s="30"/>
      <c r="D133" s="30"/>
      <c r="E133" s="30" t="s">
        <v>19</v>
      </c>
      <c r="F133" s="30"/>
      <c r="G133" s="30" t="s">
        <v>20</v>
      </c>
      <c r="H133" s="30" t="s">
        <v>164</v>
      </c>
      <c r="I133" s="30"/>
      <c r="J133" s="30"/>
      <c r="K133" s="30"/>
      <c r="L133" s="30" t="s">
        <v>26</v>
      </c>
      <c r="M133" s="32"/>
      <c r="N133" s="32"/>
      <c r="O133" s="31">
        <v>0</v>
      </c>
      <c r="P133" s="32"/>
      <c r="Q133" s="32"/>
      <c r="R133" s="32"/>
      <c r="S133" s="32"/>
      <c r="T133" s="32"/>
    </row>
    <row r="134" spans="3:20" x14ac:dyDescent="0.25">
      <c r="C134" s="30"/>
      <c r="D134" s="30"/>
      <c r="E134" s="30" t="s">
        <v>19</v>
      </c>
      <c r="F134" s="30"/>
      <c r="G134" s="30" t="s">
        <v>20</v>
      </c>
      <c r="H134" s="30" t="s">
        <v>165</v>
      </c>
      <c r="I134" s="30"/>
      <c r="J134" s="30"/>
      <c r="K134" s="30"/>
      <c r="L134" s="30" t="s">
        <v>26</v>
      </c>
      <c r="M134" s="32"/>
      <c r="N134" s="32"/>
      <c r="O134" s="31">
        <v>-7.6644116883116866E-3</v>
      </c>
      <c r="P134" s="32"/>
      <c r="Q134" s="32"/>
      <c r="R134" s="32"/>
      <c r="S134" s="32"/>
      <c r="T134" s="32"/>
    </row>
    <row r="135" spans="3:20" x14ac:dyDescent="0.25">
      <c r="C135" s="30"/>
      <c r="D135" s="30"/>
      <c r="E135" s="30" t="s">
        <v>19</v>
      </c>
      <c r="F135" s="30"/>
      <c r="G135" s="30" t="s">
        <v>20</v>
      </c>
      <c r="H135" s="30" t="s">
        <v>166</v>
      </c>
      <c r="I135" s="30"/>
      <c r="J135" s="30"/>
      <c r="K135" s="30"/>
      <c r="L135" s="30" t="s">
        <v>26</v>
      </c>
      <c r="M135" s="32"/>
      <c r="N135" s="32"/>
      <c r="O135" s="31">
        <v>-5.758831168831309E-5</v>
      </c>
      <c r="P135" s="32"/>
      <c r="Q135" s="32"/>
      <c r="R135" s="32"/>
      <c r="S135" s="32"/>
      <c r="T135" s="32"/>
    </row>
    <row r="136" spans="3:20" x14ac:dyDescent="0.25">
      <c r="C136" s="30"/>
      <c r="D136" s="30"/>
      <c r="E136" s="30" t="s">
        <v>19</v>
      </c>
      <c r="F136" s="30"/>
      <c r="G136" s="30" t="s">
        <v>20</v>
      </c>
      <c r="H136" s="30" t="s">
        <v>167</v>
      </c>
      <c r="I136" s="30"/>
      <c r="J136" s="30"/>
      <c r="K136" s="30"/>
      <c r="L136" s="30" t="s">
        <v>26</v>
      </c>
      <c r="M136" s="32"/>
      <c r="N136" s="32"/>
      <c r="O136" s="31">
        <v>0</v>
      </c>
      <c r="P136" s="32"/>
      <c r="Q136" s="32"/>
      <c r="R136" s="32"/>
      <c r="S136" s="32"/>
      <c r="T136" s="32"/>
    </row>
    <row r="137" spans="3:20" x14ac:dyDescent="0.25">
      <c r="C137" s="30"/>
      <c r="D137" s="30"/>
      <c r="E137" s="30" t="s">
        <v>19</v>
      </c>
      <c r="F137" s="30"/>
      <c r="G137" s="30" t="s">
        <v>20</v>
      </c>
      <c r="H137" s="30" t="s">
        <v>168</v>
      </c>
      <c r="I137" s="30"/>
      <c r="J137" s="30"/>
      <c r="K137" s="30"/>
      <c r="L137" s="30" t="s">
        <v>26</v>
      </c>
      <c r="M137" s="32"/>
      <c r="N137" s="32"/>
      <c r="O137" s="31">
        <v>0</v>
      </c>
      <c r="P137" s="32"/>
      <c r="Q137" s="32"/>
      <c r="R137" s="32"/>
      <c r="S137" s="32"/>
      <c r="T137" s="32"/>
    </row>
    <row r="138" spans="3:20" x14ac:dyDescent="0.25">
      <c r="C138" s="30"/>
      <c r="D138" s="30"/>
      <c r="E138" s="30" t="s">
        <v>19</v>
      </c>
      <c r="F138" s="30"/>
      <c r="G138" s="30" t="s">
        <v>20</v>
      </c>
      <c r="H138" s="30" t="s">
        <v>169</v>
      </c>
      <c r="I138" s="30"/>
      <c r="J138" s="30"/>
      <c r="K138" s="30"/>
      <c r="L138" s="30" t="s">
        <v>26</v>
      </c>
      <c r="M138" s="32"/>
      <c r="N138" s="32"/>
      <c r="O138" s="31">
        <v>-1.1861999999999999E-2</v>
      </c>
      <c r="P138" s="32"/>
      <c r="Q138" s="32"/>
      <c r="R138" s="32"/>
      <c r="S138" s="32"/>
      <c r="T138" s="32"/>
    </row>
    <row r="139" spans="3:20" x14ac:dyDescent="0.25">
      <c r="C139" s="30"/>
      <c r="D139" s="30"/>
      <c r="E139" s="30" t="s">
        <v>19</v>
      </c>
      <c r="F139" s="30"/>
      <c r="G139" s="30" t="s">
        <v>20</v>
      </c>
      <c r="H139" s="30" t="s">
        <v>170</v>
      </c>
      <c r="I139" s="30"/>
      <c r="J139" s="30"/>
      <c r="K139" s="30"/>
      <c r="L139" s="30" t="s">
        <v>26</v>
      </c>
      <c r="M139" s="32"/>
      <c r="N139" s="32"/>
      <c r="O139" s="31">
        <v>-1.8000000000000654E-5</v>
      </c>
      <c r="P139" s="32"/>
      <c r="Q139" s="32"/>
      <c r="R139" s="32"/>
      <c r="S139" s="32"/>
      <c r="T139" s="32"/>
    </row>
    <row r="140" spans="3:20" x14ac:dyDescent="0.25">
      <c r="C140" s="30"/>
      <c r="D140" s="30"/>
      <c r="E140" s="30" t="s">
        <v>19</v>
      </c>
      <c r="F140" s="30"/>
      <c r="G140" s="30" t="s">
        <v>20</v>
      </c>
      <c r="H140" s="30" t="s">
        <v>147</v>
      </c>
      <c r="I140" s="30"/>
      <c r="J140" s="30"/>
      <c r="K140" s="30"/>
      <c r="L140" s="30" t="s">
        <v>171</v>
      </c>
      <c r="M140" s="32"/>
      <c r="N140" s="32"/>
      <c r="O140" s="32">
        <f>O116</f>
        <v>-8.3274750000000043E-3</v>
      </c>
      <c r="P140" s="32"/>
      <c r="Q140" s="32"/>
      <c r="R140" s="32"/>
      <c r="S140" s="32"/>
      <c r="T140" s="32"/>
    </row>
    <row r="141" spans="3:20" x14ac:dyDescent="0.25">
      <c r="C141" s="30"/>
      <c r="D141" s="30"/>
      <c r="E141" s="30" t="s">
        <v>19</v>
      </c>
      <c r="F141" s="30"/>
      <c r="G141" s="30" t="s">
        <v>20</v>
      </c>
      <c r="H141" s="30" t="s">
        <v>148</v>
      </c>
      <c r="I141" s="30"/>
      <c r="J141" s="30"/>
      <c r="K141" s="30"/>
      <c r="L141" s="30" t="s">
        <v>171</v>
      </c>
      <c r="M141" s="32"/>
      <c r="N141" s="32"/>
      <c r="O141" s="32">
        <f t="shared" ref="O141:O163" si="2">O117</f>
        <v>-7.1399999999999996E-3</v>
      </c>
      <c r="P141" s="32"/>
      <c r="Q141" s="32"/>
      <c r="R141" s="32"/>
      <c r="S141" s="32"/>
      <c r="T141" s="32"/>
    </row>
    <row r="142" spans="3:20" x14ac:dyDescent="0.25">
      <c r="C142" s="30"/>
      <c r="D142" s="30"/>
      <c r="E142" s="30" t="s">
        <v>19</v>
      </c>
      <c r="F142" s="30"/>
      <c r="G142" s="30" t="s">
        <v>20</v>
      </c>
      <c r="H142" s="30" t="s">
        <v>149</v>
      </c>
      <c r="I142" s="30"/>
      <c r="J142" s="30"/>
      <c r="K142" s="30"/>
      <c r="L142" s="30" t="s">
        <v>171</v>
      </c>
      <c r="M142" s="32"/>
      <c r="N142" s="32"/>
      <c r="O142" s="32">
        <f t="shared" si="2"/>
        <v>-8.2512409677419317E-3</v>
      </c>
      <c r="P142" s="32"/>
      <c r="Q142" s="32"/>
      <c r="R142" s="32"/>
      <c r="S142" s="32"/>
      <c r="T142" s="32"/>
    </row>
    <row r="143" spans="3:20" x14ac:dyDescent="0.25">
      <c r="C143" s="30"/>
      <c r="D143" s="30"/>
      <c r="E143" s="30" t="s">
        <v>19</v>
      </c>
      <c r="F143" s="30"/>
      <c r="G143" s="30" t="s">
        <v>20</v>
      </c>
      <c r="H143" s="30" t="s">
        <v>150</v>
      </c>
      <c r="I143" s="30"/>
      <c r="J143" s="30"/>
      <c r="K143" s="30"/>
      <c r="L143" s="30" t="s">
        <v>171</v>
      </c>
      <c r="M143" s="32"/>
      <c r="N143" s="32"/>
      <c r="O143" s="32">
        <f t="shared" si="2"/>
        <v>-6.4759032258067048E-5</v>
      </c>
      <c r="P143" s="32"/>
      <c r="Q143" s="32"/>
      <c r="R143" s="32"/>
      <c r="S143" s="32"/>
      <c r="T143" s="32"/>
    </row>
    <row r="144" spans="3:20" x14ac:dyDescent="0.25">
      <c r="C144" s="30"/>
      <c r="D144" s="30"/>
      <c r="E144" s="30" t="s">
        <v>19</v>
      </c>
      <c r="F144" s="30"/>
      <c r="G144" s="30" t="s">
        <v>20</v>
      </c>
      <c r="H144" s="30" t="s">
        <v>151</v>
      </c>
      <c r="I144" s="30"/>
      <c r="J144" s="30"/>
      <c r="K144" s="30"/>
      <c r="L144" s="30" t="s">
        <v>171</v>
      </c>
      <c r="M144" s="32"/>
      <c r="N144" s="32"/>
      <c r="O144" s="32">
        <f t="shared" si="2"/>
        <v>-7.7239933333333333E-3</v>
      </c>
      <c r="P144" s="32"/>
      <c r="Q144" s="32"/>
      <c r="R144" s="32"/>
      <c r="S144" s="32"/>
      <c r="T144" s="32"/>
    </row>
    <row r="145" spans="3:20" x14ac:dyDescent="0.25">
      <c r="C145" s="30"/>
      <c r="D145" s="30"/>
      <c r="E145" s="30" t="s">
        <v>19</v>
      </c>
      <c r="F145" s="30"/>
      <c r="G145" s="30" t="s">
        <v>20</v>
      </c>
      <c r="H145" s="30" t="s">
        <v>152</v>
      </c>
      <c r="I145" s="30"/>
      <c r="J145" s="30"/>
      <c r="K145" s="30"/>
      <c r="L145" s="30" t="s">
        <v>171</v>
      </c>
      <c r="M145" s="32"/>
      <c r="N145" s="32"/>
      <c r="O145" s="32">
        <f t="shared" si="2"/>
        <v>-7.7063999999999995E-3</v>
      </c>
      <c r="P145" s="32"/>
      <c r="Q145" s="32"/>
      <c r="R145" s="32"/>
      <c r="S145" s="32"/>
      <c r="T145" s="32"/>
    </row>
    <row r="146" spans="3:20" x14ac:dyDescent="0.25">
      <c r="C146" s="30"/>
      <c r="D146" s="30"/>
      <c r="E146" s="30" t="s">
        <v>19</v>
      </c>
      <c r="F146" s="30"/>
      <c r="G146" s="30" t="s">
        <v>20</v>
      </c>
      <c r="H146" s="30" t="s">
        <v>153</v>
      </c>
      <c r="I146" s="30"/>
      <c r="J146" s="30"/>
      <c r="K146" s="30"/>
      <c r="L146" s="30" t="s">
        <v>171</v>
      </c>
      <c r="M146" s="32"/>
      <c r="N146" s="32"/>
      <c r="O146" s="32">
        <f t="shared" si="2"/>
        <v>-7.6641451851851916E-3</v>
      </c>
      <c r="P146" s="32"/>
      <c r="Q146" s="32"/>
      <c r="R146" s="32"/>
      <c r="S146" s="32"/>
      <c r="T146" s="32"/>
    </row>
    <row r="147" spans="3:20" x14ac:dyDescent="0.25">
      <c r="C147" s="30"/>
      <c r="D147" s="30"/>
      <c r="E147" s="30" t="s">
        <v>19</v>
      </c>
      <c r="F147" s="30"/>
      <c r="G147" s="30" t="s">
        <v>20</v>
      </c>
      <c r="H147" s="30" t="s">
        <v>154</v>
      </c>
      <c r="I147" s="30"/>
      <c r="J147" s="30"/>
      <c r="K147" s="30"/>
      <c r="L147" s="30" t="s">
        <v>171</v>
      </c>
      <c r="M147" s="32"/>
      <c r="N147" s="32"/>
      <c r="O147" s="32">
        <f t="shared" si="2"/>
        <v>-5.7854814814808052E-5</v>
      </c>
      <c r="P147" s="32"/>
      <c r="Q147" s="32"/>
      <c r="R147" s="32"/>
      <c r="S147" s="32"/>
      <c r="T147" s="32"/>
    </row>
    <row r="148" spans="3:20" x14ac:dyDescent="0.25">
      <c r="C148" s="30"/>
      <c r="D148" s="30"/>
      <c r="E148" s="30" t="s">
        <v>19</v>
      </c>
      <c r="F148" s="30"/>
      <c r="G148" s="30" t="s">
        <v>20</v>
      </c>
      <c r="H148" s="30" t="s">
        <v>155</v>
      </c>
      <c r="I148" s="30"/>
      <c r="J148" s="30"/>
      <c r="K148" s="30"/>
      <c r="L148" s="30" t="s">
        <v>171</v>
      </c>
      <c r="M148" s="32"/>
      <c r="N148" s="32"/>
      <c r="O148" s="32">
        <f t="shared" si="2"/>
        <v>-1.188E-2</v>
      </c>
      <c r="P148" s="32"/>
      <c r="Q148" s="32"/>
      <c r="R148" s="32"/>
      <c r="S148" s="32"/>
      <c r="T148" s="32"/>
    </row>
    <row r="149" spans="3:20" x14ac:dyDescent="0.25">
      <c r="C149" s="30"/>
      <c r="D149" s="30"/>
      <c r="E149" s="30" t="s">
        <v>19</v>
      </c>
      <c r="F149" s="30"/>
      <c r="G149" s="30" t="s">
        <v>20</v>
      </c>
      <c r="H149" s="30" t="s">
        <v>156</v>
      </c>
      <c r="I149" s="30"/>
      <c r="J149" s="30"/>
      <c r="K149" s="30"/>
      <c r="L149" s="30" t="s">
        <v>171</v>
      </c>
      <c r="M149" s="32"/>
      <c r="N149" s="32"/>
      <c r="O149" s="32">
        <f t="shared" si="2"/>
        <v>0</v>
      </c>
      <c r="P149" s="32"/>
      <c r="Q149" s="32"/>
      <c r="R149" s="32"/>
      <c r="S149" s="32"/>
      <c r="T149" s="32"/>
    </row>
    <row r="150" spans="3:20" x14ac:dyDescent="0.25">
      <c r="C150" s="30"/>
      <c r="D150" s="30"/>
      <c r="E150" s="30" t="s">
        <v>19</v>
      </c>
      <c r="F150" s="30"/>
      <c r="G150" s="30" t="s">
        <v>20</v>
      </c>
      <c r="H150" s="30" t="s">
        <v>157</v>
      </c>
      <c r="I150" s="30"/>
      <c r="J150" s="30"/>
      <c r="K150" s="30"/>
      <c r="L150" s="30" t="s">
        <v>171</v>
      </c>
      <c r="M150" s="32"/>
      <c r="N150" s="32"/>
      <c r="O150" s="32">
        <f t="shared" si="2"/>
        <v>-1.179492E-2</v>
      </c>
      <c r="P150" s="32"/>
      <c r="Q150" s="32"/>
      <c r="R150" s="32"/>
      <c r="S150" s="32"/>
      <c r="T150" s="32"/>
    </row>
    <row r="151" spans="3:20" x14ac:dyDescent="0.25">
      <c r="C151" s="30"/>
      <c r="D151" s="30"/>
      <c r="E151" s="30" t="s">
        <v>19</v>
      </c>
      <c r="F151" s="30"/>
      <c r="G151" s="30" t="s">
        <v>20</v>
      </c>
      <c r="H151" s="30" t="s">
        <v>158</v>
      </c>
      <c r="I151" s="30"/>
      <c r="J151" s="30"/>
      <c r="K151" s="30"/>
      <c r="L151" s="30" t="s">
        <v>171</v>
      </c>
      <c r="M151" s="32"/>
      <c r="N151" s="32"/>
      <c r="O151" s="32">
        <f t="shared" si="2"/>
        <v>-8.5079999999999531E-5</v>
      </c>
      <c r="P151" s="32"/>
      <c r="Q151" s="32"/>
      <c r="R151" s="32"/>
      <c r="S151" s="32"/>
      <c r="T151" s="32"/>
    </row>
    <row r="152" spans="3:20" x14ac:dyDescent="0.25">
      <c r="C152" s="30"/>
      <c r="D152" s="30"/>
      <c r="E152" s="30" t="s">
        <v>19</v>
      </c>
      <c r="F152" s="30"/>
      <c r="G152" s="30" t="s">
        <v>20</v>
      </c>
      <c r="H152" s="30" t="s">
        <v>159</v>
      </c>
      <c r="I152" s="30"/>
      <c r="J152" s="30"/>
      <c r="K152" s="30"/>
      <c r="L152" s="30" t="s">
        <v>171</v>
      </c>
      <c r="M152" s="32"/>
      <c r="N152" s="32"/>
      <c r="O152" s="32">
        <f t="shared" si="2"/>
        <v>-8.3215533333333321E-3</v>
      </c>
      <c r="P152" s="32"/>
      <c r="Q152" s="32"/>
      <c r="R152" s="32"/>
      <c r="S152" s="32"/>
      <c r="T152" s="32"/>
    </row>
    <row r="153" spans="3:20" x14ac:dyDescent="0.25">
      <c r="C153" s="30"/>
      <c r="D153" s="30"/>
      <c r="E153" s="30" t="s">
        <v>19</v>
      </c>
      <c r="F153" s="30"/>
      <c r="G153" s="30" t="s">
        <v>20</v>
      </c>
      <c r="H153" s="30" t="s">
        <v>160</v>
      </c>
      <c r="I153" s="30"/>
      <c r="J153" s="30"/>
      <c r="K153" s="30"/>
      <c r="L153" s="30" t="s">
        <v>171</v>
      </c>
      <c r="M153" s="32"/>
      <c r="N153" s="32"/>
      <c r="O153" s="32">
        <f t="shared" si="2"/>
        <v>-7.1399999999999996E-3</v>
      </c>
      <c r="P153" s="32"/>
      <c r="Q153" s="32"/>
      <c r="R153" s="32"/>
      <c r="S153" s="32"/>
      <c r="T153" s="32"/>
    </row>
    <row r="154" spans="3:20" x14ac:dyDescent="0.25">
      <c r="C154" s="30"/>
      <c r="D154" s="30"/>
      <c r="E154" s="30" t="s">
        <v>19</v>
      </c>
      <c r="F154" s="30"/>
      <c r="G154" s="30" t="s">
        <v>20</v>
      </c>
      <c r="H154" s="30" t="s">
        <v>161</v>
      </c>
      <c r="I154" s="30"/>
      <c r="J154" s="30"/>
      <c r="K154" s="30"/>
      <c r="L154" s="30" t="s">
        <v>171</v>
      </c>
      <c r="M154" s="32"/>
      <c r="N154" s="32"/>
      <c r="O154" s="32">
        <f t="shared" si="2"/>
        <v>-8.2625888524590178E-3</v>
      </c>
      <c r="P154" s="32"/>
      <c r="Q154" s="32"/>
      <c r="R154" s="32"/>
      <c r="S154" s="32"/>
      <c r="T154" s="32"/>
    </row>
    <row r="155" spans="3:20" x14ac:dyDescent="0.25">
      <c r="C155" s="30"/>
      <c r="D155" s="30"/>
      <c r="E155" s="30" t="s">
        <v>19</v>
      </c>
      <c r="F155" s="30"/>
      <c r="G155" s="30" t="s">
        <v>20</v>
      </c>
      <c r="H155" s="30" t="s">
        <v>162</v>
      </c>
      <c r="I155" s="30"/>
      <c r="J155" s="30"/>
      <c r="K155" s="30"/>
      <c r="L155" s="30" t="s">
        <v>171</v>
      </c>
      <c r="M155" s="32"/>
      <c r="N155" s="32"/>
      <c r="O155" s="32">
        <f t="shared" si="2"/>
        <v>-5.3411147540980905E-5</v>
      </c>
      <c r="P155" s="32"/>
      <c r="Q155" s="32"/>
      <c r="R155" s="32"/>
      <c r="S155" s="32"/>
      <c r="T155" s="32"/>
    </row>
    <row r="156" spans="3:20" x14ac:dyDescent="0.25">
      <c r="C156" s="30"/>
      <c r="D156" s="30"/>
      <c r="E156" s="30" t="s">
        <v>19</v>
      </c>
      <c r="F156" s="30"/>
      <c r="G156" s="30" t="s">
        <v>20</v>
      </c>
      <c r="H156" s="30" t="s">
        <v>163</v>
      </c>
      <c r="I156" s="30"/>
      <c r="J156" s="30"/>
      <c r="K156" s="30"/>
      <c r="L156" s="30" t="s">
        <v>171</v>
      </c>
      <c r="M156" s="32"/>
      <c r="N156" s="32"/>
      <c r="O156" s="32">
        <f t="shared" si="2"/>
        <v>-7.7219999999999997E-3</v>
      </c>
      <c r="P156" s="32"/>
      <c r="Q156" s="32"/>
      <c r="R156" s="32"/>
      <c r="S156" s="32"/>
      <c r="T156" s="32"/>
    </row>
    <row r="157" spans="3:20" x14ac:dyDescent="0.25">
      <c r="C157" s="30"/>
      <c r="D157" s="30"/>
      <c r="E157" s="30" t="s">
        <v>19</v>
      </c>
      <c r="F157" s="30"/>
      <c r="G157" s="30" t="s">
        <v>20</v>
      </c>
      <c r="H157" s="30" t="s">
        <v>164</v>
      </c>
      <c r="I157" s="30"/>
      <c r="J157" s="30"/>
      <c r="K157" s="30"/>
      <c r="L157" s="30" t="s">
        <v>171</v>
      </c>
      <c r="M157" s="32"/>
      <c r="N157" s="32"/>
      <c r="O157" s="32">
        <f t="shared" si="2"/>
        <v>0</v>
      </c>
      <c r="P157" s="32"/>
      <c r="Q157" s="32"/>
      <c r="R157" s="32"/>
      <c r="S157" s="32"/>
      <c r="T157" s="32"/>
    </row>
    <row r="158" spans="3:20" x14ac:dyDescent="0.25">
      <c r="C158" s="30"/>
      <c r="D158" s="30"/>
      <c r="E158" s="30" t="s">
        <v>19</v>
      </c>
      <c r="F158" s="30"/>
      <c r="G158" s="30" t="s">
        <v>20</v>
      </c>
      <c r="H158" s="30" t="s">
        <v>165</v>
      </c>
      <c r="I158" s="30"/>
      <c r="J158" s="30"/>
      <c r="K158" s="30"/>
      <c r="L158" s="30" t="s">
        <v>171</v>
      </c>
      <c r="M158" s="32"/>
      <c r="N158" s="32"/>
      <c r="O158" s="32">
        <f t="shared" si="2"/>
        <v>-7.6644116883116866E-3</v>
      </c>
      <c r="P158" s="32"/>
      <c r="Q158" s="32"/>
      <c r="R158" s="32"/>
      <c r="S158" s="32"/>
      <c r="T158" s="32"/>
    </row>
    <row r="159" spans="3:20" x14ac:dyDescent="0.25">
      <c r="C159" s="30"/>
      <c r="D159" s="30"/>
      <c r="E159" s="30" t="s">
        <v>19</v>
      </c>
      <c r="F159" s="30"/>
      <c r="G159" s="30" t="s">
        <v>20</v>
      </c>
      <c r="H159" s="30" t="s">
        <v>166</v>
      </c>
      <c r="I159" s="30"/>
      <c r="J159" s="30"/>
      <c r="K159" s="30"/>
      <c r="L159" s="30" t="s">
        <v>171</v>
      </c>
      <c r="M159" s="32"/>
      <c r="N159" s="32"/>
      <c r="O159" s="32">
        <f t="shared" si="2"/>
        <v>-5.758831168831309E-5</v>
      </c>
      <c r="P159" s="32"/>
      <c r="Q159" s="32"/>
      <c r="R159" s="32"/>
      <c r="S159" s="32"/>
      <c r="T159" s="32"/>
    </row>
    <row r="160" spans="3:20" x14ac:dyDescent="0.25">
      <c r="C160" s="30"/>
      <c r="D160" s="30"/>
      <c r="E160" s="30" t="s">
        <v>19</v>
      </c>
      <c r="F160" s="30"/>
      <c r="G160" s="30" t="s">
        <v>20</v>
      </c>
      <c r="H160" s="30" t="s">
        <v>167</v>
      </c>
      <c r="I160" s="30"/>
      <c r="J160" s="30"/>
      <c r="K160" s="30"/>
      <c r="L160" s="30" t="s">
        <v>171</v>
      </c>
      <c r="M160" s="32"/>
      <c r="N160" s="32"/>
      <c r="O160" s="32">
        <f t="shared" si="2"/>
        <v>0</v>
      </c>
      <c r="P160" s="32"/>
      <c r="Q160" s="32"/>
      <c r="R160" s="32"/>
      <c r="S160" s="32"/>
      <c r="T160" s="32"/>
    </row>
    <row r="161" spans="3:20" x14ac:dyDescent="0.25">
      <c r="C161" s="30"/>
      <c r="D161" s="30"/>
      <c r="E161" s="30" t="s">
        <v>19</v>
      </c>
      <c r="F161" s="30"/>
      <c r="G161" s="30" t="s">
        <v>20</v>
      </c>
      <c r="H161" s="30" t="s">
        <v>168</v>
      </c>
      <c r="I161" s="30"/>
      <c r="J161" s="30"/>
      <c r="K161" s="30"/>
      <c r="L161" s="30" t="s">
        <v>171</v>
      </c>
      <c r="M161" s="32"/>
      <c r="N161" s="32"/>
      <c r="O161" s="32">
        <f t="shared" si="2"/>
        <v>0</v>
      </c>
      <c r="P161" s="32"/>
      <c r="Q161" s="32"/>
      <c r="R161" s="32"/>
      <c r="S161" s="32"/>
      <c r="T161" s="32"/>
    </row>
    <row r="162" spans="3:20" x14ac:dyDescent="0.25">
      <c r="C162" s="30"/>
      <c r="D162" s="30"/>
      <c r="E162" s="30" t="s">
        <v>19</v>
      </c>
      <c r="F162" s="30"/>
      <c r="G162" s="30" t="s">
        <v>20</v>
      </c>
      <c r="H162" s="30" t="s">
        <v>169</v>
      </c>
      <c r="I162" s="30"/>
      <c r="J162" s="30"/>
      <c r="K162" s="30"/>
      <c r="L162" s="30" t="s">
        <v>171</v>
      </c>
      <c r="M162" s="32"/>
      <c r="N162" s="32"/>
      <c r="O162" s="32">
        <f t="shared" si="2"/>
        <v>-1.1861999999999999E-2</v>
      </c>
      <c r="P162" s="32"/>
      <c r="Q162" s="32"/>
      <c r="R162" s="32"/>
      <c r="S162" s="32"/>
      <c r="T162" s="32"/>
    </row>
    <row r="163" spans="3:20" x14ac:dyDescent="0.25">
      <c r="C163" s="35"/>
      <c r="D163" s="35"/>
      <c r="E163" s="35" t="s">
        <v>19</v>
      </c>
      <c r="F163" s="35"/>
      <c r="G163" s="35" t="s">
        <v>20</v>
      </c>
      <c r="H163" s="35" t="s">
        <v>170</v>
      </c>
      <c r="I163" s="35"/>
      <c r="J163" s="35"/>
      <c r="K163" s="35"/>
      <c r="L163" s="35" t="s">
        <v>171</v>
      </c>
      <c r="M163" s="36"/>
      <c r="N163" s="36"/>
      <c r="O163" s="36">
        <f t="shared" si="2"/>
        <v>-1.8000000000000654E-5</v>
      </c>
      <c r="P163" s="36"/>
      <c r="Q163" s="36"/>
      <c r="R163" s="36"/>
      <c r="S163" s="36"/>
      <c r="T163" s="36"/>
    </row>
    <row r="164" spans="3:20" x14ac:dyDescent="0.25">
      <c r="C164" s="30"/>
      <c r="D164" s="30"/>
      <c r="E164" s="30" t="s">
        <v>19</v>
      </c>
      <c r="F164" s="30"/>
      <c r="G164" s="30" t="s">
        <v>20</v>
      </c>
      <c r="H164" s="30" t="s">
        <v>147</v>
      </c>
      <c r="I164" s="30"/>
      <c r="J164" s="30"/>
      <c r="K164" s="30"/>
      <c r="L164" s="30" t="s">
        <v>27</v>
      </c>
      <c r="M164" s="32"/>
      <c r="N164" s="32"/>
      <c r="O164" s="31">
        <v>-5.6626830000000034E-3</v>
      </c>
      <c r="P164" s="32"/>
      <c r="Q164" s="32"/>
      <c r="R164" s="32"/>
      <c r="S164" s="32"/>
      <c r="T164" s="32"/>
    </row>
    <row r="165" spans="3:20" x14ac:dyDescent="0.25">
      <c r="C165" s="30"/>
      <c r="D165" s="30"/>
      <c r="E165" s="30" t="s">
        <v>19</v>
      </c>
      <c r="F165" s="30"/>
      <c r="G165" s="30" t="s">
        <v>20</v>
      </c>
      <c r="H165" s="30" t="s">
        <v>148</v>
      </c>
      <c r="I165" s="30"/>
      <c r="J165" s="30"/>
      <c r="K165" s="30"/>
      <c r="L165" s="30" t="s">
        <v>27</v>
      </c>
      <c r="M165" s="32"/>
      <c r="N165" s="32"/>
      <c r="O165" s="31">
        <v>-4.8552000000000005E-3</v>
      </c>
      <c r="P165" s="32"/>
      <c r="Q165" s="32"/>
      <c r="R165" s="32"/>
      <c r="S165" s="32"/>
      <c r="T165" s="32"/>
    </row>
    <row r="166" spans="3:20" x14ac:dyDescent="0.25">
      <c r="C166" s="30"/>
      <c r="D166" s="30"/>
      <c r="E166" s="30" t="s">
        <v>19</v>
      </c>
      <c r="F166" s="30"/>
      <c r="G166" s="30" t="s">
        <v>20</v>
      </c>
      <c r="H166" s="30" t="s">
        <v>149</v>
      </c>
      <c r="I166" s="30"/>
      <c r="J166" s="30"/>
      <c r="K166" s="30"/>
      <c r="L166" s="30" t="s">
        <v>27</v>
      </c>
      <c r="M166" s="32"/>
      <c r="N166" s="32"/>
      <c r="O166" s="31">
        <v>-5.6108438580645143E-3</v>
      </c>
      <c r="P166" s="32"/>
      <c r="Q166" s="32"/>
      <c r="R166" s="32"/>
      <c r="S166" s="32"/>
      <c r="T166" s="32"/>
    </row>
    <row r="167" spans="3:20" x14ac:dyDescent="0.25">
      <c r="C167" s="30"/>
      <c r="D167" s="30"/>
      <c r="E167" s="30" t="s">
        <v>19</v>
      </c>
      <c r="F167" s="30"/>
      <c r="G167" s="30" t="s">
        <v>20</v>
      </c>
      <c r="H167" s="30" t="s">
        <v>150</v>
      </c>
      <c r="I167" s="30"/>
      <c r="J167" s="30"/>
      <c r="K167" s="30"/>
      <c r="L167" s="30" t="s">
        <v>27</v>
      </c>
      <c r="M167" s="32"/>
      <c r="N167" s="32"/>
      <c r="O167" s="31">
        <v>-4.4036141935485598E-5</v>
      </c>
      <c r="P167" s="32"/>
      <c r="Q167" s="32"/>
      <c r="R167" s="32"/>
      <c r="S167" s="32"/>
      <c r="T167" s="32"/>
    </row>
    <row r="168" spans="3:20" x14ac:dyDescent="0.25">
      <c r="C168" s="30"/>
      <c r="D168" s="30"/>
      <c r="E168" s="30" t="s">
        <v>19</v>
      </c>
      <c r="F168" s="30"/>
      <c r="G168" s="30" t="s">
        <v>20</v>
      </c>
      <c r="H168" s="30" t="s">
        <v>151</v>
      </c>
      <c r="I168" s="30"/>
      <c r="J168" s="30"/>
      <c r="K168" s="30"/>
      <c r="L168" s="30" t="s">
        <v>27</v>
      </c>
      <c r="M168" s="32"/>
      <c r="N168" s="32"/>
      <c r="O168" s="31">
        <v>-5.2523154666666667E-3</v>
      </c>
      <c r="P168" s="32"/>
      <c r="Q168" s="32"/>
      <c r="R168" s="32"/>
      <c r="S168" s="32"/>
      <c r="T168" s="32"/>
    </row>
    <row r="169" spans="3:20" x14ac:dyDescent="0.25">
      <c r="C169" s="30"/>
      <c r="D169" s="30"/>
      <c r="E169" s="30" t="s">
        <v>19</v>
      </c>
      <c r="F169" s="30"/>
      <c r="G169" s="30" t="s">
        <v>20</v>
      </c>
      <c r="H169" s="30" t="s">
        <v>152</v>
      </c>
      <c r="I169" s="30"/>
      <c r="J169" s="30"/>
      <c r="K169" s="30"/>
      <c r="L169" s="30" t="s">
        <v>27</v>
      </c>
      <c r="M169" s="32"/>
      <c r="N169" s="32"/>
      <c r="O169" s="31">
        <v>-5.2403520000000002E-3</v>
      </c>
      <c r="P169" s="32"/>
      <c r="Q169" s="32"/>
      <c r="R169" s="32"/>
      <c r="S169" s="32"/>
      <c r="T169" s="32"/>
    </row>
    <row r="170" spans="3:20" x14ac:dyDescent="0.25">
      <c r="C170" s="30"/>
      <c r="D170" s="30"/>
      <c r="E170" s="30" t="s">
        <v>19</v>
      </c>
      <c r="F170" s="30"/>
      <c r="G170" s="30" t="s">
        <v>20</v>
      </c>
      <c r="H170" s="30" t="s">
        <v>153</v>
      </c>
      <c r="I170" s="30"/>
      <c r="J170" s="30"/>
      <c r="K170" s="30"/>
      <c r="L170" s="30" t="s">
        <v>27</v>
      </c>
      <c r="M170" s="32"/>
      <c r="N170" s="32"/>
      <c r="O170" s="31">
        <v>-5.2116187259259308E-3</v>
      </c>
      <c r="P170" s="32"/>
      <c r="Q170" s="32"/>
      <c r="R170" s="32"/>
      <c r="S170" s="32"/>
      <c r="T170" s="32"/>
    </row>
    <row r="171" spans="3:20" x14ac:dyDescent="0.25">
      <c r="C171" s="30"/>
      <c r="D171" s="30"/>
      <c r="E171" s="30" t="s">
        <v>19</v>
      </c>
      <c r="F171" s="30"/>
      <c r="G171" s="30" t="s">
        <v>20</v>
      </c>
      <c r="H171" s="30" t="s">
        <v>154</v>
      </c>
      <c r="I171" s="30"/>
      <c r="J171" s="30"/>
      <c r="K171" s="30"/>
      <c r="L171" s="30" t="s">
        <v>27</v>
      </c>
      <c r="M171" s="32"/>
      <c r="N171" s="32"/>
      <c r="O171" s="31">
        <v>-3.9341274074069478E-5</v>
      </c>
      <c r="P171" s="32"/>
      <c r="Q171" s="32"/>
      <c r="R171" s="32"/>
      <c r="S171" s="32"/>
      <c r="T171" s="32"/>
    </row>
    <row r="172" spans="3:20" x14ac:dyDescent="0.25">
      <c r="C172" s="30"/>
      <c r="D172" s="30"/>
      <c r="E172" s="30" t="s">
        <v>19</v>
      </c>
      <c r="F172" s="30"/>
      <c r="G172" s="30" t="s">
        <v>20</v>
      </c>
      <c r="H172" s="30" t="s">
        <v>155</v>
      </c>
      <c r="I172" s="30"/>
      <c r="J172" s="30"/>
      <c r="K172" s="30"/>
      <c r="L172" s="30" t="s">
        <v>27</v>
      </c>
      <c r="M172" s="32"/>
      <c r="N172" s="32"/>
      <c r="O172" s="31">
        <v>-8.0784000000000012E-3</v>
      </c>
      <c r="P172" s="32"/>
      <c r="Q172" s="32"/>
      <c r="R172" s="32"/>
      <c r="S172" s="32"/>
      <c r="T172" s="32"/>
    </row>
    <row r="173" spans="3:20" x14ac:dyDescent="0.25">
      <c r="C173" s="30"/>
      <c r="D173" s="30"/>
      <c r="E173" s="30" t="s">
        <v>19</v>
      </c>
      <c r="F173" s="30"/>
      <c r="G173" s="30" t="s">
        <v>20</v>
      </c>
      <c r="H173" s="30" t="s">
        <v>156</v>
      </c>
      <c r="I173" s="30"/>
      <c r="J173" s="30"/>
      <c r="K173" s="30"/>
      <c r="L173" s="30" t="s">
        <v>27</v>
      </c>
      <c r="M173" s="32"/>
      <c r="N173" s="32"/>
      <c r="O173" s="31">
        <v>0</v>
      </c>
      <c r="P173" s="32"/>
      <c r="Q173" s="32"/>
      <c r="R173" s="32"/>
      <c r="S173" s="32"/>
      <c r="T173" s="32"/>
    </row>
    <row r="174" spans="3:20" x14ac:dyDescent="0.25">
      <c r="C174" s="30"/>
      <c r="D174" s="30"/>
      <c r="E174" s="30" t="s">
        <v>19</v>
      </c>
      <c r="F174" s="30"/>
      <c r="G174" s="30" t="s">
        <v>20</v>
      </c>
      <c r="H174" s="30" t="s">
        <v>157</v>
      </c>
      <c r="I174" s="30"/>
      <c r="J174" s="30"/>
      <c r="K174" s="30"/>
      <c r="L174" s="30" t="s">
        <v>27</v>
      </c>
      <c r="M174" s="32"/>
      <c r="N174" s="32"/>
      <c r="O174" s="31">
        <v>-8.0205456000000015E-3</v>
      </c>
      <c r="P174" s="32"/>
      <c r="Q174" s="32"/>
      <c r="R174" s="32"/>
      <c r="S174" s="32"/>
      <c r="T174" s="32"/>
    </row>
    <row r="175" spans="3:20" x14ac:dyDescent="0.25">
      <c r="C175" s="30"/>
      <c r="D175" s="30"/>
      <c r="E175" s="30" t="s">
        <v>19</v>
      </c>
      <c r="F175" s="30"/>
      <c r="G175" s="30" t="s">
        <v>20</v>
      </c>
      <c r="H175" s="30" t="s">
        <v>158</v>
      </c>
      <c r="I175" s="30"/>
      <c r="J175" s="30"/>
      <c r="K175" s="30"/>
      <c r="L175" s="30" t="s">
        <v>27</v>
      </c>
      <c r="M175" s="32"/>
      <c r="N175" s="32"/>
      <c r="O175" s="31">
        <v>-5.7854399999999688E-5</v>
      </c>
      <c r="P175" s="32"/>
      <c r="Q175" s="32"/>
      <c r="R175" s="32"/>
      <c r="S175" s="32"/>
      <c r="T175" s="32"/>
    </row>
    <row r="176" spans="3:20" x14ac:dyDescent="0.25">
      <c r="C176" s="30"/>
      <c r="D176" s="30"/>
      <c r="E176" s="30" t="s">
        <v>19</v>
      </c>
      <c r="F176" s="30"/>
      <c r="G176" s="30" t="s">
        <v>20</v>
      </c>
      <c r="H176" s="30" t="s">
        <v>159</v>
      </c>
      <c r="I176" s="30"/>
      <c r="J176" s="30"/>
      <c r="K176" s="30"/>
      <c r="L176" s="30" t="s">
        <v>27</v>
      </c>
      <c r="M176" s="32"/>
      <c r="N176" s="32"/>
      <c r="O176" s="31">
        <v>-5.6586562666666659E-3</v>
      </c>
      <c r="P176" s="32"/>
      <c r="Q176" s="32"/>
      <c r="R176" s="32"/>
      <c r="S176" s="32"/>
      <c r="T176" s="32"/>
    </row>
    <row r="177" spans="3:20" x14ac:dyDescent="0.25">
      <c r="C177" s="30"/>
      <c r="D177" s="30"/>
      <c r="E177" s="30" t="s">
        <v>19</v>
      </c>
      <c r="F177" s="30"/>
      <c r="G177" s="30" t="s">
        <v>20</v>
      </c>
      <c r="H177" s="30" t="s">
        <v>160</v>
      </c>
      <c r="I177" s="30"/>
      <c r="J177" s="30"/>
      <c r="K177" s="30"/>
      <c r="L177" s="30" t="s">
        <v>27</v>
      </c>
      <c r="M177" s="32"/>
      <c r="N177" s="32"/>
      <c r="O177" s="31">
        <v>-4.8552000000000005E-3</v>
      </c>
      <c r="P177" s="32"/>
      <c r="Q177" s="32"/>
      <c r="R177" s="32"/>
      <c r="S177" s="32"/>
      <c r="T177" s="32"/>
    </row>
    <row r="178" spans="3:20" x14ac:dyDescent="0.25">
      <c r="C178" s="30"/>
      <c r="D178" s="30"/>
      <c r="E178" s="30" t="s">
        <v>19</v>
      </c>
      <c r="F178" s="30"/>
      <c r="G178" s="30" t="s">
        <v>20</v>
      </c>
      <c r="H178" s="30" t="s">
        <v>161</v>
      </c>
      <c r="I178" s="30"/>
      <c r="J178" s="30"/>
      <c r="K178" s="30"/>
      <c r="L178" s="30" t="s">
        <v>27</v>
      </c>
      <c r="M178" s="32"/>
      <c r="N178" s="32"/>
      <c r="O178" s="31">
        <v>-5.6185604196721329E-3</v>
      </c>
      <c r="P178" s="32"/>
      <c r="Q178" s="32"/>
      <c r="R178" s="32"/>
      <c r="S178" s="32"/>
      <c r="T178" s="32"/>
    </row>
    <row r="179" spans="3:20" x14ac:dyDescent="0.25">
      <c r="C179" s="30"/>
      <c r="D179" s="30"/>
      <c r="E179" s="30" t="s">
        <v>19</v>
      </c>
      <c r="F179" s="30"/>
      <c r="G179" s="30" t="s">
        <v>20</v>
      </c>
      <c r="H179" s="30" t="s">
        <v>162</v>
      </c>
      <c r="I179" s="30"/>
      <c r="J179" s="30"/>
      <c r="K179" s="30"/>
      <c r="L179" s="30" t="s">
        <v>27</v>
      </c>
      <c r="M179" s="32"/>
      <c r="N179" s="32"/>
      <c r="O179" s="31">
        <v>-3.6319580327867015E-5</v>
      </c>
      <c r="P179" s="32"/>
      <c r="Q179" s="32"/>
      <c r="R179" s="32"/>
      <c r="S179" s="32"/>
      <c r="T179" s="32"/>
    </row>
    <row r="180" spans="3:20" x14ac:dyDescent="0.25">
      <c r="C180" s="30"/>
      <c r="D180" s="30"/>
      <c r="E180" s="30" t="s">
        <v>19</v>
      </c>
      <c r="F180" s="30"/>
      <c r="G180" s="30" t="s">
        <v>20</v>
      </c>
      <c r="H180" s="30" t="s">
        <v>163</v>
      </c>
      <c r="I180" s="30"/>
      <c r="J180" s="30"/>
      <c r="K180" s="30"/>
      <c r="L180" s="30" t="s">
        <v>27</v>
      </c>
      <c r="M180" s="32"/>
      <c r="N180" s="32"/>
      <c r="O180" s="31">
        <v>-5.2509599999999998E-3</v>
      </c>
      <c r="P180" s="32"/>
      <c r="Q180" s="32"/>
      <c r="R180" s="32"/>
      <c r="S180" s="32"/>
      <c r="T180" s="32"/>
    </row>
    <row r="181" spans="3:20" x14ac:dyDescent="0.25">
      <c r="C181" s="30"/>
      <c r="D181" s="30"/>
      <c r="E181" s="30" t="s">
        <v>19</v>
      </c>
      <c r="F181" s="30"/>
      <c r="G181" s="30" t="s">
        <v>20</v>
      </c>
      <c r="H181" s="30" t="s">
        <v>164</v>
      </c>
      <c r="I181" s="30"/>
      <c r="J181" s="30"/>
      <c r="K181" s="30"/>
      <c r="L181" s="30" t="s">
        <v>27</v>
      </c>
      <c r="M181" s="32"/>
      <c r="N181" s="32"/>
      <c r="O181" s="31">
        <v>0</v>
      </c>
      <c r="P181" s="32"/>
      <c r="Q181" s="32"/>
      <c r="R181" s="32"/>
      <c r="S181" s="32"/>
      <c r="T181" s="32"/>
    </row>
    <row r="182" spans="3:20" x14ac:dyDescent="0.25">
      <c r="C182" s="30"/>
      <c r="D182" s="30"/>
      <c r="E182" s="30" t="s">
        <v>19</v>
      </c>
      <c r="F182" s="30"/>
      <c r="G182" s="30" t="s">
        <v>20</v>
      </c>
      <c r="H182" s="30" t="s">
        <v>165</v>
      </c>
      <c r="I182" s="30"/>
      <c r="J182" s="30"/>
      <c r="K182" s="30"/>
      <c r="L182" s="30" t="s">
        <v>27</v>
      </c>
      <c r="M182" s="32"/>
      <c r="N182" s="32"/>
      <c r="O182" s="31">
        <v>-5.2117999480519473E-3</v>
      </c>
      <c r="P182" s="32"/>
      <c r="Q182" s="32"/>
      <c r="R182" s="32"/>
      <c r="S182" s="32"/>
      <c r="T182" s="32"/>
    </row>
    <row r="183" spans="3:20" x14ac:dyDescent="0.25">
      <c r="C183" s="30"/>
      <c r="D183" s="30"/>
      <c r="E183" s="30" t="s">
        <v>19</v>
      </c>
      <c r="F183" s="30"/>
      <c r="G183" s="30" t="s">
        <v>20</v>
      </c>
      <c r="H183" s="30" t="s">
        <v>166</v>
      </c>
      <c r="I183" s="30"/>
      <c r="J183" s="30"/>
      <c r="K183" s="30"/>
      <c r="L183" s="30" t="s">
        <v>27</v>
      </c>
      <c r="M183" s="32"/>
      <c r="N183" s="32"/>
      <c r="O183" s="31">
        <v>-3.9160051948052906E-5</v>
      </c>
      <c r="P183" s="32"/>
      <c r="Q183" s="32"/>
      <c r="R183" s="32"/>
      <c r="S183" s="32"/>
      <c r="T183" s="32"/>
    </row>
    <row r="184" spans="3:20" x14ac:dyDescent="0.25">
      <c r="C184" s="30"/>
      <c r="D184" s="30"/>
      <c r="E184" s="30" t="s">
        <v>19</v>
      </c>
      <c r="F184" s="30"/>
      <c r="G184" s="30" t="s">
        <v>20</v>
      </c>
      <c r="H184" s="30" t="s">
        <v>167</v>
      </c>
      <c r="I184" s="30"/>
      <c r="J184" s="30"/>
      <c r="K184" s="30"/>
      <c r="L184" s="30" t="s">
        <v>27</v>
      </c>
      <c r="M184" s="32"/>
      <c r="N184" s="32"/>
      <c r="O184" s="31">
        <v>0</v>
      </c>
      <c r="P184" s="32"/>
      <c r="Q184" s="32"/>
      <c r="R184" s="32"/>
      <c r="S184" s="32"/>
      <c r="T184" s="32"/>
    </row>
    <row r="185" spans="3:20" x14ac:dyDescent="0.25">
      <c r="C185" s="30"/>
      <c r="D185" s="30"/>
      <c r="E185" s="30" t="s">
        <v>19</v>
      </c>
      <c r="F185" s="30"/>
      <c r="G185" s="30" t="s">
        <v>20</v>
      </c>
      <c r="H185" s="30" t="s">
        <v>168</v>
      </c>
      <c r="I185" s="30"/>
      <c r="J185" s="30"/>
      <c r="K185" s="30"/>
      <c r="L185" s="30" t="s">
        <v>27</v>
      </c>
      <c r="M185" s="32"/>
      <c r="N185" s="32"/>
      <c r="O185" s="31">
        <v>0</v>
      </c>
      <c r="P185" s="32"/>
      <c r="Q185" s="32"/>
      <c r="R185" s="32"/>
      <c r="S185" s="32"/>
      <c r="T185" s="32"/>
    </row>
    <row r="186" spans="3:20" x14ac:dyDescent="0.25">
      <c r="C186" s="30"/>
      <c r="D186" s="30"/>
      <c r="E186" s="30" t="s">
        <v>19</v>
      </c>
      <c r="F186" s="30"/>
      <c r="G186" s="30" t="s">
        <v>20</v>
      </c>
      <c r="H186" s="30" t="s">
        <v>169</v>
      </c>
      <c r="I186" s="30"/>
      <c r="J186" s="30"/>
      <c r="K186" s="30"/>
      <c r="L186" s="30" t="s">
        <v>27</v>
      </c>
      <c r="M186" s="32"/>
      <c r="N186" s="32"/>
      <c r="O186" s="31">
        <v>-8.0661599999999993E-3</v>
      </c>
      <c r="P186" s="32"/>
      <c r="Q186" s="32"/>
      <c r="R186" s="32"/>
      <c r="S186" s="32"/>
      <c r="T186" s="32"/>
    </row>
    <row r="187" spans="3:20" x14ac:dyDescent="0.25">
      <c r="C187" s="35"/>
      <c r="D187" s="35"/>
      <c r="E187" s="35" t="s">
        <v>19</v>
      </c>
      <c r="F187" s="35"/>
      <c r="G187" s="35" t="s">
        <v>20</v>
      </c>
      <c r="H187" s="35" t="s">
        <v>170</v>
      </c>
      <c r="I187" s="35"/>
      <c r="J187" s="35"/>
      <c r="K187" s="35"/>
      <c r="L187" s="35" t="s">
        <v>27</v>
      </c>
      <c r="M187" s="36"/>
      <c r="N187" s="36"/>
      <c r="O187" s="37">
        <v>-1.2240000000000445E-5</v>
      </c>
      <c r="P187" s="36"/>
      <c r="Q187" s="36"/>
      <c r="R187" s="36"/>
      <c r="S187" s="36"/>
      <c r="T187" s="36"/>
    </row>
    <row r="188" spans="3:20" x14ac:dyDescent="0.25">
      <c r="C188" s="30"/>
      <c r="D188" s="30"/>
      <c r="E188" s="30" t="s">
        <v>19</v>
      </c>
      <c r="F188" s="30"/>
      <c r="G188" s="30" t="s">
        <v>20</v>
      </c>
      <c r="H188" s="30" t="s">
        <v>172</v>
      </c>
      <c r="I188" s="30"/>
      <c r="J188" s="30"/>
      <c r="K188" s="30"/>
      <c r="L188" s="30" t="s">
        <v>173</v>
      </c>
      <c r="M188" s="30"/>
      <c r="N188" s="74">
        <f>'Water Data'!$E$68+'Water Data'!$E$69</f>
        <v>10.420120305025339</v>
      </c>
      <c r="O188" s="30"/>
      <c r="P188" s="30"/>
      <c r="Q188" s="30"/>
      <c r="R188" s="30"/>
      <c r="S188" s="30"/>
      <c r="T188" s="30"/>
    </row>
    <row r="189" spans="3:20" x14ac:dyDescent="0.25">
      <c r="C189" s="30"/>
      <c r="D189" s="30"/>
      <c r="E189" s="30" t="s">
        <v>19</v>
      </c>
      <c r="F189" s="30"/>
      <c r="G189" s="30" t="s">
        <v>20</v>
      </c>
      <c r="H189" s="30" t="s">
        <v>174</v>
      </c>
      <c r="I189" s="30"/>
      <c r="J189" s="30"/>
      <c r="K189" s="30"/>
      <c r="L189" s="30" t="s">
        <v>173</v>
      </c>
      <c r="M189" s="30"/>
      <c r="N189" s="74">
        <f>'Water Data'!$E$68+'Water Data'!$E$69</f>
        <v>10.420120305025339</v>
      </c>
      <c r="O189" s="30"/>
      <c r="P189" s="30"/>
      <c r="Q189" s="30"/>
      <c r="R189" s="30"/>
      <c r="S189" s="30"/>
      <c r="T189" s="30"/>
    </row>
    <row r="190" spans="3:20" x14ac:dyDescent="0.25">
      <c r="C190" s="30"/>
      <c r="D190" s="30"/>
      <c r="E190" s="30" t="s">
        <v>19</v>
      </c>
      <c r="F190" s="30"/>
      <c r="G190" s="30" t="s">
        <v>20</v>
      </c>
      <c r="H190" s="30" t="s">
        <v>175</v>
      </c>
      <c r="I190" s="30"/>
      <c r="J190" s="30"/>
      <c r="K190" s="30"/>
      <c r="L190" s="30" t="s">
        <v>173</v>
      </c>
      <c r="M190" s="30"/>
      <c r="N190" s="74">
        <f>'Water Data'!$E$68+'Water Data'!$E$69</f>
        <v>10.420120305025339</v>
      </c>
      <c r="O190" s="30"/>
      <c r="P190" s="30"/>
      <c r="Q190" s="30"/>
      <c r="R190" s="30"/>
      <c r="S190" s="30"/>
      <c r="T190" s="30"/>
    </row>
    <row r="191" spans="3:20" x14ac:dyDescent="0.25">
      <c r="C191" s="30"/>
      <c r="D191" s="30"/>
      <c r="E191" s="30" t="s">
        <v>19</v>
      </c>
      <c r="F191" s="30"/>
      <c r="G191" s="30" t="s">
        <v>20</v>
      </c>
      <c r="H191" s="30" t="s">
        <v>172</v>
      </c>
      <c r="I191" s="30"/>
      <c r="J191" s="30"/>
      <c r="K191" s="30"/>
      <c r="L191" s="30" t="s">
        <v>176</v>
      </c>
      <c r="M191" s="30"/>
      <c r="N191" s="74">
        <f>'Water Data'!$E$68+'Water Data'!$E$69</f>
        <v>10.420120305025339</v>
      </c>
      <c r="O191" s="30"/>
      <c r="P191" s="30"/>
      <c r="Q191" s="30"/>
      <c r="R191" s="30"/>
      <c r="S191" s="30"/>
      <c r="T191" s="30"/>
    </row>
    <row r="192" spans="3:20" x14ac:dyDescent="0.25">
      <c r="C192" s="30"/>
      <c r="D192" s="30"/>
      <c r="E192" s="30" t="s">
        <v>19</v>
      </c>
      <c r="F192" s="30"/>
      <c r="G192" s="30" t="s">
        <v>20</v>
      </c>
      <c r="H192" s="30" t="s">
        <v>174</v>
      </c>
      <c r="I192" s="30"/>
      <c r="J192" s="30"/>
      <c r="K192" s="30"/>
      <c r="L192" s="30" t="s">
        <v>176</v>
      </c>
      <c r="M192" s="30"/>
      <c r="N192" s="74">
        <f>'Water Data'!$E$68+'Water Data'!$E$69</f>
        <v>10.420120305025339</v>
      </c>
      <c r="O192" s="30"/>
      <c r="P192" s="30"/>
      <c r="Q192" s="30"/>
      <c r="R192" s="30"/>
      <c r="S192" s="30"/>
      <c r="T192" s="30"/>
    </row>
    <row r="193" spans="3:20" x14ac:dyDescent="0.25">
      <c r="C193" s="30"/>
      <c r="D193" s="30"/>
      <c r="E193" s="30" t="s">
        <v>19</v>
      </c>
      <c r="F193" s="30"/>
      <c r="G193" s="30" t="s">
        <v>20</v>
      </c>
      <c r="H193" s="30" t="s">
        <v>175</v>
      </c>
      <c r="I193" s="30"/>
      <c r="J193" s="30"/>
      <c r="K193" s="30"/>
      <c r="L193" s="30" t="s">
        <v>176</v>
      </c>
      <c r="M193" s="30"/>
      <c r="N193" s="74">
        <f>'Water Data'!$E$68+'Water Data'!$E$69</f>
        <v>10.420120305025339</v>
      </c>
      <c r="O193" s="30"/>
      <c r="P193" s="30"/>
      <c r="Q193" s="30"/>
      <c r="R193" s="30"/>
      <c r="S193" s="30"/>
      <c r="T193" s="30"/>
    </row>
    <row r="194" spans="3:20" x14ac:dyDescent="0.25">
      <c r="C194" s="30"/>
      <c r="D194" s="30"/>
      <c r="E194" s="30" t="s">
        <v>19</v>
      </c>
      <c r="F194" s="30"/>
      <c r="G194" s="30" t="s">
        <v>20</v>
      </c>
      <c r="H194" s="30" t="s">
        <v>172</v>
      </c>
      <c r="I194" s="30"/>
      <c r="J194" s="30"/>
      <c r="K194" s="30"/>
      <c r="L194" s="30" t="s">
        <v>177</v>
      </c>
      <c r="M194" s="30"/>
      <c r="N194" s="74">
        <f>'Water Data'!$E$68+'Water Data'!$E$69</f>
        <v>10.420120305025339</v>
      </c>
      <c r="O194" s="30"/>
      <c r="P194" s="30"/>
      <c r="Q194" s="30"/>
      <c r="R194" s="30"/>
      <c r="S194" s="30"/>
      <c r="T194" s="30"/>
    </row>
    <row r="195" spans="3:20" x14ac:dyDescent="0.25">
      <c r="C195" s="30"/>
      <c r="D195" s="30"/>
      <c r="E195" s="30" t="s">
        <v>19</v>
      </c>
      <c r="F195" s="30"/>
      <c r="G195" s="30" t="s">
        <v>20</v>
      </c>
      <c r="H195" s="30" t="s">
        <v>174</v>
      </c>
      <c r="I195" s="30"/>
      <c r="J195" s="30"/>
      <c r="K195" s="30"/>
      <c r="L195" s="30" t="s">
        <v>177</v>
      </c>
      <c r="M195" s="30"/>
      <c r="N195" s="74">
        <f>'Water Data'!$E$68+'Water Data'!$E$69</f>
        <v>10.420120305025339</v>
      </c>
      <c r="O195" s="30"/>
      <c r="P195" s="30"/>
      <c r="Q195" s="30"/>
      <c r="R195" s="30"/>
      <c r="S195" s="30"/>
      <c r="T195" s="30"/>
    </row>
    <row r="196" spans="3:20" x14ac:dyDescent="0.25">
      <c r="C196" s="30"/>
      <c r="D196" s="30"/>
      <c r="E196" s="30" t="s">
        <v>19</v>
      </c>
      <c r="F196" s="30"/>
      <c r="G196" s="30" t="s">
        <v>20</v>
      </c>
      <c r="H196" s="30" t="s">
        <v>175</v>
      </c>
      <c r="I196" s="30"/>
      <c r="J196" s="30"/>
      <c r="K196" s="30"/>
      <c r="L196" s="30" t="s">
        <v>177</v>
      </c>
      <c r="M196" s="30"/>
      <c r="N196" s="74">
        <f>'Water Data'!$E$68+'Water Data'!$E$69</f>
        <v>10.420120305025339</v>
      </c>
      <c r="O196" s="30"/>
      <c r="P196" s="30"/>
      <c r="Q196" s="30"/>
      <c r="R196" s="30"/>
      <c r="S196" s="30"/>
      <c r="T196" s="30"/>
    </row>
    <row r="197" spans="3:20" x14ac:dyDescent="0.25">
      <c r="C197" s="30"/>
      <c r="D197" s="30"/>
      <c r="E197" s="30" t="s">
        <v>19</v>
      </c>
      <c r="F197" s="30"/>
      <c r="G197" s="30" t="s">
        <v>20</v>
      </c>
      <c r="H197" s="30" t="s">
        <v>172</v>
      </c>
      <c r="I197" s="30"/>
      <c r="J197" s="30"/>
      <c r="K197" s="30"/>
      <c r="L197" s="30" t="s">
        <v>178</v>
      </c>
      <c r="M197" s="30"/>
      <c r="N197" s="74">
        <f>'Water Data'!$E$68+'Water Data'!$E$69</f>
        <v>10.420120305025339</v>
      </c>
      <c r="O197" s="30"/>
      <c r="P197" s="30"/>
      <c r="Q197" s="30"/>
      <c r="R197" s="30"/>
      <c r="S197" s="30"/>
      <c r="T197" s="30"/>
    </row>
    <row r="198" spans="3:20" x14ac:dyDescent="0.25">
      <c r="C198" s="30"/>
      <c r="D198" s="30"/>
      <c r="E198" s="30" t="s">
        <v>19</v>
      </c>
      <c r="F198" s="30"/>
      <c r="G198" s="30" t="s">
        <v>20</v>
      </c>
      <c r="H198" s="30" t="s">
        <v>174</v>
      </c>
      <c r="I198" s="30"/>
      <c r="J198" s="30"/>
      <c r="K198" s="30"/>
      <c r="L198" s="30" t="s">
        <v>178</v>
      </c>
      <c r="M198" s="30"/>
      <c r="N198" s="74">
        <f>'Water Data'!$E$68+'Water Data'!$E$69</f>
        <v>10.420120305025339</v>
      </c>
      <c r="O198" s="30"/>
      <c r="P198" s="30"/>
      <c r="Q198" s="30"/>
      <c r="R198" s="30"/>
      <c r="S198" s="30"/>
      <c r="T198" s="30"/>
    </row>
    <row r="199" spans="3:20" x14ac:dyDescent="0.25">
      <c r="C199" s="35"/>
      <c r="D199" s="35"/>
      <c r="E199" s="35" t="s">
        <v>19</v>
      </c>
      <c r="F199" s="35"/>
      <c r="G199" s="35" t="s">
        <v>20</v>
      </c>
      <c r="H199" s="35" t="s">
        <v>175</v>
      </c>
      <c r="I199" s="35"/>
      <c r="J199" s="35"/>
      <c r="K199" s="35"/>
      <c r="L199" s="35" t="s">
        <v>178</v>
      </c>
      <c r="M199" s="35"/>
      <c r="N199" s="75">
        <f>'Water Data'!$E$68+'Water Data'!$E$69</f>
        <v>10.420120305025339</v>
      </c>
      <c r="O199" s="35"/>
      <c r="P199" s="35"/>
      <c r="Q199" s="35"/>
      <c r="R199" s="35"/>
      <c r="S199" s="35"/>
      <c r="T199" s="35"/>
    </row>
    <row r="200" spans="3:20" x14ac:dyDescent="0.25">
      <c r="C200" s="30"/>
      <c r="D200" s="30"/>
      <c r="E200" s="30" t="s">
        <v>19</v>
      </c>
      <c r="F200" s="30"/>
      <c r="G200" s="30" t="s">
        <v>20</v>
      </c>
      <c r="H200" s="30" t="s">
        <v>179</v>
      </c>
      <c r="I200" s="30"/>
      <c r="J200" s="30"/>
      <c r="K200" s="30"/>
      <c r="L200" s="30" t="s">
        <v>173</v>
      </c>
      <c r="M200" s="31">
        <f>'Water Data'!$O$23</f>
        <v>130.83336967593601</v>
      </c>
      <c r="N200" s="30"/>
      <c r="O200" s="30"/>
      <c r="P200" s="30"/>
      <c r="Q200" s="30"/>
      <c r="R200" s="30"/>
      <c r="S200" s="30"/>
      <c r="T200" s="30"/>
    </row>
    <row r="201" spans="3:20" x14ac:dyDescent="0.25">
      <c r="C201" s="30"/>
      <c r="D201" s="30"/>
      <c r="E201" s="30" t="s">
        <v>19</v>
      </c>
      <c r="F201" s="30"/>
      <c r="G201" s="30" t="s">
        <v>20</v>
      </c>
      <c r="H201" s="30" t="s">
        <v>180</v>
      </c>
      <c r="I201" s="30"/>
      <c r="J201" s="30"/>
      <c r="K201" s="30"/>
      <c r="L201" s="30" t="s">
        <v>173</v>
      </c>
      <c r="M201" s="31">
        <f>'Water Data'!$O$53</f>
        <v>229.44450817903007</v>
      </c>
      <c r="N201" s="30"/>
      <c r="O201" s="30"/>
      <c r="P201" s="30"/>
      <c r="Q201" s="30"/>
      <c r="R201" s="30"/>
      <c r="S201" s="30"/>
      <c r="T201" s="30"/>
    </row>
    <row r="202" spans="3:20" x14ac:dyDescent="0.25">
      <c r="C202" s="30"/>
      <c r="D202" s="30"/>
      <c r="E202" s="30" t="s">
        <v>19</v>
      </c>
      <c r="F202" s="30"/>
      <c r="G202" s="30" t="s">
        <v>20</v>
      </c>
      <c r="H202" s="30" t="s">
        <v>181</v>
      </c>
      <c r="I202" s="30"/>
      <c r="J202" s="30"/>
      <c r="K202" s="30"/>
      <c r="L202" s="30" t="s">
        <v>173</v>
      </c>
      <c r="M202" s="31">
        <f>'Water Data'!$O$49</f>
        <v>66.666685185190332</v>
      </c>
      <c r="N202" s="30"/>
      <c r="O202" s="30"/>
      <c r="P202" s="30"/>
      <c r="Q202" s="30"/>
      <c r="R202" s="30"/>
      <c r="S202" s="30"/>
      <c r="T202" s="30"/>
    </row>
    <row r="203" spans="3:20" x14ac:dyDescent="0.25">
      <c r="C203" s="30"/>
      <c r="D203" s="30"/>
      <c r="E203" s="30" t="s">
        <v>19</v>
      </c>
      <c r="F203" s="30"/>
      <c r="G203" s="30" t="s">
        <v>20</v>
      </c>
      <c r="H203" s="30" t="s">
        <v>182</v>
      </c>
      <c r="I203" s="30"/>
      <c r="J203" s="30"/>
      <c r="K203" s="30"/>
      <c r="L203" s="30" t="s">
        <v>173</v>
      </c>
      <c r="M203" s="31">
        <f>'Water Data'!$O$51</f>
        <v>55.000015277782026</v>
      </c>
      <c r="N203" s="30"/>
      <c r="O203" s="30"/>
      <c r="P203" s="30"/>
      <c r="Q203" s="30"/>
      <c r="R203" s="30"/>
      <c r="S203" s="30"/>
      <c r="T203" s="30"/>
    </row>
    <row r="204" spans="3:20" x14ac:dyDescent="0.25">
      <c r="C204" s="30"/>
      <c r="D204" s="30"/>
      <c r="E204" s="30" t="s">
        <v>19</v>
      </c>
      <c r="F204" s="30"/>
      <c r="G204" s="30" t="s">
        <v>20</v>
      </c>
      <c r="H204" s="30" t="s">
        <v>183</v>
      </c>
      <c r="I204" s="30"/>
      <c r="J204" s="30"/>
      <c r="K204" s="30"/>
      <c r="L204" s="30" t="s">
        <v>173</v>
      </c>
      <c r="M204" s="31">
        <f>'Water Data'!$O$51</f>
        <v>55.000015277782026</v>
      </c>
      <c r="N204" s="30"/>
      <c r="O204" s="30"/>
      <c r="P204" s="30"/>
      <c r="Q204" s="30"/>
      <c r="R204" s="30"/>
      <c r="S204" s="30"/>
      <c r="T204" s="30"/>
    </row>
    <row r="205" spans="3:20" x14ac:dyDescent="0.25">
      <c r="C205" s="30"/>
      <c r="D205" s="30"/>
      <c r="E205" s="30" t="s">
        <v>19</v>
      </c>
      <c r="F205" s="30"/>
      <c r="G205" s="30" t="s">
        <v>20</v>
      </c>
      <c r="H205" s="30" t="s">
        <v>184</v>
      </c>
      <c r="I205" s="30"/>
      <c r="J205" s="30"/>
      <c r="K205" s="30"/>
      <c r="L205" s="30" t="s">
        <v>173</v>
      </c>
      <c r="M205" s="31">
        <f>'Water Data'!$O$48</f>
        <v>27.777785493829306</v>
      </c>
      <c r="N205" s="30"/>
      <c r="O205" s="30"/>
      <c r="P205" s="30"/>
      <c r="Q205" s="30"/>
      <c r="R205" s="30"/>
      <c r="S205" s="30"/>
      <c r="T205" s="30"/>
    </row>
    <row r="206" spans="3:20" x14ac:dyDescent="0.25">
      <c r="C206" s="30"/>
      <c r="D206" s="30"/>
      <c r="E206" s="30" t="s">
        <v>19</v>
      </c>
      <c r="F206" s="30"/>
      <c r="G206" s="30" t="s">
        <v>20</v>
      </c>
      <c r="H206" s="30" t="s">
        <v>185</v>
      </c>
      <c r="I206" s="30"/>
      <c r="J206" s="30"/>
      <c r="K206" s="30"/>
      <c r="L206" s="30" t="s">
        <v>173</v>
      </c>
      <c r="M206" s="31">
        <f>'Water Data'!$O$46</f>
        <v>0.55555570987658609</v>
      </c>
      <c r="N206" s="30"/>
      <c r="O206" s="30"/>
      <c r="P206" s="30"/>
      <c r="Q206" s="30"/>
      <c r="R206" s="30"/>
      <c r="S206" s="30"/>
      <c r="T206" s="30"/>
    </row>
    <row r="207" spans="3:20" x14ac:dyDescent="0.25">
      <c r="C207" s="30"/>
      <c r="D207" s="30"/>
      <c r="E207" s="30" t="s">
        <v>19</v>
      </c>
      <c r="F207" s="30"/>
      <c r="G207" s="30" t="s">
        <v>20</v>
      </c>
      <c r="H207" s="30" t="s">
        <v>186</v>
      </c>
      <c r="I207" s="30"/>
      <c r="J207" s="30"/>
      <c r="K207" s="30"/>
      <c r="L207" s="30" t="s">
        <v>173</v>
      </c>
      <c r="M207" s="31">
        <f>'Water Data'!$O$56</f>
        <v>186.66671851853292</v>
      </c>
      <c r="N207" s="30"/>
      <c r="O207" s="30"/>
      <c r="P207" s="30"/>
      <c r="Q207" s="30"/>
      <c r="R207" s="30"/>
      <c r="S207" s="30"/>
      <c r="T207" s="30"/>
    </row>
    <row r="208" spans="3:20" x14ac:dyDescent="0.25">
      <c r="C208" s="30"/>
      <c r="D208" s="30"/>
      <c r="E208" s="30" t="s">
        <v>19</v>
      </c>
      <c r="F208" s="30"/>
      <c r="G208" s="30" t="s">
        <v>20</v>
      </c>
      <c r="H208" s="30" t="s">
        <v>187</v>
      </c>
      <c r="I208" s="30"/>
      <c r="J208" s="30"/>
      <c r="K208" s="30"/>
      <c r="L208" s="30" t="s">
        <v>173</v>
      </c>
      <c r="M208" s="31">
        <f>'Water Data'!$O$54</f>
        <v>74.722242978400828</v>
      </c>
      <c r="N208" s="30"/>
      <c r="O208" s="30"/>
      <c r="P208" s="30"/>
      <c r="Q208" s="30"/>
      <c r="R208" s="30"/>
      <c r="S208" s="30"/>
      <c r="T208" s="30"/>
    </row>
    <row r="209" spans="3:20" x14ac:dyDescent="0.25">
      <c r="C209" s="30"/>
      <c r="D209" s="30"/>
      <c r="E209" s="30" t="s">
        <v>19</v>
      </c>
      <c r="F209" s="30"/>
      <c r="G209" s="30" t="s">
        <v>20</v>
      </c>
      <c r="H209" s="30" t="s">
        <v>179</v>
      </c>
      <c r="I209" s="30"/>
      <c r="J209" s="30"/>
      <c r="K209" s="30"/>
      <c r="L209" s="30" t="s">
        <v>177</v>
      </c>
      <c r="M209" s="32">
        <f>M200</f>
        <v>130.83336967593601</v>
      </c>
      <c r="N209" s="30"/>
      <c r="O209" s="30"/>
      <c r="P209" s="30"/>
      <c r="Q209" s="30"/>
      <c r="R209" s="30"/>
      <c r="S209" s="30"/>
      <c r="T209" s="30"/>
    </row>
    <row r="210" spans="3:20" x14ac:dyDescent="0.25">
      <c r="C210" s="30"/>
      <c r="D210" s="30"/>
      <c r="E210" s="30" t="s">
        <v>19</v>
      </c>
      <c r="F210" s="30"/>
      <c r="G210" s="30" t="s">
        <v>20</v>
      </c>
      <c r="H210" s="30" t="s">
        <v>180</v>
      </c>
      <c r="I210" s="30"/>
      <c r="J210" s="30"/>
      <c r="K210" s="30"/>
      <c r="L210" s="30" t="s">
        <v>177</v>
      </c>
      <c r="M210" s="32">
        <f t="shared" ref="M210:M217" si="3">M201</f>
        <v>229.44450817903007</v>
      </c>
      <c r="N210" s="30"/>
      <c r="O210" s="30"/>
      <c r="P210" s="30"/>
      <c r="Q210" s="30"/>
      <c r="R210" s="30"/>
      <c r="S210" s="30"/>
      <c r="T210" s="30"/>
    </row>
    <row r="211" spans="3:20" x14ac:dyDescent="0.25">
      <c r="C211" s="30"/>
      <c r="D211" s="30"/>
      <c r="E211" s="30" t="s">
        <v>19</v>
      </c>
      <c r="F211" s="30"/>
      <c r="G211" s="30" t="s">
        <v>20</v>
      </c>
      <c r="H211" s="30" t="s">
        <v>181</v>
      </c>
      <c r="I211" s="30"/>
      <c r="J211" s="30"/>
      <c r="K211" s="30"/>
      <c r="L211" s="30" t="s">
        <v>177</v>
      </c>
      <c r="M211" s="32">
        <f t="shared" si="3"/>
        <v>66.666685185190332</v>
      </c>
      <c r="N211" s="30"/>
      <c r="O211" s="30"/>
      <c r="P211" s="30"/>
      <c r="Q211" s="30"/>
      <c r="R211" s="30"/>
      <c r="S211" s="30"/>
      <c r="T211" s="30"/>
    </row>
    <row r="212" spans="3:20" x14ac:dyDescent="0.25">
      <c r="C212" s="30"/>
      <c r="D212" s="30"/>
      <c r="E212" s="30" t="s">
        <v>19</v>
      </c>
      <c r="F212" s="30"/>
      <c r="G212" s="30" t="s">
        <v>20</v>
      </c>
      <c r="H212" s="30" t="s">
        <v>182</v>
      </c>
      <c r="I212" s="30"/>
      <c r="J212" s="30"/>
      <c r="K212" s="30"/>
      <c r="L212" s="30" t="s">
        <v>177</v>
      </c>
      <c r="M212" s="32">
        <f t="shared" si="3"/>
        <v>55.000015277782026</v>
      </c>
      <c r="N212" s="30"/>
      <c r="O212" s="30"/>
      <c r="P212" s="30"/>
      <c r="Q212" s="30"/>
      <c r="R212" s="30"/>
      <c r="S212" s="30"/>
      <c r="T212" s="30"/>
    </row>
    <row r="213" spans="3:20" x14ac:dyDescent="0.25">
      <c r="C213" s="30"/>
      <c r="D213" s="30"/>
      <c r="E213" s="30" t="s">
        <v>19</v>
      </c>
      <c r="F213" s="30"/>
      <c r="G213" s="30" t="s">
        <v>20</v>
      </c>
      <c r="H213" s="30" t="s">
        <v>183</v>
      </c>
      <c r="I213" s="30"/>
      <c r="J213" s="30"/>
      <c r="K213" s="30"/>
      <c r="L213" s="30" t="s">
        <v>177</v>
      </c>
      <c r="M213" s="32">
        <f t="shared" si="3"/>
        <v>55.000015277782026</v>
      </c>
      <c r="N213" s="30"/>
      <c r="O213" s="30"/>
      <c r="P213" s="30"/>
      <c r="Q213" s="30"/>
      <c r="R213" s="30"/>
      <c r="S213" s="30"/>
      <c r="T213" s="30"/>
    </row>
    <row r="214" spans="3:20" x14ac:dyDescent="0.25">
      <c r="C214" s="30"/>
      <c r="D214" s="30"/>
      <c r="E214" s="30" t="s">
        <v>19</v>
      </c>
      <c r="F214" s="30"/>
      <c r="G214" s="30" t="s">
        <v>20</v>
      </c>
      <c r="H214" s="30" t="s">
        <v>184</v>
      </c>
      <c r="I214" s="30"/>
      <c r="J214" s="30"/>
      <c r="K214" s="30"/>
      <c r="L214" s="30" t="s">
        <v>177</v>
      </c>
      <c r="M214" s="32">
        <f t="shared" si="3"/>
        <v>27.777785493829306</v>
      </c>
      <c r="N214" s="30"/>
      <c r="O214" s="30"/>
      <c r="P214" s="30"/>
      <c r="Q214" s="30"/>
      <c r="R214" s="30"/>
      <c r="S214" s="30"/>
      <c r="T214" s="30"/>
    </row>
    <row r="215" spans="3:20" x14ac:dyDescent="0.25">
      <c r="C215" s="30"/>
      <c r="D215" s="30"/>
      <c r="E215" s="30" t="s">
        <v>19</v>
      </c>
      <c r="F215" s="30"/>
      <c r="G215" s="30" t="s">
        <v>20</v>
      </c>
      <c r="H215" s="30" t="s">
        <v>185</v>
      </c>
      <c r="I215" s="30"/>
      <c r="J215" s="30"/>
      <c r="K215" s="30"/>
      <c r="L215" s="30" t="s">
        <v>177</v>
      </c>
      <c r="M215" s="32">
        <f t="shared" si="3"/>
        <v>0.55555570987658609</v>
      </c>
      <c r="N215" s="30"/>
      <c r="O215" s="30"/>
      <c r="P215" s="30"/>
      <c r="Q215" s="30"/>
      <c r="R215" s="30"/>
      <c r="S215" s="30"/>
      <c r="T215" s="30"/>
    </row>
    <row r="216" spans="3:20" x14ac:dyDescent="0.25">
      <c r="C216" s="30"/>
      <c r="D216" s="30"/>
      <c r="E216" s="30" t="s">
        <v>19</v>
      </c>
      <c r="F216" s="30"/>
      <c r="G216" s="30" t="s">
        <v>20</v>
      </c>
      <c r="H216" s="30" t="s">
        <v>186</v>
      </c>
      <c r="I216" s="30"/>
      <c r="J216" s="30"/>
      <c r="K216" s="30"/>
      <c r="L216" s="30" t="s">
        <v>177</v>
      </c>
      <c r="M216" s="32">
        <f t="shared" si="3"/>
        <v>186.66671851853292</v>
      </c>
      <c r="N216" s="30"/>
      <c r="O216" s="30"/>
      <c r="P216" s="30"/>
      <c r="Q216" s="30"/>
      <c r="R216" s="30"/>
      <c r="S216" s="30"/>
      <c r="T216" s="30"/>
    </row>
    <row r="217" spans="3:20" x14ac:dyDescent="0.25">
      <c r="C217" s="35"/>
      <c r="D217" s="35"/>
      <c r="E217" s="35" t="s">
        <v>19</v>
      </c>
      <c r="F217" s="35"/>
      <c r="G217" s="35" t="s">
        <v>20</v>
      </c>
      <c r="H217" s="35" t="s">
        <v>187</v>
      </c>
      <c r="I217" s="35"/>
      <c r="J217" s="35"/>
      <c r="K217" s="35"/>
      <c r="L217" s="35" t="s">
        <v>177</v>
      </c>
      <c r="M217" s="36">
        <f t="shared" si="3"/>
        <v>74.722242978400828</v>
      </c>
      <c r="N217" s="35"/>
      <c r="O217" s="35"/>
      <c r="P217" s="35"/>
      <c r="Q217" s="35"/>
      <c r="R217" s="35"/>
      <c r="S217" s="35"/>
      <c r="T217" s="35"/>
    </row>
    <row r="218" spans="3:20" x14ac:dyDescent="0.25">
      <c r="C218" s="30"/>
      <c r="D218" s="30"/>
      <c r="E218" s="30" t="s">
        <v>19</v>
      </c>
      <c r="F218" s="30"/>
      <c r="G218" s="30" t="s">
        <v>20</v>
      </c>
      <c r="H218" s="30" t="s">
        <v>179</v>
      </c>
      <c r="I218" s="30"/>
      <c r="J218" s="30"/>
      <c r="K218" s="30"/>
      <c r="L218" s="30" t="s">
        <v>176</v>
      </c>
      <c r="M218" s="31">
        <f>'Water Data'!$D$23</f>
        <v>147.50004097223362</v>
      </c>
      <c r="N218" s="30"/>
      <c r="O218" s="30"/>
      <c r="P218" s="30"/>
      <c r="Q218" s="30"/>
      <c r="R218" s="30"/>
      <c r="S218" s="30"/>
      <c r="T218" s="30"/>
    </row>
    <row r="219" spans="3:20" x14ac:dyDescent="0.25">
      <c r="C219" s="30"/>
      <c r="D219" s="30"/>
      <c r="E219" s="30" t="s">
        <v>19</v>
      </c>
      <c r="F219" s="30"/>
      <c r="G219" s="30" t="s">
        <v>20</v>
      </c>
      <c r="H219" s="30" t="s">
        <v>180</v>
      </c>
      <c r="I219" s="30"/>
      <c r="J219" s="30"/>
      <c r="K219" s="30"/>
      <c r="L219" s="30" t="s">
        <v>176</v>
      </c>
      <c r="M219" s="31">
        <f>'Water Data'!$D$53</f>
        <v>334.16675949076654</v>
      </c>
      <c r="N219" s="30"/>
      <c r="O219" s="30"/>
      <c r="P219" s="30"/>
      <c r="Q219" s="30"/>
      <c r="R219" s="30"/>
      <c r="S219" s="30"/>
      <c r="T219" s="30"/>
    </row>
    <row r="220" spans="3:20" x14ac:dyDescent="0.25">
      <c r="C220" s="30"/>
      <c r="D220" s="30"/>
      <c r="E220" s="30" t="s">
        <v>19</v>
      </c>
      <c r="F220" s="30"/>
      <c r="G220" s="30" t="s">
        <v>20</v>
      </c>
      <c r="H220" s="30" t="s">
        <v>181</v>
      </c>
      <c r="I220" s="30"/>
      <c r="J220" s="30"/>
      <c r="K220" s="30"/>
      <c r="L220" s="30" t="s">
        <v>176</v>
      </c>
      <c r="M220" s="31">
        <f>'Water Data'!$D$49</f>
        <v>9722.2249228402561</v>
      </c>
      <c r="N220" s="30"/>
      <c r="O220" s="30"/>
      <c r="P220" s="30"/>
      <c r="Q220" s="30"/>
      <c r="R220" s="30"/>
      <c r="S220" s="30"/>
      <c r="T220" s="30"/>
    </row>
    <row r="221" spans="3:20" x14ac:dyDescent="0.25">
      <c r="C221" s="30"/>
      <c r="D221" s="30"/>
      <c r="E221" s="30" t="s">
        <v>19</v>
      </c>
      <c r="F221" s="30"/>
      <c r="G221" s="30" t="s">
        <v>20</v>
      </c>
      <c r="H221" s="30" t="s">
        <v>182</v>
      </c>
      <c r="I221" s="30"/>
      <c r="J221" s="30"/>
      <c r="K221" s="30"/>
      <c r="L221" s="30" t="s">
        <v>176</v>
      </c>
      <c r="M221" s="31">
        <f>'Water Data'!$D$51</f>
        <v>70.277797299388141</v>
      </c>
      <c r="N221" s="30"/>
      <c r="O221" s="30"/>
      <c r="P221" s="30"/>
      <c r="Q221" s="30"/>
      <c r="R221" s="30"/>
      <c r="S221" s="30"/>
      <c r="T221" s="30"/>
    </row>
    <row r="222" spans="3:20" x14ac:dyDescent="0.25">
      <c r="C222" s="30"/>
      <c r="D222" s="30"/>
      <c r="E222" s="30" t="s">
        <v>19</v>
      </c>
      <c r="F222" s="30"/>
      <c r="G222" s="30" t="s">
        <v>20</v>
      </c>
      <c r="H222" s="30" t="s">
        <v>183</v>
      </c>
      <c r="I222" s="30"/>
      <c r="J222" s="30"/>
      <c r="K222" s="30"/>
      <c r="L222" s="30" t="s">
        <v>176</v>
      </c>
      <c r="M222" s="31">
        <f>'Water Data'!$D$51</f>
        <v>70.277797299388141</v>
      </c>
      <c r="N222" s="30"/>
      <c r="O222" s="30"/>
      <c r="P222" s="30"/>
      <c r="Q222" s="30"/>
      <c r="R222" s="30"/>
      <c r="S222" s="30"/>
      <c r="T222" s="30"/>
    </row>
    <row r="223" spans="3:20" x14ac:dyDescent="0.25">
      <c r="C223" s="30"/>
      <c r="D223" s="30"/>
      <c r="E223" s="30" t="s">
        <v>19</v>
      </c>
      <c r="F223" s="30"/>
      <c r="G223" s="30" t="s">
        <v>20</v>
      </c>
      <c r="H223" s="30" t="s">
        <v>184</v>
      </c>
      <c r="I223" s="30"/>
      <c r="J223" s="30"/>
      <c r="K223" s="30"/>
      <c r="L223" s="30" t="s">
        <v>176</v>
      </c>
      <c r="M223" s="31">
        <f>'Water Data'!$D$48</f>
        <v>3161.1119891977751</v>
      </c>
      <c r="N223" s="30"/>
      <c r="O223" s="30"/>
      <c r="P223" s="30"/>
      <c r="Q223" s="30"/>
      <c r="R223" s="30"/>
      <c r="S223" s="30"/>
      <c r="T223" s="30"/>
    </row>
    <row r="224" spans="3:20" x14ac:dyDescent="0.25">
      <c r="C224" s="30"/>
      <c r="D224" s="30"/>
      <c r="E224" s="30" t="s">
        <v>19</v>
      </c>
      <c r="F224" s="30"/>
      <c r="G224" s="30" t="s">
        <v>20</v>
      </c>
      <c r="H224" s="30" t="s">
        <v>185</v>
      </c>
      <c r="I224" s="30"/>
      <c r="J224" s="30"/>
      <c r="K224" s="30"/>
      <c r="L224" s="30" t="s">
        <v>176</v>
      </c>
      <c r="M224" s="31">
        <f>'Water Data'!$D$46</f>
        <v>0.55555570987658609</v>
      </c>
      <c r="N224" s="30"/>
      <c r="O224" s="30"/>
      <c r="P224" s="30"/>
      <c r="Q224" s="30"/>
      <c r="R224" s="30"/>
      <c r="S224" s="30"/>
      <c r="T224" s="30"/>
    </row>
    <row r="225" spans="3:20" x14ac:dyDescent="0.25">
      <c r="C225" s="30"/>
      <c r="D225" s="30"/>
      <c r="E225" s="30" t="s">
        <v>19</v>
      </c>
      <c r="F225" s="30"/>
      <c r="G225" s="30" t="s">
        <v>20</v>
      </c>
      <c r="H225" s="30" t="s">
        <v>186</v>
      </c>
      <c r="I225" s="30"/>
      <c r="J225" s="30"/>
      <c r="K225" s="30"/>
      <c r="L225" s="30" t="s">
        <v>176</v>
      </c>
      <c r="M225" s="31">
        <f>'Water Data'!$D$56</f>
        <v>305.83341828706062</v>
      </c>
      <c r="N225" s="30"/>
      <c r="O225" s="30"/>
      <c r="P225" s="30"/>
      <c r="Q225" s="30"/>
      <c r="R225" s="30"/>
      <c r="S225" s="30"/>
      <c r="T225" s="30"/>
    </row>
    <row r="226" spans="3:20" x14ac:dyDescent="0.25">
      <c r="C226" s="30"/>
      <c r="D226" s="30"/>
      <c r="E226" s="30" t="s">
        <v>19</v>
      </c>
      <c r="F226" s="30"/>
      <c r="G226" s="30" t="s">
        <v>20</v>
      </c>
      <c r="H226" s="30" t="s">
        <v>187</v>
      </c>
      <c r="I226" s="30"/>
      <c r="J226" s="30"/>
      <c r="K226" s="30"/>
      <c r="L226" s="30" t="s">
        <v>176</v>
      </c>
      <c r="M226" s="31">
        <f>'Water Data'!$D$54</f>
        <v>12319.447866513297</v>
      </c>
      <c r="N226" s="30"/>
      <c r="O226" s="30"/>
      <c r="P226" s="30"/>
      <c r="Q226" s="30"/>
      <c r="R226" s="30"/>
      <c r="S226" s="30"/>
      <c r="T226" s="30"/>
    </row>
    <row r="227" spans="3:20" x14ac:dyDescent="0.25">
      <c r="C227" s="30"/>
      <c r="D227" s="30"/>
      <c r="E227" s="30" t="s">
        <v>19</v>
      </c>
      <c r="F227" s="30"/>
      <c r="G227" s="30" t="s">
        <v>20</v>
      </c>
      <c r="H227" s="30" t="s">
        <v>179</v>
      </c>
      <c r="I227" s="30"/>
      <c r="J227" s="30"/>
      <c r="K227" s="30"/>
      <c r="L227" s="30" t="s">
        <v>178</v>
      </c>
      <c r="M227" s="32">
        <f>M218</f>
        <v>147.50004097223362</v>
      </c>
      <c r="N227" s="30"/>
      <c r="O227" s="30"/>
      <c r="P227" s="30"/>
      <c r="Q227" s="30"/>
      <c r="R227" s="30"/>
      <c r="S227" s="30"/>
      <c r="T227" s="30"/>
    </row>
    <row r="228" spans="3:20" x14ac:dyDescent="0.25">
      <c r="C228" s="30"/>
      <c r="D228" s="30"/>
      <c r="E228" s="30" t="s">
        <v>19</v>
      </c>
      <c r="F228" s="30"/>
      <c r="G228" s="30" t="s">
        <v>20</v>
      </c>
      <c r="H228" s="30" t="s">
        <v>180</v>
      </c>
      <c r="I228" s="30"/>
      <c r="J228" s="30"/>
      <c r="K228" s="30"/>
      <c r="L228" s="30" t="s">
        <v>178</v>
      </c>
      <c r="M228" s="32">
        <f t="shared" ref="M228:M235" si="4">M219</f>
        <v>334.16675949076654</v>
      </c>
      <c r="N228" s="30"/>
      <c r="O228" s="30"/>
      <c r="P228" s="30"/>
      <c r="Q228" s="30"/>
      <c r="R228" s="30"/>
      <c r="S228" s="30"/>
      <c r="T228" s="30"/>
    </row>
    <row r="229" spans="3:20" x14ac:dyDescent="0.25">
      <c r="C229" s="30"/>
      <c r="D229" s="30"/>
      <c r="E229" s="30" t="s">
        <v>19</v>
      </c>
      <c r="F229" s="30"/>
      <c r="G229" s="30" t="s">
        <v>20</v>
      </c>
      <c r="H229" s="30" t="s">
        <v>181</v>
      </c>
      <c r="I229" s="30"/>
      <c r="J229" s="30"/>
      <c r="K229" s="30"/>
      <c r="L229" s="30" t="s">
        <v>178</v>
      </c>
      <c r="M229" s="32">
        <f t="shared" si="4"/>
        <v>9722.2249228402561</v>
      </c>
      <c r="N229" s="30"/>
      <c r="O229" s="30"/>
      <c r="P229" s="30"/>
      <c r="Q229" s="30"/>
      <c r="R229" s="30"/>
      <c r="S229" s="30"/>
      <c r="T229" s="30"/>
    </row>
    <row r="230" spans="3:20" x14ac:dyDescent="0.25">
      <c r="C230" s="30"/>
      <c r="D230" s="30"/>
      <c r="E230" s="30" t="s">
        <v>19</v>
      </c>
      <c r="F230" s="30"/>
      <c r="G230" s="30" t="s">
        <v>20</v>
      </c>
      <c r="H230" s="30" t="s">
        <v>182</v>
      </c>
      <c r="I230" s="30"/>
      <c r="J230" s="30"/>
      <c r="K230" s="30"/>
      <c r="L230" s="30" t="s">
        <v>178</v>
      </c>
      <c r="M230" s="32">
        <f t="shared" si="4"/>
        <v>70.277797299388141</v>
      </c>
      <c r="N230" s="30"/>
      <c r="O230" s="30"/>
      <c r="P230" s="30"/>
      <c r="Q230" s="30"/>
      <c r="R230" s="30"/>
      <c r="S230" s="30"/>
      <c r="T230" s="30"/>
    </row>
    <row r="231" spans="3:20" x14ac:dyDescent="0.25">
      <c r="C231" s="30"/>
      <c r="D231" s="30"/>
      <c r="E231" s="30" t="s">
        <v>19</v>
      </c>
      <c r="F231" s="30"/>
      <c r="G231" s="30" t="s">
        <v>20</v>
      </c>
      <c r="H231" s="30" t="s">
        <v>183</v>
      </c>
      <c r="I231" s="30"/>
      <c r="J231" s="30"/>
      <c r="K231" s="30"/>
      <c r="L231" s="30" t="s">
        <v>178</v>
      </c>
      <c r="M231" s="32">
        <f t="shared" si="4"/>
        <v>70.277797299388141</v>
      </c>
      <c r="N231" s="30"/>
      <c r="O231" s="30"/>
      <c r="P231" s="30"/>
      <c r="Q231" s="30"/>
      <c r="R231" s="30"/>
      <c r="S231" s="30"/>
      <c r="T231" s="30"/>
    </row>
    <row r="232" spans="3:20" x14ac:dyDescent="0.25">
      <c r="C232" s="30"/>
      <c r="D232" s="30"/>
      <c r="E232" s="30" t="s">
        <v>19</v>
      </c>
      <c r="F232" s="30"/>
      <c r="G232" s="30" t="s">
        <v>20</v>
      </c>
      <c r="H232" s="30" t="s">
        <v>184</v>
      </c>
      <c r="I232" s="30"/>
      <c r="J232" s="30"/>
      <c r="K232" s="30"/>
      <c r="L232" s="30" t="s">
        <v>178</v>
      </c>
      <c r="M232" s="32">
        <f t="shared" si="4"/>
        <v>3161.1119891977751</v>
      </c>
      <c r="N232" s="30"/>
      <c r="O232" s="30"/>
      <c r="P232" s="30"/>
      <c r="Q232" s="30"/>
      <c r="R232" s="30"/>
      <c r="S232" s="30"/>
      <c r="T232" s="30"/>
    </row>
    <row r="233" spans="3:20" x14ac:dyDescent="0.25">
      <c r="C233" s="30"/>
      <c r="D233" s="30"/>
      <c r="E233" s="30" t="s">
        <v>19</v>
      </c>
      <c r="F233" s="30"/>
      <c r="G233" s="30" t="s">
        <v>20</v>
      </c>
      <c r="H233" s="30" t="s">
        <v>185</v>
      </c>
      <c r="I233" s="30"/>
      <c r="J233" s="30"/>
      <c r="K233" s="30"/>
      <c r="L233" s="30" t="s">
        <v>178</v>
      </c>
      <c r="M233" s="32">
        <f t="shared" si="4"/>
        <v>0.55555570987658609</v>
      </c>
      <c r="N233" s="30"/>
      <c r="O233" s="30"/>
      <c r="P233" s="30"/>
      <c r="Q233" s="30"/>
      <c r="R233" s="30"/>
      <c r="S233" s="30"/>
      <c r="T233" s="30"/>
    </row>
    <row r="234" spans="3:20" x14ac:dyDescent="0.25">
      <c r="C234" s="30"/>
      <c r="D234" s="30"/>
      <c r="E234" s="30" t="s">
        <v>19</v>
      </c>
      <c r="F234" s="30"/>
      <c r="G234" s="30" t="s">
        <v>20</v>
      </c>
      <c r="H234" s="30" t="s">
        <v>186</v>
      </c>
      <c r="I234" s="30"/>
      <c r="J234" s="30"/>
      <c r="K234" s="30"/>
      <c r="L234" s="30" t="s">
        <v>178</v>
      </c>
      <c r="M234" s="32">
        <f t="shared" si="4"/>
        <v>305.83341828706062</v>
      </c>
      <c r="N234" s="30"/>
      <c r="O234" s="30"/>
      <c r="P234" s="30"/>
      <c r="Q234" s="30"/>
      <c r="R234" s="30"/>
      <c r="S234" s="30"/>
      <c r="T234" s="30"/>
    </row>
    <row r="235" spans="3:20" x14ac:dyDescent="0.25">
      <c r="C235" s="35"/>
      <c r="D235" s="35"/>
      <c r="E235" s="35" t="s">
        <v>19</v>
      </c>
      <c r="F235" s="35"/>
      <c r="G235" s="35" t="s">
        <v>20</v>
      </c>
      <c r="H235" s="35" t="s">
        <v>187</v>
      </c>
      <c r="I235" s="35"/>
      <c r="J235" s="35"/>
      <c r="K235" s="35"/>
      <c r="L235" s="35" t="s">
        <v>178</v>
      </c>
      <c r="M235" s="36">
        <f t="shared" si="4"/>
        <v>12319.447866513297</v>
      </c>
      <c r="N235" s="35"/>
      <c r="O235" s="35"/>
      <c r="P235" s="35"/>
      <c r="Q235" s="35"/>
      <c r="R235" s="35"/>
      <c r="S235" s="35"/>
      <c r="T235" s="35"/>
    </row>
    <row r="236" spans="3:20" x14ac:dyDescent="0.25">
      <c r="C236" s="30"/>
      <c r="D236" s="30"/>
      <c r="E236" s="30" t="s">
        <v>19</v>
      </c>
      <c r="F236" s="30"/>
      <c r="G236" s="30" t="s">
        <v>20</v>
      </c>
      <c r="H236" s="30" t="s">
        <v>188</v>
      </c>
      <c r="I236" s="30"/>
      <c r="J236" s="30"/>
      <c r="K236" s="30"/>
      <c r="L236" s="30" t="s">
        <v>173</v>
      </c>
      <c r="M236" s="31">
        <f>'Water Data'!$O$23</f>
        <v>130.83336967593601</v>
      </c>
      <c r="N236" s="30"/>
      <c r="O236" s="30"/>
      <c r="P236" s="30"/>
      <c r="Q236" s="30"/>
      <c r="R236" s="30"/>
      <c r="S236" s="30"/>
      <c r="T236" s="30"/>
    </row>
    <row r="237" spans="3:20" x14ac:dyDescent="0.25">
      <c r="C237" s="30"/>
      <c r="D237" s="30"/>
      <c r="E237" s="30" t="s">
        <v>19</v>
      </c>
      <c r="F237" s="30"/>
      <c r="G237" s="30" t="s">
        <v>20</v>
      </c>
      <c r="H237" s="30" t="s">
        <v>189</v>
      </c>
      <c r="I237" s="30"/>
      <c r="J237" s="30"/>
      <c r="K237" s="30"/>
      <c r="L237" s="30" t="s">
        <v>173</v>
      </c>
      <c r="M237" s="31">
        <f>'Water Data'!$O$23</f>
        <v>130.83336967593601</v>
      </c>
      <c r="N237" s="30"/>
      <c r="O237" s="30"/>
      <c r="P237" s="30"/>
      <c r="Q237" s="30"/>
      <c r="R237" s="30"/>
      <c r="S237" s="30"/>
      <c r="T237" s="30"/>
    </row>
    <row r="238" spans="3:20" x14ac:dyDescent="0.25">
      <c r="C238" s="30"/>
      <c r="D238" s="30"/>
      <c r="E238" s="30" t="s">
        <v>19</v>
      </c>
      <c r="F238" s="30"/>
      <c r="G238" s="30" t="s">
        <v>20</v>
      </c>
      <c r="H238" s="30" t="s">
        <v>190</v>
      </c>
      <c r="I238" s="30"/>
      <c r="J238" s="30"/>
      <c r="K238" s="30"/>
      <c r="L238" s="30" t="s">
        <v>173</v>
      </c>
      <c r="M238" s="31">
        <f>'Water Data'!$O$23</f>
        <v>130.83336967593601</v>
      </c>
      <c r="N238" s="30"/>
      <c r="O238" s="30"/>
      <c r="P238" s="30"/>
      <c r="Q238" s="30"/>
      <c r="R238" s="30"/>
      <c r="S238" s="30"/>
      <c r="T238" s="30"/>
    </row>
    <row r="239" spans="3:20" x14ac:dyDescent="0.25">
      <c r="C239" s="30"/>
      <c r="D239" s="30"/>
      <c r="E239" s="30" t="s">
        <v>19</v>
      </c>
      <c r="F239" s="30"/>
      <c r="G239" s="30" t="s">
        <v>20</v>
      </c>
      <c r="H239" s="30" t="s">
        <v>191</v>
      </c>
      <c r="I239" s="30"/>
      <c r="J239" s="30"/>
      <c r="K239" s="30"/>
      <c r="L239" s="30" t="s">
        <v>173</v>
      </c>
      <c r="M239" s="31">
        <f>'Water Data'!$O$23</f>
        <v>130.83336967593601</v>
      </c>
      <c r="N239" s="30"/>
      <c r="O239" s="30"/>
      <c r="P239" s="30"/>
      <c r="Q239" s="30"/>
      <c r="R239" s="30"/>
      <c r="S239" s="30"/>
      <c r="T239" s="30"/>
    </row>
    <row r="240" spans="3:20" x14ac:dyDescent="0.25">
      <c r="C240" s="30"/>
      <c r="D240" s="30"/>
      <c r="E240" s="30" t="s">
        <v>19</v>
      </c>
      <c r="F240" s="30"/>
      <c r="G240" s="30" t="s">
        <v>20</v>
      </c>
      <c r="H240" s="30" t="s">
        <v>192</v>
      </c>
      <c r="I240" s="30"/>
      <c r="J240" s="30"/>
      <c r="K240" s="30"/>
      <c r="L240" s="30" t="s">
        <v>173</v>
      </c>
      <c r="M240" s="31">
        <f>'Water Data'!$O$51</f>
        <v>55.000015277782026</v>
      </c>
      <c r="N240" s="30"/>
      <c r="O240" s="30"/>
      <c r="P240" s="30"/>
      <c r="Q240" s="30"/>
      <c r="R240" s="30"/>
      <c r="S240" s="30"/>
      <c r="T240" s="30"/>
    </row>
    <row r="241" spans="3:20" x14ac:dyDescent="0.25">
      <c r="C241" s="30"/>
      <c r="D241" s="30"/>
      <c r="E241" s="30" t="s">
        <v>19</v>
      </c>
      <c r="F241" s="30"/>
      <c r="G241" s="30" t="s">
        <v>20</v>
      </c>
      <c r="H241" s="30" t="s">
        <v>193</v>
      </c>
      <c r="I241" s="30"/>
      <c r="J241" s="30"/>
      <c r="K241" s="30"/>
      <c r="L241" s="30" t="s">
        <v>173</v>
      </c>
      <c r="M241" s="31">
        <f>'Water Data'!$O$51</f>
        <v>55.000015277782026</v>
      </c>
      <c r="N241" s="30"/>
      <c r="O241" s="30"/>
      <c r="P241" s="30"/>
      <c r="Q241" s="30"/>
      <c r="R241" s="30"/>
      <c r="S241" s="30"/>
      <c r="T241" s="30"/>
    </row>
    <row r="242" spans="3:20" x14ac:dyDescent="0.25">
      <c r="C242" s="30"/>
      <c r="D242" s="30"/>
      <c r="E242" s="30" t="s">
        <v>19</v>
      </c>
      <c r="F242" s="30"/>
      <c r="G242" s="30" t="s">
        <v>20</v>
      </c>
      <c r="H242" s="30" t="s">
        <v>194</v>
      </c>
      <c r="I242" s="30"/>
      <c r="J242" s="30"/>
      <c r="K242" s="30"/>
      <c r="L242" s="30" t="s">
        <v>173</v>
      </c>
      <c r="M242" s="31">
        <f>'Water Data'!$O$51</f>
        <v>55.000015277782026</v>
      </c>
      <c r="N242" s="30"/>
      <c r="O242" s="30"/>
      <c r="P242" s="30"/>
      <c r="Q242" s="30"/>
      <c r="R242" s="30"/>
      <c r="S242" s="30"/>
      <c r="T242" s="30"/>
    </row>
    <row r="243" spans="3:20" x14ac:dyDescent="0.25">
      <c r="C243" s="30"/>
      <c r="D243" s="30"/>
      <c r="E243" s="30" t="s">
        <v>19</v>
      </c>
      <c r="F243" s="30"/>
      <c r="G243" s="30" t="s">
        <v>20</v>
      </c>
      <c r="H243" s="30" t="s">
        <v>195</v>
      </c>
      <c r="I243" s="30"/>
      <c r="J243" s="30"/>
      <c r="K243" s="30"/>
      <c r="L243" s="30" t="s">
        <v>173</v>
      </c>
      <c r="M243" s="31">
        <f>'Water Data'!$O$51</f>
        <v>55.000015277782026</v>
      </c>
      <c r="N243" s="30"/>
      <c r="O243" s="30"/>
      <c r="P243" s="30"/>
      <c r="Q243" s="30"/>
      <c r="R243" s="30"/>
      <c r="S243" s="30"/>
      <c r="T243" s="30"/>
    </row>
    <row r="244" spans="3:20" x14ac:dyDescent="0.25">
      <c r="C244" s="30"/>
      <c r="D244" s="30"/>
      <c r="E244" s="30" t="s">
        <v>19</v>
      </c>
      <c r="F244" s="30"/>
      <c r="G244" s="30" t="s">
        <v>20</v>
      </c>
      <c r="H244" s="30" t="s">
        <v>196</v>
      </c>
      <c r="I244" s="30"/>
      <c r="J244" s="30"/>
      <c r="K244" s="30"/>
      <c r="L244" s="30" t="s">
        <v>173</v>
      </c>
      <c r="M244" s="31">
        <f>'Water Data'!$O$21</f>
        <v>103.33336203704501</v>
      </c>
      <c r="N244" s="30"/>
      <c r="O244" s="30"/>
      <c r="P244" s="30"/>
      <c r="Q244" s="30"/>
      <c r="R244" s="30"/>
      <c r="S244" s="30"/>
      <c r="T244" s="30"/>
    </row>
    <row r="245" spans="3:20" x14ac:dyDescent="0.25">
      <c r="C245" s="30"/>
      <c r="D245" s="30"/>
      <c r="E245" s="30" t="s">
        <v>19</v>
      </c>
      <c r="F245" s="30"/>
      <c r="G245" s="30" t="s">
        <v>20</v>
      </c>
      <c r="H245" s="30" t="s">
        <v>197</v>
      </c>
      <c r="I245" s="30"/>
      <c r="J245" s="30"/>
      <c r="K245" s="30"/>
      <c r="L245" s="30" t="s">
        <v>173</v>
      </c>
      <c r="M245" s="31">
        <f>'Water Data'!$O$21</f>
        <v>103.33336203704501</v>
      </c>
      <c r="N245" s="30"/>
      <c r="O245" s="30"/>
      <c r="P245" s="30"/>
      <c r="Q245" s="30"/>
      <c r="R245" s="30"/>
      <c r="S245" s="30"/>
      <c r="T245" s="30"/>
    </row>
    <row r="246" spans="3:20" x14ac:dyDescent="0.25">
      <c r="C246" s="30"/>
      <c r="D246" s="30"/>
      <c r="E246" s="30" t="s">
        <v>19</v>
      </c>
      <c r="F246" s="30"/>
      <c r="G246" s="30" t="s">
        <v>20</v>
      </c>
      <c r="H246" s="30" t="s">
        <v>198</v>
      </c>
      <c r="I246" s="30"/>
      <c r="J246" s="30"/>
      <c r="K246" s="30"/>
      <c r="L246" s="30" t="s">
        <v>173</v>
      </c>
      <c r="M246" s="31">
        <f>'Water Data'!$O$44</f>
        <v>717.50019930561098</v>
      </c>
      <c r="N246" s="30"/>
      <c r="O246" s="30"/>
      <c r="P246" s="30"/>
      <c r="Q246" s="30"/>
      <c r="R246" s="30"/>
      <c r="S246" s="30"/>
      <c r="T246" s="30"/>
    </row>
    <row r="247" spans="3:20" x14ac:dyDescent="0.25">
      <c r="C247" s="30"/>
      <c r="D247" s="30"/>
      <c r="E247" s="30" t="s">
        <v>19</v>
      </c>
      <c r="F247" s="30"/>
      <c r="G247" s="30" t="s">
        <v>20</v>
      </c>
      <c r="H247" s="30" t="s">
        <v>199</v>
      </c>
      <c r="I247" s="30"/>
      <c r="J247" s="30"/>
      <c r="K247" s="30"/>
      <c r="L247" s="30" t="s">
        <v>173</v>
      </c>
      <c r="M247" s="31">
        <f>'Water Data'!$O$42</f>
        <v>1328.8892580247939</v>
      </c>
      <c r="N247" s="30"/>
      <c r="O247" s="30"/>
      <c r="P247" s="30"/>
      <c r="Q247" s="30"/>
      <c r="R247" s="30"/>
      <c r="S247" s="30"/>
      <c r="T247" s="30"/>
    </row>
    <row r="248" spans="3:20" x14ac:dyDescent="0.25">
      <c r="C248" s="30"/>
      <c r="D248" s="30"/>
      <c r="E248" s="30" t="s">
        <v>19</v>
      </c>
      <c r="F248" s="30"/>
      <c r="G248" s="30" t="s">
        <v>20</v>
      </c>
      <c r="H248" s="30" t="s">
        <v>200</v>
      </c>
      <c r="I248" s="30"/>
      <c r="J248" s="30"/>
      <c r="K248" s="30"/>
      <c r="L248" s="30" t="s">
        <v>173</v>
      </c>
      <c r="M248" s="31">
        <f>'Water Data'!$O$56</f>
        <v>186.66671851853292</v>
      </c>
      <c r="N248" s="30"/>
      <c r="O248" s="30"/>
      <c r="P248" s="30"/>
      <c r="Q248" s="30"/>
      <c r="R248" s="30"/>
      <c r="S248" s="30"/>
      <c r="T248" s="30"/>
    </row>
    <row r="249" spans="3:20" x14ac:dyDescent="0.25">
      <c r="C249" s="30"/>
      <c r="D249" s="30"/>
      <c r="E249" s="30" t="s">
        <v>19</v>
      </c>
      <c r="F249" s="30"/>
      <c r="G249" s="30" t="s">
        <v>20</v>
      </c>
      <c r="H249" s="30" t="s">
        <v>188</v>
      </c>
      <c r="I249" s="30"/>
      <c r="J249" s="30"/>
      <c r="K249" s="30"/>
      <c r="L249" s="30" t="s">
        <v>177</v>
      </c>
      <c r="M249" s="32">
        <f t="shared" ref="M249:M261" si="5">M236</f>
        <v>130.83336967593601</v>
      </c>
      <c r="N249" s="30"/>
      <c r="O249" s="30"/>
      <c r="P249" s="30"/>
      <c r="Q249" s="30"/>
      <c r="R249" s="30"/>
      <c r="S249" s="30"/>
      <c r="T249" s="30"/>
    </row>
    <row r="250" spans="3:20" x14ac:dyDescent="0.25">
      <c r="C250" s="30"/>
      <c r="D250" s="30"/>
      <c r="E250" s="30" t="s">
        <v>19</v>
      </c>
      <c r="F250" s="30"/>
      <c r="G250" s="30" t="s">
        <v>20</v>
      </c>
      <c r="H250" s="30" t="s">
        <v>189</v>
      </c>
      <c r="I250" s="30"/>
      <c r="J250" s="30"/>
      <c r="K250" s="30"/>
      <c r="L250" s="30" t="s">
        <v>177</v>
      </c>
      <c r="M250" s="32">
        <f t="shared" si="5"/>
        <v>130.83336967593601</v>
      </c>
      <c r="N250" s="30"/>
      <c r="O250" s="30"/>
      <c r="P250" s="30"/>
      <c r="Q250" s="30"/>
      <c r="R250" s="30"/>
      <c r="S250" s="30"/>
      <c r="T250" s="30"/>
    </row>
    <row r="251" spans="3:20" x14ac:dyDescent="0.25">
      <c r="C251" s="30"/>
      <c r="D251" s="30"/>
      <c r="E251" s="30" t="s">
        <v>19</v>
      </c>
      <c r="F251" s="30"/>
      <c r="G251" s="30" t="s">
        <v>20</v>
      </c>
      <c r="H251" s="30" t="s">
        <v>190</v>
      </c>
      <c r="I251" s="30"/>
      <c r="J251" s="30"/>
      <c r="K251" s="30"/>
      <c r="L251" s="30" t="s">
        <v>177</v>
      </c>
      <c r="M251" s="32">
        <f t="shared" si="5"/>
        <v>130.83336967593601</v>
      </c>
      <c r="N251" s="30"/>
      <c r="O251" s="30"/>
      <c r="P251" s="30"/>
      <c r="Q251" s="30"/>
      <c r="R251" s="30"/>
      <c r="S251" s="30"/>
      <c r="T251" s="30"/>
    </row>
    <row r="252" spans="3:20" x14ac:dyDescent="0.25">
      <c r="C252" s="30"/>
      <c r="D252" s="30"/>
      <c r="E252" s="30" t="s">
        <v>19</v>
      </c>
      <c r="F252" s="30"/>
      <c r="G252" s="30" t="s">
        <v>20</v>
      </c>
      <c r="H252" s="30" t="s">
        <v>191</v>
      </c>
      <c r="I252" s="30"/>
      <c r="J252" s="30"/>
      <c r="K252" s="30"/>
      <c r="L252" s="30" t="s">
        <v>177</v>
      </c>
      <c r="M252" s="32">
        <f t="shared" si="5"/>
        <v>130.83336967593601</v>
      </c>
      <c r="N252" s="30"/>
      <c r="O252" s="30"/>
      <c r="P252" s="30"/>
      <c r="Q252" s="30"/>
      <c r="R252" s="30"/>
      <c r="S252" s="30"/>
      <c r="T252" s="30"/>
    </row>
    <row r="253" spans="3:20" x14ac:dyDescent="0.25">
      <c r="C253" s="30"/>
      <c r="D253" s="30"/>
      <c r="E253" s="30" t="s">
        <v>19</v>
      </c>
      <c r="F253" s="30"/>
      <c r="G253" s="30" t="s">
        <v>20</v>
      </c>
      <c r="H253" s="30" t="s">
        <v>192</v>
      </c>
      <c r="I253" s="30"/>
      <c r="J253" s="30"/>
      <c r="K253" s="30"/>
      <c r="L253" s="30" t="s">
        <v>177</v>
      </c>
      <c r="M253" s="32">
        <f t="shared" si="5"/>
        <v>55.000015277782026</v>
      </c>
      <c r="N253" s="30"/>
      <c r="O253" s="30"/>
      <c r="P253" s="30"/>
      <c r="Q253" s="30"/>
      <c r="R253" s="30"/>
      <c r="S253" s="30"/>
      <c r="T253" s="30"/>
    </row>
    <row r="254" spans="3:20" x14ac:dyDescent="0.25">
      <c r="C254" s="30"/>
      <c r="D254" s="30"/>
      <c r="E254" s="30" t="s">
        <v>19</v>
      </c>
      <c r="F254" s="30"/>
      <c r="G254" s="30" t="s">
        <v>20</v>
      </c>
      <c r="H254" s="30" t="s">
        <v>193</v>
      </c>
      <c r="I254" s="30"/>
      <c r="J254" s="30"/>
      <c r="K254" s="30"/>
      <c r="L254" s="30" t="s">
        <v>177</v>
      </c>
      <c r="M254" s="32">
        <f t="shared" si="5"/>
        <v>55.000015277782026</v>
      </c>
      <c r="N254" s="30"/>
      <c r="O254" s="30"/>
      <c r="P254" s="30"/>
      <c r="Q254" s="30"/>
      <c r="R254" s="30"/>
      <c r="S254" s="30"/>
      <c r="T254" s="30"/>
    </row>
    <row r="255" spans="3:20" x14ac:dyDescent="0.25">
      <c r="C255" s="30"/>
      <c r="D255" s="30"/>
      <c r="E255" s="30" t="s">
        <v>19</v>
      </c>
      <c r="F255" s="30"/>
      <c r="G255" s="30" t="s">
        <v>20</v>
      </c>
      <c r="H255" s="30" t="s">
        <v>194</v>
      </c>
      <c r="I255" s="30"/>
      <c r="J255" s="30"/>
      <c r="K255" s="30"/>
      <c r="L255" s="30" t="s">
        <v>177</v>
      </c>
      <c r="M255" s="32">
        <f t="shared" si="5"/>
        <v>55.000015277782026</v>
      </c>
      <c r="N255" s="30"/>
      <c r="O255" s="30"/>
      <c r="P255" s="30"/>
      <c r="Q255" s="30"/>
      <c r="R255" s="30"/>
      <c r="S255" s="30"/>
      <c r="T255" s="30"/>
    </row>
    <row r="256" spans="3:20" x14ac:dyDescent="0.25">
      <c r="C256" s="30"/>
      <c r="D256" s="30"/>
      <c r="E256" s="30" t="s">
        <v>19</v>
      </c>
      <c r="F256" s="30"/>
      <c r="G256" s="30" t="s">
        <v>20</v>
      </c>
      <c r="H256" s="30" t="s">
        <v>195</v>
      </c>
      <c r="I256" s="30"/>
      <c r="J256" s="30"/>
      <c r="K256" s="30"/>
      <c r="L256" s="30" t="s">
        <v>177</v>
      </c>
      <c r="M256" s="32">
        <f t="shared" si="5"/>
        <v>55.000015277782026</v>
      </c>
      <c r="N256" s="30"/>
      <c r="O256" s="30"/>
      <c r="P256" s="30"/>
      <c r="Q256" s="30"/>
      <c r="R256" s="30"/>
      <c r="S256" s="30"/>
      <c r="T256" s="30"/>
    </row>
    <row r="257" spans="3:20" x14ac:dyDescent="0.25">
      <c r="C257" s="30"/>
      <c r="D257" s="30"/>
      <c r="E257" s="30" t="s">
        <v>19</v>
      </c>
      <c r="F257" s="30"/>
      <c r="G257" s="30" t="s">
        <v>20</v>
      </c>
      <c r="H257" s="30" t="s">
        <v>196</v>
      </c>
      <c r="I257" s="30"/>
      <c r="J257" s="30"/>
      <c r="K257" s="30"/>
      <c r="L257" s="30" t="s">
        <v>177</v>
      </c>
      <c r="M257" s="32">
        <f t="shared" si="5"/>
        <v>103.33336203704501</v>
      </c>
      <c r="N257" s="30"/>
      <c r="O257" s="30"/>
      <c r="P257" s="30"/>
      <c r="Q257" s="30"/>
      <c r="R257" s="30"/>
      <c r="S257" s="30"/>
      <c r="T257" s="30"/>
    </row>
    <row r="258" spans="3:20" x14ac:dyDescent="0.25">
      <c r="C258" s="30"/>
      <c r="D258" s="30"/>
      <c r="E258" s="30" t="s">
        <v>19</v>
      </c>
      <c r="F258" s="30"/>
      <c r="G258" s="30" t="s">
        <v>20</v>
      </c>
      <c r="H258" s="30" t="s">
        <v>197</v>
      </c>
      <c r="I258" s="30"/>
      <c r="J258" s="30"/>
      <c r="K258" s="30"/>
      <c r="L258" s="30" t="s">
        <v>177</v>
      </c>
      <c r="M258" s="32">
        <f t="shared" si="5"/>
        <v>103.33336203704501</v>
      </c>
      <c r="N258" s="30"/>
      <c r="O258" s="30"/>
      <c r="P258" s="30"/>
      <c r="Q258" s="30"/>
      <c r="R258" s="30"/>
      <c r="S258" s="30"/>
      <c r="T258" s="30"/>
    </row>
    <row r="259" spans="3:20" x14ac:dyDescent="0.25">
      <c r="C259" s="30"/>
      <c r="D259" s="30"/>
      <c r="E259" s="30" t="s">
        <v>19</v>
      </c>
      <c r="F259" s="30"/>
      <c r="G259" s="30" t="s">
        <v>20</v>
      </c>
      <c r="H259" s="30" t="s">
        <v>198</v>
      </c>
      <c r="I259" s="30"/>
      <c r="J259" s="30"/>
      <c r="K259" s="30"/>
      <c r="L259" s="30" t="s">
        <v>177</v>
      </c>
      <c r="M259" s="32">
        <f t="shared" si="5"/>
        <v>717.50019930561098</v>
      </c>
      <c r="N259" s="30"/>
      <c r="O259" s="30"/>
      <c r="P259" s="30"/>
      <c r="Q259" s="30"/>
      <c r="R259" s="30"/>
      <c r="S259" s="30"/>
      <c r="T259" s="30"/>
    </row>
    <row r="260" spans="3:20" x14ac:dyDescent="0.25">
      <c r="C260" s="30"/>
      <c r="D260" s="30"/>
      <c r="E260" s="30" t="s">
        <v>19</v>
      </c>
      <c r="F260" s="30"/>
      <c r="G260" s="30" t="s">
        <v>20</v>
      </c>
      <c r="H260" s="30" t="s">
        <v>199</v>
      </c>
      <c r="I260" s="30"/>
      <c r="J260" s="30"/>
      <c r="K260" s="30"/>
      <c r="L260" s="30" t="s">
        <v>177</v>
      </c>
      <c r="M260" s="32">
        <f t="shared" si="5"/>
        <v>1328.8892580247939</v>
      </c>
      <c r="N260" s="30"/>
      <c r="O260" s="30"/>
      <c r="P260" s="30"/>
      <c r="Q260" s="30"/>
      <c r="R260" s="30"/>
      <c r="S260" s="30"/>
      <c r="T260" s="30"/>
    </row>
    <row r="261" spans="3:20" x14ac:dyDescent="0.25">
      <c r="C261" s="35"/>
      <c r="D261" s="35"/>
      <c r="E261" s="35" t="s">
        <v>19</v>
      </c>
      <c r="F261" s="35"/>
      <c r="G261" s="35" t="s">
        <v>20</v>
      </c>
      <c r="H261" s="35" t="s">
        <v>200</v>
      </c>
      <c r="I261" s="35"/>
      <c r="J261" s="35"/>
      <c r="K261" s="35"/>
      <c r="L261" s="35" t="s">
        <v>177</v>
      </c>
      <c r="M261" s="36">
        <f t="shared" si="5"/>
        <v>186.66671851853292</v>
      </c>
      <c r="N261" s="35"/>
      <c r="O261" s="35"/>
      <c r="P261" s="35"/>
      <c r="Q261" s="35"/>
      <c r="R261" s="35"/>
      <c r="S261" s="35"/>
      <c r="T261" s="35"/>
    </row>
    <row r="262" spans="3:20" x14ac:dyDescent="0.25">
      <c r="C262" s="30"/>
      <c r="D262" s="30"/>
      <c r="E262" s="30" t="s">
        <v>19</v>
      </c>
      <c r="F262" s="30"/>
      <c r="G262" s="30" t="s">
        <v>20</v>
      </c>
      <c r="H262" s="30" t="s">
        <v>188</v>
      </c>
      <c r="I262" s="30"/>
      <c r="J262" s="30"/>
      <c r="K262" s="30"/>
      <c r="L262" s="30" t="s">
        <v>176</v>
      </c>
      <c r="M262" s="31">
        <f>'Water Data'!$D$23</f>
        <v>147.50004097223362</v>
      </c>
      <c r="N262" s="30"/>
      <c r="O262" s="30"/>
      <c r="P262" s="30"/>
      <c r="Q262" s="30"/>
      <c r="R262" s="30"/>
      <c r="S262" s="30"/>
      <c r="T262" s="30"/>
    </row>
    <row r="263" spans="3:20" x14ac:dyDescent="0.25">
      <c r="C263" s="30"/>
      <c r="D263" s="30"/>
      <c r="E263" s="30" t="s">
        <v>19</v>
      </c>
      <c r="F263" s="30"/>
      <c r="G263" s="30" t="s">
        <v>20</v>
      </c>
      <c r="H263" s="30" t="s">
        <v>189</v>
      </c>
      <c r="I263" s="30"/>
      <c r="J263" s="30"/>
      <c r="K263" s="30"/>
      <c r="L263" s="30" t="s">
        <v>176</v>
      </c>
      <c r="M263" s="31">
        <f>'Water Data'!$D$23</f>
        <v>147.50004097223362</v>
      </c>
      <c r="N263" s="30"/>
      <c r="O263" s="30"/>
      <c r="P263" s="30"/>
      <c r="Q263" s="30"/>
      <c r="R263" s="30"/>
      <c r="S263" s="30"/>
      <c r="T263" s="30"/>
    </row>
    <row r="264" spans="3:20" x14ac:dyDescent="0.25">
      <c r="C264" s="30"/>
      <c r="D264" s="30"/>
      <c r="E264" s="30" t="s">
        <v>19</v>
      </c>
      <c r="F264" s="30"/>
      <c r="G264" s="30" t="s">
        <v>20</v>
      </c>
      <c r="H264" s="30" t="s">
        <v>190</v>
      </c>
      <c r="I264" s="30"/>
      <c r="J264" s="30"/>
      <c r="K264" s="30"/>
      <c r="L264" s="30" t="s">
        <v>176</v>
      </c>
      <c r="M264" s="31">
        <f>'Water Data'!$D$23</f>
        <v>147.50004097223362</v>
      </c>
      <c r="N264" s="30"/>
      <c r="O264" s="30"/>
      <c r="P264" s="30"/>
      <c r="Q264" s="30"/>
      <c r="R264" s="30"/>
      <c r="S264" s="30"/>
      <c r="T264" s="30"/>
    </row>
    <row r="265" spans="3:20" x14ac:dyDescent="0.25">
      <c r="C265" s="30"/>
      <c r="D265" s="30"/>
      <c r="E265" s="30" t="s">
        <v>19</v>
      </c>
      <c r="F265" s="30"/>
      <c r="G265" s="30" t="s">
        <v>20</v>
      </c>
      <c r="H265" s="30" t="s">
        <v>191</v>
      </c>
      <c r="I265" s="30"/>
      <c r="J265" s="30"/>
      <c r="K265" s="30"/>
      <c r="L265" s="30" t="s">
        <v>176</v>
      </c>
      <c r="M265" s="31">
        <f>'Water Data'!$D$23</f>
        <v>147.50004097223362</v>
      </c>
      <c r="N265" s="30"/>
      <c r="O265" s="30"/>
      <c r="P265" s="30"/>
      <c r="Q265" s="30"/>
      <c r="R265" s="30"/>
      <c r="S265" s="30"/>
      <c r="T265" s="30"/>
    </row>
    <row r="266" spans="3:20" x14ac:dyDescent="0.25">
      <c r="C266" s="30"/>
      <c r="D266" s="30"/>
      <c r="E266" s="30" t="s">
        <v>19</v>
      </c>
      <c r="F266" s="30"/>
      <c r="G266" s="30" t="s">
        <v>20</v>
      </c>
      <c r="H266" s="30" t="s">
        <v>192</v>
      </c>
      <c r="I266" s="30"/>
      <c r="J266" s="30"/>
      <c r="K266" s="30"/>
      <c r="L266" s="30" t="s">
        <v>176</v>
      </c>
      <c r="M266" s="31">
        <f>'Water Data'!$D$51</f>
        <v>70.277797299388141</v>
      </c>
      <c r="N266" s="30"/>
      <c r="O266" s="30"/>
      <c r="P266" s="30"/>
      <c r="Q266" s="30"/>
      <c r="R266" s="30"/>
      <c r="S266" s="30"/>
      <c r="T266" s="30"/>
    </row>
    <row r="267" spans="3:20" x14ac:dyDescent="0.25">
      <c r="C267" s="30"/>
      <c r="D267" s="30"/>
      <c r="E267" s="30" t="s">
        <v>19</v>
      </c>
      <c r="F267" s="30"/>
      <c r="G267" s="30" t="s">
        <v>20</v>
      </c>
      <c r="H267" s="30" t="s">
        <v>193</v>
      </c>
      <c r="I267" s="30"/>
      <c r="J267" s="30"/>
      <c r="K267" s="30"/>
      <c r="L267" s="30" t="s">
        <v>176</v>
      </c>
      <c r="M267" s="31">
        <f>'Water Data'!$D$51</f>
        <v>70.277797299388141</v>
      </c>
      <c r="N267" s="30"/>
      <c r="O267" s="30"/>
      <c r="P267" s="30"/>
      <c r="Q267" s="30"/>
      <c r="R267" s="30"/>
      <c r="S267" s="30"/>
      <c r="T267" s="30"/>
    </row>
    <row r="268" spans="3:20" x14ac:dyDescent="0.25">
      <c r="C268" s="30"/>
      <c r="D268" s="30"/>
      <c r="E268" s="30" t="s">
        <v>19</v>
      </c>
      <c r="F268" s="30"/>
      <c r="G268" s="30" t="s">
        <v>20</v>
      </c>
      <c r="H268" s="30" t="s">
        <v>194</v>
      </c>
      <c r="I268" s="30"/>
      <c r="J268" s="30"/>
      <c r="K268" s="30"/>
      <c r="L268" s="30" t="s">
        <v>176</v>
      </c>
      <c r="M268" s="31">
        <f>'Water Data'!$D$51</f>
        <v>70.277797299388141</v>
      </c>
      <c r="N268" s="30"/>
      <c r="O268" s="30"/>
      <c r="P268" s="30"/>
      <c r="Q268" s="30"/>
      <c r="R268" s="30"/>
      <c r="S268" s="30"/>
      <c r="T268" s="30"/>
    </row>
    <row r="269" spans="3:20" x14ac:dyDescent="0.25">
      <c r="C269" s="30"/>
      <c r="D269" s="30"/>
      <c r="E269" s="30" t="s">
        <v>19</v>
      </c>
      <c r="F269" s="30"/>
      <c r="G269" s="30" t="s">
        <v>20</v>
      </c>
      <c r="H269" s="30" t="s">
        <v>195</v>
      </c>
      <c r="I269" s="30"/>
      <c r="J269" s="30"/>
      <c r="K269" s="30"/>
      <c r="L269" s="30" t="s">
        <v>176</v>
      </c>
      <c r="M269" s="31">
        <f>'Water Data'!$D$51</f>
        <v>70.277797299388141</v>
      </c>
      <c r="N269" s="30"/>
      <c r="O269" s="30"/>
      <c r="P269" s="30"/>
      <c r="Q269" s="30"/>
      <c r="R269" s="30"/>
      <c r="S269" s="30"/>
      <c r="T269" s="30"/>
    </row>
    <row r="270" spans="3:20" x14ac:dyDescent="0.25">
      <c r="C270" s="30"/>
      <c r="D270" s="30"/>
      <c r="E270" s="30" t="s">
        <v>19</v>
      </c>
      <c r="F270" s="30"/>
      <c r="G270" s="30" t="s">
        <v>20</v>
      </c>
      <c r="H270" s="30" t="s">
        <v>196</v>
      </c>
      <c r="I270" s="30"/>
      <c r="J270" s="30"/>
      <c r="K270" s="30"/>
      <c r="L270" s="30" t="s">
        <v>176</v>
      </c>
      <c r="M270" s="31">
        <f>'Water Data'!$D$21</f>
        <v>108.33336342593429</v>
      </c>
      <c r="N270" s="30"/>
      <c r="O270" s="30"/>
      <c r="P270" s="30"/>
      <c r="Q270" s="30"/>
      <c r="R270" s="30"/>
      <c r="S270" s="30"/>
      <c r="T270" s="30"/>
    </row>
    <row r="271" spans="3:20" x14ac:dyDescent="0.25">
      <c r="C271" s="30"/>
      <c r="D271" s="30"/>
      <c r="E271" s="30" t="s">
        <v>19</v>
      </c>
      <c r="F271" s="30"/>
      <c r="G271" s="30" t="s">
        <v>20</v>
      </c>
      <c r="H271" s="30" t="s">
        <v>197</v>
      </c>
      <c r="I271" s="30"/>
      <c r="J271" s="30"/>
      <c r="K271" s="30"/>
      <c r="L271" s="30" t="s">
        <v>176</v>
      </c>
      <c r="M271" s="31">
        <f>'Water Data'!$D$21</f>
        <v>108.33336342593429</v>
      </c>
      <c r="N271" s="30"/>
      <c r="O271" s="30"/>
      <c r="P271" s="30"/>
      <c r="Q271" s="30"/>
      <c r="R271" s="30"/>
      <c r="S271" s="30"/>
      <c r="T271" s="30"/>
    </row>
    <row r="272" spans="3:20" x14ac:dyDescent="0.25">
      <c r="C272" s="30"/>
      <c r="D272" s="30"/>
      <c r="E272" s="30" t="s">
        <v>19</v>
      </c>
      <c r="F272" s="30"/>
      <c r="G272" s="30" t="s">
        <v>20</v>
      </c>
      <c r="H272" s="30" t="s">
        <v>198</v>
      </c>
      <c r="I272" s="30"/>
      <c r="J272" s="30"/>
      <c r="K272" s="30"/>
      <c r="L272" s="30" t="s">
        <v>176</v>
      </c>
      <c r="M272" s="31">
        <f>'Water Data'!$D$44</f>
        <v>717.50019930561098</v>
      </c>
      <c r="N272" s="30"/>
      <c r="O272" s="30"/>
      <c r="P272" s="30"/>
      <c r="Q272" s="30"/>
      <c r="R272" s="30"/>
      <c r="S272" s="30"/>
      <c r="T272" s="30"/>
    </row>
    <row r="273" spans="3:23" x14ac:dyDescent="0.25">
      <c r="C273" s="30"/>
      <c r="D273" s="30"/>
      <c r="E273" s="30" t="s">
        <v>19</v>
      </c>
      <c r="F273" s="30"/>
      <c r="G273" s="30" t="s">
        <v>20</v>
      </c>
      <c r="H273" s="30" t="s">
        <v>199</v>
      </c>
      <c r="I273" s="30"/>
      <c r="J273" s="30"/>
      <c r="K273" s="30"/>
      <c r="L273" s="30" t="s">
        <v>176</v>
      </c>
      <c r="M273" s="31">
        <f>'Water Data'!$D$42</f>
        <v>1328.8892580247939</v>
      </c>
      <c r="N273" s="30"/>
      <c r="O273" s="30"/>
      <c r="P273" s="30"/>
      <c r="Q273" s="30"/>
      <c r="R273" s="30"/>
      <c r="S273" s="30"/>
      <c r="T273" s="30"/>
    </row>
    <row r="274" spans="3:23" x14ac:dyDescent="0.25">
      <c r="C274" s="30"/>
      <c r="D274" s="30"/>
      <c r="E274" s="30" t="s">
        <v>19</v>
      </c>
      <c r="F274" s="30"/>
      <c r="G274" s="30" t="s">
        <v>20</v>
      </c>
      <c r="H274" s="30" t="s">
        <v>200</v>
      </c>
      <c r="I274" s="30"/>
      <c r="J274" s="30"/>
      <c r="K274" s="30"/>
      <c r="L274" s="30" t="s">
        <v>176</v>
      </c>
      <c r="M274" s="31">
        <f>'Water Data'!$D$56</f>
        <v>305.83341828706062</v>
      </c>
      <c r="N274" s="30"/>
      <c r="O274" s="30"/>
      <c r="P274" s="30"/>
      <c r="Q274" s="30"/>
      <c r="R274" s="30"/>
      <c r="S274" s="30"/>
      <c r="T274" s="30"/>
    </row>
    <row r="275" spans="3:23" x14ac:dyDescent="0.25">
      <c r="C275" s="30"/>
      <c r="D275" s="30"/>
      <c r="E275" s="30" t="s">
        <v>19</v>
      </c>
      <c r="F275" s="30"/>
      <c r="G275" s="30" t="s">
        <v>20</v>
      </c>
      <c r="H275" s="30" t="s">
        <v>188</v>
      </c>
      <c r="I275" s="30"/>
      <c r="J275" s="30"/>
      <c r="K275" s="30"/>
      <c r="L275" s="30" t="s">
        <v>178</v>
      </c>
      <c r="M275" s="32">
        <f t="shared" ref="M275:M287" si="6">M262</f>
        <v>147.50004097223362</v>
      </c>
      <c r="N275" s="30"/>
      <c r="O275" s="30"/>
      <c r="P275" s="30"/>
      <c r="Q275" s="30"/>
      <c r="R275" s="30"/>
      <c r="S275" s="30"/>
      <c r="T275" s="30"/>
    </row>
    <row r="276" spans="3:23" x14ac:dyDescent="0.25">
      <c r="C276" s="30"/>
      <c r="D276" s="30"/>
      <c r="E276" s="30" t="s">
        <v>19</v>
      </c>
      <c r="F276" s="30"/>
      <c r="G276" s="30" t="s">
        <v>20</v>
      </c>
      <c r="H276" s="30" t="s">
        <v>189</v>
      </c>
      <c r="I276" s="30"/>
      <c r="J276" s="30"/>
      <c r="K276" s="30"/>
      <c r="L276" s="30" t="s">
        <v>178</v>
      </c>
      <c r="M276" s="32">
        <f t="shared" si="6"/>
        <v>147.50004097223362</v>
      </c>
      <c r="N276" s="30"/>
      <c r="O276" s="30"/>
      <c r="P276" s="30"/>
      <c r="Q276" s="30"/>
      <c r="R276" s="30"/>
      <c r="S276" s="30"/>
      <c r="T276" s="30"/>
    </row>
    <row r="277" spans="3:23" x14ac:dyDescent="0.25">
      <c r="C277" s="30"/>
      <c r="D277" s="30"/>
      <c r="E277" s="30" t="s">
        <v>19</v>
      </c>
      <c r="F277" s="30"/>
      <c r="G277" s="30" t="s">
        <v>20</v>
      </c>
      <c r="H277" s="30" t="s">
        <v>190</v>
      </c>
      <c r="I277" s="30"/>
      <c r="J277" s="30"/>
      <c r="K277" s="30"/>
      <c r="L277" s="30" t="s">
        <v>178</v>
      </c>
      <c r="M277" s="32">
        <f t="shared" si="6"/>
        <v>147.50004097223362</v>
      </c>
      <c r="N277" s="30"/>
      <c r="O277" s="30"/>
      <c r="P277" s="30"/>
      <c r="Q277" s="30"/>
      <c r="R277" s="30"/>
      <c r="S277" s="30"/>
      <c r="T277" s="30"/>
    </row>
    <row r="278" spans="3:23" x14ac:dyDescent="0.25">
      <c r="C278" s="30"/>
      <c r="D278" s="30"/>
      <c r="E278" s="30" t="s">
        <v>19</v>
      </c>
      <c r="F278" s="30"/>
      <c r="G278" s="30" t="s">
        <v>20</v>
      </c>
      <c r="H278" s="30" t="s">
        <v>191</v>
      </c>
      <c r="I278" s="30"/>
      <c r="J278" s="30"/>
      <c r="K278" s="30"/>
      <c r="L278" s="30" t="s">
        <v>178</v>
      </c>
      <c r="M278" s="32">
        <f t="shared" si="6"/>
        <v>147.50004097223362</v>
      </c>
      <c r="N278" s="30"/>
      <c r="O278" s="30"/>
      <c r="P278" s="30"/>
      <c r="Q278" s="30"/>
      <c r="R278" s="30"/>
      <c r="S278" s="30"/>
      <c r="T278" s="30"/>
    </row>
    <row r="279" spans="3:23" x14ac:dyDescent="0.25">
      <c r="C279" s="30"/>
      <c r="D279" s="30"/>
      <c r="E279" s="30" t="s">
        <v>19</v>
      </c>
      <c r="F279" s="30"/>
      <c r="G279" s="30" t="s">
        <v>20</v>
      </c>
      <c r="H279" s="30" t="s">
        <v>192</v>
      </c>
      <c r="I279" s="30"/>
      <c r="J279" s="30"/>
      <c r="K279" s="30"/>
      <c r="L279" s="30" t="s">
        <v>178</v>
      </c>
      <c r="M279" s="32">
        <f t="shared" si="6"/>
        <v>70.277797299388141</v>
      </c>
      <c r="N279" s="30"/>
      <c r="O279" s="30"/>
      <c r="P279" s="30"/>
      <c r="Q279" s="30"/>
      <c r="R279" s="30"/>
      <c r="S279" s="30"/>
      <c r="T279" s="30"/>
    </row>
    <row r="280" spans="3:23" x14ac:dyDescent="0.25">
      <c r="C280" s="30"/>
      <c r="D280" s="30"/>
      <c r="E280" s="30" t="s">
        <v>19</v>
      </c>
      <c r="F280" s="30"/>
      <c r="G280" s="30" t="s">
        <v>20</v>
      </c>
      <c r="H280" s="30" t="s">
        <v>193</v>
      </c>
      <c r="I280" s="30"/>
      <c r="J280" s="30"/>
      <c r="K280" s="30"/>
      <c r="L280" s="30" t="s">
        <v>178</v>
      </c>
      <c r="M280" s="32">
        <f t="shared" si="6"/>
        <v>70.277797299388141</v>
      </c>
      <c r="N280" s="30"/>
      <c r="O280" s="30"/>
      <c r="P280" s="30"/>
      <c r="Q280" s="30"/>
      <c r="R280" s="30"/>
      <c r="S280" s="30"/>
      <c r="T280" s="30"/>
    </row>
    <row r="281" spans="3:23" x14ac:dyDescent="0.25">
      <c r="C281" s="30"/>
      <c r="D281" s="30"/>
      <c r="E281" s="30" t="s">
        <v>19</v>
      </c>
      <c r="F281" s="30"/>
      <c r="G281" s="30" t="s">
        <v>20</v>
      </c>
      <c r="H281" s="30" t="s">
        <v>194</v>
      </c>
      <c r="I281" s="30"/>
      <c r="J281" s="30"/>
      <c r="K281" s="30"/>
      <c r="L281" s="30" t="s">
        <v>178</v>
      </c>
      <c r="M281" s="32">
        <f t="shared" si="6"/>
        <v>70.277797299388141</v>
      </c>
      <c r="N281" s="30"/>
      <c r="O281" s="30"/>
      <c r="P281" s="30"/>
      <c r="Q281" s="30"/>
      <c r="R281" s="30"/>
      <c r="S281" s="30"/>
      <c r="T281" s="30"/>
    </row>
    <row r="282" spans="3:23" x14ac:dyDescent="0.25">
      <c r="C282" s="30"/>
      <c r="D282" s="30"/>
      <c r="E282" s="30" t="s">
        <v>19</v>
      </c>
      <c r="F282" s="30"/>
      <c r="G282" s="30" t="s">
        <v>20</v>
      </c>
      <c r="H282" s="30" t="s">
        <v>195</v>
      </c>
      <c r="I282" s="30"/>
      <c r="J282" s="30"/>
      <c r="K282" s="30"/>
      <c r="L282" s="30" t="s">
        <v>178</v>
      </c>
      <c r="M282" s="32">
        <f t="shared" si="6"/>
        <v>70.277797299388141</v>
      </c>
      <c r="N282" s="30"/>
      <c r="O282" s="30"/>
      <c r="P282" s="30"/>
      <c r="Q282" s="30"/>
      <c r="R282" s="30"/>
      <c r="S282" s="30"/>
      <c r="T282" s="30"/>
    </row>
    <row r="283" spans="3:23" x14ac:dyDescent="0.25">
      <c r="C283" s="30"/>
      <c r="D283" s="30"/>
      <c r="E283" s="30" t="s">
        <v>19</v>
      </c>
      <c r="F283" s="30"/>
      <c r="G283" s="30" t="s">
        <v>20</v>
      </c>
      <c r="H283" s="30" t="s">
        <v>196</v>
      </c>
      <c r="I283" s="30"/>
      <c r="J283" s="30"/>
      <c r="K283" s="30"/>
      <c r="L283" s="30" t="s">
        <v>178</v>
      </c>
      <c r="M283" s="32">
        <f t="shared" si="6"/>
        <v>108.33336342593429</v>
      </c>
      <c r="N283" s="30"/>
      <c r="O283" s="30"/>
      <c r="P283" s="30"/>
      <c r="Q283" s="30"/>
      <c r="R283" s="30"/>
      <c r="S283" s="30"/>
      <c r="T283" s="30"/>
    </row>
    <row r="284" spans="3:23" x14ac:dyDescent="0.25">
      <c r="C284" s="30"/>
      <c r="D284" s="30"/>
      <c r="E284" s="30" t="s">
        <v>19</v>
      </c>
      <c r="F284" s="30"/>
      <c r="G284" s="30" t="s">
        <v>20</v>
      </c>
      <c r="H284" s="30" t="s">
        <v>197</v>
      </c>
      <c r="I284" s="30"/>
      <c r="J284" s="30"/>
      <c r="K284" s="30"/>
      <c r="L284" s="30" t="s">
        <v>178</v>
      </c>
      <c r="M284" s="32">
        <f t="shared" si="6"/>
        <v>108.33336342593429</v>
      </c>
      <c r="N284" s="30"/>
      <c r="O284" s="30"/>
      <c r="P284" s="30"/>
      <c r="Q284" s="30"/>
      <c r="R284" s="30"/>
      <c r="S284" s="30"/>
      <c r="T284" s="30"/>
    </row>
    <row r="285" spans="3:23" x14ac:dyDescent="0.25">
      <c r="C285" s="30"/>
      <c r="D285" s="30"/>
      <c r="E285" s="30" t="s">
        <v>19</v>
      </c>
      <c r="F285" s="30"/>
      <c r="G285" s="30" t="s">
        <v>20</v>
      </c>
      <c r="H285" s="30" t="s">
        <v>198</v>
      </c>
      <c r="I285" s="30"/>
      <c r="J285" s="30"/>
      <c r="K285" s="30"/>
      <c r="L285" s="30" t="s">
        <v>178</v>
      </c>
      <c r="M285" s="32">
        <f t="shared" si="6"/>
        <v>717.50019930561098</v>
      </c>
      <c r="N285" s="30"/>
      <c r="O285" s="30"/>
      <c r="P285" s="30"/>
      <c r="Q285" s="30"/>
      <c r="R285" s="30"/>
      <c r="S285" s="30"/>
      <c r="T285" s="30"/>
    </row>
    <row r="286" spans="3:23" x14ac:dyDescent="0.25">
      <c r="C286" s="30"/>
      <c r="D286" s="30"/>
      <c r="E286" s="30" t="s">
        <v>19</v>
      </c>
      <c r="F286" s="30"/>
      <c r="G286" s="30" t="s">
        <v>20</v>
      </c>
      <c r="H286" s="30" t="s">
        <v>199</v>
      </c>
      <c r="I286" s="30"/>
      <c r="J286" s="30"/>
      <c r="K286" s="30"/>
      <c r="L286" s="30" t="s">
        <v>178</v>
      </c>
      <c r="M286" s="32">
        <f t="shared" si="6"/>
        <v>1328.8892580247939</v>
      </c>
      <c r="N286" s="30"/>
      <c r="O286" s="30"/>
      <c r="P286" s="30"/>
      <c r="Q286" s="30"/>
      <c r="R286" s="30"/>
      <c r="S286" s="30"/>
      <c r="T286" s="30"/>
    </row>
    <row r="287" spans="3:23" ht="15.75" thickBot="1" x14ac:dyDescent="0.3">
      <c r="C287" s="35"/>
      <c r="D287" s="35"/>
      <c r="E287" s="35" t="s">
        <v>19</v>
      </c>
      <c r="F287" s="35"/>
      <c r="G287" s="35" t="s">
        <v>20</v>
      </c>
      <c r="H287" s="35" t="s">
        <v>200</v>
      </c>
      <c r="I287" s="35"/>
      <c r="J287" s="35"/>
      <c r="K287" s="35"/>
      <c r="L287" s="35" t="s">
        <v>178</v>
      </c>
      <c r="M287" s="36">
        <f t="shared" si="6"/>
        <v>305.83341828706062</v>
      </c>
      <c r="N287" s="35"/>
      <c r="O287" s="35"/>
      <c r="P287" s="35"/>
      <c r="Q287" s="35"/>
      <c r="R287" s="35"/>
      <c r="S287" s="35"/>
      <c r="T287" s="35"/>
      <c r="W287" s="77" t="s">
        <v>201</v>
      </c>
    </row>
    <row r="288" spans="3:23" x14ac:dyDescent="0.25">
      <c r="C288" s="30"/>
      <c r="D288" s="30"/>
      <c r="E288" s="30" t="s">
        <v>19</v>
      </c>
      <c r="F288" s="30">
        <v>2010</v>
      </c>
      <c r="G288" s="30" t="s">
        <v>20</v>
      </c>
      <c r="H288" s="30" t="s">
        <v>192</v>
      </c>
      <c r="I288" s="30"/>
      <c r="J288" s="30"/>
      <c r="K288" s="30"/>
      <c r="L288" s="30" t="s">
        <v>202</v>
      </c>
      <c r="M288" s="30">
        <f>CompositeGREETEFs!$BE$16*W288</f>
        <v>115.67709483809708</v>
      </c>
      <c r="N288" s="30"/>
      <c r="O288" s="30"/>
      <c r="P288" s="30"/>
      <c r="Q288" s="30"/>
      <c r="R288" s="30"/>
      <c r="S288" s="30"/>
      <c r="T288" s="30"/>
      <c r="W288" s="76">
        <v>2</v>
      </c>
    </row>
    <row r="289" spans="3:23" x14ac:dyDescent="0.25">
      <c r="C289" s="30"/>
      <c r="D289" s="30"/>
      <c r="E289" s="30" t="s">
        <v>19</v>
      </c>
      <c r="F289" s="30">
        <v>2010</v>
      </c>
      <c r="G289" s="30" t="s">
        <v>20</v>
      </c>
      <c r="H289" s="30" t="s">
        <v>193</v>
      </c>
      <c r="I289" s="30"/>
      <c r="J289" s="30"/>
      <c r="K289" s="30"/>
      <c r="L289" s="30" t="s">
        <v>202</v>
      </c>
      <c r="M289" s="30">
        <f>CompositeGREETEFs!$BE$16*W289</f>
        <v>107.55732220804894</v>
      </c>
      <c r="N289" s="30"/>
      <c r="O289" s="30"/>
      <c r="P289" s="30"/>
      <c r="Q289" s="30"/>
      <c r="R289" s="30"/>
      <c r="S289" s="30"/>
      <c r="T289" s="30"/>
      <c r="W289" s="76">
        <v>1.8596131301289567</v>
      </c>
    </row>
    <row r="290" spans="3:23" x14ac:dyDescent="0.25">
      <c r="C290" s="30"/>
      <c r="D290" s="30"/>
      <c r="E290" s="30" t="s">
        <v>19</v>
      </c>
      <c r="F290" s="30">
        <v>2015</v>
      </c>
      <c r="G290" s="30" t="s">
        <v>20</v>
      </c>
      <c r="H290" s="30" t="s">
        <v>192</v>
      </c>
      <c r="I290" s="30"/>
      <c r="J290" s="30"/>
      <c r="K290" s="30"/>
      <c r="L290" s="30" t="s">
        <v>202</v>
      </c>
      <c r="M290" s="30">
        <f>M288</f>
        <v>115.67709483809708</v>
      </c>
      <c r="N290" s="30"/>
      <c r="O290" s="30"/>
      <c r="P290" s="30"/>
      <c r="Q290" s="30"/>
      <c r="R290" s="30"/>
      <c r="S290" s="30"/>
      <c r="T290" s="30"/>
      <c r="W290" s="76"/>
    </row>
    <row r="291" spans="3:23" x14ac:dyDescent="0.25">
      <c r="C291" s="30"/>
      <c r="D291" s="30"/>
      <c r="E291" s="30" t="s">
        <v>19</v>
      </c>
      <c r="F291" s="30">
        <v>2015</v>
      </c>
      <c r="G291" s="30" t="s">
        <v>20</v>
      </c>
      <c r="H291" s="30" t="s">
        <v>193</v>
      </c>
      <c r="I291" s="30"/>
      <c r="J291" s="30"/>
      <c r="K291" s="30"/>
      <c r="L291" s="30" t="s">
        <v>202</v>
      </c>
      <c r="M291" s="30">
        <f>M289</f>
        <v>107.55732220804894</v>
      </c>
      <c r="N291" s="30"/>
      <c r="O291" s="30"/>
      <c r="P291" s="30"/>
      <c r="Q291" s="30"/>
      <c r="R291" s="30"/>
      <c r="S291" s="30"/>
      <c r="T291" s="30"/>
      <c r="W291" s="76"/>
    </row>
    <row r="292" spans="3:23" x14ac:dyDescent="0.25">
      <c r="C292" s="30"/>
      <c r="D292" s="30"/>
      <c r="E292" s="30" t="s">
        <v>19</v>
      </c>
      <c r="F292" s="30">
        <v>2020</v>
      </c>
      <c r="G292" s="30" t="s">
        <v>20</v>
      </c>
      <c r="H292" s="30" t="s">
        <v>192</v>
      </c>
      <c r="I292" s="30"/>
      <c r="J292" s="30"/>
      <c r="K292" s="30"/>
      <c r="L292" s="30" t="s">
        <v>202</v>
      </c>
      <c r="M292" s="30">
        <f>CompositeGREETEFs!$BE$16*W292</f>
        <v>104.10938535428737</v>
      </c>
      <c r="N292" s="30"/>
      <c r="O292" s="30"/>
      <c r="P292" s="30"/>
      <c r="Q292" s="30"/>
      <c r="R292" s="30"/>
      <c r="S292" s="30"/>
      <c r="T292" s="30"/>
      <c r="W292" s="76">
        <v>1.8</v>
      </c>
    </row>
    <row r="293" spans="3:23" x14ac:dyDescent="0.25">
      <c r="C293" s="30"/>
      <c r="D293" s="30"/>
      <c r="E293" s="30" t="s">
        <v>19</v>
      </c>
      <c r="F293" s="30">
        <v>2020</v>
      </c>
      <c r="G293" s="30" t="s">
        <v>20</v>
      </c>
      <c r="H293" s="30" t="s">
        <v>193</v>
      </c>
      <c r="I293" s="30"/>
      <c r="J293" s="30"/>
      <c r="K293" s="30"/>
      <c r="L293" s="30" t="s">
        <v>202</v>
      </c>
      <c r="M293" s="30">
        <f>CompositeGREETEFs!$BE$16*W293</f>
        <v>96.801589987244043</v>
      </c>
      <c r="N293" s="30"/>
      <c r="O293" s="30"/>
      <c r="P293" s="30"/>
      <c r="Q293" s="30"/>
      <c r="R293" s="30"/>
      <c r="S293" s="30"/>
      <c r="T293" s="30"/>
      <c r="W293" s="76">
        <v>1.673651817116061</v>
      </c>
    </row>
    <row r="294" spans="3:23" x14ac:dyDescent="0.25">
      <c r="C294" s="30"/>
      <c r="D294" s="30"/>
      <c r="E294" s="30" t="s">
        <v>19</v>
      </c>
      <c r="F294" s="30">
        <v>2025</v>
      </c>
      <c r="G294" s="30" t="s">
        <v>20</v>
      </c>
      <c r="H294" s="30" t="s">
        <v>192</v>
      </c>
      <c r="I294" s="30"/>
      <c r="J294" s="30"/>
      <c r="K294" s="30"/>
      <c r="L294" s="30" t="s">
        <v>202</v>
      </c>
      <c r="M294" s="30">
        <f>CompositeGREETEFs!$BE$16*W294</f>
        <v>104.10938535428737</v>
      </c>
      <c r="N294" s="30"/>
      <c r="O294" s="30"/>
      <c r="P294" s="30"/>
      <c r="Q294" s="30"/>
      <c r="R294" s="30"/>
      <c r="S294" s="30"/>
      <c r="T294" s="30"/>
      <c r="W294" s="76">
        <v>1.8</v>
      </c>
    </row>
    <row r="295" spans="3:23" x14ac:dyDescent="0.25">
      <c r="C295" s="30"/>
      <c r="D295" s="30"/>
      <c r="E295" s="30" t="s">
        <v>19</v>
      </c>
      <c r="F295" s="30">
        <v>2025</v>
      </c>
      <c r="G295" s="30" t="s">
        <v>20</v>
      </c>
      <c r="H295" s="30" t="s">
        <v>193</v>
      </c>
      <c r="I295" s="30"/>
      <c r="J295" s="30"/>
      <c r="K295" s="30"/>
      <c r="L295" s="30" t="s">
        <v>202</v>
      </c>
      <c r="M295" s="30">
        <f>CompositeGREETEFs!$BE$16*W295</f>
        <v>96.801589987244043</v>
      </c>
      <c r="N295" s="30"/>
      <c r="O295" s="30"/>
      <c r="P295" s="30"/>
      <c r="Q295" s="30"/>
      <c r="R295" s="30"/>
      <c r="S295" s="30"/>
      <c r="T295" s="30"/>
      <c r="W295" s="76">
        <v>1.673651817116061</v>
      </c>
    </row>
    <row r="296" spans="3:23" x14ac:dyDescent="0.25">
      <c r="C296" s="30"/>
      <c r="D296" s="30"/>
      <c r="E296" s="30" t="s">
        <v>19</v>
      </c>
      <c r="F296" s="30">
        <v>2055</v>
      </c>
      <c r="G296" s="30" t="s">
        <v>20</v>
      </c>
      <c r="H296" s="30" t="s">
        <v>192</v>
      </c>
      <c r="I296" s="30"/>
      <c r="J296" s="30"/>
      <c r="K296" s="30"/>
      <c r="L296" s="30" t="s">
        <v>202</v>
      </c>
      <c r="M296" s="30">
        <f>M294</f>
        <v>104.10938535428737</v>
      </c>
      <c r="N296" s="30"/>
      <c r="O296" s="30"/>
      <c r="P296" s="30"/>
      <c r="Q296" s="30"/>
      <c r="R296" s="30"/>
      <c r="S296" s="30"/>
      <c r="T296" s="30"/>
      <c r="W296" s="30"/>
    </row>
    <row r="297" spans="3:23" x14ac:dyDescent="0.25">
      <c r="C297" s="35"/>
      <c r="D297" s="35"/>
      <c r="E297" s="35" t="s">
        <v>19</v>
      </c>
      <c r="F297" s="35">
        <v>2055</v>
      </c>
      <c r="G297" s="35" t="s">
        <v>20</v>
      </c>
      <c r="H297" s="35" t="s">
        <v>193</v>
      </c>
      <c r="I297" s="35"/>
      <c r="J297" s="35"/>
      <c r="K297" s="35"/>
      <c r="L297" s="35" t="s">
        <v>202</v>
      </c>
      <c r="M297" s="35">
        <f>M295</f>
        <v>96.801589987244043</v>
      </c>
      <c r="N297" s="35"/>
      <c r="O297" s="35"/>
      <c r="P297" s="35"/>
      <c r="Q297" s="35"/>
      <c r="R297" s="35"/>
      <c r="S297" s="35"/>
      <c r="T297" s="35"/>
      <c r="W297" s="30"/>
    </row>
    <row r="305" spans="3:20" x14ac:dyDescent="0.25">
      <c r="C305" s="30"/>
      <c r="D305" s="30"/>
      <c r="E305" s="30" t="s">
        <v>19</v>
      </c>
      <c r="F305" s="30"/>
      <c r="G305" s="30" t="s">
        <v>20</v>
      </c>
      <c r="H305" s="30" t="s">
        <v>203</v>
      </c>
      <c r="I305" s="30"/>
      <c r="J305" s="30"/>
      <c r="K305" s="30"/>
      <c r="L305" s="30" t="s">
        <v>204</v>
      </c>
      <c r="M305" s="119" t="e">
        <f>#REF!</f>
        <v>#REF!</v>
      </c>
      <c r="N305" s="30"/>
      <c r="O305" s="30"/>
      <c r="P305" s="30"/>
      <c r="Q305" s="30"/>
      <c r="R305" s="30"/>
      <c r="S305" s="30"/>
      <c r="T305" s="30"/>
    </row>
    <row r="306" spans="3:20" x14ac:dyDescent="0.25">
      <c r="C306" s="30"/>
      <c r="D306" s="30"/>
      <c r="E306" s="30" t="s">
        <v>19</v>
      </c>
      <c r="F306" s="30"/>
      <c r="G306" s="30" t="s">
        <v>20</v>
      </c>
      <c r="H306" s="30" t="s">
        <v>205</v>
      </c>
      <c r="I306" s="30"/>
      <c r="J306" s="30"/>
      <c r="K306" s="30"/>
      <c r="L306" s="30" t="s">
        <v>204</v>
      </c>
      <c r="M306" s="119" t="e">
        <f>#REF!</f>
        <v>#REF!</v>
      </c>
      <c r="N306" s="30"/>
      <c r="O306" s="30"/>
      <c r="P306" s="30"/>
      <c r="Q306" s="30"/>
      <c r="R306" s="30"/>
      <c r="S306" s="30"/>
      <c r="T306" s="30"/>
    </row>
    <row r="307" spans="3:20" x14ac:dyDescent="0.25">
      <c r="C307" s="30"/>
      <c r="D307" s="30"/>
      <c r="E307" s="30" t="s">
        <v>19</v>
      </c>
      <c r="F307" s="30"/>
      <c r="G307" s="30" t="s">
        <v>20</v>
      </c>
      <c r="H307" s="30" t="s">
        <v>206</v>
      </c>
      <c r="I307" s="30"/>
      <c r="J307" s="30"/>
      <c r="K307" s="30"/>
      <c r="L307" s="30" t="s">
        <v>204</v>
      </c>
      <c r="M307" s="119" t="e">
        <f>#REF!</f>
        <v>#REF!</v>
      </c>
      <c r="N307" s="30"/>
      <c r="O307" s="30"/>
      <c r="P307" s="30"/>
      <c r="Q307" s="30"/>
      <c r="R307" s="30"/>
      <c r="S307" s="30"/>
      <c r="T307" s="30"/>
    </row>
    <row r="308" spans="3:20" x14ac:dyDescent="0.25">
      <c r="C308" s="30"/>
      <c r="D308" s="30"/>
      <c r="E308" s="30" t="s">
        <v>19</v>
      </c>
      <c r="F308" s="30"/>
      <c r="G308" s="30" t="s">
        <v>20</v>
      </c>
      <c r="H308" s="30" t="s">
        <v>207</v>
      </c>
      <c r="I308" s="30"/>
      <c r="J308" s="30"/>
      <c r="K308" s="30"/>
      <c r="L308" s="30" t="s">
        <v>204</v>
      </c>
      <c r="M308" s="119" t="e">
        <f>#REF!</f>
        <v>#REF!</v>
      </c>
      <c r="N308" s="30"/>
      <c r="O308" s="30"/>
      <c r="P308" s="30"/>
      <c r="Q308" s="30"/>
      <c r="R308" s="30"/>
      <c r="S308" s="30"/>
      <c r="T308" s="30"/>
    </row>
    <row r="309" spans="3:20" x14ac:dyDescent="0.25">
      <c r="C309" s="30"/>
      <c r="D309" s="30"/>
      <c r="E309" s="30" t="s">
        <v>19</v>
      </c>
      <c r="F309" s="30"/>
      <c r="G309" s="30" t="s">
        <v>20</v>
      </c>
      <c r="H309" s="30" t="s">
        <v>208</v>
      </c>
      <c r="I309" s="30"/>
      <c r="J309" s="30"/>
      <c r="K309" s="30"/>
      <c r="L309" s="30" t="s">
        <v>204</v>
      </c>
      <c r="M309" s="119" t="e">
        <f>#REF!</f>
        <v>#REF!</v>
      </c>
      <c r="N309" s="30"/>
      <c r="O309" s="30"/>
      <c r="P309" s="30"/>
      <c r="Q309" s="30"/>
      <c r="R309" s="30"/>
      <c r="S309" s="30"/>
      <c r="T309" s="30"/>
    </row>
    <row r="310" spans="3:20" x14ac:dyDescent="0.25">
      <c r="C310" s="30"/>
      <c r="D310" s="30"/>
      <c r="E310" s="30" t="s">
        <v>19</v>
      </c>
      <c r="F310" s="30"/>
      <c r="G310" s="30" t="s">
        <v>20</v>
      </c>
      <c r="H310" s="30" t="s">
        <v>209</v>
      </c>
      <c r="I310" s="30"/>
      <c r="J310" s="30"/>
      <c r="K310" s="30"/>
      <c r="L310" s="30" t="s">
        <v>204</v>
      </c>
      <c r="M310" s="119" t="e">
        <f>#REF!</f>
        <v>#REF!</v>
      </c>
      <c r="N310" s="30"/>
      <c r="O310" s="30"/>
      <c r="P310" s="30"/>
      <c r="Q310" s="30"/>
      <c r="R310" s="30"/>
      <c r="S310" s="30"/>
      <c r="T310" s="30"/>
    </row>
    <row r="311" spans="3:20" x14ac:dyDescent="0.25">
      <c r="C311" s="30"/>
      <c r="D311" s="30"/>
      <c r="E311" s="30" t="s">
        <v>19</v>
      </c>
      <c r="F311" s="30"/>
      <c r="G311" s="30" t="s">
        <v>20</v>
      </c>
      <c r="H311" s="30" t="s">
        <v>208</v>
      </c>
      <c r="I311" s="30"/>
      <c r="J311" s="30"/>
      <c r="K311" s="30"/>
      <c r="L311" s="30" t="s">
        <v>204</v>
      </c>
      <c r="M311" s="119" t="e">
        <f>#REF!</f>
        <v>#REF!</v>
      </c>
      <c r="N311" s="30"/>
      <c r="O311" s="30"/>
      <c r="P311" s="30"/>
      <c r="Q311" s="30"/>
      <c r="R311" s="30"/>
      <c r="S311" s="30"/>
      <c r="T311" s="30"/>
    </row>
    <row r="312" spans="3:20" x14ac:dyDescent="0.25">
      <c r="C312" s="30"/>
      <c r="D312" s="30"/>
      <c r="E312" s="30" t="s">
        <v>19</v>
      </c>
      <c r="F312" s="30"/>
      <c r="G312" s="30" t="s">
        <v>20</v>
      </c>
      <c r="H312" s="30" t="s">
        <v>210</v>
      </c>
      <c r="I312" s="30"/>
      <c r="J312" s="30"/>
      <c r="K312" s="30"/>
      <c r="L312" s="30" t="s">
        <v>204</v>
      </c>
      <c r="M312" s="119" t="e">
        <f>#REF!</f>
        <v>#REF!</v>
      </c>
      <c r="N312" s="30"/>
      <c r="O312" s="30"/>
      <c r="P312" s="30"/>
      <c r="Q312" s="30"/>
      <c r="R312" s="30"/>
      <c r="S312" s="30"/>
      <c r="T312" s="30"/>
    </row>
    <row r="313" spans="3:20" x14ac:dyDescent="0.25">
      <c r="C313" s="30"/>
      <c r="D313" s="30"/>
      <c r="E313" s="30" t="s">
        <v>19</v>
      </c>
      <c r="F313" s="30"/>
      <c r="G313" s="30" t="s">
        <v>20</v>
      </c>
      <c r="H313" s="30" t="s">
        <v>211</v>
      </c>
      <c r="I313" s="30"/>
      <c r="J313" s="30"/>
      <c r="K313" s="30"/>
      <c r="L313" s="30" t="s">
        <v>204</v>
      </c>
      <c r="M313" s="119" t="e">
        <f>#REF!</f>
        <v>#REF!</v>
      </c>
      <c r="N313" s="30"/>
      <c r="O313" s="30"/>
      <c r="P313" s="30"/>
      <c r="Q313" s="30"/>
      <c r="R313" s="30"/>
      <c r="S313" s="30"/>
      <c r="T313" s="30"/>
    </row>
    <row r="314" spans="3:20" x14ac:dyDescent="0.25">
      <c r="C314" s="30"/>
      <c r="D314" s="30"/>
      <c r="E314" s="30" t="s">
        <v>19</v>
      </c>
      <c r="F314" s="30"/>
      <c r="G314" s="30" t="s">
        <v>20</v>
      </c>
      <c r="H314" s="30" t="s">
        <v>212</v>
      </c>
      <c r="I314" s="30"/>
      <c r="J314" s="30"/>
      <c r="K314" s="30"/>
      <c r="L314" s="30" t="s">
        <v>204</v>
      </c>
      <c r="M314" s="119" t="e">
        <f>M313</f>
        <v>#REF!</v>
      </c>
      <c r="N314" s="30"/>
      <c r="O314" s="30"/>
      <c r="P314" s="30"/>
      <c r="Q314" s="30"/>
      <c r="R314" s="30"/>
      <c r="S314" s="30"/>
      <c r="T314" s="30"/>
    </row>
    <row r="315" spans="3:20" x14ac:dyDescent="0.25">
      <c r="C315" s="30"/>
      <c r="D315" s="30"/>
      <c r="E315" s="30" t="s">
        <v>19</v>
      </c>
      <c r="F315" s="30"/>
      <c r="G315" s="30" t="s">
        <v>20</v>
      </c>
      <c r="H315" s="30" t="s">
        <v>213</v>
      </c>
      <c r="I315" s="30"/>
      <c r="J315" s="30"/>
      <c r="K315" s="30"/>
      <c r="L315" s="30" t="s">
        <v>204</v>
      </c>
      <c r="M315" s="119" t="e">
        <f>M314</f>
        <v>#REF!</v>
      </c>
      <c r="N315" s="30"/>
      <c r="O315" s="30"/>
      <c r="P315" s="30"/>
      <c r="Q315" s="30"/>
      <c r="R315" s="30"/>
      <c r="S315" s="30"/>
      <c r="T315" s="30"/>
    </row>
    <row r="316" spans="3:20" x14ac:dyDescent="0.25">
      <c r="C316" s="30"/>
      <c r="D316" s="30"/>
      <c r="E316" s="30" t="s">
        <v>19</v>
      </c>
      <c r="F316" s="30"/>
      <c r="G316" s="30" t="s">
        <v>20</v>
      </c>
      <c r="H316" s="30" t="s">
        <v>214</v>
      </c>
      <c r="I316" s="30"/>
      <c r="J316" s="30"/>
      <c r="K316" s="30"/>
      <c r="L316" s="30" t="s">
        <v>204</v>
      </c>
      <c r="M316" s="119" t="e">
        <f t="shared" ref="M316:M328" si="7">M315</f>
        <v>#REF!</v>
      </c>
      <c r="N316" s="30"/>
      <c r="O316" s="30"/>
      <c r="P316" s="30"/>
      <c r="Q316" s="30"/>
      <c r="R316" s="30"/>
      <c r="S316" s="30"/>
      <c r="T316" s="30"/>
    </row>
    <row r="317" spans="3:20" x14ac:dyDescent="0.25">
      <c r="C317" s="30"/>
      <c r="D317" s="30"/>
      <c r="E317" s="30" t="s">
        <v>19</v>
      </c>
      <c r="F317" s="30"/>
      <c r="G317" s="30" t="s">
        <v>20</v>
      </c>
      <c r="H317" s="30" t="s">
        <v>215</v>
      </c>
      <c r="I317" s="30"/>
      <c r="J317" s="30"/>
      <c r="K317" s="30"/>
      <c r="L317" s="30" t="s">
        <v>204</v>
      </c>
      <c r="M317" s="119" t="e">
        <f t="shared" si="7"/>
        <v>#REF!</v>
      </c>
      <c r="N317" s="30"/>
      <c r="O317" s="30"/>
      <c r="P317" s="30"/>
      <c r="Q317" s="30"/>
      <c r="R317" s="30"/>
      <c r="S317" s="30"/>
      <c r="T317" s="30"/>
    </row>
    <row r="318" spans="3:20" x14ac:dyDescent="0.25">
      <c r="C318" s="30"/>
      <c r="D318" s="30"/>
      <c r="E318" s="30" t="s">
        <v>19</v>
      </c>
      <c r="F318" s="30"/>
      <c r="G318" s="30" t="s">
        <v>20</v>
      </c>
      <c r="H318" s="30" t="s">
        <v>216</v>
      </c>
      <c r="I318" s="30"/>
      <c r="J318" s="30"/>
      <c r="K318" s="30"/>
      <c r="L318" s="30" t="s">
        <v>204</v>
      </c>
      <c r="M318" s="119" t="e">
        <f t="shared" si="7"/>
        <v>#REF!</v>
      </c>
      <c r="N318" s="30"/>
      <c r="O318" s="30"/>
      <c r="P318" s="30"/>
      <c r="Q318" s="30"/>
      <c r="R318" s="30"/>
      <c r="S318" s="30"/>
      <c r="T318" s="30"/>
    </row>
    <row r="319" spans="3:20" x14ac:dyDescent="0.25">
      <c r="C319" s="30"/>
      <c r="D319" s="30"/>
      <c r="E319" s="30" t="s">
        <v>19</v>
      </c>
      <c r="F319" s="30"/>
      <c r="G319" s="30" t="s">
        <v>20</v>
      </c>
      <c r="H319" s="30" t="s">
        <v>217</v>
      </c>
      <c r="I319" s="30"/>
      <c r="J319" s="30"/>
      <c r="K319" s="30"/>
      <c r="L319" s="30" t="s">
        <v>204</v>
      </c>
      <c r="M319" s="119" t="e">
        <f t="shared" si="7"/>
        <v>#REF!</v>
      </c>
      <c r="N319" s="30"/>
      <c r="O319" s="30"/>
      <c r="P319" s="30"/>
      <c r="Q319" s="30"/>
      <c r="R319" s="30"/>
      <c r="S319" s="30"/>
      <c r="T319" s="30"/>
    </row>
    <row r="320" spans="3:20" x14ac:dyDescent="0.25">
      <c r="C320" s="30"/>
      <c r="D320" s="30"/>
      <c r="E320" s="30" t="s">
        <v>19</v>
      </c>
      <c r="F320" s="30"/>
      <c r="G320" s="30" t="s">
        <v>20</v>
      </c>
      <c r="H320" s="30" t="s">
        <v>218</v>
      </c>
      <c r="I320" s="30"/>
      <c r="J320" s="30"/>
      <c r="K320" s="30"/>
      <c r="L320" s="30" t="s">
        <v>204</v>
      </c>
      <c r="M320" s="119" t="e">
        <f t="shared" si="7"/>
        <v>#REF!</v>
      </c>
      <c r="N320" s="30"/>
      <c r="O320" s="30"/>
      <c r="P320" s="30"/>
      <c r="Q320" s="30"/>
      <c r="R320" s="30"/>
      <c r="S320" s="30"/>
      <c r="T320" s="30"/>
    </row>
    <row r="321" spans="3:20" x14ac:dyDescent="0.25">
      <c r="C321" s="30"/>
      <c r="D321" s="30"/>
      <c r="E321" s="30" t="s">
        <v>19</v>
      </c>
      <c r="F321" s="30"/>
      <c r="G321" s="30" t="s">
        <v>20</v>
      </c>
      <c r="H321" s="30" t="s">
        <v>219</v>
      </c>
      <c r="I321" s="30"/>
      <c r="J321" s="30"/>
      <c r="K321" s="30"/>
      <c r="L321" s="30" t="s">
        <v>204</v>
      </c>
      <c r="M321" s="119" t="e">
        <f t="shared" si="7"/>
        <v>#REF!</v>
      </c>
      <c r="N321" s="30"/>
      <c r="O321" s="30"/>
      <c r="P321" s="30"/>
      <c r="Q321" s="30"/>
      <c r="R321" s="30"/>
      <c r="S321" s="30"/>
      <c r="T321" s="30"/>
    </row>
    <row r="322" spans="3:20" x14ac:dyDescent="0.25">
      <c r="C322" s="30"/>
      <c r="D322" s="30"/>
      <c r="E322" s="30" t="s">
        <v>19</v>
      </c>
      <c r="F322" s="30"/>
      <c r="G322" s="30" t="s">
        <v>20</v>
      </c>
      <c r="H322" s="30" t="s">
        <v>220</v>
      </c>
      <c r="I322" s="30"/>
      <c r="J322" s="30"/>
      <c r="K322" s="30"/>
      <c r="L322" s="30" t="s">
        <v>204</v>
      </c>
      <c r="M322" s="119" t="e">
        <f t="shared" si="7"/>
        <v>#REF!</v>
      </c>
      <c r="N322" s="30"/>
      <c r="O322" s="30"/>
      <c r="P322" s="30"/>
      <c r="Q322" s="30"/>
      <c r="R322" s="30"/>
      <c r="S322" s="30"/>
      <c r="T322" s="30"/>
    </row>
    <row r="323" spans="3:20" x14ac:dyDescent="0.25">
      <c r="C323" s="30"/>
      <c r="D323" s="30"/>
      <c r="E323" s="30" t="s">
        <v>19</v>
      </c>
      <c r="F323" s="30"/>
      <c r="G323" s="30" t="s">
        <v>20</v>
      </c>
      <c r="H323" s="30" t="s">
        <v>221</v>
      </c>
      <c r="I323" s="30"/>
      <c r="J323" s="30"/>
      <c r="K323" s="30"/>
      <c r="L323" s="30" t="s">
        <v>204</v>
      </c>
      <c r="M323" s="119" t="e">
        <f t="shared" si="7"/>
        <v>#REF!</v>
      </c>
      <c r="N323" s="30"/>
      <c r="O323" s="30"/>
      <c r="P323" s="30"/>
      <c r="Q323" s="30"/>
      <c r="R323" s="30"/>
      <c r="S323" s="30"/>
      <c r="T323" s="30"/>
    </row>
    <row r="324" spans="3:20" x14ac:dyDescent="0.25">
      <c r="C324" s="30"/>
      <c r="D324" s="30"/>
      <c r="E324" s="30" t="s">
        <v>19</v>
      </c>
      <c r="F324" s="30"/>
      <c r="G324" s="30" t="s">
        <v>20</v>
      </c>
      <c r="H324" s="30" t="s">
        <v>222</v>
      </c>
      <c r="I324" s="30"/>
      <c r="J324" s="30"/>
      <c r="K324" s="30"/>
      <c r="L324" s="30" t="s">
        <v>204</v>
      </c>
      <c r="M324" s="119" t="e">
        <f t="shared" si="7"/>
        <v>#REF!</v>
      </c>
      <c r="N324" s="30"/>
      <c r="O324" s="30"/>
      <c r="P324" s="30"/>
      <c r="Q324" s="30"/>
      <c r="R324" s="30"/>
      <c r="S324" s="30"/>
      <c r="T324" s="30"/>
    </row>
    <row r="325" spans="3:20" x14ac:dyDescent="0.25">
      <c r="C325" s="30"/>
      <c r="D325" s="30"/>
      <c r="E325" s="30" t="s">
        <v>19</v>
      </c>
      <c r="F325" s="30"/>
      <c r="G325" s="30" t="s">
        <v>20</v>
      </c>
      <c r="H325" s="30" t="s">
        <v>223</v>
      </c>
      <c r="I325" s="30"/>
      <c r="J325" s="30"/>
      <c r="K325" s="30"/>
      <c r="L325" s="30" t="s">
        <v>204</v>
      </c>
      <c r="M325" s="119" t="e">
        <f t="shared" si="7"/>
        <v>#REF!</v>
      </c>
      <c r="N325" s="30"/>
      <c r="O325" s="30"/>
      <c r="P325" s="30"/>
      <c r="Q325" s="30"/>
      <c r="R325" s="30"/>
      <c r="S325" s="30"/>
      <c r="T325" s="30"/>
    </row>
    <row r="326" spans="3:20" x14ac:dyDescent="0.25">
      <c r="C326" s="30"/>
      <c r="D326" s="30"/>
      <c r="E326" s="30" t="s">
        <v>19</v>
      </c>
      <c r="F326" s="30"/>
      <c r="G326" s="30" t="s">
        <v>20</v>
      </c>
      <c r="H326" s="30" t="s">
        <v>224</v>
      </c>
      <c r="I326" s="30"/>
      <c r="J326" s="30"/>
      <c r="K326" s="30"/>
      <c r="L326" s="30" t="s">
        <v>204</v>
      </c>
      <c r="M326" s="119" t="e">
        <f t="shared" si="7"/>
        <v>#REF!</v>
      </c>
      <c r="N326" s="30"/>
      <c r="O326" s="30"/>
      <c r="P326" s="30"/>
      <c r="Q326" s="30"/>
      <c r="R326" s="30"/>
      <c r="S326" s="30"/>
      <c r="T326" s="30"/>
    </row>
    <row r="327" spans="3:20" x14ac:dyDescent="0.25">
      <c r="C327" s="30"/>
      <c r="D327" s="30"/>
      <c r="E327" s="30" t="s">
        <v>19</v>
      </c>
      <c r="F327" s="30"/>
      <c r="G327" s="30" t="s">
        <v>20</v>
      </c>
      <c r="H327" s="30" t="s">
        <v>225</v>
      </c>
      <c r="I327" s="30"/>
      <c r="J327" s="30"/>
      <c r="K327" s="30"/>
      <c r="L327" s="30" t="s">
        <v>204</v>
      </c>
      <c r="M327" s="119" t="e">
        <f t="shared" si="7"/>
        <v>#REF!</v>
      </c>
      <c r="N327" s="30"/>
      <c r="O327" s="30"/>
      <c r="P327" s="30"/>
      <c r="Q327" s="30"/>
      <c r="R327" s="30"/>
      <c r="S327" s="30"/>
      <c r="T327" s="30"/>
    </row>
    <row r="328" spans="3:20" x14ac:dyDescent="0.25">
      <c r="C328" s="30"/>
      <c r="D328" s="30"/>
      <c r="E328" s="30" t="s">
        <v>19</v>
      </c>
      <c r="F328" s="30"/>
      <c r="G328" s="30" t="s">
        <v>20</v>
      </c>
      <c r="H328" s="30" t="s">
        <v>226</v>
      </c>
      <c r="I328" s="30"/>
      <c r="J328" s="30"/>
      <c r="K328" s="30"/>
      <c r="L328" s="30" t="s">
        <v>204</v>
      </c>
      <c r="M328" s="119" t="e">
        <f t="shared" si="7"/>
        <v>#REF!</v>
      </c>
      <c r="N328" s="30"/>
      <c r="O328" s="30"/>
      <c r="P328" s="30"/>
      <c r="Q328" s="30"/>
      <c r="R328" s="30"/>
      <c r="S328" s="30"/>
      <c r="T328" s="30"/>
    </row>
    <row r="329" spans="3:20" x14ac:dyDescent="0.25">
      <c r="C329" s="30"/>
      <c r="D329" s="30"/>
      <c r="E329" s="30" t="s">
        <v>19</v>
      </c>
      <c r="F329" s="30"/>
      <c r="G329" s="30" t="s">
        <v>20</v>
      </c>
      <c r="H329" s="30" t="s">
        <v>227</v>
      </c>
      <c r="I329" s="30"/>
      <c r="J329" s="30"/>
      <c r="K329" s="30"/>
      <c r="L329" s="30" t="s">
        <v>204</v>
      </c>
      <c r="M329" s="119" t="e">
        <f>#REF!</f>
        <v>#REF!</v>
      </c>
      <c r="N329" s="30"/>
      <c r="O329" s="30"/>
      <c r="P329" s="30"/>
      <c r="Q329" s="30"/>
      <c r="R329" s="30"/>
      <c r="S329" s="30"/>
      <c r="T329" s="30"/>
    </row>
    <row r="330" spans="3:20" x14ac:dyDescent="0.25">
      <c r="C330" s="30"/>
      <c r="D330" s="30"/>
      <c r="E330" s="30" t="s">
        <v>19</v>
      </c>
      <c r="F330" s="30"/>
      <c r="G330" s="30" t="s">
        <v>20</v>
      </c>
      <c r="H330" s="30" t="s">
        <v>228</v>
      </c>
      <c r="I330" s="30"/>
      <c r="J330" s="30"/>
      <c r="K330" s="30"/>
      <c r="L330" s="30" t="s">
        <v>204</v>
      </c>
      <c r="M330" s="119" t="e">
        <f>M329</f>
        <v>#REF!</v>
      </c>
      <c r="N330" s="30"/>
      <c r="O330" s="30"/>
      <c r="P330" s="30"/>
      <c r="Q330" s="30"/>
      <c r="R330" s="30"/>
      <c r="S330" s="30"/>
      <c r="T330" s="30"/>
    </row>
    <row r="331" spans="3:20" x14ac:dyDescent="0.25">
      <c r="C331" s="30"/>
      <c r="D331" s="30"/>
      <c r="E331" s="30" t="s">
        <v>19</v>
      </c>
      <c r="F331" s="30"/>
      <c r="G331" s="30" t="s">
        <v>20</v>
      </c>
      <c r="H331" s="30" t="s">
        <v>229</v>
      </c>
      <c r="I331" s="30"/>
      <c r="J331" s="30"/>
      <c r="K331" s="30"/>
      <c r="L331" s="30" t="s">
        <v>204</v>
      </c>
      <c r="M331" s="119" t="e">
        <f t="shared" ref="M331:M335" si="8">M330</f>
        <v>#REF!</v>
      </c>
      <c r="N331" s="30"/>
      <c r="O331" s="30"/>
      <c r="P331" s="30"/>
      <c r="Q331" s="30"/>
      <c r="R331" s="30"/>
      <c r="S331" s="30"/>
      <c r="T331" s="30"/>
    </row>
    <row r="332" spans="3:20" x14ac:dyDescent="0.25">
      <c r="C332" s="30"/>
      <c r="D332" s="30"/>
      <c r="E332" s="30" t="s">
        <v>19</v>
      </c>
      <c r="F332" s="30"/>
      <c r="G332" s="30" t="s">
        <v>20</v>
      </c>
      <c r="H332" s="30" t="s">
        <v>230</v>
      </c>
      <c r="I332" s="30"/>
      <c r="J332" s="30"/>
      <c r="K332" s="30"/>
      <c r="L332" s="30" t="s">
        <v>204</v>
      </c>
      <c r="M332" s="119" t="e">
        <f t="shared" si="8"/>
        <v>#REF!</v>
      </c>
      <c r="N332" s="30"/>
      <c r="O332" s="30"/>
      <c r="P332" s="30"/>
      <c r="Q332" s="30"/>
      <c r="R332" s="30"/>
      <c r="S332" s="30"/>
      <c r="T332" s="30"/>
    </row>
    <row r="333" spans="3:20" x14ac:dyDescent="0.25">
      <c r="C333" s="30"/>
      <c r="D333" s="30"/>
      <c r="E333" s="30" t="s">
        <v>19</v>
      </c>
      <c r="F333" s="30"/>
      <c r="G333" s="30" t="s">
        <v>20</v>
      </c>
      <c r="H333" s="30" t="s">
        <v>231</v>
      </c>
      <c r="I333" s="30"/>
      <c r="J333" s="30"/>
      <c r="K333" s="30"/>
      <c r="L333" s="30" t="s">
        <v>204</v>
      </c>
      <c r="M333" s="119" t="e">
        <f t="shared" si="8"/>
        <v>#REF!</v>
      </c>
      <c r="N333" s="30"/>
      <c r="O333" s="30"/>
      <c r="P333" s="30"/>
      <c r="Q333" s="30"/>
      <c r="R333" s="30"/>
      <c r="S333" s="30"/>
      <c r="T333" s="30"/>
    </row>
    <row r="334" spans="3:20" x14ac:dyDescent="0.25">
      <c r="C334" s="30"/>
      <c r="D334" s="30"/>
      <c r="E334" s="30" t="s">
        <v>19</v>
      </c>
      <c r="F334" s="30"/>
      <c r="G334" s="30" t="s">
        <v>20</v>
      </c>
      <c r="H334" s="30" t="s">
        <v>232</v>
      </c>
      <c r="I334" s="30"/>
      <c r="J334" s="30"/>
      <c r="K334" s="30"/>
      <c r="L334" s="30" t="s">
        <v>204</v>
      </c>
      <c r="M334" s="119" t="e">
        <f t="shared" si="8"/>
        <v>#REF!</v>
      </c>
      <c r="N334" s="30"/>
      <c r="O334" s="30"/>
      <c r="P334" s="30"/>
      <c r="Q334" s="30"/>
      <c r="R334" s="30"/>
      <c r="S334" s="30"/>
      <c r="T334" s="30"/>
    </row>
    <row r="335" spans="3:20" x14ac:dyDescent="0.25">
      <c r="C335" s="30"/>
      <c r="D335" s="30"/>
      <c r="E335" s="30" t="s">
        <v>19</v>
      </c>
      <c r="F335" s="30"/>
      <c r="G335" s="30" t="s">
        <v>20</v>
      </c>
      <c r="H335" s="30" t="s">
        <v>233</v>
      </c>
      <c r="I335" s="30"/>
      <c r="J335" s="30"/>
      <c r="K335" s="30"/>
      <c r="L335" s="30" t="s">
        <v>204</v>
      </c>
      <c r="M335" s="119" t="e">
        <f t="shared" si="8"/>
        <v>#REF!</v>
      </c>
      <c r="N335" s="30"/>
      <c r="O335" s="30"/>
      <c r="P335" s="30"/>
      <c r="Q335" s="30"/>
      <c r="R335" s="30"/>
      <c r="S335" s="30"/>
      <c r="T335" s="30"/>
    </row>
    <row r="336" spans="3:20" x14ac:dyDescent="0.25">
      <c r="C336" s="30"/>
      <c r="D336" s="30"/>
      <c r="E336" s="30" t="s">
        <v>19</v>
      </c>
      <c r="F336" s="30"/>
      <c r="G336" s="30" t="s">
        <v>20</v>
      </c>
      <c r="H336" s="30" t="s">
        <v>234</v>
      </c>
      <c r="I336" s="30"/>
      <c r="J336" s="30"/>
      <c r="K336" s="30"/>
      <c r="L336" s="30" t="s">
        <v>204</v>
      </c>
      <c r="M336" s="119" t="e">
        <f>#REF!</f>
        <v>#REF!</v>
      </c>
      <c r="N336" s="30"/>
      <c r="O336" s="30"/>
      <c r="P336" s="30"/>
      <c r="Q336" s="30"/>
      <c r="R336" s="30"/>
      <c r="S336" s="30"/>
      <c r="T336" s="30"/>
    </row>
    <row r="337" spans="3:20" x14ac:dyDescent="0.25">
      <c r="C337" s="30"/>
      <c r="D337" s="30"/>
      <c r="E337" s="30" t="s">
        <v>19</v>
      </c>
      <c r="F337" s="30"/>
      <c r="G337" s="30" t="s">
        <v>20</v>
      </c>
      <c r="H337" s="30" t="s">
        <v>235</v>
      </c>
      <c r="I337" s="30"/>
      <c r="J337" s="30"/>
      <c r="K337" s="30"/>
      <c r="L337" s="30" t="s">
        <v>204</v>
      </c>
      <c r="M337" s="119" t="e">
        <f>#REF!</f>
        <v>#REF!</v>
      </c>
      <c r="N337" s="30"/>
      <c r="O337" s="30"/>
      <c r="P337" s="30"/>
      <c r="Q337" s="30"/>
      <c r="R337" s="30"/>
      <c r="S337" s="30"/>
      <c r="T337" s="30"/>
    </row>
    <row r="338" spans="3:20" x14ac:dyDescent="0.25">
      <c r="C338" s="30"/>
      <c r="D338" s="30"/>
      <c r="E338" s="30" t="s">
        <v>19</v>
      </c>
      <c r="F338" s="30"/>
      <c r="G338" s="30" t="s">
        <v>20</v>
      </c>
      <c r="H338" s="30" t="s">
        <v>236</v>
      </c>
      <c r="I338" s="30"/>
      <c r="J338" s="30"/>
      <c r="K338" s="30"/>
      <c r="L338" s="30" t="s">
        <v>204</v>
      </c>
      <c r="M338" s="119" t="e">
        <f>#REF!</f>
        <v>#REF!</v>
      </c>
      <c r="N338" s="30"/>
      <c r="O338" s="30"/>
      <c r="P338" s="30"/>
      <c r="Q338" s="30"/>
      <c r="R338" s="30"/>
      <c r="S338" s="30"/>
      <c r="T338" s="30"/>
    </row>
    <row r="339" spans="3:20" x14ac:dyDescent="0.25">
      <c r="C339" s="30"/>
      <c r="D339" s="30"/>
      <c r="E339" s="30" t="s">
        <v>19</v>
      </c>
      <c r="F339" s="30"/>
      <c r="G339" s="30" t="s">
        <v>20</v>
      </c>
      <c r="H339" s="30" t="s">
        <v>237</v>
      </c>
      <c r="I339" s="30"/>
      <c r="J339" s="30"/>
      <c r="K339" s="30"/>
      <c r="L339" s="30" t="s">
        <v>204</v>
      </c>
      <c r="M339" s="119" t="e">
        <f>#REF!</f>
        <v>#REF!</v>
      </c>
      <c r="N339" s="30"/>
      <c r="O339" s="30"/>
      <c r="P339" s="30"/>
      <c r="Q339" s="30"/>
      <c r="R339" s="30"/>
      <c r="S339" s="30"/>
      <c r="T339" s="30"/>
    </row>
    <row r="340" spans="3:20" x14ac:dyDescent="0.25">
      <c r="C340" s="30"/>
      <c r="D340" s="30"/>
      <c r="E340" s="30" t="s">
        <v>19</v>
      </c>
      <c r="F340" s="30"/>
      <c r="G340" s="30" t="s">
        <v>20</v>
      </c>
      <c r="H340" s="30" t="s">
        <v>238</v>
      </c>
      <c r="I340" s="30"/>
      <c r="J340" s="30"/>
      <c r="K340" s="30"/>
      <c r="L340" s="30" t="s">
        <v>204</v>
      </c>
      <c r="M340" s="119" t="e">
        <f>#REF!</f>
        <v>#REF!</v>
      </c>
      <c r="N340" s="30"/>
      <c r="O340" s="30"/>
      <c r="P340" s="30"/>
      <c r="Q340" s="30"/>
      <c r="R340" s="30"/>
      <c r="S340" s="30"/>
      <c r="T340" s="30"/>
    </row>
    <row r="341" spans="3:20" x14ac:dyDescent="0.25">
      <c r="C341" s="30"/>
      <c r="D341" s="30"/>
      <c r="E341" s="30" t="s">
        <v>19</v>
      </c>
      <c r="F341" s="30"/>
      <c r="G341" s="30" t="s">
        <v>20</v>
      </c>
      <c r="H341" s="30" t="s">
        <v>239</v>
      </c>
      <c r="I341" s="30"/>
      <c r="J341" s="30"/>
      <c r="K341" s="30"/>
      <c r="L341" s="30" t="s">
        <v>204</v>
      </c>
      <c r="M341" s="119" t="e">
        <f>#REF!</f>
        <v>#REF!</v>
      </c>
      <c r="N341" s="30"/>
      <c r="O341" s="30"/>
      <c r="P341" s="30"/>
      <c r="Q341" s="30"/>
      <c r="R341" s="30"/>
      <c r="S341" s="30"/>
      <c r="T341" s="30"/>
    </row>
    <row r="342" spans="3:20" x14ac:dyDescent="0.25">
      <c r="C342" s="30"/>
      <c r="D342" s="30"/>
      <c r="E342" s="30" t="s">
        <v>19</v>
      </c>
      <c r="F342" s="30"/>
      <c r="G342" s="30" t="s">
        <v>20</v>
      </c>
      <c r="H342" s="30" t="s">
        <v>240</v>
      </c>
      <c r="I342" s="30"/>
      <c r="J342" s="30"/>
      <c r="K342" s="30"/>
      <c r="L342" s="30" t="s">
        <v>204</v>
      </c>
      <c r="M342" s="119" t="e">
        <f>#REF!</f>
        <v>#REF!</v>
      </c>
      <c r="N342" s="30"/>
      <c r="O342" s="30"/>
      <c r="P342" s="30"/>
      <c r="Q342" s="30"/>
      <c r="R342" s="30"/>
      <c r="S342" s="30"/>
      <c r="T342" s="30"/>
    </row>
    <row r="343" spans="3:20" x14ac:dyDescent="0.25">
      <c r="C343" s="30"/>
      <c r="D343" s="30"/>
      <c r="E343" s="30" t="s">
        <v>19</v>
      </c>
      <c r="F343" s="30"/>
      <c r="G343" s="30" t="s">
        <v>20</v>
      </c>
      <c r="H343" s="30" t="s">
        <v>241</v>
      </c>
      <c r="I343" s="30"/>
      <c r="J343" s="30"/>
      <c r="K343" s="30"/>
      <c r="L343" s="30" t="s">
        <v>204</v>
      </c>
      <c r="M343" s="119" t="e">
        <f>#REF!</f>
        <v>#REF!</v>
      </c>
      <c r="N343" s="30"/>
      <c r="O343" s="30"/>
      <c r="P343" s="30"/>
      <c r="Q343" s="30"/>
      <c r="R343" s="30"/>
      <c r="S343" s="30"/>
      <c r="T343" s="30"/>
    </row>
    <row r="344" spans="3:20" x14ac:dyDescent="0.25">
      <c r="C344" s="30"/>
      <c r="D344" s="30"/>
      <c r="E344" s="30" t="s">
        <v>19</v>
      </c>
      <c r="F344" s="30"/>
      <c r="G344" s="30" t="s">
        <v>20</v>
      </c>
      <c r="H344" s="30" t="s">
        <v>242</v>
      </c>
      <c r="I344" s="30"/>
      <c r="J344" s="30"/>
      <c r="K344" s="30"/>
      <c r="L344" s="30" t="s">
        <v>204</v>
      </c>
      <c r="M344" s="119" t="e">
        <f>#REF!</f>
        <v>#REF!</v>
      </c>
      <c r="N344" s="30"/>
      <c r="O344" s="30"/>
      <c r="P344" s="30"/>
      <c r="Q344" s="30"/>
      <c r="R344" s="30"/>
      <c r="S344" s="30"/>
      <c r="T344" s="30"/>
    </row>
    <row r="345" spans="3:20" x14ac:dyDescent="0.25">
      <c r="C345" s="30"/>
      <c r="D345" s="30"/>
      <c r="E345" s="30" t="s">
        <v>19</v>
      </c>
      <c r="F345" s="30"/>
      <c r="G345" s="30" t="s">
        <v>20</v>
      </c>
      <c r="H345" s="30" t="s">
        <v>243</v>
      </c>
      <c r="I345" s="30"/>
      <c r="J345" s="30"/>
      <c r="K345" s="30"/>
      <c r="L345" s="30" t="s">
        <v>204</v>
      </c>
      <c r="M345" s="119" t="e">
        <f>#REF!</f>
        <v>#REF!</v>
      </c>
      <c r="N345" s="30"/>
      <c r="O345" s="30"/>
      <c r="P345" s="30"/>
      <c r="Q345" s="30"/>
      <c r="R345" s="30"/>
      <c r="S345" s="30"/>
      <c r="T345" s="30"/>
    </row>
    <row r="346" spans="3:20" x14ac:dyDescent="0.25">
      <c r="C346" s="30"/>
      <c r="D346" s="30"/>
      <c r="E346" s="30" t="s">
        <v>19</v>
      </c>
      <c r="F346" s="30"/>
      <c r="G346" s="30" t="s">
        <v>20</v>
      </c>
      <c r="H346" s="30" t="s">
        <v>244</v>
      </c>
      <c r="I346" s="30"/>
      <c r="J346" s="30"/>
      <c r="K346" s="30"/>
      <c r="L346" s="30" t="s">
        <v>204</v>
      </c>
      <c r="M346" s="119" t="e">
        <f>#REF!</f>
        <v>#REF!</v>
      </c>
      <c r="N346" s="30"/>
      <c r="O346" s="30"/>
      <c r="P346" s="30"/>
      <c r="Q346" s="30"/>
      <c r="R346" s="30"/>
      <c r="S346" s="30"/>
      <c r="T346" s="30"/>
    </row>
    <row r="347" spans="3:20" x14ac:dyDescent="0.25">
      <c r="C347" s="30"/>
      <c r="D347" s="30"/>
      <c r="E347" s="30" t="s">
        <v>19</v>
      </c>
      <c r="F347" s="30"/>
      <c r="G347" s="30" t="s">
        <v>20</v>
      </c>
      <c r="H347" s="30" t="s">
        <v>245</v>
      </c>
      <c r="I347" s="30"/>
      <c r="J347" s="30"/>
      <c r="K347" s="30"/>
      <c r="L347" s="30" t="s">
        <v>204</v>
      </c>
      <c r="M347" s="119" t="e">
        <f>#REF!</f>
        <v>#REF!</v>
      </c>
      <c r="N347" s="30"/>
      <c r="O347" s="30"/>
      <c r="P347" s="30"/>
      <c r="Q347" s="30"/>
      <c r="R347" s="30"/>
      <c r="S347" s="30"/>
      <c r="T347" s="30"/>
    </row>
    <row r="348" spans="3:20" x14ac:dyDescent="0.25">
      <c r="C348" s="30"/>
      <c r="D348" s="30"/>
      <c r="E348" s="30" t="s">
        <v>19</v>
      </c>
      <c r="F348" s="30"/>
      <c r="G348" s="30" t="s">
        <v>20</v>
      </c>
      <c r="H348" s="30" t="s">
        <v>246</v>
      </c>
      <c r="I348" s="30"/>
      <c r="J348" s="30"/>
      <c r="K348" s="30"/>
      <c r="L348" s="30" t="s">
        <v>204</v>
      </c>
      <c r="M348" s="119" t="e">
        <f>#REF!</f>
        <v>#REF!</v>
      </c>
      <c r="N348" s="30"/>
      <c r="O348" s="30"/>
      <c r="P348" s="30"/>
      <c r="Q348" s="30"/>
      <c r="R348" s="30"/>
      <c r="S348" s="30"/>
      <c r="T348" s="30"/>
    </row>
    <row r="349" spans="3:20" x14ac:dyDescent="0.25">
      <c r="C349" s="35"/>
      <c r="D349" s="35"/>
      <c r="E349" s="35" t="s">
        <v>19</v>
      </c>
      <c r="F349" s="35"/>
      <c r="G349" s="35" t="s">
        <v>20</v>
      </c>
      <c r="H349" s="35" t="s">
        <v>247</v>
      </c>
      <c r="I349" s="35"/>
      <c r="J349" s="35"/>
      <c r="K349" s="35"/>
      <c r="L349" s="35" t="s">
        <v>204</v>
      </c>
      <c r="M349" s="120" t="e">
        <f>#REF!</f>
        <v>#REF!</v>
      </c>
      <c r="N349" s="35"/>
      <c r="O349" s="35"/>
      <c r="P349" s="35"/>
      <c r="Q349" s="35"/>
      <c r="R349" s="35"/>
      <c r="S349" s="35"/>
      <c r="T349" s="3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659F-0A53-42E6-9386-038E600DF92D}">
  <dimension ref="A1:E93"/>
  <sheetViews>
    <sheetView workbookViewId="0">
      <selection activeCell="C10" sqref="C10"/>
    </sheetView>
  </sheetViews>
  <sheetFormatPr defaultColWidth="9.140625" defaultRowHeight="15" x14ac:dyDescent="0.25"/>
  <cols>
    <col min="1" max="16384" width="9.140625" style="20"/>
  </cols>
  <sheetData>
    <row r="1" spans="1:5" x14ac:dyDescent="0.25">
      <c r="A1" s="20" t="s">
        <v>256</v>
      </c>
    </row>
    <row r="2" spans="1:5" x14ac:dyDescent="0.25">
      <c r="A2" s="20" t="s">
        <v>257</v>
      </c>
    </row>
    <row r="4" spans="1:5" x14ac:dyDescent="0.25">
      <c r="A4" s="20" t="s">
        <v>258</v>
      </c>
    </row>
    <row r="5" spans="1:5" x14ac:dyDescent="0.25">
      <c r="B5" s="20">
        <v>2005</v>
      </c>
      <c r="C5" s="20">
        <v>2010</v>
      </c>
      <c r="D5" s="20">
        <v>2015</v>
      </c>
      <c r="E5" s="20">
        <v>2020</v>
      </c>
    </row>
    <row r="6" spans="1:5" x14ac:dyDescent="0.25">
      <c r="A6" s="20" t="s">
        <v>23</v>
      </c>
      <c r="B6" s="20">
        <v>2.354489E-3</v>
      </c>
      <c r="C6" s="20">
        <v>2.3232979999999997E-3</v>
      </c>
      <c r="D6" s="20">
        <v>2.3232979999999997E-3</v>
      </c>
      <c r="E6" s="20">
        <v>2.3232979999999997E-3</v>
      </c>
    </row>
    <row r="7" spans="1:5" x14ac:dyDescent="0.25">
      <c r="A7" s="20" t="s">
        <v>24</v>
      </c>
      <c r="B7" s="20">
        <v>4.3032859999999999E-3</v>
      </c>
      <c r="C7" s="20">
        <v>3.5583780000000001E-3</v>
      </c>
      <c r="D7" s="20">
        <v>3.5583780000000001E-3</v>
      </c>
      <c r="E7" s="20">
        <v>3.5583780000000001E-3</v>
      </c>
    </row>
    <row r="8" spans="1:5" x14ac:dyDescent="0.25">
      <c r="A8" s="20" t="s">
        <v>259</v>
      </c>
      <c r="B8" s="20">
        <v>9.4658469999999995E-3</v>
      </c>
      <c r="C8" s="20">
        <v>8.144765E-3</v>
      </c>
      <c r="D8" s="20">
        <v>7.2287209999999996E-3</v>
      </c>
      <c r="E8" s="20">
        <v>6.8386099999999993E-3</v>
      </c>
    </row>
    <row r="9" spans="1:5" x14ac:dyDescent="0.25">
      <c r="A9" s="20" t="s">
        <v>26</v>
      </c>
      <c r="B9" s="20">
        <v>2.25246E-3</v>
      </c>
      <c r="C9" s="20">
        <v>1.9528849999999999E-3</v>
      </c>
      <c r="D9" s="20">
        <v>1.7367819999999999E-3</v>
      </c>
      <c r="E9" s="20">
        <v>1.6641300000000002E-3</v>
      </c>
    </row>
    <row r="10" spans="1:5" x14ac:dyDescent="0.25">
      <c r="A10" s="20" t="s">
        <v>260</v>
      </c>
      <c r="B10" s="20">
        <v>1.243051E-3</v>
      </c>
      <c r="C10" s="20">
        <v>1.086119E-3</v>
      </c>
      <c r="D10" s="20">
        <v>1.0130989999999999E-3</v>
      </c>
      <c r="E10" s="20">
        <v>9.4102599999999997E-4</v>
      </c>
    </row>
    <row r="11" spans="1:5" x14ac:dyDescent="0.25">
      <c r="A11" s="20" t="s">
        <v>261</v>
      </c>
      <c r="B11" s="20">
        <v>9.2314519999999994E-3</v>
      </c>
      <c r="C11" s="20">
        <v>7.1050530000000001E-3</v>
      </c>
      <c r="D11" s="20">
        <v>6.1110929999999997E-3</v>
      </c>
      <c r="E11" s="20">
        <v>5.6851099999999993E-3</v>
      </c>
    </row>
    <row r="12" spans="1:5" x14ac:dyDescent="0.25">
      <c r="A12" s="20" t="s">
        <v>29</v>
      </c>
      <c r="B12" s="20">
        <v>1.8631600000000001E-4</v>
      </c>
      <c r="C12" s="20">
        <v>1.8631600000000001E-4</v>
      </c>
      <c r="D12" s="20">
        <v>1.8631600000000001E-4</v>
      </c>
      <c r="E12" s="20">
        <v>1.8631600000000001E-4</v>
      </c>
    </row>
    <row r="13" spans="1:5" x14ac:dyDescent="0.25">
      <c r="A13" s="20" t="s">
        <v>30</v>
      </c>
      <c r="B13" s="20">
        <v>9.9823999999999998E-5</v>
      </c>
      <c r="C13" s="20">
        <v>9.9823999999999998E-5</v>
      </c>
      <c r="D13" s="20">
        <v>9.9823999999999998E-5</v>
      </c>
      <c r="E13" s="20">
        <v>9.9823999999999998E-5</v>
      </c>
    </row>
    <row r="14" spans="1:5" x14ac:dyDescent="0.25">
      <c r="A14" s="20" t="s">
        <v>22</v>
      </c>
      <c r="B14" s="20">
        <v>6.1227431960000001</v>
      </c>
      <c r="C14" s="20">
        <v>6.1240109790000004</v>
      </c>
      <c r="D14" s="20">
        <v>6.1240109790000004</v>
      </c>
      <c r="E14" s="20">
        <v>6.1240109790000004</v>
      </c>
    </row>
    <row r="15" spans="1:5" x14ac:dyDescent="0.25">
      <c r="A15" s="20" t="s">
        <v>262</v>
      </c>
      <c r="B15" s="20">
        <f>B42/1000000</f>
        <v>0</v>
      </c>
      <c r="C15" s="20">
        <f>C42/1000000</f>
        <v>0</v>
      </c>
      <c r="D15" s="20">
        <f>D42/1000000</f>
        <v>0</v>
      </c>
      <c r="E15" s="20">
        <f>E42/1000000</f>
        <v>0</v>
      </c>
    </row>
    <row r="17" spans="1:5" x14ac:dyDescent="0.25">
      <c r="A17" s="20" t="s">
        <v>263</v>
      </c>
    </row>
    <row r="18" spans="1:5" x14ac:dyDescent="0.25">
      <c r="B18" s="20">
        <v>2005</v>
      </c>
      <c r="C18" s="20">
        <v>2010</v>
      </c>
      <c r="D18" s="20">
        <v>2015</v>
      </c>
      <c r="E18" s="20">
        <v>2020</v>
      </c>
    </row>
    <row r="19" spans="1:5" x14ac:dyDescent="0.25">
      <c r="A19" s="20" t="s">
        <v>23</v>
      </c>
      <c r="B19" s="20">
        <v>2.3542189999999998E-3</v>
      </c>
      <c r="C19" s="20">
        <v>2.3230270000000001E-3</v>
      </c>
      <c r="D19" s="20">
        <v>2.3230270000000001E-3</v>
      </c>
      <c r="E19" s="20">
        <v>2.3230270000000001E-3</v>
      </c>
    </row>
    <row r="20" spans="1:5" x14ac:dyDescent="0.25">
      <c r="A20" s="20" t="s">
        <v>24</v>
      </c>
      <c r="B20" s="20">
        <v>4.2985249999999992E-3</v>
      </c>
      <c r="C20" s="20">
        <v>3.5536819999999998E-3</v>
      </c>
      <c r="D20" s="20">
        <v>3.5536819999999998E-3</v>
      </c>
      <c r="E20" s="20">
        <v>3.5536819999999998E-3</v>
      </c>
    </row>
    <row r="21" spans="1:5" x14ac:dyDescent="0.25">
      <c r="A21" s="20" t="s">
        <v>259</v>
      </c>
      <c r="B21" s="20">
        <v>9.4211620000000003E-3</v>
      </c>
      <c r="C21" s="20">
        <v>8.107528000000001E-3</v>
      </c>
      <c r="D21" s="20">
        <v>7.1944629999999999E-3</v>
      </c>
      <c r="E21" s="20">
        <v>6.805841E-3</v>
      </c>
    </row>
    <row r="22" spans="1:5" x14ac:dyDescent="0.25">
      <c r="A22" s="20" t="s">
        <v>26</v>
      </c>
      <c r="B22" s="20">
        <v>2.237565E-3</v>
      </c>
      <c r="C22" s="20">
        <v>1.9396579999999999E-3</v>
      </c>
      <c r="D22" s="20">
        <v>1.7263549999999999E-3</v>
      </c>
      <c r="E22" s="20">
        <v>1.6551929999999999E-3</v>
      </c>
    </row>
    <row r="23" spans="1:5" x14ac:dyDescent="0.25">
      <c r="A23" s="20" t="s">
        <v>260</v>
      </c>
      <c r="B23" s="20">
        <v>1.2333699999999999E-3</v>
      </c>
      <c r="C23" s="20">
        <v>1.0775209999999999E-3</v>
      </c>
      <c r="D23" s="20">
        <v>1.006322E-3</v>
      </c>
      <c r="E23" s="20">
        <v>9.3521700000000001E-4</v>
      </c>
    </row>
    <row r="24" spans="1:5" x14ac:dyDescent="0.25">
      <c r="A24" s="20" t="s">
        <v>261</v>
      </c>
      <c r="B24" s="20">
        <v>9.1652320000000006E-3</v>
      </c>
      <c r="C24" s="20">
        <v>7.0447039999999997E-3</v>
      </c>
      <c r="D24" s="20">
        <v>6.0507439999999994E-3</v>
      </c>
      <c r="E24" s="20">
        <v>5.6247619999999993E-3</v>
      </c>
    </row>
    <row r="25" spans="1:5" x14ac:dyDescent="0.25">
      <c r="A25" s="20" t="s">
        <v>29</v>
      </c>
      <c r="B25" s="20">
        <v>1.8535099999999999E-4</v>
      </c>
      <c r="C25" s="20">
        <v>1.8535099999999999E-4</v>
      </c>
      <c r="D25" s="20">
        <v>1.8535099999999999E-4</v>
      </c>
      <c r="E25" s="20">
        <v>1.8535099999999999E-4</v>
      </c>
    </row>
    <row r="26" spans="1:5" x14ac:dyDescent="0.25">
      <c r="A26" s="20" t="s">
        <v>30</v>
      </c>
      <c r="B26" s="20">
        <v>9.9716999999999994E-5</v>
      </c>
      <c r="C26" s="20">
        <v>9.9716999999999994E-5</v>
      </c>
      <c r="D26" s="20">
        <v>9.9716999999999994E-5</v>
      </c>
      <c r="E26" s="20">
        <v>9.9716999999999994E-5</v>
      </c>
    </row>
    <row r="27" spans="1:5" x14ac:dyDescent="0.25">
      <c r="A27" s="20" t="s">
        <v>22</v>
      </c>
      <c r="B27" s="20">
        <v>6.0990560680000003</v>
      </c>
      <c r="C27" s="20">
        <v>6.1003237490000002</v>
      </c>
      <c r="D27" s="20">
        <v>6.1003237490000002</v>
      </c>
      <c r="E27" s="20">
        <v>6.1003237490000002</v>
      </c>
    </row>
    <row r="28" spans="1:5" x14ac:dyDescent="0.25">
      <c r="A28" s="20" t="s">
        <v>262</v>
      </c>
      <c r="B28" s="20">
        <v>0</v>
      </c>
      <c r="C28" s="20">
        <v>0</v>
      </c>
      <c r="D28" s="20">
        <v>0</v>
      </c>
      <c r="E28" s="20">
        <v>0</v>
      </c>
    </row>
    <row r="30" spans="1:5" x14ac:dyDescent="0.25">
      <c r="A30" s="20" t="s">
        <v>264</v>
      </c>
    </row>
    <row r="31" spans="1:5" x14ac:dyDescent="0.25">
      <c r="B31" s="20">
        <v>2005</v>
      </c>
      <c r="C31" s="20">
        <v>2010</v>
      </c>
      <c r="D31" s="20">
        <v>2015</v>
      </c>
      <c r="E31" s="20">
        <v>2020</v>
      </c>
    </row>
    <row r="32" spans="1:5" x14ac:dyDescent="0.25">
      <c r="A32" s="20" t="s">
        <v>23</v>
      </c>
      <c r="B32" s="20">
        <v>1.5974700000000001E-4</v>
      </c>
      <c r="C32" s="20">
        <v>1.30362E-4</v>
      </c>
      <c r="D32" s="20">
        <v>1.30362E-4</v>
      </c>
      <c r="E32" s="20">
        <v>1.30362E-4</v>
      </c>
    </row>
    <row r="33" spans="1:5" x14ac:dyDescent="0.25">
      <c r="A33" s="20" t="s">
        <v>24</v>
      </c>
      <c r="B33" s="20">
        <v>3.0777820000000003E-3</v>
      </c>
      <c r="C33" s="20">
        <v>2.375158E-3</v>
      </c>
      <c r="D33" s="20">
        <v>2.375158E-3</v>
      </c>
      <c r="E33" s="20">
        <v>2.375158E-3</v>
      </c>
    </row>
    <row r="34" spans="1:5" x14ac:dyDescent="0.25">
      <c r="A34" s="20" t="s">
        <v>259</v>
      </c>
      <c r="B34" s="20">
        <v>8.2634869999999999E-3</v>
      </c>
      <c r="C34" s="20">
        <v>6.9174759999999997E-3</v>
      </c>
      <c r="D34" s="20">
        <v>6.01345E-3</v>
      </c>
      <c r="E34" s="20">
        <v>5.6254759999999999E-3</v>
      </c>
    </row>
    <row r="35" spans="1:5" x14ac:dyDescent="0.25">
      <c r="A35" s="20" t="s">
        <v>26</v>
      </c>
      <c r="B35" s="20">
        <v>2.038953E-3</v>
      </c>
      <c r="C35" s="20">
        <v>1.7336600000000001E-3</v>
      </c>
      <c r="D35" s="20">
        <v>1.4917260000000001E-3</v>
      </c>
      <c r="E35" s="20">
        <v>1.402946E-3</v>
      </c>
    </row>
    <row r="36" spans="1:5" x14ac:dyDescent="0.25">
      <c r="A36" s="20" t="s">
        <v>260</v>
      </c>
      <c r="B36" s="20">
        <v>1.1588219999999999E-3</v>
      </c>
      <c r="C36" s="20">
        <v>9.9604800000000003E-4</v>
      </c>
      <c r="D36" s="20">
        <v>9.0242899999999995E-4</v>
      </c>
      <c r="E36" s="20">
        <v>8.2127599999999991E-4</v>
      </c>
    </row>
    <row r="37" spans="1:5" x14ac:dyDescent="0.25">
      <c r="A37" s="20" t="s">
        <v>261</v>
      </c>
      <c r="B37" s="20">
        <v>5.6639350000000002E-3</v>
      </c>
      <c r="C37" s="20">
        <v>3.577855E-3</v>
      </c>
      <c r="D37" s="20">
        <v>2.640019E-3</v>
      </c>
      <c r="E37" s="20">
        <v>2.2380900000000003E-3</v>
      </c>
    </row>
    <row r="38" spans="1:5" x14ac:dyDescent="0.25">
      <c r="A38" s="20" t="s">
        <v>29</v>
      </c>
      <c r="B38" s="20">
        <v>1.8799299999999999E-4</v>
      </c>
      <c r="C38" s="20">
        <v>1.8799299999999999E-4</v>
      </c>
      <c r="D38" s="20">
        <v>1.8799299999999999E-4</v>
      </c>
      <c r="E38" s="20">
        <v>1.8799299999999999E-4</v>
      </c>
    </row>
    <row r="39" spans="1:5" x14ac:dyDescent="0.25">
      <c r="A39" s="20" t="s">
        <v>30</v>
      </c>
      <c r="B39" s="20">
        <v>9.2440000000000003E-5</v>
      </c>
      <c r="C39" s="20">
        <v>9.2440000000000003E-5</v>
      </c>
      <c r="D39" s="20">
        <v>9.2440000000000003E-5</v>
      </c>
      <c r="E39" s="20">
        <v>9.2440000000000003E-5</v>
      </c>
    </row>
    <row r="40" spans="1:5" x14ac:dyDescent="0.25">
      <c r="A40" s="20" t="s">
        <v>22</v>
      </c>
      <c r="B40" s="20">
        <v>5.0043130619999996</v>
      </c>
      <c r="C40" s="20">
        <v>5.0055087690000004</v>
      </c>
      <c r="D40" s="20">
        <v>5.0055087690000004</v>
      </c>
      <c r="E40" s="20">
        <v>5.0055087690000004</v>
      </c>
    </row>
    <row r="41" spans="1:5" x14ac:dyDescent="0.25">
      <c r="A41" s="20" t="s">
        <v>262</v>
      </c>
      <c r="B41" s="20">
        <v>0</v>
      </c>
      <c r="C41" s="20">
        <v>0</v>
      </c>
      <c r="D41" s="20">
        <v>0</v>
      </c>
      <c r="E41" s="20">
        <v>0</v>
      </c>
    </row>
    <row r="43" spans="1:5" x14ac:dyDescent="0.25">
      <c r="A43" s="20" t="s">
        <v>265</v>
      </c>
    </row>
    <row r="44" spans="1:5" x14ac:dyDescent="0.25">
      <c r="B44" s="20">
        <v>2005</v>
      </c>
      <c r="C44" s="20">
        <v>2010</v>
      </c>
      <c r="D44" s="20">
        <v>2015</v>
      </c>
      <c r="E44" s="20">
        <v>2020</v>
      </c>
    </row>
    <row r="45" spans="1:5" x14ac:dyDescent="0.25">
      <c r="A45" s="20" t="s">
        <v>23</v>
      </c>
      <c r="B45" s="20">
        <v>2.3544879999999996E-3</v>
      </c>
      <c r="C45" s="20">
        <v>2.3232959999999999E-3</v>
      </c>
      <c r="D45" s="20">
        <v>2.3232959999999999E-3</v>
      </c>
      <c r="E45" s="20">
        <v>2.3232959999999999E-3</v>
      </c>
    </row>
    <row r="46" spans="1:5" x14ac:dyDescent="0.25">
      <c r="A46" s="20" t="s">
        <v>24</v>
      </c>
      <c r="B46" s="20">
        <v>4.3032610000000001E-3</v>
      </c>
      <c r="C46" s="20">
        <v>3.5583539999999997E-3</v>
      </c>
      <c r="D46" s="20">
        <v>3.5583539999999997E-3</v>
      </c>
      <c r="E46" s="20">
        <v>3.5583539999999997E-3</v>
      </c>
    </row>
    <row r="47" spans="1:5" x14ac:dyDescent="0.25">
      <c r="A47" s="20" t="s">
        <v>259</v>
      </c>
      <c r="B47" s="20">
        <v>9.4656170000000008E-3</v>
      </c>
      <c r="C47" s="20">
        <v>8.1445739999999999E-3</v>
      </c>
      <c r="D47" s="20">
        <v>7.2285450000000003E-3</v>
      </c>
      <c r="E47" s="20">
        <v>6.8384420000000001E-3</v>
      </c>
    </row>
    <row r="48" spans="1:5" x14ac:dyDescent="0.25">
      <c r="A48" s="20" t="s">
        <v>26</v>
      </c>
      <c r="B48" s="20">
        <v>2.2523840000000001E-3</v>
      </c>
      <c r="C48" s="20">
        <v>1.9528169999999999E-3</v>
      </c>
      <c r="D48" s="20">
        <v>1.7367280000000001E-3</v>
      </c>
      <c r="E48" s="20">
        <v>1.6640840000000001E-3</v>
      </c>
    </row>
    <row r="49" spans="1:5" x14ac:dyDescent="0.25">
      <c r="A49" s="20" t="s">
        <v>260</v>
      </c>
      <c r="B49" s="20">
        <v>1.243002E-3</v>
      </c>
      <c r="C49" s="20">
        <v>1.0860750000000001E-3</v>
      </c>
      <c r="D49" s="20">
        <v>1.0130639999999999E-3</v>
      </c>
      <c r="E49" s="20">
        <v>9.4099699999999995E-4</v>
      </c>
    </row>
    <row r="50" spans="1:5" x14ac:dyDescent="0.25">
      <c r="A50" s="20" t="s">
        <v>261</v>
      </c>
      <c r="B50" s="20">
        <v>9.2311119999999997E-3</v>
      </c>
      <c r="C50" s="20">
        <v>7.1047430000000002E-3</v>
      </c>
      <c r="D50" s="20">
        <v>6.1107830000000007E-3</v>
      </c>
      <c r="E50" s="20">
        <v>5.6848000000000003E-3</v>
      </c>
    </row>
    <row r="51" spans="1:5" x14ac:dyDescent="0.25">
      <c r="A51" s="20" t="s">
        <v>29</v>
      </c>
      <c r="B51" s="20">
        <v>1.8631100000000001E-4</v>
      </c>
      <c r="C51" s="20">
        <v>1.8631100000000001E-4</v>
      </c>
      <c r="D51" s="20">
        <v>1.8631100000000001E-4</v>
      </c>
      <c r="E51" s="20">
        <v>1.8631100000000001E-4</v>
      </c>
    </row>
    <row r="52" spans="1:5" x14ac:dyDescent="0.25">
      <c r="A52" s="20" t="s">
        <v>30</v>
      </c>
      <c r="B52" s="20">
        <v>9.9822999999999996E-5</v>
      </c>
      <c r="C52" s="20">
        <v>9.9822999999999996E-5</v>
      </c>
      <c r="D52" s="20">
        <v>9.9822999999999996E-5</v>
      </c>
      <c r="E52" s="20">
        <v>9.9822999999999996E-5</v>
      </c>
    </row>
    <row r="53" spans="1:5" x14ac:dyDescent="0.25">
      <c r="A53" s="20" t="s">
        <v>22</v>
      </c>
      <c r="B53" s="20">
        <v>6.1226214919999995</v>
      </c>
      <c r="C53" s="20">
        <v>6.1238892740000006</v>
      </c>
      <c r="D53" s="20">
        <v>6.1238892740000006</v>
      </c>
      <c r="E53" s="20">
        <v>6.1238892740000006</v>
      </c>
    </row>
    <row r="54" spans="1:5" x14ac:dyDescent="0.25">
      <c r="A54" s="20" t="s">
        <v>262</v>
      </c>
      <c r="B54" s="20">
        <v>0</v>
      </c>
      <c r="C54" s="20">
        <v>0</v>
      </c>
      <c r="D54" s="20">
        <v>0</v>
      </c>
      <c r="E54" s="20">
        <v>0</v>
      </c>
    </row>
    <row r="56" spans="1:5" x14ac:dyDescent="0.25">
      <c r="A56" s="20" t="s">
        <v>266</v>
      </c>
    </row>
    <row r="57" spans="1:5" x14ac:dyDescent="0.25">
      <c r="B57" s="20">
        <v>2005</v>
      </c>
      <c r="C57" s="20">
        <v>2010</v>
      </c>
      <c r="D57" s="20">
        <v>2015</v>
      </c>
      <c r="E57" s="20">
        <v>2020</v>
      </c>
    </row>
    <row r="58" spans="1:5" x14ac:dyDescent="0.25">
      <c r="A58" s="20" t="s">
        <v>23</v>
      </c>
      <c r="B58" s="20">
        <v>2.350104E-3</v>
      </c>
      <c r="C58" s="20">
        <v>2.3189310000000002E-3</v>
      </c>
      <c r="D58" s="20">
        <v>2.3189310000000002E-3</v>
      </c>
      <c r="E58" s="20">
        <v>2.3189310000000002E-3</v>
      </c>
    </row>
    <row r="59" spans="1:5" x14ac:dyDescent="0.25">
      <c r="A59" s="20" t="s">
        <v>24</v>
      </c>
      <c r="B59" s="20">
        <v>4.2995940000000003E-3</v>
      </c>
      <c r="C59" s="20">
        <v>3.5551490000000001E-3</v>
      </c>
      <c r="D59" s="20">
        <v>3.5551490000000001E-3</v>
      </c>
      <c r="E59" s="20">
        <v>3.5551490000000001E-3</v>
      </c>
    </row>
    <row r="60" spans="1:5" x14ac:dyDescent="0.25">
      <c r="A60" s="20" t="s">
        <v>259</v>
      </c>
      <c r="B60" s="20">
        <v>9.4589210000000003E-3</v>
      </c>
      <c r="C60" s="20">
        <v>8.1385390000000002E-3</v>
      </c>
      <c r="D60" s="20">
        <v>7.2228180000000006E-3</v>
      </c>
      <c r="E60" s="20">
        <v>6.8328519999999995E-3</v>
      </c>
    </row>
    <row r="61" spans="1:5" x14ac:dyDescent="0.25">
      <c r="A61" s="20" t="s">
        <v>26</v>
      </c>
      <c r="B61" s="20">
        <v>2.2516550000000004E-3</v>
      </c>
      <c r="C61" s="20">
        <v>1.9520940000000001E-3</v>
      </c>
      <c r="D61" s="20">
        <v>1.735997E-3</v>
      </c>
      <c r="E61" s="20">
        <v>1.663348E-3</v>
      </c>
    </row>
    <row r="62" spans="1:5" x14ac:dyDescent="0.25">
      <c r="A62" s="20" t="s">
        <v>260</v>
      </c>
      <c r="B62" s="20">
        <v>1.2425540000000001E-3</v>
      </c>
      <c r="C62" s="20">
        <v>1.0856349999999999E-3</v>
      </c>
      <c r="D62" s="20">
        <v>1.012619E-3</v>
      </c>
      <c r="E62" s="20">
        <v>9.4054800000000004E-4</v>
      </c>
    </row>
    <row r="63" spans="1:5" x14ac:dyDescent="0.25">
      <c r="A63" s="20" t="s">
        <v>261</v>
      </c>
      <c r="B63" s="20">
        <v>9.2231090000000002E-3</v>
      </c>
      <c r="C63" s="20">
        <v>7.0967230000000001E-3</v>
      </c>
      <c r="D63" s="20">
        <v>6.1027629999999998E-3</v>
      </c>
      <c r="E63" s="20">
        <v>5.6767799999999993E-3</v>
      </c>
    </row>
    <row r="64" spans="1:5" x14ac:dyDescent="0.25">
      <c r="A64" s="20" t="s">
        <v>29</v>
      </c>
      <c r="B64" s="20">
        <v>1.86214E-4</v>
      </c>
      <c r="C64" s="20">
        <v>1.86214E-4</v>
      </c>
      <c r="D64" s="20">
        <v>1.86214E-4</v>
      </c>
      <c r="E64" s="20">
        <v>1.86214E-4</v>
      </c>
    </row>
    <row r="65" spans="1:5" x14ac:dyDescent="0.25">
      <c r="A65" s="20" t="s">
        <v>30</v>
      </c>
      <c r="B65" s="20">
        <v>9.9753000000000005E-5</v>
      </c>
      <c r="C65" s="20">
        <v>9.9753000000000005E-5</v>
      </c>
      <c r="D65" s="20">
        <v>9.9753000000000005E-5</v>
      </c>
      <c r="E65" s="20">
        <v>9.9753000000000005E-5</v>
      </c>
    </row>
    <row r="66" spans="1:5" x14ac:dyDescent="0.25">
      <c r="A66" s="20" t="s">
        <v>22</v>
      </c>
      <c r="B66" s="20">
        <v>6.1176290560000002</v>
      </c>
      <c r="C66" s="20">
        <v>6.1188960520000002</v>
      </c>
      <c r="D66" s="20">
        <v>6.1188960520000002</v>
      </c>
      <c r="E66" s="20">
        <v>6.1188960520000002</v>
      </c>
    </row>
    <row r="67" spans="1:5" x14ac:dyDescent="0.25">
      <c r="A67" s="20" t="s">
        <v>262</v>
      </c>
      <c r="B67" s="20">
        <v>0</v>
      </c>
      <c r="C67" s="20">
        <v>0</v>
      </c>
      <c r="D67" s="20">
        <v>0</v>
      </c>
      <c r="E67" s="20">
        <v>0</v>
      </c>
    </row>
    <row r="69" spans="1:5" x14ac:dyDescent="0.25">
      <c r="A69" s="20" t="s">
        <v>267</v>
      </c>
    </row>
    <row r="70" spans="1:5" x14ac:dyDescent="0.25">
      <c r="B70" s="20">
        <v>2005</v>
      </c>
      <c r="C70" s="20">
        <v>2010</v>
      </c>
      <c r="D70" s="20">
        <v>2015</v>
      </c>
      <c r="E70" s="20">
        <v>2020</v>
      </c>
    </row>
    <row r="71" spans="1:5" x14ac:dyDescent="0.25">
      <c r="A71" s="20" t="s">
        <v>23</v>
      </c>
      <c r="B71" s="20">
        <v>2.3544879999999996E-3</v>
      </c>
      <c r="C71" s="20">
        <v>2.3232959999999999E-3</v>
      </c>
      <c r="D71" s="20">
        <v>2.3232959999999999E-3</v>
      </c>
      <c r="E71" s="20">
        <v>2.3232959999999999E-3</v>
      </c>
    </row>
    <row r="72" spans="1:5" x14ac:dyDescent="0.25">
      <c r="A72" s="20" t="s">
        <v>24</v>
      </c>
      <c r="B72" s="20">
        <v>4.3032610000000001E-3</v>
      </c>
      <c r="C72" s="20">
        <v>3.5583539999999997E-3</v>
      </c>
      <c r="D72" s="20">
        <v>3.5583539999999997E-3</v>
      </c>
      <c r="E72" s="20">
        <v>3.5583539999999997E-3</v>
      </c>
    </row>
    <row r="73" spans="1:5" x14ac:dyDescent="0.25">
      <c r="A73" s="20" t="s">
        <v>259</v>
      </c>
      <c r="B73" s="20">
        <v>9.4656170000000008E-3</v>
      </c>
      <c r="C73" s="20">
        <v>8.1445739999999999E-3</v>
      </c>
      <c r="D73" s="20">
        <v>7.2285450000000003E-3</v>
      </c>
      <c r="E73" s="20">
        <v>6.8384420000000001E-3</v>
      </c>
    </row>
    <row r="74" spans="1:5" x14ac:dyDescent="0.25">
      <c r="A74" s="20" t="s">
        <v>26</v>
      </c>
      <c r="B74" s="20">
        <v>2.2523840000000001E-3</v>
      </c>
      <c r="C74" s="20">
        <v>1.9528169999999999E-3</v>
      </c>
      <c r="D74" s="20">
        <v>1.7367280000000001E-3</v>
      </c>
      <c r="E74" s="20">
        <v>1.6640840000000001E-3</v>
      </c>
    </row>
    <row r="75" spans="1:5" x14ac:dyDescent="0.25">
      <c r="A75" s="20" t="s">
        <v>260</v>
      </c>
      <c r="B75" s="20">
        <v>1.243002E-3</v>
      </c>
      <c r="C75" s="20">
        <v>1.0860750000000001E-3</v>
      </c>
      <c r="D75" s="20">
        <v>1.0130639999999999E-3</v>
      </c>
      <c r="E75" s="20">
        <v>9.4099699999999995E-4</v>
      </c>
    </row>
    <row r="76" spans="1:5" x14ac:dyDescent="0.25">
      <c r="A76" s="20" t="s">
        <v>261</v>
      </c>
      <c r="B76" s="20">
        <v>9.2311119999999997E-3</v>
      </c>
      <c r="C76" s="20">
        <v>7.1047430000000002E-3</v>
      </c>
      <c r="D76" s="20">
        <v>6.1107830000000007E-3</v>
      </c>
      <c r="E76" s="20">
        <v>5.6848000000000003E-3</v>
      </c>
    </row>
    <row r="77" spans="1:5" x14ac:dyDescent="0.25">
      <c r="A77" s="20" t="s">
        <v>29</v>
      </c>
      <c r="B77" s="20">
        <v>1.8631100000000001E-4</v>
      </c>
      <c r="C77" s="20">
        <v>1.8631100000000001E-4</v>
      </c>
      <c r="D77" s="20">
        <v>1.8631100000000001E-4</v>
      </c>
      <c r="E77" s="20">
        <v>1.8631100000000001E-4</v>
      </c>
    </row>
    <row r="78" spans="1:5" x14ac:dyDescent="0.25">
      <c r="A78" s="20" t="s">
        <v>30</v>
      </c>
      <c r="B78" s="20">
        <v>9.9822999999999996E-5</v>
      </c>
      <c r="C78" s="20">
        <v>9.9822999999999996E-5</v>
      </c>
      <c r="D78" s="20">
        <v>9.9822999999999996E-5</v>
      </c>
      <c r="E78" s="20">
        <v>9.9822999999999996E-5</v>
      </c>
    </row>
    <row r="79" spans="1:5" x14ac:dyDescent="0.25">
      <c r="A79" s="20" t="s">
        <v>22</v>
      </c>
      <c r="B79" s="20">
        <v>6.1226214919999995</v>
      </c>
      <c r="C79" s="20">
        <v>6.1238892740000006</v>
      </c>
      <c r="D79" s="20">
        <v>6.1238892740000006</v>
      </c>
      <c r="E79" s="20">
        <v>6.1238892740000006</v>
      </c>
    </row>
    <row r="80" spans="1:5" x14ac:dyDescent="0.25">
      <c r="A80" s="20" t="s">
        <v>262</v>
      </c>
      <c r="B80" s="20">
        <v>0</v>
      </c>
      <c r="C80" s="20">
        <v>0</v>
      </c>
      <c r="D80" s="20">
        <v>0</v>
      </c>
      <c r="E80" s="20">
        <v>0</v>
      </c>
    </row>
    <row r="82" spans="1:5" x14ac:dyDescent="0.25">
      <c r="A82" s="20" t="s">
        <v>268</v>
      </c>
    </row>
    <row r="83" spans="1:5" x14ac:dyDescent="0.25">
      <c r="B83" s="20">
        <v>2005</v>
      </c>
      <c r="C83" s="20">
        <v>2010</v>
      </c>
      <c r="D83" s="20">
        <v>2015</v>
      </c>
      <c r="E83" s="20">
        <v>2020</v>
      </c>
    </row>
    <row r="84" spans="1:5" x14ac:dyDescent="0.25">
      <c r="A84" s="20" t="s">
        <v>23</v>
      </c>
      <c r="B84" s="20">
        <v>8.7361099999999994E-4</v>
      </c>
      <c r="C84" s="20">
        <v>8.6203799999999998E-4</v>
      </c>
      <c r="D84" s="20">
        <v>8.6203799999999998E-4</v>
      </c>
      <c r="E84" s="20">
        <v>8.6203799999999998E-4</v>
      </c>
    </row>
    <row r="85" spans="1:5" x14ac:dyDescent="0.25">
      <c r="A85" s="20" t="s">
        <v>24</v>
      </c>
      <c r="B85" s="20">
        <v>1.5966859999999999E-3</v>
      </c>
      <c r="C85" s="20">
        <v>1.320295E-3</v>
      </c>
      <c r="D85" s="20">
        <v>1.320295E-3</v>
      </c>
      <c r="E85" s="20">
        <v>1.320295E-3</v>
      </c>
    </row>
    <row r="86" spans="1:5" x14ac:dyDescent="0.25">
      <c r="A86" s="20" t="s">
        <v>259</v>
      </c>
      <c r="B86" s="20">
        <v>3.5121309999999999E-3</v>
      </c>
      <c r="C86" s="20">
        <v>3.0219699999999997E-3</v>
      </c>
      <c r="D86" s="20">
        <v>2.6820859999999998E-3</v>
      </c>
      <c r="E86" s="20">
        <v>2.5373420000000002E-3</v>
      </c>
    </row>
    <row r="87" spans="1:5" x14ac:dyDescent="0.25">
      <c r="A87" s="20" t="s">
        <v>26</v>
      </c>
      <c r="B87" s="20">
        <v>8.3572699999999998E-4</v>
      </c>
      <c r="C87" s="20">
        <v>7.2457500000000009E-4</v>
      </c>
      <c r="D87" s="20">
        <v>6.44397E-4</v>
      </c>
      <c r="E87" s="20">
        <v>6.1744299999999996E-4</v>
      </c>
    </row>
    <row r="88" spans="1:5" x14ac:dyDescent="0.25">
      <c r="A88" s="20" t="s">
        <v>260</v>
      </c>
      <c r="B88" s="20">
        <v>4.61204E-4</v>
      </c>
      <c r="C88" s="20">
        <v>4.0297800000000002E-4</v>
      </c>
      <c r="D88" s="20">
        <v>3.75888E-4</v>
      </c>
      <c r="E88" s="20">
        <v>3.4914800000000003E-4</v>
      </c>
    </row>
    <row r="89" spans="1:5" x14ac:dyDescent="0.25">
      <c r="A89" s="20" t="s">
        <v>261</v>
      </c>
      <c r="B89" s="20">
        <v>3.4251199999999998E-3</v>
      </c>
      <c r="C89" s="20">
        <v>2.6361500000000003E-3</v>
      </c>
      <c r="D89" s="20">
        <v>2.26735E-3</v>
      </c>
      <c r="E89" s="20">
        <v>2.1092929999999999E-3</v>
      </c>
    </row>
    <row r="90" spans="1:5" x14ac:dyDescent="0.25">
      <c r="A90" s="20" t="s">
        <v>29</v>
      </c>
      <c r="B90" s="20">
        <v>6.9129000000000008E-5</v>
      </c>
      <c r="C90" s="20">
        <v>6.9129000000000008E-5</v>
      </c>
      <c r="D90" s="20">
        <v>6.9129000000000008E-5</v>
      </c>
      <c r="E90" s="20">
        <v>6.9129000000000008E-5</v>
      </c>
    </row>
    <row r="91" spans="1:5" x14ac:dyDescent="0.25">
      <c r="A91" s="20" t="s">
        <v>30</v>
      </c>
      <c r="B91" s="20">
        <v>3.7039000000000002E-5</v>
      </c>
      <c r="C91" s="20">
        <v>3.7039000000000002E-5</v>
      </c>
      <c r="D91" s="20">
        <v>3.7039000000000002E-5</v>
      </c>
      <c r="E91" s="20">
        <v>3.7039000000000002E-5</v>
      </c>
    </row>
    <row r="92" spans="1:5" x14ac:dyDescent="0.25">
      <c r="A92" s="20" t="s">
        <v>22</v>
      </c>
      <c r="B92" s="20">
        <v>2.271743152</v>
      </c>
      <c r="C92" s="20">
        <v>2.2722135510000001</v>
      </c>
      <c r="D92" s="20">
        <v>2.2722135510000001</v>
      </c>
      <c r="E92" s="20">
        <v>2.2722135510000001</v>
      </c>
    </row>
    <row r="93" spans="1:5" x14ac:dyDescent="0.25">
      <c r="A93" s="20" t="s">
        <v>262</v>
      </c>
      <c r="B93" s="20">
        <v>0</v>
      </c>
      <c r="C93" s="20">
        <v>0</v>
      </c>
      <c r="D93" s="20">
        <v>0</v>
      </c>
      <c r="E93" s="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AE7E-9430-4CEE-B831-84D653134C44}">
  <dimension ref="A1:R124"/>
  <sheetViews>
    <sheetView topLeftCell="E24" workbookViewId="0">
      <selection activeCell="P25" sqref="P25"/>
    </sheetView>
  </sheetViews>
  <sheetFormatPr defaultColWidth="9.140625" defaultRowHeight="12.75" x14ac:dyDescent="0.2"/>
  <cols>
    <col min="1" max="1" width="9.140625" style="10"/>
    <col min="2" max="2" width="31" style="10" bestFit="1" customWidth="1"/>
    <col min="3" max="3" width="17.42578125" style="10" customWidth="1"/>
    <col min="4" max="4" width="16" style="10" customWidth="1"/>
    <col min="5" max="6" width="7.5703125" style="10" customWidth="1"/>
    <col min="7" max="7" width="10.5703125" style="10" customWidth="1"/>
    <col min="8" max="8" width="8.85546875" style="10" customWidth="1"/>
    <col min="9" max="9" width="9.5703125" style="10" bestFit="1" customWidth="1"/>
    <col min="10" max="11" width="9.140625" style="10"/>
    <col min="12" max="13" width="9.42578125" style="10" bestFit="1" customWidth="1"/>
    <col min="14" max="14" width="9.140625" style="10"/>
    <col min="15" max="18" width="9.42578125" style="10" bestFit="1" customWidth="1"/>
    <col min="19" max="16384" width="9.140625" style="10"/>
  </cols>
  <sheetData>
    <row r="1" spans="1:9" ht="15" x14ac:dyDescent="0.2">
      <c r="B1" s="21" t="s">
        <v>269</v>
      </c>
    </row>
    <row r="3" spans="1:9" ht="18.75" x14ac:dyDescent="0.35">
      <c r="B3" s="22" t="s">
        <v>270</v>
      </c>
    </row>
    <row r="4" spans="1:9" x14ac:dyDescent="0.2">
      <c r="B4" s="129" t="s">
        <v>271</v>
      </c>
      <c r="C4" s="130" t="s">
        <v>272</v>
      </c>
      <c r="D4" s="130"/>
      <c r="E4" s="130" t="s">
        <v>273</v>
      </c>
      <c r="F4" s="130"/>
      <c r="G4" s="130" t="s">
        <v>274</v>
      </c>
      <c r="H4" s="130"/>
      <c r="I4" s="23"/>
    </row>
    <row r="5" spans="1:9" ht="51" x14ac:dyDescent="0.2">
      <c r="B5" s="129"/>
      <c r="C5" s="24" t="s">
        <v>275</v>
      </c>
      <c r="D5" s="24" t="s">
        <v>276</v>
      </c>
      <c r="E5" s="24" t="s">
        <v>277</v>
      </c>
      <c r="F5" s="24" t="s">
        <v>278</v>
      </c>
      <c r="G5" s="24" t="s">
        <v>279</v>
      </c>
      <c r="H5" s="24" t="s">
        <v>280</v>
      </c>
      <c r="I5" s="12"/>
    </row>
    <row r="6" spans="1:9" x14ac:dyDescent="0.2">
      <c r="A6" s="12"/>
      <c r="B6" s="10" t="s">
        <v>281</v>
      </c>
      <c r="C6" s="12">
        <v>5.931158192347602E-2</v>
      </c>
      <c r="D6" s="12">
        <v>1.1861623696068062</v>
      </c>
      <c r="E6" s="12">
        <v>2.2017182313700871E-2</v>
      </c>
      <c r="F6" s="12">
        <v>0.52680296830134998</v>
      </c>
      <c r="G6" s="12">
        <v>7.3843940468409589E-3</v>
      </c>
      <c r="H6" s="12">
        <v>0.14749425486868487</v>
      </c>
      <c r="I6" s="12"/>
    </row>
    <row r="7" spans="1:9" x14ac:dyDescent="0.2">
      <c r="B7" s="10" t="s">
        <v>282</v>
      </c>
      <c r="C7" s="12">
        <v>2.6322315906430305</v>
      </c>
      <c r="D7" s="12"/>
      <c r="E7" s="12">
        <v>1.9397894210395592</v>
      </c>
      <c r="F7" s="12"/>
      <c r="G7" s="12">
        <v>3.1387046595337895</v>
      </c>
      <c r="H7" s="12"/>
      <c r="I7" s="12"/>
    </row>
    <row r="8" spans="1:9" x14ac:dyDescent="0.2">
      <c r="B8" s="10" t="s">
        <v>283</v>
      </c>
      <c r="C8" s="12">
        <v>0.30062569963798652</v>
      </c>
      <c r="D8" s="12"/>
      <c r="E8" s="12">
        <v>0.21797394600413922</v>
      </c>
      <c r="F8" s="12"/>
      <c r="G8" s="12">
        <v>0.34990925512671545</v>
      </c>
      <c r="H8" s="12"/>
    </row>
    <row r="10" spans="1:9" x14ac:dyDescent="0.2">
      <c r="B10" s="129" t="s">
        <v>284</v>
      </c>
      <c r="C10" s="130" t="s">
        <v>272</v>
      </c>
      <c r="D10" s="130"/>
      <c r="E10" s="130" t="s">
        <v>273</v>
      </c>
      <c r="F10" s="130"/>
      <c r="G10" s="130" t="s">
        <v>274</v>
      </c>
      <c r="H10" s="130"/>
    </row>
    <row r="11" spans="1:9" ht="51" x14ac:dyDescent="0.2">
      <c r="B11" s="129"/>
      <c r="C11" s="24" t="s">
        <v>285</v>
      </c>
      <c r="D11" s="24" t="s">
        <v>286</v>
      </c>
      <c r="E11" s="24" t="s">
        <v>287</v>
      </c>
      <c r="F11" s="24" t="s">
        <v>288</v>
      </c>
      <c r="G11" s="24" t="s">
        <v>289</v>
      </c>
      <c r="H11" s="24" t="s">
        <v>290</v>
      </c>
      <c r="I11" s="12"/>
    </row>
    <row r="12" spans="1:9" x14ac:dyDescent="0.2">
      <c r="B12" s="10" t="s">
        <v>281</v>
      </c>
      <c r="C12" s="12" t="s">
        <v>291</v>
      </c>
      <c r="D12" s="12" t="s">
        <v>291</v>
      </c>
      <c r="E12" s="12">
        <v>1.7954111285557295E-2</v>
      </c>
      <c r="F12" s="12">
        <v>0.35907574392289587</v>
      </c>
      <c r="G12" s="12">
        <v>1.035496231288394E-2</v>
      </c>
      <c r="H12" s="12">
        <v>0.20722454641863422</v>
      </c>
      <c r="I12" s="12"/>
    </row>
    <row r="13" spans="1:9" x14ac:dyDescent="0.2">
      <c r="B13" s="10" t="s">
        <v>282</v>
      </c>
      <c r="C13" s="12" t="s">
        <v>291</v>
      </c>
      <c r="D13" s="12"/>
      <c r="E13" s="12">
        <v>1.8680997299227999</v>
      </c>
      <c r="F13" s="12"/>
      <c r="G13" s="12">
        <v>2.4832623993672209</v>
      </c>
      <c r="H13" s="12"/>
      <c r="I13" s="12"/>
    </row>
    <row r="14" spans="1:9" x14ac:dyDescent="0.2">
      <c r="B14" s="10" t="s">
        <v>283</v>
      </c>
      <c r="C14" s="12" t="s">
        <v>291</v>
      </c>
      <c r="D14" s="12"/>
      <c r="E14" s="12">
        <v>0.22666375860483073</v>
      </c>
      <c r="F14" s="12"/>
      <c r="G14" s="12">
        <v>0.25235776357438816</v>
      </c>
      <c r="H14" s="12"/>
      <c r="I14" s="12"/>
    </row>
    <row r="15" spans="1:9" x14ac:dyDescent="0.2">
      <c r="I15" s="12"/>
    </row>
    <row r="16" spans="1:9" x14ac:dyDescent="0.2">
      <c r="B16" s="129" t="s">
        <v>292</v>
      </c>
      <c r="C16" s="130" t="s">
        <v>272</v>
      </c>
      <c r="D16" s="130"/>
      <c r="E16" s="130" t="s">
        <v>273</v>
      </c>
      <c r="F16" s="130"/>
      <c r="G16" s="130" t="s">
        <v>274</v>
      </c>
      <c r="H16" s="130"/>
    </row>
    <row r="17" spans="2:18" ht="51" x14ac:dyDescent="0.2">
      <c r="B17" s="129"/>
      <c r="C17" s="24" t="s">
        <v>293</v>
      </c>
      <c r="D17" s="24" t="s">
        <v>294</v>
      </c>
      <c r="E17" s="24" t="s">
        <v>295</v>
      </c>
      <c r="F17" s="24" t="s">
        <v>296</v>
      </c>
      <c r="G17" s="24" t="s">
        <v>297</v>
      </c>
      <c r="H17" s="24" t="s">
        <v>298</v>
      </c>
    </row>
    <row r="18" spans="2:18" x14ac:dyDescent="0.2">
      <c r="B18" s="10" t="s">
        <v>281</v>
      </c>
      <c r="C18" s="12">
        <v>4.8256727122085355E-2</v>
      </c>
      <c r="D18" s="12">
        <v>0.96471720254480287</v>
      </c>
      <c r="E18" s="12">
        <v>3.3345839708205767E-2</v>
      </c>
      <c r="F18" s="12">
        <v>0.66782745620993855</v>
      </c>
      <c r="G18" s="12" t="s">
        <v>291</v>
      </c>
      <c r="H18" s="12" t="s">
        <v>291</v>
      </c>
      <c r="I18" s="25"/>
    </row>
    <row r="19" spans="2:18" x14ac:dyDescent="0.2">
      <c r="B19" s="10" t="s">
        <v>282</v>
      </c>
      <c r="C19" s="12">
        <v>1.9028620510070624</v>
      </c>
      <c r="D19" s="12"/>
      <c r="E19" s="12">
        <v>1.7693981612592256</v>
      </c>
      <c r="F19" s="12"/>
      <c r="G19" s="12" t="s">
        <v>291</v>
      </c>
      <c r="H19" s="12"/>
      <c r="I19" s="25"/>
    </row>
    <row r="20" spans="2:18" x14ac:dyDescent="0.2">
      <c r="B20" s="10" t="s">
        <v>283</v>
      </c>
      <c r="C20" s="12">
        <v>0.23452507730601826</v>
      </c>
      <c r="D20" s="12"/>
      <c r="E20" s="12">
        <v>0.22938799770670301</v>
      </c>
      <c r="F20" s="12"/>
      <c r="G20" s="12" t="s">
        <v>291</v>
      </c>
      <c r="H20" s="12"/>
      <c r="I20" s="25"/>
    </row>
    <row r="21" spans="2:18" x14ac:dyDescent="0.2">
      <c r="C21" s="12"/>
      <c r="D21" s="12"/>
      <c r="E21" s="12"/>
      <c r="F21" s="12"/>
      <c r="G21" s="12"/>
      <c r="H21" s="12"/>
      <c r="I21" s="25"/>
    </row>
    <row r="22" spans="2:18" x14ac:dyDescent="0.2">
      <c r="C22" s="12"/>
      <c r="D22" s="12"/>
      <c r="E22" s="12"/>
      <c r="F22" s="12"/>
      <c r="G22" s="12"/>
      <c r="H22" s="12"/>
      <c r="I22" s="25"/>
    </row>
    <row r="23" spans="2:18" ht="18.75" x14ac:dyDescent="0.35">
      <c r="B23" s="22" t="s">
        <v>299</v>
      </c>
      <c r="C23" s="25"/>
      <c r="D23" s="25"/>
      <c r="E23" s="25"/>
      <c r="F23" s="25"/>
      <c r="G23" s="25"/>
      <c r="H23" s="25"/>
      <c r="I23" s="25"/>
      <c r="L23" s="10" t="s">
        <v>300</v>
      </c>
    </row>
    <row r="24" spans="2:18" ht="76.5" x14ac:dyDescent="0.2">
      <c r="B24" s="11" t="s">
        <v>271</v>
      </c>
      <c r="C24" s="26" t="s">
        <v>301</v>
      </c>
      <c r="D24" s="26" t="s">
        <v>302</v>
      </c>
      <c r="E24" s="26" t="s">
        <v>303</v>
      </c>
      <c r="F24" s="26" t="s">
        <v>304</v>
      </c>
      <c r="G24" s="26" t="s">
        <v>305</v>
      </c>
      <c r="H24" s="26" t="s">
        <v>306</v>
      </c>
      <c r="I24" s="26" t="s">
        <v>307</v>
      </c>
      <c r="J24" s="26" t="s">
        <v>308</v>
      </c>
      <c r="L24" s="10" t="s">
        <v>302</v>
      </c>
      <c r="M24" s="10" t="s">
        <v>303</v>
      </c>
      <c r="N24" s="10" t="s">
        <v>304</v>
      </c>
      <c r="O24" s="10" t="s">
        <v>305</v>
      </c>
      <c r="P24" s="10" t="s">
        <v>306</v>
      </c>
      <c r="Q24" s="10" t="s">
        <v>307</v>
      </c>
      <c r="R24" s="10" t="s">
        <v>308</v>
      </c>
    </row>
    <row r="25" spans="2:18" x14ac:dyDescent="0.2">
      <c r="B25" s="10" t="s">
        <v>281</v>
      </c>
      <c r="C25" s="27">
        <v>0.3463928324425346</v>
      </c>
      <c r="D25" s="27">
        <v>0.22997742753889205</v>
      </c>
      <c r="E25" s="27">
        <v>4.7745523140945392E-2</v>
      </c>
      <c r="F25" s="27">
        <v>0.11936380785236354</v>
      </c>
      <c r="G25" s="27">
        <v>7.6659142512963976E-2</v>
      </c>
      <c r="H25" s="27">
        <v>0.19164785628241002</v>
      </c>
      <c r="I25" s="27">
        <v>4.5995485507778426E-2</v>
      </c>
      <c r="J25" s="27">
        <v>0.11498871376944603</v>
      </c>
      <c r="L25" s="12">
        <f>(D26+D27)*1000000/((C25-D25)*1000)</f>
        <v>1835.70497756532</v>
      </c>
      <c r="M25" s="12">
        <f>(E26+E27)*1000000/((C25-E25)*1000)</f>
        <v>2727.9428156842919</v>
      </c>
      <c r="N25" s="12">
        <f>(F26+F27)*1000000/((C25-F25)*1000)</f>
        <v>545.75320860983777</v>
      </c>
      <c r="O25" s="12">
        <f>(G26+G27)*1000000/((C25-G25)*1000)</f>
        <v>3258.9694673125518</v>
      </c>
      <c r="P25" s="12">
        <f>(H26+H27)*1000000/((C25-H25)*1000)</f>
        <v>1125.1148767124187</v>
      </c>
      <c r="Q25" s="12">
        <f>(I26+I27)*1000000/((C25-I25)*1000)</f>
        <v>3523.2851753720838</v>
      </c>
      <c r="R25" s="12">
        <f>(J26+J27)*1000000/((C25-J25)*1000)</f>
        <v>1523.0785054540991</v>
      </c>
    </row>
    <row r="26" spans="2:18" x14ac:dyDescent="0.2">
      <c r="B26" s="10" t="s">
        <v>282</v>
      </c>
      <c r="C26" s="27"/>
      <c r="D26" s="27">
        <v>0.20789445740195586</v>
      </c>
      <c r="E26" s="27">
        <v>0.66512172434427674</v>
      </c>
      <c r="F26" s="27">
        <v>7.8552328834846322E-2</v>
      </c>
      <c r="G26" s="27">
        <v>0.763180384395586</v>
      </c>
      <c r="H26" s="27">
        <v>0.104554760297975</v>
      </c>
      <c r="I26" s="27">
        <v>0.94847607865192252</v>
      </c>
      <c r="J26" s="27">
        <v>0.30305870855078815</v>
      </c>
    </row>
    <row r="27" spans="2:18" x14ac:dyDescent="0.2">
      <c r="B27" s="10" t="s">
        <v>283</v>
      </c>
      <c r="C27" s="27"/>
      <c r="D27" s="27">
        <v>5.8098808449429176E-3</v>
      </c>
      <c r="E27" s="27">
        <v>0.14957105748843819</v>
      </c>
      <c r="F27" s="27">
        <v>4.5349489782801289E-2</v>
      </c>
      <c r="G27" s="27">
        <v>0.11587347539043588</v>
      </c>
      <c r="H27" s="27">
        <v>6.9551114476289769E-2</v>
      </c>
      <c r="I27" s="27">
        <v>0.10990944052440867</v>
      </c>
      <c r="J27" s="27">
        <v>4.9387930673742586E-2</v>
      </c>
    </row>
    <row r="28" spans="2:18" x14ac:dyDescent="0.2">
      <c r="C28" s="14"/>
      <c r="D28" s="14"/>
      <c r="E28" s="14"/>
      <c r="F28" s="14"/>
      <c r="G28" s="14"/>
      <c r="H28" s="14"/>
      <c r="I28" s="14"/>
      <c r="J28" s="14"/>
      <c r="L28" s="10" t="s">
        <v>300</v>
      </c>
    </row>
    <row r="29" spans="2:18" ht="76.5" x14ac:dyDescent="0.2">
      <c r="B29" s="11" t="s">
        <v>284</v>
      </c>
      <c r="C29" s="26" t="s">
        <v>309</v>
      </c>
      <c r="D29" s="26" t="s">
        <v>310</v>
      </c>
      <c r="E29" s="26" t="s">
        <v>311</v>
      </c>
      <c r="F29" s="26" t="s">
        <v>312</v>
      </c>
      <c r="G29" s="26" t="s">
        <v>313</v>
      </c>
      <c r="H29" s="26" t="s">
        <v>314</v>
      </c>
      <c r="I29" s="26" t="s">
        <v>315</v>
      </c>
      <c r="J29" s="26" t="s">
        <v>316</v>
      </c>
      <c r="L29" s="10" t="s">
        <v>302</v>
      </c>
      <c r="M29" s="10" t="s">
        <v>303</v>
      </c>
      <c r="N29" s="10" t="s">
        <v>304</v>
      </c>
      <c r="O29" s="10" t="s">
        <v>305</v>
      </c>
      <c r="P29" s="10" t="s">
        <v>306</v>
      </c>
      <c r="Q29" s="10" t="s">
        <v>307</v>
      </c>
      <c r="R29" s="10" t="s">
        <v>308</v>
      </c>
    </row>
    <row r="30" spans="2:18" x14ac:dyDescent="0.2">
      <c r="B30" s="10" t="s">
        <v>281</v>
      </c>
      <c r="C30" s="27">
        <v>0.35105827003287043</v>
      </c>
      <c r="D30" s="27">
        <v>0.20797590894357551</v>
      </c>
      <c r="E30" s="27">
        <v>3.0651454937874655E-2</v>
      </c>
      <c r="F30" s="27">
        <v>7.6628637344686654E-2</v>
      </c>
      <c r="G30" s="27">
        <v>6.9325302981191828E-2</v>
      </c>
      <c r="H30" s="27">
        <v>0.1733132574529796</v>
      </c>
      <c r="I30" s="27">
        <v>4.1595181788715081E-2</v>
      </c>
      <c r="J30" s="27">
        <v>0.10398795447178776</v>
      </c>
      <c r="L30" s="12">
        <f>(D31+D32)*1000000/((C30-D30)*1000)</f>
        <v>1435.0802805700641</v>
      </c>
      <c r="M30" s="12">
        <f>(E31+E32)*1000000/((C30-E30)*1000)</f>
        <v>2325.7258611796105</v>
      </c>
      <c r="N30" s="12">
        <f>(F31+F32)*1000000/((C30-F30)*1000)</f>
        <v>357.32968537139385</v>
      </c>
      <c r="O30" s="12">
        <f>(G31+G32)*1000000/((C30-G30)*1000)</f>
        <v>3105.996208418429</v>
      </c>
      <c r="P30" s="12">
        <f>(H31+H32)*1000000/((C30-H30)*1000)</f>
        <v>900.67535152668222</v>
      </c>
      <c r="Q30" s="12">
        <f>(I31+I32)*1000000/((C30-I30)*1000)</f>
        <v>3392.7459262785069</v>
      </c>
      <c r="R30" s="12">
        <f>(J31+J32)*1000000/((C30-J30)*1000)</f>
        <v>1351.3961853129938</v>
      </c>
    </row>
    <row r="31" spans="2:18" x14ac:dyDescent="0.2">
      <c r="B31" s="10" t="s">
        <v>282</v>
      </c>
      <c r="C31" s="27"/>
      <c r="D31" s="27">
        <v>0.19951383937060727</v>
      </c>
      <c r="E31" s="27">
        <v>0.64700164833816165</v>
      </c>
      <c r="F31" s="27">
        <v>6.9391684869076251E-2</v>
      </c>
      <c r="G31" s="27">
        <v>0.75678625307213288</v>
      </c>
      <c r="H31" s="27">
        <v>9.680447261532453E-2</v>
      </c>
      <c r="I31" s="27">
        <v>0.93650317071321676</v>
      </c>
      <c r="J31" s="27">
        <v>0.28827587699786161</v>
      </c>
    </row>
    <row r="32" spans="2:18" x14ac:dyDescent="0.2">
      <c r="B32" s="10" t="s">
        <v>283</v>
      </c>
      <c r="C32" s="27"/>
      <c r="D32" s="27">
        <v>5.820835526045314E-3</v>
      </c>
      <c r="E32" s="27">
        <v>9.8176767626463643E-2</v>
      </c>
      <c r="F32" s="27">
        <v>2.8670169435979637E-2</v>
      </c>
      <c r="G32" s="27">
        <v>0.11827527437685505</v>
      </c>
      <c r="H32" s="27">
        <v>6.3286079072183227E-2</v>
      </c>
      <c r="I32" s="27">
        <v>0.11342646126070739</v>
      </c>
      <c r="J32" s="27">
        <v>4.5614004955463056E-2</v>
      </c>
    </row>
    <row r="33" spans="2:18" x14ac:dyDescent="0.2">
      <c r="C33" s="14"/>
      <c r="D33" s="14"/>
      <c r="E33" s="14"/>
      <c r="F33" s="14"/>
      <c r="G33" s="14"/>
      <c r="H33" s="14"/>
      <c r="I33" s="14"/>
      <c r="J33" s="14"/>
      <c r="L33" s="10" t="s">
        <v>300</v>
      </c>
    </row>
    <row r="34" spans="2:18" ht="76.5" x14ac:dyDescent="0.2">
      <c r="B34" s="11" t="s">
        <v>292</v>
      </c>
      <c r="C34" s="26" t="s">
        <v>317</v>
      </c>
      <c r="D34" s="26" t="s">
        <v>318</v>
      </c>
      <c r="E34" s="26" t="s">
        <v>319</v>
      </c>
      <c r="F34" s="26" t="s">
        <v>320</v>
      </c>
      <c r="G34" s="26" t="s">
        <v>321</v>
      </c>
      <c r="H34" s="26" t="s">
        <v>322</v>
      </c>
      <c r="I34" s="26" t="s">
        <v>323</v>
      </c>
      <c r="J34" s="26" t="s">
        <v>324</v>
      </c>
      <c r="L34" s="10" t="s">
        <v>302</v>
      </c>
      <c r="M34" s="10" t="s">
        <v>303</v>
      </c>
      <c r="N34" s="10" t="s">
        <v>304</v>
      </c>
      <c r="O34" s="10" t="s">
        <v>305</v>
      </c>
      <c r="P34" s="10" t="s">
        <v>306</v>
      </c>
      <c r="Q34" s="10" t="s">
        <v>307</v>
      </c>
      <c r="R34" s="10" t="s">
        <v>308</v>
      </c>
    </row>
    <row r="35" spans="2:18" x14ac:dyDescent="0.2">
      <c r="B35" s="10" t="s">
        <v>281</v>
      </c>
      <c r="C35" s="27">
        <v>0.20057922624816946</v>
      </c>
      <c r="D35" s="27">
        <v>0.12839030710609589</v>
      </c>
      <c r="E35" s="27">
        <v>3.9226346796522836E-2</v>
      </c>
      <c r="F35" s="27">
        <v>9.8065866991307135E-2</v>
      </c>
      <c r="G35" s="27">
        <v>4.2796769035365292E-2</v>
      </c>
      <c r="H35" s="27">
        <v>0.10699192258841325</v>
      </c>
      <c r="I35" s="27">
        <v>2.5678061421219169E-2</v>
      </c>
      <c r="J35" s="27">
        <v>6.4195153553047946E-2</v>
      </c>
      <c r="L35" s="12">
        <f>(D36+D37)*1000000/((C35-D35)*1000)</f>
        <v>2296.1830785365764</v>
      </c>
      <c r="M35" s="12">
        <f>(E36+E37)*1000000/((C35-E35)*1000)</f>
        <v>4889.6576742260813</v>
      </c>
      <c r="N35" s="12">
        <f>(F36+F37)*1000000/((C35-F35)*1000)</f>
        <v>1083.1089858385901</v>
      </c>
      <c r="O35" s="12">
        <f>(G36+G37)*1000000/((C35-G35)*1000)</f>
        <v>4743.0702361884196</v>
      </c>
      <c r="P35" s="12">
        <f>(H36+H37)*1000000/((C35-H35)*1000)</f>
        <v>1143.5102811821914</v>
      </c>
      <c r="Q35" s="12">
        <f>(I36+I37)*1000000/((C35-I35)*1000)</f>
        <v>5117.5765903990732</v>
      </c>
      <c r="R35" s="12">
        <f>(J36+J37)*1000000/((C35-J35)*1000)</f>
        <v>1856.4064378952046</v>
      </c>
    </row>
    <row r="36" spans="2:18" x14ac:dyDescent="0.2">
      <c r="B36" s="10" t="s">
        <v>282</v>
      </c>
      <c r="C36" s="27"/>
      <c r="D36" s="27">
        <v>0.16097878980413158</v>
      </c>
      <c r="E36" s="27">
        <v>0.68058629528698966</v>
      </c>
      <c r="F36" s="27">
        <v>7.502931254198511E-2</v>
      </c>
      <c r="G36" s="27">
        <v>0.63922746611120917</v>
      </c>
      <c r="H36" s="27">
        <v>6.8316629279615307E-2</v>
      </c>
      <c r="I36" s="27">
        <v>0.78772395404585716</v>
      </c>
      <c r="J36" s="27">
        <v>0.22420329989197543</v>
      </c>
    </row>
    <row r="37" spans="2:18" x14ac:dyDescent="0.2">
      <c r="B37" s="10" t="s">
        <v>283</v>
      </c>
      <c r="C37" s="27"/>
      <c r="D37" s="27">
        <v>4.7801847877429037E-3</v>
      </c>
      <c r="E37" s="27">
        <v>0.10837404998222999</v>
      </c>
      <c r="F37" s="27">
        <v>3.6003828037622074E-2</v>
      </c>
      <c r="G37" s="27">
        <v>0.10914581048751505</v>
      </c>
      <c r="H37" s="27">
        <v>3.8701414643435642E-2</v>
      </c>
      <c r="I37" s="27">
        <v>0.10734615270607335</v>
      </c>
      <c r="J37" s="27">
        <v>2.8980970685615729E-2</v>
      </c>
    </row>
    <row r="41" spans="2:18" ht="15" x14ac:dyDescent="0.2">
      <c r="B41" s="21" t="s">
        <v>325</v>
      </c>
    </row>
    <row r="43" spans="2:18" x14ac:dyDescent="0.2">
      <c r="B43" s="11" t="s">
        <v>326</v>
      </c>
    </row>
    <row r="44" spans="2:18" x14ac:dyDescent="0.2">
      <c r="E44" s="11" t="s">
        <v>327</v>
      </c>
      <c r="H44" s="11"/>
    </row>
    <row r="45" spans="2:18" x14ac:dyDescent="0.2">
      <c r="H45" s="11"/>
    </row>
    <row r="46" spans="2:18" x14ac:dyDescent="0.2">
      <c r="B46" s="29" t="s">
        <v>328</v>
      </c>
      <c r="E46" s="29" t="s">
        <v>297</v>
      </c>
    </row>
    <row r="47" spans="2:18" x14ac:dyDescent="0.2">
      <c r="B47" s="29" t="s">
        <v>329</v>
      </c>
      <c r="C47" s="29" t="s">
        <v>330</v>
      </c>
      <c r="D47" s="29" t="s">
        <v>331</v>
      </c>
      <c r="E47" s="10" t="s">
        <v>332</v>
      </c>
      <c r="F47" s="10" t="s">
        <v>333</v>
      </c>
      <c r="G47" s="10" t="s">
        <v>334</v>
      </c>
      <c r="H47" s="11" t="s">
        <v>335</v>
      </c>
    </row>
    <row r="48" spans="2:18" x14ac:dyDescent="0.2">
      <c r="B48" s="10">
        <v>1</v>
      </c>
      <c r="C48" s="10" t="s">
        <v>336</v>
      </c>
      <c r="D48" s="10" t="s">
        <v>337</v>
      </c>
      <c r="E48" s="28">
        <v>53.687875500000004</v>
      </c>
      <c r="F48" s="28"/>
      <c r="G48" s="28">
        <v>53.687875500000004</v>
      </c>
      <c r="H48" s="11" t="s">
        <v>338</v>
      </c>
    </row>
    <row r="49" spans="2:8" x14ac:dyDescent="0.2">
      <c r="D49" s="10" t="s">
        <v>339</v>
      </c>
      <c r="E49" s="28">
        <v>18.748799999999999</v>
      </c>
      <c r="F49" s="28"/>
      <c r="G49" s="28">
        <v>18.748799999999999</v>
      </c>
      <c r="H49" s="11" t="s">
        <v>340</v>
      </c>
    </row>
    <row r="50" spans="2:8" x14ac:dyDescent="0.2">
      <c r="C50" s="10" t="s">
        <v>341</v>
      </c>
      <c r="D50" s="10" t="s">
        <v>337</v>
      </c>
      <c r="E50" s="28">
        <v>12.584250000000001</v>
      </c>
      <c r="F50" s="28"/>
      <c r="G50" s="28">
        <v>12.584250000000001</v>
      </c>
    </row>
    <row r="51" spans="2:8" x14ac:dyDescent="0.2">
      <c r="B51" s="10">
        <v>2</v>
      </c>
      <c r="C51" s="10" t="s">
        <v>336</v>
      </c>
      <c r="D51" s="10" t="s">
        <v>342</v>
      </c>
      <c r="E51" s="28">
        <v>66.672899999999998</v>
      </c>
      <c r="F51" s="28">
        <v>196.59250799999995</v>
      </c>
      <c r="G51" s="28">
        <v>263.26540799999998</v>
      </c>
    </row>
    <row r="52" spans="2:8" x14ac:dyDescent="0.2">
      <c r="D52" s="10" t="s">
        <v>337</v>
      </c>
      <c r="E52" s="28">
        <v>24.145065000000002</v>
      </c>
      <c r="F52" s="28"/>
      <c r="G52" s="28">
        <v>24.145065000000002</v>
      </c>
    </row>
    <row r="53" spans="2:8" x14ac:dyDescent="0.2">
      <c r="D53" s="10" t="s">
        <v>339</v>
      </c>
      <c r="E53" s="28">
        <v>429.87627899999995</v>
      </c>
      <c r="F53" s="28">
        <v>38.341233000000003</v>
      </c>
      <c r="G53" s="28">
        <v>468.21751199999994</v>
      </c>
    </row>
    <row r="54" spans="2:8" x14ac:dyDescent="0.2">
      <c r="B54" s="10">
        <v>3</v>
      </c>
      <c r="C54" s="10" t="s">
        <v>336</v>
      </c>
      <c r="D54" s="10" t="s">
        <v>342</v>
      </c>
      <c r="E54" s="28">
        <v>229.30758899999998</v>
      </c>
      <c r="F54" s="28">
        <v>398.52398249999993</v>
      </c>
      <c r="G54" s="28">
        <v>627.83157149999988</v>
      </c>
    </row>
    <row r="55" spans="2:8" x14ac:dyDescent="0.2">
      <c r="D55" s="10" t="s">
        <v>337</v>
      </c>
      <c r="E55" s="28">
        <v>476.86923899999999</v>
      </c>
      <c r="F55" s="28"/>
      <c r="G55" s="28">
        <v>476.86923899999999</v>
      </c>
    </row>
    <row r="56" spans="2:8" x14ac:dyDescent="0.2">
      <c r="D56" s="10" t="s">
        <v>339</v>
      </c>
      <c r="E56" s="28">
        <v>864.52865100000008</v>
      </c>
      <c r="F56" s="28">
        <v>5.04</v>
      </c>
      <c r="G56" s="28">
        <v>869.56865100000005</v>
      </c>
    </row>
    <row r="57" spans="2:8" x14ac:dyDescent="0.2">
      <c r="C57" s="10" t="s">
        <v>341</v>
      </c>
      <c r="D57" s="10" t="s">
        <v>337</v>
      </c>
      <c r="E57" s="28">
        <v>559.84231800000009</v>
      </c>
      <c r="F57" s="28"/>
      <c r="G57" s="28">
        <v>559.84231800000009</v>
      </c>
    </row>
    <row r="58" spans="2:8" x14ac:dyDescent="0.2">
      <c r="B58" s="10">
        <v>4</v>
      </c>
      <c r="C58" s="10" t="s">
        <v>336</v>
      </c>
      <c r="D58" s="10" t="s">
        <v>342</v>
      </c>
      <c r="E58" s="28">
        <v>5.2359930000000006</v>
      </c>
      <c r="F58" s="28"/>
      <c r="G58" s="28">
        <v>5.2359930000000006</v>
      </c>
    </row>
    <row r="59" spans="2:8" x14ac:dyDescent="0.2">
      <c r="D59" s="10" t="s">
        <v>337</v>
      </c>
      <c r="E59" s="28">
        <v>225.80428500000002</v>
      </c>
      <c r="F59" s="28">
        <v>16.307392499999999</v>
      </c>
      <c r="G59" s="28">
        <v>242.11167750000001</v>
      </c>
    </row>
    <row r="60" spans="2:8" x14ac:dyDescent="0.2">
      <c r="C60" s="10" t="s">
        <v>343</v>
      </c>
      <c r="D60" s="10" t="s">
        <v>339</v>
      </c>
      <c r="E60" s="28">
        <v>36.130499999999998</v>
      </c>
      <c r="F60" s="28">
        <v>96.389873999999992</v>
      </c>
      <c r="G60" s="28">
        <v>132.520374</v>
      </c>
    </row>
    <row r="61" spans="2:8" x14ac:dyDescent="0.2">
      <c r="C61" s="10" t="s">
        <v>341</v>
      </c>
      <c r="D61" s="10" t="s">
        <v>337</v>
      </c>
      <c r="E61" s="28">
        <v>458.62916400000012</v>
      </c>
      <c r="F61" s="28">
        <v>172.87703999999999</v>
      </c>
      <c r="G61" s="28">
        <v>631.50620400000014</v>
      </c>
    </row>
    <row r="62" spans="2:8" x14ac:dyDescent="0.2">
      <c r="D62" s="10" t="s">
        <v>339</v>
      </c>
      <c r="E62" s="28">
        <v>27.160875000000001</v>
      </c>
      <c r="F62" s="28">
        <v>59.153849999999998</v>
      </c>
      <c r="G62" s="28">
        <v>86.314724999999996</v>
      </c>
    </row>
    <row r="63" spans="2:8" x14ac:dyDescent="0.2">
      <c r="B63" s="10">
        <v>5</v>
      </c>
      <c r="C63" s="10" t="s">
        <v>336</v>
      </c>
      <c r="D63" s="10" t="s">
        <v>342</v>
      </c>
      <c r="E63" s="28">
        <v>19.719000000000001</v>
      </c>
      <c r="F63" s="28">
        <v>210.15854999999996</v>
      </c>
      <c r="G63" s="28">
        <v>229.87754999999996</v>
      </c>
    </row>
    <row r="64" spans="2:8" x14ac:dyDescent="0.2">
      <c r="D64" s="10" t="s">
        <v>337</v>
      </c>
      <c r="E64" s="28">
        <v>434.47729500000003</v>
      </c>
      <c r="F64" s="28"/>
      <c r="G64" s="28">
        <v>434.47729500000003</v>
      </c>
    </row>
    <row r="65" spans="2:7" x14ac:dyDescent="0.2">
      <c r="D65" s="10" t="s">
        <v>339</v>
      </c>
      <c r="E65" s="28">
        <v>1364.0589269999998</v>
      </c>
      <c r="F65" s="28">
        <v>209.57139000000004</v>
      </c>
      <c r="G65" s="28">
        <v>1573.6303169999999</v>
      </c>
    </row>
    <row r="66" spans="2:7" x14ac:dyDescent="0.2">
      <c r="B66" s="10">
        <v>6</v>
      </c>
      <c r="C66" s="10" t="s">
        <v>336</v>
      </c>
      <c r="D66" s="10" t="s">
        <v>342</v>
      </c>
      <c r="E66" s="28">
        <v>65.010834000000003</v>
      </c>
      <c r="F66" s="28">
        <v>350.7176925</v>
      </c>
      <c r="G66" s="28">
        <v>415.72852649999999</v>
      </c>
    </row>
    <row r="67" spans="2:7" x14ac:dyDescent="0.2">
      <c r="D67" s="10" t="s">
        <v>337</v>
      </c>
      <c r="E67" s="28">
        <v>285.34873499999992</v>
      </c>
      <c r="F67" s="28">
        <v>16.011134999999999</v>
      </c>
      <c r="G67" s="28">
        <v>301.35986999999994</v>
      </c>
    </row>
    <row r="68" spans="2:7" x14ac:dyDescent="0.2">
      <c r="D68" s="10" t="s">
        <v>339</v>
      </c>
      <c r="E68" s="28">
        <v>449.65002600000003</v>
      </c>
      <c r="F68" s="28">
        <v>27.468</v>
      </c>
      <c r="G68" s="28">
        <v>477.11802600000004</v>
      </c>
    </row>
    <row r="69" spans="2:7" x14ac:dyDescent="0.2">
      <c r="C69" s="10" t="s">
        <v>341</v>
      </c>
      <c r="D69" s="10" t="s">
        <v>337</v>
      </c>
      <c r="E69" s="28">
        <v>31.184999999999999</v>
      </c>
      <c r="F69" s="28"/>
      <c r="G69" s="28">
        <v>31.184999999999999</v>
      </c>
    </row>
    <row r="70" spans="2:7" x14ac:dyDescent="0.2">
      <c r="D70" s="10" t="s">
        <v>339</v>
      </c>
      <c r="E70" s="28">
        <v>39.538800000000002</v>
      </c>
      <c r="F70" s="28"/>
      <c r="G70" s="28">
        <v>39.538800000000002</v>
      </c>
    </row>
    <row r="71" spans="2:7" x14ac:dyDescent="0.2">
      <c r="B71" s="10">
        <v>7</v>
      </c>
      <c r="C71" s="10" t="s">
        <v>336</v>
      </c>
      <c r="D71" s="10" t="s">
        <v>337</v>
      </c>
      <c r="E71" s="28">
        <v>34.347284999999999</v>
      </c>
      <c r="F71" s="28">
        <v>16.38</v>
      </c>
      <c r="G71" s="28">
        <v>50.727284999999995</v>
      </c>
    </row>
    <row r="72" spans="2:7" x14ac:dyDescent="0.2">
      <c r="C72" s="10" t="s">
        <v>343</v>
      </c>
      <c r="D72" s="10" t="s">
        <v>342</v>
      </c>
      <c r="E72" s="28"/>
      <c r="F72" s="28">
        <v>56.507535000000004</v>
      </c>
      <c r="G72" s="28">
        <v>56.507535000000004</v>
      </c>
    </row>
    <row r="73" spans="2:7" x14ac:dyDescent="0.2">
      <c r="D73" s="10" t="s">
        <v>337</v>
      </c>
      <c r="E73" s="28"/>
      <c r="F73" s="28">
        <v>22.703624999999999</v>
      </c>
      <c r="G73" s="28">
        <v>22.703624999999999</v>
      </c>
    </row>
    <row r="74" spans="2:7" x14ac:dyDescent="0.2">
      <c r="D74" s="10" t="s">
        <v>339</v>
      </c>
      <c r="E74" s="28">
        <v>85.768199999999993</v>
      </c>
      <c r="F74" s="28">
        <v>148.90994999999998</v>
      </c>
      <c r="G74" s="28">
        <v>234.67814999999996</v>
      </c>
    </row>
    <row r="75" spans="2:7" x14ac:dyDescent="0.2">
      <c r="C75" s="10" t="s">
        <v>341</v>
      </c>
      <c r="D75" s="10" t="s">
        <v>337</v>
      </c>
      <c r="E75" s="28">
        <v>601.69435199999987</v>
      </c>
      <c r="F75" s="28">
        <v>88.486964999999998</v>
      </c>
      <c r="G75" s="28">
        <v>690.18131699999981</v>
      </c>
    </row>
    <row r="76" spans="2:7" x14ac:dyDescent="0.2">
      <c r="B76" s="10">
        <v>8</v>
      </c>
      <c r="C76" s="10" t="s">
        <v>336</v>
      </c>
      <c r="D76" s="10" t="s">
        <v>337</v>
      </c>
      <c r="E76" s="28">
        <v>153.540009</v>
      </c>
      <c r="F76" s="28">
        <v>213.95429999999996</v>
      </c>
      <c r="G76" s="28">
        <v>367.49430899999993</v>
      </c>
    </row>
    <row r="77" spans="2:7" x14ac:dyDescent="0.2">
      <c r="D77" s="10" t="s">
        <v>339</v>
      </c>
      <c r="E77" s="28">
        <v>3.5910000000000002</v>
      </c>
      <c r="F77" s="28">
        <v>68.495490000000004</v>
      </c>
      <c r="G77" s="28">
        <v>72.086489999999998</v>
      </c>
    </row>
    <row r="78" spans="2:7" x14ac:dyDescent="0.2">
      <c r="C78" s="10" t="s">
        <v>341</v>
      </c>
      <c r="D78" s="10" t="s">
        <v>337</v>
      </c>
      <c r="E78" s="28">
        <v>42.973308000000003</v>
      </c>
      <c r="F78" s="28">
        <v>209.25535050000002</v>
      </c>
      <c r="G78" s="28">
        <v>252.22865850000002</v>
      </c>
    </row>
    <row r="79" spans="2:7" x14ac:dyDescent="0.2">
      <c r="D79" s="10" t="s">
        <v>339</v>
      </c>
      <c r="E79" s="28"/>
      <c r="F79" s="28">
        <v>221.75716500000004</v>
      </c>
      <c r="G79" s="28">
        <v>221.75716500000004</v>
      </c>
    </row>
    <row r="80" spans="2:7" x14ac:dyDescent="0.2">
      <c r="B80" s="10">
        <v>9</v>
      </c>
      <c r="C80" s="10" t="s">
        <v>336</v>
      </c>
      <c r="D80" s="10" t="s">
        <v>337</v>
      </c>
      <c r="E80" s="28">
        <v>18.733050000000002</v>
      </c>
      <c r="F80" s="28"/>
      <c r="G80" s="28">
        <v>18.733050000000002</v>
      </c>
    </row>
    <row r="81" spans="2:9" x14ac:dyDescent="0.2">
      <c r="C81" s="10" t="s">
        <v>341</v>
      </c>
      <c r="D81" s="10" t="s">
        <v>339</v>
      </c>
      <c r="E81" s="28">
        <v>45.989370000000001</v>
      </c>
      <c r="F81" s="28"/>
      <c r="G81" s="28">
        <v>45.989370000000001</v>
      </c>
    </row>
    <row r="82" spans="2:9" x14ac:dyDescent="0.2">
      <c r="B82" s="10" t="s">
        <v>334</v>
      </c>
      <c r="E82" s="28">
        <v>7164.8489745000006</v>
      </c>
      <c r="F82" s="28">
        <v>2843.603028</v>
      </c>
      <c r="G82" s="28">
        <v>10008.452002500002</v>
      </c>
    </row>
    <row r="85" spans="2:9" x14ac:dyDescent="0.2">
      <c r="B85" s="11" t="s">
        <v>344</v>
      </c>
    </row>
    <row r="86" spans="2:9" x14ac:dyDescent="0.2">
      <c r="F86" s="11" t="s">
        <v>327</v>
      </c>
    </row>
    <row r="87" spans="2:9" x14ac:dyDescent="0.2">
      <c r="F87" s="11" t="s">
        <v>345</v>
      </c>
      <c r="G87" s="11" t="s">
        <v>346</v>
      </c>
      <c r="H87" s="11" t="s">
        <v>347</v>
      </c>
    </row>
    <row r="88" spans="2:9" x14ac:dyDescent="0.2">
      <c r="B88" s="29" t="s">
        <v>328</v>
      </c>
      <c r="F88" s="29" t="s">
        <v>347</v>
      </c>
      <c r="G88" s="29" t="s">
        <v>346</v>
      </c>
    </row>
    <row r="89" spans="2:9" x14ac:dyDescent="0.2">
      <c r="F89" s="10" t="s">
        <v>332</v>
      </c>
      <c r="H89" s="10" t="s">
        <v>333</v>
      </c>
      <c r="I89" s="10" t="s">
        <v>334</v>
      </c>
    </row>
    <row r="90" spans="2:9" x14ac:dyDescent="0.2">
      <c r="B90" s="29" t="s">
        <v>329</v>
      </c>
      <c r="C90" s="29" t="s">
        <v>330</v>
      </c>
      <c r="D90" s="29" t="s">
        <v>348</v>
      </c>
      <c r="E90" s="29" t="s">
        <v>331</v>
      </c>
      <c r="F90" s="10" t="s">
        <v>332</v>
      </c>
      <c r="G90" s="10" t="s">
        <v>333</v>
      </c>
      <c r="H90" s="10" t="s">
        <v>332</v>
      </c>
    </row>
    <row r="91" spans="2:9" x14ac:dyDescent="0.2">
      <c r="B91" s="10">
        <v>1</v>
      </c>
      <c r="C91" s="10" t="s">
        <v>336</v>
      </c>
      <c r="D91" s="10" t="s">
        <v>332</v>
      </c>
      <c r="F91" s="28">
        <v>7.875</v>
      </c>
      <c r="G91" s="28">
        <v>2.5830000000000002</v>
      </c>
      <c r="H91" s="28">
        <v>14.4648</v>
      </c>
      <c r="I91" s="28">
        <v>24.922800000000002</v>
      </c>
    </row>
    <row r="92" spans="2:9" x14ac:dyDescent="0.2">
      <c r="D92" s="10" t="s">
        <v>333</v>
      </c>
      <c r="F92" s="28">
        <v>39.711703499999999</v>
      </c>
      <c r="G92" s="28">
        <v>7.8021720000000006</v>
      </c>
      <c r="H92" s="28"/>
      <c r="I92" s="28">
        <v>47.513875499999997</v>
      </c>
    </row>
    <row r="93" spans="2:9" x14ac:dyDescent="0.2">
      <c r="C93" s="10" t="s">
        <v>341</v>
      </c>
      <c r="D93" s="10" t="s">
        <v>333</v>
      </c>
      <c r="F93" s="28">
        <v>12.584250000000001</v>
      </c>
      <c r="G93" s="28"/>
      <c r="H93" s="28"/>
      <c r="I93" s="28">
        <v>12.584250000000001</v>
      </c>
    </row>
    <row r="94" spans="2:9" x14ac:dyDescent="0.2">
      <c r="B94" s="10">
        <v>2</v>
      </c>
      <c r="C94" s="10" t="s">
        <v>336</v>
      </c>
      <c r="D94" s="10" t="s">
        <v>332</v>
      </c>
      <c r="F94" s="28">
        <v>54.256734000000002</v>
      </c>
      <c r="G94" s="28">
        <v>34.908299999999997</v>
      </c>
      <c r="H94" s="28"/>
      <c r="I94" s="28">
        <v>89.165033999999991</v>
      </c>
    </row>
    <row r="95" spans="2:9" x14ac:dyDescent="0.2">
      <c r="D95" s="10" t="s">
        <v>333</v>
      </c>
      <c r="F95" s="28">
        <v>645.82714350000003</v>
      </c>
      <c r="G95" s="28"/>
      <c r="H95" s="28">
        <v>20.635807500000002</v>
      </c>
      <c r="I95" s="28">
        <v>666.46295100000009</v>
      </c>
    </row>
    <row r="96" spans="2:9" x14ac:dyDescent="0.2">
      <c r="B96" s="10">
        <v>3</v>
      </c>
      <c r="C96" s="10" t="s">
        <v>336</v>
      </c>
      <c r="D96" s="10" t="s">
        <v>332</v>
      </c>
      <c r="F96" s="28">
        <v>864.04396050000014</v>
      </c>
      <c r="G96" s="28"/>
      <c r="H96" s="28"/>
      <c r="I96" s="28">
        <v>864.04396050000014</v>
      </c>
    </row>
    <row r="97" spans="2:9" x14ac:dyDescent="0.2">
      <c r="D97" s="10" t="s">
        <v>333</v>
      </c>
      <c r="F97" s="28">
        <v>1100.3534010000003</v>
      </c>
      <c r="G97" s="28">
        <v>9.8720999999999997</v>
      </c>
      <c r="H97" s="28"/>
      <c r="I97" s="28">
        <v>1110.2255010000003</v>
      </c>
    </row>
    <row r="98" spans="2:9" x14ac:dyDescent="0.2">
      <c r="C98" s="10" t="s">
        <v>341</v>
      </c>
      <c r="D98" s="10" t="s">
        <v>332</v>
      </c>
      <c r="F98" s="28">
        <v>332.27050500000001</v>
      </c>
      <c r="G98" s="28"/>
      <c r="H98" s="28"/>
      <c r="I98" s="28">
        <v>332.27050500000001</v>
      </c>
    </row>
    <row r="99" spans="2:9" x14ac:dyDescent="0.2">
      <c r="D99" s="10" t="s">
        <v>333</v>
      </c>
      <c r="F99" s="28">
        <v>227.57181299999996</v>
      </c>
      <c r="G99" s="28"/>
      <c r="H99" s="28"/>
      <c r="I99" s="28">
        <v>227.57181299999996</v>
      </c>
    </row>
    <row r="100" spans="2:9" x14ac:dyDescent="0.2">
      <c r="B100" s="10">
        <v>4</v>
      </c>
      <c r="C100" s="10" t="s">
        <v>336</v>
      </c>
      <c r="D100" s="10" t="s">
        <v>332</v>
      </c>
      <c r="F100" s="28">
        <v>90.518935499999984</v>
      </c>
      <c r="G100" s="28"/>
      <c r="H100" s="28"/>
      <c r="I100" s="28">
        <v>90.518935499999984</v>
      </c>
    </row>
    <row r="101" spans="2:9" x14ac:dyDescent="0.2">
      <c r="D101" s="10" t="s">
        <v>333</v>
      </c>
      <c r="F101" s="28">
        <v>156.82873499999999</v>
      </c>
      <c r="G101" s="28"/>
      <c r="H101" s="28"/>
      <c r="I101" s="28">
        <v>156.82873499999999</v>
      </c>
    </row>
    <row r="102" spans="2:9" x14ac:dyDescent="0.2">
      <c r="C102" s="10" t="s">
        <v>343</v>
      </c>
      <c r="D102" s="10" t="s">
        <v>332</v>
      </c>
      <c r="F102" s="28">
        <v>98.311436999999998</v>
      </c>
      <c r="G102" s="28"/>
      <c r="H102" s="28"/>
      <c r="I102" s="28">
        <v>98.311436999999998</v>
      </c>
    </row>
    <row r="103" spans="2:9" x14ac:dyDescent="0.2">
      <c r="D103" s="10" t="s">
        <v>333</v>
      </c>
      <c r="F103" s="28">
        <v>34.208936999999999</v>
      </c>
      <c r="G103" s="28"/>
      <c r="H103" s="28"/>
      <c r="I103" s="28">
        <v>34.208936999999999</v>
      </c>
    </row>
    <row r="104" spans="2:9" x14ac:dyDescent="0.2">
      <c r="C104" s="10" t="s">
        <v>341</v>
      </c>
      <c r="D104" s="10" t="s">
        <v>332</v>
      </c>
      <c r="F104" s="28">
        <v>372.69332099999997</v>
      </c>
      <c r="G104" s="28"/>
      <c r="H104" s="28"/>
      <c r="I104" s="28">
        <v>372.69332099999997</v>
      </c>
    </row>
    <row r="105" spans="2:9" x14ac:dyDescent="0.2">
      <c r="D105" s="10" t="s">
        <v>333</v>
      </c>
      <c r="F105" s="28">
        <v>345.12760799999995</v>
      </c>
      <c r="G105" s="28"/>
      <c r="H105" s="28"/>
      <c r="I105" s="28">
        <v>345.12760799999995</v>
      </c>
    </row>
    <row r="106" spans="2:9" x14ac:dyDescent="0.2">
      <c r="B106" s="10">
        <v>5</v>
      </c>
      <c r="C106" s="10" t="s">
        <v>336</v>
      </c>
      <c r="D106" s="10" t="s">
        <v>332</v>
      </c>
      <c r="F106" s="28">
        <v>623.40062399999999</v>
      </c>
      <c r="G106" s="28">
        <v>2.3624999999999998</v>
      </c>
      <c r="H106" s="28"/>
      <c r="I106" s="28">
        <v>625.76312399999995</v>
      </c>
    </row>
    <row r="107" spans="2:9" x14ac:dyDescent="0.2">
      <c r="D107" s="10" t="s">
        <v>333</v>
      </c>
      <c r="F107" s="28">
        <v>1578.0829680000008</v>
      </c>
      <c r="G107" s="28">
        <v>19.504799999999999</v>
      </c>
      <c r="H107" s="28">
        <v>14.634269999999999</v>
      </c>
      <c r="I107" s="28">
        <v>1612.2220380000008</v>
      </c>
    </row>
    <row r="108" spans="2:9" x14ac:dyDescent="0.2">
      <c r="B108" s="10">
        <v>6</v>
      </c>
      <c r="C108" s="10" t="s">
        <v>336</v>
      </c>
      <c r="D108" s="10" t="s">
        <v>332</v>
      </c>
      <c r="F108" s="28">
        <v>339.81412499999993</v>
      </c>
      <c r="G108" s="28"/>
      <c r="H108" s="28"/>
      <c r="I108" s="28">
        <v>339.81412499999993</v>
      </c>
    </row>
    <row r="109" spans="2:9" x14ac:dyDescent="0.2">
      <c r="D109" s="10" t="s">
        <v>333</v>
      </c>
      <c r="F109" s="28">
        <v>854.3922974999997</v>
      </c>
      <c r="G109" s="28"/>
      <c r="H109" s="28"/>
      <c r="I109" s="28">
        <v>854.3922974999997</v>
      </c>
    </row>
    <row r="110" spans="2:9" x14ac:dyDescent="0.2">
      <c r="C110" s="10" t="s">
        <v>341</v>
      </c>
      <c r="D110" s="10" t="s">
        <v>332</v>
      </c>
      <c r="F110" s="28">
        <v>31.184999999999999</v>
      </c>
      <c r="G110" s="28"/>
      <c r="H110" s="28"/>
      <c r="I110" s="28">
        <v>31.184999999999999</v>
      </c>
    </row>
    <row r="111" spans="2:9" x14ac:dyDescent="0.2">
      <c r="D111" s="10" t="s">
        <v>333</v>
      </c>
      <c r="F111" s="28">
        <v>39.538800000000002</v>
      </c>
      <c r="G111" s="28"/>
      <c r="H111" s="28"/>
      <c r="I111" s="28">
        <v>39.538800000000002</v>
      </c>
    </row>
    <row r="112" spans="2:9" x14ac:dyDescent="0.2">
      <c r="B112" s="10">
        <v>7</v>
      </c>
      <c r="C112" s="10" t="s">
        <v>336</v>
      </c>
      <c r="D112" s="10" t="s">
        <v>332</v>
      </c>
      <c r="F112" s="28">
        <v>34.347284999999999</v>
      </c>
      <c r="G112" s="28"/>
      <c r="H112" s="28"/>
      <c r="I112" s="28">
        <v>34.347284999999999</v>
      </c>
    </row>
    <row r="113" spans="2:9" x14ac:dyDescent="0.2">
      <c r="D113" s="10" t="s">
        <v>333</v>
      </c>
      <c r="F113" s="28">
        <v>16.38</v>
      </c>
      <c r="G113" s="28"/>
      <c r="H113" s="28"/>
      <c r="I113" s="28">
        <v>16.38</v>
      </c>
    </row>
    <row r="114" spans="2:9" x14ac:dyDescent="0.2">
      <c r="C114" s="10" t="s">
        <v>343</v>
      </c>
      <c r="D114" s="10" t="s">
        <v>332</v>
      </c>
      <c r="F114" s="28">
        <v>204.95758500000002</v>
      </c>
      <c r="G114" s="28"/>
      <c r="H114" s="28"/>
      <c r="I114" s="28">
        <v>204.95758500000002</v>
      </c>
    </row>
    <row r="115" spans="2:9" x14ac:dyDescent="0.2">
      <c r="D115" s="10" t="s">
        <v>333</v>
      </c>
      <c r="F115" s="28">
        <v>108.93172499999999</v>
      </c>
      <c r="G115" s="28"/>
      <c r="H115" s="28"/>
      <c r="I115" s="28">
        <v>108.93172499999999</v>
      </c>
    </row>
    <row r="116" spans="2:9" x14ac:dyDescent="0.2">
      <c r="C116" s="10" t="s">
        <v>341</v>
      </c>
      <c r="D116" s="10" t="s">
        <v>332</v>
      </c>
      <c r="F116" s="28">
        <v>286.28460000000007</v>
      </c>
      <c r="G116" s="28"/>
      <c r="H116" s="28"/>
      <c r="I116" s="28">
        <v>286.28460000000007</v>
      </c>
    </row>
    <row r="117" spans="2:9" x14ac:dyDescent="0.2">
      <c r="D117" s="10" t="s">
        <v>333</v>
      </c>
      <c r="F117" s="28">
        <v>403.89671699999997</v>
      </c>
      <c r="G117" s="28"/>
      <c r="H117" s="28"/>
      <c r="I117" s="28">
        <v>403.89671699999997</v>
      </c>
    </row>
    <row r="118" spans="2:9" x14ac:dyDescent="0.2">
      <c r="B118" s="10">
        <v>8</v>
      </c>
      <c r="C118" s="10" t="s">
        <v>336</v>
      </c>
      <c r="D118" s="10" t="s">
        <v>332</v>
      </c>
      <c r="F118" s="28">
        <v>130.05203399999999</v>
      </c>
      <c r="G118" s="28"/>
      <c r="H118" s="28"/>
      <c r="I118" s="28">
        <v>130.05203399999999</v>
      </c>
    </row>
    <row r="119" spans="2:9" x14ac:dyDescent="0.2">
      <c r="D119" s="10" t="s">
        <v>333</v>
      </c>
      <c r="F119" s="28">
        <v>309.52876499999996</v>
      </c>
      <c r="G119" s="28"/>
      <c r="H119" s="28"/>
      <c r="I119" s="28">
        <v>309.52876499999996</v>
      </c>
    </row>
    <row r="120" spans="2:9" x14ac:dyDescent="0.2">
      <c r="C120" s="10" t="s">
        <v>341</v>
      </c>
      <c r="D120" s="10" t="s">
        <v>332</v>
      </c>
      <c r="F120" s="28">
        <v>240.5843685000001</v>
      </c>
      <c r="G120" s="28"/>
      <c r="H120" s="28"/>
      <c r="I120" s="28">
        <v>240.5843685000001</v>
      </c>
    </row>
    <row r="121" spans="2:9" x14ac:dyDescent="0.2">
      <c r="D121" s="10" t="s">
        <v>333</v>
      </c>
      <c r="F121" s="28">
        <v>233.40145499999997</v>
      </c>
      <c r="G121" s="28"/>
      <c r="H121" s="28"/>
      <c r="I121" s="28">
        <v>233.40145499999997</v>
      </c>
    </row>
    <row r="122" spans="2:9" x14ac:dyDescent="0.2">
      <c r="B122" s="10">
        <v>9</v>
      </c>
      <c r="C122" s="10" t="s">
        <v>336</v>
      </c>
      <c r="D122" s="10" t="s">
        <v>333</v>
      </c>
      <c r="F122" s="28">
        <v>18.733050000000002</v>
      </c>
      <c r="G122" s="28"/>
      <c r="H122" s="28"/>
      <c r="I122" s="28">
        <v>18.733050000000002</v>
      </c>
    </row>
    <row r="123" spans="2:9" x14ac:dyDescent="0.2">
      <c r="C123" s="10" t="s">
        <v>341</v>
      </c>
      <c r="D123" s="10" t="s">
        <v>332</v>
      </c>
      <c r="F123" s="28">
        <v>45.989370000000001</v>
      </c>
      <c r="G123" s="28"/>
      <c r="H123" s="28"/>
      <c r="I123" s="28">
        <v>45.989370000000001</v>
      </c>
    </row>
    <row r="124" spans="2:9" x14ac:dyDescent="0.2">
      <c r="B124" s="10" t="s">
        <v>334</v>
      </c>
      <c r="F124" s="28">
        <v>9881.6842529999994</v>
      </c>
      <c r="G124" s="28">
        <v>77.032871999999998</v>
      </c>
      <c r="H124" s="28">
        <v>49.734877500000003</v>
      </c>
      <c r="I124" s="28">
        <v>10008.4520025</v>
      </c>
    </row>
  </sheetData>
  <mergeCells count="12">
    <mergeCell ref="B16:B17"/>
    <mergeCell ref="C16:D16"/>
    <mergeCell ref="E16:F16"/>
    <mergeCell ref="G16:H16"/>
    <mergeCell ref="B4:B5"/>
    <mergeCell ref="C4:D4"/>
    <mergeCell ref="E4:F4"/>
    <mergeCell ref="G4:H4"/>
    <mergeCell ref="B10:B11"/>
    <mergeCell ref="C10:D10"/>
    <mergeCell ref="E10:F10"/>
    <mergeCell ref="G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34ED-9924-4D92-B332-9BD46F146962}">
  <dimension ref="A1:AB70"/>
  <sheetViews>
    <sheetView showFormulas="1" topLeftCell="H3" workbookViewId="0">
      <selection activeCell="P17" sqref="P17"/>
    </sheetView>
  </sheetViews>
  <sheetFormatPr defaultColWidth="9.140625" defaultRowHeight="12.75" x14ac:dyDescent="0.2"/>
  <cols>
    <col min="1" max="1" width="12.42578125" style="38" bestFit="1" customWidth="1"/>
    <col min="2" max="2" width="13.42578125" style="38" bestFit="1" customWidth="1"/>
    <col min="3" max="3" width="31.5703125" style="38" bestFit="1" customWidth="1"/>
    <col min="4" max="6" width="9.5703125" style="38" customWidth="1"/>
    <col min="7" max="7" width="2.5703125" style="38" customWidth="1"/>
    <col min="8" max="10" width="9.5703125" style="38" customWidth="1"/>
    <col min="11" max="11" width="3.42578125" style="38" bestFit="1" customWidth="1"/>
    <col min="12" max="12" width="16.5703125" style="39" bestFit="1" customWidth="1"/>
    <col min="13" max="13" width="6" style="40" bestFit="1" customWidth="1"/>
    <col min="14" max="14" width="2.5703125" style="40" customWidth="1"/>
    <col min="15" max="17" width="9.5703125" style="38" customWidth="1"/>
    <col min="18" max="18" width="3" style="38" bestFit="1" customWidth="1"/>
    <col min="19" max="19" width="8" style="38" bestFit="1" customWidth="1"/>
    <col min="20" max="20" width="6.5703125" style="38" bestFit="1" customWidth="1"/>
    <col min="21" max="21" width="7.42578125" style="38" bestFit="1" customWidth="1"/>
    <col min="22" max="22" width="3.42578125" style="38" bestFit="1" customWidth="1"/>
    <col min="23" max="23" width="16.5703125" style="39" bestFit="1" customWidth="1"/>
    <col min="24" max="24" width="6" style="40" bestFit="1" customWidth="1"/>
    <col min="25" max="25" width="2.5703125" style="40" customWidth="1"/>
    <col min="26" max="26" width="7.42578125" style="40" bestFit="1" customWidth="1"/>
    <col min="27" max="27" width="2.5703125" style="38" customWidth="1"/>
    <col min="28" max="28" width="14" style="41" customWidth="1"/>
    <col min="29" max="16384" width="9.140625" style="38"/>
  </cols>
  <sheetData>
    <row r="1" spans="1:28" ht="15" customHeight="1" x14ac:dyDescent="0.2">
      <c r="A1" s="38" t="s">
        <v>349</v>
      </c>
    </row>
    <row r="2" spans="1:28" x14ac:dyDescent="0.2">
      <c r="A2" s="38" t="s">
        <v>350</v>
      </c>
    </row>
    <row r="3" spans="1:28" x14ac:dyDescent="0.2">
      <c r="A3" s="38" t="s">
        <v>351</v>
      </c>
      <c r="L3" s="138" t="s">
        <v>352</v>
      </c>
      <c r="M3" s="138"/>
      <c r="N3" s="138"/>
      <c r="O3" s="138"/>
      <c r="P3" s="138"/>
      <c r="Q3" s="138"/>
      <c r="R3" s="138"/>
      <c r="S3" s="138"/>
      <c r="T3" s="138"/>
    </row>
    <row r="4" spans="1:28" x14ac:dyDescent="0.2">
      <c r="A4" s="38" t="s">
        <v>353</v>
      </c>
      <c r="L4" s="138"/>
      <c r="M4" s="138"/>
      <c r="N4" s="138"/>
      <c r="O4" s="138"/>
      <c r="P4" s="138"/>
      <c r="Q4" s="138"/>
      <c r="R4" s="138"/>
      <c r="S4" s="138"/>
      <c r="T4" s="138"/>
      <c r="Y4" s="42" t="s">
        <v>354</v>
      </c>
      <c r="Z4" s="43" t="s">
        <v>355</v>
      </c>
    </row>
    <row r="5" spans="1:28" x14ac:dyDescent="0.2">
      <c r="L5" s="126"/>
      <c r="M5" s="126"/>
      <c r="N5" s="126"/>
      <c r="O5" s="126"/>
      <c r="P5" s="126"/>
      <c r="Q5" s="126"/>
      <c r="R5" s="126"/>
      <c r="S5" s="126"/>
      <c r="T5" s="126"/>
      <c r="Y5" s="42"/>
      <c r="Z5" s="43"/>
    </row>
    <row r="6" spans="1:28" x14ac:dyDescent="0.2">
      <c r="D6" s="139" t="s">
        <v>356</v>
      </c>
      <c r="E6" s="140"/>
      <c r="F6" s="140"/>
      <c r="G6" s="140"/>
      <c r="H6" s="140"/>
      <c r="I6" s="140"/>
      <c r="J6" s="140"/>
      <c r="K6" s="140"/>
      <c r="L6" s="140"/>
      <c r="M6" s="140"/>
      <c r="N6" s="127"/>
      <c r="O6" s="141" t="s">
        <v>357</v>
      </c>
      <c r="P6" s="140"/>
      <c r="Q6" s="140"/>
      <c r="R6" s="140"/>
      <c r="S6" s="140"/>
      <c r="T6" s="140"/>
      <c r="U6" s="140"/>
      <c r="V6" s="140"/>
      <c r="W6" s="140"/>
      <c r="X6" s="140"/>
      <c r="Y6" s="127"/>
      <c r="AB6" s="131" t="s">
        <v>358</v>
      </c>
    </row>
    <row r="7" spans="1:28" ht="14.25" x14ac:dyDescent="0.25">
      <c r="D7" s="132" t="s">
        <v>359</v>
      </c>
      <c r="E7" s="132"/>
      <c r="F7" s="132"/>
      <c r="G7" s="44"/>
      <c r="H7" s="132" t="s">
        <v>360</v>
      </c>
      <c r="I7" s="132"/>
      <c r="J7" s="132"/>
      <c r="K7" s="44"/>
      <c r="L7" s="45"/>
      <c r="M7" s="46"/>
      <c r="O7" s="133" t="s">
        <v>359</v>
      </c>
      <c r="P7" s="133"/>
      <c r="Q7" s="133"/>
      <c r="R7" s="47"/>
      <c r="S7" s="133" t="s">
        <v>360</v>
      </c>
      <c r="T7" s="133"/>
      <c r="U7" s="133"/>
      <c r="V7" s="47"/>
      <c r="W7" s="48"/>
      <c r="X7" s="49"/>
      <c r="AB7" s="131"/>
    </row>
    <row r="8" spans="1:28" x14ac:dyDescent="0.2">
      <c r="A8" s="50" t="s">
        <v>361</v>
      </c>
      <c r="B8" s="50" t="s">
        <v>362</v>
      </c>
      <c r="C8" s="50" t="s">
        <v>363</v>
      </c>
      <c r="D8" s="123" t="s">
        <v>364</v>
      </c>
      <c r="E8" s="123" t="s">
        <v>365</v>
      </c>
      <c r="F8" s="123" t="s">
        <v>366</v>
      </c>
      <c r="G8" s="123"/>
      <c r="H8" s="123" t="s">
        <v>364</v>
      </c>
      <c r="I8" s="123" t="s">
        <v>365</v>
      </c>
      <c r="J8" s="123" t="s">
        <v>366</v>
      </c>
      <c r="K8" s="123" t="s">
        <v>367</v>
      </c>
      <c r="L8" s="123" t="s">
        <v>368</v>
      </c>
      <c r="M8" s="123" t="s">
        <v>369</v>
      </c>
      <c r="N8" s="51"/>
      <c r="O8" s="124" t="s">
        <v>364</v>
      </c>
      <c r="P8" s="124" t="s">
        <v>365</v>
      </c>
      <c r="Q8" s="124" t="s">
        <v>366</v>
      </c>
      <c r="R8" s="124"/>
      <c r="S8" s="124" t="s">
        <v>364</v>
      </c>
      <c r="T8" s="124" t="s">
        <v>365</v>
      </c>
      <c r="U8" s="124" t="s">
        <v>366</v>
      </c>
      <c r="V8" s="124" t="s">
        <v>367</v>
      </c>
      <c r="W8" s="124" t="s">
        <v>368</v>
      </c>
      <c r="X8" s="124" t="s">
        <v>369</v>
      </c>
      <c r="Y8" s="51"/>
      <c r="Z8" s="50" t="s">
        <v>370</v>
      </c>
      <c r="AB8" s="131"/>
    </row>
    <row r="9" spans="1:28" x14ac:dyDescent="0.2">
      <c r="A9" s="38" t="s">
        <v>371</v>
      </c>
      <c r="B9" s="38" t="s">
        <v>372</v>
      </c>
      <c r="C9" s="38" t="s">
        <v>373</v>
      </c>
      <c r="D9" s="52">
        <f>H9*((1/Conversions!$K$5)*(1/1000000))</f>
        <v>9.7222249228402564</v>
      </c>
      <c r="E9" s="52"/>
      <c r="F9" s="52"/>
      <c r="G9" s="40"/>
      <c r="H9" s="39">
        <v>35</v>
      </c>
      <c r="I9" s="40"/>
      <c r="J9" s="40"/>
      <c r="K9" s="40"/>
      <c r="L9" s="39" t="s">
        <v>374</v>
      </c>
      <c r="M9" s="40" t="s">
        <v>374</v>
      </c>
      <c r="O9" s="52">
        <f>S9*((1/Conversions!$K$5)*(1/1000000))</f>
        <v>9.7222249228402564</v>
      </c>
      <c r="P9" s="52">
        <f>T9*((1/Conversions!$K$5)*(1/1000000))</f>
        <v>9.7222249228402564</v>
      </c>
      <c r="Q9" s="52">
        <f>U9*((1/Conversions!$K$5)*(1/1000000))</f>
        <v>9.7222249228402564</v>
      </c>
      <c r="R9" s="52"/>
      <c r="S9" s="38">
        <v>35</v>
      </c>
      <c r="T9" s="38">
        <v>35</v>
      </c>
      <c r="U9" s="38">
        <v>35</v>
      </c>
      <c r="V9" s="38">
        <v>1</v>
      </c>
      <c r="W9" s="39" t="s">
        <v>375</v>
      </c>
      <c r="X9" s="40">
        <v>1</v>
      </c>
      <c r="Z9" s="40" t="s">
        <v>376</v>
      </c>
      <c r="AB9" s="41">
        <f t="shared" ref="AB9:AB58" si="0">S9/H9</f>
        <v>1</v>
      </c>
    </row>
    <row r="10" spans="1:28" x14ac:dyDescent="0.2">
      <c r="A10" s="38" t="s">
        <v>371</v>
      </c>
      <c r="B10" s="38" t="s">
        <v>377</v>
      </c>
      <c r="C10" s="38" t="s">
        <v>378</v>
      </c>
      <c r="D10" s="52">
        <f>H10*((1/Conversions!$K$5)*(1/1000000))</f>
        <v>9722.2249228402561</v>
      </c>
      <c r="E10" s="52">
        <f>I10*((1/Conversions!$K$5)*(1/1000000))</f>
        <v>5555.5570987658612</v>
      </c>
      <c r="F10" s="52">
        <f>J10*((1/Conversions!$K$5)*(1/1000000))</f>
        <v>13888.892746914653</v>
      </c>
      <c r="H10" s="53">
        <v>35000</v>
      </c>
      <c r="I10" s="53">
        <v>20000</v>
      </c>
      <c r="J10" s="53">
        <v>50000</v>
      </c>
      <c r="K10" s="38">
        <v>1</v>
      </c>
      <c r="L10" s="39" t="s">
        <v>379</v>
      </c>
      <c r="M10" s="40">
        <v>3</v>
      </c>
      <c r="O10" s="52">
        <f>S10*((1/Conversions!$K$5)*(1/1000000))</f>
        <v>83.333356481487911</v>
      </c>
      <c r="P10" s="52">
        <f>T10*((1/Conversions!$K$5)*(1/1000000))</f>
        <v>83.333356481487911</v>
      </c>
      <c r="Q10" s="52">
        <f>U10*((1/Conversions!$K$5)*(1/1000000))</f>
        <v>83.333356481487911</v>
      </c>
      <c r="S10" s="38">
        <v>300</v>
      </c>
      <c r="T10" s="38">
        <v>300</v>
      </c>
      <c r="U10" s="38">
        <v>300</v>
      </c>
      <c r="V10" s="38">
        <v>1</v>
      </c>
      <c r="W10" s="39" t="s">
        <v>379</v>
      </c>
      <c r="X10" s="40">
        <v>1</v>
      </c>
      <c r="Z10" s="40" t="s">
        <v>376</v>
      </c>
      <c r="AB10" s="41">
        <f t="shared" si="0"/>
        <v>8.5714285714285719E-3</v>
      </c>
    </row>
    <row r="11" spans="1:28" x14ac:dyDescent="0.2">
      <c r="A11" s="38" t="s">
        <v>371</v>
      </c>
      <c r="B11" s="38" t="s">
        <v>380</v>
      </c>
      <c r="C11" s="38" t="s">
        <v>378</v>
      </c>
      <c r="D11" s="52">
        <f>H11*((1/Conversions!$K$5)*(1/1000000))</f>
        <v>125.00003472223187</v>
      </c>
      <c r="E11" s="52">
        <f>I11*((1/Conversions!$K$5)*(1/1000000))</f>
        <v>83.333356481487911</v>
      </c>
      <c r="F11" s="52">
        <f>J11*((1/Conversions!$K$5)*(1/1000000))</f>
        <v>166.66671296297582</v>
      </c>
      <c r="H11" s="38">
        <v>450</v>
      </c>
      <c r="I11" s="38">
        <v>300</v>
      </c>
      <c r="J11" s="38">
        <v>600</v>
      </c>
      <c r="K11" s="38">
        <v>1</v>
      </c>
      <c r="L11" s="39" t="s">
        <v>379</v>
      </c>
      <c r="M11" s="40">
        <v>3</v>
      </c>
      <c r="O11" s="52">
        <f>S11*((1/Conversions!$K$5)*(1/1000000))</f>
        <v>108.33336342593429</v>
      </c>
      <c r="P11" s="52">
        <f>T11*((1/Conversions!$K$5)*(1/1000000))</f>
        <v>83.333356481487911</v>
      </c>
      <c r="Q11" s="52">
        <f>U11*((1/Conversions!$K$5)*(1/1000000))</f>
        <v>133.33337037038066</v>
      </c>
      <c r="S11" s="38">
        <v>390</v>
      </c>
      <c r="T11" s="38">
        <v>300</v>
      </c>
      <c r="U11" s="38">
        <v>480</v>
      </c>
      <c r="V11" s="38">
        <v>1</v>
      </c>
      <c r="W11" s="39" t="s">
        <v>379</v>
      </c>
      <c r="X11" s="40">
        <v>1</v>
      </c>
      <c r="Z11" s="40" t="s">
        <v>376</v>
      </c>
      <c r="AB11" s="41">
        <f t="shared" si="0"/>
        <v>0.8666666666666667</v>
      </c>
    </row>
    <row r="12" spans="1:28" x14ac:dyDescent="0.2">
      <c r="A12" s="38" t="s">
        <v>371</v>
      </c>
      <c r="B12" s="38" t="s">
        <v>381</v>
      </c>
      <c r="C12" s="38" t="s">
        <v>373</v>
      </c>
      <c r="D12" s="52">
        <f>H12*((1/Conversions!$K$5)*(1/1000000))</f>
        <v>65.277795910498867</v>
      </c>
      <c r="E12" s="52"/>
      <c r="F12" s="52"/>
      <c r="H12" s="38">
        <f>S12</f>
        <v>235</v>
      </c>
      <c r="L12" s="39" t="s">
        <v>374</v>
      </c>
      <c r="M12" s="40" t="s">
        <v>374</v>
      </c>
      <c r="O12" s="52">
        <f>S12*((1/Conversions!$K$5)*(1/1000000))</f>
        <v>65.277795910498867</v>
      </c>
      <c r="P12" s="52">
        <f>T12*((1/Conversions!$K$5)*(1/1000000))</f>
        <v>65.277795910498867</v>
      </c>
      <c r="Q12" s="52">
        <f>U12*((1/Conversions!$K$5)*(1/1000000))</f>
        <v>65.277795910498867</v>
      </c>
      <c r="S12" s="38">
        <v>235</v>
      </c>
      <c r="T12" s="38">
        <v>235</v>
      </c>
      <c r="U12" s="38">
        <v>235</v>
      </c>
      <c r="V12" s="38">
        <v>1</v>
      </c>
      <c r="W12" s="39" t="s">
        <v>382</v>
      </c>
      <c r="X12" s="40">
        <v>1</v>
      </c>
      <c r="Z12" s="40" t="s">
        <v>376</v>
      </c>
      <c r="AB12" s="41">
        <f t="shared" si="0"/>
        <v>1</v>
      </c>
    </row>
    <row r="13" spans="1:28" x14ac:dyDescent="0.2">
      <c r="A13" s="38" t="s">
        <v>371</v>
      </c>
      <c r="B13" s="38" t="s">
        <v>381</v>
      </c>
      <c r="C13" s="38" t="s">
        <v>378</v>
      </c>
      <c r="D13" s="52">
        <f>H13*((1/Conversions!$K$5)*(1/1000000))</f>
        <v>243.8889566358213</v>
      </c>
      <c r="E13" s="52">
        <f>I13*((1/Conversions!$K$5)*(1/1000000))</f>
        <v>138.88892746914652</v>
      </c>
      <c r="F13" s="52">
        <f>J13*((1/Conversions!$K$5)*(1/1000000))</f>
        <v>405.55566820990782</v>
      </c>
      <c r="H13" s="38">
        <v>878</v>
      </c>
      <c r="I13" s="38">
        <v>500</v>
      </c>
      <c r="J13" s="53">
        <v>1460</v>
      </c>
      <c r="K13" s="38">
        <v>2</v>
      </c>
      <c r="L13" s="39" t="s">
        <v>383</v>
      </c>
      <c r="M13" s="40">
        <v>3</v>
      </c>
      <c r="O13" s="52">
        <f>S13*((1/Conversions!$K$5)*(1/1000000))</f>
        <v>153.61115378087607</v>
      </c>
      <c r="P13" s="52">
        <f>T13*((1/Conversions!$K$5)*(1/1000000))</f>
        <v>133.33337037038066</v>
      </c>
      <c r="Q13" s="52">
        <f>U13*((1/Conversions!$K$5)*(1/1000000))</f>
        <v>268.05563001545278</v>
      </c>
      <c r="S13" s="38">
        <v>553</v>
      </c>
      <c r="T13" s="38">
        <v>480</v>
      </c>
      <c r="U13" s="38">
        <v>965</v>
      </c>
      <c r="V13" s="38">
        <v>4</v>
      </c>
      <c r="W13" s="39" t="s">
        <v>384</v>
      </c>
      <c r="X13" s="40">
        <v>1</v>
      </c>
      <c r="Z13" s="40" t="s">
        <v>376</v>
      </c>
      <c r="AB13" s="41">
        <f t="shared" si="0"/>
        <v>0.62984054669703871</v>
      </c>
    </row>
    <row r="14" spans="1:28" x14ac:dyDescent="0.2">
      <c r="A14" s="38" t="s">
        <v>252</v>
      </c>
      <c r="B14" s="38" t="s">
        <v>377</v>
      </c>
      <c r="C14" s="38" t="s">
        <v>385</v>
      </c>
      <c r="D14" s="52">
        <f>H14*((1/Conversions!$K$5)*(1/1000000))</f>
        <v>10097.225027006953</v>
      </c>
      <c r="E14" s="52">
        <f>I14*((1/Conversions!$K$5)*(1/1000000))</f>
        <v>5555.5570987658612</v>
      </c>
      <c r="F14" s="52">
        <f>J14*((1/Conversions!$K$5)*(1/1000000))</f>
        <v>13888.892746914653</v>
      </c>
      <c r="H14" s="53">
        <v>36350</v>
      </c>
      <c r="I14" s="53">
        <v>20000</v>
      </c>
      <c r="J14" s="53">
        <v>50000</v>
      </c>
      <c r="K14" s="38">
        <v>4</v>
      </c>
      <c r="L14" s="39" t="s">
        <v>386</v>
      </c>
      <c r="M14" s="40">
        <v>3</v>
      </c>
      <c r="O14" s="52">
        <f>S14*((1/Conversions!$K$5)*(1/1000000))</f>
        <v>69.444463734573262</v>
      </c>
      <c r="P14" s="52">
        <f>T14*((1/Conversions!$K$5)*(1/1000000))</f>
        <v>27.777785493829306</v>
      </c>
      <c r="Q14" s="52">
        <f>U14*((1/Conversions!$K$5)*(1/1000000))</f>
        <v>88.055580015438892</v>
      </c>
      <c r="S14" s="38">
        <v>250</v>
      </c>
      <c r="T14" s="38">
        <v>100</v>
      </c>
      <c r="U14" s="38">
        <v>317</v>
      </c>
      <c r="V14" s="38">
        <v>4</v>
      </c>
      <c r="W14" s="39" t="s">
        <v>387</v>
      </c>
      <c r="X14" s="40">
        <v>2</v>
      </c>
      <c r="Z14" s="40" t="s">
        <v>355</v>
      </c>
      <c r="AB14" s="41">
        <f t="shared" si="0"/>
        <v>6.8775790921595595E-3</v>
      </c>
    </row>
    <row r="15" spans="1:28" x14ac:dyDescent="0.2">
      <c r="A15" s="38" t="s">
        <v>252</v>
      </c>
      <c r="B15" s="38" t="s">
        <v>377</v>
      </c>
      <c r="C15" s="38" t="s">
        <v>388</v>
      </c>
      <c r="D15" s="52">
        <f>H15*((1/Conversions!$K$5)*(1/1000000))</f>
        <v>7524.4465345684821</v>
      </c>
      <c r="E15" s="52">
        <f>I15*((1/Conversions!$K$5)*(1/1000000))</f>
        <v>7512.7798646610736</v>
      </c>
      <c r="F15" s="52">
        <f>J15*((1/Conversions!$K$5)*(1/1000000))</f>
        <v>7531.3909809419392</v>
      </c>
      <c r="H15" s="53">
        <v>27088</v>
      </c>
      <c r="I15" s="53">
        <v>27046</v>
      </c>
      <c r="J15" s="53">
        <v>27113</v>
      </c>
      <c r="K15" s="38">
        <v>3</v>
      </c>
      <c r="L15" s="39" t="s">
        <v>389</v>
      </c>
      <c r="M15" s="40">
        <v>3</v>
      </c>
      <c r="O15" s="52">
        <f>S15*((1/Conversions!$K$5)*(1/1000000))</f>
        <v>31.388897608027115</v>
      </c>
      <c r="P15" s="52">
        <f>T15*((1/Conversions!$K$5)*(1/1000000))</f>
        <v>19.722227700618806</v>
      </c>
      <c r="Q15" s="52">
        <f>U15*((1/Conversions!$K$5)*(1/1000000))</f>
        <v>38.33334398148444</v>
      </c>
      <c r="S15" s="38">
        <v>113</v>
      </c>
      <c r="T15" s="38">
        <v>71</v>
      </c>
      <c r="U15" s="38">
        <v>138</v>
      </c>
      <c r="V15" s="38">
        <v>3</v>
      </c>
      <c r="W15" s="39" t="s">
        <v>389</v>
      </c>
      <c r="X15" s="40">
        <v>2</v>
      </c>
      <c r="Z15" s="40" t="s">
        <v>355</v>
      </c>
      <c r="AB15" s="41">
        <f t="shared" si="0"/>
        <v>4.1715888954518606E-3</v>
      </c>
    </row>
    <row r="16" spans="1:28" x14ac:dyDescent="0.2">
      <c r="A16" s="38" t="s">
        <v>252</v>
      </c>
      <c r="B16" s="38" t="s">
        <v>377</v>
      </c>
      <c r="C16" s="38" t="s">
        <v>390</v>
      </c>
      <c r="D16" s="52">
        <f>H16*((1/Conversions!$K$5)*(1/1000000))</f>
        <v>6275.0017430560401</v>
      </c>
      <c r="E16" s="52">
        <f>I16*((1/Conversions!$K$5)*(1/1000000))</f>
        <v>6264.1684067134465</v>
      </c>
      <c r="F16" s="52">
        <f>J16*((1/Conversions!$K$5)*(1/1000000))</f>
        <v>6280.8350780097444</v>
      </c>
      <c r="H16" s="53">
        <v>22590</v>
      </c>
      <c r="I16" s="53">
        <v>22551</v>
      </c>
      <c r="J16" s="53">
        <v>22611</v>
      </c>
      <c r="K16" s="38">
        <v>3</v>
      </c>
      <c r="L16" s="39" t="s">
        <v>389</v>
      </c>
      <c r="M16" s="40">
        <v>3</v>
      </c>
      <c r="O16" s="52">
        <f>S16*((1/Conversions!$K$5)*(1/1000000))</f>
        <v>28.611119058644185</v>
      </c>
      <c r="P16" s="52">
        <f>T16*((1/Conversions!$K$5)*(1/1000000))</f>
        <v>17.777782716050755</v>
      </c>
      <c r="Q16" s="52">
        <f>U16*((1/Conversions!$K$5)*(1/1000000))</f>
        <v>34.444454012348338</v>
      </c>
      <c r="S16" s="38">
        <v>103</v>
      </c>
      <c r="T16" s="38">
        <v>64</v>
      </c>
      <c r="U16" s="38">
        <v>124</v>
      </c>
      <c r="V16" s="38">
        <v>3</v>
      </c>
      <c r="W16" s="39" t="s">
        <v>389</v>
      </c>
      <c r="X16" s="40">
        <v>2</v>
      </c>
      <c r="Z16" s="40" t="s">
        <v>355</v>
      </c>
      <c r="AB16" s="41">
        <f t="shared" si="0"/>
        <v>4.5595396193005757E-3</v>
      </c>
    </row>
    <row r="17" spans="1:28" x14ac:dyDescent="0.2">
      <c r="A17" s="38" t="s">
        <v>252</v>
      </c>
      <c r="B17" s="38" t="s">
        <v>380</v>
      </c>
      <c r="C17" s="38" t="s">
        <v>385</v>
      </c>
      <c r="D17" s="52">
        <f>H17*((1/Conversions!$K$5)*(1/1000000))</f>
        <v>3395.8342766206324</v>
      </c>
      <c r="E17" s="52">
        <f>I17*((1/Conversions!$K$5)*(1/1000000))</f>
        <v>83.333356481487911</v>
      </c>
      <c r="F17" s="52">
        <f>J17*((1/Conversions!$K$5)*(1/1000000))</f>
        <v>6666.6685185190327</v>
      </c>
      <c r="H17" s="53">
        <v>12225</v>
      </c>
      <c r="I17" s="38">
        <v>300</v>
      </c>
      <c r="J17" s="53">
        <v>24000</v>
      </c>
      <c r="K17" s="38">
        <v>2</v>
      </c>
      <c r="L17" s="39" t="s">
        <v>391</v>
      </c>
      <c r="M17" s="40">
        <v>3</v>
      </c>
      <c r="O17" s="52">
        <f>S17*((1/Conversions!$K$5)*(1/1000000))</f>
        <v>151.38893094136972</v>
      </c>
      <c r="P17" s="52">
        <f>T17*((1/Conversions!$K$5)*(1/1000000))</f>
        <v>83.333356481487911</v>
      </c>
      <c r="Q17" s="52">
        <f>U17*((1/Conversions!$K$5)*(1/1000000))</f>
        <v>194.44449845680512</v>
      </c>
      <c r="S17" s="38">
        <v>545</v>
      </c>
      <c r="T17" s="38">
        <v>300</v>
      </c>
      <c r="U17" s="38">
        <v>700</v>
      </c>
      <c r="V17" s="38">
        <v>2</v>
      </c>
      <c r="W17" s="39" t="s">
        <v>391</v>
      </c>
      <c r="X17" s="40">
        <v>2</v>
      </c>
      <c r="Z17" s="40" t="s">
        <v>355</v>
      </c>
      <c r="AB17" s="41">
        <f t="shared" si="0"/>
        <v>4.4580777096114521E-2</v>
      </c>
    </row>
    <row r="18" spans="1:28" x14ac:dyDescent="0.2">
      <c r="A18" s="38" t="s">
        <v>252</v>
      </c>
      <c r="B18" s="38" t="s">
        <v>380</v>
      </c>
      <c r="C18" s="38" t="s">
        <v>388</v>
      </c>
      <c r="D18" s="52">
        <f>H18*((1/Conversions!$K$5)*(1/1000000))</f>
        <v>4976.1124933645815</v>
      </c>
      <c r="E18" s="52">
        <f>I18*((1/Conversions!$K$5)*(1/1000000))</f>
        <v>4960.8347113429754</v>
      </c>
      <c r="F18" s="52">
        <f>J18*((1/Conversions!$K$5)*(1/1000000))</f>
        <v>4979.7236054787791</v>
      </c>
      <c r="H18" s="53">
        <v>17914</v>
      </c>
      <c r="I18" s="53">
        <v>17859</v>
      </c>
      <c r="J18" s="53">
        <v>17927</v>
      </c>
      <c r="K18" s="38">
        <v>3</v>
      </c>
      <c r="L18" s="39" t="s">
        <v>389</v>
      </c>
      <c r="M18" s="40">
        <v>3</v>
      </c>
      <c r="O18" s="52">
        <f>S18*((1/Conversions!$K$5)*(1/1000000))</f>
        <v>216.38894899693028</v>
      </c>
      <c r="P18" s="52">
        <f>T18*((1/Conversions!$K$5)*(1/1000000))</f>
        <v>204.72227908952198</v>
      </c>
      <c r="Q18" s="52">
        <f>U18*((1/Conversions!$K$5)*(1/1000000))</f>
        <v>223.33339537038762</v>
      </c>
      <c r="S18" s="38">
        <v>779</v>
      </c>
      <c r="T18" s="38">
        <v>737</v>
      </c>
      <c r="U18" s="38">
        <v>804</v>
      </c>
      <c r="V18" s="38">
        <v>3</v>
      </c>
      <c r="W18" s="39" t="s">
        <v>389</v>
      </c>
      <c r="X18" s="40">
        <v>2</v>
      </c>
      <c r="Z18" s="40" t="s">
        <v>355</v>
      </c>
      <c r="AB18" s="41">
        <f t="shared" si="0"/>
        <v>4.3485542034163223E-2</v>
      </c>
    </row>
    <row r="19" spans="1:28" x14ac:dyDescent="0.2">
      <c r="A19" s="38" t="s">
        <v>252</v>
      </c>
      <c r="B19" s="38" t="s">
        <v>380</v>
      </c>
      <c r="C19" s="38" t="s">
        <v>390</v>
      </c>
      <c r="D19" s="52">
        <f>H19*((1/Conversions!$K$5)*(1/1000000))</f>
        <v>4179.4456054015573</v>
      </c>
      <c r="E19" s="52">
        <f>I19*((1/Conversions!$K$5)*(1/1000000))</f>
        <v>4165.5567126546421</v>
      </c>
      <c r="F19" s="52">
        <f>J19*((1/Conversions!$K$5)*(1/1000000))</f>
        <v>4182.5011618058779</v>
      </c>
      <c r="H19" s="53">
        <v>15046</v>
      </c>
      <c r="I19" s="53">
        <v>14996</v>
      </c>
      <c r="J19" s="53">
        <v>15057</v>
      </c>
      <c r="K19" s="38">
        <v>3</v>
      </c>
      <c r="L19" s="39" t="s">
        <v>389</v>
      </c>
      <c r="M19" s="40">
        <v>3</v>
      </c>
      <c r="O19" s="52">
        <f>S19*((1/Conversions!$K$5)*(1/1000000))</f>
        <v>11.666669907408307</v>
      </c>
      <c r="P19" s="52">
        <f>T19*((1/Conversions!$K$5)*(1/1000000))</f>
        <v>1.1111114197531722</v>
      </c>
      <c r="Q19" s="52">
        <f>U19*((1/Conversions!$K$5)*(1/1000000))</f>
        <v>17.777782716050755</v>
      </c>
      <c r="S19" s="38">
        <v>42</v>
      </c>
      <c r="T19" s="38">
        <v>4</v>
      </c>
      <c r="U19" s="38">
        <v>64</v>
      </c>
      <c r="V19" s="38">
        <v>3</v>
      </c>
      <c r="W19" s="39" t="s">
        <v>389</v>
      </c>
      <c r="X19" s="40">
        <v>2</v>
      </c>
      <c r="Z19" s="40" t="s">
        <v>355</v>
      </c>
      <c r="AB19" s="41">
        <f t="shared" si="0"/>
        <v>2.7914395852718329E-3</v>
      </c>
    </row>
    <row r="20" spans="1:28" x14ac:dyDescent="0.2">
      <c r="A20" s="38" t="s">
        <v>252</v>
      </c>
      <c r="B20" s="38" t="s">
        <v>381</v>
      </c>
      <c r="C20" s="38" t="s">
        <v>385</v>
      </c>
      <c r="D20" s="52">
        <f>H20*((1/Conversions!$K$5)*(1/1000000))</f>
        <v>279.1667442129845</v>
      </c>
      <c r="E20" s="52">
        <f>I20*((1/Conversions!$K$5)*(1/1000000))</f>
        <v>138.88892746914652</v>
      </c>
      <c r="F20" s="52">
        <f>J20*((1/Conversions!$K$5)*(1/1000000))</f>
        <v>333.33342592595164</v>
      </c>
      <c r="H20" s="53">
        <v>1005</v>
      </c>
      <c r="I20" s="38">
        <v>500</v>
      </c>
      <c r="J20" s="53">
        <v>1200</v>
      </c>
      <c r="K20" s="38">
        <v>4</v>
      </c>
      <c r="L20" s="39" t="s">
        <v>392</v>
      </c>
      <c r="M20" s="40">
        <v>3</v>
      </c>
      <c r="O20" s="52">
        <f>S20*((1/Conversions!$K$5)*(1/1000000))</f>
        <v>190.83338634260733</v>
      </c>
      <c r="P20" s="52">
        <f>T20*((1/Conversions!$K$5)*(1/1000000))</f>
        <v>133.33337037038066</v>
      </c>
      <c r="Q20" s="52">
        <f>U20*((1/Conversions!$K$5)*(1/1000000))</f>
        <v>305.55564043212235</v>
      </c>
      <c r="S20" s="38">
        <v>687</v>
      </c>
      <c r="T20" s="38">
        <v>480</v>
      </c>
      <c r="U20" s="53">
        <v>1100</v>
      </c>
      <c r="V20" s="38">
        <v>5</v>
      </c>
      <c r="W20" s="39" t="s">
        <v>393</v>
      </c>
      <c r="X20" s="40">
        <v>2</v>
      </c>
      <c r="Z20" s="40" t="s">
        <v>355</v>
      </c>
      <c r="AB20" s="41">
        <f t="shared" si="0"/>
        <v>0.68358208955223876</v>
      </c>
    </row>
    <row r="21" spans="1:28" x14ac:dyDescent="0.2">
      <c r="A21" s="38" t="s">
        <v>252</v>
      </c>
      <c r="B21" s="38" t="s">
        <v>381</v>
      </c>
      <c r="C21" s="38" t="s">
        <v>394</v>
      </c>
      <c r="D21" s="52">
        <f>H21*((1/Conversions!$K$5)*(1/1000000))</f>
        <v>108.33336342593429</v>
      </c>
      <c r="E21" s="52">
        <f>I21*((1/Conversions!$K$5)*(1/1000000))</f>
        <v>99.444472067908904</v>
      </c>
      <c r="F21" s="52">
        <f>J21*((1/Conversions!$K$5)*(1/1000000))</f>
        <v>168.0556022376673</v>
      </c>
      <c r="H21" s="38">
        <v>390</v>
      </c>
      <c r="I21" s="38">
        <v>358</v>
      </c>
      <c r="J21" s="38">
        <v>605</v>
      </c>
      <c r="K21" s="38">
        <v>11</v>
      </c>
      <c r="L21" s="39" t="s">
        <v>395</v>
      </c>
      <c r="M21" s="40">
        <v>3</v>
      </c>
      <c r="O21" s="52">
        <f>S21*((1/Conversions!$K$5)*(1/1000000))</f>
        <v>103.33336203704501</v>
      </c>
      <c r="P21" s="52">
        <f>T21*((1/Conversions!$K$5)*(1/1000000))</f>
        <v>88.333357870377185</v>
      </c>
      <c r="Q21" s="52">
        <f>U21*((1/Conversions!$K$5)*(1/1000000))</f>
        <v>121.94447831791065</v>
      </c>
      <c r="S21" s="38">
        <v>372</v>
      </c>
      <c r="T21" s="38">
        <v>318</v>
      </c>
      <c r="U21" s="38">
        <v>439</v>
      </c>
      <c r="V21" s="38">
        <v>7</v>
      </c>
      <c r="W21" s="39" t="s">
        <v>396</v>
      </c>
      <c r="X21" s="40">
        <v>2</v>
      </c>
      <c r="Z21" s="40" t="s">
        <v>355</v>
      </c>
      <c r="AB21" s="41">
        <f t="shared" si="0"/>
        <v>0.9538461538461539</v>
      </c>
    </row>
    <row r="22" spans="1:28" x14ac:dyDescent="0.2">
      <c r="A22" s="38" t="s">
        <v>252</v>
      </c>
      <c r="B22" s="38" t="s">
        <v>381</v>
      </c>
      <c r="C22" s="38" t="s">
        <v>397</v>
      </c>
      <c r="D22" s="52">
        <f>H22*((1/Conversions!$K$5)*(1/1000000))</f>
        <v>162.77782299383972</v>
      </c>
      <c r="E22" s="52">
        <f>I22*((1/Conversions!$K$5)*(1/1000000))</f>
        <v>133.05559251544236</v>
      </c>
      <c r="F22" s="52">
        <f>J22*((1/Conversions!$K$5)*(1/1000000))</f>
        <v>188.33338564816268</v>
      </c>
      <c r="H22" s="38">
        <v>586</v>
      </c>
      <c r="I22" s="38">
        <v>479</v>
      </c>
      <c r="J22" s="38">
        <v>678</v>
      </c>
      <c r="K22" s="38">
        <v>6</v>
      </c>
      <c r="L22" s="39" t="s">
        <v>398</v>
      </c>
      <c r="M22" s="40">
        <v>3</v>
      </c>
      <c r="O22" s="52">
        <f>S22*((1/Conversions!$K$5)*(1/1000000))</f>
        <v>150.00004166667824</v>
      </c>
      <c r="P22" s="52">
        <f>T22*((1/Conversions!$K$5)*(1/1000000))</f>
        <v>145.00004027778897</v>
      </c>
      <c r="Q22" s="52">
        <f>U22*((1/Conversions!$K$5)*(1/1000000))</f>
        <v>155.00004305556752</v>
      </c>
      <c r="S22" s="38">
        <v>540</v>
      </c>
      <c r="T22" s="38">
        <v>522</v>
      </c>
      <c r="U22" s="38">
        <v>558</v>
      </c>
      <c r="V22" s="38">
        <v>3</v>
      </c>
      <c r="W22" s="39" t="s">
        <v>399</v>
      </c>
      <c r="X22" s="40">
        <v>2</v>
      </c>
      <c r="Z22" s="40" t="s">
        <v>355</v>
      </c>
      <c r="AB22" s="41">
        <f t="shared" si="0"/>
        <v>0.92150170648464169</v>
      </c>
    </row>
    <row r="23" spans="1:28" x14ac:dyDescent="0.2">
      <c r="A23" s="38" t="s">
        <v>252</v>
      </c>
      <c r="B23" s="38" t="s">
        <v>381</v>
      </c>
      <c r="C23" s="38" t="s">
        <v>388</v>
      </c>
      <c r="D23" s="52">
        <f>H23*((1/Conversions!$K$5)*(1/1000000))</f>
        <v>147.50004097223362</v>
      </c>
      <c r="E23" s="52">
        <f>I23*((1/Conversions!$K$5)*(1/1000000))</f>
        <v>128.61114683642967</v>
      </c>
      <c r="F23" s="52">
        <f>J23*((1/Conversions!$K$5)*(1/1000000))</f>
        <v>188.33338564816268</v>
      </c>
      <c r="H23" s="38">
        <v>531</v>
      </c>
      <c r="I23" s="38">
        <v>463</v>
      </c>
      <c r="J23" s="38">
        <v>678</v>
      </c>
      <c r="K23" s="38">
        <v>7</v>
      </c>
      <c r="L23" s="39" t="s">
        <v>400</v>
      </c>
      <c r="M23" s="40">
        <v>3</v>
      </c>
      <c r="O23" s="52">
        <f>S23*((1/Conversions!$K$5)*(1/1000000))</f>
        <v>130.83336967593601</v>
      </c>
      <c r="P23" s="52">
        <f>T23*((1/Conversions!$K$5)*(1/1000000))</f>
        <v>109.44447484568747</v>
      </c>
      <c r="Q23" s="52">
        <f>U23*((1/Conversions!$K$5)*(1/1000000))</f>
        <v>184.44449567902657</v>
      </c>
      <c r="S23" s="38">
        <v>471</v>
      </c>
      <c r="T23" s="38">
        <v>394</v>
      </c>
      <c r="U23" s="38">
        <v>664</v>
      </c>
      <c r="V23" s="38">
        <v>6</v>
      </c>
      <c r="W23" s="39" t="s">
        <v>401</v>
      </c>
      <c r="X23" s="40">
        <v>2</v>
      </c>
      <c r="Z23" s="40" t="s">
        <v>355</v>
      </c>
      <c r="AB23" s="41">
        <f t="shared" si="0"/>
        <v>0.88700564971751417</v>
      </c>
    </row>
    <row r="24" spans="1:28" x14ac:dyDescent="0.2">
      <c r="A24" s="38" t="s">
        <v>252</v>
      </c>
      <c r="B24" s="38" t="s">
        <v>381</v>
      </c>
      <c r="C24" s="38" t="s">
        <v>402</v>
      </c>
      <c r="D24" s="52">
        <f>H24*((1/Conversions!$K$5)*(1/1000000))</f>
        <v>354.72232075620019</v>
      </c>
      <c r="E24" s="52">
        <f>I24*((1/Conversions!$K$5)*(1/1000000))</f>
        <v>340.00009444447068</v>
      </c>
      <c r="F24" s="52">
        <f>J24*((1/Conversions!$K$5)*(1/1000000))</f>
        <v>369.16676921299148</v>
      </c>
      <c r="H24" s="53">
        <v>1277</v>
      </c>
      <c r="I24" s="53">
        <v>1224</v>
      </c>
      <c r="J24" s="53">
        <v>1329</v>
      </c>
      <c r="K24" s="38">
        <v>2</v>
      </c>
      <c r="L24" s="39" t="s">
        <v>398</v>
      </c>
      <c r="M24" s="40">
        <v>3</v>
      </c>
      <c r="O24" s="52">
        <f>S24*((1/Conversions!$K$5)*(1/1000000))</f>
        <v>261.66673935187202</v>
      </c>
      <c r="P24" s="52">
        <f>T24*((1/Conversions!$K$5)*(1/1000000))</f>
        <v>261.66673935187202</v>
      </c>
      <c r="Q24" s="52">
        <f>U24*((1/Conversions!$K$5)*(1/1000000))</f>
        <v>261.66673935187202</v>
      </c>
      <c r="S24" s="38">
        <v>942</v>
      </c>
      <c r="T24" s="38">
        <v>942</v>
      </c>
      <c r="U24" s="38">
        <v>942</v>
      </c>
      <c r="V24" s="38">
        <v>1</v>
      </c>
      <c r="W24" s="39" t="s">
        <v>399</v>
      </c>
      <c r="X24" s="40">
        <v>2</v>
      </c>
      <c r="Z24" s="40" t="s">
        <v>355</v>
      </c>
      <c r="AB24" s="41">
        <f t="shared" si="0"/>
        <v>0.73766640563821462</v>
      </c>
    </row>
    <row r="25" spans="1:28" x14ac:dyDescent="0.2">
      <c r="A25" s="38" t="s">
        <v>252</v>
      </c>
      <c r="B25" s="38" t="s">
        <v>381</v>
      </c>
      <c r="C25" s="38" t="s">
        <v>390</v>
      </c>
      <c r="D25" s="52">
        <f>H25*((1/Conversions!$K$5)*(1/1000000))</f>
        <v>169.16671365742047</v>
      </c>
      <c r="E25" s="52">
        <f>I25*((1/Conversions!$K$5)*(1/1000000))</f>
        <v>161.66671157408655</v>
      </c>
      <c r="F25" s="52">
        <f>J25*((1/Conversions!$K$5)*(1/1000000))</f>
        <v>185.83338495371805</v>
      </c>
      <c r="H25" s="38">
        <v>609</v>
      </c>
      <c r="I25" s="38">
        <v>582</v>
      </c>
      <c r="J25" s="38">
        <v>669</v>
      </c>
      <c r="K25" s="38">
        <v>7</v>
      </c>
      <c r="L25" s="39" t="s">
        <v>400</v>
      </c>
      <c r="M25" s="40">
        <v>3</v>
      </c>
      <c r="O25" s="52">
        <f>S25*((1/Conversions!$K$5)*(1/1000000))</f>
        <v>136.94448248457846</v>
      </c>
      <c r="P25" s="52">
        <f>T25*((1/Conversions!$K$5)*(1/1000000))</f>
        <v>127.22225756173822</v>
      </c>
      <c r="Q25" s="52">
        <f>U25*((1/Conversions!$K$5)*(1/1000000))</f>
        <v>165.00004583334606</v>
      </c>
      <c r="S25" s="38">
        <v>493</v>
      </c>
      <c r="T25" s="38">
        <v>458</v>
      </c>
      <c r="U25" s="38">
        <v>594</v>
      </c>
      <c r="V25" s="38">
        <v>6</v>
      </c>
      <c r="W25" s="39" t="s">
        <v>401</v>
      </c>
      <c r="X25" s="40">
        <v>2</v>
      </c>
      <c r="Z25" s="40" t="s">
        <v>355</v>
      </c>
      <c r="AB25" s="41">
        <f t="shared" si="0"/>
        <v>0.80952380952380953</v>
      </c>
    </row>
    <row r="26" spans="1:28" x14ac:dyDescent="0.2">
      <c r="A26" s="38" t="s">
        <v>252</v>
      </c>
      <c r="B26" s="38" t="s">
        <v>381</v>
      </c>
      <c r="C26" s="38" t="s">
        <v>403</v>
      </c>
      <c r="D26" s="52">
        <f>H26*((1/Conversions!$K$5)*(1/1000000))</f>
        <v>311.9445310957031</v>
      </c>
      <c r="E26" s="52">
        <f>I26*((1/Conversions!$K$5)*(1/1000000))</f>
        <v>305.00008472224579</v>
      </c>
      <c r="F26" s="52">
        <f>J26*((1/Conversions!$K$5)*(1/1000000))</f>
        <v>318.88897746916041</v>
      </c>
      <c r="H26" s="53">
        <v>1123</v>
      </c>
      <c r="I26" s="53">
        <v>1098</v>
      </c>
      <c r="J26" s="53">
        <v>1148</v>
      </c>
      <c r="K26" s="38">
        <v>2</v>
      </c>
      <c r="L26" s="39" t="s">
        <v>398</v>
      </c>
      <c r="M26" s="40">
        <v>3</v>
      </c>
      <c r="O26" s="52">
        <f>S26*((1/Conversions!$K$5)*(1/1000000))</f>
        <v>235.00006527779593</v>
      </c>
      <c r="P26" s="52">
        <f>T26*((1/Conversions!$K$5)*(1/1000000))</f>
        <v>235.00006527779593</v>
      </c>
      <c r="Q26" s="52">
        <f>U26*((1/Conversions!$K$5)*(1/1000000))</f>
        <v>235.00006527779593</v>
      </c>
      <c r="S26" s="38">
        <v>846</v>
      </c>
      <c r="T26" s="38">
        <v>846</v>
      </c>
      <c r="U26" s="38">
        <v>846</v>
      </c>
      <c r="V26" s="38">
        <v>1</v>
      </c>
      <c r="W26" s="39" t="s">
        <v>399</v>
      </c>
      <c r="X26" s="40">
        <v>2</v>
      </c>
      <c r="Z26" s="40" t="s">
        <v>355</v>
      </c>
      <c r="AB26" s="41">
        <f t="shared" si="0"/>
        <v>0.75333926981300092</v>
      </c>
    </row>
    <row r="27" spans="1:28" x14ac:dyDescent="0.2">
      <c r="A27" s="38" t="s">
        <v>404</v>
      </c>
      <c r="B27" s="38" t="s">
        <v>405</v>
      </c>
      <c r="C27" s="38" t="s">
        <v>406</v>
      </c>
      <c r="D27" s="52">
        <f>H27*((1/Conversions!$K$5)*(1/1000000))</f>
        <v>7.2222242283956195</v>
      </c>
      <c r="E27" s="52"/>
      <c r="F27" s="52"/>
      <c r="H27" s="38">
        <f t="shared" ref="H27:H45" si="1">S27</f>
        <v>26</v>
      </c>
      <c r="L27" s="39" t="s">
        <v>374</v>
      </c>
      <c r="M27" s="40" t="s">
        <v>374</v>
      </c>
      <c r="O27" s="52">
        <f>S27*((1/Conversions!$K$5)*(1/1000000))</f>
        <v>7.2222242283956195</v>
      </c>
      <c r="P27" s="52">
        <f>T27*((1/Conversions!$K$5)*(1/1000000))</f>
        <v>7.2222242283956195</v>
      </c>
      <c r="Q27" s="52">
        <f>U27*((1/Conversions!$K$5)*(1/1000000))</f>
        <v>7.2222242283956195</v>
      </c>
      <c r="S27" s="38">
        <v>26</v>
      </c>
      <c r="T27" s="38">
        <v>26</v>
      </c>
      <c r="U27" s="38">
        <v>26</v>
      </c>
      <c r="V27" s="38">
        <v>1</v>
      </c>
      <c r="W27" s="39" t="s">
        <v>407</v>
      </c>
      <c r="X27" s="40">
        <v>1</v>
      </c>
      <c r="Z27" s="40" t="s">
        <v>376</v>
      </c>
      <c r="AB27" s="41">
        <f t="shared" si="0"/>
        <v>1</v>
      </c>
    </row>
    <row r="28" spans="1:28" x14ac:dyDescent="0.2">
      <c r="A28" s="38" t="s">
        <v>404</v>
      </c>
      <c r="B28" s="38" t="s">
        <v>372</v>
      </c>
      <c r="C28" s="38" t="s">
        <v>408</v>
      </c>
      <c r="D28" s="52">
        <f>H28*((1/Conversions!$K$5)*(1/1000000))</f>
        <v>21.666672685186857</v>
      </c>
      <c r="E28" s="52"/>
      <c r="F28" s="52"/>
      <c r="H28" s="38">
        <f t="shared" si="1"/>
        <v>78</v>
      </c>
      <c r="L28" s="39" t="s">
        <v>374</v>
      </c>
      <c r="M28" s="40" t="s">
        <v>374</v>
      </c>
      <c r="O28" s="52">
        <f>S28*((1/Conversions!$K$5)*(1/1000000))</f>
        <v>21.666672685186857</v>
      </c>
      <c r="P28" s="52">
        <f>T28*((1/Conversions!$K$5)*(1/1000000))</f>
        <v>11.9444477623466</v>
      </c>
      <c r="Q28" s="52">
        <f>U28*((1/Conversions!$K$5)*(1/1000000))</f>
        <v>21.94445054012515</v>
      </c>
      <c r="S28" s="38">
        <v>78</v>
      </c>
      <c r="T28" s="38">
        <v>43</v>
      </c>
      <c r="U28" s="38">
        <v>79</v>
      </c>
      <c r="V28" s="38">
        <v>10</v>
      </c>
      <c r="W28" s="39" t="s">
        <v>409</v>
      </c>
      <c r="X28" s="40">
        <v>1</v>
      </c>
      <c r="Z28" s="40" t="s">
        <v>376</v>
      </c>
      <c r="AB28" s="41">
        <f t="shared" si="0"/>
        <v>1</v>
      </c>
    </row>
    <row r="29" spans="1:28" x14ac:dyDescent="0.2">
      <c r="A29" s="38" t="s">
        <v>404</v>
      </c>
      <c r="B29" s="38" t="s">
        <v>410</v>
      </c>
      <c r="C29" s="38" t="s">
        <v>406</v>
      </c>
      <c r="D29" s="52">
        <f>H29*((1/Conversions!$K$5)*(1/1000000))</f>
        <v>47.222235339509815</v>
      </c>
      <c r="E29" s="52"/>
      <c r="F29" s="52"/>
      <c r="H29" s="38">
        <f t="shared" si="1"/>
        <v>170</v>
      </c>
      <c r="L29" s="39" t="s">
        <v>374</v>
      </c>
      <c r="M29" s="40" t="s">
        <v>374</v>
      </c>
      <c r="O29" s="52">
        <f>S29*((1/Conversions!$K$5)*(1/1000000))</f>
        <v>47.222235339509815</v>
      </c>
      <c r="P29" s="52">
        <f>T29*((1/Conversions!$K$5)*(1/1000000))</f>
        <v>25.000006944446373</v>
      </c>
      <c r="Q29" s="52">
        <f>U29*((1/Conversions!$K$5)*(1/1000000))</f>
        <v>69.444463734573262</v>
      </c>
      <c r="S29" s="38">
        <v>170</v>
      </c>
      <c r="T29" s="38">
        <v>90</v>
      </c>
      <c r="U29" s="38">
        <v>250</v>
      </c>
      <c r="V29" s="38">
        <v>2</v>
      </c>
      <c r="W29" s="39" t="s">
        <v>411</v>
      </c>
      <c r="X29" s="40">
        <v>1</v>
      </c>
      <c r="Z29" s="40" t="s">
        <v>376</v>
      </c>
      <c r="AB29" s="41">
        <f t="shared" si="0"/>
        <v>1</v>
      </c>
    </row>
    <row r="30" spans="1:28" x14ac:dyDescent="0.2">
      <c r="A30" s="38" t="s">
        <v>404</v>
      </c>
      <c r="B30" s="38" t="s">
        <v>412</v>
      </c>
      <c r="C30" s="38" t="s">
        <v>408</v>
      </c>
      <c r="D30" s="52">
        <f>H30*((1/Conversions!$K$5)*(1/1000000))</f>
        <v>93.888914969143045</v>
      </c>
      <c r="E30" s="52"/>
      <c r="F30" s="52"/>
      <c r="H30" s="38">
        <f t="shared" si="1"/>
        <v>338</v>
      </c>
      <c r="L30" s="39" t="s">
        <v>374</v>
      </c>
      <c r="M30" s="40" t="s">
        <v>374</v>
      </c>
      <c r="O30" s="52">
        <f>S30*((1/Conversions!$K$5)*(1/1000000))</f>
        <v>93.888914969143045</v>
      </c>
      <c r="P30" s="52">
        <f>T30*((1/Conversions!$K$5)*(1/1000000))</f>
        <v>29.166674768520771</v>
      </c>
      <c r="Q30" s="52">
        <f>U30*((1/Conversions!$K$5)*(1/1000000))</f>
        <v>95.833359953711096</v>
      </c>
      <c r="S30" s="38">
        <v>338</v>
      </c>
      <c r="T30" s="38">
        <v>105</v>
      </c>
      <c r="U30" s="38">
        <v>345</v>
      </c>
      <c r="V30" s="38">
        <v>3</v>
      </c>
      <c r="W30" s="39" t="s">
        <v>413</v>
      </c>
      <c r="X30" s="40">
        <v>1</v>
      </c>
      <c r="Z30" s="40" t="s">
        <v>376</v>
      </c>
      <c r="AB30" s="41">
        <f t="shared" si="0"/>
        <v>1</v>
      </c>
    </row>
    <row r="31" spans="1:28" x14ac:dyDescent="0.2">
      <c r="A31" s="38" t="s">
        <v>404</v>
      </c>
      <c r="B31" s="38" t="s">
        <v>414</v>
      </c>
      <c r="C31" s="38" t="s">
        <v>415</v>
      </c>
      <c r="D31" s="52">
        <f>H31*((1/Conversions!$K$5)*(1/1000000))</f>
        <v>1.3888892746914652</v>
      </c>
      <c r="E31" s="52"/>
      <c r="F31" s="52"/>
      <c r="H31" s="38">
        <f t="shared" si="1"/>
        <v>5</v>
      </c>
      <c r="L31" s="39" t="s">
        <v>374</v>
      </c>
      <c r="M31" s="40" t="s">
        <v>374</v>
      </c>
      <c r="O31" s="52">
        <f>S31*((1/Conversions!$K$5)*(1/1000000))</f>
        <v>1.3888892746914652</v>
      </c>
      <c r="P31" s="52">
        <f>T31*((1/Conversions!$K$5)*(1/1000000))</f>
        <v>1.1111114197531722</v>
      </c>
      <c r="Q31" s="52">
        <f>U31*((1/Conversions!$K$5)*(1/1000000))</f>
        <v>1.6666671296297584</v>
      </c>
      <c r="S31" s="38">
        <v>5</v>
      </c>
      <c r="T31" s="38">
        <v>4</v>
      </c>
      <c r="U31" s="38">
        <v>6</v>
      </c>
      <c r="V31" s="38">
        <v>2</v>
      </c>
      <c r="W31" s="39" t="s">
        <v>416</v>
      </c>
      <c r="X31" s="40">
        <v>1</v>
      </c>
      <c r="Z31" s="40" t="s">
        <v>376</v>
      </c>
      <c r="AB31" s="41">
        <f t="shared" si="0"/>
        <v>1</v>
      </c>
    </row>
    <row r="32" spans="1:28" x14ac:dyDescent="0.2">
      <c r="A32" s="38" t="s">
        <v>404</v>
      </c>
      <c r="B32" s="38" t="s">
        <v>381</v>
      </c>
      <c r="C32" s="38" t="s">
        <v>417</v>
      </c>
      <c r="D32" s="52">
        <f>H32*((1/Conversions!$K$5)*(1/1000000))</f>
        <v>277.77785493829305</v>
      </c>
      <c r="E32" s="52"/>
      <c r="F32" s="52"/>
      <c r="H32" s="53">
        <f t="shared" si="1"/>
        <v>1000</v>
      </c>
      <c r="L32" s="39" t="s">
        <v>374</v>
      </c>
      <c r="M32" s="40" t="s">
        <v>374</v>
      </c>
      <c r="O32" s="52">
        <f>S32*((1/Conversions!$K$5)*(1/1000000))</f>
        <v>277.77785493829305</v>
      </c>
      <c r="P32" s="52">
        <f>T32*((1/Conversions!$K$5)*(1/1000000))</f>
        <v>277.77785493829305</v>
      </c>
      <c r="Q32" s="52">
        <f>U32*((1/Conversions!$K$5)*(1/1000000))</f>
        <v>277.77785493829305</v>
      </c>
      <c r="S32" s="53">
        <v>1000</v>
      </c>
      <c r="T32" s="53">
        <v>1000</v>
      </c>
      <c r="U32" s="53">
        <v>1000</v>
      </c>
      <c r="V32" s="38">
        <v>1</v>
      </c>
      <c r="W32" s="39" t="s">
        <v>411</v>
      </c>
      <c r="X32" s="40">
        <v>1</v>
      </c>
      <c r="Z32" s="40" t="s">
        <v>376</v>
      </c>
      <c r="AB32" s="41">
        <f t="shared" si="0"/>
        <v>1</v>
      </c>
    </row>
    <row r="33" spans="1:28" x14ac:dyDescent="0.2">
      <c r="A33" s="38" t="s">
        <v>404</v>
      </c>
      <c r="B33" s="38" t="s">
        <v>381</v>
      </c>
      <c r="C33" s="38" t="s">
        <v>406</v>
      </c>
      <c r="D33" s="52">
        <f>H33*((1/Conversions!$K$5)*(1/1000000))</f>
        <v>218.33339398149835</v>
      </c>
      <c r="E33" s="52"/>
      <c r="F33" s="52"/>
      <c r="H33" s="38">
        <f t="shared" si="1"/>
        <v>786</v>
      </c>
      <c r="L33" s="39" t="s">
        <v>374</v>
      </c>
      <c r="M33" s="40" t="s">
        <v>374</v>
      </c>
      <c r="O33" s="52">
        <f>S33*((1/Conversions!$K$5)*(1/1000000))</f>
        <v>218.33339398149835</v>
      </c>
      <c r="P33" s="52">
        <f>T33*((1/Conversions!$K$5)*(1/1000000))</f>
        <v>205.55561265433684</v>
      </c>
      <c r="Q33" s="52">
        <f>U33*((1/Conversions!$K$5)*(1/1000000))</f>
        <v>238.88895524693203</v>
      </c>
      <c r="S33" s="38">
        <v>786</v>
      </c>
      <c r="T33" s="38">
        <v>740</v>
      </c>
      <c r="U33" s="38">
        <v>860</v>
      </c>
      <c r="V33" s="38">
        <v>4</v>
      </c>
      <c r="W33" s="39" t="s">
        <v>418</v>
      </c>
      <c r="X33" s="40">
        <v>1</v>
      </c>
      <c r="Z33" s="40" t="s">
        <v>376</v>
      </c>
      <c r="AB33" s="41">
        <f t="shared" si="0"/>
        <v>1</v>
      </c>
    </row>
    <row r="34" spans="1:28" x14ac:dyDescent="0.2">
      <c r="A34" s="38" t="s">
        <v>404</v>
      </c>
      <c r="B34" s="38" t="s">
        <v>381</v>
      </c>
      <c r="C34" s="38" t="s">
        <v>408</v>
      </c>
      <c r="D34" s="52">
        <f>H34*((1/Conversions!$K$5)*(1/1000000))</f>
        <v>240.27784452162348</v>
      </c>
      <c r="E34" s="52"/>
      <c r="F34" s="52"/>
      <c r="H34" s="38">
        <f t="shared" si="1"/>
        <v>865</v>
      </c>
      <c r="L34" s="39" t="s">
        <v>374</v>
      </c>
      <c r="M34" s="40" t="s">
        <v>374</v>
      </c>
      <c r="O34" s="52">
        <f>S34*((1/Conversions!$K$5)*(1/1000000))</f>
        <v>240.27784452162348</v>
      </c>
      <c r="P34" s="52">
        <f>T34*((1/Conversions!$K$5)*(1/1000000))</f>
        <v>201.38894483026246</v>
      </c>
      <c r="Q34" s="52">
        <f>U34*((1/Conversions!$K$5)*(1/1000000))</f>
        <v>293.61119266977573</v>
      </c>
      <c r="S34" s="38">
        <v>865</v>
      </c>
      <c r="T34" s="38">
        <v>725</v>
      </c>
      <c r="U34" s="53">
        <v>1057</v>
      </c>
      <c r="V34" s="38">
        <v>17</v>
      </c>
      <c r="W34" s="39" t="s">
        <v>419</v>
      </c>
      <c r="X34" s="40">
        <v>1</v>
      </c>
      <c r="Z34" s="40" t="s">
        <v>376</v>
      </c>
      <c r="AB34" s="41">
        <f t="shared" si="0"/>
        <v>1</v>
      </c>
    </row>
    <row r="35" spans="1:28" x14ac:dyDescent="0.2">
      <c r="A35" s="38" t="s">
        <v>420</v>
      </c>
      <c r="B35" s="38" t="s">
        <v>405</v>
      </c>
      <c r="C35" s="38" t="s">
        <v>421</v>
      </c>
      <c r="D35" s="52">
        <f>H35*((1/Conversions!$K$5)*(1/1000000))</f>
        <v>37.500010416669561</v>
      </c>
      <c r="E35" s="52"/>
      <c r="F35" s="52"/>
      <c r="H35" s="38">
        <f t="shared" si="1"/>
        <v>135</v>
      </c>
      <c r="L35" s="39" t="s">
        <v>374</v>
      </c>
      <c r="M35" s="40" t="s">
        <v>374</v>
      </c>
      <c r="O35" s="52">
        <f>S35*((1/Conversions!$K$5)*(1/1000000))</f>
        <v>37.500010416669561</v>
      </c>
      <c r="P35" s="52">
        <f>T35*((1/Conversions!$K$5)*(1/1000000))</f>
        <v>0</v>
      </c>
      <c r="Q35" s="52">
        <f>U35*((1/Conversions!$K$5)*(1/1000000))</f>
        <v>75.000020833339121</v>
      </c>
      <c r="S35" s="38">
        <v>135</v>
      </c>
      <c r="T35" s="38">
        <v>0</v>
      </c>
      <c r="U35" s="38">
        <v>270</v>
      </c>
      <c r="V35" s="38">
        <v>2</v>
      </c>
      <c r="W35" s="39" t="s">
        <v>422</v>
      </c>
      <c r="X35" s="40">
        <v>1</v>
      </c>
      <c r="Z35" s="40" t="s">
        <v>376</v>
      </c>
      <c r="AB35" s="41">
        <f t="shared" si="0"/>
        <v>1</v>
      </c>
    </row>
    <row r="36" spans="1:28" x14ac:dyDescent="0.2">
      <c r="A36" s="38" t="s">
        <v>420</v>
      </c>
      <c r="B36" s="38" t="s">
        <v>405</v>
      </c>
      <c r="C36" s="38" t="s">
        <v>423</v>
      </c>
      <c r="D36" s="52">
        <f>H36*((1/Conversions!$K$5)*(1/1000000))</f>
        <v>236.1111766975491</v>
      </c>
      <c r="E36" s="52"/>
      <c r="F36" s="52"/>
      <c r="H36" s="38">
        <f t="shared" si="1"/>
        <v>850</v>
      </c>
      <c r="L36" s="39" t="s">
        <v>374</v>
      </c>
      <c r="M36" s="40" t="s">
        <v>374</v>
      </c>
      <c r="O36" s="52">
        <f>S36*((1/Conversions!$K$5)*(1/1000000))</f>
        <v>236.1111766975491</v>
      </c>
      <c r="P36" s="52">
        <f>T36*((1/Conversions!$K$5)*(1/1000000))</f>
        <v>83.333356481487911</v>
      </c>
      <c r="Q36" s="52">
        <f>U36*((1/Conversions!$K$5)*(1/1000000))</f>
        <v>493.88902608028502</v>
      </c>
      <c r="S36" s="38">
        <v>850</v>
      </c>
      <c r="T36" s="38">
        <v>300</v>
      </c>
      <c r="U36" s="53">
        <v>1778</v>
      </c>
      <c r="V36" s="38">
        <v>2</v>
      </c>
      <c r="W36" s="39" t="s">
        <v>422</v>
      </c>
      <c r="X36" s="40">
        <v>1</v>
      </c>
      <c r="Z36" s="40" t="s">
        <v>376</v>
      </c>
      <c r="AB36" s="41">
        <f t="shared" si="0"/>
        <v>1</v>
      </c>
    </row>
    <row r="37" spans="1:28" x14ac:dyDescent="0.2">
      <c r="A37" s="38" t="s">
        <v>420</v>
      </c>
      <c r="B37" s="38" t="s">
        <v>405</v>
      </c>
      <c r="C37" s="38" t="s">
        <v>424</v>
      </c>
      <c r="D37" s="52">
        <f>H37*((1/Conversions!$K$5)*(1/1000000))</f>
        <v>0</v>
      </c>
      <c r="E37" s="52"/>
      <c r="F37" s="52"/>
      <c r="H37" s="38">
        <f t="shared" si="1"/>
        <v>0</v>
      </c>
      <c r="L37" s="39" t="s">
        <v>374</v>
      </c>
      <c r="M37" s="40" t="s">
        <v>374</v>
      </c>
      <c r="O37" s="52">
        <f>S37*((1/Conversions!$K$5)*(1/1000000))</f>
        <v>0</v>
      </c>
      <c r="P37" s="52">
        <f>T37*((1/Conversions!$K$5)*(1/1000000))</f>
        <v>0</v>
      </c>
      <c r="Q37" s="52">
        <f>U37*((1/Conversions!$K$5)*(1/1000000))</f>
        <v>0</v>
      </c>
      <c r="S37" s="38">
        <v>0</v>
      </c>
      <c r="T37" s="38">
        <v>0</v>
      </c>
      <c r="U37" s="38">
        <v>0</v>
      </c>
      <c r="V37" s="38">
        <v>1</v>
      </c>
      <c r="W37" s="39" t="s">
        <v>375</v>
      </c>
      <c r="X37" s="40">
        <v>1</v>
      </c>
      <c r="Z37" s="40" t="s">
        <v>376</v>
      </c>
      <c r="AB37" s="41" t="e">
        <f t="shared" si="0"/>
        <v>#DIV/0!</v>
      </c>
    </row>
    <row r="38" spans="1:28" x14ac:dyDescent="0.2">
      <c r="A38" s="38" t="s">
        <v>420</v>
      </c>
      <c r="B38" s="38" t="s">
        <v>410</v>
      </c>
      <c r="C38" s="38" t="s">
        <v>423</v>
      </c>
      <c r="D38" s="52">
        <f>H38*((1/Conversions!$K$5)*(1/1000000))</f>
        <v>390.55566404324003</v>
      </c>
      <c r="E38" s="52"/>
      <c r="F38" s="52"/>
      <c r="H38" s="53">
        <f t="shared" si="1"/>
        <v>1406</v>
      </c>
      <c r="L38" s="39" t="s">
        <v>374</v>
      </c>
      <c r="M38" s="40" t="s">
        <v>374</v>
      </c>
      <c r="O38" s="52">
        <f>S38*((1/Conversions!$K$5)*(1/1000000))</f>
        <v>390.55566404324003</v>
      </c>
      <c r="P38" s="52">
        <f>T38*((1/Conversions!$K$5)*(1/1000000))</f>
        <v>225.83339606483224</v>
      </c>
      <c r="Q38" s="52">
        <f>U38*((1/Conversions!$K$5)*(1/1000000))</f>
        <v>555.27793202164776</v>
      </c>
      <c r="S38" s="53">
        <v>1406</v>
      </c>
      <c r="T38" s="38">
        <v>813</v>
      </c>
      <c r="U38" s="53">
        <v>1999</v>
      </c>
      <c r="V38" s="38">
        <v>2</v>
      </c>
      <c r="W38" s="39" t="s">
        <v>425</v>
      </c>
      <c r="X38" s="40">
        <v>1</v>
      </c>
      <c r="Z38" s="40" t="s">
        <v>376</v>
      </c>
      <c r="AB38" s="41">
        <f t="shared" si="0"/>
        <v>1</v>
      </c>
    </row>
    <row r="39" spans="1:28" x14ac:dyDescent="0.2">
      <c r="A39" s="38" t="s">
        <v>420</v>
      </c>
      <c r="B39" s="38" t="s">
        <v>412</v>
      </c>
      <c r="C39" s="38" t="s">
        <v>421</v>
      </c>
      <c r="D39" s="52">
        <f>H39*((1/Conversions!$K$5)*(1/1000000))</f>
        <v>61.388905941362765</v>
      </c>
      <c r="E39" s="52"/>
      <c r="F39" s="52"/>
      <c r="H39" s="38">
        <f t="shared" si="1"/>
        <v>221</v>
      </c>
      <c r="L39" s="39" t="s">
        <v>374</v>
      </c>
      <c r="M39" s="40" t="s">
        <v>374</v>
      </c>
      <c r="O39" s="52">
        <f>S39*((1/Conversions!$K$5)*(1/1000000))</f>
        <v>61.388905941362765</v>
      </c>
      <c r="P39" s="52">
        <f>T39*((1/Conversions!$K$5)*(1/1000000))</f>
        <v>20.555561265433685</v>
      </c>
      <c r="Q39" s="52">
        <f>U39*((1/Conversions!$K$5)*(1/1000000))</f>
        <v>102.22225061729183</v>
      </c>
      <c r="S39" s="38">
        <v>221</v>
      </c>
      <c r="T39" s="38">
        <v>74</v>
      </c>
      <c r="U39" s="38">
        <v>368</v>
      </c>
      <c r="V39" s="38">
        <v>1</v>
      </c>
      <c r="W39" s="39" t="s">
        <v>426</v>
      </c>
      <c r="X39" s="40">
        <v>1</v>
      </c>
      <c r="Z39" s="40" t="s">
        <v>376</v>
      </c>
      <c r="AB39" s="41">
        <f t="shared" si="0"/>
        <v>1</v>
      </c>
    </row>
    <row r="40" spans="1:28" x14ac:dyDescent="0.2">
      <c r="A40" s="38" t="s">
        <v>420</v>
      </c>
      <c r="B40" s="38" t="s">
        <v>381</v>
      </c>
      <c r="C40" s="38" t="s">
        <v>421</v>
      </c>
      <c r="D40" s="52">
        <f>H40*((1/Conversions!$K$5)*(1/1000000))</f>
        <v>1000.000277777855</v>
      </c>
      <c r="E40" s="52"/>
      <c r="F40" s="52"/>
      <c r="H40" s="53">
        <f t="shared" si="1"/>
        <v>3600</v>
      </c>
      <c r="L40" s="39" t="s">
        <v>374</v>
      </c>
      <c r="M40" s="40" t="s">
        <v>374</v>
      </c>
      <c r="O40" s="52">
        <f>S40*((1/Conversions!$K$5)*(1/1000000))</f>
        <v>1000.000277777855</v>
      </c>
      <c r="P40" s="52">
        <f>T40*((1/Conversions!$K$5)*(1/1000000))</f>
        <v>472.2223533950982</v>
      </c>
      <c r="Q40" s="52">
        <f>U40*((1/Conversions!$K$5)*(1/1000000))</f>
        <v>1100.8336391204552</v>
      </c>
      <c r="S40" s="53">
        <v>3600</v>
      </c>
      <c r="T40" s="53">
        <v>1700</v>
      </c>
      <c r="U40" s="53">
        <v>3963</v>
      </c>
      <c r="V40" s="38">
        <v>3</v>
      </c>
      <c r="W40" s="39" t="s">
        <v>427</v>
      </c>
      <c r="X40" s="40">
        <v>1</v>
      </c>
      <c r="Z40" s="40" t="s">
        <v>376</v>
      </c>
      <c r="AB40" s="41">
        <f t="shared" si="0"/>
        <v>1</v>
      </c>
    </row>
    <row r="41" spans="1:28" x14ac:dyDescent="0.2">
      <c r="A41" s="38" t="s">
        <v>420</v>
      </c>
      <c r="B41" s="38" t="s">
        <v>381</v>
      </c>
      <c r="C41" s="38" t="s">
        <v>428</v>
      </c>
      <c r="D41" s="52">
        <f>H41*((1/Conversions!$K$5)*(1/1000000))</f>
        <v>498.88902746917432</v>
      </c>
      <c r="E41" s="52"/>
      <c r="F41" s="52"/>
      <c r="H41" s="53">
        <f t="shared" si="1"/>
        <v>1796</v>
      </c>
      <c r="L41" s="39" t="s">
        <v>374</v>
      </c>
      <c r="M41" s="40" t="s">
        <v>374</v>
      </c>
      <c r="O41" s="52">
        <f>S41*((1/Conversions!$K$5)*(1/1000000))</f>
        <v>498.88902746917432</v>
      </c>
      <c r="P41" s="52">
        <f>T41*((1/Conversions!$K$5)*(1/1000000))</f>
        <v>498.88902746917432</v>
      </c>
      <c r="Q41" s="52">
        <f>U41*((1/Conversions!$K$5)*(1/1000000))</f>
        <v>498.88902746917432</v>
      </c>
      <c r="S41" s="53">
        <v>1796</v>
      </c>
      <c r="T41" s="53">
        <v>1796</v>
      </c>
      <c r="U41" s="53">
        <v>1796</v>
      </c>
      <c r="V41" s="38">
        <v>1</v>
      </c>
      <c r="W41" s="39" t="s">
        <v>429</v>
      </c>
      <c r="X41" s="40">
        <v>1</v>
      </c>
      <c r="Z41" s="40" t="s">
        <v>376</v>
      </c>
      <c r="AB41" s="41">
        <f t="shared" si="0"/>
        <v>1</v>
      </c>
    </row>
    <row r="42" spans="1:28" x14ac:dyDescent="0.2">
      <c r="A42" s="38" t="s">
        <v>420</v>
      </c>
      <c r="B42" s="38" t="s">
        <v>381</v>
      </c>
      <c r="C42" s="38" t="s">
        <v>423</v>
      </c>
      <c r="D42" s="52">
        <f>H42*((1/Conversions!$K$5)*(1/1000000))</f>
        <v>1328.8892580247939</v>
      </c>
      <c r="E42" s="52"/>
      <c r="F42" s="52"/>
      <c r="H42" s="53">
        <f t="shared" si="1"/>
        <v>4784</v>
      </c>
      <c r="L42" s="39" t="s">
        <v>374</v>
      </c>
      <c r="M42" s="40" t="s">
        <v>374</v>
      </c>
      <c r="O42" s="52">
        <f>S42*((1/Conversions!$K$5)*(1/1000000))</f>
        <v>1328.8892580247939</v>
      </c>
      <c r="P42" s="52">
        <f>T42*((1/Conversions!$K$5)*(1/1000000))</f>
        <v>801.38911149697549</v>
      </c>
      <c r="Q42" s="52">
        <f>U42*((1/Conversions!$K$5)*(1/1000000))</f>
        <v>1429.7226193673944</v>
      </c>
      <c r="S42" s="53">
        <v>4784</v>
      </c>
      <c r="T42" s="53">
        <v>2885</v>
      </c>
      <c r="U42" s="53">
        <v>5147</v>
      </c>
      <c r="V42" s="38">
        <v>4</v>
      </c>
      <c r="W42" s="39" t="s">
        <v>430</v>
      </c>
      <c r="X42" s="40">
        <v>1</v>
      </c>
      <c r="Z42" s="40" t="s">
        <v>376</v>
      </c>
      <c r="AB42" s="41">
        <f t="shared" si="0"/>
        <v>1</v>
      </c>
    </row>
    <row r="43" spans="1:28" x14ac:dyDescent="0.2">
      <c r="A43" s="38" t="s">
        <v>420</v>
      </c>
      <c r="B43" s="38" t="s">
        <v>381</v>
      </c>
      <c r="C43" s="38" t="s">
        <v>431</v>
      </c>
      <c r="D43" s="52">
        <f>H43*((1/Conversions!$K$5)*(1/1000000))</f>
        <v>2.7777785493829303</v>
      </c>
      <c r="E43" s="52"/>
      <c r="F43" s="52"/>
      <c r="H43" s="38">
        <f t="shared" si="1"/>
        <v>10</v>
      </c>
      <c r="L43" s="39" t="s">
        <v>374</v>
      </c>
      <c r="M43" s="40" t="s">
        <v>374</v>
      </c>
      <c r="O43" s="52">
        <f>S43*((1/Conversions!$K$5)*(1/1000000))</f>
        <v>2.7777785493829303</v>
      </c>
      <c r="P43" s="52">
        <f>T43*((1/Conversions!$K$5)*(1/1000000))</f>
        <v>1.3888892746914652</v>
      </c>
      <c r="Q43" s="52">
        <f>U43*((1/Conversions!$K$5)*(1/1000000))</f>
        <v>5.2777792438275677</v>
      </c>
      <c r="S43" s="38">
        <v>10</v>
      </c>
      <c r="T43" s="38">
        <v>5</v>
      </c>
      <c r="U43" s="38">
        <v>19</v>
      </c>
      <c r="V43" s="38">
        <v>3</v>
      </c>
      <c r="W43" s="39" t="s">
        <v>432</v>
      </c>
      <c r="X43" s="40">
        <v>1</v>
      </c>
      <c r="Z43" s="40" t="s">
        <v>376</v>
      </c>
      <c r="AB43" s="41">
        <f t="shared" si="0"/>
        <v>1</v>
      </c>
    </row>
    <row r="44" spans="1:28" x14ac:dyDescent="0.2">
      <c r="A44" s="38" t="s">
        <v>420</v>
      </c>
      <c r="B44" s="38" t="s">
        <v>381</v>
      </c>
      <c r="C44" s="38" t="s">
        <v>433</v>
      </c>
      <c r="D44" s="52">
        <f>H44*((1/Conversions!$K$5)*(1/1000000))</f>
        <v>717.50019930561098</v>
      </c>
      <c r="E44" s="52"/>
      <c r="F44" s="52"/>
      <c r="H44" s="53">
        <f t="shared" si="1"/>
        <v>2583</v>
      </c>
      <c r="L44" s="39" t="s">
        <v>374</v>
      </c>
      <c r="M44" s="40" t="s">
        <v>374</v>
      </c>
      <c r="O44" s="52">
        <f>S44*((1/Conversions!$K$5)*(1/1000000))</f>
        <v>717.50019930561098</v>
      </c>
      <c r="P44" s="52">
        <f>T44*((1/Conversions!$K$5)*(1/1000000))</f>
        <v>574.16682615745174</v>
      </c>
      <c r="Q44" s="52">
        <f>U44*((1/Conversions!$K$5)*(1/1000000))</f>
        <v>861.11135030870844</v>
      </c>
      <c r="S44" s="53">
        <v>2583</v>
      </c>
      <c r="T44" s="53">
        <v>2067</v>
      </c>
      <c r="U44" s="53">
        <v>3100</v>
      </c>
      <c r="V44" s="38">
        <v>2</v>
      </c>
      <c r="W44" s="39" t="s">
        <v>434</v>
      </c>
      <c r="X44" s="40">
        <v>1</v>
      </c>
      <c r="Z44" s="40" t="s">
        <v>376</v>
      </c>
      <c r="AB44" s="41">
        <f t="shared" si="0"/>
        <v>1</v>
      </c>
    </row>
    <row r="45" spans="1:28" x14ac:dyDescent="0.2">
      <c r="A45" s="38" t="s">
        <v>435</v>
      </c>
      <c r="B45" s="38" t="s">
        <v>414</v>
      </c>
      <c r="C45" s="38" t="s">
        <v>436</v>
      </c>
      <c r="D45" s="52">
        <f>H45*((1/Conversions!$K$5)*(1/1000000))</f>
        <v>1247.5003465278742</v>
      </c>
      <c r="E45" s="52"/>
      <c r="F45" s="52"/>
      <c r="H45" s="53">
        <f t="shared" si="1"/>
        <v>4491</v>
      </c>
      <c r="L45" s="39" t="s">
        <v>374</v>
      </c>
      <c r="M45" s="40" t="s">
        <v>374</v>
      </c>
      <c r="O45" s="52">
        <f>S45*((1/Conversions!$K$5)*(1/1000000))</f>
        <v>1247.5003465278742</v>
      </c>
      <c r="P45" s="52">
        <f>T45*((1/Conversions!$K$5)*(1/1000000))</f>
        <v>395.83344328706761</v>
      </c>
      <c r="Q45" s="52">
        <f>U45*((1/Conversions!$K$5)*(1/1000000))</f>
        <v>5000.0013888892745</v>
      </c>
      <c r="S45" s="53">
        <v>4491</v>
      </c>
      <c r="T45" s="53">
        <v>1425</v>
      </c>
      <c r="U45" s="53">
        <v>18000</v>
      </c>
      <c r="V45" s="38">
        <v>3</v>
      </c>
      <c r="W45" s="39" t="s">
        <v>437</v>
      </c>
      <c r="X45" s="40">
        <v>1</v>
      </c>
      <c r="Z45" s="40" t="s">
        <v>376</v>
      </c>
      <c r="AB45" s="41">
        <f t="shared" si="0"/>
        <v>1</v>
      </c>
    </row>
    <row r="46" spans="1:28" x14ac:dyDescent="0.2">
      <c r="A46" s="38" t="s">
        <v>253</v>
      </c>
      <c r="B46" s="38" t="s">
        <v>405</v>
      </c>
      <c r="C46" s="38" t="s">
        <v>438</v>
      </c>
      <c r="D46" s="52">
        <f>H46*((1/Conversions!$K$5)*(1/1000000))</f>
        <v>0.55555570987658609</v>
      </c>
      <c r="E46" s="52">
        <f>I46*((1/Conversions!$K$5)*(1/1000000))</f>
        <v>0</v>
      </c>
      <c r="F46" s="52">
        <f>J46*((1/Conversions!$K$5)*(1/1000000))</f>
        <v>1.1111114197531722</v>
      </c>
      <c r="H46" s="38">
        <v>2</v>
      </c>
      <c r="I46" s="38">
        <v>0</v>
      </c>
      <c r="J46" s="38">
        <v>4</v>
      </c>
      <c r="K46" s="38">
        <v>2</v>
      </c>
      <c r="L46" s="39" t="s">
        <v>439</v>
      </c>
      <c r="M46" s="40">
        <v>3</v>
      </c>
      <c r="O46" s="52">
        <f>S46*((1/Conversions!$K$5)*(1/1000000))</f>
        <v>0.55555570987658609</v>
      </c>
      <c r="P46" s="52">
        <f>T46*((1/Conversions!$K$5)*(1/1000000))</f>
        <v>0</v>
      </c>
      <c r="Q46" s="52">
        <f>U46*((1/Conversions!$K$5)*(1/1000000))</f>
        <v>1.1111114197531722</v>
      </c>
      <c r="S46" s="38">
        <v>2</v>
      </c>
      <c r="T46" s="38">
        <v>0</v>
      </c>
      <c r="U46" s="38">
        <v>4</v>
      </c>
      <c r="V46" s="38">
        <v>2</v>
      </c>
      <c r="W46" s="39" t="s">
        <v>439</v>
      </c>
      <c r="X46" s="40">
        <v>2</v>
      </c>
      <c r="Z46" s="40" t="s">
        <v>355</v>
      </c>
      <c r="AB46" s="41">
        <f t="shared" si="0"/>
        <v>1</v>
      </c>
    </row>
    <row r="47" spans="1:28" x14ac:dyDescent="0.2">
      <c r="A47" s="38" t="s">
        <v>253</v>
      </c>
      <c r="B47" s="38" t="s">
        <v>440</v>
      </c>
      <c r="C47" s="38" t="s">
        <v>378</v>
      </c>
      <c r="D47" s="52">
        <f>H47*((1/Conversions!$K$5)*(1/1000000))</f>
        <v>118.05558834877455</v>
      </c>
      <c r="E47" s="52">
        <f>I47*((1/Conversions!$K$5)*(1/1000000))</f>
        <v>27.777785493829306</v>
      </c>
      <c r="F47" s="52">
        <f>J47*((1/Conversions!$K$5)*(1/1000000))</f>
        <v>208.33339120371977</v>
      </c>
      <c r="H47" s="38">
        <v>425</v>
      </c>
      <c r="I47" s="38">
        <v>100</v>
      </c>
      <c r="J47" s="38">
        <v>750</v>
      </c>
      <c r="K47" s="38">
        <v>1</v>
      </c>
      <c r="L47" s="39" t="s">
        <v>383</v>
      </c>
      <c r="M47" s="40">
        <v>3</v>
      </c>
      <c r="O47" s="52">
        <f>S47*((1/Conversions!$K$5)*(1/1000000))</f>
        <v>94.444470679019631</v>
      </c>
      <c r="P47" s="52">
        <f>T47*((1/Conversions!$K$5)*(1/1000000))</f>
        <v>22.222228395063443</v>
      </c>
      <c r="Q47" s="52">
        <f>U47*((1/Conversions!$K$5)*(1/1000000))</f>
        <v>166.66671296297582</v>
      </c>
      <c r="S47" s="38">
        <v>340</v>
      </c>
      <c r="T47" s="38">
        <v>80</v>
      </c>
      <c r="U47" s="38">
        <v>600</v>
      </c>
      <c r="V47" s="38">
        <v>1</v>
      </c>
      <c r="W47" s="39" t="s">
        <v>383</v>
      </c>
      <c r="X47" s="40">
        <v>2</v>
      </c>
      <c r="Z47" s="40" t="s">
        <v>355</v>
      </c>
      <c r="AB47" s="41">
        <f t="shared" si="0"/>
        <v>0.8</v>
      </c>
    </row>
    <row r="48" spans="1:28" x14ac:dyDescent="0.2">
      <c r="A48" s="38" t="s">
        <v>253</v>
      </c>
      <c r="B48" s="38" t="s">
        <v>377</v>
      </c>
      <c r="C48" s="38" t="s">
        <v>438</v>
      </c>
      <c r="D48" s="52">
        <f>H48*((1/Conversions!$K$5)*(1/1000000))</f>
        <v>3161.1119891977751</v>
      </c>
      <c r="E48" s="52">
        <f>I48*((1/Conversions!$K$5)*(1/1000000))</f>
        <v>2083.3339120371979</v>
      </c>
      <c r="F48" s="52">
        <f>J48*((1/Conversions!$K$5)*(1/1000000))</f>
        <v>5555.5570987658612</v>
      </c>
      <c r="H48" s="53">
        <v>11380</v>
      </c>
      <c r="I48" s="53">
        <v>7500</v>
      </c>
      <c r="J48" s="53">
        <v>20000</v>
      </c>
      <c r="K48" s="38">
        <v>2</v>
      </c>
      <c r="L48" s="39" t="s">
        <v>439</v>
      </c>
      <c r="M48" s="40">
        <v>3</v>
      </c>
      <c r="O48" s="52">
        <f>S48*((1/Conversions!$K$5)*(1/1000000))</f>
        <v>27.777785493829306</v>
      </c>
      <c r="P48" s="52">
        <f>T48*((1/Conversions!$K$5)*(1/1000000))</f>
        <v>5.5555570987658607</v>
      </c>
      <c r="Q48" s="52">
        <f>U48*((1/Conversions!$K$5)*(1/1000000))</f>
        <v>27.777785493829306</v>
      </c>
      <c r="S48" s="38">
        <v>100</v>
      </c>
      <c r="T48" s="38">
        <v>20</v>
      </c>
      <c r="U48" s="38">
        <v>100</v>
      </c>
      <c r="V48" s="38">
        <v>3</v>
      </c>
      <c r="W48" s="39" t="s">
        <v>441</v>
      </c>
      <c r="X48" s="40">
        <v>2</v>
      </c>
      <c r="Z48" s="40" t="s">
        <v>355</v>
      </c>
      <c r="AB48" s="41">
        <f t="shared" si="0"/>
        <v>8.7873462214411256E-3</v>
      </c>
    </row>
    <row r="49" spans="1:28" x14ac:dyDescent="0.2">
      <c r="A49" s="38" t="s">
        <v>253</v>
      </c>
      <c r="B49" s="38" t="s">
        <v>377</v>
      </c>
      <c r="C49" s="38" t="s">
        <v>378</v>
      </c>
      <c r="D49" s="52">
        <f>H49*((1/Conversions!$K$5)*(1/1000000))</f>
        <v>9722.2249228402561</v>
      </c>
      <c r="E49" s="52">
        <f>I49*((1/Conversions!$K$5)*(1/1000000))</f>
        <v>2777.7785493829306</v>
      </c>
      <c r="F49" s="52">
        <f>J49*((1/Conversions!$K$5)*(1/1000000))</f>
        <v>16666.671296297583</v>
      </c>
      <c r="G49" s="53"/>
      <c r="H49" s="53">
        <v>35000</v>
      </c>
      <c r="I49" s="53">
        <v>10000</v>
      </c>
      <c r="J49" s="53">
        <v>60000</v>
      </c>
      <c r="K49" s="53">
        <v>1</v>
      </c>
      <c r="L49" s="39" t="s">
        <v>383</v>
      </c>
      <c r="M49" s="40">
        <v>3</v>
      </c>
      <c r="O49" s="52">
        <f>S49*((1/Conversions!$K$5)*(1/1000000))</f>
        <v>66.666685185190332</v>
      </c>
      <c r="P49" s="52">
        <f>T49*((1/Conversions!$K$5)*(1/1000000))</f>
        <v>26.388896219137838</v>
      </c>
      <c r="Q49" s="52">
        <f>U49*((1/Conversions!$K$5)*(1/1000000))</f>
        <v>80.833355787043274</v>
      </c>
      <c r="S49" s="38">
        <v>240</v>
      </c>
      <c r="T49" s="38">
        <v>95</v>
      </c>
      <c r="U49" s="38">
        <v>291</v>
      </c>
      <c r="V49" s="38">
        <v>2</v>
      </c>
      <c r="W49" s="39" t="s">
        <v>442</v>
      </c>
      <c r="X49" s="40">
        <v>2</v>
      </c>
      <c r="Z49" s="40" t="s">
        <v>355</v>
      </c>
      <c r="AB49" s="41">
        <f t="shared" si="0"/>
        <v>6.8571428571428568E-3</v>
      </c>
    </row>
    <row r="50" spans="1:28" x14ac:dyDescent="0.2">
      <c r="A50" s="38" t="s">
        <v>253</v>
      </c>
      <c r="B50" s="38" t="s">
        <v>380</v>
      </c>
      <c r="C50" s="38" t="s">
        <v>438</v>
      </c>
      <c r="D50" s="52">
        <f>H50*((1/Conversions!$K$5)*(1/1000000))</f>
        <v>1652.7782368828437</v>
      </c>
      <c r="E50" s="52">
        <f>I50*((1/Conversions!$K$5)*(1/1000000))</f>
        <v>1652.7782368828437</v>
      </c>
      <c r="F50" s="52">
        <f>J50*((1/Conversions!$K$5)*(1/1000000))</f>
        <v>1652.7782368828437</v>
      </c>
      <c r="H50" s="53">
        <v>5950</v>
      </c>
      <c r="I50" s="53">
        <v>5950</v>
      </c>
      <c r="J50" s="53">
        <v>5950</v>
      </c>
      <c r="K50" s="38">
        <v>1</v>
      </c>
      <c r="L50" s="39" t="s">
        <v>389</v>
      </c>
      <c r="M50" s="40">
        <v>3</v>
      </c>
      <c r="O50" s="52">
        <f>S50*((1/Conversions!$K$5)*(1/1000000))</f>
        <v>66.666685185190332</v>
      </c>
      <c r="P50" s="52">
        <f>T50*((1/Conversions!$K$5)*(1/1000000))</f>
        <v>66.666685185190332</v>
      </c>
      <c r="Q50" s="52">
        <f>U50*((1/Conversions!$K$5)*(1/1000000))</f>
        <v>66.666685185190332</v>
      </c>
      <c r="S50" s="38">
        <v>240</v>
      </c>
      <c r="T50" s="38">
        <v>240</v>
      </c>
      <c r="U50" s="38">
        <v>240</v>
      </c>
      <c r="V50" s="38">
        <v>1</v>
      </c>
      <c r="W50" s="39" t="s">
        <v>389</v>
      </c>
      <c r="X50" s="40">
        <v>2</v>
      </c>
      <c r="Z50" s="40" t="s">
        <v>355</v>
      </c>
      <c r="AB50" s="41">
        <f t="shared" si="0"/>
        <v>4.0336134453781515E-2</v>
      </c>
    </row>
    <row r="51" spans="1:28" x14ac:dyDescent="0.2">
      <c r="A51" s="38" t="s">
        <v>253</v>
      </c>
      <c r="B51" s="38" t="s">
        <v>381</v>
      </c>
      <c r="C51" s="38" t="s">
        <v>438</v>
      </c>
      <c r="D51" s="52">
        <f>H51*((1/Conversions!$K$5)*(1/1000000))</f>
        <v>70.277797299388141</v>
      </c>
      <c r="E51" s="52">
        <f>I51*((1/Conversions!$K$5)*(1/1000000))</f>
        <v>41.666678240743956</v>
      </c>
      <c r="F51" s="52">
        <f>J51*((1/Conversions!$K$5)*(1/1000000))</f>
        <v>78.61113294753693</v>
      </c>
      <c r="H51" s="38">
        <v>253</v>
      </c>
      <c r="I51" s="38">
        <v>150</v>
      </c>
      <c r="J51" s="38">
        <v>283</v>
      </c>
      <c r="K51" s="38">
        <v>6</v>
      </c>
      <c r="L51" s="39" t="s">
        <v>443</v>
      </c>
      <c r="M51" s="40">
        <v>3</v>
      </c>
      <c r="O51" s="52">
        <f>S51*((1/Conversions!$K$5)*(1/1000000))</f>
        <v>55.000015277782026</v>
      </c>
      <c r="P51" s="52">
        <f>T51*((1/Conversions!$K$5)*(1/1000000))</f>
        <v>36.111121141978096</v>
      </c>
      <c r="Q51" s="52">
        <f>U51*((1/Conversions!$K$5)*(1/1000000))</f>
        <v>83.333356481487911</v>
      </c>
      <c r="S51" s="38">
        <v>198</v>
      </c>
      <c r="T51" s="38">
        <v>130</v>
      </c>
      <c r="U51" s="38">
        <v>300</v>
      </c>
      <c r="V51" s="38">
        <v>5</v>
      </c>
      <c r="W51" s="39" t="s">
        <v>444</v>
      </c>
      <c r="X51" s="40">
        <v>2</v>
      </c>
      <c r="Z51" s="40" t="s">
        <v>355</v>
      </c>
      <c r="AB51" s="41">
        <f t="shared" si="0"/>
        <v>0.78260869565217395</v>
      </c>
    </row>
    <row r="52" spans="1:28" x14ac:dyDescent="0.2">
      <c r="A52" s="38" t="s">
        <v>253</v>
      </c>
      <c r="B52" s="38" t="s">
        <v>381</v>
      </c>
      <c r="C52" s="38" t="s">
        <v>445</v>
      </c>
      <c r="D52" s="52">
        <f>H52*((1/Conversions!$K$5)*(1/1000000))</f>
        <v>137.77781604939335</v>
      </c>
      <c r="E52" s="52">
        <f>I52*((1/Conversions!$K$5)*(1/1000000))</f>
        <v>135.2778153549487</v>
      </c>
      <c r="F52" s="52">
        <f>J52*((1/Conversions!$K$5)*(1/1000000))</f>
        <v>140.55559459877628</v>
      </c>
      <c r="H52" s="38">
        <v>496</v>
      </c>
      <c r="I52" s="38">
        <v>487</v>
      </c>
      <c r="J52" s="38">
        <v>506</v>
      </c>
      <c r="K52" s="38">
        <v>2</v>
      </c>
      <c r="L52" s="39" t="s">
        <v>398</v>
      </c>
      <c r="M52" s="40">
        <v>3</v>
      </c>
      <c r="O52" s="52">
        <f>S52*((1/Conversions!$K$5)*(1/1000000))</f>
        <v>105.00002916667476</v>
      </c>
      <c r="P52" s="52">
        <f>T52*((1/Conversions!$K$5)*(1/1000000))</f>
        <v>105.00002916667476</v>
      </c>
      <c r="Q52" s="52">
        <f>U52*((1/Conversions!$K$5)*(1/1000000))</f>
        <v>105.00002916667476</v>
      </c>
      <c r="S52" s="38">
        <v>378</v>
      </c>
      <c r="T52" s="38">
        <v>378</v>
      </c>
      <c r="U52" s="38">
        <v>378</v>
      </c>
      <c r="V52" s="38">
        <v>1</v>
      </c>
      <c r="W52" s="39" t="s">
        <v>399</v>
      </c>
      <c r="X52" s="40">
        <v>2</v>
      </c>
      <c r="Z52" s="40" t="s">
        <v>355</v>
      </c>
      <c r="AB52" s="41">
        <f t="shared" si="0"/>
        <v>0.76209677419354838</v>
      </c>
    </row>
    <row r="53" spans="1:28" x14ac:dyDescent="0.2">
      <c r="A53" s="38" t="s">
        <v>253</v>
      </c>
      <c r="B53" s="38" t="s">
        <v>381</v>
      </c>
      <c r="C53" s="38" t="s">
        <v>378</v>
      </c>
      <c r="D53" s="52">
        <f>H53*((1/Conversions!$K$5)*(1/1000000))</f>
        <v>334.16675949076654</v>
      </c>
      <c r="E53" s="52">
        <f>I53*((1/Conversions!$K$5)*(1/1000000))</f>
        <v>263.88896219137837</v>
      </c>
      <c r="F53" s="52">
        <f>J53*((1/Conversions!$K$5)*(1/1000000))</f>
        <v>405.55566820990782</v>
      </c>
      <c r="H53" s="53">
        <v>1203</v>
      </c>
      <c r="I53" s="38">
        <v>950</v>
      </c>
      <c r="J53" s="53">
        <v>1460</v>
      </c>
      <c r="K53" s="38">
        <v>2</v>
      </c>
      <c r="L53" s="39" t="s">
        <v>446</v>
      </c>
      <c r="M53" s="40">
        <v>3</v>
      </c>
      <c r="O53" s="52">
        <f>S53*((1/Conversions!$K$5)*(1/1000000))</f>
        <v>229.44450817903007</v>
      </c>
      <c r="P53" s="52">
        <f>T53*((1/Conversions!$K$5)*(1/1000000))</f>
        <v>183.88893996914999</v>
      </c>
      <c r="Q53" s="52">
        <f>U53*((1/Conversions!$K$5)*(1/1000000))</f>
        <v>325.00009027780288</v>
      </c>
      <c r="S53" s="38">
        <v>826</v>
      </c>
      <c r="T53" s="38">
        <v>662</v>
      </c>
      <c r="U53" s="53">
        <v>1170</v>
      </c>
      <c r="V53" s="38">
        <v>4</v>
      </c>
      <c r="W53" s="39" t="s">
        <v>447</v>
      </c>
      <c r="X53" s="40">
        <v>2</v>
      </c>
      <c r="Z53" s="40" t="s">
        <v>355</v>
      </c>
      <c r="AB53" s="41">
        <f t="shared" si="0"/>
        <v>0.68661679135494602</v>
      </c>
    </row>
    <row r="54" spans="1:28" x14ac:dyDescent="0.2">
      <c r="A54" s="38" t="s">
        <v>448</v>
      </c>
      <c r="B54" s="38" t="s">
        <v>377</v>
      </c>
      <c r="C54" s="38" t="s">
        <v>385</v>
      </c>
      <c r="D54" s="52">
        <f>H54*((1/Conversions!$K$5)*(1/1000000))</f>
        <v>12319.447866513297</v>
      </c>
      <c r="E54" s="52">
        <f>I54*((1/Conversions!$K$5)*(1/1000000))</f>
        <v>6944.4463734573264</v>
      </c>
      <c r="F54" s="52">
        <f>J54*((1/Conversions!$K$5)*(1/1000000))</f>
        <v>16666.671296297583</v>
      </c>
      <c r="H54" s="53">
        <v>44350</v>
      </c>
      <c r="I54" s="53">
        <v>25000</v>
      </c>
      <c r="J54" s="53">
        <v>60000</v>
      </c>
      <c r="K54" s="38">
        <v>4</v>
      </c>
      <c r="L54" s="39" t="s">
        <v>449</v>
      </c>
      <c r="M54" s="40">
        <v>3</v>
      </c>
      <c r="O54" s="52">
        <f>S54*((1/Conversions!$K$5)*(1/1000000))</f>
        <v>74.722242978400828</v>
      </c>
      <c r="P54" s="52">
        <f>T54*((1/Conversions!$K$5)*(1/1000000))</f>
        <v>27.777785493829306</v>
      </c>
      <c r="Q54" s="52">
        <f>U54*((1/Conversions!$K$5)*(1/1000000))</f>
        <v>111.11114197531722</v>
      </c>
      <c r="S54" s="38">
        <v>269</v>
      </c>
      <c r="T54" s="38">
        <v>100</v>
      </c>
      <c r="U54" s="38">
        <v>400</v>
      </c>
      <c r="V54" s="38">
        <v>4</v>
      </c>
      <c r="W54" s="39" t="s">
        <v>449</v>
      </c>
      <c r="X54" s="40">
        <v>2</v>
      </c>
      <c r="Z54" s="40" t="s">
        <v>355</v>
      </c>
      <c r="AB54" s="41">
        <f t="shared" si="0"/>
        <v>6.0653889515219842E-3</v>
      </c>
    </row>
    <row r="55" spans="1:28" x14ac:dyDescent="0.2">
      <c r="A55" s="38" t="s">
        <v>448</v>
      </c>
      <c r="B55" s="38" t="s">
        <v>380</v>
      </c>
      <c r="C55" s="38" t="s">
        <v>385</v>
      </c>
      <c r="D55" s="52">
        <f>H55*((1/Conversions!$K$5)*(1/1000000))</f>
        <v>1958.333877314966</v>
      </c>
      <c r="E55" s="52">
        <f>I55*((1/Conversions!$K$5)*(1/1000000))</f>
        <v>138.88892746914652</v>
      </c>
      <c r="F55" s="52">
        <f>J55*((1/Conversions!$K$5)*(1/1000000))</f>
        <v>3611.1121141978097</v>
      </c>
      <c r="H55" s="53">
        <v>7050</v>
      </c>
      <c r="I55" s="38">
        <v>500</v>
      </c>
      <c r="J55" s="53">
        <v>13000</v>
      </c>
      <c r="K55" s="38">
        <v>2</v>
      </c>
      <c r="L55" s="39" t="s">
        <v>391</v>
      </c>
      <c r="M55" s="40">
        <v>3</v>
      </c>
      <c r="O55" s="52">
        <f>S55*((1/Conversions!$K$5)*(1/1000000))</f>
        <v>169.44449151235875</v>
      </c>
      <c r="P55" s="52">
        <f>T55*((1/Conversions!$K$5)*(1/1000000))</f>
        <v>155.5555987654441</v>
      </c>
      <c r="Q55" s="52">
        <f>U55*((1/Conversions!$K$5)*(1/1000000))</f>
        <v>200.00005555557098</v>
      </c>
      <c r="S55" s="38">
        <v>610</v>
      </c>
      <c r="T55" s="38">
        <v>560</v>
      </c>
      <c r="U55" s="38">
        <v>720</v>
      </c>
      <c r="V55" s="38">
        <v>2</v>
      </c>
      <c r="W55" s="39" t="s">
        <v>391</v>
      </c>
      <c r="X55" s="40">
        <v>2</v>
      </c>
      <c r="Z55" s="40" t="s">
        <v>355</v>
      </c>
      <c r="AB55" s="41">
        <f t="shared" si="0"/>
        <v>8.6524822695035461E-2</v>
      </c>
    </row>
    <row r="56" spans="1:28" x14ac:dyDescent="0.2">
      <c r="A56" s="38" t="s">
        <v>448</v>
      </c>
      <c r="B56" s="38" t="s">
        <v>381</v>
      </c>
      <c r="C56" s="38" t="s">
        <v>385</v>
      </c>
      <c r="D56" s="52">
        <f>H56*((1/Conversions!$K$5)*(1/1000000))</f>
        <v>305.83341828706062</v>
      </c>
      <c r="E56" s="52">
        <f>I56*((1/Conversions!$K$5)*(1/1000000))</f>
        <v>222.22228395063445</v>
      </c>
      <c r="F56" s="52">
        <f>J56*((1/Conversions!$K$5)*(1/1000000))</f>
        <v>722.22242283956189</v>
      </c>
      <c r="H56" s="53">
        <v>1101</v>
      </c>
      <c r="I56" s="38">
        <v>800</v>
      </c>
      <c r="J56" s="53">
        <v>2600</v>
      </c>
      <c r="K56" s="38">
        <v>3</v>
      </c>
      <c r="L56" s="39" t="s">
        <v>450</v>
      </c>
      <c r="M56" s="40">
        <v>3</v>
      </c>
      <c r="O56" s="52">
        <f>S56*((1/Conversions!$K$5)*(1/1000000))</f>
        <v>186.66671851853292</v>
      </c>
      <c r="P56" s="52">
        <f>T56*((1/Conversions!$K$5)*(1/1000000))</f>
        <v>161.38893371914827</v>
      </c>
      <c r="Q56" s="52">
        <f>U56*((1/Conversions!$K$5)*(1/1000000))</f>
        <v>234.72228742285762</v>
      </c>
      <c r="S56" s="38">
        <v>672</v>
      </c>
      <c r="T56" s="38">
        <v>581</v>
      </c>
      <c r="U56" s="38">
        <v>845</v>
      </c>
      <c r="V56" s="38">
        <v>6</v>
      </c>
      <c r="W56" s="39" t="s">
        <v>451</v>
      </c>
      <c r="X56" s="40">
        <v>2</v>
      </c>
      <c r="Z56" s="40" t="s">
        <v>355</v>
      </c>
      <c r="AB56" s="41">
        <f t="shared" si="0"/>
        <v>0.61035422343324253</v>
      </c>
    </row>
    <row r="57" spans="1:28" x14ac:dyDescent="0.2">
      <c r="A57" s="38" t="s">
        <v>452</v>
      </c>
      <c r="B57" s="38" t="s">
        <v>414</v>
      </c>
      <c r="C57" s="38" t="s">
        <v>453</v>
      </c>
      <c r="D57" s="52">
        <f>H57*((1/Conversions!$K$5)*(1/1000000))</f>
        <v>7.2222242283956195</v>
      </c>
      <c r="E57" s="52"/>
      <c r="F57" s="52"/>
      <c r="H57" s="38">
        <f>S57</f>
        <v>26</v>
      </c>
      <c r="L57" s="39" t="s">
        <v>374</v>
      </c>
      <c r="M57" s="40" t="s">
        <v>374</v>
      </c>
      <c r="O57" s="52">
        <f>S57*((1/Conversions!$K$5)*(1/1000000))</f>
        <v>7.2222242283956195</v>
      </c>
      <c r="P57" s="52">
        <f>T57*((1/Conversions!$K$5)*(1/1000000))</f>
        <v>0</v>
      </c>
      <c r="Q57" s="52">
        <f>U57*((1/Conversions!$K$5)*(1/1000000))</f>
        <v>9.1666692129636704</v>
      </c>
      <c r="S57" s="38">
        <v>26</v>
      </c>
      <c r="T57" s="38">
        <v>0</v>
      </c>
      <c r="U57" s="38">
        <v>33</v>
      </c>
      <c r="V57" s="38">
        <v>3</v>
      </c>
      <c r="W57" s="39" t="s">
        <v>454</v>
      </c>
      <c r="X57" s="40">
        <v>1</v>
      </c>
      <c r="Z57" s="40" t="s">
        <v>376</v>
      </c>
      <c r="AB57" s="41">
        <f t="shared" si="0"/>
        <v>1</v>
      </c>
    </row>
    <row r="58" spans="1:28" x14ac:dyDescent="0.2">
      <c r="A58" s="38" t="s">
        <v>455</v>
      </c>
      <c r="B58" s="38" t="s">
        <v>414</v>
      </c>
      <c r="C58" s="38" t="s">
        <v>456</v>
      </c>
      <c r="D58" s="52">
        <f>H58*((1/Conversions!$K$5)*(1/1000000))</f>
        <v>0</v>
      </c>
      <c r="E58" s="52"/>
      <c r="F58" s="52"/>
      <c r="H58" s="38">
        <f>S58</f>
        <v>0</v>
      </c>
      <c r="L58" s="39" t="s">
        <v>374</v>
      </c>
      <c r="M58" s="40" t="s">
        <v>374</v>
      </c>
      <c r="O58" s="52">
        <f>S58*((1/Conversions!$K$5)*(1/1000000))</f>
        <v>0</v>
      </c>
      <c r="P58" s="52">
        <f>T58*((1/Conversions!$K$5)*(1/1000000))</f>
        <v>0</v>
      </c>
      <c r="Q58" s="52">
        <f>U58*((1/Conversions!$K$5)*(1/1000000))</f>
        <v>0.27777785493829305</v>
      </c>
      <c r="S58" s="38">
        <v>0</v>
      </c>
      <c r="T58" s="38">
        <v>0</v>
      </c>
      <c r="U58" s="38">
        <v>1</v>
      </c>
      <c r="V58" s="38">
        <v>2</v>
      </c>
      <c r="W58" s="39" t="s">
        <v>457</v>
      </c>
      <c r="X58" s="40">
        <v>1</v>
      </c>
      <c r="Z58" s="40" t="s">
        <v>376</v>
      </c>
      <c r="AB58" s="41" t="e">
        <f t="shared" si="0"/>
        <v>#DIV/0!</v>
      </c>
    </row>
    <row r="60" spans="1:28" ht="13.5" thickBot="1" x14ac:dyDescent="0.25"/>
    <row r="61" spans="1:28" ht="13.5" thickTop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5"/>
      <c r="M61" s="56"/>
    </row>
    <row r="62" spans="1:28" x14ac:dyDescent="0.2">
      <c r="A62" s="38" t="s">
        <v>458</v>
      </c>
    </row>
    <row r="63" spans="1:28" x14ac:dyDescent="0.2">
      <c r="A63" s="38" t="s">
        <v>459</v>
      </c>
    </row>
    <row r="64" spans="1:28" x14ac:dyDescent="0.2">
      <c r="A64" s="57" t="s">
        <v>460</v>
      </c>
    </row>
    <row r="65" spans="1:18" x14ac:dyDescent="0.2">
      <c r="D65" s="134" t="s">
        <v>461</v>
      </c>
      <c r="E65" s="134"/>
      <c r="F65" s="134"/>
      <c r="G65" s="134"/>
      <c r="H65" s="134"/>
      <c r="I65" s="134"/>
      <c r="J65" s="134"/>
    </row>
    <row r="66" spans="1:18" ht="14.25" x14ac:dyDescent="0.25">
      <c r="D66" s="135" t="s">
        <v>359</v>
      </c>
      <c r="E66" s="135"/>
      <c r="F66" s="135"/>
      <c r="G66" s="58"/>
      <c r="H66" s="135" t="s">
        <v>462</v>
      </c>
      <c r="I66" s="135"/>
      <c r="J66" s="135"/>
    </row>
    <row r="67" spans="1:18" ht="51" x14ac:dyDescent="0.2">
      <c r="A67" s="50" t="s">
        <v>361</v>
      </c>
      <c r="B67" s="50" t="s">
        <v>362</v>
      </c>
      <c r="C67" s="50" t="s">
        <v>363</v>
      </c>
      <c r="D67" s="59" t="s">
        <v>463</v>
      </c>
      <c r="E67" s="59" t="s">
        <v>464</v>
      </c>
      <c r="F67" s="59" t="s">
        <v>465</v>
      </c>
      <c r="G67" s="125"/>
      <c r="H67" s="59" t="s">
        <v>463</v>
      </c>
      <c r="I67" s="59" t="s">
        <v>464</v>
      </c>
      <c r="J67" s="59" t="s">
        <v>465</v>
      </c>
    </row>
    <row r="68" spans="1:18" x14ac:dyDescent="0.2">
      <c r="A68" s="53" t="s">
        <v>448</v>
      </c>
      <c r="C68" s="38" t="s">
        <v>466</v>
      </c>
      <c r="D68" s="60">
        <f>H68*(1/Conversions!$K$7)*Conversions!$K$6*(1/1000000)</f>
        <v>0.94728366409321263</v>
      </c>
      <c r="E68" s="60">
        <f>I68*(1/Conversions!$K$7)*Conversions!$K$6*(1/1000000)</f>
        <v>3.3154928243262445</v>
      </c>
      <c r="F68" s="60">
        <f>J68*(1/Conversions!$K$7)*Conversions!$K$6*(1/1000000)</f>
        <v>5.6837019845592769</v>
      </c>
      <c r="G68" s="61"/>
      <c r="H68" s="60">
        <v>1</v>
      </c>
      <c r="I68" s="60">
        <f>AVERAGE(H68,J68)</f>
        <v>3.5</v>
      </c>
      <c r="J68" s="60">
        <v>6</v>
      </c>
    </row>
    <row r="69" spans="1:18" x14ac:dyDescent="0.2">
      <c r="A69" s="53" t="s">
        <v>448</v>
      </c>
      <c r="C69" s="38" t="s">
        <v>467</v>
      </c>
      <c r="D69" s="60">
        <f>H69*(1/Conversions!$K$7)*Conversions!$K$6*(1/1000000)</f>
        <v>6.630985648652489</v>
      </c>
      <c r="E69" s="60">
        <f>I69*(1/Conversions!$K$7)*Conversions!$K$6*(1/1000000)</f>
        <v>7.1046274806990954</v>
      </c>
      <c r="F69" s="60">
        <f>J69*(1/Conversions!$K$7)*Conversions!$K$6*(1/1000000)</f>
        <v>7.578269312745701</v>
      </c>
      <c r="G69" s="61"/>
      <c r="H69" s="60">
        <v>7</v>
      </c>
      <c r="I69" s="60">
        <f>AVERAGE(H69,J69)</f>
        <v>7.5</v>
      </c>
      <c r="J69" s="60">
        <v>8</v>
      </c>
    </row>
    <row r="70" spans="1:18" x14ac:dyDescent="0.2">
      <c r="A70" s="57" t="s">
        <v>252</v>
      </c>
      <c r="C70" s="57" t="s">
        <v>468</v>
      </c>
      <c r="D70" s="60">
        <f>H70*(1/Conversions!$K$7)*Conversions!$K$6*(1/1000000)</f>
        <v>0.94728366409321263</v>
      </c>
      <c r="E70" s="60">
        <f>I70*(1/Conversions!$K$7)*Conversions!$K$6*(1/1000000)</f>
        <v>3.3154928243262445</v>
      </c>
      <c r="F70" s="60">
        <f>J70*(1/Conversions!$K$7)*Conversions!$K$6*(1/1000000)</f>
        <v>5.6837019845592769</v>
      </c>
      <c r="G70" s="61"/>
      <c r="H70" s="60">
        <v>1</v>
      </c>
      <c r="I70" s="60">
        <f t="shared" ref="I70" si="2">AVERAGE(H70,J70)</f>
        <v>3.5</v>
      </c>
      <c r="J70" s="60">
        <v>6</v>
      </c>
      <c r="K70" s="136" t="s">
        <v>469</v>
      </c>
      <c r="L70" s="137"/>
      <c r="M70" s="137"/>
      <c r="N70" s="137"/>
      <c r="O70" s="137"/>
      <c r="P70" s="137"/>
      <c r="Q70" s="137"/>
      <c r="R70" s="137"/>
    </row>
  </sheetData>
  <mergeCells count="12">
    <mergeCell ref="D65:J65"/>
    <mergeCell ref="D66:F66"/>
    <mergeCell ref="H66:J66"/>
    <mergeCell ref="K70:R70"/>
    <mergeCell ref="L3:T4"/>
    <mergeCell ref="D6:M6"/>
    <mergeCell ref="O6:X6"/>
    <mergeCell ref="AB6:AB8"/>
    <mergeCell ref="D7:F7"/>
    <mergeCell ref="H7:J7"/>
    <mergeCell ref="O7:Q7"/>
    <mergeCell ref="S7:U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1F25-E862-4A22-82EE-B2D16F601523}">
  <dimension ref="B1:BP172"/>
  <sheetViews>
    <sheetView workbookViewId="0">
      <selection activeCell="E13" sqref="E13"/>
    </sheetView>
  </sheetViews>
  <sheetFormatPr defaultColWidth="9.140625" defaultRowHeight="12.75" x14ac:dyDescent="0.2"/>
  <cols>
    <col min="1" max="1" width="5.140625" style="10" customWidth="1"/>
    <col min="2" max="2" width="29" style="10" customWidth="1"/>
    <col min="3" max="3" width="13.42578125" style="10" bestFit="1" customWidth="1"/>
    <col min="4" max="5" width="10" style="10" bestFit="1" customWidth="1"/>
    <col min="6" max="6" width="9.85546875" style="10" bestFit="1" customWidth="1"/>
    <col min="7" max="7" width="13.42578125" style="10" bestFit="1" customWidth="1"/>
    <col min="8" max="10" width="10.42578125" style="10" bestFit="1" customWidth="1"/>
    <col min="11" max="11" width="9.5703125" style="10" bestFit="1" customWidth="1"/>
    <col min="12" max="12" width="9.42578125" style="10" bestFit="1" customWidth="1"/>
    <col min="13" max="17" width="9.5703125" style="10" bestFit="1" customWidth="1"/>
    <col min="18" max="18" width="9.42578125" style="10" bestFit="1" customWidth="1"/>
    <col min="19" max="23" width="9.5703125" style="10" bestFit="1" customWidth="1"/>
    <col min="24" max="24" width="9.42578125" style="10" bestFit="1" customWidth="1"/>
    <col min="25" max="29" width="9.5703125" style="10" bestFit="1" customWidth="1"/>
    <col min="30" max="30" width="9.42578125" style="10" bestFit="1" customWidth="1"/>
    <col min="31" max="35" width="9.5703125" style="10" bestFit="1" customWidth="1"/>
    <col min="36" max="36" width="9.42578125" style="10" bestFit="1" customWidth="1"/>
    <col min="37" max="41" width="9.5703125" style="10" bestFit="1" customWidth="1"/>
    <col min="42" max="42" width="9.42578125" style="10" bestFit="1" customWidth="1"/>
    <col min="43" max="43" width="9.5703125" style="10" bestFit="1" customWidth="1"/>
    <col min="44" max="46" width="10.85546875" style="10" bestFit="1" customWidth="1"/>
    <col min="47" max="47" width="9.42578125" style="10" bestFit="1" customWidth="1"/>
    <col min="48" max="48" width="9.140625" style="10"/>
    <col min="49" max="50" width="9.42578125" style="10" bestFit="1" customWidth="1"/>
    <col min="51" max="53" width="10.5703125" style="10" bestFit="1" customWidth="1"/>
    <col min="54" max="54" width="9.140625" style="10"/>
    <col min="55" max="55" width="9.5703125" style="10" bestFit="1" customWidth="1"/>
    <col min="56" max="56" width="10.5703125" style="10" bestFit="1" customWidth="1"/>
    <col min="57" max="58" width="9.42578125" style="10" bestFit="1" customWidth="1"/>
    <col min="59" max="62" width="11.42578125" style="10" customWidth="1"/>
    <col min="63" max="65" width="9.42578125" style="10" bestFit="1" customWidth="1"/>
    <col min="66" max="66" width="9.140625" style="10"/>
    <col min="67" max="68" width="9.42578125" style="10" bestFit="1" customWidth="1"/>
    <col min="69" max="16384" width="9.140625" style="10"/>
  </cols>
  <sheetData>
    <row r="1" spans="2:68" x14ac:dyDescent="0.2">
      <c r="B1" s="10" t="s">
        <v>470</v>
      </c>
    </row>
    <row r="2" spans="2:68" x14ac:dyDescent="0.2">
      <c r="B2" s="10" t="s">
        <v>471</v>
      </c>
    </row>
    <row r="3" spans="2:68" x14ac:dyDescent="0.2">
      <c r="B3" s="10" t="s">
        <v>472</v>
      </c>
      <c r="E3" s="10">
        <f>1/1.1</f>
        <v>0.90909090909090906</v>
      </c>
    </row>
    <row r="4" spans="2:68" x14ac:dyDescent="0.2">
      <c r="B4" s="10" t="s">
        <v>473</v>
      </c>
      <c r="U4" s="10" t="s">
        <v>474</v>
      </c>
    </row>
    <row r="5" spans="2:68" x14ac:dyDescent="0.2">
      <c r="B5" s="10" t="s">
        <v>475</v>
      </c>
    </row>
    <row r="6" spans="2:68" x14ac:dyDescent="0.2">
      <c r="B6" s="10" t="s">
        <v>476</v>
      </c>
    </row>
    <row r="8" spans="2:68" x14ac:dyDescent="0.2">
      <c r="B8" s="10" t="s">
        <v>248</v>
      </c>
      <c r="C8" s="10" t="s">
        <v>23</v>
      </c>
      <c r="D8" s="10" t="s">
        <v>23</v>
      </c>
      <c r="E8" s="10" t="s">
        <v>23</v>
      </c>
      <c r="F8" s="10" t="s">
        <v>23</v>
      </c>
      <c r="G8" s="10" t="s">
        <v>23</v>
      </c>
      <c r="H8" s="10" t="s">
        <v>23</v>
      </c>
      <c r="I8" s="10" t="s">
        <v>24</v>
      </c>
      <c r="J8" s="10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25</v>
      </c>
      <c r="P8" s="10" t="s">
        <v>25</v>
      </c>
      <c r="Q8" s="10" t="s">
        <v>25</v>
      </c>
      <c r="R8" s="10" t="s">
        <v>25</v>
      </c>
      <c r="S8" s="10" t="s">
        <v>25</v>
      </c>
      <c r="T8" s="10" t="s">
        <v>25</v>
      </c>
      <c r="U8" s="10" t="s">
        <v>26</v>
      </c>
      <c r="V8" s="10" t="s">
        <v>26</v>
      </c>
      <c r="W8" s="10" t="s">
        <v>26</v>
      </c>
      <c r="X8" s="10" t="s">
        <v>26</v>
      </c>
      <c r="Y8" s="10" t="s">
        <v>26</v>
      </c>
      <c r="Z8" s="10" t="s">
        <v>26</v>
      </c>
      <c r="AA8" s="10" t="s">
        <v>27</v>
      </c>
      <c r="AB8" s="10" t="s">
        <v>27</v>
      </c>
      <c r="AC8" s="10" t="s">
        <v>27</v>
      </c>
      <c r="AD8" s="10" t="s">
        <v>27</v>
      </c>
      <c r="AE8" s="10" t="s">
        <v>27</v>
      </c>
      <c r="AF8" s="10" t="s">
        <v>27</v>
      </c>
      <c r="AG8" s="10" t="s">
        <v>28</v>
      </c>
      <c r="AH8" s="10" t="s">
        <v>28</v>
      </c>
      <c r="AI8" s="10" t="s">
        <v>28</v>
      </c>
      <c r="AJ8" s="10" t="s">
        <v>28</v>
      </c>
      <c r="AK8" s="10" t="s">
        <v>28</v>
      </c>
      <c r="AL8" s="10" t="s">
        <v>28</v>
      </c>
      <c r="AM8" s="10" t="s">
        <v>29</v>
      </c>
      <c r="AN8" s="10" t="s">
        <v>29</v>
      </c>
      <c r="AO8" s="10" t="s">
        <v>29</v>
      </c>
      <c r="AP8" s="10" t="s">
        <v>29</v>
      </c>
      <c r="AQ8" s="10" t="s">
        <v>29</v>
      </c>
      <c r="AR8" s="10" t="s">
        <v>29</v>
      </c>
      <c r="AS8" s="10" t="s">
        <v>30</v>
      </c>
      <c r="AT8" s="10" t="s">
        <v>30</v>
      </c>
      <c r="AU8" s="10" t="s">
        <v>30</v>
      </c>
      <c r="AV8" s="10" t="s">
        <v>30</v>
      </c>
      <c r="AW8" s="10" t="s">
        <v>30</v>
      </c>
      <c r="AX8" s="10" t="s">
        <v>30</v>
      </c>
      <c r="AY8" s="10" t="s">
        <v>32</v>
      </c>
      <c r="AZ8" s="10" t="s">
        <v>32</v>
      </c>
      <c r="BA8" s="10" t="s">
        <v>32</v>
      </c>
      <c r="BB8" s="10" t="s">
        <v>32</v>
      </c>
      <c r="BC8" s="10" t="s">
        <v>32</v>
      </c>
      <c r="BD8" s="10" t="s">
        <v>32</v>
      </c>
      <c r="BE8" s="10" t="s">
        <v>22</v>
      </c>
      <c r="BF8" s="10" t="s">
        <v>22</v>
      </c>
      <c r="BG8" s="10" t="s">
        <v>22</v>
      </c>
      <c r="BH8" s="10" t="s">
        <v>22</v>
      </c>
      <c r="BI8" s="10" t="s">
        <v>22</v>
      </c>
      <c r="BJ8" s="10" t="s">
        <v>22</v>
      </c>
      <c r="BK8" s="10" t="s">
        <v>31</v>
      </c>
      <c r="BL8" s="10" t="s">
        <v>31</v>
      </c>
      <c r="BM8" s="10" t="s">
        <v>31</v>
      </c>
      <c r="BN8" s="10" t="s">
        <v>31</v>
      </c>
      <c r="BO8" s="10" t="s">
        <v>31</v>
      </c>
      <c r="BP8" s="10" t="s">
        <v>31</v>
      </c>
    </row>
    <row r="9" spans="2:68" x14ac:dyDescent="0.2">
      <c r="C9" s="10">
        <v>2005</v>
      </c>
      <c r="D9" s="10">
        <v>2010</v>
      </c>
      <c r="E9" s="10">
        <v>2015</v>
      </c>
      <c r="F9" s="10">
        <v>2020</v>
      </c>
      <c r="G9" s="10">
        <v>2025</v>
      </c>
      <c r="H9" s="10" t="s">
        <v>477</v>
      </c>
      <c r="I9" s="10">
        <v>2005</v>
      </c>
      <c r="J9" s="10">
        <v>2010</v>
      </c>
      <c r="K9" s="10">
        <v>2015</v>
      </c>
      <c r="L9" s="10">
        <v>2020</v>
      </c>
      <c r="M9" s="10">
        <v>2025</v>
      </c>
      <c r="N9" s="10" t="s">
        <v>477</v>
      </c>
      <c r="O9" s="10">
        <v>2005</v>
      </c>
      <c r="P9" s="10">
        <v>2010</v>
      </c>
      <c r="Q9" s="10">
        <v>2015</v>
      </c>
      <c r="R9" s="10">
        <v>2020</v>
      </c>
      <c r="S9" s="10">
        <v>2025</v>
      </c>
      <c r="T9" s="10" t="s">
        <v>477</v>
      </c>
      <c r="U9" s="10">
        <v>2005</v>
      </c>
      <c r="V9" s="10">
        <v>2010</v>
      </c>
      <c r="W9" s="10">
        <v>2015</v>
      </c>
      <c r="X9" s="10">
        <v>2020</v>
      </c>
      <c r="Y9" s="10">
        <v>2025</v>
      </c>
      <c r="Z9" s="10" t="s">
        <v>477</v>
      </c>
      <c r="AA9" s="10">
        <v>2005</v>
      </c>
      <c r="AB9" s="10">
        <v>2010</v>
      </c>
      <c r="AC9" s="10">
        <v>2015</v>
      </c>
      <c r="AD9" s="10">
        <v>2020</v>
      </c>
      <c r="AE9" s="10">
        <v>2025</v>
      </c>
      <c r="AF9" s="10" t="s">
        <v>477</v>
      </c>
      <c r="AG9" s="10">
        <v>2005</v>
      </c>
      <c r="AH9" s="10">
        <v>2010</v>
      </c>
      <c r="AI9" s="10">
        <v>2015</v>
      </c>
      <c r="AJ9" s="10">
        <v>2020</v>
      </c>
      <c r="AK9" s="10">
        <v>2025</v>
      </c>
      <c r="AL9" s="10" t="s">
        <v>477</v>
      </c>
      <c r="AM9" s="10">
        <v>2005</v>
      </c>
      <c r="AN9" s="10">
        <v>2010</v>
      </c>
      <c r="AO9" s="10">
        <v>2015</v>
      </c>
      <c r="AP9" s="10">
        <v>2020</v>
      </c>
      <c r="AQ9" s="10">
        <v>2025</v>
      </c>
      <c r="AR9" s="10" t="s">
        <v>477</v>
      </c>
      <c r="AS9" s="10">
        <v>2005</v>
      </c>
      <c r="AT9" s="10">
        <v>2010</v>
      </c>
      <c r="AU9" s="10">
        <v>2015</v>
      </c>
      <c r="AV9" s="10">
        <v>2020</v>
      </c>
      <c r="AW9" s="10">
        <v>2025</v>
      </c>
      <c r="AX9" s="10" t="s">
        <v>477</v>
      </c>
      <c r="AY9" s="10">
        <v>2005</v>
      </c>
      <c r="AZ9" s="10">
        <v>2010</v>
      </c>
      <c r="BA9" s="10">
        <v>2015</v>
      </c>
      <c r="BB9" s="10">
        <v>2020</v>
      </c>
      <c r="BC9" s="10">
        <v>2025</v>
      </c>
      <c r="BD9" s="10" t="s">
        <v>477</v>
      </c>
      <c r="BE9" s="10">
        <v>2005</v>
      </c>
      <c r="BF9" s="10">
        <v>2010</v>
      </c>
      <c r="BG9" s="10">
        <v>2015</v>
      </c>
      <c r="BH9" s="10">
        <v>2020</v>
      </c>
      <c r="BI9" s="10">
        <v>2025</v>
      </c>
      <c r="BJ9" s="10" t="s">
        <v>477</v>
      </c>
      <c r="BK9" s="10">
        <v>2005</v>
      </c>
      <c r="BL9" s="10">
        <v>2010</v>
      </c>
      <c r="BM9" s="10">
        <v>2015</v>
      </c>
      <c r="BN9" s="10">
        <v>2020</v>
      </c>
      <c r="BO9" s="10">
        <v>2025</v>
      </c>
      <c r="BP9" s="10" t="s">
        <v>477</v>
      </c>
    </row>
    <row r="10" spans="2:68" x14ac:dyDescent="0.2">
      <c r="B10" s="10" t="s">
        <v>478</v>
      </c>
      <c r="C10" s="78">
        <f>IF($E$3*$C28*0.000947817&gt;D10,$E$3*$C28*0.000947817,D10)</f>
        <v>1.2157907154545454E-3</v>
      </c>
      <c r="D10" s="78">
        <f>IF($E$3*$D28*0.000947817&gt;E10,$E$3*$D28*0.000947817,E10)</f>
        <v>6.1893914908090907E-4</v>
      </c>
      <c r="E10" s="79">
        <f>$E$3*$H$28*0.453592*947817/1000000</f>
        <v>3.6865136712737831E-4</v>
      </c>
      <c r="F10" s="79">
        <f>$E$3*$I$28*0.453592*947817/1000000</f>
        <v>3.8578120417859192E-4</v>
      </c>
      <c r="G10" s="78">
        <f t="shared" ref="G10:G21" si="0">(F10+H10)/2</f>
        <v>3.951808690633693E-4</v>
      </c>
      <c r="H10" s="79">
        <f>$E$3*$J$28*0.453592*947817/1000000</f>
        <v>4.0458053394814663E-4</v>
      </c>
      <c r="I10" s="78">
        <f>IF($E$3*$C29*0.000947817&gt;J10,$E$3*$C29*0.000947817,J10)</f>
        <v>1.0901618803636362E-2</v>
      </c>
      <c r="J10" s="78">
        <f>IF($E$3*$D29*0.000947817&gt;K10,$E$3*$D29*0.000947817,K10)</f>
        <v>1.0901618803636362E-2</v>
      </c>
      <c r="K10" s="79">
        <f>$E$3*$H$29*0.453592*947817/1000000</f>
        <v>6.4556855685329274E-3</v>
      </c>
      <c r="L10" s="79">
        <f>$E$3*$I$29*0.453592*947817/1000000</f>
        <v>6.7556569010809222E-3</v>
      </c>
      <c r="M10" s="78">
        <f t="shared" ref="M10:M21" si="1">(L10+N10)/2</f>
        <v>6.9202603349934194E-3</v>
      </c>
      <c r="N10" s="79">
        <f>$E$3*$J$29*0.453592*947817/1000000</f>
        <v>7.0848637689059158E-3</v>
      </c>
      <c r="O10" s="78">
        <f>IF($E$3*$C30*0.000947817&gt;P10,$E$3*$C30*0.000947817,P10)</f>
        <v>3.6278126500909086E-2</v>
      </c>
      <c r="P10" s="78">
        <f>IF($E$3*$D30*0.000947817&gt;Q10,$E$3*$D30*0.000947817,Q10)</f>
        <v>1.8840017004545451E-2</v>
      </c>
      <c r="Q10" s="79">
        <f>$E$3*$H$30*0.453592*947817/1000000</f>
        <v>1.1155990499407003E-2</v>
      </c>
      <c r="R10" s="79">
        <f>$E$3*$I$30*0.453592*947817/1000000</f>
        <v>1.1674367254357972E-2</v>
      </c>
      <c r="S10" s="78">
        <f t="shared" ref="S10:S21" si="2">(R10+T10)/2</f>
        <v>1.1958816415551379E-2</v>
      </c>
      <c r="T10" s="79">
        <f>$E$3*$J$30*0.453592*947817/1000000</f>
        <v>1.2243265576744785E-2</v>
      </c>
      <c r="U10" s="78">
        <f>IF($E$3*$C31*0.000947817&gt;V10,$E$3*$C31*0.000947817,V10)</f>
        <v>5.3749840418181819E-3</v>
      </c>
      <c r="V10" s="78">
        <f>IF($E$3*$D31*0.000947817&gt;W10,$E$3*$D31*0.000947817,W10)</f>
        <v>2.6168365718181818E-3</v>
      </c>
      <c r="W10" s="79">
        <f>$E$3*$H$31*0.453592*947817/1000000</f>
        <v>1.5512292265025586E-3</v>
      </c>
      <c r="X10" s="79">
        <f>$E$3*$I$31*0.453592*947817/1000000</f>
        <v>1.6233089914200922E-3</v>
      </c>
      <c r="Y10" s="78">
        <f t="shared" ref="Y10:Y21" si="3">(X10+Z10)/2</f>
        <v>1.6628613603756597E-3</v>
      </c>
      <c r="Z10" s="79">
        <f>$E$3*$J$31*0.453592*947817/1000000</f>
        <v>1.702413729331227E-3</v>
      </c>
      <c r="AA10" s="78">
        <f>IF($E$3*$C32*0.000947817&gt;AB10,$E$3*$C32*0.000947817,AB10)</f>
        <v>2.687492020909091E-3</v>
      </c>
      <c r="AB10" s="78">
        <f>IF($E$3*$D32*0.000947817&gt;AC10,$E$3*$D32*0.000947817,AC10)</f>
        <v>1.3140190227272726E-3</v>
      </c>
      <c r="AC10" s="79">
        <f>$E$3*$H$32*0.453592*947817/1000000</f>
        <v>0</v>
      </c>
      <c r="AD10" s="79">
        <f>$E$3*$I$32*0.453592*947817/1000000</f>
        <v>0</v>
      </c>
      <c r="AE10" s="78">
        <f t="shared" ref="AE10:AE21" si="4">(AD10+AF10)/2</f>
        <v>0</v>
      </c>
      <c r="AF10" s="79">
        <f>$E$3*$J$32*0.453592*947817/1000000</f>
        <v>0</v>
      </c>
      <c r="AG10" s="78">
        <f>IF($E$3*$C33*0.000947817&gt;AH10,$E$3*$C33*0.000947817,AH10)</f>
        <v>3.6278126500909086E-2</v>
      </c>
      <c r="AH10" s="78">
        <f>IF($E$3*$D33*0.000947817&gt;AI10,$E$3*$D33*0.000947817,AI10)</f>
        <v>6.8923528936363637E-3</v>
      </c>
      <c r="AI10" s="79">
        <f>$E$3*$H$33*0.453592*947817/1000000</f>
        <v>4.0814207316994767E-3</v>
      </c>
      <c r="AJ10" s="79">
        <f>$E$3*$I$33*0.453592*947817/1000000</f>
        <v>4.2710689421923452E-3</v>
      </c>
      <c r="AK10" s="78">
        <f t="shared" ref="AK10:AK21" si="5">(AJ10+AL10)/2</f>
        <v>4.3751347088018646E-3</v>
      </c>
      <c r="AL10" s="79">
        <f>$E$3*$J$33*0.453592*947817/1000000</f>
        <v>4.4792004754113839E-3</v>
      </c>
      <c r="AM10" s="78">
        <f>IF($E$3*$C34*0.000947817&gt;AN10,$E$3*$C34*0.000947817,AN10)</f>
        <v>4.3927009690909085E-3</v>
      </c>
      <c r="AN10" s="78">
        <f>IF($E$3*$D34*0.000947817&gt;AO10,$E$3*$D34*0.000947817,AO10)</f>
        <v>4.1066325654545459E-3</v>
      </c>
      <c r="AO10" s="79">
        <f>$E$3*$H$34*0.453592*947817/1000000</f>
        <v>6.6516886557580509E-4</v>
      </c>
      <c r="AP10" s="79">
        <f>$E$3*$I$34*0.453592*947817/1000000</f>
        <v>6.9607675116874559E-4</v>
      </c>
      <c r="AQ10" s="78">
        <f t="shared" ref="AQ10:AQ21" si="6">(AP10+AR10)/2</f>
        <v>7.1303685219026086E-4</v>
      </c>
      <c r="AR10" s="79">
        <f>$E$3*$J$34*0.453592*947817/1000000</f>
        <v>7.2999695321177623E-4</v>
      </c>
      <c r="AS10" s="78">
        <f>IF($E$3*$C35*0.000947817&gt;AT10,$E$3*$C35*0.000947817,AT10)</f>
        <v>4.3927009690909085E-3</v>
      </c>
      <c r="AT10" s="78">
        <f>IF($E$3*$D35*0.000947817&gt;AU10,$E$3*$D35*0.000947817,AU10)</f>
        <v>4.1066325654545459E-3</v>
      </c>
      <c r="AU10" s="79">
        <f>$E$3*$H$35*0.453592*947817/1000000</f>
        <v>9.9775329836370753E-4</v>
      </c>
      <c r="AV10" s="79">
        <f>$E$3*$I$35*0.453592*947817/1000000</f>
        <v>1.0441151267531182E-3</v>
      </c>
      <c r="AW10" s="78">
        <f t="shared" ref="AW10:AW21" si="7">(AV10+AX10)/2</f>
        <v>1.0695552782853911E-3</v>
      </c>
      <c r="AX10" s="79">
        <f>$E$3*$J$35*0.453592*947817/1000000</f>
        <v>1.0949954298176642E-3</v>
      </c>
      <c r="AY10" s="80" t="e">
        <f>$E$3*AA10*#REF!</f>
        <v>#REF!</v>
      </c>
      <c r="AZ10" s="80" t="e">
        <f>$E$3*AB10*#REF!</f>
        <v>#REF!</v>
      </c>
      <c r="BA10" s="79">
        <f>$E$3*$H$36*0.453592*947817/1000000</f>
        <v>0</v>
      </c>
      <c r="BB10" s="79">
        <f>$E$3*$I$36*0.453592*947817/1000000</f>
        <v>0</v>
      </c>
      <c r="BC10" s="78">
        <f t="shared" ref="BC10:BC21" si="8">(BB10+BD10)/2</f>
        <v>0</v>
      </c>
      <c r="BD10" s="79">
        <f>$E$3*$J$36*0.453592*947817/1000000</f>
        <v>0</v>
      </c>
      <c r="BE10" s="78">
        <f>BE11</f>
        <v>83.357128146254041</v>
      </c>
      <c r="BF10" s="78">
        <f t="shared" ref="BF10:BJ10" si="9">BF11</f>
        <v>83.357128146254041</v>
      </c>
      <c r="BG10" s="78">
        <f t="shared" si="9"/>
        <v>83.357128146254041</v>
      </c>
      <c r="BH10" s="78">
        <f t="shared" si="9"/>
        <v>83.357128146254041</v>
      </c>
      <c r="BI10" s="78">
        <f t="shared" si="9"/>
        <v>83.357128146254041</v>
      </c>
      <c r="BJ10" s="78">
        <f t="shared" si="9"/>
        <v>83.357128146254041</v>
      </c>
      <c r="BK10" s="78" t="e">
        <f>$E$3*AA10*#REF!</f>
        <v>#REF!</v>
      </c>
      <c r="BL10" s="78" t="e">
        <f>$E$3*AB10*#REF!</f>
        <v>#REF!</v>
      </c>
      <c r="BM10" s="78" t="e">
        <f>$E$3*AC10*#REF!</f>
        <v>#REF!</v>
      </c>
      <c r="BN10" s="78"/>
      <c r="BO10" s="78" t="e">
        <f>(BN10+BP10)/2</f>
        <v>#REF!</v>
      </c>
      <c r="BP10" s="78" t="e">
        <f>$E$3*AF10*#REF!</f>
        <v>#REF!</v>
      </c>
    </row>
    <row r="11" spans="2:68" x14ac:dyDescent="0.2">
      <c r="B11" s="10" t="s">
        <v>479</v>
      </c>
      <c r="C11" s="78">
        <f>IF($E$3*$C41*0.000947817&gt;D11,$E$3*$C41*0.000947817,D11)</f>
        <v>1.1589216954545453E-3</v>
      </c>
      <c r="D11" s="78">
        <f>IF($E$3*$D41*0.000947817&gt;E11,$E$3*$D41*0.000947817,E11)</f>
        <v>1.1589216954545453E-3</v>
      </c>
      <c r="E11" s="79">
        <f>$E$3*$H$41*0.453592*947817/1000000</f>
        <v>1.0343132001546474E-3</v>
      </c>
      <c r="F11" s="79">
        <f>$E$3*$I$41*0.453592*947817/1000000</f>
        <v>1.0343132001546474E-3</v>
      </c>
      <c r="G11" s="78">
        <f>(F11+H11)/2</f>
        <v>1.0343132001546474E-3</v>
      </c>
      <c r="H11" s="79">
        <f>$E$3*$J$41*0.453592*947817/1000000</f>
        <v>1.0343132001546474E-3</v>
      </c>
      <c r="I11" s="78">
        <f>IF($E$3*$C42*0.000947817&gt;J11,$E$3*$C42*0.000947817,J11)</f>
        <v>1.3067811474545454E-2</v>
      </c>
      <c r="J11" s="78">
        <f>IF($E$3*$D42*0.000947817&gt;K11,$E$3*$D42*0.000947817,K11)</f>
        <v>9.5134977245454541E-3</v>
      </c>
      <c r="K11" s="79">
        <f>$E$3*$H$42*0.453592*947817/1000000</f>
        <v>8.716262010908719E-3</v>
      </c>
      <c r="L11" s="79">
        <f>$E$3*$I$42*0.453592*947817/1000000</f>
        <v>8.716262010908719E-3</v>
      </c>
      <c r="M11" s="78">
        <f>(L11+N11)/2</f>
        <v>8.716262010908719E-3</v>
      </c>
      <c r="N11" s="79">
        <f>$E$3*$J$42*0.453592*947817/1000000</f>
        <v>8.716262010908719E-3</v>
      </c>
      <c r="O11" s="78">
        <f>IF($E$3*$C43*0.000947817&gt;P11,$E$3*$C43*0.000947817,P11)</f>
        <v>0.1378780773381818</v>
      </c>
      <c r="P11" s="78">
        <f>IF($E$3*$D43*0.000947817&gt;Q11,$E$3*$D43*0.000947817,Q11)</f>
        <v>0.12988702917619563</v>
      </c>
      <c r="Q11" s="79">
        <f>$E$3*$H$43*0.453592*947817/1000000</f>
        <v>0.12988702917619563</v>
      </c>
      <c r="R11" s="79">
        <f>$E$3*$I$43*0.453592*947817/1000000</f>
        <v>0.11226549397618432</v>
      </c>
      <c r="S11" s="78">
        <f t="shared" si="2"/>
        <v>9.7580881309508233E-2</v>
      </c>
      <c r="T11" s="79">
        <f>$E$3*$J$43*0.453592*947817/1000000</f>
        <v>8.2896268642832158E-2</v>
      </c>
      <c r="U11" s="78">
        <f>IF($E$3*$C44*0.000947817&gt;V11,$E$3*$C44*0.000947817,V11)</f>
        <v>1.3103139199090908E-2</v>
      </c>
      <c r="V11" s="78">
        <f>IF($E$3*$D44*0.000947817&gt;W11,$E$3*$D44*0.000947817,W11)</f>
        <v>1.3103139199090908E-2</v>
      </c>
      <c r="W11" s="81">
        <f t="shared" ref="W11" si="10">$E$3*E44*0.000947817</f>
        <v>1.3103139199090908E-2</v>
      </c>
      <c r="X11" s="81">
        <f>$E$3*F44*0.000947817</f>
        <v>1.3103139199090908E-2</v>
      </c>
      <c r="Y11" s="82">
        <f t="shared" ref="Y11:Z13" si="11">X11</f>
        <v>1.3103139199090908E-2</v>
      </c>
      <c r="Z11" s="81">
        <f t="shared" si="11"/>
        <v>1.3103139199090908E-2</v>
      </c>
      <c r="AA11" s="78">
        <f>IF($E$3*$C45*0.000947817&gt;AB11,$E$3*$C45*0.000947817,AB11)</f>
        <v>1.029760087909091E-2</v>
      </c>
      <c r="AB11" s="78">
        <f>IF($E$3*$D45*0.000947817&gt;AC11,$E$3*$D45*0.000947817,AC11)</f>
        <v>1.029760087909091E-2</v>
      </c>
      <c r="AC11" s="81">
        <f>AD11</f>
        <v>1.029760087909091E-2</v>
      </c>
      <c r="AD11" s="82">
        <f>$E$3*F45*0.000947817</f>
        <v>1.029760087909091E-2</v>
      </c>
      <c r="AE11" s="82">
        <f t="shared" ref="AE11:AF13" si="12">AD11</f>
        <v>1.029760087909091E-2</v>
      </c>
      <c r="AF11" s="81">
        <f t="shared" si="12"/>
        <v>1.029760087909091E-2</v>
      </c>
      <c r="AG11" s="78">
        <f>IF($E$3*$C46*0.000947817&gt;AH11,$E$3*$C46*0.000947817,AH11)</f>
        <v>0.42017953636059413</v>
      </c>
      <c r="AH11" s="78">
        <f>IF($E$3*$D46*0.000947817&gt;AI11,$E$3*$D46*0.000947817,AI11)</f>
        <v>0.42017953636059413</v>
      </c>
      <c r="AI11" s="79">
        <f>$E$3*$H$46*0.453592*947817/1000000</f>
        <v>0.42017953636059413</v>
      </c>
      <c r="AJ11" s="79">
        <f>$E$3*$I$46*0.453592*947817/1000000</f>
        <v>6.4315955548271783E-2</v>
      </c>
      <c r="AK11" s="78">
        <f t="shared" si="5"/>
        <v>6.1790459911559528E-2</v>
      </c>
      <c r="AL11" s="79">
        <f>$E$3*$J$46*0.453592*947817/1000000</f>
        <v>5.926496427484728E-2</v>
      </c>
      <c r="AM11" s="78">
        <f>IF($E$3*$C47*0.000947817&gt;AN11,$E$3*$C47*0.000947817,AN11)</f>
        <v>1.0494919145454544E-3</v>
      </c>
      <c r="AN11" s="78">
        <f>IF($E$3*$D47*0.000947817&gt;AO11,$E$3*$D47*0.000947817,AO11)</f>
        <v>9.6677334000000003E-4</v>
      </c>
      <c r="AO11" s="79">
        <f>$E$3*$H$47*0.453592*947817/1000000</f>
        <v>9.5625182655807023E-4</v>
      </c>
      <c r="AP11" s="79">
        <f>$E$3*$I$47*0.453592*947817/1000000</f>
        <v>9.5625182655807044E-4</v>
      </c>
      <c r="AQ11" s="78">
        <f t="shared" si="6"/>
        <v>9.5625182655807034E-4</v>
      </c>
      <c r="AR11" s="79">
        <f>$E$3*$J$47*0.453592*947817/1000000</f>
        <v>9.5625182655807023E-4</v>
      </c>
      <c r="AS11" s="78">
        <f>IF($E$3*$C48*0.000947817&gt;AT11,$E$3*$C48*0.000947817,AT11)</f>
        <v>1.4286187145454545E-3</v>
      </c>
      <c r="AT11" s="78">
        <f>IF($E$3*$D48*0.000947817&gt;AU11,$E$3*$D48*0.000947817,AU11)</f>
        <v>1.4286187145454545E-3</v>
      </c>
      <c r="AU11" s="79">
        <f>$E$3*$H$48*0.453592*947817/1000000</f>
        <v>1.4042176636747915E-3</v>
      </c>
      <c r="AV11" s="79">
        <f>$E$3*$I$48*0.453592*947817/1000000</f>
        <v>1.4042176636747915E-3</v>
      </c>
      <c r="AW11" s="78">
        <f t="shared" si="7"/>
        <v>1.4042176636747915E-3</v>
      </c>
      <c r="AX11" s="79">
        <f>$E$3*$J$48*0.453592*947817/1000000</f>
        <v>1.4042176636747915E-3</v>
      </c>
      <c r="AY11" s="80" t="e">
        <f>$E$3*AA11*#REF!</f>
        <v>#REF!</v>
      </c>
      <c r="AZ11" s="80" t="e">
        <f>$E$3*AB11*#REF!</f>
        <v>#REF!</v>
      </c>
      <c r="BA11" s="79">
        <f>$E$3*$H$49*0.453592*947817/1000000</f>
        <v>3.169114355808314E-4</v>
      </c>
      <c r="BB11" s="79">
        <f>$E$3*$I$49*0.453592*947817/1000000</f>
        <v>2.9172457750084547E-4</v>
      </c>
      <c r="BC11" s="78">
        <f t="shared" si="8"/>
        <v>2.7613090469196574E-4</v>
      </c>
      <c r="BD11" s="79">
        <f>$E$3*$J$49*0.453592*947817/1000000</f>
        <v>2.6053723188308606E-4</v>
      </c>
      <c r="BE11" s="78">
        <f>IF($E$3*$C50*0.000947817&gt;BF11,$E$3*$C50*0.000947817,BF11)</f>
        <v>83.357128146254041</v>
      </c>
      <c r="BF11" s="78">
        <f>IF($E$3*$D50*0.000947817&gt;BG11,$E$3*$D50*0.000947817,BG11)</f>
        <v>83.357128146254041</v>
      </c>
      <c r="BG11" s="83">
        <f>$E$3*$H$50*0.453592*947817/1000000</f>
        <v>83.357128146254041</v>
      </c>
      <c r="BH11" s="83">
        <f>$E$3*$I$50*0.453592*947817/1000000</f>
        <v>83.357128146254041</v>
      </c>
      <c r="BI11" s="84">
        <f t="shared" ref="BI11:BI17" si="13">(BH11+BJ11)/2</f>
        <v>83.357128146254041</v>
      </c>
      <c r="BJ11" s="83">
        <f>$E$3*$J$50*0.453592*947817/1000000</f>
        <v>83.357128146254041</v>
      </c>
      <c r="BK11" s="78" t="e">
        <f>$E$3*AA11*#REF!</f>
        <v>#REF!</v>
      </c>
      <c r="BL11" s="78" t="e">
        <f>$E$3*AB11*#REF!</f>
        <v>#REF!</v>
      </c>
      <c r="BM11" s="78" t="e">
        <f>$E$3*AC11*#REF!</f>
        <v>#REF!</v>
      </c>
      <c r="BN11" s="78"/>
      <c r="BO11" s="78" t="e">
        <f t="shared" ref="BO11:BO21" si="14">(BN11+BP11)/2</f>
        <v>#REF!</v>
      </c>
      <c r="BP11" s="78" t="e">
        <f>$E$3*AF11*#REF!</f>
        <v>#REF!</v>
      </c>
    </row>
    <row r="12" spans="2:68" x14ac:dyDescent="0.2">
      <c r="B12" s="10" t="s">
        <v>480</v>
      </c>
      <c r="C12" s="78">
        <f>IF(C11&gt;D12,C11,D12)</f>
        <v>1.2286198940399294E-3</v>
      </c>
      <c r="D12" s="78">
        <f>IF(D11&gt;E12,D11,E12)</f>
        <v>1.2286198940399294E-3</v>
      </c>
      <c r="E12" s="79">
        <f>$E$3*$H$54*0.453592*947817/1000000</f>
        <v>1.2286198940399294E-3</v>
      </c>
      <c r="F12" s="79">
        <f>$E$3*$I$54*0.453592*947817/1000000</f>
        <v>1.2286198940399294E-3</v>
      </c>
      <c r="G12" s="78">
        <f>(F12+H12)/2</f>
        <v>1.2286198940399294E-3</v>
      </c>
      <c r="H12" s="79">
        <f>$E$3*$J$54*0.453592*947817/1000000</f>
        <v>1.2286198940399294E-3</v>
      </c>
      <c r="I12" s="78">
        <f>IF(I11&gt;J12,I11,J12)</f>
        <v>1.3067811474545454E-2</v>
      </c>
      <c r="J12" s="78">
        <f>IF(J11&gt;K12,J11,K12)</f>
        <v>1.0342930396759294E-2</v>
      </c>
      <c r="K12" s="79">
        <f>$E$3*$H$55*0.453592*947817/1000000</f>
        <v>1.0342930396759294E-2</v>
      </c>
      <c r="L12" s="79">
        <f>$E$3*$I$55*0.453592*947817/1000000</f>
        <v>1.0342930396759296E-2</v>
      </c>
      <c r="M12" s="78">
        <f>(L12+N12)/2</f>
        <v>1.0342930396759296E-2</v>
      </c>
      <c r="N12" s="79">
        <f>$E$3*$J$55*0.453592*947817/1000000</f>
        <v>1.0342930396759294E-2</v>
      </c>
      <c r="O12" s="78">
        <f>IF(O11&gt;P12,O11,P12)</f>
        <v>0.1378780773381818</v>
      </c>
      <c r="P12" s="78">
        <f>IF(P11&gt;Q12,P11,Q12)</f>
        <v>0.12988702917619563</v>
      </c>
      <c r="Q12" s="79">
        <f>$E$3*$H$56*0.453592*947817/1000000</f>
        <v>0.11262998196114074</v>
      </c>
      <c r="R12" s="79">
        <f>$E$3*$I$56*0.453592*947817/1000000</f>
        <v>9.806820109600986E-2</v>
      </c>
      <c r="S12" s="78">
        <f t="shared" si="2"/>
        <v>8.5933383708400785E-2</v>
      </c>
      <c r="T12" s="79">
        <f>$E$3*$J$56*0.453592*947817/1000000</f>
        <v>7.3798566320791709E-2</v>
      </c>
      <c r="U12" s="78">
        <f>IF(U11&gt;V12,U11,V12)</f>
        <v>1.3103139199090908E-2</v>
      </c>
      <c r="V12" s="78">
        <f>IF(V11&gt;W12,V11,W12)</f>
        <v>1.3103139199090908E-2</v>
      </c>
      <c r="W12" s="81">
        <f t="shared" ref="W12" si="15">$E$3*E44*0.000947817</f>
        <v>1.3103139199090908E-2</v>
      </c>
      <c r="X12" s="81">
        <f>$E$3*F44*0.000947817</f>
        <v>1.3103139199090908E-2</v>
      </c>
      <c r="Y12" s="82">
        <f t="shared" si="11"/>
        <v>1.3103139199090908E-2</v>
      </c>
      <c r="Z12" s="81">
        <f t="shared" si="11"/>
        <v>1.3103139199090908E-2</v>
      </c>
      <c r="AA12" s="78">
        <f>IF(AA11&gt;AB12,AA11,AB12)</f>
        <v>1.029760087909091E-2</v>
      </c>
      <c r="AB12" s="78">
        <f>IF(AB11&gt;AC12,AB11,AC12)</f>
        <v>1.029760087909091E-2</v>
      </c>
      <c r="AC12" s="81">
        <f>AD12</f>
        <v>1.029760087909091E-2</v>
      </c>
      <c r="AD12" s="82">
        <f>$E$3*F45*0.000947817</f>
        <v>1.029760087909091E-2</v>
      </c>
      <c r="AE12" s="82">
        <f t="shared" si="12"/>
        <v>1.029760087909091E-2</v>
      </c>
      <c r="AF12" s="81">
        <f t="shared" si="12"/>
        <v>1.029760087909091E-2</v>
      </c>
      <c r="AG12" s="78">
        <f>IF(AG11&gt;AH12,AG11,AH12)</f>
        <v>0.42017953636059413</v>
      </c>
      <c r="AH12" s="78">
        <f>IF(AH11&gt;AI12,AH11,AI12)</f>
        <v>0.42017953636059413</v>
      </c>
      <c r="AI12" s="79">
        <f>$E$3*$H$59*0.453592*947817/1000000</f>
        <v>0.239632530484262</v>
      </c>
      <c r="AJ12" s="79">
        <f>$E$3*$I$59*0.453592*947817/1000000</f>
        <v>6.3796411379182405E-2</v>
      </c>
      <c r="AK12" s="78">
        <f t="shared" si="5"/>
        <v>6.1291316691518168E-2</v>
      </c>
      <c r="AL12" s="79">
        <f>$E$3*$J$59*0.453592*947817/1000000</f>
        <v>5.878622200385393E-2</v>
      </c>
      <c r="AM12" s="78">
        <f>IF(AM11&gt;AN12,AM11,AN12)</f>
        <v>1.0494919145454544E-3</v>
      </c>
      <c r="AN12" s="78">
        <f>IF(AN11&gt;AO12,AN11,AO12)</f>
        <v>9.7205764187307977E-4</v>
      </c>
      <c r="AO12" s="79">
        <f>$E$3*$H$60*0.453592*947817/1000000</f>
        <v>9.7205764187307977E-4</v>
      </c>
      <c r="AP12" s="79">
        <f>$E$3*$I$60*0.453592*947817/1000000</f>
        <v>9.7205764187307977E-4</v>
      </c>
      <c r="AQ12" s="78">
        <f t="shared" si="6"/>
        <v>9.7205764187307977E-4</v>
      </c>
      <c r="AR12" s="79">
        <f>$E$3*$J$60*0.453592*947817/1000000</f>
        <v>9.7205764187307977E-4</v>
      </c>
      <c r="AS12" s="78">
        <f>IF(AS11&gt;AT12,AS11,AT12)</f>
        <v>1.4487723216418465E-3</v>
      </c>
      <c r="AT12" s="78">
        <f>IF(AT11&gt;AU12,AT11,AU12)</f>
        <v>1.4487723216418465E-3</v>
      </c>
      <c r="AU12" s="79">
        <f>$E$3*$H$61*0.453592*947817/1000000</f>
        <v>1.4487723216418465E-3</v>
      </c>
      <c r="AV12" s="79">
        <f>$E$3*$I$61*0.453592*947817/1000000</f>
        <v>1.4487723216418465E-3</v>
      </c>
      <c r="AW12" s="78">
        <f t="shared" si="7"/>
        <v>1.4487723216418465E-3</v>
      </c>
      <c r="AX12" s="79">
        <f>$E$3*$J$61*0.453592*947817/1000000</f>
        <v>1.4487723216418465E-3</v>
      </c>
      <c r="AY12" s="80" t="e">
        <f t="shared" ref="AY12:AZ13" si="16">AY11</f>
        <v>#REF!</v>
      </c>
      <c r="AZ12" s="80" t="e">
        <f t="shared" si="16"/>
        <v>#REF!</v>
      </c>
      <c r="BA12" s="79">
        <f>$E$3*$H$62*0.453592*947817/1000000</f>
        <v>8.7925492623780997E-5</v>
      </c>
      <c r="BB12" s="79">
        <f>$E$3*$I$62*0.453592*947817/1000000</f>
        <v>6.055589882749911E-4</v>
      </c>
      <c r="BC12" s="78">
        <f t="shared" si="8"/>
        <v>5.7253718797287091E-4</v>
      </c>
      <c r="BD12" s="79">
        <f>$E$3*$J$62*0.453592*947817/1000000</f>
        <v>5.3951538767075071E-4</v>
      </c>
      <c r="BE12" s="78">
        <f>IF(BE11&gt;BF12,BE11,BF12)</f>
        <v>85.512283321221531</v>
      </c>
      <c r="BF12" s="78">
        <f>IF(BF11&gt;BG12,BF11,BG12)</f>
        <v>85.512283321221531</v>
      </c>
      <c r="BG12" s="83">
        <f>$E$3*$H$63*0.453592*947817/1000000</f>
        <v>85.512283321221531</v>
      </c>
      <c r="BH12" s="83">
        <f>$E$3*$I$63*0.453592*947817/1000000</f>
        <v>85.512283321221531</v>
      </c>
      <c r="BI12" s="84">
        <f t="shared" si="13"/>
        <v>85.512283321221531</v>
      </c>
      <c r="BJ12" s="83">
        <f>$E$3*$J$63*0.453592*947817/1000000</f>
        <v>85.512283321221531</v>
      </c>
      <c r="BK12" s="78"/>
      <c r="BL12" s="78"/>
      <c r="BM12" s="78"/>
      <c r="BN12" s="78"/>
      <c r="BO12" s="78"/>
      <c r="BP12" s="78"/>
    </row>
    <row r="13" spans="2:68" x14ac:dyDescent="0.2">
      <c r="B13" s="10" t="s">
        <v>481</v>
      </c>
      <c r="C13" s="78">
        <f>IF(C12&gt;D13,C12,D13)</f>
        <v>1.2581067714968876E-3</v>
      </c>
      <c r="D13" s="78">
        <f>IF(D12&gt;E13,D12,E13)</f>
        <v>1.2581067714968876E-3</v>
      </c>
      <c r="E13" s="79">
        <f>$E$3*$H$67*0.453592*947817/1000000</f>
        <v>1.2581067714968876E-3</v>
      </c>
      <c r="F13" s="79">
        <f>$E$3*$I$67*0.453592*947817/1000000</f>
        <v>1.2581067714968876E-3</v>
      </c>
      <c r="G13" s="78">
        <f>(F13+H13)/2</f>
        <v>1.2581067714968876E-3</v>
      </c>
      <c r="H13" s="79">
        <f>$E$3*$J$67*0.453592*947817/1000000</f>
        <v>1.2581067714968876E-3</v>
      </c>
      <c r="I13" s="78">
        <f>IF(I12&gt;J13,I12,J13)</f>
        <v>1.3067811474545454E-2</v>
      </c>
      <c r="J13" s="78">
        <f>IF(J12&gt;K13,J12,K13)</f>
        <v>1.0591160726281516E-2</v>
      </c>
      <c r="K13" s="79">
        <f>$E$3*$H$68*0.453592*947817/1000000</f>
        <v>1.0591160726281516E-2</v>
      </c>
      <c r="L13" s="79">
        <f>$E$3*$I$68*0.453592*947817/1000000</f>
        <v>1.0591160726281518E-2</v>
      </c>
      <c r="M13" s="78">
        <f>(L13+N13)/2</f>
        <v>1.0591160726281516E-2</v>
      </c>
      <c r="N13" s="79">
        <f>$E$3*$J$68*0.453592*947817/1000000</f>
        <v>1.0591160726281516E-2</v>
      </c>
      <c r="O13" s="78">
        <f>IF(O12&gt;P13,O12,P13)</f>
        <v>0.1378780773381818</v>
      </c>
      <c r="P13" s="78">
        <f>IF(P12&gt;Q13,P12,Q13)</f>
        <v>0.12988702917619563</v>
      </c>
      <c r="Q13" s="79">
        <f>$E$3*$H$69*0.453592*947817/1000000</f>
        <v>0.11533310152820815</v>
      </c>
      <c r="R13" s="79">
        <f>$E$3*$I$69*0.453592*947817/1000000</f>
        <v>0.1004218379223141</v>
      </c>
      <c r="S13" s="78">
        <f t="shared" si="2"/>
        <v>8.7995784917402411E-2</v>
      </c>
      <c r="T13" s="79">
        <f>$E$3*$J$69*0.453592*947817/1000000</f>
        <v>7.5569731912490723E-2</v>
      </c>
      <c r="U13" s="78">
        <f>IF(U12&gt;V13,U12,V13)</f>
        <v>1.3103139199090908E-2</v>
      </c>
      <c r="V13" s="78">
        <f>IF(V12&gt;W13,V12,W13)</f>
        <v>1.3103139199090908E-2</v>
      </c>
      <c r="W13" s="81">
        <f t="shared" ref="W13" si="17">$E$3*E44*0.000947817</f>
        <v>1.3103139199090908E-2</v>
      </c>
      <c r="X13" s="81">
        <f>$E$3*F44*0.000947817</f>
        <v>1.3103139199090908E-2</v>
      </c>
      <c r="Y13" s="82">
        <f t="shared" si="11"/>
        <v>1.3103139199090908E-2</v>
      </c>
      <c r="Z13" s="81">
        <f t="shared" si="11"/>
        <v>1.3103139199090908E-2</v>
      </c>
      <c r="AA13" s="78">
        <f>IF(AA12&gt;AB13,AA12,AB13)</f>
        <v>1.029760087909091E-2</v>
      </c>
      <c r="AB13" s="78">
        <f>IF(AB12&gt;AC13,AB12,AC13)</f>
        <v>1.029760087909091E-2</v>
      </c>
      <c r="AC13" s="81">
        <f>AD13</f>
        <v>1.029760087909091E-2</v>
      </c>
      <c r="AD13" s="81">
        <f>$E$3*F45*0.000947817</f>
        <v>1.029760087909091E-2</v>
      </c>
      <c r="AE13" s="82">
        <f t="shared" si="12"/>
        <v>1.029760087909091E-2</v>
      </c>
      <c r="AF13" s="81">
        <f t="shared" si="12"/>
        <v>1.029760087909091E-2</v>
      </c>
      <c r="AG13" s="78">
        <f>IF(AG12&gt;AH13,AG12,AH13)</f>
        <v>0.42017953636059413</v>
      </c>
      <c r="AH13" s="78">
        <f>IF(AH12&gt;AI13,AH12,AI13)</f>
        <v>0.42017953636059413</v>
      </c>
      <c r="AI13" s="79">
        <f>$E$3*$H$72*0.453592*947817/1000000</f>
        <v>0.24538371121588429</v>
      </c>
      <c r="AJ13" s="79">
        <f>$E$3*$I$72*0.453592*947817/1000000</f>
        <v>6.5327525252282775E-2</v>
      </c>
      <c r="AK13" s="78">
        <f t="shared" si="5"/>
        <v>6.2762308292114599E-2</v>
      </c>
      <c r="AL13" s="79">
        <f>$E$3*$J$72*0.453592*947817/1000000</f>
        <v>6.0197091331946423E-2</v>
      </c>
      <c r="AM13" s="78">
        <f>IF(AM12&gt;AN13,AM12,AN13)</f>
        <v>1.0494919145454544E-3</v>
      </c>
      <c r="AN13" s="78">
        <f>IF(AN12&gt;AO13,AN12,AO13)</f>
        <v>9.9538702527803349E-4</v>
      </c>
      <c r="AO13" s="79">
        <f>$E$3*$H$73*0.453592*947817/1000000</f>
        <v>9.9538702527803349E-4</v>
      </c>
      <c r="AP13" s="79">
        <f>$E$3*$I$73*0.453592*947817/1000000</f>
        <v>9.9538702527803349E-4</v>
      </c>
      <c r="AQ13" s="78">
        <f t="shared" si="6"/>
        <v>9.9538702527803349E-4</v>
      </c>
      <c r="AR13" s="79">
        <f>$E$3*$J$73*0.453592*947817/1000000</f>
        <v>9.9538702527803349E-4</v>
      </c>
      <c r="AS13" s="78">
        <f>IF(AS12&gt;AT13,AS12,AT13)</f>
        <v>1.4835428573612508E-3</v>
      </c>
      <c r="AT13" s="78">
        <f>IF(AT12&gt;AU13,AT12,AU13)</f>
        <v>1.4835428573612508E-3</v>
      </c>
      <c r="AU13" s="79">
        <f>$E$3*$H$74*0.453592*947817/1000000</f>
        <v>1.4835428573612508E-3</v>
      </c>
      <c r="AV13" s="79">
        <f>$E$3*$I$74*0.453592*947817/1000000</f>
        <v>1.4835428573612508E-3</v>
      </c>
      <c r="AW13" s="78">
        <f t="shared" si="7"/>
        <v>1.4835428573612508E-3</v>
      </c>
      <c r="AX13" s="79">
        <f>$E$3*$J$74*0.453592*947817/1000000</f>
        <v>1.4835428573612508E-3</v>
      </c>
      <c r="AY13" s="80" t="e">
        <f t="shared" si="16"/>
        <v>#REF!</v>
      </c>
      <c r="AZ13" s="80" t="e">
        <f t="shared" si="16"/>
        <v>#REF!</v>
      </c>
      <c r="BA13" s="79">
        <f>$E$3*$H$75*0.453592*947817/1000000</f>
        <v>9.0035704446751733E-5</v>
      </c>
      <c r="BB13" s="79">
        <f>$E$3*$I$75*0.453592*947817/1000000</f>
        <v>6.200924039935909E-4</v>
      </c>
      <c r="BC13" s="78">
        <f t="shared" si="8"/>
        <v>5.8627808048421974E-4</v>
      </c>
      <c r="BD13" s="79">
        <f>$E$3*$J$75*0.453592*947817/1000000</f>
        <v>5.5246375697484858E-4</v>
      </c>
      <c r="BE13" s="78">
        <f>IF(BE12&gt;BF13,BE12,BF13)</f>
        <v>87.564578120930832</v>
      </c>
      <c r="BF13" s="78">
        <f>IF(BF12&gt;BG13,BF12,BG13)</f>
        <v>87.564578120930832</v>
      </c>
      <c r="BG13" s="83">
        <f>$E$3*$H$76*0.453592*947817/1000000</f>
        <v>87.564578120930832</v>
      </c>
      <c r="BH13" s="83">
        <f>$E$3*$I$76*0.453592*947817/1000000</f>
        <v>87.564578120930832</v>
      </c>
      <c r="BI13" s="84">
        <f t="shared" si="13"/>
        <v>87.564578120930832</v>
      </c>
      <c r="BJ13" s="83">
        <f>$E$3*$J$76*0.453592*947817/1000000</f>
        <v>87.564578120930832</v>
      </c>
      <c r="BK13" s="78"/>
      <c r="BL13" s="78"/>
      <c r="BM13" s="78"/>
      <c r="BN13" s="78"/>
      <c r="BO13" s="78"/>
      <c r="BP13" s="78"/>
    </row>
    <row r="14" spans="2:68" x14ac:dyDescent="0.2">
      <c r="B14" s="10" t="s">
        <v>482</v>
      </c>
      <c r="C14" s="78">
        <f>IF($E$3*$C79*0.000947817&gt;D14,$E$3*$C79*0.000947817,D14)</f>
        <v>2.2471879418181819E-3</v>
      </c>
      <c r="D14" s="78">
        <f>IF($E$3*$D79*0.000947817&gt;E14,$E$3*$D79*0.000947817,E14)</f>
        <v>2.2471879418181819E-3</v>
      </c>
      <c r="E14" s="79">
        <f>$E$3*$H$79*0.453592*947817/1000000</f>
        <v>2.2107224944343147E-3</v>
      </c>
      <c r="F14" s="79">
        <f>$E$3*$I$79*0.453592*947817/1000000</f>
        <v>2.2107224944343147E-3</v>
      </c>
      <c r="G14" s="78">
        <f t="shared" si="0"/>
        <v>2.2107224944343147E-3</v>
      </c>
      <c r="H14" s="79">
        <f>$E$3*$J$79*0.453592*947817/1000000</f>
        <v>2.2107224944343147E-3</v>
      </c>
      <c r="I14" s="78">
        <f>IF($E$3*$C80*0.000947817&gt;J14,$E$3*$C80*0.000947817,J14)</f>
        <v>3.3841375159090907E-2</v>
      </c>
      <c r="J14" s="78">
        <f>IF($E$3*$D80*0.000947817&gt;K14,$E$3*$D80*0.000947817,K14)</f>
        <v>3.3841375159090907E-2</v>
      </c>
      <c r="K14" s="79">
        <f>$E$3*$H$80*0.453592*947817/1000000</f>
        <v>3.2766926862960968E-2</v>
      </c>
      <c r="L14" s="79">
        <f>$E$3*$I$80*0.453592*947817/1000000</f>
        <v>3.2766926862960968E-2</v>
      </c>
      <c r="M14" s="78">
        <f t="shared" si="1"/>
        <v>3.2766926862960968E-2</v>
      </c>
      <c r="N14" s="79">
        <f>$E$3*$J$80*0.453592*947817/1000000</f>
        <v>3.2766926862960968E-2</v>
      </c>
      <c r="O14" s="78">
        <f>IF($E$3*$C81*0.000947817&gt;P14,$E$3*$C81*0.000947817,P14)</f>
        <v>6.9342291719999991E-2</v>
      </c>
      <c r="P14" s="78">
        <f>IF($E$3*$D81*0.000947817&gt;Q14,$E$3*$D81*0.000947817,Q14)</f>
        <v>6.9342291719999991E-2</v>
      </c>
      <c r="Q14" s="79">
        <f>$E$3*$H$81*0.453592*947817/1000000</f>
        <v>6.7305647317824929E-2</v>
      </c>
      <c r="R14" s="79">
        <f>$E$3*$I$81*0.453592*947817/1000000</f>
        <v>6.0143817767922728E-2</v>
      </c>
      <c r="S14" s="78">
        <f t="shared" si="2"/>
        <v>5.3694517178342435E-2</v>
      </c>
      <c r="T14" s="79">
        <f>$E$3*$J$81*0.453592*947817/1000000</f>
        <v>4.724521658876215E-2</v>
      </c>
      <c r="U14" s="78">
        <f>IF($E$3*$C82*0.000947817&gt;V14,$E$3*$C82*0.000947817,V14)</f>
        <v>2.9322011372727272E-3</v>
      </c>
      <c r="V14" s="78">
        <f>IF($E$3*$D82*0.000947817&gt;W14,$E$3*$D82*0.000947817,W14)</f>
        <v>2.9322011372727272E-3</v>
      </c>
      <c r="W14" s="79">
        <f>$E$3*$H$82*0.453592*947817/1000000</f>
        <v>2.8361559855870043E-3</v>
      </c>
      <c r="X14" s="79">
        <f>$E$3*$I$82*0.453592*947817/1000000</f>
        <v>2.8361559855870043E-3</v>
      </c>
      <c r="Y14" s="78">
        <f t="shared" si="3"/>
        <v>2.8361559855870043E-3</v>
      </c>
      <c r="Z14" s="79">
        <f>$E$3*$J$82*0.453592*947817/1000000</f>
        <v>2.8361559855870043E-3</v>
      </c>
      <c r="AA14" s="78">
        <f>IF($E$3*$C83*0.000947817&gt;AB14,$E$3*$C83*0.000947817,AB14)</f>
        <v>2.9322011372727272E-3</v>
      </c>
      <c r="AB14" s="78">
        <f>IF($E$3*$D83*0.000947817&gt;AC14,$E$3*$D83*0.000947817,AC14)</f>
        <v>2.9322011372727272E-3</v>
      </c>
      <c r="AC14" s="79">
        <f>$E$3*$H$83*0.453592*947817/1000000</f>
        <v>2.8361559855870043E-3</v>
      </c>
      <c r="AD14" s="79">
        <f>$E$3*$I$83*0.453592*947817/1000000</f>
        <v>2.8361559855870043E-3</v>
      </c>
      <c r="AE14" s="78">
        <f t="shared" si="4"/>
        <v>2.8361559855870043E-3</v>
      </c>
      <c r="AF14" s="79">
        <f>$E$3*$J$83*0.453592*947817/1000000</f>
        <v>2.8361559855870043E-3</v>
      </c>
      <c r="AG14" s="78">
        <f>IF($E$3*$C84*0.000947817&gt;AH14,$E$3*$C84*0.000947817,AH14)</f>
        <v>3.8666625340909089E-4</v>
      </c>
      <c r="AH14" s="78">
        <f>IF($E$3*$D84*0.000947817&gt;AI14,$E$3*$D84*0.000947817,AI14)</f>
        <v>3.8666625340909089E-4</v>
      </c>
      <c r="AI14" s="79">
        <f>$E$3*$H$84*0.453592*947817/1000000</f>
        <v>3.6095069090945716E-4</v>
      </c>
      <c r="AJ14" s="79">
        <f>$E$3*$I$84*0.453592*947817/1000000</f>
        <v>3.6095069090945716E-4</v>
      </c>
      <c r="AK14" s="78">
        <f t="shared" si="5"/>
        <v>3.6095069090945716E-4</v>
      </c>
      <c r="AL14" s="79">
        <f>$E$3*$J$84*0.453592*947817/1000000</f>
        <v>3.6095069090945716E-4</v>
      </c>
      <c r="AM14" s="78">
        <f>IF($E$3*$C85*0.000947817&gt;AN14,$E$3*$C85*0.000947817,AN14)</f>
        <v>1.0072855583731623E-3</v>
      </c>
      <c r="AN14" s="78">
        <f>IF($E$3*$D85*0.000947817&gt;AO14,$E$3*$D85*0.000947817,AO14)</f>
        <v>1.0072855583731623E-3</v>
      </c>
      <c r="AO14" s="79">
        <f>$E$3*$H$85*0.453592*947817/1000000</f>
        <v>1.0072855583731623E-3</v>
      </c>
      <c r="AP14" s="79">
        <f>$E$3*$I$85*0.453592*947817/1000000</f>
        <v>1.0072855583731623E-3</v>
      </c>
      <c r="AQ14" s="78">
        <f t="shared" si="6"/>
        <v>1.0072855583731623E-3</v>
      </c>
      <c r="AR14" s="79">
        <f>$E$3*$J$85*0.453592*947817/1000000</f>
        <v>1.0072855583731623E-3</v>
      </c>
      <c r="AS14" s="78">
        <f>IF($E$3*$C86*0.000947817&gt;AT14,$E$3*$C86*0.000947817,AT14)</f>
        <v>9.5040195545454537E-4</v>
      </c>
      <c r="AT14" s="78">
        <f>IF($E$3*$D86*0.000947817&gt;AU14,$E$3*$D86*0.000947817,AU14)</f>
        <v>1.1495756971058435E-4</v>
      </c>
      <c r="AU14" s="79">
        <f>$E$3*$H$86*0.453592*947817/1000000</f>
        <v>1.1495756971058435E-4</v>
      </c>
      <c r="AV14" s="79">
        <f>$E$3*$I$86*0.453592*947817/1000000</f>
        <v>1.1495756971058435E-4</v>
      </c>
      <c r="AW14" s="78">
        <f t="shared" si="7"/>
        <v>1.1495756971058435E-4</v>
      </c>
      <c r="AX14" s="79">
        <f>$E$3*$J$86*0.453592*947817/1000000</f>
        <v>1.1495756971058435E-4</v>
      </c>
      <c r="AY14" s="80" t="e">
        <f>$E$3*AA14*#REF!</f>
        <v>#REF!</v>
      </c>
      <c r="AZ14" s="80" t="e">
        <f>$E$3*AB14*#REF!</f>
        <v>#REF!</v>
      </c>
      <c r="BA14" s="79">
        <f>$E$3*$H$87*0.453592*947817/1000000</f>
        <v>1.0777392745230613E-3</v>
      </c>
      <c r="BB14" s="79">
        <f>$E$3*$I$87*0.453592*947817/1000000</f>
        <v>1.0777392745230615E-3</v>
      </c>
      <c r="BC14" s="78">
        <f t="shared" si="8"/>
        <v>1.0777392745230613E-3</v>
      </c>
      <c r="BD14" s="79">
        <f>$E$3*$J$87*0.453592*947817/1000000</f>
        <v>1.0777392745230613E-3</v>
      </c>
      <c r="BE14" s="78">
        <f>IF($E$3*$C88*0.000947817&gt;BF14,$E$3*$C88*0.000947817,BF14)</f>
        <v>50.742110490434165</v>
      </c>
      <c r="BF14" s="78">
        <f>IF($E$3*$D88*0.000947817&gt;BG14,$E$3*$D88*0.000947817,BG14)</f>
        <v>50.742110490434165</v>
      </c>
      <c r="BG14" s="83">
        <f>$E$3*$H$88*0.453592*947817/1000000</f>
        <v>50.742110490434165</v>
      </c>
      <c r="BH14" s="83">
        <f>$E$3*$I$88*0.453592*947817/1000000</f>
        <v>50.742110490434165</v>
      </c>
      <c r="BI14" s="84">
        <f t="shared" si="13"/>
        <v>50.742110490434165</v>
      </c>
      <c r="BJ14" s="83">
        <f>$E$3*$J$88*0.453592*947817/1000000</f>
        <v>50.742110490434165</v>
      </c>
      <c r="BK14" s="78" t="e">
        <f>$E$3*AA14*#REF!</f>
        <v>#REF!</v>
      </c>
      <c r="BL14" s="78" t="e">
        <f>$E$3*AB14*#REF!</f>
        <v>#REF!</v>
      </c>
      <c r="BM14" s="78" t="e">
        <f>$E$3*AC14*#REF!</f>
        <v>#REF!</v>
      </c>
      <c r="BN14" s="78"/>
      <c r="BO14" s="78" t="e">
        <f t="shared" si="14"/>
        <v>#REF!</v>
      </c>
      <c r="BP14" s="78" t="e">
        <f>$E$3*AF14*#REF!</f>
        <v>#REF!</v>
      </c>
    </row>
    <row r="15" spans="2:68" x14ac:dyDescent="0.2">
      <c r="B15" s="10" t="s">
        <v>483</v>
      </c>
      <c r="C15" s="78">
        <f>IF($E$3*$C91*0.000947817&gt;D15,$E$3*$C91*0.000947817,D15)</f>
        <v>3.5896414745454548E-3</v>
      </c>
      <c r="D15" s="78">
        <f>IF($E$3*$D91*0.000947817&gt;E15,$E$3*$D91*0.000947817,E15)</f>
        <v>1.1356570963636365E-3</v>
      </c>
      <c r="E15" s="79">
        <f>$E$3*$H$91*0.453592*947817/1000000</f>
        <v>9.6598296420300834E-4</v>
      </c>
      <c r="F15" s="79">
        <f>$E$3*$I$91*0.453592*947817/1000000</f>
        <v>9.6598296420300834E-4</v>
      </c>
      <c r="G15" s="78">
        <f t="shared" si="0"/>
        <v>9.6598296420300834E-4</v>
      </c>
      <c r="H15" s="79">
        <f>$E$3*$J$91*0.453592*947817/1000000</f>
        <v>9.6598296420300834E-4</v>
      </c>
      <c r="I15" s="78">
        <f>IF($E$3*$C92*0.000947817&gt;J15,$E$3*$C92*0.000947817,J15)</f>
        <v>4.306363456909091E-2</v>
      </c>
      <c r="J15" s="78">
        <f>IF($E$3*$D92*0.000947817&gt;K15,$E$3*$D92*0.000947817,K15)</f>
        <v>4.306363456909091E-2</v>
      </c>
      <c r="K15" s="79">
        <f>$E$3*$H$92*0.453592*947817/1000000</f>
        <v>1.8329643708146735E-2</v>
      </c>
      <c r="L15" s="79">
        <f>$E$3*$I$92*0.453592*947817/1000000</f>
        <v>1.8329643708146735E-2</v>
      </c>
      <c r="M15" s="78">
        <f t="shared" si="1"/>
        <v>1.8329643708146735E-2</v>
      </c>
      <c r="N15" s="79">
        <f>$E$3*$J$92*0.453592*947817/1000000</f>
        <v>1.8329643708146735E-2</v>
      </c>
      <c r="O15" s="78">
        <f>IF($E$3*$C93*0.000947817&gt;P15,$E$3*$C93*0.000947817,P15)</f>
        <v>3.9193956253636364E-2</v>
      </c>
      <c r="P15" s="78">
        <f>IF($E$3*$D93*0.000947817&gt;Q15,$E$3*$D93*0.000947817,Q15)</f>
        <v>3.1011323175589533E-2</v>
      </c>
      <c r="Q15" s="79">
        <f>$E$3*$H$93*0.453592*947817/1000000</f>
        <v>3.1011323175589533E-2</v>
      </c>
      <c r="R15" s="79">
        <f>$E$3*$I$93*0.453592*947817/1000000</f>
        <v>3.1011323175589533E-2</v>
      </c>
      <c r="S15" s="78">
        <f t="shared" si="2"/>
        <v>3.1011323175589533E-2</v>
      </c>
      <c r="T15" s="79">
        <f>$E$3*$J$93*0.453592*947817/1000000</f>
        <v>3.1011323175589533E-2</v>
      </c>
      <c r="U15" s="78">
        <f>IF($E$3*$C94*0.000947817&gt;V15,$E$3*$C94*0.000947817,V15)</f>
        <v>3.2432574436363631E-3</v>
      </c>
      <c r="V15" s="78">
        <f>IF($E$3*$D94*0.000947817&gt;W15,$E$3*$D94*0.000947817,W15)</f>
        <v>3.2432574436363631E-3</v>
      </c>
      <c r="W15" s="79">
        <f>$E$3*$H$94*0.453592*947817/1000000</f>
        <v>3.035820203144861E-3</v>
      </c>
      <c r="X15" s="79">
        <f>$E$3*$I$94*0.453592*947817/1000000</f>
        <v>3.035820203144861E-3</v>
      </c>
      <c r="Y15" s="78">
        <f t="shared" si="3"/>
        <v>3.035820203144861E-3</v>
      </c>
      <c r="Z15" s="79">
        <f>$E$3*$J$94*0.453592*947817/1000000</f>
        <v>3.035820203144861E-3</v>
      </c>
      <c r="AA15" s="78">
        <f>IF($E$3*$C95*0.000947817&gt;AB15,$E$3*$C95*0.000947817,AB15)</f>
        <v>3.2432574436363631E-3</v>
      </c>
      <c r="AB15" s="78">
        <f>IF($E$3*$D95*0.000947817&gt;AC15,$E$3*$D95*0.000947817,AC15)</f>
        <v>3.2432574436363631E-3</v>
      </c>
      <c r="AC15" s="79">
        <f>$E$3*$H$95*0.453592*947817/1000000</f>
        <v>3.035820203144861E-3</v>
      </c>
      <c r="AD15" s="79">
        <f>$E$3*$I$95*0.453592*947817/1000000</f>
        <v>3.035820203144861E-3</v>
      </c>
      <c r="AE15" s="78">
        <f t="shared" si="4"/>
        <v>3.035820203144861E-3</v>
      </c>
      <c r="AF15" s="79">
        <f>$E$3*$J$95*0.453592*947817/1000000</f>
        <v>3.035820203144861E-3</v>
      </c>
      <c r="AG15" s="78">
        <f>IF($E$3*$C96*0.000947817&gt;AH15,$E$3*$C96*0.000947817,AH15)</f>
        <v>5.7269621299501305E-4</v>
      </c>
      <c r="AH15" s="78">
        <f>IF($E$3*$D96*0.000947817&gt;AI15,$E$3*$D96*0.000947817,AI15)</f>
        <v>5.7269621299501305E-4</v>
      </c>
      <c r="AI15" s="79">
        <f>$E$3*$H$96*0.453592*947817/1000000</f>
        <v>5.7269621299501305E-4</v>
      </c>
      <c r="AJ15" s="79">
        <f>$E$3*$I$96*0.453592*947817/1000000</f>
        <v>5.7269621299501305E-4</v>
      </c>
      <c r="AK15" s="78">
        <f t="shared" si="5"/>
        <v>5.7269621299501305E-4</v>
      </c>
      <c r="AL15" s="79">
        <f>$E$3*$J$96*0.453592*947817/1000000</f>
        <v>5.7269621299501305E-4</v>
      </c>
      <c r="AM15" s="78">
        <f>IF($E$3*$C97*0.000947817&gt;AN15,$E$3*$C97*0.000947817,AN15)</f>
        <v>3.6706367454545454E-3</v>
      </c>
      <c r="AN15" s="78">
        <f>IF($E$3*$D97*0.000947817&gt;AO15,$E$3*$D97*0.000947817,AO15)</f>
        <v>3.6706367454545454E-3</v>
      </c>
      <c r="AO15" s="79">
        <f>$E$3*$H$97*0.453592*947817/1000000</f>
        <v>1.0932487893130114E-3</v>
      </c>
      <c r="AP15" s="79">
        <f>$E$3*$I$97*0.453592*947817/1000000</f>
        <v>1.0932487893130114E-3</v>
      </c>
      <c r="AQ15" s="78">
        <f t="shared" si="6"/>
        <v>1.0932487893130114E-3</v>
      </c>
      <c r="AR15" s="79">
        <f>$E$3*$J$97*0.453592*947817/1000000</f>
        <v>1.0932487893130114E-3</v>
      </c>
      <c r="AS15" s="78">
        <f>IF($E$3*$C98*0.000947817&gt;AT15,$E$3*$C98*0.000947817,AT15)</f>
        <v>1.2924777272727273E-3</v>
      </c>
      <c r="AT15" s="78">
        <f>IF($E$3*$D98*0.000947817&gt;AU15,$E$3*$D98*0.000947817,AU15)</f>
        <v>1.2924777272727273E-3</v>
      </c>
      <c r="AU15" s="79">
        <f>$E$3*$H$98*0.453592*947817/1000000</f>
        <v>1.1842792058847495E-4</v>
      </c>
      <c r="AV15" s="79">
        <f>$E$3*$I$98*0.453592*947817/1000000</f>
        <v>1.1842792058847495E-4</v>
      </c>
      <c r="AW15" s="78">
        <f t="shared" si="7"/>
        <v>1.1842792058847495E-4</v>
      </c>
      <c r="AX15" s="79">
        <f>$E$3*$J$98*0.453592*947817/1000000</f>
        <v>1.1842792058847495E-4</v>
      </c>
      <c r="AY15" s="80" t="e">
        <f>$E$3*AA15*#REF!</f>
        <v>#REF!</v>
      </c>
      <c r="AZ15" s="80" t="e">
        <f>$E$3*AB15*#REF!</f>
        <v>#REF!</v>
      </c>
      <c r="BA15" s="79">
        <f>$E$3*$H$99*0.453592*947817/1000000</f>
        <v>1.9269205826143404E-3</v>
      </c>
      <c r="BB15" s="79">
        <f>$E$3*$I$99*0.453592*947817/1000000</f>
        <v>1.9269205826143404E-3</v>
      </c>
      <c r="BC15" s="78">
        <f t="shared" si="8"/>
        <v>1.9269205826143404E-3</v>
      </c>
      <c r="BD15" s="79">
        <f>$E$3*$J$99*0.453592*947817/1000000</f>
        <v>1.9269205826143404E-3</v>
      </c>
      <c r="BE15" s="78">
        <f>IF($E$3*$C100*0.000947817&gt;BF15,$E$3*$C100*0.000947817,BF15)</f>
        <v>55.024793551033198</v>
      </c>
      <c r="BF15" s="78">
        <f>IF($E$3*$D100*0.000947817&gt;BG15,$E$3*$D100*0.000947817,BG15)</f>
        <v>55.024793551033198</v>
      </c>
      <c r="BG15" s="83">
        <f>$E$3*$H$100*0.453592*947817/1000000</f>
        <v>55.024793551033198</v>
      </c>
      <c r="BH15" s="83">
        <f>$E$3*$I$100*0.453592*947817/1000000</f>
        <v>55.024793551033198</v>
      </c>
      <c r="BI15" s="84">
        <f t="shared" si="13"/>
        <v>55.024793551033198</v>
      </c>
      <c r="BJ15" s="83">
        <f>$E$3*$J$100*0.453592*947817/1000000</f>
        <v>55.024793551033198</v>
      </c>
      <c r="BK15" s="78" t="e">
        <f>$E$3*AA15*#REF!</f>
        <v>#REF!</v>
      </c>
      <c r="BL15" s="78" t="e">
        <f>$E$3*AB15*#REF!</f>
        <v>#REF!</v>
      </c>
      <c r="BM15" s="78" t="e">
        <f>$E$3*AC15*#REF!</f>
        <v>#REF!</v>
      </c>
      <c r="BN15" s="78"/>
      <c r="BO15" s="78" t="e">
        <f t="shared" si="14"/>
        <v>#REF!</v>
      </c>
      <c r="BP15" s="78" t="e">
        <f>$E$3*AF15*#REF!</f>
        <v>#REF!</v>
      </c>
    </row>
    <row r="16" spans="2:68" x14ac:dyDescent="0.2">
      <c r="B16" s="10" t="s">
        <v>484</v>
      </c>
      <c r="C16" s="78">
        <f>IF($E$3*$C103*0.000947817&gt;D16,$E$3*$C103*0.000947817,D16)</f>
        <v>3.8481370199999997E-3</v>
      </c>
      <c r="D16" s="78">
        <f>IF($E$3*$D103*0.000947817&gt;E16,$E$3*$D103*0.000947817,E16)</f>
        <v>2.405811857410876E-4</v>
      </c>
      <c r="E16" s="79">
        <f>$E$3*$H$103*0.453592*947817/1000000</f>
        <v>2.405811857410876E-4</v>
      </c>
      <c r="F16" s="79">
        <f>$E$3*$I$103*0.453592*947817/1000000</f>
        <v>2.405811857410876E-4</v>
      </c>
      <c r="G16" s="78">
        <f t="shared" si="0"/>
        <v>2.405811857410876E-4</v>
      </c>
      <c r="H16" s="79">
        <f>$E$3*$J$103*0.453592*947817/1000000</f>
        <v>2.405811857410876E-4</v>
      </c>
      <c r="I16" s="78">
        <f>IF($E$3*$C104*0.000947817&gt;J16,$E$3*$C104*0.000947817,J16)</f>
        <v>2.6774106946363636E-2</v>
      </c>
      <c r="J16" s="78">
        <f>IF($E$3*$D104*0.000947817&gt;K16,$E$3*$D104*0.000947817,K16)</f>
        <v>1.8329643708146735E-2</v>
      </c>
      <c r="K16" s="79">
        <f>$E$3*$H$104*0.453592*947817/1000000</f>
        <v>1.8329643708146735E-2</v>
      </c>
      <c r="L16" s="79">
        <f>$E$3*$I$104*0.453592*947817/1000000</f>
        <v>1.8329643708146735E-2</v>
      </c>
      <c r="M16" s="78">
        <f t="shared" si="1"/>
        <v>1.8329643708146735E-2</v>
      </c>
      <c r="N16" s="79">
        <f>$E$3*$J$104*0.453592*947817/1000000</f>
        <v>1.8329643708146735E-2</v>
      </c>
      <c r="O16" s="78">
        <f>IF($E$3*$C105*0.000947817&gt;P16,$E$3*$C105*0.000947817,P16)</f>
        <v>1.4261199242727271E-2</v>
      </c>
      <c r="P16" s="78">
        <f>IF($E$3*$D105*0.000947817&gt;Q16,$E$3*$D105*0.000947817,Q16)</f>
        <v>8.9085797896479215E-3</v>
      </c>
      <c r="Q16" s="79">
        <f>$E$3*$H$105*0.453592*947817/1000000</f>
        <v>8.9085797896479215E-3</v>
      </c>
      <c r="R16" s="79">
        <f>$E$3*$I$105*0.453592*947817/1000000</f>
        <v>8.9085797896479215E-3</v>
      </c>
      <c r="S16" s="78">
        <f t="shared" si="2"/>
        <v>8.9085797896479215E-3</v>
      </c>
      <c r="T16" s="79">
        <f>$E$3*$J$105*0.453592*947817/1000000</f>
        <v>8.9085797896479215E-3</v>
      </c>
      <c r="U16" s="78">
        <f>IF($E$3*$C106*0.000947817&gt;V16,$E$3*$C106*0.000947817,V16)</f>
        <v>1.9740443154545452E-3</v>
      </c>
      <c r="V16" s="78">
        <f>IF($E$3*$D106*0.000947817&gt;W16,$E$3*$D106*0.000947817,W16)</f>
        <v>1.1746022597947219E-4</v>
      </c>
      <c r="W16" s="79">
        <f>$E$3*$H$106*0.453592*947817/1000000</f>
        <v>1.1746022597947219E-4</v>
      </c>
      <c r="X16" s="79">
        <f>$E$3*$I$106*0.453592*947817/1000000</f>
        <v>1.1746022597947219E-4</v>
      </c>
      <c r="Y16" s="78">
        <f t="shared" si="3"/>
        <v>1.1746022597947219E-4</v>
      </c>
      <c r="Z16" s="79">
        <f>$E$3*$J$106*0.453592*947817/1000000</f>
        <v>1.1746022597947219E-4</v>
      </c>
      <c r="AA16" s="78">
        <f>IF($E$3*$C107*0.000947817&gt;AB16,$E$3*$C107*0.000947817,AB16)</f>
        <v>1.9740443154545452E-3</v>
      </c>
      <c r="AB16" s="78">
        <f>IF($E$3*$D107*0.000947817&gt;AC16,$E$3*$D107*0.000947817,AC16)</f>
        <v>1.1746022597947219E-4</v>
      </c>
      <c r="AC16" s="79">
        <f>$E$3*$H$107*0.453592*947817/1000000</f>
        <v>1.1746022597947219E-4</v>
      </c>
      <c r="AD16" s="79">
        <f>$E$3*$I$107*0.453592*947817/1000000</f>
        <v>1.1746022597947219E-4</v>
      </c>
      <c r="AE16" s="78">
        <f t="shared" si="4"/>
        <v>1.1746022597947219E-4</v>
      </c>
      <c r="AF16" s="79">
        <f>$E$3*$J$107*0.453592*947817/1000000</f>
        <v>1.1746022597947219E-4</v>
      </c>
      <c r="AG16" s="78">
        <f>IF($E$3*$C108*0.000947817&gt;AH16,$E$3*$C108*0.000947817,AH16)</f>
        <v>2.8728223944376942E-4</v>
      </c>
      <c r="AH16" s="78">
        <f>IF($E$3*$D108*0.000947817&gt;AI16,$E$3*$D108*0.000947817,AI16)</f>
        <v>2.8728223944376942E-4</v>
      </c>
      <c r="AI16" s="79">
        <f>$E$3*$H$108*0.453592*947817/1000000</f>
        <v>2.8728223944376942E-4</v>
      </c>
      <c r="AJ16" s="79">
        <f>$E$3*$I$108*0.453592*947817/1000000</f>
        <v>2.8728223944376942E-4</v>
      </c>
      <c r="AK16" s="78">
        <f t="shared" si="5"/>
        <v>2.8728223944376942E-4</v>
      </c>
      <c r="AL16" s="79">
        <f>$E$3*$J$108*0.453592*947817/1000000</f>
        <v>2.8728223944376942E-4</v>
      </c>
      <c r="AM16" s="78">
        <f>IF($E$3*$C109*0.000947817&gt;AN16,$E$3*$C109*0.000947817,AN16)</f>
        <v>3.6706367454545454E-3</v>
      </c>
      <c r="AN16" s="78">
        <f>IF($E$3*$D109*0.000947817&gt;AO16,$E$3*$D109*0.000947817,AO16)</f>
        <v>1.122240472309897E-3</v>
      </c>
      <c r="AO16" s="79">
        <f>$E$3*$H$109*0.453592*947817/1000000</f>
        <v>1.122240472309897E-3</v>
      </c>
      <c r="AP16" s="79">
        <f>$E$3*$I$109*0.453592*947817/1000000</f>
        <v>1.122240472309897E-3</v>
      </c>
      <c r="AQ16" s="78">
        <f t="shared" si="6"/>
        <v>1.122240472309897E-3</v>
      </c>
      <c r="AR16" s="79">
        <f>$E$3*$J$109*0.453592*947817/1000000</f>
        <v>1.122240472309897E-3</v>
      </c>
      <c r="AS16" s="78">
        <f>IF($E$3*$C110*0.000947817&gt;AT16,$E$3*$C110*0.000947817,AT16)</f>
        <v>1.2924777272727273E-3</v>
      </c>
      <c r="AT16" s="78">
        <f>IF($E$3*$D110*0.000947817&gt;AU16,$E$3*$D110*0.000947817,AU16)</f>
        <v>1.1321467564286477E-3</v>
      </c>
      <c r="AU16" s="79">
        <f>$E$3*$H$110*0.453592*947817/1000000</f>
        <v>1.1321467564286477E-3</v>
      </c>
      <c r="AV16" s="79">
        <f>$E$3*$I$110*0.453592*947817/1000000</f>
        <v>1.1321467564286477E-3</v>
      </c>
      <c r="AW16" s="78">
        <f t="shared" si="7"/>
        <v>1.1321467564286477E-3</v>
      </c>
      <c r="AX16" s="79">
        <f>$E$3*$J$110*0.453592*947817/1000000</f>
        <v>1.1321467564286477E-3</v>
      </c>
      <c r="AY16" s="80" t="e">
        <f>$E$3*AA16*#REF!</f>
        <v>#REF!</v>
      </c>
      <c r="AZ16" s="80" t="e">
        <f>$E$3*AB16*#REF!</f>
        <v>#REF!</v>
      </c>
      <c r="BA16" s="79">
        <f>$E$3*$H$111*0.453592*947817/1000000</f>
        <v>8.179437912914923E-4</v>
      </c>
      <c r="BB16" s="79">
        <f>$E$3*$I$111*0.453592*947817/1000000</f>
        <v>8.179437912914923E-4</v>
      </c>
      <c r="BC16" s="78">
        <f t="shared" si="8"/>
        <v>8.179437912914923E-4</v>
      </c>
      <c r="BD16" s="79">
        <f>$E$3*$J$111*0.453592*947817/1000000</f>
        <v>8.179437912914923E-4</v>
      </c>
      <c r="BE16" s="78">
        <f>IF($E$3*$C112*0.000947817&gt;BF16,$E$3*$C112*0.000947817,BF16)</f>
        <v>57.838547419048538</v>
      </c>
      <c r="BF16" s="78">
        <f>IF($E$3*$D112*0.000947817&gt;BG16,$E$3*$D112*0.000947817,BG16)</f>
        <v>57.838547419048538</v>
      </c>
      <c r="BG16" s="83">
        <f>$E$3*$H$112*0.453592*947817/1000000</f>
        <v>57.838547419048538</v>
      </c>
      <c r="BH16" s="83">
        <f>$E$3*$I$112*0.453592*947817/1000000</f>
        <v>57.838547419048538</v>
      </c>
      <c r="BI16" s="84">
        <f t="shared" si="13"/>
        <v>57.838547419048538</v>
      </c>
      <c r="BJ16" s="83">
        <f>$E$3*$J$112*0.453592*947817/1000000</f>
        <v>57.838547419048538</v>
      </c>
      <c r="BK16" s="78" t="e">
        <f>$E$3*AA16*#REF!</f>
        <v>#REF!</v>
      </c>
      <c r="BL16" s="78" t="e">
        <f>$E$3*AB16*#REF!</f>
        <v>#REF!</v>
      </c>
      <c r="BM16" s="78" t="e">
        <f>$E$3*AC16*#REF!</f>
        <v>#REF!</v>
      </c>
      <c r="BN16" s="78"/>
      <c r="BO16" s="78" t="e">
        <f t="shared" si="14"/>
        <v>#REF!</v>
      </c>
      <c r="BP16" s="78" t="e">
        <f>$E$3*AF16*#REF!</f>
        <v>#REF!</v>
      </c>
    </row>
    <row r="17" spans="2:68" x14ac:dyDescent="0.2">
      <c r="B17" s="10" t="s">
        <v>485</v>
      </c>
      <c r="C17" s="78">
        <f>IF($E$3*$C115*0.000947817&gt;D17,$E$3*$C115*0.000947817,D17)</f>
        <v>2.1368965090909089E-3</v>
      </c>
      <c r="D17" s="78">
        <f>IF($E$3*$D115*0.000947817&gt;E17,$E$3*$D115*0.000947817,E17)</f>
        <v>2.1205251245454541E-3</v>
      </c>
      <c r="E17" s="79">
        <f>$E$3*$H$115*0.453592*947817/1000000</f>
        <v>2.1119109481171077E-3</v>
      </c>
      <c r="F17" s="79">
        <f>$E$3*$I$115*0.453592*947817/1000000</f>
        <v>2.1119109481171072E-3</v>
      </c>
      <c r="G17" s="78">
        <f t="shared" si="0"/>
        <v>2.1119109481171072E-3</v>
      </c>
      <c r="H17" s="79">
        <f>$E$3*$J$115*0.453592*947817/1000000</f>
        <v>2.1119109481171072E-3</v>
      </c>
      <c r="I17" s="78">
        <f>IF($E$3*$C116*0.000947817&gt;J17,$E$3*$C116*0.000947817,J17)</f>
        <v>2.1135641073719937E-2</v>
      </c>
      <c r="J17" s="78">
        <f>IF($E$3*$D116*0.000947817&gt;K17,$E$3*$D116*0.000947817,K17)</f>
        <v>2.1135641073719937E-2</v>
      </c>
      <c r="K17" s="79">
        <f>$E$3*$H$116*0.453592*947817/1000000</f>
        <v>2.1135641073719937E-2</v>
      </c>
      <c r="L17" s="79">
        <f>$E$3*$I$116*0.453592*947817/1000000</f>
        <v>2.1135641073719937E-2</v>
      </c>
      <c r="M17" s="78">
        <f t="shared" si="1"/>
        <v>2.1135641073719937E-2</v>
      </c>
      <c r="N17" s="79">
        <f>$E$3*$J$116*0.453592*947817/1000000</f>
        <v>2.1135641073719937E-2</v>
      </c>
      <c r="O17" s="78">
        <f>IF($E$3*$C117*0.000947817&gt;P17,$E$3*$C117*0.000947817,P17)</f>
        <v>0.14211654263181817</v>
      </c>
      <c r="P17" s="78">
        <f>IF($E$3*$D117*0.000947817&gt;Q17,$E$3*$D117*0.000947817,Q17)</f>
        <v>0.11206643547272727</v>
      </c>
      <c r="Q17" s="79">
        <f>$E$3*$H$117*0.453592*947817/1000000</f>
        <v>0.11183705017267818</v>
      </c>
      <c r="R17" s="79">
        <f>$E$3*$I$117*0.453592*947817/1000000</f>
        <v>9.7201305243006283E-2</v>
      </c>
      <c r="S17" s="78">
        <f t="shared" si="2"/>
        <v>8.7037593486289672E-2</v>
      </c>
      <c r="T17" s="79">
        <f>$E$3*$J$117*0.453592*947817/1000000</f>
        <v>7.6873881729573074E-2</v>
      </c>
      <c r="U17" s="78">
        <f>IF($E$3*$C118*0.000947817&gt;V17,$E$3*$C118*0.000947817,V17)</f>
        <v>1.1579738784545454E-2</v>
      </c>
      <c r="V17" s="78">
        <f>IF($E$3*$D118*0.000947817&gt;W17,$E$3*$D118*0.000947817,W17)</f>
        <v>1.1579738784545454E-2</v>
      </c>
      <c r="W17" s="79">
        <f>$E$3*$H$118*0.453592*947817/1000000</f>
        <v>1.1554756612027022E-2</v>
      </c>
      <c r="X17" s="79">
        <f>$E$3*$I$118*0.453592*947817/1000000</f>
        <v>1.0176226261121088E-2</v>
      </c>
      <c r="Y17" s="78">
        <f t="shared" si="3"/>
        <v>9.2189135174364119E-3</v>
      </c>
      <c r="Z17" s="79">
        <f>$E$3*$J$118*0.453592*947817/1000000</f>
        <v>8.2616007737517337E-3</v>
      </c>
      <c r="AA17" s="78">
        <f>IF($E$3*$C119*0.000947817&gt;AB17,$E$3*$C119*0.000947817,AB17)</f>
        <v>9.5808844616929144E-3</v>
      </c>
      <c r="AB17" s="78">
        <f>IF($E$3*$D119*0.000947817&gt;AC17,$E$3*$D119*0.000947817,AC17)</f>
        <v>9.5808844616929144E-3</v>
      </c>
      <c r="AC17" s="79">
        <f>$E$3*$H$119*0.453592*947817/1000000</f>
        <v>9.5808844616929144E-3</v>
      </c>
      <c r="AD17" s="79">
        <f>$E$3*$I$119*0.453592*947817/1000000</f>
        <v>8.5070399548078154E-3</v>
      </c>
      <c r="AE17" s="78">
        <f t="shared" si="4"/>
        <v>7.7613146028042736E-3</v>
      </c>
      <c r="AF17" s="79">
        <f>$E$3*$J$119*0.453592*947817/1000000</f>
        <v>7.0155892508007318E-3</v>
      </c>
      <c r="AG17" s="78">
        <f>IF($E$3*$C120*0.000947817&gt;AH17,$E$3*$C120*0.000947817,AH17)</f>
        <v>0.46882475427272724</v>
      </c>
      <c r="AH17" s="78">
        <f>IF($E$3*$D120*0.000947817&gt;AI17,$E$3*$D120*0.000947817,AI17)</f>
        <v>0.27325908770727275</v>
      </c>
      <c r="AI17" s="79">
        <f>$E$3*$H$120*0.453592*947817/1000000</f>
        <v>0.27269688488975147</v>
      </c>
      <c r="AJ17" s="79">
        <f>$E$3*$I$120*0.453592*947817/1000000</f>
        <v>0.23228764155919118</v>
      </c>
      <c r="AK17" s="78">
        <f t="shared" si="5"/>
        <v>0.2042256670240799</v>
      </c>
      <c r="AL17" s="79">
        <f>$E$3*$J$120*0.453592*947817/1000000</f>
        <v>0.17616369248896863</v>
      </c>
      <c r="AM17" s="78">
        <f>IF($E$3*$C121*0.000947817&gt;AN17,$E$3*$C121*0.000947817,AN17)</f>
        <v>2.5341179972727269E-3</v>
      </c>
      <c r="AN17" s="78">
        <f>IF($E$3*$D121*0.000947817&gt;AO17,$E$3*$D121*0.000947817,AO17)</f>
        <v>2.5341179972727269E-3</v>
      </c>
      <c r="AO17" s="79">
        <f>$E$3*$H$121*0.453592*947817/1000000</f>
        <v>2.5276805007209847E-3</v>
      </c>
      <c r="AP17" s="79">
        <f>$E$3*$I$121*0.453592*947817/1000000</f>
        <v>2.5276805007209847E-3</v>
      </c>
      <c r="AQ17" s="78">
        <f t="shared" si="6"/>
        <v>2.5276805007209847E-3</v>
      </c>
      <c r="AR17" s="79">
        <f>$E$3*$J$121*0.453592*947817/1000000</f>
        <v>2.5276805007209842E-3</v>
      </c>
      <c r="AS17" s="78">
        <f>IF($E$3*$C122*0.000947817&gt;AT17,$E$3*$C122*0.000947817,AT17)</f>
        <v>4.8868669033363629E-4</v>
      </c>
      <c r="AT17" s="78">
        <f>IF($E$3*$D122*0.000947817&gt;AU17,$E$3*$D122*0.000947817,AU17)</f>
        <v>4.8868669033363629E-4</v>
      </c>
      <c r="AU17" s="79">
        <f>$E$3*$H$122*0.453592*947817/1000000</f>
        <v>4.8768198019142603E-4</v>
      </c>
      <c r="AV17" s="79">
        <f>$E$3*$I$122*0.453592*947817/1000000</f>
        <v>4.8768198019142592E-4</v>
      </c>
      <c r="AW17" s="78">
        <f t="shared" si="7"/>
        <v>4.8768198019142592E-4</v>
      </c>
      <c r="AX17" s="79">
        <f>$E$3*$J$122*0.453592*947817/1000000</f>
        <v>4.8768198019142592E-4</v>
      </c>
      <c r="AY17" s="80" t="e">
        <f>$E$3*AA17*#REF!</f>
        <v>#REF!</v>
      </c>
      <c r="AZ17" s="80" t="e">
        <f>$E$3*AB17*#REF!</f>
        <v>#REF!</v>
      </c>
      <c r="BA17" s="79">
        <f>$E$3*$H$123*0.453592*947817/1000000</f>
        <v>9.5808844616929146E-4</v>
      </c>
      <c r="BB17" s="79">
        <f>$E$3*$I$123*0.453592*947817/1000000</f>
        <v>9.5808844616929146E-4</v>
      </c>
      <c r="BC17" s="78">
        <f t="shared" si="8"/>
        <v>9.5808844616929146E-4</v>
      </c>
      <c r="BD17" s="79">
        <f>$E$3*$J$123*0.453592*947817/1000000</f>
        <v>9.5808844616929146E-4</v>
      </c>
      <c r="BE17" s="78">
        <f>IF($E$3*$C124*0.000947817&gt;BF17,$E$3*$C124*0.000947817,BF17)</f>
        <v>65.390714327023232</v>
      </c>
      <c r="BF17" s="78">
        <f>IF($E$3*$D124*0.000947817&gt;BG17,$E$3*$D124*0.000947817,BG17)</f>
        <v>65.390714327023232</v>
      </c>
      <c r="BG17" s="83">
        <f>$E$3*$H$124*0.453592*947817/1000000</f>
        <v>65.390714327023232</v>
      </c>
      <c r="BH17" s="83">
        <f>$E$3*$I$124*0.453592*947817/1000000</f>
        <v>65.390714327023232</v>
      </c>
      <c r="BI17" s="84">
        <f t="shared" si="13"/>
        <v>65.390714327023232</v>
      </c>
      <c r="BJ17" s="83">
        <f>$E$3*$J$124*0.453592*947817/1000000</f>
        <v>65.390714327023232</v>
      </c>
      <c r="BK17" s="78" t="e">
        <f>$E$3*AA17*#REF!</f>
        <v>#REF!</v>
      </c>
      <c r="BL17" s="78" t="e">
        <f>$E$3*AB17*#REF!</f>
        <v>#REF!</v>
      </c>
      <c r="BM17" s="78" t="e">
        <f>$E$3*AC17*#REF!</f>
        <v>#REF!</v>
      </c>
      <c r="BN17" s="78"/>
      <c r="BO17" s="78" t="e">
        <f t="shared" si="14"/>
        <v>#REF!</v>
      </c>
      <c r="BP17" s="78" t="e">
        <f>$E$3*AF17*#REF!</f>
        <v>#REF!</v>
      </c>
    </row>
    <row r="18" spans="2:68" x14ac:dyDescent="0.2">
      <c r="B18" s="10" t="s">
        <v>486</v>
      </c>
      <c r="C18" s="78">
        <f>IF($E$3*$C139*0.000947817&gt;D18,$E$3*$C139*0.000947817,D18)</f>
        <v>1.1503051772727272E-3</v>
      </c>
      <c r="D18" s="78">
        <f>IF($E$3*$D139*0.000947817&gt;E18,$E$3*$D139*0.000947817,E18)</f>
        <v>1.1503051772727272E-3</v>
      </c>
      <c r="E18" s="79">
        <f>$E$3*$H$139*0.453592*947817/1000000</f>
        <v>2.0956971443804719E-4</v>
      </c>
      <c r="F18" s="79">
        <f>$E$3*$I$139*0.453592*947817/1000000</f>
        <v>2.0956971443804719E-4</v>
      </c>
      <c r="G18" s="78">
        <f>(F18+H18)/2</f>
        <v>2.0956971443804719E-4</v>
      </c>
      <c r="H18" s="79">
        <f>$E$3*$J$139*0.453592*947817/1000000</f>
        <v>2.0956971443804719E-4</v>
      </c>
      <c r="I18" s="78">
        <f>IF($E$3*$C140*0.000947817&gt;J18,$E$3*$C140*0.000947817,J18)</f>
        <v>7.5084339436363636E-3</v>
      </c>
      <c r="J18" s="78">
        <f>IF($E$3*$D140*0.000947817&gt;K18,$E$3*$D140*0.000947817,K18)</f>
        <v>7.5084339436363636E-3</v>
      </c>
      <c r="K18" s="79">
        <f>$E$3*$H$140*0.453592*947817/1000000</f>
        <v>1.685289786939296E-3</v>
      </c>
      <c r="L18" s="79">
        <f>$E$3*$I$140*0.453592*947817/1000000</f>
        <v>1.685289786939296E-3</v>
      </c>
      <c r="M18" s="78">
        <f>(L18+N18)/2</f>
        <v>1.685289786939296E-3</v>
      </c>
      <c r="N18" s="79">
        <f>$E$3*$J$140*0.453592*947817/1000000</f>
        <v>1.685289786939296E-3</v>
      </c>
      <c r="O18" s="78">
        <f>IF($E$3*$C141*0.000947817&gt;P18,$E$3*$C141*0.000947817,P18)</f>
        <v>0.21819223806769136</v>
      </c>
      <c r="P18" s="78">
        <f>IF($E$3*$D141*0.000947817&gt;Q18,$E$3*$D141*0.000947817,Q18)</f>
        <v>0.21819223806769136</v>
      </c>
      <c r="Q18" s="79">
        <f>$E$3*$H$141*0.453592*947817/1000000</f>
        <v>0.21819223806769136</v>
      </c>
      <c r="R18" s="79">
        <f>$E$3*$I$141*0.453592*947817/1000000</f>
        <v>0.21819223806769136</v>
      </c>
      <c r="S18" s="78">
        <f>(R18+T18)/2</f>
        <v>0.21819223806769136</v>
      </c>
      <c r="T18" s="79">
        <f>$E$3*$J$141*0.453592*947817/1000000</f>
        <v>0.21819223806769136</v>
      </c>
      <c r="U18" s="78">
        <f>IF($E$3*$C142*0.000947817&gt;V18,$E$3*$C142*0.000947817,V18)</f>
        <v>1.5380988462412117E-2</v>
      </c>
      <c r="V18" s="78">
        <f>IF($E$3*$D142*0.000947817&gt;W18,$E$3*$D142*0.000947817,W18)</f>
        <v>1.5380988462412117E-2</v>
      </c>
      <c r="W18" s="79">
        <f>$E$3*$H$142*0.453592*947817/1000000</f>
        <v>1.5380988462412117E-2</v>
      </c>
      <c r="X18" s="79">
        <f>$E$3*$I$142*0.453592*947817/1000000</f>
        <v>1.5380988462412117E-2</v>
      </c>
      <c r="Y18" s="78">
        <f>(X18+Z18)/2</f>
        <v>1.5380988462412117E-2</v>
      </c>
      <c r="Z18" s="79">
        <f>$E$3*$J$142*0.453592*947817/1000000</f>
        <v>1.5380988462412117E-2</v>
      </c>
      <c r="AA18" s="78">
        <f>IF($E$3*$C143*0.000947817&gt;AB18,$E$3*$C143*0.000947817,AB18)</f>
        <v>1.1201473636363637E-2</v>
      </c>
      <c r="AB18" s="78">
        <f>IF($E$3*$D143*0.000947817&gt;AC18,$E$3*$D143*0.000947817,AC18)</f>
        <v>1.1201473636363637E-2</v>
      </c>
      <c r="AC18" s="79">
        <f>$E$3*$H$143*0.453592*947817/1000000</f>
        <v>5.4616961998080618E-3</v>
      </c>
      <c r="AD18" s="79">
        <f>$E$3*$I$143*0.453592*947817/1000000</f>
        <v>5.4616961998080618E-3</v>
      </c>
      <c r="AE18" s="78">
        <f>(AD18+AF18)/2</f>
        <v>5.4616961998080618E-3</v>
      </c>
      <c r="AF18" s="79">
        <f>$E$3*$J$143*0.453592*947817/1000000</f>
        <v>5.4616961998080618E-3</v>
      </c>
      <c r="AG18" s="78">
        <f>IF($E$3*$C144*0.000947817&gt;AH18,$E$3*$C144*0.000947817,AH18)</f>
        <v>4.7492365325873642E-2</v>
      </c>
      <c r="AH18" s="78">
        <f>IF($E$3*$D144*0.000947817&gt;AI18,$E$3*$D144*0.000947817,AI18)</f>
        <v>4.7492365325873642E-2</v>
      </c>
      <c r="AI18" s="79">
        <f>$E$3*$H$144*0.453592*947817/1000000</f>
        <v>4.7492365325873642E-2</v>
      </c>
      <c r="AJ18" s="79">
        <f>$E$3*$I$144*0.453592*947817/1000000</f>
        <v>3.7875540111829635E-2</v>
      </c>
      <c r="AK18" s="78">
        <f>(AJ18+AL18)/2</f>
        <v>3.3067127504807635E-2</v>
      </c>
      <c r="AL18" s="79">
        <f>$E$3*$J$144*0.453592*947817/1000000</f>
        <v>2.8258714897785638E-2</v>
      </c>
      <c r="AM18" s="78">
        <f>IF($E$3*$C145*0.000947817&gt;AN18,$E$3*$C145*0.000947817,AN18)</f>
        <v>2.923656281345938E-3</v>
      </c>
      <c r="AN18" s="78">
        <f>IF($E$3*$D145*0.000947817&gt;AO18,$E$3*$D145*0.000947817,AO18)</f>
        <v>2.923656281345938E-3</v>
      </c>
      <c r="AO18" s="79">
        <f>$E$3*$H$145*0.453592*947817/1000000</f>
        <v>2.923656281345938E-3</v>
      </c>
      <c r="AP18" s="79">
        <f>$E$3*$I$145*0.453592*947817/1000000</f>
        <v>2.923656281345938E-3</v>
      </c>
      <c r="AQ18" s="78">
        <f>(AP18+AR18)/2</f>
        <v>2.923656281345938E-3</v>
      </c>
      <c r="AR18" s="79">
        <f>$E$3*$J$145*0.453592*947817/1000000</f>
        <v>2.923656281345938E-3</v>
      </c>
      <c r="AS18" s="78">
        <f>IF($E$3*$C146*0.000947817&gt;AT18,$E$3*$C146*0.000947817,AT18)</f>
        <v>5.8663643549135172E-4</v>
      </c>
      <c r="AT18" s="78">
        <f>IF($E$3*$D146*0.000947817&gt;AU18,$E$3*$D146*0.000947817,AU18)</f>
        <v>5.8663643549135172E-4</v>
      </c>
      <c r="AU18" s="79">
        <f>$E$3*$H$146*0.453592*947817/1000000</f>
        <v>5.8663643549135172E-4</v>
      </c>
      <c r="AV18" s="79">
        <f>$E$3*$I$146*0.453592*947817/1000000</f>
        <v>5.8663643549135172E-4</v>
      </c>
      <c r="AW18" s="78">
        <f>(AV18+AX18)/2</f>
        <v>5.8663643549135172E-4</v>
      </c>
      <c r="AX18" s="79">
        <f>$E$3*$J$146*0.453592*947817/1000000</f>
        <v>5.8663643549135172E-4</v>
      </c>
      <c r="AY18" s="80" t="e">
        <f>$E$3*AA18*#REF!</f>
        <v>#REF!</v>
      </c>
      <c r="AZ18" s="80" t="e">
        <f>$E$3*AB18*#REF!</f>
        <v>#REF!</v>
      </c>
      <c r="BA18" s="79">
        <f>$E$3*$H$147*0.453592*947817/1000000</f>
        <v>8.463007495526589E-4</v>
      </c>
      <c r="BB18" s="79">
        <f>$E$3*$I$147*0.453592*947817/1000000</f>
        <v>8.463007495526589E-4</v>
      </c>
      <c r="BC18" s="78">
        <f>(BB18+BD18)/2</f>
        <v>8.463007495526589E-4</v>
      </c>
      <c r="BD18" s="79">
        <f>$E$3*$J$147*0.453592*947817/1000000</f>
        <v>8.463007495526589E-4</v>
      </c>
      <c r="BE18" s="78">
        <f>IF($E$3*$C148*0.000947817&gt;BF18,$E$3*$C148*0.000947817,BF18)</f>
        <v>69.007179076134236</v>
      </c>
      <c r="BF18" s="78">
        <f>IF($E$3*$D148*0.000947817&gt;BG18,$E$3*$D148*0.000947817,BG18)</f>
        <v>69.007179076134236</v>
      </c>
      <c r="BG18" s="83">
        <f>$E$3*$H$148*0.453592*947817/1000000</f>
        <v>69.007179076134236</v>
      </c>
      <c r="BH18" s="83">
        <f>$E$3*$I$148*0.453592*947817/1000000</f>
        <v>69.007179076134236</v>
      </c>
      <c r="BI18" s="84">
        <f>(BH18+BJ18)/2</f>
        <v>69.007179076134236</v>
      </c>
      <c r="BJ18" s="83">
        <f>$E$3*$J$148*0.453592*947817/1000000</f>
        <v>69.007179076134236</v>
      </c>
      <c r="BK18" s="78" t="e">
        <f>$E$3*AA18*#REF!</f>
        <v>#REF!</v>
      </c>
      <c r="BL18" s="78" t="e">
        <f>$E$3*AB18*#REF!</f>
        <v>#REF!</v>
      </c>
      <c r="BM18" s="78" t="e">
        <f>$E$3*AC18*#REF!</f>
        <v>#REF!</v>
      </c>
      <c r="BN18" s="78"/>
      <c r="BO18" s="78" t="e">
        <f>(BN18+BP18)/2</f>
        <v>#REF!</v>
      </c>
      <c r="BP18" s="78" t="e">
        <f>$E$3*AF18*#REF!</f>
        <v>#REF!</v>
      </c>
    </row>
    <row r="19" spans="2:68" x14ac:dyDescent="0.2">
      <c r="B19" s="10" t="s">
        <v>487</v>
      </c>
      <c r="C19" s="78">
        <f>IF($E$3*$C127*0.000947817&gt;D19,$E$3*$C127*0.000947817,D19)</f>
        <v>8.4933019718181804E-2</v>
      </c>
      <c r="D19" s="78">
        <f>IF($E$3*$D127*0.000947817&gt;E19,$E$3*$D127*0.000947817,E19)</f>
        <v>6.0694754072727265E-2</v>
      </c>
      <c r="E19" s="79">
        <f>$E$3*$H$127*0.453592*947817/1000000</f>
        <v>1.7469750522310656E-3</v>
      </c>
      <c r="F19" s="79">
        <f>$E$3*$I$127*0.453592*947817/1000000</f>
        <v>1.7469750522310656E-3</v>
      </c>
      <c r="G19" s="78">
        <f>(F19+H19)/2</f>
        <v>1.7469750522310656E-3</v>
      </c>
      <c r="H19" s="79">
        <f>$E$3*$J$127*0.453592*947817/1000000</f>
        <v>1.7469750522310656E-3</v>
      </c>
      <c r="I19" s="78">
        <f>IF($E$3*$C128*0.000947817&gt;J19,$E$3*$C128*0.000947817,J19)</f>
        <v>0.56611184194121544</v>
      </c>
      <c r="J19" s="78">
        <f>IF($E$3*$D128*0.000947817&gt;K19,$E$3*$D128*0.000947817,K19)</f>
        <v>0.56611184194121544</v>
      </c>
      <c r="K19" s="79">
        <f>$E$3*$H$128*0.453592*947817/1000000</f>
        <v>0.56611184194121544</v>
      </c>
      <c r="L19" s="79">
        <f>$E$3*$I$128*0.453592*947817/1000000</f>
        <v>0.45339608376245494</v>
      </c>
      <c r="M19" s="78">
        <f>(L19+N19)/2</f>
        <v>0.42033590338447624</v>
      </c>
      <c r="N19" s="79">
        <f>$E$3*$J$128*0.453592*947817/1000000</f>
        <v>0.38727572300649754</v>
      </c>
      <c r="O19" s="78">
        <f>IF($E$3*$C129*0.000947817&gt;P19,$E$3*$C129*0.000947817,P19)</f>
        <v>1.7896483455427119</v>
      </c>
      <c r="P19" s="78">
        <f>IF($E$3*$D129*0.000947817&gt;Q19,$E$3*$D129*0.000947817,Q19)</f>
        <v>1.7896483455427119</v>
      </c>
      <c r="Q19" s="79">
        <f>$E$3*$H$129*0.453592*947817/1000000</f>
        <v>1.7896483455427119</v>
      </c>
      <c r="R19" s="79">
        <f>$E$3*$I$129*0.453592*947817/1000000</f>
        <v>0.23082846721061595</v>
      </c>
      <c r="S19" s="78">
        <f>(R19+T19)/2</f>
        <v>0.14369589826823542</v>
      </c>
      <c r="T19" s="79">
        <f>$E$3*$J$129*0.453592*947817/1000000</f>
        <v>5.6563329325854887E-2</v>
      </c>
      <c r="U19" s="78">
        <f>IF($E$3*$C130*0.000947817&gt;V19,$E$3*$C130*0.000947817,V19)</f>
        <v>7.7178153354545448E-2</v>
      </c>
      <c r="V19" s="78">
        <f>IF($E$3*$D130*0.000947817&gt;W19,$E$3*$D130*0.000947817,W19)</f>
        <v>5.3303504776363635E-2</v>
      </c>
      <c r="W19" s="79">
        <f>$E$3*$H$130*0.453592*947817/1000000</f>
        <v>4.3842877896640563E-2</v>
      </c>
      <c r="X19" s="79">
        <f>$E$3*$I$130*0.453592*947817/1000000</f>
        <v>1.6210551883826856E-2</v>
      </c>
      <c r="Y19" s="78">
        <f>(X19+Z19)/2</f>
        <v>8.9379951810687492E-3</v>
      </c>
      <c r="Z19" s="79">
        <f>$E$3*$J$130*0.453592*947817/1000000</f>
        <v>1.6654384783106441E-3</v>
      </c>
      <c r="AA19" s="78">
        <f>IF($E$3*$C131*0.000947817&gt;AB19,$E$3*$C131*0.000947817,AB19)</f>
        <v>6.9460338019090906E-2</v>
      </c>
      <c r="AB19" s="78">
        <f>IF($E$3*$D131*0.000947817&gt;AC19,$E$3*$D131*0.000947817,AC19)</f>
        <v>4.7973326629090908E-2</v>
      </c>
      <c r="AC19" s="79">
        <f>$E$3*$H$131*0.453592*947817/1000000</f>
        <v>4.3355719308684162E-2</v>
      </c>
      <c r="AD19" s="79">
        <f>$E$3*$I$131*0.453592*947817/1000000</f>
        <v>1.6004569074238775E-2</v>
      </c>
      <c r="AE19" s="78">
        <f>(AD19+AF19)/2</f>
        <v>8.8064629959004343E-3</v>
      </c>
      <c r="AF19" s="79">
        <f>$E$3*$J$131*0.453592*947817/1000000</f>
        <v>1.608356917562094E-3</v>
      </c>
      <c r="AG19" s="78">
        <f>IF($E$3*$C132*0.000947817&gt;AH19,$E$3*$C132*0.000947817,AH19)</f>
        <v>9.2496387233570301E-2</v>
      </c>
      <c r="AH19" s="78">
        <f>IF($E$3*$D132*0.000947817&gt;AI19,$E$3*$D132*0.000947817,AI19)</f>
        <v>9.2496387233570301E-2</v>
      </c>
      <c r="AI19" s="79">
        <f>$E$3*$H$132*0.453592*947817/1000000</f>
        <v>9.2496387233570301E-2</v>
      </c>
      <c r="AJ19" s="79">
        <f>$E$3*$I$132*0.453592*947817/1000000</f>
        <v>6.3167163723868716E-4</v>
      </c>
      <c r="AK19" s="78">
        <f>(AJ19+AL19)/2</f>
        <v>6.3167163723868716E-4</v>
      </c>
      <c r="AL19" s="79">
        <f>$E$3*$J$132*0.453592*947817/1000000</f>
        <v>6.3167163723868716E-4</v>
      </c>
      <c r="AM19" s="78">
        <f>IF($E$3*$C133*0.000947817&gt;AN19,$E$3*$C133*0.000947817,AN19)</f>
        <v>3.6370483611967235E-3</v>
      </c>
      <c r="AN19" s="78">
        <f>IF($E$3*$D133*0.000947817&gt;AO19,$E$3*$D133*0.000947817,AO19)</f>
        <v>3.6370483611967235E-3</v>
      </c>
      <c r="AO19" s="79">
        <f>$E$3*$H$133*0.453592*947817/1000000</f>
        <v>3.6370483611967235E-3</v>
      </c>
      <c r="AP19" s="79">
        <f>$E$3*$I$133*0.453592*947817/1000000</f>
        <v>3.6370483611967235E-3</v>
      </c>
      <c r="AQ19" s="78">
        <f>(AP19+AR19)/2</f>
        <v>3.6370483611967235E-3</v>
      </c>
      <c r="AR19" s="79">
        <f>$E$3*$J$133*0.453592*947817/1000000</f>
        <v>3.6370483611967235E-3</v>
      </c>
      <c r="AS19" s="78">
        <f>IF($E$3*$C135*0.000947817&gt;AT19,$E$3*$C135*0.000947817,AT19)</f>
        <v>5.3484460274699996E-2</v>
      </c>
      <c r="AT19" s="78">
        <f>IF($E$3*$D135*0.000947817&gt;AU19,$E$3*$D135*0.000947817,AU19)</f>
        <v>3.6939461504400001E-2</v>
      </c>
      <c r="AU19" s="79">
        <f>$E$3*$H$134*0.453592*947817/1000000</f>
        <v>5.1707916551133818E-4</v>
      </c>
      <c r="AV19" s="79">
        <f>$E$3*$I$134*0.453592*947817/1000000</f>
        <v>5.1707916551133818E-4</v>
      </c>
      <c r="AW19" s="78">
        <f>(AV19+AX19)/2</f>
        <v>5.1707916551133818E-4</v>
      </c>
      <c r="AX19" s="79">
        <f>$E$3*$J$134*0.453592*947817/1000000</f>
        <v>5.1707916551133818E-4</v>
      </c>
      <c r="AY19" s="80" t="e">
        <f>$E$3*AA19*#REF!</f>
        <v>#REF!</v>
      </c>
      <c r="AZ19" s="80" t="e">
        <f>$E$3*AB19*#REF!</f>
        <v>#REF!</v>
      </c>
      <c r="BA19" s="79">
        <f>$E$3*$H$135*0.453592*947817/1000000</f>
        <v>3.5855970624906731E-2</v>
      </c>
      <c r="BB19" s="79">
        <f>$E$3*$I$135*0.453592*947817/1000000</f>
        <v>1.2323518187163858E-2</v>
      </c>
      <c r="BC19" s="78">
        <f>(BB19+BD19)/2</f>
        <v>6.7809765068433349E-3</v>
      </c>
      <c r="BD19" s="79">
        <f>$E$3*$J$135*0.453592*947817/1000000</f>
        <v>1.2384348265228127E-3</v>
      </c>
      <c r="BE19" s="78">
        <f>IF($E$3*$C137*0.000947817&gt;BF19,$E$3*$C137*0.000947817,BF19)</f>
        <v>68.419537064817632</v>
      </c>
      <c r="BF19" s="78">
        <f>IF($E$3*$D137*0.000947817&gt;BG19,$E$3*$D137*0.000947817,BG19)</f>
        <v>68.419537064817632</v>
      </c>
      <c r="BG19" s="83">
        <f>$E$3*$H$136*0.453592*947817/1000000</f>
        <v>68.419537064817632</v>
      </c>
      <c r="BH19" s="83">
        <f>$E$3*$I$136*0.453592*947817/1000000</f>
        <v>68.419537064817632</v>
      </c>
      <c r="BI19" s="84">
        <f>(BH19+BJ19)/2</f>
        <v>68.419537064817632</v>
      </c>
      <c r="BJ19" s="83">
        <f>$E$3*$J$136*0.453592*947817/1000000</f>
        <v>68.419537064817632</v>
      </c>
      <c r="BK19" s="78" t="e">
        <f>$E$3*AA19*#REF!</f>
        <v>#REF!</v>
      </c>
      <c r="BL19" s="78" t="e">
        <f>$E$3*AB19*#REF!</f>
        <v>#REF!</v>
      </c>
      <c r="BM19" s="78" t="e">
        <f>$E$3*AC19*#REF!</f>
        <v>#REF!</v>
      </c>
      <c r="BN19" s="78"/>
      <c r="BO19" s="78" t="e">
        <f t="shared" si="14"/>
        <v>#REF!</v>
      </c>
      <c r="BP19" s="78" t="e">
        <f>$E$3*AF19*#REF!</f>
        <v>#REF!</v>
      </c>
    </row>
    <row r="20" spans="2:68" x14ac:dyDescent="0.2">
      <c r="B20" s="10" t="s">
        <v>488</v>
      </c>
      <c r="C20" s="78">
        <f>IF($E$3*$C151*0.000947817&gt;D20,$E$3*$C151*0.000947817,D20)</f>
        <v>7.070714819999999E-3</v>
      </c>
      <c r="D20" s="78">
        <f>IF($E$3*$D151*0.000947817&gt;E20,$E$3*$D151*0.000947817,E20)</f>
        <v>7.070714819999999E-3</v>
      </c>
      <c r="E20" s="79">
        <f>$E$3*$H$151*0.453592*947817/1000000</f>
        <v>3.6738806922196354E-3</v>
      </c>
      <c r="F20" s="79">
        <f>$E$3*$I$151*0.453592*947817/1000000</f>
        <v>3.6738806922196354E-3</v>
      </c>
      <c r="G20" s="78">
        <f t="shared" si="0"/>
        <v>3.6738806922196354E-3</v>
      </c>
      <c r="H20" s="79">
        <f>$E$3*$J$151*0.453592*947817/1000000</f>
        <v>3.6738806922196354E-3</v>
      </c>
      <c r="I20" s="78">
        <f>IF($E$3*$C152*0.000947817&gt;J20,$E$3*$C152*0.000947817,J20)</f>
        <v>8.9306567890658189E-2</v>
      </c>
      <c r="J20" s="78">
        <f>IF($E$3*$D152*0.000947817&gt;K20,$E$3*$D152*0.000947817,K20)</f>
        <v>8.9306567890658189E-2</v>
      </c>
      <c r="K20" s="79">
        <f>$E$3*$H$152*0.453592*947817/1000000</f>
        <v>8.9306567890658189E-2</v>
      </c>
      <c r="L20" s="79">
        <f>$E$3*$I$152*0.453592*947817/1000000</f>
        <v>8.9306567890658189E-2</v>
      </c>
      <c r="M20" s="78">
        <f t="shared" si="1"/>
        <v>8.9306567890658189E-2</v>
      </c>
      <c r="N20" s="79">
        <f>$E$3*$J$152*0.453592*947817/1000000</f>
        <v>8.9306567890658189E-2</v>
      </c>
      <c r="O20" s="78">
        <f>IF($E$3*$C153*0.000947817&gt;P20,$E$3*$C153*0.000947817,P20)</f>
        <v>5.8625755726909097E-2</v>
      </c>
      <c r="P20" s="78">
        <f>IF($E$3*$D153*0.000947817&gt;Q20,$E$3*$D153*0.000947817,Q20)</f>
        <v>5.8625755726909097E-2</v>
      </c>
      <c r="Q20" s="79">
        <f>$E$3*$H$153*0.453592*947817/1000000</f>
        <v>5.8625755726909097E-2</v>
      </c>
      <c r="R20" s="79">
        <f>$E$3*$I$153*0.453592*947817/1000000</f>
        <v>5.8625755726909097E-2</v>
      </c>
      <c r="S20" s="78">
        <f t="shared" si="2"/>
        <v>5.8625755726909097E-2</v>
      </c>
      <c r="T20" s="79">
        <f>$E$3*$J$153*0.453592*947817/1000000</f>
        <v>5.8625755726909097E-2</v>
      </c>
      <c r="U20" s="78">
        <f>IF($E$3*$C154*0.000947817&gt;V20,$E$3*$C154*0.000947817,V20)</f>
        <v>7.7405539478095633E-3</v>
      </c>
      <c r="V20" s="78">
        <f>IF($E$3*$D154*0.000947817&gt;W20,$E$3*$D154*0.000947817,W20)</f>
        <v>7.7405539478095633E-3</v>
      </c>
      <c r="W20" s="79">
        <f>$E$3*$H$154*0.453592*947817/1000000</f>
        <v>7.7405539478095633E-3</v>
      </c>
      <c r="X20" s="79">
        <f>$E$3*$I$154*0.453592*947817/1000000</f>
        <v>7.7405539478095633E-3</v>
      </c>
      <c r="Y20" s="78">
        <f t="shared" si="3"/>
        <v>7.7405539478095633E-3</v>
      </c>
      <c r="Z20" s="79">
        <f>$E$3*$J$154*0.453592*947817/1000000</f>
        <v>7.7405539478095633E-3</v>
      </c>
      <c r="AA20" s="78">
        <f>IF($E$3*$C155*0.000947817&gt;AB20,$E$3*$C155*0.000947817,AB20)</f>
        <v>7.7405539478095633E-3</v>
      </c>
      <c r="AB20" s="78">
        <f>IF($E$3*$D155*0.000947817&gt;AC20,$E$3*$D155*0.000947817,AC20)</f>
        <v>7.7405539478095633E-3</v>
      </c>
      <c r="AC20" s="79">
        <f>$E$3*$H$155*0.453592*947817/1000000</f>
        <v>7.7405539478095633E-3</v>
      </c>
      <c r="AD20" s="79">
        <f>$E$3*$I$155*0.453592*947817/1000000</f>
        <v>7.7405539478095633E-3</v>
      </c>
      <c r="AE20" s="78">
        <f t="shared" si="4"/>
        <v>7.7405539478095633E-3</v>
      </c>
      <c r="AF20" s="79">
        <f>$E$3*$J$155*0.453592*947817/1000000</f>
        <v>7.7405539478095633E-3</v>
      </c>
      <c r="AG20" s="78">
        <f>IF($E$3*$C156*0.000947817&gt;AH20,$E$3*$C156*0.000947817,AH20)</f>
        <v>3.2525632832727268E-2</v>
      </c>
      <c r="AH20" s="78">
        <f>IF($E$3*$D156*0.000947817&gt;AI20,$E$3*$D156*0.000947817,AI20)</f>
        <v>3.2525632832727268E-2</v>
      </c>
      <c r="AI20" s="79">
        <f>$E$3*$H$156*0.453592*947817/1000000</f>
        <v>1.0064088066452728E-2</v>
      </c>
      <c r="AJ20" s="79">
        <f>$E$3*$I$156*0.453592*947817/1000000</f>
        <v>1.0064088066452728E-2</v>
      </c>
      <c r="AK20" s="78">
        <f t="shared" si="5"/>
        <v>1.0064088066452728E-2</v>
      </c>
      <c r="AL20" s="79">
        <f>$E$3*$J$156*0.453592*947817/1000000</f>
        <v>1.0064088066452728E-2</v>
      </c>
      <c r="AM20" s="78">
        <f>IF($E$3*$C157*0.000947817&gt;AN20,$E$3*$C157*0.000947817,AN20)</f>
        <v>4.5463104514959045E-3</v>
      </c>
      <c r="AN20" s="78">
        <f>IF($E$3*$D157*0.000947817&gt;AO20,$E$3*$D157*0.000947817,AO20)</f>
        <v>4.5463104514959045E-3</v>
      </c>
      <c r="AO20" s="79">
        <f>$E$3*$H$157*0.453592*947817/1000000</f>
        <v>4.5463104514959045E-3</v>
      </c>
      <c r="AP20" s="79">
        <f>$E$3*$I$157*0.453592*947817/1000000</f>
        <v>4.5463104514959045E-3</v>
      </c>
      <c r="AQ20" s="78">
        <f t="shared" si="6"/>
        <v>4.5463104514959045E-3</v>
      </c>
      <c r="AR20" s="79">
        <f>$E$3*$J$157*0.453592*947817/1000000</f>
        <v>4.5463104514959045E-3</v>
      </c>
      <c r="AS20" s="78">
        <f>IF($E$3*$C158*0.000947817&gt;AT20,$E$3*$C158*0.000947817,AT20)</f>
        <v>9.4781699999999993E-3</v>
      </c>
      <c r="AT20" s="78">
        <f>IF($E$3*$D158*0.000947817&gt;AU20,$E$3*$D158*0.000947817,AU20)</f>
        <v>9.4781699999999993E-3</v>
      </c>
      <c r="AU20" s="79">
        <f>$E$3*$H$158*0.453592*947817/1000000</f>
        <v>9.0926209029918093E-5</v>
      </c>
      <c r="AV20" s="79">
        <f>$E$3*$I$158*0.453592*947817/1000000</f>
        <v>9.0926209029918093E-5</v>
      </c>
      <c r="AW20" s="78">
        <f t="shared" si="7"/>
        <v>9.0926209029918093E-5</v>
      </c>
      <c r="AX20" s="79">
        <f>$E$3*$J$158*0.453592*947817/1000000</f>
        <v>9.0926209029918093E-5</v>
      </c>
      <c r="AY20" s="80" t="e">
        <f>$E$3*AA20*#REF!</f>
        <v>#REF!</v>
      </c>
      <c r="AZ20" s="80" t="e">
        <f>$E$3*AB20*#REF!</f>
        <v>#REF!</v>
      </c>
      <c r="BA20" s="79">
        <f>$E$3*$H$159*0.453592*947817/1000000</f>
        <v>3.2835973111944574E-3</v>
      </c>
      <c r="BB20" s="79">
        <f>$E$3*$I$159*0.453592*947817/1000000</f>
        <v>3.2835973111944574E-3</v>
      </c>
      <c r="BC20" s="78">
        <f t="shared" si="8"/>
        <v>3.2835973111944574E-3</v>
      </c>
      <c r="BD20" s="79">
        <f>$E$3*$J$159*0.453592*947817/1000000</f>
        <v>3.2835973111944574E-3</v>
      </c>
      <c r="BE20" s="78">
        <f>0.15*BE11</f>
        <v>12.503569221938106</v>
      </c>
      <c r="BF20" s="78">
        <f t="shared" ref="BF20:BJ20" si="18">0.15*BF11</f>
        <v>12.503569221938106</v>
      </c>
      <c r="BG20" s="78">
        <f t="shared" si="18"/>
        <v>12.503569221938106</v>
      </c>
      <c r="BH20" s="78">
        <f t="shared" si="18"/>
        <v>12.503569221938106</v>
      </c>
      <c r="BI20" s="78">
        <f t="shared" si="18"/>
        <v>12.503569221938106</v>
      </c>
      <c r="BJ20" s="78">
        <f t="shared" si="18"/>
        <v>12.503569221938106</v>
      </c>
      <c r="BK20" s="78" t="e">
        <f>$E$3*AA20*#REF!</f>
        <v>#REF!</v>
      </c>
      <c r="BL20" s="78" t="e">
        <f>$E$3*AB20*#REF!</f>
        <v>#REF!</v>
      </c>
      <c r="BM20" s="78" t="e">
        <f>$E$3*AC20*#REF!</f>
        <v>#REF!</v>
      </c>
      <c r="BN20" s="78"/>
      <c r="BO20" s="78" t="e">
        <f t="shared" si="14"/>
        <v>#REF!</v>
      </c>
      <c r="BP20" s="78" t="e">
        <f>$E$3*AF20*#REF!</f>
        <v>#REF!</v>
      </c>
    </row>
    <row r="21" spans="2:68" x14ac:dyDescent="0.2">
      <c r="B21" s="10" t="s">
        <v>489</v>
      </c>
      <c r="C21" s="78">
        <f>IF($E$3*$C163*0.000947817&gt;D21,$E$3*$C163*0.000947817,D21)</f>
        <v>7.1017342854545456E-3</v>
      </c>
      <c r="D21" s="78">
        <f>IF($E$3*$D163*0.000947817&gt;E21,$E$3*$D163*0.000947817,E21)</f>
        <v>7.1017342854545456E-3</v>
      </c>
      <c r="E21" s="79">
        <f>$E$3*$H$163*0.453592*947817/1000000</f>
        <v>6.6442523157163634E-3</v>
      </c>
      <c r="F21" s="79">
        <f>$E$3*$I$163*0.453592*947817/1000000</f>
        <v>6.6442523157163634E-3</v>
      </c>
      <c r="G21" s="78">
        <f t="shared" si="0"/>
        <v>6.6442523157163634E-3</v>
      </c>
      <c r="H21" s="79">
        <f>$E$3*$J$163*0.453592*947817/1000000</f>
        <v>6.6442523157163634E-3</v>
      </c>
      <c r="I21" s="78">
        <f>IF($E$3*$C164*0.000947817&gt;J21,$E$3*$C164*0.000947817,J21)</f>
        <v>0.24882781205454543</v>
      </c>
      <c r="J21" s="78">
        <f>IF($E$3*$D164*0.000947817&gt;K21,$E$3*$D164*0.000947817,K21)</f>
        <v>0.24882781205454543</v>
      </c>
      <c r="K21" s="79">
        <f>$E$3*$H$164*0.453592*947817/1000000</f>
        <v>0.23450302290763633</v>
      </c>
      <c r="L21" s="79">
        <f>$E$3*$I$164*0.453592*947817/1000000</f>
        <v>0.22477195961195323</v>
      </c>
      <c r="M21" s="78">
        <f t="shared" si="1"/>
        <v>0.21877361334381268</v>
      </c>
      <c r="N21" s="79">
        <f>$E$3*$J$164*0.453592*947817/1000000</f>
        <v>0.21277526707567213</v>
      </c>
      <c r="O21" s="78">
        <f>IF($E$3*$C165*0.000947817&gt;P21,$E$3*$C165*0.000947817,P21)</f>
        <v>0.26283827061818182</v>
      </c>
      <c r="P21" s="78">
        <f>IF($E$3*$D165*0.000947817&gt;Q21,$E$3*$D165*0.000947817,Q21)</f>
        <v>0.26283827061818182</v>
      </c>
      <c r="Q21" s="79">
        <f>$E$3*$H$165*0.453592*947817/1000000</f>
        <v>8.5984441732799996E-2</v>
      </c>
      <c r="R21" s="79">
        <f>$E$3*$I$165*0.453592*947817/1000000</f>
        <v>8.5984441732799996E-2</v>
      </c>
      <c r="S21" s="78">
        <f t="shared" si="2"/>
        <v>8.5984441732799996E-2</v>
      </c>
      <c r="T21" s="79">
        <f>$E$3*$J$165*0.453592*947817/1000000</f>
        <v>8.5984441732799996E-2</v>
      </c>
      <c r="U21" s="78">
        <f>IF($E$3*$C166*0.000947817&gt;V21,$E$3*$C166*0.000947817,V21)</f>
        <v>0.15103894720909089</v>
      </c>
      <c r="V21" s="78">
        <f>IF($E$3*$D166*0.000947817&gt;W21,$E$3*$D166*0.000947817,W21)</f>
        <v>0.15103894720909089</v>
      </c>
      <c r="W21" s="79">
        <f>$E$3*$H$166*0.453592*947817/1000000</f>
        <v>2.3821598743700729E-2</v>
      </c>
      <c r="X21" s="79">
        <f>$E$3*$I$166*0.453592*947817/1000000</f>
        <v>1.0273177840432513E-2</v>
      </c>
      <c r="Y21" s="78">
        <f t="shared" si="3"/>
        <v>9.9237938189619575E-3</v>
      </c>
      <c r="Z21" s="79">
        <f>$E$3*$J$166*0.453592*947817/1000000</f>
        <v>9.5744097974914018E-3</v>
      </c>
      <c r="AA21" s="78">
        <f>IF($E$3*$C167*0.000947817&gt;AB21,$E$3*$C167*0.000947817,AB21)</f>
        <v>0.11680552047272727</v>
      </c>
      <c r="AB21" s="78">
        <f>IF($E$3*$D167*0.000947817&gt;AC21,$E$3*$D167*0.000947817,AC21)</f>
        <v>0.11680552047272727</v>
      </c>
      <c r="AC21" s="79">
        <f>$E$3*$H$167*0.453592*947817/1000000</f>
        <v>2.0675349853023276E-2</v>
      </c>
      <c r="AD21" s="79">
        <f>$E$3*$I$167*0.453592*947817/1000000</f>
        <v>9.0746178821581158E-3</v>
      </c>
      <c r="AE21" s="78">
        <f t="shared" si="4"/>
        <v>8.7565920739168159E-3</v>
      </c>
      <c r="AF21" s="79">
        <f>$E$3*$J$167*0.453592*947817/1000000</f>
        <v>8.4385662656755161E-3</v>
      </c>
      <c r="AG21" s="78">
        <f>IF($E$3*$C168*0.000947817&gt;AH21,$E$3*$C168*0.000947817,AH21)</f>
        <v>1.6891822243636362E-2</v>
      </c>
      <c r="AH21" s="78">
        <f>IF($E$3*$D168*0.000947817&gt;AI21,$E$3*$D168*0.000947817,AI21)</f>
        <v>9.7709592878181817E-3</v>
      </c>
      <c r="AI21" s="79">
        <f>$E$3*$H$168*0.453592*947817/1000000</f>
        <v>9.7709592878181817E-3</v>
      </c>
      <c r="AJ21" s="79">
        <f>$E$3*$I$168*0.453592*947817/1000000</f>
        <v>9.7709592878181817E-3</v>
      </c>
      <c r="AK21" s="78">
        <f t="shared" si="5"/>
        <v>9.7709592878181817E-3</v>
      </c>
      <c r="AL21" s="79">
        <f>$E$3*$J$168*0.453592*947817/1000000</f>
        <v>9.7709592878181817E-3</v>
      </c>
      <c r="AM21" s="78">
        <f>IF($E$3*$C169*0.000947817&gt;AN21,$E$3*$C169*0.000947817,AN21)</f>
        <v>2.8935991358181815E-2</v>
      </c>
      <c r="AN21" s="78">
        <f>IF($E$3*$D169*0.000947817&gt;AO21,$E$3*$D169*0.000947817,AO21)</f>
        <v>2.8935991358181815E-2</v>
      </c>
      <c r="AO21" s="79">
        <f>$E$3*$H$169*0.453592*947817/1000000</f>
        <v>8.2076058017672739E-3</v>
      </c>
      <c r="AP21" s="79">
        <f>$E$3*$I$169*0.453592*947817/1000000</f>
        <v>8.2076058017672739E-3</v>
      </c>
      <c r="AQ21" s="78">
        <f t="shared" si="6"/>
        <v>8.2076058017672739E-3</v>
      </c>
      <c r="AR21" s="79">
        <f>$E$3*$J$169*0.453592*947817/1000000</f>
        <v>8.2076058017672739E-3</v>
      </c>
      <c r="AS21" s="78">
        <f>IF($E$3*$C170*0.000947817&gt;AT21,$E$3*$C170*0.000947817,AT21)</f>
        <v>9.4781699999999993E-3</v>
      </c>
      <c r="AT21" s="78">
        <f>IF($E$3*$D170*0.000947817&gt;AU21,$E$3*$D170*0.000947817,AU21)</f>
        <v>5.0808988296654539E-3</v>
      </c>
      <c r="AU21" s="79">
        <f>$E$3*$H$170*0.453592*947817/1000000</f>
        <v>5.0808988296654539E-3</v>
      </c>
      <c r="AV21" s="79">
        <f>$E$3*$I$170*0.453592*947817/1000000</f>
        <v>5.0808988296654539E-3</v>
      </c>
      <c r="AW21" s="78">
        <f t="shared" si="7"/>
        <v>5.0808988296654539E-3</v>
      </c>
      <c r="AX21" s="79">
        <f>$E$3*$J$170*0.453592*947817/1000000</f>
        <v>5.0808988296654539E-3</v>
      </c>
      <c r="AY21" s="80" t="e">
        <f>$E$3*AA21*#REF!</f>
        <v>#REF!</v>
      </c>
      <c r="AZ21" s="80" t="e">
        <f>$E$3*AB21*#REF!</f>
        <v>#REF!</v>
      </c>
      <c r="BA21" s="79">
        <f>$E$3*$H$171*0.453592*947817/1000000</f>
        <v>1.0927840867495855E-3</v>
      </c>
      <c r="BB21" s="79">
        <f>$E$3*$I$171*0.453592*947817/1000000</f>
        <v>7.7391182890362527E-4</v>
      </c>
      <c r="BC21" s="78">
        <f t="shared" si="8"/>
        <v>7.472154357151511E-4</v>
      </c>
      <c r="BD21" s="79">
        <f>$E$3*$J$171*0.453592*947817/1000000</f>
        <v>7.2051904252667682E-4</v>
      </c>
      <c r="BE21" s="78">
        <f>0.15*BE13</f>
        <v>13.134686718139625</v>
      </c>
      <c r="BF21" s="78">
        <f t="shared" ref="BF21:BJ21" si="19">0.15*BF13</f>
        <v>13.134686718139625</v>
      </c>
      <c r="BG21" s="78">
        <f t="shared" si="19"/>
        <v>13.134686718139625</v>
      </c>
      <c r="BH21" s="78">
        <f t="shared" si="19"/>
        <v>13.134686718139625</v>
      </c>
      <c r="BI21" s="78">
        <f t="shared" si="19"/>
        <v>13.134686718139625</v>
      </c>
      <c r="BJ21" s="78">
        <f t="shared" si="19"/>
        <v>13.134686718139625</v>
      </c>
      <c r="BK21" s="78" t="e">
        <f>$E$3*AA21*#REF!</f>
        <v>#REF!</v>
      </c>
      <c r="BL21" s="78" t="e">
        <f>$E$3*AB21*#REF!</f>
        <v>#REF!</v>
      </c>
      <c r="BM21" s="78" t="e">
        <f>$E$3*AC21*#REF!</f>
        <v>#REF!</v>
      </c>
      <c r="BN21" s="78"/>
      <c r="BO21" s="78" t="e">
        <f t="shared" si="14"/>
        <v>#REF!</v>
      </c>
      <c r="BP21" s="78" t="e">
        <f>$E$3*AF21*#REF!</f>
        <v>#REF!</v>
      </c>
    </row>
    <row r="22" spans="2:68" x14ac:dyDescent="0.2">
      <c r="B22" s="10" t="s">
        <v>490</v>
      </c>
      <c r="C22" s="78">
        <f>IF($E$3*$N$45*C18+(1-$N$45)*C19&gt;D22,$E$3*$N$45*C18+(1-$N$45),D22)</f>
        <v>2.1024817339752085E-2</v>
      </c>
      <c r="D22" s="78">
        <f>IF($E$3*$N$45*D18+(1-$N$45)*D19&gt;E22,$E$3*$N$45*D18+(1-$N$45),E22)</f>
        <v>2.1024817339752085E-2</v>
      </c>
      <c r="E22" s="78">
        <f>$E$3*$N$45*E18+(1-$N$45)*E19</f>
        <v>2.2164706481669975E-4</v>
      </c>
      <c r="F22" s="78">
        <f>$E$3*$N$45*F18+(1-$N$45)*F19</f>
        <v>2.2164706481669975E-4</v>
      </c>
      <c r="G22" s="78">
        <f t="shared" ref="G22:BO22" si="20">$N$45*G18+(1-$N$45)*G19</f>
        <v>2.4031782119390759E-4</v>
      </c>
      <c r="H22" s="78">
        <f>$E$3*$N$45*H18+(1-$N$45)*H19</f>
        <v>2.2164706481669975E-4</v>
      </c>
      <c r="I22" s="78">
        <f>IF($E$3*$N$45*I18+(1-$N$45)*I19&gt;J22,$E$3*$N$45*I18+(1-$N$45),J22)</f>
        <v>2.668933205887605E-2</v>
      </c>
      <c r="J22" s="78">
        <f>IF($E$3*$N$45*J18+(1-$N$45)*J19&gt;K22,$E$3*$N$45*J18+(1-$N$45),K22)</f>
        <v>2.668933205887605E-2</v>
      </c>
      <c r="K22" s="78">
        <f>$E$3*$N$45*K18+(1-$N$45)*K19</f>
        <v>1.2823676830824781E-2</v>
      </c>
      <c r="L22" s="78">
        <f>$E$3*$N$45*L18+(1-$N$45)*L19</f>
        <v>1.0569361667249569E-2</v>
      </c>
      <c r="M22" s="78">
        <f t="shared" si="20"/>
        <v>1.0058302058890042E-2</v>
      </c>
      <c r="N22" s="78">
        <f>$E$3*$N$45*N18+(1-$N$45)*N19</f>
        <v>9.2469544521304216E-3</v>
      </c>
      <c r="O22" s="78">
        <f>IF($E$3*$N$45*O18+(1-$N$45)*O19&gt;P22,$E$3*$N$45*O18+(1-$N$45),P22)</f>
        <v>0.2301824153711611</v>
      </c>
      <c r="P22" s="78">
        <f>IF($E$3*$N$45*P18+(1-$N$45)*P19&gt;Q22,$E$3*$N$45*P18+(1-$N$45),Q22)</f>
        <v>0.2301824153711611</v>
      </c>
      <c r="Q22" s="78">
        <f>$E$3*$N$45*Q18+(1-$N$45)*Q19</f>
        <v>0.2301824153711611</v>
      </c>
      <c r="R22" s="78">
        <f>$E$3*$N$45*R18+(1-$N$45)*R19</f>
        <v>0.19900601780451915</v>
      </c>
      <c r="S22" s="78">
        <f t="shared" si="20"/>
        <v>0.21670231127170225</v>
      </c>
      <c r="T22" s="78">
        <f>$E$3*$N$45*T18+(1-$N$45)*T19</f>
        <v>0.19552071504682395</v>
      </c>
      <c r="U22" s="78">
        <f>IF($E$3*$N$45*U18+(1-$N$45)*U19&gt;V22,$E$3*$N$45*U18+(1-$N$45),V22)</f>
        <v>3.3703062448330809E-2</v>
      </c>
      <c r="V22" s="78">
        <f>IF($E$3*$N$45*V18+(1-$N$45)*V19&gt;W22,$E$3*$N$45*V18+(1-$N$45),W22)</f>
        <v>3.3703062448330809E-2</v>
      </c>
      <c r="W22" s="78">
        <f>$E$3*$N$45*W18+(1-$N$45)*W19</f>
        <v>1.4579920006263607E-2</v>
      </c>
      <c r="X22" s="78">
        <f>$E$3*$N$45*X18+(1-$N$45)*X19</f>
        <v>1.4027273486007331E-2</v>
      </c>
      <c r="Y22" s="78">
        <f t="shared" si="20"/>
        <v>1.525212859678525E-2</v>
      </c>
      <c r="Z22" s="78">
        <f>$E$3*$N$45*Z18+(1-$N$45)*Z19</f>
        <v>1.3736371217897007E-2</v>
      </c>
      <c r="AA22" s="78">
        <f>$E$3*$N$45*AA18+(1-$N$45)*AA19</f>
        <v>1.1368701454596696E-2</v>
      </c>
      <c r="AB22" s="78">
        <f>$E$3*$N$45*AB18+(1-$N$45)*AB19</f>
        <v>1.0938961226796697E-2</v>
      </c>
      <c r="AC22" s="78">
        <f>$E$3*$N$45*AC18+(1-$N$45)*AC19</f>
        <v>5.7329891823663208E-3</v>
      </c>
      <c r="AD22" s="78">
        <f>$E$3*$N$45*AD18+(1-$N$45)*AD19</f>
        <v>5.1859661776774129E-3</v>
      </c>
      <c r="AE22" s="78">
        <f t="shared" si="20"/>
        <v>5.5285915357299095E-3</v>
      </c>
      <c r="AF22" s="78">
        <f>$E$3*$N$45*AF18+(1-$N$45)*AF19</f>
        <v>4.8980419345438786E-3</v>
      </c>
      <c r="AG22" s="78">
        <f>$E$3*$N$45*AG18+(1-$N$45)*AG19</f>
        <v>4.4161307762267926E-2</v>
      </c>
      <c r="AH22" s="78">
        <f>$E$3*$N$45*AH18+(1-$N$45)*AH19</f>
        <v>4.4161307762267926E-2</v>
      </c>
      <c r="AI22" s="78">
        <f>$E$3*$N$45*AI18+(1-$N$45)*AI19</f>
        <v>4.4161307762267926E-2</v>
      </c>
      <c r="AJ22" s="78">
        <f>$E$3*$N$45*AJ18+(1-$N$45)*AJ19</f>
        <v>3.3756296441465723E-2</v>
      </c>
      <c r="AK22" s="78">
        <f t="shared" si="20"/>
        <v>3.2418418387456259E-2</v>
      </c>
      <c r="AL22" s="78">
        <f>$E$3*$N$45*AL18+(1-$N$45)*AL19</f>
        <v>2.5188579432590157E-2</v>
      </c>
      <c r="AM22" s="78">
        <f>$E$3*$N$45*AM18+(1-$N$45)*AM19</f>
        <v>2.6774529269684975E-3</v>
      </c>
      <c r="AN22" s="78">
        <f>$E$3*$N$45*AN18+(1-$N$45)*AN19</f>
        <v>2.6774529269684975E-3</v>
      </c>
      <c r="AO22" s="78">
        <f>$E$3*$N$45*AO18+(1-$N$45)*AO19</f>
        <v>2.6774529269684975E-3</v>
      </c>
      <c r="AP22" s="78">
        <f>$E$3*$N$45*AP18+(1-$N$45)*AP19</f>
        <v>2.6774529269684975E-3</v>
      </c>
      <c r="AQ22" s="78">
        <f t="shared" si="20"/>
        <v>2.9379241229429537E-3</v>
      </c>
      <c r="AR22" s="78">
        <f>$E$3*$N$45*AR18+(1-$N$45)*AR19</f>
        <v>2.6774529269684975E-3</v>
      </c>
      <c r="AS22" s="78">
        <f>$E$3*$N$45*AS18+(1-$N$45)*AS19</f>
        <v>1.5923289389317506E-3</v>
      </c>
      <c r="AT22" s="78">
        <f>$E$3*$N$45*AT18+(1-$N$45)*AT19</f>
        <v>1.2614289635257503E-3</v>
      </c>
      <c r="AU22" s="78">
        <f>$E$3*$N$45*AU18+(1-$N$45)*AU19</f>
        <v>5.3298131674797645E-4</v>
      </c>
      <c r="AV22" s="78">
        <f>$E$3*$N$45*AV18+(1-$N$45)*AV19</f>
        <v>5.3298131674797645E-4</v>
      </c>
      <c r="AW22" s="78">
        <f t="shared" si="20"/>
        <v>5.8524529009175148E-4</v>
      </c>
      <c r="AX22" s="78">
        <f>$E$3*$N$45*AX18+(1-$N$45)*AX19</f>
        <v>5.3298131674797645E-4</v>
      </c>
      <c r="AY22" s="78" t="e">
        <f>$E$3*$N$45*AY18+(1-$N$45)*AY19</f>
        <v>#REF!</v>
      </c>
      <c r="AZ22" s="78" t="e">
        <f>$E$3*$N$45*AZ18+(1-$N$45)*AZ19</f>
        <v>#REF!</v>
      </c>
      <c r="BA22" s="78">
        <f>$E$3*$N$45*BA18+(1-$N$45)*BA19</f>
        <v>1.4710964439177767E-3</v>
      </c>
      <c r="BB22" s="78">
        <f>$E$3*$N$45*BB18+(1-$N$45)*BB19</f>
        <v>1.0004473951629189E-3</v>
      </c>
      <c r="BC22" s="78">
        <f t="shared" si="20"/>
        <v>9.649942646984725E-4</v>
      </c>
      <c r="BD22" s="78">
        <f>$E$3*$N$45*BD18+(1-$N$45)*BD19</f>
        <v>7.7874572795009773E-4</v>
      </c>
      <c r="BE22" s="78">
        <f>$E$3*$N$45*BE18+(1-$N$45)*BE19</f>
        <v>62.847513918215938</v>
      </c>
      <c r="BF22" s="78">
        <f>$E$3*$N$45*BF18+(1-$N$45)*BF19</f>
        <v>62.847513918215938</v>
      </c>
      <c r="BG22" s="84">
        <f>$E$3*$N$45*BG18+(1-$N$45)*BG19</f>
        <v>62.847513918215938</v>
      </c>
      <c r="BH22" s="84">
        <f>$E$3*$N$45*BH18+(1-$N$45)*BH19</f>
        <v>62.847513918215938</v>
      </c>
      <c r="BI22" s="84">
        <f t="shared" si="20"/>
        <v>68.9954262359079</v>
      </c>
      <c r="BJ22" s="84">
        <f>$E$3*$N$45*BJ18+(1-$N$45)*BJ19</f>
        <v>62.847513918215938</v>
      </c>
      <c r="BK22" s="78" t="e">
        <f>$E$3*$N$45*BK18+(1-$N$45)*BK19</f>
        <v>#REF!</v>
      </c>
      <c r="BL22" s="78" t="e">
        <f>$E$3*$N$45*BL18+(1-$N$45)*BL19</f>
        <v>#REF!</v>
      </c>
      <c r="BM22" s="78" t="e">
        <f>$E$3*$N$45*BM18+(1-$N$45)*BM19</f>
        <v>#REF!</v>
      </c>
      <c r="BN22" s="78">
        <f>$E$3*$N$45*BN18+(1-$N$45)*BN19</f>
        <v>0</v>
      </c>
      <c r="BO22" s="78" t="e">
        <f t="shared" si="20"/>
        <v>#REF!</v>
      </c>
      <c r="BP22" s="78" t="e">
        <f>$E$3*$N$45*BP18+(1-$N$45)*BP19</f>
        <v>#REF!</v>
      </c>
    </row>
    <row r="25" spans="2:68" x14ac:dyDescent="0.2">
      <c r="B25" s="85" t="s">
        <v>491</v>
      </c>
      <c r="C25" s="85"/>
      <c r="D25" s="85"/>
      <c r="E25" s="85"/>
      <c r="F25" s="85"/>
      <c r="G25" s="85"/>
      <c r="H25" s="85" t="s">
        <v>492</v>
      </c>
      <c r="I25" s="85"/>
      <c r="J25" s="85"/>
    </row>
    <row r="26" spans="2:68" x14ac:dyDescent="0.2">
      <c r="H26" s="10" t="s">
        <v>493</v>
      </c>
      <c r="M26" s="10" t="s">
        <v>494</v>
      </c>
      <c r="R26" s="10">
        <f>D45/D44</f>
        <v>0.78588807785888082</v>
      </c>
      <c r="S26" s="10" t="s">
        <v>495</v>
      </c>
    </row>
    <row r="27" spans="2:68" x14ac:dyDescent="0.2">
      <c r="B27" s="11" t="s">
        <v>478</v>
      </c>
      <c r="C27" s="10">
        <v>2005</v>
      </c>
      <c r="D27" s="10">
        <v>2010</v>
      </c>
      <c r="E27" s="10">
        <v>2015</v>
      </c>
      <c r="F27" s="10">
        <v>2020</v>
      </c>
      <c r="H27" s="122" t="s">
        <v>496</v>
      </c>
      <c r="I27" s="122" t="s">
        <v>497</v>
      </c>
      <c r="J27" s="122" t="s">
        <v>498</v>
      </c>
      <c r="M27" s="122" t="s">
        <v>496</v>
      </c>
      <c r="N27" s="122" t="s">
        <v>497</v>
      </c>
      <c r="O27" s="122" t="s">
        <v>498</v>
      </c>
    </row>
    <row r="28" spans="2:68" x14ac:dyDescent="0.2">
      <c r="B28" s="10" t="s">
        <v>23</v>
      </c>
      <c r="C28" s="12">
        <v>1.411</v>
      </c>
      <c r="D28" s="12">
        <v>0.71831699999999998</v>
      </c>
      <c r="E28" s="12">
        <v>0.71831699999999998</v>
      </c>
      <c r="F28" s="12">
        <v>0.68051099999999998</v>
      </c>
      <c r="G28" s="10" t="s">
        <v>499</v>
      </c>
      <c r="H28" s="86">
        <f>M28/0.003412142/1000*2.204623/M$41</f>
        <v>9.4323227706769204E-4</v>
      </c>
      <c r="I28" s="86">
        <f t="shared" ref="I28:J37" si="21">N28/0.003412142/1000*2.204623/N$41</f>
        <v>9.8706071946170039E-4</v>
      </c>
      <c r="J28" s="86">
        <f t="shared" si="21"/>
        <v>1.0351607299514394E-3</v>
      </c>
      <c r="K28" s="10" t="s">
        <v>500</v>
      </c>
      <c r="M28" s="86">
        <f>'GREET2014-EFUpdate'!M61</f>
        <v>5.7333333333333333E-3</v>
      </c>
      <c r="N28" s="86">
        <f>'GREET2014-EFUpdate'!N61</f>
        <v>5.7333333333333333E-3</v>
      </c>
      <c r="O28" s="86">
        <f>'GREET2014-EFUpdate'!O61</f>
        <v>5.7333333333333333E-3</v>
      </c>
      <c r="P28" s="10" t="s">
        <v>501</v>
      </c>
    </row>
    <row r="29" spans="2:68" x14ac:dyDescent="0.2">
      <c r="B29" s="10" t="s">
        <v>24</v>
      </c>
      <c r="C29" s="12">
        <v>11.757999999999999</v>
      </c>
      <c r="D29" s="12">
        <v>12.651999999999999</v>
      </c>
      <c r="E29" s="12">
        <v>12.651999999999999</v>
      </c>
      <c r="F29" s="12">
        <v>11.884</v>
      </c>
      <c r="G29" s="10" t="s">
        <v>499</v>
      </c>
      <c r="H29" s="86">
        <f t="shared" ref="H29:H37" si="22">M29/0.003412142/1000*2.204623/M$41</f>
        <v>1.6517532665859817E-2</v>
      </c>
      <c r="I29" s="86">
        <f t="shared" si="21"/>
        <v>1.7285040040806054E-2</v>
      </c>
      <c r="J29" s="86">
        <f t="shared" si="21"/>
        <v>1.8127349526824044E-2</v>
      </c>
      <c r="K29" s="10" t="s">
        <v>500</v>
      </c>
      <c r="M29" s="86">
        <f>'GREET2014-EFUpdate'!M60</f>
        <v>0.1004</v>
      </c>
      <c r="N29" s="86">
        <f>'GREET2014-EFUpdate'!N60</f>
        <v>0.1004</v>
      </c>
      <c r="O29" s="86">
        <f>'GREET2014-EFUpdate'!O60</f>
        <v>0.1004</v>
      </c>
      <c r="P29" s="10" t="s">
        <v>501</v>
      </c>
      <c r="R29" s="10" t="s">
        <v>502</v>
      </c>
      <c r="S29" s="10">
        <v>82</v>
      </c>
    </row>
    <row r="30" spans="2:68" x14ac:dyDescent="0.2">
      <c r="B30" s="10" t="s">
        <v>25</v>
      </c>
      <c r="C30" s="12">
        <v>42.103000000000002</v>
      </c>
      <c r="D30" s="12">
        <v>21.864999999999998</v>
      </c>
      <c r="E30" s="12">
        <v>21.864999999999998</v>
      </c>
      <c r="F30" s="12">
        <v>20.553999999999998</v>
      </c>
      <c r="G30" s="10" t="s">
        <v>499</v>
      </c>
      <c r="H30" s="86">
        <f t="shared" si="22"/>
        <v>2.8543744198472894E-2</v>
      </c>
      <c r="I30" s="86">
        <f t="shared" si="21"/>
        <v>2.987006421394274E-2</v>
      </c>
      <c r="J30" s="86">
        <f t="shared" si="21"/>
        <v>3.1325648833704894E-2</v>
      </c>
      <c r="K30" s="10" t="s">
        <v>500</v>
      </c>
      <c r="M30" s="86">
        <f>'GREET2014-EFUpdate'!M62</f>
        <v>0.17350000000000002</v>
      </c>
      <c r="N30" s="86">
        <f>'GREET2014-EFUpdate'!N62</f>
        <v>0.17350000000000002</v>
      </c>
      <c r="O30" s="86">
        <f>'GREET2014-EFUpdate'!O62</f>
        <v>0.17350000000000002</v>
      </c>
      <c r="P30" s="10" t="s">
        <v>501</v>
      </c>
      <c r="S30" s="10">
        <v>93</v>
      </c>
    </row>
    <row r="31" spans="2:68" x14ac:dyDescent="0.2">
      <c r="B31" s="10" t="s">
        <v>26</v>
      </c>
      <c r="C31" s="12">
        <v>6.2380000000000004</v>
      </c>
      <c r="D31" s="12">
        <v>3.0369999999999999</v>
      </c>
      <c r="E31" s="12">
        <v>3.0369999999999999</v>
      </c>
      <c r="F31" s="12">
        <v>2.8479999999999999</v>
      </c>
      <c r="G31" s="10" t="s">
        <v>499</v>
      </c>
      <c r="H31" s="86">
        <f t="shared" si="22"/>
        <v>3.9689788402775704E-3</v>
      </c>
      <c r="I31" s="86">
        <f t="shared" si="21"/>
        <v>4.1534023006418929E-3</v>
      </c>
      <c r="J31" s="86">
        <f t="shared" si="21"/>
        <v>4.3557998738508958E-3</v>
      </c>
      <c r="K31" s="10" t="s">
        <v>500</v>
      </c>
      <c r="M31" s="86">
        <f>'GREET2014-EFUpdate'!M64</f>
        <v>2.4125000000000001E-2</v>
      </c>
      <c r="N31" s="86">
        <f>'GREET2014-EFUpdate'!N64</f>
        <v>2.4125000000000001E-2</v>
      </c>
      <c r="O31" s="86">
        <f>'GREET2014-EFUpdate'!O64</f>
        <v>2.4125000000000001E-2</v>
      </c>
      <c r="P31" s="10" t="s">
        <v>501</v>
      </c>
    </row>
    <row r="32" spans="2:68" x14ac:dyDescent="0.2">
      <c r="B32" s="10" t="s">
        <v>27</v>
      </c>
      <c r="C32" s="12">
        <v>3.1190000000000002</v>
      </c>
      <c r="D32" s="12">
        <v>1.5249999999999999</v>
      </c>
      <c r="E32" s="12">
        <v>1.5249999999999999</v>
      </c>
      <c r="F32" s="12">
        <v>1.4239999999999999</v>
      </c>
      <c r="G32" s="10" t="s">
        <v>499</v>
      </c>
      <c r="H32" s="86">
        <f t="shared" si="22"/>
        <v>0</v>
      </c>
      <c r="I32" s="86">
        <f t="shared" si="21"/>
        <v>0</v>
      </c>
      <c r="J32" s="86">
        <f t="shared" si="21"/>
        <v>0</v>
      </c>
      <c r="K32" s="10" t="s">
        <v>500</v>
      </c>
      <c r="M32" s="86"/>
      <c r="N32" s="86"/>
      <c r="O32" s="86"/>
      <c r="P32" s="10" t="s">
        <v>501</v>
      </c>
    </row>
    <row r="33" spans="2:16" x14ac:dyDescent="0.2">
      <c r="B33" s="10" t="s">
        <v>28</v>
      </c>
      <c r="C33" s="12">
        <v>42.103000000000002</v>
      </c>
      <c r="D33" s="12">
        <v>7.9989999999999997</v>
      </c>
      <c r="E33" s="12">
        <v>7.9989999999999997</v>
      </c>
      <c r="F33" s="12">
        <v>7.5190000000000001</v>
      </c>
      <c r="G33" s="10" t="s">
        <v>499</v>
      </c>
      <c r="H33" s="86">
        <f t="shared" si="22"/>
        <v>1.0442732927942747E-2</v>
      </c>
      <c r="I33" s="86">
        <f t="shared" si="21"/>
        <v>1.0927967296714783E-2</v>
      </c>
      <c r="J33" s="86">
        <f t="shared" si="21"/>
        <v>1.1460493139593186E-2</v>
      </c>
      <c r="K33" s="10" t="s">
        <v>500</v>
      </c>
      <c r="M33" s="86">
        <f>'GREET2014-EFUpdate'!M63</f>
        <v>6.3475000000000004E-2</v>
      </c>
      <c r="N33" s="86">
        <f>'GREET2014-EFUpdate'!N63</f>
        <v>6.3475000000000004E-2</v>
      </c>
      <c r="O33" s="86">
        <f>'GREET2014-EFUpdate'!O63</f>
        <v>6.3475000000000004E-2</v>
      </c>
      <c r="P33" s="10" t="s">
        <v>501</v>
      </c>
    </row>
    <row r="34" spans="2:16" x14ac:dyDescent="0.2">
      <c r="B34" s="10" t="s">
        <v>29</v>
      </c>
      <c r="C34" s="12">
        <v>5.0979999999999999</v>
      </c>
      <c r="D34" s="12">
        <v>4.766</v>
      </c>
      <c r="E34" s="12">
        <v>4.6639999999999997</v>
      </c>
      <c r="F34" s="12">
        <v>4.3840000000000003</v>
      </c>
      <c r="G34" s="10" t="s">
        <v>499</v>
      </c>
      <c r="H34" s="86">
        <f t="shared" si="22"/>
        <v>1.7019026637566073E-3</v>
      </c>
      <c r="I34" s="86">
        <f t="shared" si="21"/>
        <v>1.7809836543802059E-3</v>
      </c>
      <c r="J34" s="86">
        <f t="shared" si="21"/>
        <v>1.8677719651382914E-3</v>
      </c>
      <c r="K34" s="10" t="s">
        <v>500</v>
      </c>
      <c r="M34" s="86">
        <f>'GREET2014-EFUpdate'!M57</f>
        <v>1.0344827577931036E-2</v>
      </c>
      <c r="N34" s="86">
        <f>'GREET2014-EFUpdate'!N57</f>
        <v>1.0344827577931036E-2</v>
      </c>
      <c r="O34" s="86">
        <f>'GREET2014-EFUpdate'!O57</f>
        <v>1.0344827577931036E-2</v>
      </c>
      <c r="P34" s="10" t="s">
        <v>501</v>
      </c>
    </row>
    <row r="35" spans="2:16" x14ac:dyDescent="0.2">
      <c r="B35" s="10" t="s">
        <v>30</v>
      </c>
      <c r="C35" s="12">
        <v>5.0979999999999999</v>
      </c>
      <c r="D35" s="12">
        <v>4.766</v>
      </c>
      <c r="E35" s="12">
        <v>4.6639999999999997</v>
      </c>
      <c r="F35" s="12">
        <v>4.3840000000000003</v>
      </c>
      <c r="G35" s="10" t="s">
        <v>499</v>
      </c>
      <c r="H35" s="86">
        <f t="shared" si="22"/>
        <v>2.5528539956349108E-3</v>
      </c>
      <c r="I35" s="86">
        <f t="shared" si="21"/>
        <v>2.6714754815703088E-3</v>
      </c>
      <c r="J35" s="86">
        <f t="shared" si="21"/>
        <v>2.8016579477074368E-3</v>
      </c>
      <c r="K35" s="10" t="s">
        <v>500</v>
      </c>
      <c r="M35" s="86">
        <f>'GREET2014-EFUpdate'!M58</f>
        <v>1.5517241366896554E-2</v>
      </c>
      <c r="N35" s="86">
        <f>'GREET2014-EFUpdate'!N58</f>
        <v>1.5517241366896554E-2</v>
      </c>
      <c r="O35" s="86">
        <f>'GREET2014-EFUpdate'!O58</f>
        <v>1.5517241366896554E-2</v>
      </c>
      <c r="P35" s="10" t="s">
        <v>501</v>
      </c>
    </row>
    <row r="36" spans="2:16" x14ac:dyDescent="0.2">
      <c r="B36" s="10" t="s">
        <v>32</v>
      </c>
      <c r="C36" s="12"/>
      <c r="D36" s="12"/>
      <c r="E36" s="12"/>
      <c r="F36" s="12"/>
      <c r="G36" s="10" t="s">
        <v>499</v>
      </c>
      <c r="H36" s="86">
        <f t="shared" si="22"/>
        <v>0</v>
      </c>
      <c r="I36" s="86">
        <f t="shared" si="21"/>
        <v>0</v>
      </c>
      <c r="J36" s="86">
        <f t="shared" si="21"/>
        <v>0</v>
      </c>
      <c r="K36" s="10" t="s">
        <v>500</v>
      </c>
      <c r="M36" s="86"/>
      <c r="N36" s="86"/>
      <c r="O36" s="86"/>
      <c r="P36" s="10" t="s">
        <v>501</v>
      </c>
    </row>
    <row r="37" spans="2:16" x14ac:dyDescent="0.2">
      <c r="B37" s="10" t="s">
        <v>22</v>
      </c>
      <c r="C37" s="12">
        <v>94.251999999999995</v>
      </c>
      <c r="D37" s="12">
        <v>94.254000000000005</v>
      </c>
      <c r="E37" s="12">
        <v>94.254000000000005</v>
      </c>
      <c r="F37" s="12">
        <v>94.256</v>
      </c>
      <c r="G37" s="10" t="s">
        <v>503</v>
      </c>
      <c r="H37" s="87">
        <f t="shared" si="22"/>
        <v>114.6561897724537</v>
      </c>
      <c r="I37" s="87">
        <f t="shared" si="21"/>
        <v>119.9838299844498</v>
      </c>
      <c r="J37" s="87">
        <f t="shared" si="21"/>
        <v>125.8307078583849</v>
      </c>
      <c r="K37" s="10" t="s">
        <v>500</v>
      </c>
      <c r="M37" s="86">
        <f>'GREET2014-EFUpdate'!M56</f>
        <v>696.92499999999995</v>
      </c>
      <c r="N37" s="86">
        <f>'GREET2014-EFUpdate'!N56</f>
        <v>696.92499999999995</v>
      </c>
      <c r="O37" s="86">
        <f>'GREET2014-EFUpdate'!O56</f>
        <v>696.92499999999995</v>
      </c>
      <c r="P37" s="10" t="s">
        <v>501</v>
      </c>
    </row>
    <row r="39" spans="2:16" x14ac:dyDescent="0.2">
      <c r="H39" s="10" t="s">
        <v>504</v>
      </c>
      <c r="M39" s="88" t="s">
        <v>505</v>
      </c>
    </row>
    <row r="40" spans="2:16" x14ac:dyDescent="0.2">
      <c r="B40" s="11" t="s">
        <v>506</v>
      </c>
      <c r="C40" s="10">
        <v>2005</v>
      </c>
      <c r="D40" s="10">
        <v>2010</v>
      </c>
      <c r="E40" s="10">
        <v>2015</v>
      </c>
      <c r="F40" s="10">
        <v>2020</v>
      </c>
      <c r="H40" s="122" t="s">
        <v>496</v>
      </c>
      <c r="I40" s="122" t="s">
        <v>497</v>
      </c>
      <c r="J40" s="122" t="s">
        <v>498</v>
      </c>
      <c r="M40" s="122" t="s">
        <v>496</v>
      </c>
      <c r="N40" s="122" t="s">
        <v>497</v>
      </c>
      <c r="O40" s="122" t="s">
        <v>498</v>
      </c>
    </row>
    <row r="41" spans="2:16" x14ac:dyDescent="0.2">
      <c r="B41" s="10" t="s">
        <v>23</v>
      </c>
      <c r="C41" s="12">
        <v>1.153</v>
      </c>
      <c r="D41" s="12">
        <v>1.345</v>
      </c>
      <c r="E41" s="12">
        <v>1.173</v>
      </c>
      <c r="F41" s="12">
        <v>1.173</v>
      </c>
      <c r="G41" s="10" t="s">
        <v>499</v>
      </c>
      <c r="H41" s="86">
        <f>'GREET2014-EFUpdate'!B30</f>
        <v>2.6463962485345841E-3</v>
      </c>
      <c r="I41" s="86">
        <f>'GREET2014-EFUpdate'!C30</f>
        <v>2.6463962485345841E-3</v>
      </c>
      <c r="J41" s="86">
        <f>'GREET2014-EFUpdate'!D30</f>
        <v>2.6463962485345841E-3</v>
      </c>
      <c r="K41" s="10" t="s">
        <v>500</v>
      </c>
      <c r="M41" s="28">
        <v>3.9273153575615476</v>
      </c>
      <c r="N41" s="10">
        <v>3.7529308323563892</v>
      </c>
      <c r="O41" s="10">
        <v>3.5785463071512309</v>
      </c>
    </row>
    <row r="42" spans="2:16" x14ac:dyDescent="0.2">
      <c r="B42" s="10" t="s">
        <v>24</v>
      </c>
      <c r="C42" s="12">
        <v>15.166</v>
      </c>
      <c r="D42" s="12">
        <v>11.041</v>
      </c>
      <c r="E42" s="12">
        <v>11.041</v>
      </c>
      <c r="F42" s="12">
        <v>11.041</v>
      </c>
      <c r="G42" s="10" t="s">
        <v>499</v>
      </c>
      <c r="H42" s="86">
        <f>'GREET2014-EFUpdate'!B29</f>
        <v>2.2301449003517E-2</v>
      </c>
      <c r="I42" s="86">
        <f>'GREET2014-EFUpdate'!C29</f>
        <v>2.2301449003517E-2</v>
      </c>
      <c r="J42" s="86">
        <f>'GREET2014-EFUpdate'!D29</f>
        <v>2.2301449003517E-2</v>
      </c>
      <c r="K42" s="10" t="s">
        <v>500</v>
      </c>
    </row>
    <row r="43" spans="2:16" x14ac:dyDescent="0.2">
      <c r="B43" s="10" t="s">
        <v>25</v>
      </c>
      <c r="C43" s="12">
        <v>160.01599999999999</v>
      </c>
      <c r="D43" s="12">
        <v>139.96600000000001</v>
      </c>
      <c r="E43" s="12">
        <v>19.201000000000001</v>
      </c>
      <c r="F43" s="12">
        <v>19.201000000000001</v>
      </c>
      <c r="G43" s="10" t="s">
        <v>499</v>
      </c>
      <c r="H43" s="86">
        <f>'GREET2014-EFUpdate'!B31</f>
        <v>0.33232926611957803</v>
      </c>
      <c r="I43" s="86">
        <f>'GREET2014-EFUpdate'!C31</f>
        <v>0.28724276365614865</v>
      </c>
      <c r="J43" s="86">
        <f>'GREET2014-EFUpdate'!D31</f>
        <v>0.21209859288376637</v>
      </c>
      <c r="K43" s="10" t="s">
        <v>500</v>
      </c>
    </row>
    <row r="44" spans="2:16" x14ac:dyDescent="0.2">
      <c r="B44" s="10" t="s">
        <v>26</v>
      </c>
      <c r="C44" s="12">
        <v>9.6259999999999994</v>
      </c>
      <c r="D44" s="12">
        <v>15.207000000000001</v>
      </c>
      <c r="E44" s="12">
        <v>15.207000000000001</v>
      </c>
      <c r="F44" s="12">
        <v>15.207000000000001</v>
      </c>
      <c r="G44" s="10" t="s">
        <v>499</v>
      </c>
      <c r="H44" s="86">
        <f>'GREET2014-EFUpdate'!B34</f>
        <v>4.8336450175849942E-2</v>
      </c>
      <c r="I44" s="86">
        <f>'GREET2014-EFUpdate'!C34</f>
        <v>4.9419256291310547E-2</v>
      </c>
      <c r="J44" s="86">
        <f>'GREET2014-EFUpdate'!D34</f>
        <v>4.2493564187560603E-2</v>
      </c>
      <c r="K44" s="10" t="s">
        <v>500</v>
      </c>
      <c r="M44" s="10" t="s">
        <v>507</v>
      </c>
    </row>
    <row r="45" spans="2:16" x14ac:dyDescent="0.2">
      <c r="B45" s="10" t="s">
        <v>27</v>
      </c>
      <c r="C45" s="12">
        <v>4.8129999999999997</v>
      </c>
      <c r="D45" s="12">
        <v>11.951000000000001</v>
      </c>
      <c r="E45" s="12">
        <v>11.951000000000001</v>
      </c>
      <c r="F45" s="12">
        <v>11.951000000000001</v>
      </c>
      <c r="G45" s="10" t="s">
        <v>499</v>
      </c>
      <c r="H45" s="86">
        <f>'GREET2014-EFUpdate'!B35</f>
        <v>4.0542518171160613E-2</v>
      </c>
      <c r="I45" s="86">
        <f>'GREET2014-EFUpdate'!C35</f>
        <v>3.7320360379628922E-2</v>
      </c>
      <c r="J45" s="86">
        <f>'GREET2014-EFUpdate'!D35</f>
        <v>3.3330559493772983E-2</v>
      </c>
      <c r="K45" s="10" t="s">
        <v>500</v>
      </c>
      <c r="M45" s="10" t="s">
        <v>508</v>
      </c>
      <c r="N45" s="25">
        <v>0.98</v>
      </c>
    </row>
    <row r="46" spans="2:16" x14ac:dyDescent="0.2">
      <c r="B46" s="10" t="s">
        <v>28</v>
      </c>
      <c r="C46" s="12">
        <v>420.51400000000001</v>
      </c>
      <c r="D46" s="12">
        <v>398.13900000000001</v>
      </c>
      <c r="E46" s="12">
        <v>319.55700000000002</v>
      </c>
      <c r="F46" s="12">
        <v>319.55700000000002</v>
      </c>
      <c r="G46" s="10" t="s">
        <v>499</v>
      </c>
      <c r="H46" s="86">
        <f>'GREET2014-EFUpdate'!B32</f>
        <v>1.0750723751465416</v>
      </c>
      <c r="I46" s="86">
        <f>'GREET2014-EFUpdate'!C32</f>
        <v>0.16455895898690542</v>
      </c>
      <c r="J46" s="86">
        <f>'GREET2014-EFUpdate'!D32</f>
        <v>0.15163548053243639</v>
      </c>
      <c r="K46" s="10" t="s">
        <v>500</v>
      </c>
      <c r="M46" s="10" t="s">
        <v>509</v>
      </c>
      <c r="N46" s="25">
        <f>1-N45</f>
        <v>2.0000000000000018E-2</v>
      </c>
    </row>
    <row r="47" spans="2:16" x14ac:dyDescent="0.2">
      <c r="B47" s="10" t="s">
        <v>29</v>
      </c>
      <c r="C47" s="12">
        <v>1.218</v>
      </c>
      <c r="D47" s="12">
        <v>1.1220000000000001</v>
      </c>
      <c r="E47" s="12">
        <v>1.1220000000000001</v>
      </c>
      <c r="F47" s="12">
        <v>1.113</v>
      </c>
      <c r="G47" s="10" t="s">
        <v>499</v>
      </c>
      <c r="H47" s="86">
        <f>'GREET2014-EFUpdate'!B26</f>
        <v>2.4466682297772566E-3</v>
      </c>
      <c r="I47" s="86">
        <f>'GREET2014-EFUpdate'!C26</f>
        <v>2.4466682297772571E-3</v>
      </c>
      <c r="J47" s="86">
        <f>'GREET2014-EFUpdate'!D26</f>
        <v>2.4466682297772566E-3</v>
      </c>
      <c r="K47" s="10" t="s">
        <v>500</v>
      </c>
    </row>
    <row r="48" spans="2:16" x14ac:dyDescent="0.2">
      <c r="B48" s="10" t="s">
        <v>30</v>
      </c>
      <c r="C48" s="12">
        <v>1.0760000000000001</v>
      </c>
      <c r="D48" s="12">
        <v>1.6579999999999999</v>
      </c>
      <c r="E48" s="12">
        <v>1.6579999999999999</v>
      </c>
      <c r="F48" s="12">
        <v>1.6439999999999999</v>
      </c>
      <c r="G48" s="10" t="s">
        <v>499</v>
      </c>
      <c r="H48" s="86">
        <f>'GREET2014-EFUpdate'!B27</f>
        <v>3.5928347010550999E-3</v>
      </c>
      <c r="I48" s="86">
        <f>'GREET2014-EFUpdate'!C27</f>
        <v>3.5928347010550999E-3</v>
      </c>
      <c r="J48" s="86">
        <f>'GREET2014-EFUpdate'!D27</f>
        <v>3.5928347010550999E-3</v>
      </c>
      <c r="K48" s="10" t="s">
        <v>500</v>
      </c>
    </row>
    <row r="49" spans="2:11" x14ac:dyDescent="0.2">
      <c r="B49" s="10" t="s">
        <v>32</v>
      </c>
      <c r="C49" s="12">
        <f>J62/J58*C45</f>
        <v>0.19252</v>
      </c>
      <c r="D49" s="12">
        <f>J62/J58*D45</f>
        <v>0.47804000000000002</v>
      </c>
      <c r="E49" s="12">
        <f>J62/J58*E45</f>
        <v>0.47804000000000002</v>
      </c>
      <c r="F49" s="12">
        <f>J62/J58*F45</f>
        <v>0.47804000000000002</v>
      </c>
      <c r="G49" s="10" t="s">
        <v>499</v>
      </c>
      <c r="H49" s="86">
        <f>'GREET2014-EFUpdate'!B28</f>
        <v>8.1085036342321232E-4</v>
      </c>
      <c r="I49" s="86">
        <f>'GREET2014-EFUpdate'!C28</f>
        <v>7.4640720759257847E-4</v>
      </c>
      <c r="J49" s="86">
        <f>'GREET2014-EFUpdate'!D28</f>
        <v>6.6661118987545965E-4</v>
      </c>
      <c r="K49" s="10" t="s">
        <v>500</v>
      </c>
    </row>
    <row r="50" spans="2:11" x14ac:dyDescent="0.2">
      <c r="B50" s="10" t="s">
        <v>22</v>
      </c>
      <c r="C50" s="12">
        <v>94.257999999999996</v>
      </c>
      <c r="D50" s="12">
        <v>94.263999999999996</v>
      </c>
      <c r="E50" s="12">
        <v>94.265000000000001</v>
      </c>
      <c r="F50" s="12">
        <v>94.265000000000001</v>
      </c>
      <c r="G50" s="10" t="s">
        <v>503</v>
      </c>
      <c r="H50" s="86">
        <f>'GREET2014-EFUpdate'!B25</f>
        <v>213.27774912075031</v>
      </c>
      <c r="I50" s="86">
        <f>'GREET2014-EFUpdate'!C25</f>
        <v>213.27774912075031</v>
      </c>
      <c r="J50" s="86">
        <f>'GREET2014-EFUpdate'!D25</f>
        <v>213.27774912075031</v>
      </c>
      <c r="K50" s="10" t="s">
        <v>500</v>
      </c>
    </row>
    <row r="52" spans="2:11" x14ac:dyDescent="0.2">
      <c r="H52" s="10" t="s">
        <v>510</v>
      </c>
    </row>
    <row r="53" spans="2:11" x14ac:dyDescent="0.2">
      <c r="H53" s="122" t="s">
        <v>496</v>
      </c>
      <c r="I53" s="122" t="s">
        <v>497</v>
      </c>
      <c r="J53" s="122" t="s">
        <v>498</v>
      </c>
    </row>
    <row r="54" spans="2:11" x14ac:dyDescent="0.2">
      <c r="G54" s="10" t="s">
        <v>23</v>
      </c>
      <c r="H54" s="86">
        <f>'GREET2014-EFUpdate'!B48</f>
        <v>3.1435498241500592E-3</v>
      </c>
      <c r="I54" s="86">
        <f>'GREET2014-EFUpdate'!C48</f>
        <v>3.1435498241500592E-3</v>
      </c>
      <c r="J54" s="86">
        <f>'GREET2014-EFUpdate'!D48</f>
        <v>3.1435498241500592E-3</v>
      </c>
      <c r="K54" s="10" t="s">
        <v>500</v>
      </c>
    </row>
    <row r="55" spans="2:11" x14ac:dyDescent="0.2">
      <c r="G55" s="10" t="s">
        <v>24</v>
      </c>
      <c r="H55" s="86">
        <f>'GREET2014-EFUpdate'!B47</f>
        <v>2.6463446658851114E-2</v>
      </c>
      <c r="I55" s="86">
        <f>'GREET2014-EFUpdate'!C47</f>
        <v>2.6463446658851118E-2</v>
      </c>
      <c r="J55" s="86">
        <f>'GREET2014-EFUpdate'!D47</f>
        <v>2.6463446658851114E-2</v>
      </c>
      <c r="K55" s="10" t="s">
        <v>500</v>
      </c>
    </row>
    <row r="56" spans="2:11" x14ac:dyDescent="0.2">
      <c r="G56" s="10" t="s">
        <v>25</v>
      </c>
      <c r="H56" s="86">
        <f>'GREET2014-EFUpdate'!B49</f>
        <v>0.28817534349355223</v>
      </c>
      <c r="I56" s="86">
        <f>'GREET2014-EFUpdate'!C49</f>
        <v>0.25091753585104776</v>
      </c>
      <c r="J56" s="86">
        <f>'GREET2014-EFUpdate'!D49</f>
        <v>0.18882118978020695</v>
      </c>
      <c r="K56" s="10" t="s">
        <v>500</v>
      </c>
    </row>
    <row r="57" spans="2:11" x14ac:dyDescent="0.2">
      <c r="G57" s="10" t="s">
        <v>26</v>
      </c>
      <c r="H57" s="86">
        <f>'GREET2014-EFUpdate'!B52</f>
        <v>1.0370898007034E-2</v>
      </c>
      <c r="I57" s="86">
        <f>'GREET2014-EFUpdate'!C52</f>
        <v>5.1272623118283595E-2</v>
      </c>
      <c r="J57" s="86">
        <f>'GREET2014-EFUpdate'!D52</f>
        <v>4.3939558470621809E-2</v>
      </c>
      <c r="K57" s="10" t="s">
        <v>500</v>
      </c>
    </row>
    <row r="58" spans="2:11" x14ac:dyDescent="0.2">
      <c r="G58" s="10" t="s">
        <v>27</v>
      </c>
      <c r="H58" s="86">
        <f>'GREET2014-EFUpdate'!B53</f>
        <v>5.6241594372801879E-3</v>
      </c>
      <c r="I58" s="86">
        <f>'GREET2014-EFUpdate'!C53</f>
        <v>3.873461719810127E-2</v>
      </c>
      <c r="J58" s="86">
        <f>'GREET2014-EFUpdate'!D53</f>
        <v>3.4510134303252636E-2</v>
      </c>
      <c r="K58" s="10" t="s">
        <v>500</v>
      </c>
    </row>
    <row r="59" spans="2:11" x14ac:dyDescent="0.2">
      <c r="G59" s="10" t="s">
        <v>28</v>
      </c>
      <c r="H59" s="86">
        <f>'GREET2014-EFUpdate'!B50</f>
        <v>0.61312437045720991</v>
      </c>
      <c r="I59" s="86">
        <f>'GREET2014-EFUpdate'!C50</f>
        <v>0.1632296520228054</v>
      </c>
      <c r="J59" s="86">
        <f>'GREET2014-EFUpdate'!D50</f>
        <v>0.15041056940321332</v>
      </c>
      <c r="K59" s="10" t="s">
        <v>500</v>
      </c>
    </row>
    <row r="60" spans="2:11" x14ac:dyDescent="0.2">
      <c r="G60" s="10" t="s">
        <v>29</v>
      </c>
      <c r="H60" s="86">
        <f>'GREET2014-EFUpdate'!B44</f>
        <v>2.4871090269636578E-3</v>
      </c>
      <c r="I60" s="86">
        <f>'GREET2014-EFUpdate'!C44</f>
        <v>2.4871090269636578E-3</v>
      </c>
      <c r="J60" s="86">
        <f>'GREET2014-EFUpdate'!D44</f>
        <v>2.4871090269636578E-3</v>
      </c>
      <c r="K60" s="10" t="s">
        <v>500</v>
      </c>
    </row>
    <row r="61" spans="2:11" x14ac:dyDescent="0.2">
      <c r="G61" s="10" t="s">
        <v>30</v>
      </c>
      <c r="H61" s="86">
        <f>'GREET2014-EFUpdate'!B45</f>
        <v>3.7068323563892152E-3</v>
      </c>
      <c r="I61" s="86">
        <f>'GREET2014-EFUpdate'!C45</f>
        <v>3.7068323563892152E-3</v>
      </c>
      <c r="J61" s="86">
        <f>'GREET2014-EFUpdate'!D45</f>
        <v>3.7068323563892152E-3</v>
      </c>
      <c r="K61" s="10" t="s">
        <v>500</v>
      </c>
    </row>
    <row r="62" spans="2:11" x14ac:dyDescent="0.2">
      <c r="G62" s="10" t="s">
        <v>32</v>
      </c>
      <c r="H62" s="86">
        <f>'GREET2014-EFUpdate'!B46</f>
        <v>2.2496637749120751E-4</v>
      </c>
      <c r="I62" s="86">
        <f>'GREET2014-EFUpdate'!C46</f>
        <v>1.5493846879240508E-3</v>
      </c>
      <c r="J62" s="86">
        <f>'GREET2014-EFUpdate'!D46</f>
        <v>1.3804053721301055E-3</v>
      </c>
      <c r="K62" s="10" t="s">
        <v>500</v>
      </c>
    </row>
    <row r="63" spans="2:11" x14ac:dyDescent="0.2">
      <c r="G63" s="10" t="s">
        <v>22</v>
      </c>
      <c r="H63" s="86">
        <f>'GREET2014-EFUpdate'!B43</f>
        <v>218.79193434935522</v>
      </c>
      <c r="I63" s="86">
        <f>'GREET2014-EFUpdate'!C43</f>
        <v>218.79193434935522</v>
      </c>
      <c r="J63" s="86">
        <f>'GREET2014-EFUpdate'!D43</f>
        <v>218.79193434935522</v>
      </c>
      <c r="K63" s="10" t="s">
        <v>500</v>
      </c>
    </row>
    <row r="64" spans="2:11" x14ac:dyDescent="0.2">
      <c r="C64" s="10" t="s">
        <v>511</v>
      </c>
    </row>
    <row r="65" spans="2:11" x14ac:dyDescent="0.2">
      <c r="B65" s="10" t="s">
        <v>512</v>
      </c>
      <c r="C65" s="10">
        <v>1.024</v>
      </c>
      <c r="H65" s="10" t="s">
        <v>513</v>
      </c>
    </row>
    <row r="66" spans="2:11" x14ac:dyDescent="0.2">
      <c r="H66" s="122" t="s">
        <v>496</v>
      </c>
      <c r="I66" s="122" t="s">
        <v>497</v>
      </c>
      <c r="J66" s="122" t="s">
        <v>498</v>
      </c>
    </row>
    <row r="67" spans="2:11" x14ac:dyDescent="0.2">
      <c r="B67" s="10" t="s">
        <v>514</v>
      </c>
      <c r="G67" s="10" t="s">
        <v>23</v>
      </c>
      <c r="H67" s="86">
        <f t="shared" ref="H67:J76" si="23">H54*$C$65</f>
        <v>3.2189950199296609E-3</v>
      </c>
      <c r="I67" s="86">
        <f t="shared" si="23"/>
        <v>3.2189950199296609E-3</v>
      </c>
      <c r="J67" s="86">
        <f t="shared" si="23"/>
        <v>3.2189950199296609E-3</v>
      </c>
      <c r="K67" s="10" t="s">
        <v>500</v>
      </c>
    </row>
    <row r="68" spans="2:11" x14ac:dyDescent="0.2">
      <c r="B68" s="10" t="s">
        <v>515</v>
      </c>
      <c r="G68" s="10" t="s">
        <v>24</v>
      </c>
      <c r="H68" s="86">
        <f t="shared" si="23"/>
        <v>2.7098569378663541E-2</v>
      </c>
      <c r="I68" s="86">
        <f t="shared" si="23"/>
        <v>2.7098569378663544E-2</v>
      </c>
      <c r="J68" s="86">
        <f t="shared" si="23"/>
        <v>2.7098569378663541E-2</v>
      </c>
      <c r="K68" s="10" t="s">
        <v>500</v>
      </c>
    </row>
    <row r="69" spans="2:11" x14ac:dyDescent="0.2">
      <c r="G69" s="10" t="s">
        <v>25</v>
      </c>
      <c r="H69" s="86">
        <f t="shared" si="23"/>
        <v>0.29509155173739748</v>
      </c>
      <c r="I69" s="86">
        <f t="shared" si="23"/>
        <v>0.25693955671147289</v>
      </c>
      <c r="J69" s="86">
        <f t="shared" si="23"/>
        <v>0.19335289833493194</v>
      </c>
      <c r="K69" s="10" t="s">
        <v>500</v>
      </c>
    </row>
    <row r="70" spans="2:11" x14ac:dyDescent="0.2">
      <c r="G70" s="10" t="s">
        <v>26</v>
      </c>
      <c r="H70" s="86">
        <f t="shared" si="23"/>
        <v>1.0619799559202817E-2</v>
      </c>
      <c r="I70" s="86">
        <f t="shared" si="23"/>
        <v>5.2503166073122401E-2</v>
      </c>
      <c r="J70" s="86">
        <f t="shared" si="23"/>
        <v>4.4994107873916736E-2</v>
      </c>
      <c r="K70" s="10" t="s">
        <v>500</v>
      </c>
    </row>
    <row r="71" spans="2:11" x14ac:dyDescent="0.2">
      <c r="G71" s="10" t="s">
        <v>27</v>
      </c>
      <c r="H71" s="86">
        <f t="shared" si="23"/>
        <v>5.7591392637749124E-3</v>
      </c>
      <c r="I71" s="86">
        <f t="shared" si="23"/>
        <v>3.9664248010855704E-2</v>
      </c>
      <c r="J71" s="86">
        <f t="shared" si="23"/>
        <v>3.5338377526530698E-2</v>
      </c>
      <c r="K71" s="10" t="s">
        <v>500</v>
      </c>
    </row>
    <row r="72" spans="2:11" x14ac:dyDescent="0.2">
      <c r="G72" s="10" t="s">
        <v>28</v>
      </c>
      <c r="H72" s="86">
        <f t="shared" si="23"/>
        <v>0.62783935534818291</v>
      </c>
      <c r="I72" s="86">
        <f t="shared" si="23"/>
        <v>0.16714716367135274</v>
      </c>
      <c r="J72" s="86">
        <f t="shared" si="23"/>
        <v>0.15402042306889044</v>
      </c>
      <c r="K72" s="10" t="s">
        <v>500</v>
      </c>
    </row>
    <row r="73" spans="2:11" x14ac:dyDescent="0.2">
      <c r="G73" s="10" t="s">
        <v>29</v>
      </c>
      <c r="H73" s="86">
        <f t="shared" si="23"/>
        <v>2.5467996436107855E-3</v>
      </c>
      <c r="I73" s="86">
        <f t="shared" si="23"/>
        <v>2.5467996436107855E-3</v>
      </c>
      <c r="J73" s="86">
        <f t="shared" si="23"/>
        <v>2.5467996436107855E-3</v>
      </c>
      <c r="K73" s="10" t="s">
        <v>500</v>
      </c>
    </row>
    <row r="74" spans="2:11" x14ac:dyDescent="0.2">
      <c r="G74" s="10" t="s">
        <v>30</v>
      </c>
      <c r="H74" s="86">
        <f t="shared" si="23"/>
        <v>3.7957963329425565E-3</v>
      </c>
      <c r="I74" s="86">
        <f t="shared" si="23"/>
        <v>3.7957963329425565E-3</v>
      </c>
      <c r="J74" s="86">
        <f t="shared" si="23"/>
        <v>3.7957963329425565E-3</v>
      </c>
      <c r="K74" s="10" t="s">
        <v>500</v>
      </c>
    </row>
    <row r="75" spans="2:11" x14ac:dyDescent="0.2">
      <c r="G75" s="10" t="s">
        <v>32</v>
      </c>
      <c r="H75" s="86">
        <f t="shared" si="23"/>
        <v>2.3036557055099648E-4</v>
      </c>
      <c r="I75" s="86">
        <f t="shared" si="23"/>
        <v>1.5865699204342281E-3</v>
      </c>
      <c r="J75" s="86">
        <f t="shared" si="23"/>
        <v>1.413535101061228E-3</v>
      </c>
      <c r="K75" s="10" t="s">
        <v>500</v>
      </c>
    </row>
    <row r="76" spans="2:11" x14ac:dyDescent="0.2">
      <c r="G76" s="10" t="s">
        <v>22</v>
      </c>
      <c r="H76" s="86">
        <f t="shared" si="23"/>
        <v>224.04294077373976</v>
      </c>
      <c r="I76" s="86">
        <f t="shared" si="23"/>
        <v>224.04294077373976</v>
      </c>
      <c r="J76" s="86">
        <f t="shared" si="23"/>
        <v>224.04294077373976</v>
      </c>
      <c r="K76" s="10" t="s">
        <v>500</v>
      </c>
    </row>
    <row r="78" spans="2:11" x14ac:dyDescent="0.2">
      <c r="B78" s="11" t="s">
        <v>482</v>
      </c>
      <c r="C78" s="10">
        <v>2005</v>
      </c>
      <c r="D78" s="10">
        <v>2010</v>
      </c>
      <c r="E78" s="10">
        <v>2015</v>
      </c>
      <c r="F78" s="10">
        <v>2020</v>
      </c>
      <c r="H78" s="122" t="s">
        <v>496</v>
      </c>
      <c r="I78" s="122" t="s">
        <v>497</v>
      </c>
      <c r="J78" s="122" t="s">
        <v>498</v>
      </c>
    </row>
    <row r="79" spans="2:11" x14ac:dyDescent="0.2">
      <c r="B79" s="10" t="s">
        <v>23</v>
      </c>
      <c r="C79" s="12">
        <v>2.0009999999999999</v>
      </c>
      <c r="D79" s="12">
        <v>2.6080000000000001</v>
      </c>
      <c r="E79" s="12">
        <v>1.9450000000000001</v>
      </c>
      <c r="F79" s="12">
        <v>1.9450000000000001</v>
      </c>
      <c r="G79" s="10" t="s">
        <v>499</v>
      </c>
      <c r="H79" s="86">
        <f>'GREET2014-EFUpdate'!B13</f>
        <v>5.6563599062133653E-3</v>
      </c>
      <c r="I79" s="86">
        <f>'GREET2014-EFUpdate'!C13</f>
        <v>5.6563599062133653E-3</v>
      </c>
      <c r="J79" s="86">
        <f>'GREET2014-EFUpdate'!D13</f>
        <v>5.6563599062133653E-3</v>
      </c>
      <c r="K79" s="10" t="s">
        <v>500</v>
      </c>
    </row>
    <row r="80" spans="2:11" x14ac:dyDescent="0.2">
      <c r="B80" s="10" t="s">
        <v>24</v>
      </c>
      <c r="C80" s="12">
        <v>17.071000000000002</v>
      </c>
      <c r="D80" s="12">
        <v>39.274999999999999</v>
      </c>
      <c r="E80" s="12">
        <v>39.274999999999999</v>
      </c>
      <c r="F80" s="12">
        <v>39.274999999999999</v>
      </c>
      <c r="G80" s="10" t="s">
        <v>499</v>
      </c>
      <c r="H80" s="86">
        <f>'GREET2014-EFUpdate'!B12</f>
        <v>8.3837538100820647E-2</v>
      </c>
      <c r="I80" s="86">
        <f>'GREET2014-EFUpdate'!C12</f>
        <v>8.3837538100820647E-2</v>
      </c>
      <c r="J80" s="86">
        <f>'GREET2014-EFUpdate'!D12</f>
        <v>8.3837538100820647E-2</v>
      </c>
      <c r="K80" s="10" t="s">
        <v>500</v>
      </c>
    </row>
    <row r="81" spans="2:11" x14ac:dyDescent="0.2">
      <c r="B81" s="10" t="s">
        <v>25</v>
      </c>
      <c r="C81" s="12">
        <v>48.417999999999999</v>
      </c>
      <c r="D81" s="12">
        <v>80.475999999999999</v>
      </c>
      <c r="E81" s="12">
        <v>80.475999999999999</v>
      </c>
      <c r="F81" s="12">
        <v>80.475999999999999</v>
      </c>
      <c r="G81" s="10" t="s">
        <v>499</v>
      </c>
      <c r="H81" s="86">
        <f>'GREET2014-EFUpdate'!B14</f>
        <v>0.17220839155920284</v>
      </c>
      <c r="I81" s="86">
        <f>'GREET2014-EFUpdate'!C14</f>
        <v>0.15388411719949102</v>
      </c>
      <c r="J81" s="86">
        <f>'GREET2014-EFUpdate'!D14</f>
        <v>0.12088172511286717</v>
      </c>
      <c r="K81" s="10" t="s">
        <v>500</v>
      </c>
    </row>
    <row r="82" spans="2:11" x14ac:dyDescent="0.2">
      <c r="B82" s="10" t="s">
        <v>26</v>
      </c>
      <c r="C82" s="12">
        <v>1.43</v>
      </c>
      <c r="D82" s="12">
        <v>3.403</v>
      </c>
      <c r="E82" s="12">
        <v>3.403</v>
      </c>
      <c r="F82" s="12">
        <v>3.403</v>
      </c>
      <c r="G82" s="10" t="s">
        <v>499</v>
      </c>
      <c r="H82" s="86">
        <f>'GREET2014-EFUpdate'!B17</f>
        <v>7.2565955451348186E-3</v>
      </c>
      <c r="I82" s="86">
        <f>'GREET2014-EFUpdate'!C17</f>
        <v>7.2565955451348195E-3</v>
      </c>
      <c r="J82" s="86">
        <f>'GREET2014-EFUpdate'!D17</f>
        <v>7.2565955451348186E-3</v>
      </c>
      <c r="K82" s="10" t="s">
        <v>500</v>
      </c>
    </row>
    <row r="83" spans="2:11" x14ac:dyDescent="0.2">
      <c r="B83" s="10" t="s">
        <v>27</v>
      </c>
      <c r="C83" s="12">
        <v>1.43</v>
      </c>
      <c r="D83" s="12">
        <v>3.403</v>
      </c>
      <c r="E83" s="12">
        <v>3.403</v>
      </c>
      <c r="F83" s="12">
        <v>3.403</v>
      </c>
      <c r="G83" s="10" t="s">
        <v>499</v>
      </c>
      <c r="H83" s="86">
        <f>'GREET2014-EFUpdate'!B18</f>
        <v>7.2565955451348186E-3</v>
      </c>
      <c r="I83" s="86">
        <f>'GREET2014-EFUpdate'!C18</f>
        <v>7.2565955451348195E-3</v>
      </c>
      <c r="J83" s="86">
        <f>'GREET2014-EFUpdate'!D18</f>
        <v>7.2565955451348186E-3</v>
      </c>
      <c r="K83" s="10" t="s">
        <v>500</v>
      </c>
    </row>
    <row r="84" spans="2:11" x14ac:dyDescent="0.2">
      <c r="B84" s="10" t="s">
        <v>28</v>
      </c>
      <c r="C84" s="12">
        <f>0.44875</f>
        <v>0.44874999999999998</v>
      </c>
      <c r="D84" s="12">
        <f>0.44875</f>
        <v>0.44874999999999998</v>
      </c>
      <c r="E84" s="12">
        <f>0.44875</f>
        <v>0.44874999999999998</v>
      </c>
      <c r="F84" s="12">
        <f>0.44875</f>
        <v>0.44874999999999998</v>
      </c>
      <c r="G84" s="10" t="s">
        <v>499</v>
      </c>
      <c r="H84" s="86">
        <f>'GREET2014-EFUpdate'!B15</f>
        <v>9.2352930832356392E-4</v>
      </c>
      <c r="I84" s="86">
        <f>'GREET2014-EFUpdate'!C15</f>
        <v>9.2352930832356403E-4</v>
      </c>
      <c r="J84" s="86">
        <f>'GREET2014-EFUpdate'!D15</f>
        <v>9.2352930832356392E-4</v>
      </c>
      <c r="K84" s="10" t="s">
        <v>500</v>
      </c>
    </row>
    <row r="85" spans="2:11" x14ac:dyDescent="0.2">
      <c r="B85" s="10" t="s">
        <v>29</v>
      </c>
      <c r="C85" s="12">
        <v>1.103</v>
      </c>
      <c r="D85" s="12">
        <v>1.159</v>
      </c>
      <c r="E85" s="12">
        <v>1.159</v>
      </c>
      <c r="F85" s="12">
        <v>1.159</v>
      </c>
      <c r="G85" s="10" t="s">
        <v>499</v>
      </c>
      <c r="H85" s="86">
        <f>'GREET2014-EFUpdate'!B9</f>
        <v>2.5772432590855806E-3</v>
      </c>
      <c r="I85" s="86">
        <f>'GREET2014-EFUpdate'!C9</f>
        <v>2.5772432590855806E-3</v>
      </c>
      <c r="J85" s="86">
        <f>'GREET2014-EFUpdate'!D9</f>
        <v>2.5772432590855806E-3</v>
      </c>
      <c r="K85" s="10" t="s">
        <v>500</v>
      </c>
    </row>
    <row r="86" spans="2:11" x14ac:dyDescent="0.2">
      <c r="B86" s="10" t="s">
        <v>30</v>
      </c>
      <c r="C86" s="12">
        <v>1.103</v>
      </c>
      <c r="D86" s="12">
        <v>0.130886</v>
      </c>
      <c r="E86" s="12">
        <v>0.130886</v>
      </c>
      <c r="F86" s="12">
        <v>0.130886</v>
      </c>
      <c r="G86" s="10" t="s">
        <v>499</v>
      </c>
      <c r="H86" s="86">
        <f>'GREET2014-EFUpdate'!B10</f>
        <v>2.94130715123095E-4</v>
      </c>
      <c r="I86" s="86">
        <f>'GREET2014-EFUpdate'!C10</f>
        <v>2.94130715123095E-4</v>
      </c>
      <c r="J86" s="86">
        <f>'GREET2014-EFUpdate'!D10</f>
        <v>2.94130715123095E-4</v>
      </c>
      <c r="K86" s="10" t="s">
        <v>500</v>
      </c>
    </row>
    <row r="87" spans="2:11" x14ac:dyDescent="0.2">
      <c r="B87" s="10" t="s">
        <v>32</v>
      </c>
      <c r="C87" s="12">
        <f>J87/J83*C83</f>
        <v>0.54339999999999999</v>
      </c>
      <c r="D87" s="12">
        <f>J87/J83*D83</f>
        <v>1.29314</v>
      </c>
      <c r="E87" s="12">
        <f>J87/J83*E83</f>
        <v>1.29314</v>
      </c>
      <c r="F87" s="12">
        <f>J87/J83*F83</f>
        <v>1.29314</v>
      </c>
      <c r="G87" s="10" t="s">
        <v>499</v>
      </c>
      <c r="H87" s="86">
        <f>'GREET2014-EFUpdate'!B11</f>
        <v>2.7575063071512309E-3</v>
      </c>
      <c r="I87" s="86">
        <f>'GREET2014-EFUpdate'!C11</f>
        <v>2.7575063071512314E-3</v>
      </c>
      <c r="J87" s="86">
        <f>'GREET2014-EFUpdate'!D11</f>
        <v>2.7575063071512309E-3</v>
      </c>
      <c r="K87" s="10" t="s">
        <v>500</v>
      </c>
    </row>
    <row r="88" spans="2:11" x14ac:dyDescent="0.2">
      <c r="B88" s="10" t="s">
        <v>22</v>
      </c>
      <c r="C88" s="12">
        <v>53.594000000000001</v>
      </c>
      <c r="D88" s="12">
        <v>53.557000000000002</v>
      </c>
      <c r="E88" s="12">
        <v>53.558999999999997</v>
      </c>
      <c r="F88" s="12">
        <v>53.558999999999997</v>
      </c>
      <c r="G88" s="10" t="s">
        <v>503</v>
      </c>
      <c r="H88" s="86">
        <f>'GREET2014-EFUpdate'!B8</f>
        <v>129.82888628370461</v>
      </c>
      <c r="I88" s="86">
        <f>'GREET2014-EFUpdate'!C8</f>
        <v>129.82888628370461</v>
      </c>
      <c r="J88" s="86">
        <f>'GREET2014-EFUpdate'!D8</f>
        <v>129.82888628370461</v>
      </c>
      <c r="K88" s="10" t="s">
        <v>500</v>
      </c>
    </row>
    <row r="90" spans="2:11" x14ac:dyDescent="0.2">
      <c r="B90" s="11" t="s">
        <v>516</v>
      </c>
      <c r="C90" s="10">
        <v>2005</v>
      </c>
      <c r="D90" s="10">
        <v>2010</v>
      </c>
      <c r="E90" s="10">
        <v>2015</v>
      </c>
      <c r="F90" s="10">
        <v>2020</v>
      </c>
      <c r="H90" s="122" t="s">
        <v>496</v>
      </c>
      <c r="I90" s="122" t="s">
        <v>497</v>
      </c>
      <c r="J90" s="122" t="s">
        <v>498</v>
      </c>
    </row>
    <row r="91" spans="2:11" x14ac:dyDescent="0.2">
      <c r="B91" s="10" t="s">
        <v>23</v>
      </c>
      <c r="C91" s="12">
        <v>4.1660000000000004</v>
      </c>
      <c r="D91" s="12">
        <v>1.3180000000000001</v>
      </c>
      <c r="E91" s="12">
        <v>0.94857999999999998</v>
      </c>
      <c r="F91" s="12">
        <v>0.94857999999999998</v>
      </c>
      <c r="G91" s="10" t="s">
        <v>499</v>
      </c>
      <c r="H91" s="86">
        <f>'GREET2014-EFUpdate'!M13</f>
        <v>2.4715663420257395E-3</v>
      </c>
      <c r="I91" s="86">
        <f>'GREET2014-EFUpdate'!N13</f>
        <v>2.4715663420257395E-3</v>
      </c>
      <c r="J91" s="86">
        <f>'GREET2014-EFUpdate'!O13</f>
        <v>2.4715663420257395E-3</v>
      </c>
      <c r="K91" s="10" t="s">
        <v>500</v>
      </c>
    </row>
    <row r="92" spans="2:11" x14ac:dyDescent="0.2">
      <c r="B92" s="10" t="s">
        <v>24</v>
      </c>
      <c r="C92" s="12">
        <v>20.341000000000001</v>
      </c>
      <c r="D92" s="12">
        <v>49.978000000000002</v>
      </c>
      <c r="E92" s="12">
        <v>49.978000000000002</v>
      </c>
      <c r="F92" s="12">
        <v>49.978000000000002</v>
      </c>
      <c r="G92" s="10" t="s">
        <v>499</v>
      </c>
      <c r="H92" s="86">
        <f>'GREET2014-EFUpdate'!M12</f>
        <v>4.6898270600203462E-2</v>
      </c>
      <c r="I92" s="86">
        <f>'GREET2014-EFUpdate'!N12</f>
        <v>4.6898270600203462E-2</v>
      </c>
      <c r="J92" s="86">
        <f>'GREET2014-EFUpdate'!O12</f>
        <v>4.6898270600203462E-2</v>
      </c>
      <c r="K92" s="10" t="s">
        <v>500</v>
      </c>
    </row>
    <row r="93" spans="2:11" x14ac:dyDescent="0.2">
      <c r="B93" s="10" t="s">
        <v>25</v>
      </c>
      <c r="C93" s="12">
        <v>45.487000000000002</v>
      </c>
      <c r="D93" s="12">
        <v>34.548000000000002</v>
      </c>
      <c r="E93" s="12">
        <v>34.548000000000002</v>
      </c>
      <c r="F93" s="12">
        <v>34.548000000000002</v>
      </c>
      <c r="G93" s="10" t="s">
        <v>499</v>
      </c>
      <c r="H93" s="86">
        <f>'GREET2014-EFUpdate'!M14</f>
        <v>7.9345646272041326E-2</v>
      </c>
      <c r="I93" s="86">
        <f>'GREET2014-EFUpdate'!N14</f>
        <v>7.9345646272041326E-2</v>
      </c>
      <c r="J93" s="86">
        <f>'GREET2014-EFUpdate'!O14</f>
        <v>7.9345646272041326E-2</v>
      </c>
      <c r="K93" s="10" t="s">
        <v>500</v>
      </c>
    </row>
    <row r="94" spans="2:11" x14ac:dyDescent="0.2">
      <c r="B94" s="10" t="s">
        <v>26</v>
      </c>
      <c r="C94" s="12">
        <v>1.5</v>
      </c>
      <c r="D94" s="12">
        <v>3.7639999999999998</v>
      </c>
      <c r="E94" s="12">
        <v>3.7639999999999998</v>
      </c>
      <c r="F94" s="12">
        <v>3.7639999999999998</v>
      </c>
      <c r="G94" s="10" t="s">
        <v>499</v>
      </c>
      <c r="H94" s="86">
        <f>'GREET2014-EFUpdate'!M16</f>
        <v>7.7674568937405441E-3</v>
      </c>
      <c r="I94" s="86">
        <f>'GREET2014-EFUpdate'!N16</f>
        <v>7.7674568937405441E-3</v>
      </c>
      <c r="J94" s="86">
        <f>'GREET2014-EFUpdate'!O16</f>
        <v>7.7674568937405441E-3</v>
      </c>
      <c r="K94" s="10" t="s">
        <v>500</v>
      </c>
    </row>
    <row r="95" spans="2:11" x14ac:dyDescent="0.2">
      <c r="B95" s="10" t="s">
        <v>27</v>
      </c>
      <c r="C95" s="12">
        <v>1.5</v>
      </c>
      <c r="D95" s="12">
        <v>3.7639999999999998</v>
      </c>
      <c r="E95" s="12">
        <v>3.7639999999999998</v>
      </c>
      <c r="F95" s="12">
        <v>3.7639999999999998</v>
      </c>
      <c r="G95" s="10" t="s">
        <v>499</v>
      </c>
      <c r="H95" s="86">
        <f>'GREET2014-EFUpdate'!M17</f>
        <v>7.7674568937405441E-3</v>
      </c>
      <c r="I95" s="86">
        <f>'GREET2014-EFUpdate'!N17</f>
        <v>7.7674568937405441E-3</v>
      </c>
      <c r="J95" s="86">
        <f>'GREET2014-EFUpdate'!O17</f>
        <v>7.7674568937405441E-3</v>
      </c>
      <c r="K95" s="10" t="s">
        <v>500</v>
      </c>
    </row>
    <row r="96" spans="2:11" x14ac:dyDescent="0.2">
      <c r="B96" s="10" t="s">
        <v>28</v>
      </c>
      <c r="C96" s="12">
        <v>0.59235499999999996</v>
      </c>
      <c r="D96" s="12">
        <v>0.59235499999999996</v>
      </c>
      <c r="E96" s="12">
        <v>0.59235499999999996</v>
      </c>
      <c r="F96" s="12">
        <v>0.59235499999999996</v>
      </c>
      <c r="G96" s="10" t="s">
        <v>499</v>
      </c>
      <c r="H96" s="86">
        <f>'GREET2014-EFUpdate'!M15</f>
        <v>1.4653019118322772E-3</v>
      </c>
      <c r="I96" s="86">
        <f>'GREET2014-EFUpdate'!N15</f>
        <v>1.4653019118322772E-3</v>
      </c>
      <c r="J96" s="86">
        <f>'GREET2014-EFUpdate'!O15</f>
        <v>1.4653019118322772E-3</v>
      </c>
      <c r="K96" s="10" t="s">
        <v>500</v>
      </c>
    </row>
    <row r="97" spans="2:11" x14ac:dyDescent="0.2">
      <c r="B97" s="10" t="s">
        <v>29</v>
      </c>
      <c r="C97" s="12">
        <v>4.26</v>
      </c>
      <c r="D97" s="12">
        <v>4.26</v>
      </c>
      <c r="E97" s="12">
        <v>4.26</v>
      </c>
      <c r="F97" s="12">
        <v>4.26</v>
      </c>
      <c r="G97" s="10" t="s">
        <v>499</v>
      </c>
      <c r="H97" s="86">
        <f>'GREET2014-EFUpdate'!M9</f>
        <v>2.7971889890995795E-3</v>
      </c>
      <c r="I97" s="86">
        <f>'GREET2014-EFUpdate'!N9</f>
        <v>2.7971889890995795E-3</v>
      </c>
      <c r="J97" s="86">
        <f>'GREET2014-EFUpdate'!O9</f>
        <v>2.7971889890995795E-3</v>
      </c>
      <c r="K97" s="10" t="s">
        <v>500</v>
      </c>
    </row>
    <row r="98" spans="2:11" x14ac:dyDescent="0.2">
      <c r="B98" s="10" t="s">
        <v>30</v>
      </c>
      <c r="C98" s="12">
        <v>1.5</v>
      </c>
      <c r="D98" s="12">
        <v>1.5</v>
      </c>
      <c r="E98" s="12">
        <v>1.5</v>
      </c>
      <c r="F98" s="12">
        <v>1.5</v>
      </c>
      <c r="G98" s="10" t="s">
        <v>499</v>
      </c>
      <c r="H98" s="86">
        <f>'GREET2014-EFUpdate'!M10</f>
        <v>3.0300996324926727E-4</v>
      </c>
      <c r="I98" s="86">
        <f>'GREET2014-EFUpdate'!N10</f>
        <v>3.0300996324926727E-4</v>
      </c>
      <c r="J98" s="86">
        <f>'GREET2014-EFUpdate'!O10</f>
        <v>3.0300996324926727E-4</v>
      </c>
      <c r="K98" s="10" t="s">
        <v>500</v>
      </c>
    </row>
    <row r="99" spans="2:11" x14ac:dyDescent="0.2">
      <c r="B99" s="10" t="s">
        <v>32</v>
      </c>
      <c r="C99" s="12">
        <f>J99/J95*C95</f>
        <v>0.95209224542590254</v>
      </c>
      <c r="D99" s="12">
        <f>J99/J95*D95</f>
        <v>2.3891168078553982</v>
      </c>
      <c r="E99" s="12">
        <f>J99/J95*E95</f>
        <v>2.3891168078553982</v>
      </c>
      <c r="F99" s="12">
        <f>J99/J95*F95</f>
        <v>2.3891168078553982</v>
      </c>
      <c r="G99" s="10" t="s">
        <v>499</v>
      </c>
      <c r="H99" s="86">
        <f>'GREET2014-EFUpdate'!M11</f>
        <v>4.9302236501402273E-3</v>
      </c>
      <c r="I99" s="86">
        <f>'GREET2014-EFUpdate'!N11</f>
        <v>4.9302236501402273E-3</v>
      </c>
      <c r="J99" s="86">
        <f>'GREET2014-EFUpdate'!O11</f>
        <v>4.9302236501402273E-3</v>
      </c>
      <c r="K99" s="10" t="s">
        <v>500</v>
      </c>
    </row>
    <row r="100" spans="2:11" x14ac:dyDescent="0.2">
      <c r="B100" s="10" t="s">
        <v>22</v>
      </c>
      <c r="C100" s="12">
        <v>53.573</v>
      </c>
      <c r="D100" s="12">
        <v>53.534999999999997</v>
      </c>
      <c r="E100" s="12">
        <v>53.536000000000001</v>
      </c>
      <c r="F100" s="12">
        <v>53.536000000000001</v>
      </c>
      <c r="G100" s="10" t="s">
        <v>503</v>
      </c>
      <c r="H100" s="86">
        <f>'GREET2014-EFUpdate'!M8</f>
        <v>140.78656949178639</v>
      </c>
      <c r="I100" s="86">
        <f>'GREET2014-EFUpdate'!N8</f>
        <v>140.78656949178639</v>
      </c>
      <c r="J100" s="86">
        <f>'GREET2014-EFUpdate'!O8</f>
        <v>140.78656949178639</v>
      </c>
      <c r="K100" s="10" t="s">
        <v>500</v>
      </c>
    </row>
    <row r="102" spans="2:11" x14ac:dyDescent="0.2">
      <c r="B102" s="11" t="s">
        <v>484</v>
      </c>
      <c r="C102" s="10">
        <v>2005</v>
      </c>
      <c r="D102" s="10">
        <v>2010</v>
      </c>
      <c r="E102" s="10">
        <v>2015</v>
      </c>
      <c r="F102" s="10">
        <v>2020</v>
      </c>
      <c r="H102" s="122" t="s">
        <v>496</v>
      </c>
      <c r="I102" s="122" t="s">
        <v>497</v>
      </c>
      <c r="J102" s="122" t="s">
        <v>498</v>
      </c>
    </row>
    <row r="103" spans="2:11" x14ac:dyDescent="0.2">
      <c r="B103" s="10" t="s">
        <v>23</v>
      </c>
      <c r="C103" s="12">
        <v>4.4660000000000002</v>
      </c>
      <c r="D103" s="12">
        <v>0.248114</v>
      </c>
      <c r="E103" s="12">
        <v>0.248114</v>
      </c>
      <c r="F103" s="12">
        <v>0.248114</v>
      </c>
      <c r="G103" s="10" t="s">
        <v>499</v>
      </c>
      <c r="H103" s="86">
        <f>'GREET2014-EFUpdate'!M45</f>
        <v>6.1555160208534782E-4</v>
      </c>
      <c r="I103" s="86">
        <f>'GREET2014-EFUpdate'!N45</f>
        <v>6.1555160208534782E-4</v>
      </c>
      <c r="J103" s="86">
        <f>'GREET2014-EFUpdate'!O45</f>
        <v>6.1555160208534782E-4</v>
      </c>
      <c r="K103" s="10" t="s">
        <v>500</v>
      </c>
    </row>
    <row r="104" spans="2:11" x14ac:dyDescent="0.2">
      <c r="B104" s="10" t="s">
        <v>24</v>
      </c>
      <c r="C104" s="12">
        <v>31.073</v>
      </c>
      <c r="D104" s="12">
        <v>4.101</v>
      </c>
      <c r="E104" s="12">
        <v>4.101</v>
      </c>
      <c r="F104" s="12">
        <v>4.101</v>
      </c>
      <c r="G104" s="10" t="s">
        <v>499</v>
      </c>
      <c r="H104" s="86">
        <f>'GREET2014-EFUpdate'!M44</f>
        <v>4.6898270600203462E-2</v>
      </c>
      <c r="I104" s="86">
        <f>'GREET2014-EFUpdate'!N44</f>
        <v>4.6898270600203462E-2</v>
      </c>
      <c r="J104" s="86">
        <f>'GREET2014-EFUpdate'!O44</f>
        <v>4.6898270600203462E-2</v>
      </c>
      <c r="K104" s="10" t="s">
        <v>500</v>
      </c>
    </row>
    <row r="105" spans="2:11" x14ac:dyDescent="0.2">
      <c r="B105" s="10" t="s">
        <v>25</v>
      </c>
      <c r="C105" s="12">
        <v>16.550999999999998</v>
      </c>
      <c r="D105" s="12">
        <v>9.18</v>
      </c>
      <c r="E105" s="12">
        <v>9.18</v>
      </c>
      <c r="F105" s="12">
        <v>9.18</v>
      </c>
      <c r="G105" s="10" t="s">
        <v>499</v>
      </c>
      <c r="H105" s="86">
        <f>'GREET2014-EFUpdate'!M46</f>
        <v>2.2793513736042735E-2</v>
      </c>
      <c r="I105" s="86">
        <f>'GREET2014-EFUpdate'!N46</f>
        <v>2.2793513736042735E-2</v>
      </c>
      <c r="J105" s="86">
        <f>'GREET2014-EFUpdate'!O46</f>
        <v>2.2793513736042735E-2</v>
      </c>
      <c r="K105" s="10" t="s">
        <v>500</v>
      </c>
    </row>
    <row r="106" spans="2:11" x14ac:dyDescent="0.2">
      <c r="B106" s="10" t="s">
        <v>26</v>
      </c>
      <c r="C106" s="12">
        <v>2.2909999999999999</v>
      </c>
      <c r="D106" s="12">
        <v>0.11676</v>
      </c>
      <c r="E106" s="12">
        <v>0.11676</v>
      </c>
      <c r="F106" s="12">
        <v>0.11676</v>
      </c>
      <c r="G106" s="10" t="s">
        <v>499</v>
      </c>
      <c r="H106" s="86">
        <f>'GREET2014-EFUpdate'!M48</f>
        <v>3.0053401748872865E-4</v>
      </c>
      <c r="I106" s="86">
        <f>'GREET2014-EFUpdate'!N48</f>
        <v>3.0053401748872865E-4</v>
      </c>
      <c r="J106" s="86">
        <f>'GREET2014-EFUpdate'!O48</f>
        <v>3.0053401748872865E-4</v>
      </c>
      <c r="K106" s="10" t="s">
        <v>500</v>
      </c>
    </row>
    <row r="107" spans="2:11" x14ac:dyDescent="0.2">
      <c r="B107" s="10" t="s">
        <v>27</v>
      </c>
      <c r="C107" s="12">
        <v>2.2909999999999999</v>
      </c>
      <c r="D107" s="12">
        <v>0.11676</v>
      </c>
      <c r="E107" s="12">
        <v>0.11676</v>
      </c>
      <c r="F107" s="12">
        <v>0.11676</v>
      </c>
      <c r="G107" s="10" t="s">
        <v>499</v>
      </c>
      <c r="H107" s="86">
        <f>'GREET2014-EFUpdate'!M49</f>
        <v>3.0053401748872865E-4</v>
      </c>
      <c r="I107" s="86">
        <f>'GREET2014-EFUpdate'!N49</f>
        <v>3.0053401748872865E-4</v>
      </c>
      <c r="J107" s="86">
        <f>'GREET2014-EFUpdate'!O49</f>
        <v>3.0053401748872865E-4</v>
      </c>
      <c r="K107" s="10" t="s">
        <v>500</v>
      </c>
    </row>
    <row r="108" spans="2:11" x14ac:dyDescent="0.2">
      <c r="B108" s="10" t="s">
        <v>28</v>
      </c>
      <c r="C108" s="12">
        <v>0.29189900000000002</v>
      </c>
      <c r="D108" s="12">
        <v>0.29189900000000002</v>
      </c>
      <c r="E108" s="12">
        <v>0.29189900000000002</v>
      </c>
      <c r="F108" s="12">
        <v>0.29189900000000002</v>
      </c>
      <c r="G108" s="10" t="s">
        <v>499</v>
      </c>
      <c r="H108" s="86">
        <f>'GREET2014-EFUpdate'!M47</f>
        <v>7.3504103072544495E-4</v>
      </c>
      <c r="I108" s="86">
        <f>'GREET2014-EFUpdate'!N47</f>
        <v>7.3504103072544495E-4</v>
      </c>
      <c r="J108" s="86">
        <f>'GREET2014-EFUpdate'!O47</f>
        <v>7.3504103072544495E-4</v>
      </c>
      <c r="K108" s="10" t="s">
        <v>500</v>
      </c>
    </row>
    <row r="109" spans="2:11" x14ac:dyDescent="0.2">
      <c r="B109" s="10" t="s">
        <v>29</v>
      </c>
      <c r="C109" s="12">
        <v>4.26</v>
      </c>
      <c r="D109" s="12">
        <v>1.153</v>
      </c>
      <c r="E109" s="12">
        <v>1.111</v>
      </c>
      <c r="F109" s="12">
        <v>1.018</v>
      </c>
      <c r="G109" s="10" t="s">
        <v>499</v>
      </c>
      <c r="H109" s="86">
        <f>'GREET2014-EFUpdate'!M41</f>
        <v>2.8713671791392986E-3</v>
      </c>
      <c r="I109" s="86">
        <f>'GREET2014-EFUpdate'!N41</f>
        <v>2.8713671791392986E-3</v>
      </c>
      <c r="J109" s="86">
        <f>'GREET2014-EFUpdate'!O41</f>
        <v>2.8713671791392986E-3</v>
      </c>
      <c r="K109" s="10" t="s">
        <v>500</v>
      </c>
    </row>
    <row r="110" spans="2:11" x14ac:dyDescent="0.2">
      <c r="B110" s="10" t="s">
        <v>30</v>
      </c>
      <c r="C110" s="12">
        <v>1.5</v>
      </c>
      <c r="D110" s="12">
        <v>0.11676</v>
      </c>
      <c r="E110" s="12">
        <v>0.11676</v>
      </c>
      <c r="F110" s="12">
        <v>0.10313799999999999</v>
      </c>
      <c r="G110" s="10" t="s">
        <v>499</v>
      </c>
      <c r="H110" s="86">
        <f>'GREET2014-EFUpdate'!M42</f>
        <v>2.8967134215781075E-3</v>
      </c>
      <c r="I110" s="86">
        <f>'GREET2014-EFUpdate'!N42</f>
        <v>2.8967134215781075E-3</v>
      </c>
      <c r="J110" s="86">
        <f>'GREET2014-EFUpdate'!O42</f>
        <v>2.8967134215781075E-3</v>
      </c>
      <c r="K110" s="10" t="s">
        <v>500</v>
      </c>
    </row>
    <row r="111" spans="2:11" x14ac:dyDescent="0.2">
      <c r="B111" s="10" t="s">
        <v>32</v>
      </c>
      <c r="C111" s="12">
        <f>J111/J107*C107</f>
        <v>15.953563942370591</v>
      </c>
      <c r="D111" s="12">
        <f>J111/J107*D107</f>
        <v>0.81306771100444797</v>
      </c>
      <c r="E111" s="12">
        <f>J111/J107*E107</f>
        <v>0.81306771100444797</v>
      </c>
      <c r="F111" s="12">
        <f>J111/J107*F107</f>
        <v>0.81306771100444797</v>
      </c>
      <c r="G111" s="10" t="s">
        <v>499</v>
      </c>
      <c r="H111" s="86">
        <f>'GREET2014-EFUpdate'!M43</f>
        <v>2.0927929571645369E-3</v>
      </c>
      <c r="I111" s="86">
        <f>'GREET2014-EFUpdate'!N43</f>
        <v>2.0927929571645369E-3</v>
      </c>
      <c r="J111" s="86">
        <f>'GREET2014-EFUpdate'!O43</f>
        <v>2.0927929571645369E-3</v>
      </c>
      <c r="K111" s="10" t="s">
        <v>500</v>
      </c>
    </row>
    <row r="112" spans="2:11" x14ac:dyDescent="0.2">
      <c r="B112" s="10" t="s">
        <v>22</v>
      </c>
      <c r="C112" s="12">
        <v>53.555</v>
      </c>
      <c r="D112" s="12">
        <v>53.619</v>
      </c>
      <c r="E112" s="12">
        <v>53.619</v>
      </c>
      <c r="F112" s="12">
        <v>53.62</v>
      </c>
      <c r="G112" s="10" t="s">
        <v>503</v>
      </c>
      <c r="H112" s="86">
        <f>'GREET2014-EFUpdate'!M40</f>
        <v>147.98584692487157</v>
      </c>
      <c r="I112" s="86">
        <f>'GREET2014-EFUpdate'!N40</f>
        <v>147.98584692487157</v>
      </c>
      <c r="J112" s="86">
        <f>'GREET2014-EFUpdate'!O40</f>
        <v>147.98584692487157</v>
      </c>
      <c r="K112" s="10" t="s">
        <v>500</v>
      </c>
    </row>
    <row r="114" spans="2:11" x14ac:dyDescent="0.2">
      <c r="B114" s="11" t="s">
        <v>485</v>
      </c>
      <c r="C114" s="10">
        <v>2005</v>
      </c>
      <c r="D114" s="10">
        <v>2010</v>
      </c>
      <c r="E114" s="10">
        <v>2015</v>
      </c>
      <c r="F114" s="10">
        <v>2020</v>
      </c>
      <c r="H114" s="122" t="s">
        <v>496</v>
      </c>
      <c r="I114" s="122" t="s">
        <v>497</v>
      </c>
      <c r="J114" s="122" t="s">
        <v>498</v>
      </c>
    </row>
    <row r="115" spans="2:11" x14ac:dyDescent="0.2">
      <c r="B115" s="10" t="s">
        <v>23</v>
      </c>
      <c r="C115" s="12">
        <v>2.48</v>
      </c>
      <c r="D115" s="12">
        <v>2.4609999999999999</v>
      </c>
      <c r="E115" s="12">
        <v>2.4609999999999999</v>
      </c>
      <c r="F115" s="12">
        <v>2.4609999999999999</v>
      </c>
      <c r="G115" s="10" t="s">
        <v>499</v>
      </c>
      <c r="H115" s="86">
        <f>'GREET2014-EFUpdate'!B115</f>
        <v>5.4035404454865184E-3</v>
      </c>
      <c r="I115" s="86">
        <f>'GREET2014-EFUpdate'!C115</f>
        <v>5.4035404454865175E-3</v>
      </c>
      <c r="J115" s="86">
        <f>'GREET2014-EFUpdate'!D115</f>
        <v>5.4035404454865175E-3</v>
      </c>
      <c r="K115" s="10" t="s">
        <v>500</v>
      </c>
    </row>
    <row r="116" spans="2:11" x14ac:dyDescent="0.2">
      <c r="B116" s="10" t="s">
        <v>24</v>
      </c>
      <c r="C116" s="12">
        <v>19.187000000000001</v>
      </c>
      <c r="D116" s="12">
        <v>16.169</v>
      </c>
      <c r="E116" s="12">
        <v>16.169</v>
      </c>
      <c r="F116" s="12">
        <v>16.169</v>
      </c>
      <c r="G116" s="10" t="s">
        <v>499</v>
      </c>
      <c r="H116" s="86">
        <f>'GREET2014-EFUpdate'!B114</f>
        <v>5.4077702227432592E-2</v>
      </c>
      <c r="I116" s="86">
        <f>'GREET2014-EFUpdate'!C114</f>
        <v>5.4077702227432592E-2</v>
      </c>
      <c r="J116" s="86">
        <f>'GREET2014-EFUpdate'!D114</f>
        <v>5.4077702227432592E-2</v>
      </c>
      <c r="K116" s="10" t="s">
        <v>500</v>
      </c>
    </row>
    <row r="117" spans="2:11" x14ac:dyDescent="0.2">
      <c r="B117" s="10" t="s">
        <v>25</v>
      </c>
      <c r="C117" s="12">
        <v>164.935</v>
      </c>
      <c r="D117" s="12">
        <v>130.06</v>
      </c>
      <c r="E117" s="12">
        <v>130.06</v>
      </c>
      <c r="F117" s="12">
        <v>130.06</v>
      </c>
      <c r="G117" s="10" t="s">
        <v>499</v>
      </c>
      <c r="H117" s="86">
        <f>'GREET2014-EFUpdate'!B116</f>
        <v>0.28614654630715125</v>
      </c>
      <c r="I117" s="86">
        <f>'GREET2014-EFUpdate'!C116</f>
        <v>0.24869949403072114</v>
      </c>
      <c r="J117" s="86">
        <f>'GREET2014-EFUpdate'!D116</f>
        <v>0.196689699202346</v>
      </c>
      <c r="K117" s="10" t="s">
        <v>500</v>
      </c>
    </row>
    <row r="118" spans="2:11" x14ac:dyDescent="0.2">
      <c r="B118" s="10" t="s">
        <v>26</v>
      </c>
      <c r="C118" s="12">
        <v>2.6440000000000001</v>
      </c>
      <c r="D118" s="12">
        <v>13.439</v>
      </c>
      <c r="E118" s="12">
        <v>13.439</v>
      </c>
      <c r="F118" s="12">
        <v>13.439</v>
      </c>
      <c r="G118" s="10" t="s">
        <v>499</v>
      </c>
      <c r="H118" s="86">
        <f>'GREET2014-EFUpdate'!B119</f>
        <v>2.9564028135990621E-2</v>
      </c>
      <c r="I118" s="86">
        <f>'GREET2014-EFUpdate'!C119</f>
        <v>2.6036917055340125E-2</v>
      </c>
      <c r="J118" s="86">
        <f>'GREET2014-EFUpdate'!D119</f>
        <v>2.1138151665547771E-2</v>
      </c>
      <c r="K118" s="10" t="s">
        <v>500</v>
      </c>
    </row>
    <row r="119" spans="2:11" x14ac:dyDescent="0.2">
      <c r="B119" s="10" t="s">
        <v>27</v>
      </c>
      <c r="C119" s="12">
        <v>1.9830000000000001</v>
      </c>
      <c r="D119" s="12">
        <v>11.055</v>
      </c>
      <c r="E119" s="12">
        <v>11.055</v>
      </c>
      <c r="F119" s="12">
        <v>11.055</v>
      </c>
      <c r="G119" s="10" t="s">
        <v>499</v>
      </c>
      <c r="H119" s="86">
        <f>'GREET2014-EFUpdate'!B120</f>
        <v>2.4513674091441971E-2</v>
      </c>
      <c r="I119" s="86">
        <f>'GREET2014-EFUpdate'!C120</f>
        <v>2.1766132946162864E-2</v>
      </c>
      <c r="J119" s="86">
        <f>'GREET2014-EFUpdate'!D120</f>
        <v>1.7950103577719662E-2</v>
      </c>
      <c r="K119" s="10" t="s">
        <v>500</v>
      </c>
    </row>
    <row r="120" spans="2:11" x14ac:dyDescent="0.2">
      <c r="B120" s="10" t="s">
        <v>28</v>
      </c>
      <c r="C120" s="12">
        <v>544.1</v>
      </c>
      <c r="D120" s="12">
        <v>317.13400000000001</v>
      </c>
      <c r="E120" s="12">
        <v>317.13400000000001</v>
      </c>
      <c r="F120" s="12">
        <v>317.13400000000001</v>
      </c>
      <c r="G120" s="10" t="s">
        <v>499</v>
      </c>
      <c r="H120" s="86">
        <f>'GREET2014-EFUpdate'!B117</f>
        <v>0.69772290738569764</v>
      </c>
      <c r="I120" s="86">
        <f>'GREET2014-EFUpdate'!C117</f>
        <v>0.59433171993867795</v>
      </c>
      <c r="J120" s="86">
        <f>'GREET2014-EFUpdate'!D117</f>
        <v>0.45073284848448414</v>
      </c>
      <c r="K120" s="10" t="s">
        <v>500</v>
      </c>
    </row>
    <row r="121" spans="2:11" x14ac:dyDescent="0.2">
      <c r="B121" s="10" t="s">
        <v>29</v>
      </c>
      <c r="C121" s="12">
        <v>0.91278300000000001</v>
      </c>
      <c r="D121" s="12">
        <v>2.9409999999999998</v>
      </c>
      <c r="E121" s="12">
        <v>2.9409999999999998</v>
      </c>
      <c r="F121" s="12">
        <v>2.9409999999999998</v>
      </c>
      <c r="G121" s="10" t="s">
        <v>499</v>
      </c>
      <c r="H121" s="86">
        <f>'GREET2014-EFUpdate'!B111</f>
        <v>6.4673294255568588E-3</v>
      </c>
      <c r="I121" s="86">
        <f>'GREET2014-EFUpdate'!C111</f>
        <v>6.4673294255568588E-3</v>
      </c>
      <c r="J121" s="86">
        <f>'GREET2014-EFUpdate'!D111</f>
        <v>6.4673294255568579E-3</v>
      </c>
      <c r="K121" s="10" t="s">
        <v>500</v>
      </c>
    </row>
    <row r="122" spans="2:11" x14ac:dyDescent="0.2">
      <c r="B122" s="10" t="s">
        <v>30</v>
      </c>
      <c r="C122" s="12">
        <v>0.36110100000000001</v>
      </c>
      <c r="D122" s="12">
        <v>0.56715099999999996</v>
      </c>
      <c r="E122" s="12">
        <v>0.56715099999999996</v>
      </c>
      <c r="F122" s="12">
        <v>0.56715099999999996</v>
      </c>
      <c r="G122" s="10" t="s">
        <v>499</v>
      </c>
      <c r="H122" s="86">
        <f>'GREET2014-EFUpdate'!B112</f>
        <v>1.2477842907385698E-3</v>
      </c>
      <c r="I122" s="86">
        <f>'GREET2014-EFUpdate'!C112</f>
        <v>1.2477842907385696E-3</v>
      </c>
      <c r="J122" s="86">
        <f>'GREET2014-EFUpdate'!D112</f>
        <v>1.2477842907385696E-3</v>
      </c>
      <c r="K122" s="10" t="s">
        <v>500</v>
      </c>
    </row>
    <row r="123" spans="2:11" x14ac:dyDescent="0.2">
      <c r="B123" s="10" t="s">
        <v>32</v>
      </c>
      <c r="C123" s="12">
        <f>J123/J119*C119</f>
        <v>0.27080966699081749</v>
      </c>
      <c r="D123" s="12">
        <f>J123/J119*D119</f>
        <v>1.5097331662044815</v>
      </c>
      <c r="E123" s="12">
        <f>J123/J119*E119</f>
        <v>1.5097331662044815</v>
      </c>
      <c r="F123" s="12">
        <f>J123/J119*F119</f>
        <v>1.5097331662044815</v>
      </c>
      <c r="G123" s="10" t="s">
        <v>499</v>
      </c>
      <c r="H123" s="86">
        <f>'GREET2014-EFUpdate'!B113</f>
        <v>2.4513674091441971E-3</v>
      </c>
      <c r="I123" s="86">
        <f>'GREET2014-EFUpdate'!C113</f>
        <v>2.4513674091441971E-3</v>
      </c>
      <c r="J123" s="86">
        <f>'GREET2014-EFUpdate'!D113</f>
        <v>2.4513674091441971E-3</v>
      </c>
      <c r="K123" s="10" t="s">
        <v>500</v>
      </c>
    </row>
    <row r="124" spans="2:11" x14ac:dyDescent="0.2">
      <c r="B124" s="10" t="s">
        <v>22</v>
      </c>
      <c r="C124" s="12">
        <v>79.510000000000005</v>
      </c>
      <c r="D124" s="12">
        <v>79.510000000000005</v>
      </c>
      <c r="E124" s="12">
        <v>79.510000000000005</v>
      </c>
      <c r="F124" s="12">
        <v>79.510000000000005</v>
      </c>
      <c r="G124" s="10" t="s">
        <v>503</v>
      </c>
      <c r="H124" s="86">
        <f>'GREET2014-EFUpdate'!B110</f>
        <v>167.30883939038688</v>
      </c>
      <c r="I124" s="86">
        <f>'GREET2014-EFUpdate'!C110</f>
        <v>167.30883939038688</v>
      </c>
      <c r="J124" s="86">
        <f>'GREET2014-EFUpdate'!D110</f>
        <v>167.30883939038688</v>
      </c>
      <c r="K124" s="10" t="s">
        <v>500</v>
      </c>
    </row>
    <row r="126" spans="2:11" x14ac:dyDescent="0.2">
      <c r="B126" s="11" t="s">
        <v>487</v>
      </c>
      <c r="C126" s="10">
        <v>2005</v>
      </c>
      <c r="D126" s="10">
        <v>2010</v>
      </c>
      <c r="E126" s="10">
        <v>2015</v>
      </c>
      <c r="F126" s="10">
        <v>2020</v>
      </c>
      <c r="H126" s="122" t="s">
        <v>496</v>
      </c>
      <c r="I126" s="122" t="s">
        <v>497</v>
      </c>
      <c r="J126" s="122" t="s">
        <v>498</v>
      </c>
    </row>
    <row r="127" spans="2:11" x14ac:dyDescent="0.2">
      <c r="B127" s="10" t="s">
        <v>23</v>
      </c>
      <c r="C127" s="12">
        <v>98.57</v>
      </c>
      <c r="D127" s="12">
        <v>70.44</v>
      </c>
      <c r="E127" s="12">
        <v>47.665999999999997</v>
      </c>
      <c r="F127" s="12">
        <v>34.869</v>
      </c>
      <c r="G127" s="10" t="s">
        <v>499</v>
      </c>
      <c r="H127" s="86">
        <f>'GREET2014-EFUpdate'!H13</f>
        <v>4.4698145820981066E-3</v>
      </c>
      <c r="I127" s="86">
        <f>'GREET2014-EFUpdate'!I13</f>
        <v>4.4698145820981066E-3</v>
      </c>
      <c r="J127" s="86">
        <f>'GREET2014-EFUpdate'!J13</f>
        <v>4.4698145820981066E-3</v>
      </c>
      <c r="K127" s="10" t="s">
        <v>500</v>
      </c>
    </row>
    <row r="128" spans="2:11" x14ac:dyDescent="0.2">
      <c r="B128" s="10" t="s">
        <v>24</v>
      </c>
      <c r="C128" s="12">
        <v>459.57299999999998</v>
      </c>
      <c r="D128" s="12">
        <v>360.99599999999998</v>
      </c>
      <c r="E128" s="12">
        <v>229.41200000000001</v>
      </c>
      <c r="F128" s="12">
        <v>136.00700000000001</v>
      </c>
      <c r="G128" s="10" t="s">
        <v>499</v>
      </c>
      <c r="H128" s="86">
        <f>'GREET2014-EFUpdate'!H12</f>
        <v>1.4484551241734476</v>
      </c>
      <c r="I128" s="86">
        <f>'GREET2014-EFUpdate'!I12</f>
        <v>1.1600603134426133</v>
      </c>
      <c r="J128" s="86">
        <f>'GREET2014-EFUpdate'!J12</f>
        <v>0.99088459893935021</v>
      </c>
      <c r="K128" s="10" t="s">
        <v>500</v>
      </c>
    </row>
    <row r="129" spans="2:11" x14ac:dyDescent="0.2">
      <c r="B129" s="10" t="s">
        <v>25</v>
      </c>
      <c r="C129" s="12">
        <v>883.86599999999999</v>
      </c>
      <c r="D129" s="12">
        <v>681.57500000000005</v>
      </c>
      <c r="E129" s="12">
        <v>462.71899999999999</v>
      </c>
      <c r="F129" s="12">
        <v>297.596</v>
      </c>
      <c r="G129" s="10" t="s">
        <v>499</v>
      </c>
      <c r="H129" s="86">
        <f>'GREET2014-EFUpdate'!H14</f>
        <v>4.578998573287306</v>
      </c>
      <c r="I129" s="86">
        <f>'GREET2014-EFUpdate'!I14</f>
        <v>0.5905982729310888</v>
      </c>
      <c r="J129" s="86">
        <f>'GREET2014-EFUpdate'!J14</f>
        <v>0.14472307083597846</v>
      </c>
      <c r="K129" s="10" t="s">
        <v>500</v>
      </c>
    </row>
    <row r="130" spans="2:11" x14ac:dyDescent="0.2">
      <c r="B130" s="10" t="s">
        <v>26</v>
      </c>
      <c r="C130" s="12">
        <v>89.57</v>
      </c>
      <c r="D130" s="12">
        <v>61.862000000000002</v>
      </c>
      <c r="E130" s="12">
        <v>39.468000000000004</v>
      </c>
      <c r="F130" s="12">
        <v>22.673999999999999</v>
      </c>
      <c r="G130" s="10" t="s">
        <v>499</v>
      </c>
      <c r="H130" s="86">
        <f>'GREET2014-EFUpdate'!H16</f>
        <v>0.11217649312923941</v>
      </c>
      <c r="I130" s="86">
        <f>'GREET2014-EFUpdate'!I16</f>
        <v>4.1476357147545252E-2</v>
      </c>
      <c r="J130" s="86">
        <f>'GREET2014-EFUpdate'!J16</f>
        <v>4.2611949074104942E-3</v>
      </c>
      <c r="K130" s="10" t="s">
        <v>500</v>
      </c>
    </row>
    <row r="131" spans="2:11" x14ac:dyDescent="0.2">
      <c r="B131" s="10" t="s">
        <v>27</v>
      </c>
      <c r="C131" s="12">
        <v>80.613</v>
      </c>
      <c r="D131" s="12">
        <v>55.676000000000002</v>
      </c>
      <c r="E131" s="12">
        <v>35.521000000000001</v>
      </c>
      <c r="F131" s="12">
        <v>20.407</v>
      </c>
      <c r="G131" s="10" t="s">
        <v>499</v>
      </c>
      <c r="H131" s="86">
        <f>'GREET2014-EFUpdate'!H17</f>
        <v>0.11093004799113573</v>
      </c>
      <c r="I131" s="86">
        <f>'GREET2014-EFUpdate'!I17</f>
        <v>4.0949329034131454E-2</v>
      </c>
      <c r="J131" s="86">
        <f>'GREET2014-EFUpdate'!J17</f>
        <v>4.1151458884065061E-3</v>
      </c>
      <c r="K131" s="10" t="s">
        <v>500</v>
      </c>
    </row>
    <row r="132" spans="2:11" x14ac:dyDescent="0.2">
      <c r="B132" s="10" t="s">
        <v>28</v>
      </c>
      <c r="C132" s="12">
        <v>7.5149999999999997</v>
      </c>
      <c r="D132" s="12">
        <v>7.5149999999999997</v>
      </c>
      <c r="E132" s="12">
        <v>7.5149999999999997</v>
      </c>
      <c r="F132" s="12">
        <v>7.5149999999999997</v>
      </c>
      <c r="G132" s="10" t="s">
        <v>499</v>
      </c>
      <c r="H132" s="86">
        <f>'GREET2014-EFUpdate'!H15</f>
        <v>0.23666147946417349</v>
      </c>
      <c r="I132" s="86">
        <f>'GREET2014-EFUpdate'!I15</f>
        <v>1.6161965745426238E-3</v>
      </c>
      <c r="J132" s="86">
        <f>'GREET2014-EFUpdate'!J15</f>
        <v>1.6161965745426238E-3</v>
      </c>
      <c r="K132" s="10" t="s">
        <v>500</v>
      </c>
    </row>
    <row r="133" spans="2:11" x14ac:dyDescent="0.2">
      <c r="B133" s="10" t="s">
        <v>29</v>
      </c>
      <c r="C133" s="12">
        <v>3.94</v>
      </c>
      <c r="D133" s="12">
        <v>3.94</v>
      </c>
      <c r="E133" s="12">
        <v>3.94</v>
      </c>
      <c r="F133" s="12">
        <v>3.94</v>
      </c>
      <c r="G133" s="10" t="s">
        <v>499</v>
      </c>
      <c r="H133" s="86">
        <f>'GREET2014-EFUpdate'!H9</f>
        <v>9.3057607090103397E-3</v>
      </c>
      <c r="I133" s="86">
        <f>'GREET2014-EFUpdate'!I9</f>
        <v>9.3057607090103397E-3</v>
      </c>
      <c r="J133" s="86">
        <f>'GREET2014-EFUpdate'!J9</f>
        <v>9.3057607090103397E-3</v>
      </c>
      <c r="K133" s="10" t="s">
        <v>500</v>
      </c>
    </row>
    <row r="134" spans="2:11" x14ac:dyDescent="0.2">
      <c r="B134" s="10" t="s">
        <v>30</v>
      </c>
      <c r="C134" s="12">
        <v>2</v>
      </c>
      <c r="D134" s="12">
        <v>2</v>
      </c>
      <c r="E134" s="12">
        <v>2</v>
      </c>
      <c r="F134" s="12">
        <v>2</v>
      </c>
      <c r="G134" s="10" t="s">
        <v>499</v>
      </c>
      <c r="H134" s="86">
        <f>'GREET2014-EFUpdate'!H10</f>
        <v>1.323E-3</v>
      </c>
      <c r="I134" s="86">
        <f>'GREET2014-EFUpdate'!I10</f>
        <v>1.323E-3</v>
      </c>
      <c r="J134" s="86">
        <f>'GREET2014-EFUpdate'!J10</f>
        <v>1.323E-3</v>
      </c>
      <c r="K134" s="10" t="s">
        <v>500</v>
      </c>
    </row>
    <row r="135" spans="2:11" x14ac:dyDescent="0.2">
      <c r="B135" s="10" t="s">
        <v>32</v>
      </c>
      <c r="C135" s="12">
        <f>J135/J131*C131</f>
        <v>62.072009999999999</v>
      </c>
      <c r="D135" s="12">
        <f>J135/J131*D131</f>
        <v>42.870519999999999</v>
      </c>
      <c r="E135" s="12">
        <f>J135/J131*E131</f>
        <v>27.35117</v>
      </c>
      <c r="F135" s="12">
        <f>J135/J131*F131</f>
        <v>15.71339</v>
      </c>
      <c r="G135" s="10" t="s">
        <v>499</v>
      </c>
      <c r="H135" s="86">
        <f>'GREET2014-EFUpdate'!H11</f>
        <v>9.1741172920476968E-2</v>
      </c>
      <c r="I135" s="86">
        <f>'GREET2014-EFUpdate'!I11</f>
        <v>3.1530983356281218E-2</v>
      </c>
      <c r="J135" s="86">
        <f>'GREET2014-EFUpdate'!J11</f>
        <v>3.1686623340730097E-3</v>
      </c>
      <c r="K135" s="10" t="s">
        <v>500</v>
      </c>
    </row>
    <row r="136" spans="2:11" x14ac:dyDescent="0.2">
      <c r="B136" s="10" t="s">
        <v>22</v>
      </c>
      <c r="C136" s="12">
        <v>72.075999999999993</v>
      </c>
      <c r="D136" s="12">
        <v>72.317999999999998</v>
      </c>
      <c r="E136" s="12">
        <v>72.596000000000004</v>
      </c>
      <c r="F136" s="12">
        <v>72.783000000000001</v>
      </c>
      <c r="G136" s="10" t="s">
        <v>503</v>
      </c>
      <c r="H136" s="86">
        <f>'GREET2014-EFUpdate'!H8</f>
        <v>175.05839255240483</v>
      </c>
      <c r="I136" s="86">
        <f>'GREET2014-EFUpdate'!I8</f>
        <v>175.05839255240483</v>
      </c>
      <c r="J136" s="86">
        <f>'GREET2014-EFUpdate'!J8</f>
        <v>175.05839255240483</v>
      </c>
      <c r="K136" s="10" t="s">
        <v>500</v>
      </c>
    </row>
    <row r="138" spans="2:11" x14ac:dyDescent="0.2">
      <c r="B138" s="11" t="s">
        <v>486</v>
      </c>
      <c r="C138" s="10">
        <v>2005</v>
      </c>
      <c r="D138" s="10">
        <v>2010</v>
      </c>
      <c r="E138" s="10">
        <v>2015</v>
      </c>
      <c r="F138" s="10">
        <v>2020</v>
      </c>
      <c r="H138" s="122" t="s">
        <v>496</v>
      </c>
      <c r="I138" s="122" t="s">
        <v>497</v>
      </c>
      <c r="J138" s="122" t="s">
        <v>498</v>
      </c>
    </row>
    <row r="139" spans="2:11" x14ac:dyDescent="0.2">
      <c r="B139" s="10" t="s">
        <v>23</v>
      </c>
      <c r="C139" s="12">
        <v>1.335</v>
      </c>
      <c r="D139" s="12">
        <v>1.335</v>
      </c>
      <c r="E139" s="12">
        <v>1.335</v>
      </c>
      <c r="F139" s="12">
        <v>1.335</v>
      </c>
      <c r="G139" s="10" t="s">
        <v>499</v>
      </c>
      <c r="H139" s="86">
        <f>'GREET2014-EFUpdate'!M29</f>
        <v>5.3620557681405333E-4</v>
      </c>
      <c r="I139" s="86">
        <f>'GREET2014-EFUpdate'!N29</f>
        <v>5.3620557681405333E-4</v>
      </c>
      <c r="J139" s="86">
        <f>'GREET2014-EFUpdate'!O29</f>
        <v>5.3620557681405333E-4</v>
      </c>
      <c r="K139" s="10" t="s">
        <v>500</v>
      </c>
    </row>
    <row r="140" spans="2:11" x14ac:dyDescent="0.2">
      <c r="B140" s="10" t="s">
        <v>24</v>
      </c>
      <c r="C140" s="12">
        <v>8.7140000000000004</v>
      </c>
      <c r="D140" s="12">
        <v>8.7140000000000004</v>
      </c>
      <c r="E140" s="12">
        <v>8.7140000000000004</v>
      </c>
      <c r="F140" s="12">
        <v>8.7140000000000004</v>
      </c>
      <c r="G140" s="10" t="s">
        <v>499</v>
      </c>
      <c r="H140" s="86">
        <f>'GREET2014-EFUpdate'!M28</f>
        <v>4.3119865135463455E-3</v>
      </c>
      <c r="I140" s="86">
        <f>'GREET2014-EFUpdate'!N28</f>
        <v>4.3119865135463455E-3</v>
      </c>
      <c r="J140" s="86">
        <f>'GREET2014-EFUpdate'!O28</f>
        <v>4.3119865135463455E-3</v>
      </c>
      <c r="K140" s="10" t="s">
        <v>500</v>
      </c>
    </row>
    <row r="141" spans="2:11" x14ac:dyDescent="0.2">
      <c r="B141" s="10" t="s">
        <v>25</v>
      </c>
      <c r="C141" s="12">
        <v>131.66</v>
      </c>
      <c r="D141" s="12">
        <v>131.66</v>
      </c>
      <c r="E141" s="12">
        <v>131.66</v>
      </c>
      <c r="F141" s="12">
        <v>131.66</v>
      </c>
      <c r="G141" s="10" t="s">
        <v>499</v>
      </c>
      <c r="H141" s="86">
        <f>'GREET2014-EFUpdate'!M30</f>
        <v>0.55826718656918295</v>
      </c>
      <c r="I141" s="86">
        <f>'GREET2014-EFUpdate'!N30</f>
        <v>0.55826718656918295</v>
      </c>
      <c r="J141" s="86">
        <f>'GREET2014-EFUpdate'!O30</f>
        <v>0.55826718656918295</v>
      </c>
      <c r="K141" s="10" t="s">
        <v>500</v>
      </c>
    </row>
    <row r="142" spans="2:11" x14ac:dyDescent="0.2">
      <c r="B142" s="10" t="s">
        <v>26</v>
      </c>
      <c r="C142" s="12">
        <f>16.989</f>
        <v>16.989000000000001</v>
      </c>
      <c r="D142" s="12">
        <f>16.989</f>
        <v>16.989000000000001</v>
      </c>
      <c r="E142" s="12">
        <f>16.989</f>
        <v>16.989000000000001</v>
      </c>
      <c r="F142" s="12">
        <f>16.989</f>
        <v>16.989000000000001</v>
      </c>
      <c r="G142" s="10" t="s">
        <v>499</v>
      </c>
      <c r="H142" s="86">
        <f>'GREET2014-EFUpdate'!M32</f>
        <v>3.935383417672246E-2</v>
      </c>
      <c r="I142" s="86">
        <f>'GREET2014-EFUpdate'!N32</f>
        <v>3.935383417672246E-2</v>
      </c>
      <c r="J142" s="86">
        <f>'GREET2014-EFUpdate'!O32</f>
        <v>3.935383417672246E-2</v>
      </c>
      <c r="K142" s="10" t="s">
        <v>500</v>
      </c>
    </row>
    <row r="143" spans="2:11" x14ac:dyDescent="0.2">
      <c r="B143" s="10" t="s">
        <v>27</v>
      </c>
      <c r="C143" s="12">
        <v>13</v>
      </c>
      <c r="D143" s="12">
        <v>13</v>
      </c>
      <c r="E143" s="12">
        <v>13</v>
      </c>
      <c r="F143" s="12">
        <v>13</v>
      </c>
      <c r="G143" s="10" t="s">
        <v>499</v>
      </c>
      <c r="H143" s="86">
        <f>'GREET2014-EFUpdate'!M33</f>
        <v>1.3974309069676918E-2</v>
      </c>
      <c r="I143" s="86">
        <f>'GREET2014-EFUpdate'!N33</f>
        <v>1.3974309069676918E-2</v>
      </c>
      <c r="J143" s="86">
        <f>'GREET2014-EFUpdate'!O33</f>
        <v>1.3974309069676918E-2</v>
      </c>
      <c r="K143" s="10" t="s">
        <v>500</v>
      </c>
    </row>
    <row r="144" spans="2:11" x14ac:dyDescent="0.2">
      <c r="B144" s="10" t="s">
        <v>28</v>
      </c>
      <c r="C144" s="12">
        <v>7.5149999999999997</v>
      </c>
      <c r="D144" s="12">
        <v>7.5149999999999997</v>
      </c>
      <c r="E144" s="12">
        <v>7.5149999999999997</v>
      </c>
      <c r="F144" s="12">
        <v>7.5149999999999997</v>
      </c>
      <c r="G144" s="10" t="s">
        <v>499</v>
      </c>
      <c r="H144" s="86">
        <f>'GREET2014-EFUpdate'!M31</f>
        <v>0.12151408046772885</v>
      </c>
      <c r="I144" s="86">
        <f>'GREET2014-EFUpdate'!N31</f>
        <v>9.6908448280637313E-2</v>
      </c>
      <c r="J144" s="86">
        <f>'GREET2014-EFUpdate'!O31</f>
        <v>7.2302816093545774E-2</v>
      </c>
      <c r="K144" s="10" t="s">
        <v>500</v>
      </c>
    </row>
    <row r="145" spans="2:11" x14ac:dyDescent="0.2">
      <c r="B145" s="10" t="s">
        <v>29</v>
      </c>
      <c r="C145" s="12">
        <v>0.84399999999999997</v>
      </c>
      <c r="D145" s="12">
        <v>0.84399999999999997</v>
      </c>
      <c r="E145" s="12">
        <v>0.84399999999999997</v>
      </c>
      <c r="F145" s="12">
        <v>0.84399999999999997</v>
      </c>
      <c r="G145" s="10" t="s">
        <v>499</v>
      </c>
      <c r="H145" s="86">
        <f>'GREET2014-EFUpdate'!M25</f>
        <v>7.4804740129021143E-3</v>
      </c>
      <c r="I145" s="86">
        <f>'GREET2014-EFUpdate'!N25</f>
        <v>7.4804740129021143E-3</v>
      </c>
      <c r="J145" s="86">
        <f>'GREET2014-EFUpdate'!O25</f>
        <v>7.4804740129021143E-3</v>
      </c>
      <c r="K145" s="10" t="s">
        <v>500</v>
      </c>
    </row>
    <row r="146" spans="2:11" x14ac:dyDescent="0.2">
      <c r="B146" s="10" t="s">
        <v>30</v>
      </c>
      <c r="C146" s="12">
        <v>0.2</v>
      </c>
      <c r="D146" s="12">
        <v>0.2</v>
      </c>
      <c r="E146" s="12">
        <v>0.2</v>
      </c>
      <c r="F146" s="12">
        <v>0.2</v>
      </c>
      <c r="G146" s="10" t="s">
        <v>499</v>
      </c>
      <c r="H146" s="86">
        <f>'GREET2014-EFUpdate'!M26</f>
        <v>1.500969398733278E-3</v>
      </c>
      <c r="I146" s="86">
        <f>'GREET2014-EFUpdate'!N26</f>
        <v>1.500969398733278E-3</v>
      </c>
      <c r="J146" s="86">
        <f>'GREET2014-EFUpdate'!O26</f>
        <v>1.500969398733278E-3</v>
      </c>
      <c r="K146" s="10" t="s">
        <v>500</v>
      </c>
    </row>
    <row r="147" spans="2:11" x14ac:dyDescent="0.2">
      <c r="B147" s="10" t="s">
        <v>32</v>
      </c>
      <c r="C147" s="12">
        <f>J147/J143*C143</f>
        <v>2.0143760000000004</v>
      </c>
      <c r="D147" s="12">
        <f>J147/J143*D143</f>
        <v>2.0143760000000004</v>
      </c>
      <c r="E147" s="12">
        <f>J147/J143*E143</f>
        <v>2.0143760000000004</v>
      </c>
      <c r="F147" s="12">
        <f>J147/J143*F143</f>
        <v>2.0143760000000004</v>
      </c>
      <c r="G147" s="10" t="s">
        <v>499</v>
      </c>
      <c r="H147" s="86">
        <f>'GREET2014-EFUpdate'!M27</f>
        <v>2.1653471389645783E-3</v>
      </c>
      <c r="I147" s="86">
        <f>'GREET2014-EFUpdate'!N27</f>
        <v>2.1653471389645783E-3</v>
      </c>
      <c r="J147" s="86">
        <f>'GREET2014-EFUpdate'!O27</f>
        <v>2.1653471389645783E-3</v>
      </c>
      <c r="K147" s="10" t="s">
        <v>500</v>
      </c>
    </row>
    <row r="148" spans="2:11" x14ac:dyDescent="0.2">
      <c r="B148" s="10" t="s">
        <v>22</v>
      </c>
      <c r="C148" s="12">
        <v>73.096000000000004</v>
      </c>
      <c r="D148" s="12">
        <v>73.096000000000004</v>
      </c>
      <c r="E148" s="12">
        <v>73.096000000000004</v>
      </c>
      <c r="F148" s="12">
        <v>73.096000000000004</v>
      </c>
      <c r="G148" s="10" t="s">
        <v>503</v>
      </c>
      <c r="H148" s="86">
        <f>'GREET2014-EFUpdate'!M24</f>
        <v>176.56193481986989</v>
      </c>
      <c r="I148" s="86">
        <f>'GREET2014-EFUpdate'!N24</f>
        <v>176.56193481986989</v>
      </c>
      <c r="J148" s="86">
        <f>'GREET2014-EFUpdate'!O24</f>
        <v>176.56193481986989</v>
      </c>
      <c r="K148" s="10" t="s">
        <v>500</v>
      </c>
    </row>
    <row r="150" spans="2:11" x14ac:dyDescent="0.2">
      <c r="B150" s="11" t="s">
        <v>488</v>
      </c>
      <c r="C150" s="10">
        <v>2005</v>
      </c>
      <c r="D150" s="10">
        <v>2010</v>
      </c>
      <c r="E150" s="10">
        <v>2015</v>
      </c>
      <c r="F150" s="10">
        <v>2020</v>
      </c>
      <c r="H150" s="122" t="s">
        <v>496</v>
      </c>
      <c r="I150" s="122" t="s">
        <v>497</v>
      </c>
      <c r="J150" s="122" t="s">
        <v>498</v>
      </c>
    </row>
    <row r="151" spans="2:11" x14ac:dyDescent="0.2">
      <c r="B151" s="10" t="s">
        <v>23</v>
      </c>
      <c r="C151" s="12">
        <v>1.3129999999999999</v>
      </c>
      <c r="D151" s="12">
        <v>8.2059999999999995</v>
      </c>
      <c r="E151" s="12">
        <v>8.2059999999999995</v>
      </c>
      <c r="F151" s="12">
        <v>8.2059999999999995</v>
      </c>
      <c r="G151" s="10" t="s">
        <v>499</v>
      </c>
      <c r="H151" s="86">
        <f>'GREET2014-EFUpdate'!M77</f>
        <v>9.3999999999999986E-3</v>
      </c>
      <c r="I151" s="86">
        <f>'GREET2014-EFUpdate'!N77</f>
        <v>9.3999999999999986E-3</v>
      </c>
      <c r="J151" s="86">
        <f>'GREET2014-EFUpdate'!O77</f>
        <v>9.3999999999999986E-3</v>
      </c>
      <c r="K151" s="10" t="s">
        <v>500</v>
      </c>
    </row>
    <row r="152" spans="2:11" x14ac:dyDescent="0.2">
      <c r="B152" s="10" t="s">
        <v>24</v>
      </c>
      <c r="C152" s="12">
        <v>10.936999999999999</v>
      </c>
      <c r="D152" s="12">
        <v>8.3230000000000004</v>
      </c>
      <c r="E152" s="12">
        <v>8.3230000000000004</v>
      </c>
      <c r="F152" s="12">
        <v>8.3230000000000004</v>
      </c>
      <c r="G152" s="10" t="s">
        <v>499</v>
      </c>
      <c r="H152" s="86">
        <f>'GREET2014-EFUpdate'!M76</f>
        <v>0.22850000000000001</v>
      </c>
      <c r="I152" s="86">
        <f>'GREET2014-EFUpdate'!N76</f>
        <v>0.22850000000000001</v>
      </c>
      <c r="J152" s="86">
        <f>'GREET2014-EFUpdate'!O76</f>
        <v>0.22850000000000001</v>
      </c>
      <c r="K152" s="10" t="s">
        <v>500</v>
      </c>
    </row>
    <row r="153" spans="2:11" x14ac:dyDescent="0.2">
      <c r="B153" s="10" t="s">
        <v>25</v>
      </c>
      <c r="C153" s="12">
        <v>9.1669999999999998</v>
      </c>
      <c r="D153" s="12">
        <v>9.1440000000000001</v>
      </c>
      <c r="E153" s="12">
        <v>9.1440000000000001</v>
      </c>
      <c r="F153" s="12">
        <v>9.1440000000000001</v>
      </c>
      <c r="G153" s="10" t="s">
        <v>499</v>
      </c>
      <c r="H153" s="86">
        <f>'GREET2014-EFUpdate'!M78</f>
        <v>0.15000000000000002</v>
      </c>
      <c r="I153" s="86">
        <f>'GREET2014-EFUpdate'!N78</f>
        <v>0.15000000000000002</v>
      </c>
      <c r="J153" s="86">
        <f>'GREET2014-EFUpdate'!O78</f>
        <v>0.15000000000000002</v>
      </c>
      <c r="K153" s="10" t="s">
        <v>500</v>
      </c>
    </row>
    <row r="154" spans="2:11" x14ac:dyDescent="0.2">
      <c r="B154" s="10" t="s">
        <v>26</v>
      </c>
      <c r="C154" s="12">
        <v>5.8029999999999999</v>
      </c>
      <c r="D154" s="12">
        <v>2.8130000000000002</v>
      </c>
      <c r="E154" s="12">
        <v>2.8130000000000002</v>
      </c>
      <c r="F154" s="12">
        <v>2.6379999999999999</v>
      </c>
      <c r="G154" s="10" t="s">
        <v>499</v>
      </c>
      <c r="H154" s="86">
        <f>'GREET2014-EFUpdate'!M80</f>
        <v>1.9805E-2</v>
      </c>
      <c r="I154" s="86">
        <f>'GREET2014-EFUpdate'!N80</f>
        <v>1.9805E-2</v>
      </c>
      <c r="J154" s="86">
        <f>'GREET2014-EFUpdate'!O80</f>
        <v>1.9805E-2</v>
      </c>
      <c r="K154" s="10" t="s">
        <v>500</v>
      </c>
    </row>
    <row r="155" spans="2:11" x14ac:dyDescent="0.2">
      <c r="B155" s="10" t="s">
        <v>27</v>
      </c>
      <c r="C155" s="12">
        <v>2.9009999999999998</v>
      </c>
      <c r="D155" s="12">
        <v>1.407</v>
      </c>
      <c r="E155" s="12">
        <v>1.407</v>
      </c>
      <c r="F155" s="12">
        <v>1.325</v>
      </c>
      <c r="G155" s="10" t="s">
        <v>499</v>
      </c>
      <c r="H155" s="86">
        <f>'GREET2014-EFUpdate'!M81</f>
        <v>1.9805E-2</v>
      </c>
      <c r="I155" s="86">
        <f>'GREET2014-EFUpdate'!N81</f>
        <v>1.9805E-2</v>
      </c>
      <c r="J155" s="86">
        <f>'GREET2014-EFUpdate'!O81</f>
        <v>1.9805E-2</v>
      </c>
      <c r="K155" s="10" t="s">
        <v>500</v>
      </c>
    </row>
    <row r="156" spans="2:11" x14ac:dyDescent="0.2">
      <c r="B156" s="10" t="s">
        <v>28</v>
      </c>
      <c r="C156" s="12">
        <v>37.701000000000001</v>
      </c>
      <c r="D156" s="12">
        <v>37.747999999999998</v>
      </c>
      <c r="E156" s="12">
        <v>37.747999999999998</v>
      </c>
      <c r="F156" s="12">
        <v>37.747999999999998</v>
      </c>
      <c r="G156" s="10" t="s">
        <v>499</v>
      </c>
      <c r="H156" s="86">
        <f>'GREET2014-EFUpdate'!M79</f>
        <v>2.5749999999999999E-2</v>
      </c>
      <c r="I156" s="86">
        <f>'GREET2014-EFUpdate'!N79</f>
        <v>2.5749999999999999E-2</v>
      </c>
      <c r="J156" s="86">
        <f>'GREET2014-EFUpdate'!O79</f>
        <v>2.5749999999999999E-2</v>
      </c>
      <c r="K156" s="10" t="s">
        <v>500</v>
      </c>
    </row>
    <row r="157" spans="2:11" x14ac:dyDescent="0.2">
      <c r="B157" s="10" t="s">
        <v>29</v>
      </c>
      <c r="C157" s="12">
        <v>3.8340000000000001</v>
      </c>
      <c r="D157" s="12">
        <v>3.8340000000000001</v>
      </c>
      <c r="E157" s="12">
        <v>3.8340000000000001</v>
      </c>
      <c r="F157" s="12">
        <v>3.8340000000000001</v>
      </c>
      <c r="G157" s="10" t="s">
        <v>499</v>
      </c>
      <c r="H157" s="86">
        <f>'GREET2014-EFUpdate'!M73</f>
        <v>1.1632200886262926E-2</v>
      </c>
      <c r="I157" s="86">
        <f>'GREET2014-EFUpdate'!N73</f>
        <v>1.1632200886262926E-2</v>
      </c>
      <c r="J157" s="86">
        <f>'GREET2014-EFUpdate'!O73</f>
        <v>1.1632200886262926E-2</v>
      </c>
      <c r="K157" s="10" t="s">
        <v>500</v>
      </c>
    </row>
    <row r="158" spans="2:11" x14ac:dyDescent="0.2">
      <c r="B158" s="10" t="s">
        <v>30</v>
      </c>
      <c r="C158" s="12">
        <v>11</v>
      </c>
      <c r="D158" s="12">
        <v>11</v>
      </c>
      <c r="E158" s="12">
        <v>11</v>
      </c>
      <c r="F158" s="12">
        <v>11</v>
      </c>
      <c r="G158" s="10" t="s">
        <v>499</v>
      </c>
      <c r="H158" s="86">
        <f>'GREET2014-EFUpdate'!M74</f>
        <v>2.3264401772525855E-4</v>
      </c>
      <c r="I158" s="86">
        <f>'GREET2014-EFUpdate'!N74</f>
        <v>2.3264401772525855E-4</v>
      </c>
      <c r="J158" s="86">
        <f>'GREET2014-EFUpdate'!O74</f>
        <v>2.3264401772525855E-4</v>
      </c>
      <c r="K158" s="10" t="s">
        <v>500</v>
      </c>
    </row>
    <row r="159" spans="2:11" x14ac:dyDescent="0.2">
      <c r="B159" s="10" t="s">
        <v>32</v>
      </c>
      <c r="C159" s="12">
        <f>J159/J155*C155</f>
        <v>1.2306245604645289</v>
      </c>
      <c r="D159" s="12">
        <f>J159/J155*D155</f>
        <v>0.596859274930573</v>
      </c>
      <c r="E159" s="12">
        <f>J159/J155*E155</f>
        <v>0.596859274930573</v>
      </c>
      <c r="F159" s="12">
        <f>J159/J155*F155</f>
        <v>0.56207429941933851</v>
      </c>
      <c r="G159" s="10" t="s">
        <v>499</v>
      </c>
      <c r="H159" s="86">
        <f>'GREET2014-EFUpdate'!M75</f>
        <v>8.4014199999999997E-3</v>
      </c>
      <c r="I159" s="86">
        <f>'GREET2014-EFUpdate'!N75</f>
        <v>8.4014199999999997E-3</v>
      </c>
      <c r="J159" s="86">
        <f>'GREET2014-EFUpdate'!O75</f>
        <v>8.4014199999999997E-3</v>
      </c>
      <c r="K159" s="10" t="s">
        <v>500</v>
      </c>
    </row>
    <row r="160" spans="2:11" x14ac:dyDescent="0.2">
      <c r="B160" s="10" t="s">
        <v>22</v>
      </c>
      <c r="C160" s="12">
        <v>121.64700000000001</v>
      </c>
      <c r="D160" s="12">
        <v>121.63</v>
      </c>
      <c r="E160" s="12">
        <v>121.63</v>
      </c>
      <c r="F160" s="12">
        <v>121.63200000000001</v>
      </c>
      <c r="G160" s="10" t="s">
        <v>503</v>
      </c>
      <c r="H160" s="86">
        <f>'GREET2014-EFUpdate'!M72</f>
        <v>38.5</v>
      </c>
      <c r="I160" s="86">
        <f>'GREET2014-EFUpdate'!N72</f>
        <v>38.5</v>
      </c>
      <c r="J160" s="86">
        <f>'GREET2014-EFUpdate'!O72</f>
        <v>38.5</v>
      </c>
      <c r="K160" s="10" t="s">
        <v>500</v>
      </c>
    </row>
    <row r="162" spans="2:11" x14ac:dyDescent="0.2">
      <c r="B162" s="11" t="s">
        <v>489</v>
      </c>
      <c r="C162" s="10">
        <v>2005</v>
      </c>
      <c r="D162" s="10">
        <v>2010</v>
      </c>
      <c r="E162" s="10">
        <v>2015</v>
      </c>
      <c r="F162" s="10">
        <v>2020</v>
      </c>
      <c r="H162" s="122" t="s">
        <v>496</v>
      </c>
      <c r="I162" s="122" t="s">
        <v>497</v>
      </c>
      <c r="J162" s="122" t="s">
        <v>498</v>
      </c>
    </row>
    <row r="163" spans="2:11" x14ac:dyDescent="0.2">
      <c r="B163" s="10" t="s">
        <v>23</v>
      </c>
      <c r="C163" s="12">
        <v>3.472</v>
      </c>
      <c r="D163" s="12">
        <v>8.2420000000000009</v>
      </c>
      <c r="E163" s="12">
        <v>8.2420000000000009</v>
      </c>
      <c r="F163" s="12">
        <v>8.2420000000000009</v>
      </c>
      <c r="G163" s="10" t="s">
        <v>499</v>
      </c>
      <c r="H163" s="86">
        <f>'GREET2014-EFUpdate'!B83</f>
        <v>1.7000000000000001E-2</v>
      </c>
      <c r="I163" s="86">
        <f>'GREET2014-EFUpdate'!C83</f>
        <v>1.7000000000000001E-2</v>
      </c>
      <c r="J163" s="86">
        <f>'GREET2014-EFUpdate'!D83</f>
        <v>1.7000000000000001E-2</v>
      </c>
      <c r="K163" s="10" t="s">
        <v>500</v>
      </c>
    </row>
    <row r="164" spans="2:11" x14ac:dyDescent="0.2">
      <c r="B164" s="10" t="s">
        <v>24</v>
      </c>
      <c r="C164" s="12">
        <v>49.917999999999999</v>
      </c>
      <c r="D164" s="12">
        <v>288.77999999999997</v>
      </c>
      <c r="E164" s="12">
        <v>288.77999999999997</v>
      </c>
      <c r="F164" s="12">
        <v>288.77999999999997</v>
      </c>
      <c r="G164" s="10" t="s">
        <v>499</v>
      </c>
      <c r="H164" s="86">
        <f>'GREET2014-EFUpdate'!B82</f>
        <v>0.6</v>
      </c>
      <c r="I164" s="86">
        <f>'GREET2014-EFUpdate'!C82</f>
        <v>0.57510207798170032</v>
      </c>
      <c r="J164" s="86">
        <f>'GREET2014-EFUpdate'!D82</f>
        <v>0.54440731152402555</v>
      </c>
      <c r="K164" s="10" t="s">
        <v>500</v>
      </c>
    </row>
    <row r="165" spans="2:11" x14ac:dyDescent="0.2">
      <c r="B165" s="10" t="s">
        <v>25</v>
      </c>
      <c r="C165" s="12">
        <v>71.497</v>
      </c>
      <c r="D165" s="12">
        <v>305.04000000000002</v>
      </c>
      <c r="E165" s="12">
        <v>305.04000000000002</v>
      </c>
      <c r="F165" s="12">
        <v>302.22000000000003</v>
      </c>
      <c r="G165" s="10" t="s">
        <v>499</v>
      </c>
      <c r="H165" s="86">
        <f>'GREET2014-EFUpdate'!B84</f>
        <v>0.22</v>
      </c>
      <c r="I165" s="86">
        <f>'GREET2014-EFUpdate'!C84</f>
        <v>0.22</v>
      </c>
      <c r="J165" s="86">
        <f>'GREET2014-EFUpdate'!D84</f>
        <v>0.22</v>
      </c>
      <c r="K165" s="10" t="s">
        <v>500</v>
      </c>
    </row>
    <row r="166" spans="2:11" x14ac:dyDescent="0.2">
      <c r="B166" s="10" t="s">
        <v>26</v>
      </c>
      <c r="C166" s="12">
        <v>8.2289999999999992</v>
      </c>
      <c r="D166" s="12">
        <v>175.29</v>
      </c>
      <c r="E166" s="12">
        <v>175.29</v>
      </c>
      <c r="F166" s="12">
        <v>173.67</v>
      </c>
      <c r="G166" s="10" t="s">
        <v>499</v>
      </c>
      <c r="H166" s="86">
        <f>'GREET2014-EFUpdate'!B87</f>
        <v>6.0950000000000004E-2</v>
      </c>
      <c r="I166" s="86">
        <f>'GREET2014-EFUpdate'!C87</f>
        <v>2.6284977599999999E-2</v>
      </c>
      <c r="J166" s="86">
        <f>'GREET2014-EFUpdate'!D87</f>
        <v>2.4497107999999997E-2</v>
      </c>
      <c r="K166" s="10" t="s">
        <v>500</v>
      </c>
    </row>
    <row r="167" spans="2:11" x14ac:dyDescent="0.2">
      <c r="B167" s="10" t="s">
        <v>27</v>
      </c>
      <c r="C167" s="12">
        <v>4.1150000000000002</v>
      </c>
      <c r="D167" s="12">
        <v>135.56</v>
      </c>
      <c r="E167" s="12">
        <v>135.56</v>
      </c>
      <c r="F167" s="12">
        <v>135.31</v>
      </c>
      <c r="G167" s="10" t="s">
        <v>499</v>
      </c>
      <c r="H167" s="86">
        <f>'GREET2014-EFUpdate'!B88</f>
        <v>5.2900000000000003E-2</v>
      </c>
      <c r="I167" s="86">
        <f>'GREET2014-EFUpdate'!C88</f>
        <v>2.3218339199999997E-2</v>
      </c>
      <c r="J167" s="86">
        <f>'GREET2014-EFUpdate'!D88</f>
        <v>2.1590935999999998E-2</v>
      </c>
      <c r="K167" s="10" t="s">
        <v>500</v>
      </c>
    </row>
    <row r="168" spans="2:11" x14ac:dyDescent="0.2">
      <c r="B168" s="10" t="s">
        <v>28</v>
      </c>
      <c r="C168" s="12">
        <v>19.603999999999999</v>
      </c>
      <c r="D168" s="12">
        <v>0.79110000000000003</v>
      </c>
      <c r="E168" s="12">
        <v>0.79110000000000003</v>
      </c>
      <c r="F168" s="12">
        <v>0.79110000000000003</v>
      </c>
      <c r="G168" s="10" t="s">
        <v>499</v>
      </c>
      <c r="H168" s="86">
        <f>'GREET2014-EFUpdate'!B85</f>
        <v>2.5000000000000001E-2</v>
      </c>
      <c r="I168" s="86">
        <f>'GREET2014-EFUpdate'!C85</f>
        <v>2.5000000000000001E-2</v>
      </c>
      <c r="J168" s="86">
        <f>'GREET2014-EFUpdate'!D85</f>
        <v>2.5000000000000001E-2</v>
      </c>
      <c r="K168" s="10" t="s">
        <v>500</v>
      </c>
    </row>
    <row r="169" spans="2:11" x14ac:dyDescent="0.2">
      <c r="B169" s="10" t="s">
        <v>29</v>
      </c>
      <c r="C169" s="12">
        <v>3.8340000000000001</v>
      </c>
      <c r="D169" s="12">
        <v>33.582000000000001</v>
      </c>
      <c r="E169" s="12">
        <v>33.582000000000001</v>
      </c>
      <c r="F169" s="12">
        <v>33.582000000000001</v>
      </c>
      <c r="G169" s="10" t="s">
        <v>499</v>
      </c>
      <c r="H169" s="86">
        <f>'GREET2014-EFUpdate'!B79</f>
        <v>2.1000000000000001E-2</v>
      </c>
      <c r="I169" s="86">
        <f>'GREET2014-EFUpdate'!C79</f>
        <v>2.1000000000000001E-2</v>
      </c>
      <c r="J169" s="86">
        <f>'GREET2014-EFUpdate'!D79</f>
        <v>2.1000000000000001E-2</v>
      </c>
      <c r="K169" s="10" t="s">
        <v>500</v>
      </c>
    </row>
    <row r="170" spans="2:11" x14ac:dyDescent="0.2">
      <c r="B170" s="10" t="s">
        <v>30</v>
      </c>
      <c r="C170" s="12">
        <v>11</v>
      </c>
      <c r="D170" s="12">
        <v>4.5599999999999996</v>
      </c>
      <c r="E170" s="12">
        <v>4.5599999999999996</v>
      </c>
      <c r="F170" s="12">
        <v>4.5599999999999996</v>
      </c>
      <c r="G170" s="10" t="s">
        <v>499</v>
      </c>
      <c r="H170" s="86">
        <f>'GREET2014-EFUpdate'!B80</f>
        <v>1.2999999999999999E-2</v>
      </c>
      <c r="I170" s="86">
        <f>'GREET2014-EFUpdate'!C80</f>
        <v>1.2999999999999999E-2</v>
      </c>
      <c r="J170" s="86">
        <f>'GREET2014-EFUpdate'!D80</f>
        <v>1.2999999999999999E-2</v>
      </c>
      <c r="K170" s="10" t="s">
        <v>500</v>
      </c>
    </row>
    <row r="171" spans="2:11" x14ac:dyDescent="0.2">
      <c r="B171" s="10" t="s">
        <v>32</v>
      </c>
      <c r="C171" s="12">
        <f>J171/J167*C167</f>
        <v>0.35135540406400173</v>
      </c>
      <c r="D171" s="12">
        <f>J171/J167*D167</f>
        <v>11.574663080174016</v>
      </c>
      <c r="E171" s="12">
        <f>J171/J167*E167</f>
        <v>11.574663080174016</v>
      </c>
      <c r="F171" s="12">
        <f>J171/J167*F167</f>
        <v>11.553317065346311</v>
      </c>
      <c r="G171" s="10" t="s">
        <v>499</v>
      </c>
      <c r="H171" s="86">
        <f>'GREET2014-EFUpdate'!B81</f>
        <v>2.7960000000000003E-3</v>
      </c>
      <c r="I171" s="86">
        <f>'GREET2014-EFUpdate'!C81</f>
        <v>1.9801326719999998E-3</v>
      </c>
      <c r="J171" s="86">
        <f>'GREET2014-EFUpdate'!D81</f>
        <v>1.8435217600000001E-3</v>
      </c>
      <c r="K171" s="10" t="s">
        <v>500</v>
      </c>
    </row>
    <row r="172" spans="2:11" x14ac:dyDescent="0.2">
      <c r="B172" s="10" t="s">
        <v>22</v>
      </c>
      <c r="C172" s="12">
        <v>121.57899999999999</v>
      </c>
      <c r="D172" s="12">
        <v>121.107</v>
      </c>
      <c r="E172" s="12">
        <v>121.107</v>
      </c>
      <c r="F172" s="12">
        <v>121.107</v>
      </c>
      <c r="G172" s="10" t="s">
        <v>503</v>
      </c>
      <c r="H172" s="86">
        <f>'GREET2014-EFUpdate'!B78</f>
        <v>195</v>
      </c>
      <c r="I172" s="86">
        <f>'GREET2014-EFUpdate'!C78</f>
        <v>195</v>
      </c>
      <c r="J172" s="86">
        <f>'GREET2014-EFUpdate'!D78</f>
        <v>195</v>
      </c>
      <c r="K172" s="10" t="s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E45E-9D0E-4815-BABC-EED328570F1D}">
  <dimension ref="A1:O120"/>
  <sheetViews>
    <sheetView showFormulas="1" workbookViewId="0">
      <selection sqref="A1:XFD1048576"/>
    </sheetView>
  </sheetViews>
  <sheetFormatPr defaultColWidth="9.140625" defaultRowHeight="12.75" x14ac:dyDescent="0.2"/>
  <cols>
    <col min="1" max="1" width="12.140625" style="10" customWidth="1"/>
    <col min="2" max="2" width="14.42578125" style="10" customWidth="1"/>
    <col min="3" max="3" width="14.85546875" style="10" customWidth="1"/>
    <col min="4" max="4" width="15.42578125" style="10" customWidth="1"/>
    <col min="5" max="5" width="9.140625" style="10"/>
    <col min="6" max="6" width="6.42578125" style="10" customWidth="1"/>
    <col min="7" max="7" width="14.42578125" style="10" customWidth="1"/>
    <col min="8" max="8" width="14.85546875" style="10" customWidth="1"/>
    <col min="9" max="9" width="15.42578125" style="10" customWidth="1"/>
    <col min="10" max="10" width="9.140625" style="10"/>
    <col min="11" max="11" width="12.140625" style="10" customWidth="1"/>
    <col min="12" max="12" width="14.42578125" style="10" customWidth="1"/>
    <col min="13" max="13" width="14.85546875" style="10" customWidth="1"/>
    <col min="14" max="14" width="15.42578125" style="10" customWidth="1"/>
    <col min="15" max="15" width="9.140625" style="10"/>
    <col min="16" max="16" width="12.140625" style="10" customWidth="1"/>
    <col min="17" max="17" width="14.42578125" style="10" customWidth="1"/>
    <col min="18" max="18" width="14.85546875" style="10" customWidth="1"/>
    <col min="19" max="19" width="15.42578125" style="10" customWidth="1"/>
    <col min="20" max="16384" width="9.140625" style="10"/>
  </cols>
  <sheetData>
    <row r="1" spans="1:15" x14ac:dyDescent="0.2">
      <c r="A1" s="89" t="s">
        <v>517</v>
      </c>
    </row>
    <row r="2" spans="1:15" x14ac:dyDescent="0.2">
      <c r="A2" s="89"/>
    </row>
    <row r="3" spans="1:15" x14ac:dyDescent="0.2">
      <c r="A3" s="89" t="s">
        <v>518</v>
      </c>
      <c r="G3" s="11" t="s">
        <v>519</v>
      </c>
      <c r="L3" s="11" t="s">
        <v>520</v>
      </c>
    </row>
    <row r="4" spans="1:15" x14ac:dyDescent="0.2">
      <c r="A4" s="89"/>
    </row>
    <row r="5" spans="1:15" x14ac:dyDescent="0.2">
      <c r="A5" s="90" t="s">
        <v>521</v>
      </c>
      <c r="B5" s="90"/>
      <c r="C5" s="90"/>
      <c r="D5" s="90"/>
      <c r="G5" s="91" t="s">
        <v>522</v>
      </c>
      <c r="H5" s="92"/>
      <c r="I5" s="92"/>
      <c r="J5" s="92"/>
      <c r="L5" s="91" t="s">
        <v>523</v>
      </c>
      <c r="M5" s="92"/>
      <c r="N5" s="92"/>
      <c r="O5" s="92"/>
    </row>
    <row r="6" spans="1:15" ht="30.75" customHeight="1" x14ac:dyDescent="0.2">
      <c r="A6" s="143" t="s">
        <v>524</v>
      </c>
      <c r="B6" s="142" t="s">
        <v>525</v>
      </c>
      <c r="C6" s="142"/>
      <c r="D6" s="142"/>
      <c r="G6" s="89"/>
      <c r="H6" s="142" t="s">
        <v>525</v>
      </c>
      <c r="I6" s="142"/>
      <c r="J6" s="142"/>
      <c r="L6" s="89"/>
      <c r="M6" s="142" t="s">
        <v>525</v>
      </c>
      <c r="N6" s="142"/>
      <c r="O6" s="142"/>
    </row>
    <row r="7" spans="1:15" ht="15" customHeight="1" x14ac:dyDescent="0.2">
      <c r="A7" s="143"/>
      <c r="B7" s="89">
        <v>2013</v>
      </c>
      <c r="C7" s="89">
        <v>2020</v>
      </c>
      <c r="D7" s="89">
        <v>2030</v>
      </c>
      <c r="G7" s="89" t="s">
        <v>524</v>
      </c>
      <c r="H7" s="89">
        <v>2013</v>
      </c>
      <c r="I7" s="89">
        <v>2020</v>
      </c>
      <c r="J7" s="89">
        <v>2030</v>
      </c>
      <c r="L7" s="89" t="s">
        <v>524</v>
      </c>
      <c r="M7" s="89">
        <v>2013</v>
      </c>
      <c r="N7" s="89">
        <v>2020</v>
      </c>
      <c r="O7" s="89">
        <v>2030</v>
      </c>
    </row>
    <row r="8" spans="1:15" x14ac:dyDescent="0.2">
      <c r="A8" s="10" t="s">
        <v>22</v>
      </c>
      <c r="B8" s="93">
        <v>129.82888628370461</v>
      </c>
      <c r="C8" s="93">
        <v>129.82888628370461</v>
      </c>
      <c r="D8" s="93">
        <v>129.82888628370461</v>
      </c>
      <c r="G8" s="10" t="s">
        <v>22</v>
      </c>
      <c r="H8" s="94">
        <v>175.05839255240483</v>
      </c>
      <c r="I8" s="94">
        <v>175.05839255240483</v>
      </c>
      <c r="J8" s="94">
        <v>175.05839255240483</v>
      </c>
      <c r="L8" s="10" t="s">
        <v>22</v>
      </c>
      <c r="M8" s="95">
        <v>140.78656949178639</v>
      </c>
      <c r="N8" s="95">
        <v>140.78656949178639</v>
      </c>
      <c r="O8" s="95">
        <v>140.78656949178639</v>
      </c>
    </row>
    <row r="9" spans="1:15" x14ac:dyDescent="0.2">
      <c r="A9" s="10" t="s">
        <v>29</v>
      </c>
      <c r="B9" s="25">
        <v>2.5772432590855806E-3</v>
      </c>
      <c r="C9" s="25">
        <v>2.5772432590855806E-3</v>
      </c>
      <c r="D9" s="25">
        <v>2.5772432590855806E-3</v>
      </c>
      <c r="G9" s="10" t="s">
        <v>29</v>
      </c>
      <c r="H9" s="25">
        <v>9.3057607090103397E-3</v>
      </c>
      <c r="I9" s="25">
        <v>9.3057607090103397E-3</v>
      </c>
      <c r="J9" s="25">
        <v>9.3057607090103397E-3</v>
      </c>
      <c r="L9" s="10" t="s">
        <v>29</v>
      </c>
      <c r="M9" s="96">
        <v>2.7971889890995795E-3</v>
      </c>
      <c r="N9" s="96">
        <v>2.7971889890995795E-3</v>
      </c>
      <c r="O9" s="96">
        <v>2.7971889890995795E-3</v>
      </c>
    </row>
    <row r="10" spans="1:15" x14ac:dyDescent="0.2">
      <c r="A10" s="10" t="s">
        <v>30</v>
      </c>
      <c r="B10" s="25">
        <v>2.94130715123095E-4</v>
      </c>
      <c r="C10" s="25">
        <v>2.94130715123095E-4</v>
      </c>
      <c r="D10" s="25">
        <v>2.94130715123095E-4</v>
      </c>
      <c r="G10" s="10" t="s">
        <v>30</v>
      </c>
      <c r="H10" s="25">
        <v>1.323E-3</v>
      </c>
      <c r="I10" s="25">
        <v>1.323E-3</v>
      </c>
      <c r="J10" s="25">
        <v>1.323E-3</v>
      </c>
      <c r="L10" s="10" t="s">
        <v>30</v>
      </c>
      <c r="M10" s="97">
        <v>3.0300996324926727E-4</v>
      </c>
      <c r="N10" s="97">
        <v>3.0300996324926727E-4</v>
      </c>
      <c r="O10" s="97">
        <v>3.0300996324926727E-4</v>
      </c>
    </row>
    <row r="11" spans="1:15" x14ac:dyDescent="0.2">
      <c r="A11" s="10" t="s">
        <v>526</v>
      </c>
      <c r="B11" s="25">
        <v>2.7575063071512309E-3</v>
      </c>
      <c r="C11" s="25">
        <v>2.7575063071512314E-3</v>
      </c>
      <c r="D11" s="25">
        <v>2.7575063071512309E-3</v>
      </c>
      <c r="G11" s="10" t="s">
        <v>526</v>
      </c>
      <c r="H11" s="12">
        <v>9.1741172920476968E-2</v>
      </c>
      <c r="I11" s="12">
        <v>3.1530983356281218E-2</v>
      </c>
      <c r="J11" s="25">
        <v>3.1686623340730097E-3</v>
      </c>
      <c r="L11" s="10" t="s">
        <v>526</v>
      </c>
      <c r="M11" s="98">
        <v>4.9302236501402273E-3</v>
      </c>
      <c r="N11" s="98">
        <v>4.9302236501402273E-3</v>
      </c>
      <c r="O11" s="98">
        <v>4.9302236501402273E-3</v>
      </c>
    </row>
    <row r="12" spans="1:15" x14ac:dyDescent="0.2">
      <c r="A12" s="10" t="s">
        <v>527</v>
      </c>
      <c r="B12" s="12">
        <v>8.3837538100820647E-2</v>
      </c>
      <c r="C12" s="12">
        <v>8.3837538100820647E-2</v>
      </c>
      <c r="D12" s="12">
        <v>8.3837538100820647E-2</v>
      </c>
      <c r="G12" s="10" t="s">
        <v>527</v>
      </c>
      <c r="H12" s="99">
        <v>1.4484551241734476</v>
      </c>
      <c r="I12" s="99">
        <v>1.1600603134426133</v>
      </c>
      <c r="J12" s="28">
        <v>0.99088459893935021</v>
      </c>
      <c r="L12" s="10" t="s">
        <v>527</v>
      </c>
      <c r="M12" s="100">
        <v>4.6898270600203462E-2</v>
      </c>
      <c r="N12" s="100">
        <v>4.6898270600203462E-2</v>
      </c>
      <c r="O12" s="100">
        <v>4.6898270600203462E-2</v>
      </c>
    </row>
    <row r="13" spans="1:15" x14ac:dyDescent="0.2">
      <c r="A13" s="10" t="s">
        <v>23</v>
      </c>
      <c r="B13" s="25">
        <v>5.6563599062133653E-3</v>
      </c>
      <c r="C13" s="25">
        <v>5.6563599062133653E-3</v>
      </c>
      <c r="D13" s="25">
        <v>5.6563599062133653E-3</v>
      </c>
      <c r="G13" s="10" t="s">
        <v>23</v>
      </c>
      <c r="H13" s="25">
        <v>4.4698145820981066E-3</v>
      </c>
      <c r="I13" s="25">
        <v>4.4698145820981066E-3</v>
      </c>
      <c r="J13" s="25">
        <v>4.4698145820981066E-3</v>
      </c>
      <c r="L13" s="10" t="s">
        <v>23</v>
      </c>
      <c r="M13" s="96">
        <v>2.4715663420257395E-3</v>
      </c>
      <c r="N13" s="96">
        <v>2.4715663420257395E-3</v>
      </c>
      <c r="O13" s="96">
        <v>2.4715663420257395E-3</v>
      </c>
    </row>
    <row r="14" spans="1:15" x14ac:dyDescent="0.2">
      <c r="A14" s="10" t="s">
        <v>259</v>
      </c>
      <c r="B14" s="28">
        <v>0.17220839155920284</v>
      </c>
      <c r="C14" s="28">
        <v>0.15388411719949102</v>
      </c>
      <c r="D14" s="28">
        <v>0.12088172511286717</v>
      </c>
      <c r="G14" s="10" t="s">
        <v>259</v>
      </c>
      <c r="H14" s="99">
        <v>4.578998573287306</v>
      </c>
      <c r="I14" s="28">
        <v>0.5905982729310888</v>
      </c>
      <c r="J14" s="28">
        <v>0.14472307083597846</v>
      </c>
      <c r="L14" s="10" t="s">
        <v>259</v>
      </c>
      <c r="M14" s="101">
        <v>7.9345646272041326E-2</v>
      </c>
      <c r="N14" s="101">
        <v>7.9345646272041326E-2</v>
      </c>
      <c r="O14" s="101">
        <v>7.9345646272041326E-2</v>
      </c>
    </row>
    <row r="15" spans="1:15" x14ac:dyDescent="0.2">
      <c r="A15" s="10" t="s">
        <v>261</v>
      </c>
      <c r="B15" s="25">
        <v>9.2352930832356392E-4</v>
      </c>
      <c r="C15" s="25">
        <v>9.2352930832356403E-4</v>
      </c>
      <c r="D15" s="25">
        <v>9.2352930832356392E-4</v>
      </c>
      <c r="G15" s="10" t="s">
        <v>261</v>
      </c>
      <c r="H15" s="28">
        <v>0.23666147946417349</v>
      </c>
      <c r="I15" s="25">
        <v>1.6161965745426238E-3</v>
      </c>
      <c r="J15" s="25">
        <v>1.6161965745426238E-3</v>
      </c>
      <c r="L15" s="10" t="s">
        <v>261</v>
      </c>
      <c r="M15" s="96">
        <v>1.4653019118322772E-3</v>
      </c>
      <c r="N15" s="96">
        <v>1.4653019118322772E-3</v>
      </c>
      <c r="O15" s="96">
        <v>1.4653019118322772E-3</v>
      </c>
    </row>
    <row r="16" spans="1:15" x14ac:dyDescent="0.2">
      <c r="A16" s="10" t="s">
        <v>528</v>
      </c>
      <c r="B16" s="144" t="s">
        <v>529</v>
      </c>
      <c r="C16" s="144"/>
      <c r="D16" s="144"/>
      <c r="G16" s="10" t="s">
        <v>530</v>
      </c>
      <c r="H16" s="28">
        <v>0.11217649312923941</v>
      </c>
      <c r="I16" s="12">
        <v>4.1476357147545252E-2</v>
      </c>
      <c r="J16" s="25">
        <v>4.2611949074104942E-3</v>
      </c>
      <c r="L16" s="10" t="s">
        <v>530</v>
      </c>
      <c r="M16" s="97">
        <v>7.7674568937405441E-3</v>
      </c>
      <c r="N16" s="97">
        <v>7.7674568937405441E-3</v>
      </c>
      <c r="O16" s="97">
        <v>7.7674568937405441E-3</v>
      </c>
    </row>
    <row r="17" spans="1:15" x14ac:dyDescent="0.2">
      <c r="A17" s="10" t="s">
        <v>531</v>
      </c>
      <c r="B17" s="25">
        <v>7.2565955451348186E-3</v>
      </c>
      <c r="C17" s="25">
        <v>7.2565955451348195E-3</v>
      </c>
      <c r="D17" s="25">
        <v>7.2565955451348186E-3</v>
      </c>
      <c r="G17" s="10" t="s">
        <v>532</v>
      </c>
      <c r="H17" s="28">
        <v>0.11093004799113573</v>
      </c>
      <c r="I17" s="12">
        <v>4.0949329034131454E-2</v>
      </c>
      <c r="J17" s="25">
        <v>4.1151458884065061E-3</v>
      </c>
      <c r="L17" s="10" t="s">
        <v>532</v>
      </c>
      <c r="M17" s="97">
        <v>7.7674568937405441E-3</v>
      </c>
      <c r="N17" s="97">
        <v>7.7674568937405441E-3</v>
      </c>
      <c r="O17" s="97">
        <v>7.7674568937405441E-3</v>
      </c>
    </row>
    <row r="18" spans="1:15" x14ac:dyDescent="0.2">
      <c r="A18" s="10" t="s">
        <v>533</v>
      </c>
      <c r="B18" s="25">
        <v>7.2565955451348186E-3</v>
      </c>
      <c r="C18" s="25">
        <v>7.2565955451348195E-3</v>
      </c>
      <c r="D18" s="25">
        <v>7.2565955451348186E-3</v>
      </c>
      <c r="G18" s="10" t="s">
        <v>534</v>
      </c>
      <c r="H18" s="25">
        <v>8.2143324250681209E-3</v>
      </c>
      <c r="I18" s="25">
        <v>8.2143324250681209E-3</v>
      </c>
      <c r="J18" s="25">
        <v>8.2143324250681209E-3</v>
      </c>
      <c r="L18" s="10" t="s">
        <v>534</v>
      </c>
      <c r="M18" s="98">
        <v>5.2068158697863689E-3</v>
      </c>
      <c r="N18" s="98">
        <v>5.2068158697863689E-3</v>
      </c>
      <c r="O18" s="98">
        <v>5.2068158697863689E-3</v>
      </c>
    </row>
    <row r="21" spans="1:15" x14ac:dyDescent="0.2">
      <c r="G21" s="91" t="s">
        <v>535</v>
      </c>
      <c r="H21" s="92"/>
      <c r="I21" s="92"/>
      <c r="J21" s="92"/>
      <c r="L21" s="91" t="s">
        <v>522</v>
      </c>
      <c r="M21" s="92"/>
      <c r="N21" s="92"/>
      <c r="O21" s="92"/>
    </row>
    <row r="22" spans="1:15" ht="15.75" customHeight="1" x14ac:dyDescent="0.2">
      <c r="A22" s="145" t="s">
        <v>536</v>
      </c>
      <c r="B22" s="145"/>
      <c r="C22" s="145"/>
      <c r="D22" s="145"/>
      <c r="E22" s="145"/>
      <c r="G22" s="89"/>
      <c r="H22" s="142" t="s">
        <v>525</v>
      </c>
      <c r="I22" s="142"/>
      <c r="J22" s="142"/>
      <c r="L22" s="89"/>
      <c r="M22" s="142" t="s">
        <v>525</v>
      </c>
      <c r="N22" s="142"/>
      <c r="O22" s="142"/>
    </row>
    <row r="23" spans="1:15" ht="15" customHeight="1" x14ac:dyDescent="0.2">
      <c r="A23" s="146" t="s">
        <v>524</v>
      </c>
      <c r="B23" s="147" t="s">
        <v>525</v>
      </c>
      <c r="C23" s="147"/>
      <c r="D23" s="147"/>
      <c r="E23" s="147" t="s">
        <v>537</v>
      </c>
      <c r="G23" s="89" t="s">
        <v>524</v>
      </c>
      <c r="H23" s="89">
        <v>2013</v>
      </c>
      <c r="I23" s="89">
        <v>2020</v>
      </c>
      <c r="J23" s="89">
        <v>2030</v>
      </c>
      <c r="L23" s="89" t="s">
        <v>524</v>
      </c>
      <c r="M23" s="89">
        <v>2013</v>
      </c>
      <c r="N23" s="89">
        <v>2020</v>
      </c>
      <c r="O23" s="89">
        <v>2030</v>
      </c>
    </row>
    <row r="24" spans="1:15" ht="34.5" customHeight="1" x14ac:dyDescent="0.2">
      <c r="A24" s="146"/>
      <c r="B24" s="9">
        <v>2013</v>
      </c>
      <c r="C24" s="9">
        <v>2020</v>
      </c>
      <c r="D24" s="9">
        <v>2030</v>
      </c>
      <c r="E24" s="147"/>
      <c r="G24" s="10" t="s">
        <v>22</v>
      </c>
      <c r="H24" s="94">
        <v>178.44091484393107</v>
      </c>
      <c r="I24" s="94">
        <v>178.44091484393107</v>
      </c>
      <c r="J24" s="94">
        <v>178.44091484393107</v>
      </c>
      <c r="L24" s="10" t="s">
        <v>22</v>
      </c>
      <c r="M24" s="95">
        <v>176.56193481986989</v>
      </c>
      <c r="N24" s="95">
        <v>176.56193481986989</v>
      </c>
      <c r="O24" s="95">
        <v>176.56193481986989</v>
      </c>
    </row>
    <row r="25" spans="1:15" x14ac:dyDescent="0.2">
      <c r="A25" s="10" t="s">
        <v>22</v>
      </c>
      <c r="B25" s="102">
        <v>213.27774912075031</v>
      </c>
      <c r="C25" s="102">
        <v>213.27774912075031</v>
      </c>
      <c r="D25" s="102">
        <v>213.27774912075031</v>
      </c>
      <c r="E25" s="103" t="s">
        <v>538</v>
      </c>
      <c r="G25" s="10" t="s">
        <v>29</v>
      </c>
      <c r="H25" s="25">
        <v>6.6150000000000002E-3</v>
      </c>
      <c r="I25" s="25">
        <v>6.6150000000000002E-3</v>
      </c>
      <c r="J25" s="25">
        <v>6.6150000000000002E-3</v>
      </c>
      <c r="L25" s="10" t="s">
        <v>29</v>
      </c>
      <c r="M25" s="98">
        <v>7.4804740129021143E-3</v>
      </c>
      <c r="N25" s="98">
        <v>7.4804740129021143E-3</v>
      </c>
      <c r="O25" s="98">
        <v>7.4804740129021143E-3</v>
      </c>
    </row>
    <row r="26" spans="1:15" x14ac:dyDescent="0.2">
      <c r="A26" s="10" t="s">
        <v>29</v>
      </c>
      <c r="B26" s="104">
        <v>2.4466682297772566E-3</v>
      </c>
      <c r="C26" s="104">
        <v>2.4466682297772571E-3</v>
      </c>
      <c r="D26" s="104">
        <v>2.4466682297772566E-3</v>
      </c>
      <c r="E26" s="103" t="s">
        <v>538</v>
      </c>
      <c r="G26" s="10" t="s">
        <v>30</v>
      </c>
      <c r="H26" s="25">
        <v>1.323E-3</v>
      </c>
      <c r="I26" s="25">
        <v>1.323E-3</v>
      </c>
      <c r="J26" s="25">
        <v>1.323E-3</v>
      </c>
      <c r="L26" s="10" t="s">
        <v>30</v>
      </c>
      <c r="M26" s="98">
        <v>1.500969398733278E-3</v>
      </c>
      <c r="N26" s="98">
        <v>1.500969398733278E-3</v>
      </c>
      <c r="O26" s="98">
        <v>1.500969398733278E-3</v>
      </c>
    </row>
    <row r="27" spans="1:15" x14ac:dyDescent="0.2">
      <c r="A27" s="10" t="s">
        <v>30</v>
      </c>
      <c r="B27" s="104">
        <v>3.5928347010550999E-3</v>
      </c>
      <c r="C27" s="104">
        <v>3.5928347010550999E-3</v>
      </c>
      <c r="D27" s="104">
        <v>3.5928347010550999E-3</v>
      </c>
      <c r="E27" s="103" t="s">
        <v>538</v>
      </c>
      <c r="G27" s="10" t="s">
        <v>526</v>
      </c>
      <c r="H27" s="12">
        <v>1.1587072392463059E-2</v>
      </c>
      <c r="I27" s="12">
        <v>1.1587072392463059E-2</v>
      </c>
      <c r="J27" s="12">
        <v>1.1587072392463059E-2</v>
      </c>
      <c r="L27" s="10" t="s">
        <v>526</v>
      </c>
      <c r="M27" s="98">
        <v>2.1653471389645783E-3</v>
      </c>
      <c r="N27" s="98">
        <v>2.1653471389645783E-3</v>
      </c>
      <c r="O27" s="98">
        <v>2.1653471389645783E-3</v>
      </c>
    </row>
    <row r="28" spans="1:15" x14ac:dyDescent="0.2">
      <c r="A28" s="10" t="s">
        <v>526</v>
      </c>
      <c r="B28" s="105">
        <v>8.1085036342321232E-4</v>
      </c>
      <c r="C28" s="105">
        <v>7.4640720759257847E-4</v>
      </c>
      <c r="D28" s="105">
        <v>6.6661118987545965E-4</v>
      </c>
      <c r="E28" s="103" t="s">
        <v>538</v>
      </c>
      <c r="G28" s="10" t="s">
        <v>527</v>
      </c>
      <c r="H28" s="99">
        <v>3.3520101879699249</v>
      </c>
      <c r="I28" s="99">
        <v>2.8747387406015035</v>
      </c>
      <c r="J28" s="99">
        <v>2.3974672932330829</v>
      </c>
      <c r="L28" s="10" t="s">
        <v>527</v>
      </c>
      <c r="M28" s="98">
        <v>4.3119865135463455E-3</v>
      </c>
      <c r="N28" s="98">
        <v>4.3119865135463455E-3</v>
      </c>
      <c r="O28" s="98">
        <v>4.3119865135463455E-3</v>
      </c>
    </row>
    <row r="29" spans="1:15" x14ac:dyDescent="0.2">
      <c r="A29" s="10" t="s">
        <v>527</v>
      </c>
      <c r="B29" s="106">
        <v>2.2301449003517E-2</v>
      </c>
      <c r="C29" s="106">
        <v>2.2301449003517E-2</v>
      </c>
      <c r="D29" s="106">
        <v>2.2301449003517E-2</v>
      </c>
      <c r="E29" s="103" t="s">
        <v>538</v>
      </c>
      <c r="G29" s="10" t="s">
        <v>23</v>
      </c>
      <c r="H29" s="99">
        <v>1.3191436262188709</v>
      </c>
      <c r="I29" s="99">
        <v>1.3191436262188709</v>
      </c>
      <c r="J29" s="99">
        <v>1.3191436262188709</v>
      </c>
      <c r="L29" s="10" t="s">
        <v>23</v>
      </c>
      <c r="M29" s="98">
        <v>5.3620557681405333E-4</v>
      </c>
      <c r="N29" s="98">
        <v>5.3620557681405333E-4</v>
      </c>
      <c r="O29" s="96">
        <v>5.3620557681405333E-4</v>
      </c>
    </row>
    <row r="30" spans="1:15" x14ac:dyDescent="0.2">
      <c r="A30" s="10" t="s">
        <v>23</v>
      </c>
      <c r="B30" s="104">
        <v>2.6463962485345841E-3</v>
      </c>
      <c r="C30" s="104">
        <v>2.6463962485345841E-3</v>
      </c>
      <c r="D30" s="104">
        <v>2.6463962485345841E-3</v>
      </c>
      <c r="E30" s="103" t="s">
        <v>538</v>
      </c>
      <c r="G30" s="10" t="s">
        <v>259</v>
      </c>
      <c r="H30" s="28">
        <v>0.21734999999999999</v>
      </c>
      <c r="I30" s="28">
        <v>0.21734999999999999</v>
      </c>
      <c r="J30" s="28">
        <v>0.21734999999999999</v>
      </c>
      <c r="L30" s="10" t="s">
        <v>259</v>
      </c>
      <c r="M30" s="98">
        <v>0.55826718656918295</v>
      </c>
      <c r="N30" s="98">
        <v>0.55826718656918295</v>
      </c>
      <c r="O30" s="98">
        <v>0.55826718656918295</v>
      </c>
    </row>
    <row r="31" spans="1:15" x14ac:dyDescent="0.2">
      <c r="A31" s="10" t="s">
        <v>259</v>
      </c>
      <c r="B31" s="107">
        <v>0.33232926611957803</v>
      </c>
      <c r="C31" s="107">
        <v>0.28724276365614865</v>
      </c>
      <c r="D31" s="107">
        <v>0.21209859288376637</v>
      </c>
      <c r="E31" s="103" t="s">
        <v>538</v>
      </c>
      <c r="G31" s="10" t="s">
        <v>261</v>
      </c>
      <c r="H31" s="12">
        <v>9.7331408096689678E-2</v>
      </c>
      <c r="I31" s="12">
        <v>9.7331408096689678E-2</v>
      </c>
      <c r="J31" s="12">
        <v>9.7331408096689678E-2</v>
      </c>
      <c r="L31" s="10" t="s">
        <v>261</v>
      </c>
      <c r="M31" s="98">
        <v>0.12151408046772885</v>
      </c>
      <c r="N31" s="98">
        <v>9.6908448280637313E-2</v>
      </c>
      <c r="O31" s="98">
        <v>7.2302816093545774E-2</v>
      </c>
    </row>
    <row r="32" spans="1:15" x14ac:dyDescent="0.2">
      <c r="A32" s="10" t="s">
        <v>261</v>
      </c>
      <c r="B32" s="108">
        <v>1.0750723751465416</v>
      </c>
      <c r="C32" s="107">
        <v>0.16455895898690542</v>
      </c>
      <c r="D32" s="107">
        <v>0.15163548053243639</v>
      </c>
      <c r="E32" s="103" t="s">
        <v>538</v>
      </c>
      <c r="G32" s="10" t="s">
        <v>530</v>
      </c>
      <c r="H32" s="28">
        <v>0.11587072392463056</v>
      </c>
      <c r="I32" s="28">
        <v>0.11587072392463056</v>
      </c>
      <c r="J32" s="28">
        <v>0.11587072392463056</v>
      </c>
      <c r="L32" s="10" t="s">
        <v>530</v>
      </c>
      <c r="M32" s="98">
        <v>3.935383417672246E-2</v>
      </c>
      <c r="N32" s="98">
        <v>3.935383417672246E-2</v>
      </c>
      <c r="O32" s="98">
        <v>3.935383417672246E-2</v>
      </c>
    </row>
    <row r="33" spans="1:15" ht="25.5" x14ac:dyDescent="0.2">
      <c r="A33" s="10" t="s">
        <v>528</v>
      </c>
      <c r="B33" s="109" t="s">
        <v>539</v>
      </c>
      <c r="C33" s="106">
        <v>2.0878271063753912E-2</v>
      </c>
      <c r="D33" s="106">
        <v>2.0878271063753912E-2</v>
      </c>
      <c r="E33" s="103" t="s">
        <v>538</v>
      </c>
      <c r="G33" s="10" t="s">
        <v>532</v>
      </c>
      <c r="H33" s="28">
        <v>0.11587072392463056</v>
      </c>
      <c r="I33" s="28">
        <v>0.11587072392463056</v>
      </c>
      <c r="J33" s="28">
        <v>0.11587072392463056</v>
      </c>
      <c r="L33" s="10" t="s">
        <v>532</v>
      </c>
      <c r="M33" s="98">
        <v>1.3974309069676918E-2</v>
      </c>
      <c r="N33" s="98">
        <v>1.3974309069676918E-2</v>
      </c>
      <c r="O33" s="98">
        <v>1.3974309069676918E-2</v>
      </c>
    </row>
    <row r="34" spans="1:15" x14ac:dyDescent="0.2">
      <c r="A34" s="10" t="s">
        <v>531</v>
      </c>
      <c r="B34" s="106">
        <v>4.8336450175849942E-2</v>
      </c>
      <c r="C34" s="12">
        <v>4.9419256291310547E-2</v>
      </c>
      <c r="D34" s="12">
        <v>4.2493564187560603E-2</v>
      </c>
      <c r="E34" s="103" t="s">
        <v>538</v>
      </c>
      <c r="G34" s="10" t="s">
        <v>534</v>
      </c>
      <c r="H34" s="25" t="s">
        <v>540</v>
      </c>
      <c r="I34" s="25" t="s">
        <v>540</v>
      </c>
      <c r="J34" s="25" t="s">
        <v>540</v>
      </c>
      <c r="L34" s="10" t="s">
        <v>534</v>
      </c>
      <c r="M34" s="98">
        <v>7.6791623199688602E-3</v>
      </c>
      <c r="N34" s="98">
        <v>7.6791623199688602E-3</v>
      </c>
      <c r="O34" s="98">
        <v>7.6791623199688602E-3</v>
      </c>
    </row>
    <row r="35" spans="1:15" x14ac:dyDescent="0.2">
      <c r="A35" s="10" t="s">
        <v>533</v>
      </c>
      <c r="B35" s="106">
        <v>4.0542518171160613E-2</v>
      </c>
      <c r="C35" s="12">
        <v>3.7320360379628922E-2</v>
      </c>
      <c r="D35" s="12">
        <v>3.3330559493772983E-2</v>
      </c>
      <c r="E35" s="103" t="s">
        <v>538</v>
      </c>
    </row>
    <row r="36" spans="1:15" ht="15.75" customHeight="1" x14ac:dyDescent="0.2">
      <c r="A36" s="10" t="s">
        <v>530</v>
      </c>
      <c r="B36" s="148" t="s">
        <v>540</v>
      </c>
      <c r="C36" s="106">
        <v>2.8540985227556635E-2</v>
      </c>
      <c r="D36" s="106">
        <v>2.1615293123806691E-2</v>
      </c>
      <c r="E36" s="103" t="s">
        <v>538</v>
      </c>
    </row>
    <row r="37" spans="1:15" x14ac:dyDescent="0.2">
      <c r="A37" s="10" t="s">
        <v>532</v>
      </c>
      <c r="B37" s="148"/>
      <c r="C37" s="106">
        <v>1.6442089315875014E-2</v>
      </c>
      <c r="D37" s="106">
        <v>1.245228843001907E-2</v>
      </c>
      <c r="E37" s="103" t="s">
        <v>538</v>
      </c>
      <c r="G37" s="91" t="s">
        <v>541</v>
      </c>
      <c r="H37" s="92"/>
      <c r="I37" s="92"/>
      <c r="J37" s="92"/>
      <c r="L37" s="91" t="s">
        <v>542</v>
      </c>
      <c r="M37" s="92"/>
      <c r="N37" s="92"/>
      <c r="O37" s="92"/>
    </row>
    <row r="38" spans="1:15" ht="15.75" customHeight="1" x14ac:dyDescent="0.2">
      <c r="E38" s="14"/>
      <c r="G38" s="89"/>
      <c r="H38" s="142" t="s">
        <v>525</v>
      </c>
      <c r="I38" s="142"/>
      <c r="J38" s="142"/>
      <c r="L38" s="89"/>
      <c r="M38" s="142" t="s">
        <v>525</v>
      </c>
      <c r="N38" s="142"/>
      <c r="O38" s="142"/>
    </row>
    <row r="39" spans="1:15" ht="15" customHeight="1" x14ac:dyDescent="0.2">
      <c r="E39" s="14"/>
      <c r="G39" s="89" t="s">
        <v>524</v>
      </c>
      <c r="H39" s="89">
        <v>2013</v>
      </c>
      <c r="I39" s="89">
        <v>2020</v>
      </c>
      <c r="J39" s="89">
        <v>2030</v>
      </c>
      <c r="L39" s="89" t="s">
        <v>524</v>
      </c>
      <c r="M39" s="89">
        <v>2013</v>
      </c>
      <c r="N39" s="89">
        <v>2020</v>
      </c>
      <c r="O39" s="89">
        <v>2030</v>
      </c>
    </row>
    <row r="40" spans="1:15" x14ac:dyDescent="0.2">
      <c r="A40" s="145" t="s">
        <v>543</v>
      </c>
      <c r="B40" s="145"/>
      <c r="C40" s="145"/>
      <c r="D40" s="145"/>
      <c r="E40" s="145"/>
      <c r="G40" s="10" t="s">
        <v>22</v>
      </c>
      <c r="H40" s="99">
        <v>121.8616480162767</v>
      </c>
      <c r="I40" s="99">
        <v>122.01783254433062</v>
      </c>
      <c r="J40" s="99">
        <v>122.28153472176633</v>
      </c>
      <c r="L40" s="10" t="s">
        <v>22</v>
      </c>
      <c r="M40" s="95">
        <v>147.98584692487157</v>
      </c>
      <c r="N40" s="95">
        <v>147.98584692487157</v>
      </c>
      <c r="O40" s="95">
        <v>147.98584692487157</v>
      </c>
    </row>
    <row r="41" spans="1:15" x14ac:dyDescent="0.2">
      <c r="A41" s="146" t="s">
        <v>524</v>
      </c>
      <c r="B41" s="147" t="s">
        <v>525</v>
      </c>
      <c r="C41" s="147"/>
      <c r="D41" s="147"/>
      <c r="E41" s="147" t="s">
        <v>537</v>
      </c>
      <c r="G41" s="10" t="s">
        <v>29</v>
      </c>
      <c r="H41" s="28">
        <v>0.86499613428280786</v>
      </c>
      <c r="I41" s="28">
        <v>0.86499613428280786</v>
      </c>
      <c r="J41" s="28">
        <v>0.86499613428280786</v>
      </c>
      <c r="L41" s="10" t="s">
        <v>29</v>
      </c>
      <c r="M41" s="96">
        <v>2.8713671791392986E-3</v>
      </c>
      <c r="N41" s="96">
        <v>2.8713671791392986E-3</v>
      </c>
      <c r="O41" s="96">
        <v>2.8713671791392986E-3</v>
      </c>
    </row>
    <row r="42" spans="1:15" ht="33" customHeight="1" x14ac:dyDescent="0.2">
      <c r="A42" s="146"/>
      <c r="B42" s="9">
        <v>2013</v>
      </c>
      <c r="C42" s="9">
        <v>2020</v>
      </c>
      <c r="D42" s="9">
        <v>2030</v>
      </c>
      <c r="E42" s="147"/>
      <c r="G42" s="10" t="s">
        <v>30</v>
      </c>
      <c r="H42" s="13">
        <v>2.4423129713058503E-4</v>
      </c>
      <c r="I42" s="13">
        <v>2.4423129713058503E-4</v>
      </c>
      <c r="J42" s="13">
        <v>2.4423129713058503E-4</v>
      </c>
      <c r="L42" s="10" t="s">
        <v>30</v>
      </c>
      <c r="M42" s="97">
        <v>2.8967134215781075E-3</v>
      </c>
      <c r="N42" s="97">
        <v>2.8967134215781075E-3</v>
      </c>
      <c r="O42" s="97">
        <v>2.8967134215781075E-3</v>
      </c>
    </row>
    <row r="43" spans="1:15" x14ac:dyDescent="0.2">
      <c r="A43" s="10" t="s">
        <v>22</v>
      </c>
      <c r="B43" s="93">
        <v>218.79193434935522</v>
      </c>
      <c r="C43" s="93">
        <v>218.79193434935522</v>
      </c>
      <c r="D43" s="93">
        <v>218.79193434935522</v>
      </c>
      <c r="E43" s="103" t="s">
        <v>544</v>
      </c>
      <c r="G43" s="10" t="s">
        <v>526</v>
      </c>
      <c r="H43" s="25">
        <v>6.3463924419125128E-3</v>
      </c>
      <c r="I43" s="25">
        <v>6.3463924419125128E-3</v>
      </c>
      <c r="J43" s="25">
        <v>6.3463924419125128E-3</v>
      </c>
      <c r="L43" s="10" t="s">
        <v>526</v>
      </c>
      <c r="M43" s="98">
        <v>2.0927929571645369E-3</v>
      </c>
      <c r="N43" s="98">
        <v>2.0927929571645369E-3</v>
      </c>
      <c r="O43" s="98">
        <v>2.0927929571645369E-3</v>
      </c>
    </row>
    <row r="44" spans="1:15" x14ac:dyDescent="0.2">
      <c r="A44" s="10" t="s">
        <v>29</v>
      </c>
      <c r="B44" s="80">
        <v>2.4871090269636578E-3</v>
      </c>
      <c r="C44" s="80">
        <v>2.4871090269636578E-3</v>
      </c>
      <c r="D44" s="80">
        <v>2.4871090269636578E-3</v>
      </c>
      <c r="E44" s="103" t="s">
        <v>544</v>
      </c>
      <c r="G44" s="10" t="s">
        <v>527</v>
      </c>
      <c r="H44" s="99">
        <v>1.5564552661381654</v>
      </c>
      <c r="I44" s="99">
        <v>1.4570651119220392</v>
      </c>
      <c r="J44" s="99">
        <v>1.2892546353720382</v>
      </c>
      <c r="L44" s="10" t="s">
        <v>527</v>
      </c>
      <c r="M44" s="100">
        <v>4.6898270600203462E-2</v>
      </c>
      <c r="N44" s="100">
        <v>4.6898270600203462E-2</v>
      </c>
      <c r="O44" s="100">
        <v>4.6898270600203462E-2</v>
      </c>
    </row>
    <row r="45" spans="1:15" x14ac:dyDescent="0.2">
      <c r="A45" s="10" t="s">
        <v>30</v>
      </c>
      <c r="B45" s="80">
        <v>3.7068323563892152E-3</v>
      </c>
      <c r="C45" s="80">
        <v>3.7068323563892152E-3</v>
      </c>
      <c r="D45" s="80">
        <v>3.7068323563892152E-3</v>
      </c>
      <c r="E45" s="103" t="s">
        <v>544</v>
      </c>
      <c r="G45" s="10" t="s">
        <v>23</v>
      </c>
      <c r="H45" s="28">
        <v>0.29391279728199327</v>
      </c>
      <c r="I45" s="28">
        <v>0.28673112944687129</v>
      </c>
      <c r="J45" s="28">
        <v>0.27314984091031658</v>
      </c>
      <c r="L45" s="10" t="s">
        <v>23</v>
      </c>
      <c r="M45" s="96">
        <v>6.1555160208534782E-4</v>
      </c>
      <c r="N45" s="96">
        <v>6.1555160208534782E-4</v>
      </c>
      <c r="O45" s="98">
        <v>6.1555160208534782E-4</v>
      </c>
    </row>
    <row r="46" spans="1:15" x14ac:dyDescent="0.2">
      <c r="A46" s="10" t="s">
        <v>526</v>
      </c>
      <c r="B46" s="80">
        <v>2.2496637749120751E-4</v>
      </c>
      <c r="C46" s="80">
        <v>1.5493846879240508E-3</v>
      </c>
      <c r="D46" s="80">
        <v>1.3804053721301055E-3</v>
      </c>
      <c r="E46" s="103" t="s">
        <v>544</v>
      </c>
      <c r="G46" s="10" t="s">
        <v>259</v>
      </c>
      <c r="H46" s="99">
        <v>1.8363533408833523</v>
      </c>
      <c r="I46" s="99">
        <v>1.6596831788375768</v>
      </c>
      <c r="J46" s="99">
        <v>1.3853153131560079</v>
      </c>
      <c r="L46" s="10" t="s">
        <v>259</v>
      </c>
      <c r="M46" s="98">
        <v>2.2793513736042735E-2</v>
      </c>
      <c r="N46" s="98">
        <v>2.2793513736042735E-2</v>
      </c>
      <c r="O46" s="98">
        <v>2.2793513736042735E-2</v>
      </c>
    </row>
    <row r="47" spans="1:15" x14ac:dyDescent="0.2">
      <c r="A47" s="10" t="s">
        <v>527</v>
      </c>
      <c r="B47" s="110">
        <v>2.6463446658851114E-2</v>
      </c>
      <c r="C47" s="110">
        <v>2.6463446658851118E-2</v>
      </c>
      <c r="D47" s="110">
        <v>2.6463446658851114E-2</v>
      </c>
      <c r="E47" s="103" t="s">
        <v>544</v>
      </c>
      <c r="G47" s="10" t="s">
        <v>261</v>
      </c>
      <c r="H47" s="13">
        <v>6.5140590030518823E-4</v>
      </c>
      <c r="I47" s="13">
        <v>6.5140590030518823E-4</v>
      </c>
      <c r="J47" s="13">
        <v>6.5140590030518823E-4</v>
      </c>
      <c r="L47" s="10" t="s">
        <v>261</v>
      </c>
      <c r="M47" s="96">
        <v>7.3504103072544495E-4</v>
      </c>
      <c r="N47" s="96">
        <v>7.3504103072544495E-4</v>
      </c>
      <c r="O47" s="96">
        <v>7.3504103072544495E-4</v>
      </c>
    </row>
    <row r="48" spans="1:15" x14ac:dyDescent="0.2">
      <c r="A48" s="10" t="s">
        <v>23</v>
      </c>
      <c r="B48" s="80">
        <v>3.1435498241500592E-3</v>
      </c>
      <c r="C48" s="80">
        <v>3.1435498241500592E-3</v>
      </c>
      <c r="D48" s="80">
        <v>3.1435498241500592E-3</v>
      </c>
      <c r="E48" s="103" t="s">
        <v>544</v>
      </c>
      <c r="G48" s="10" t="s">
        <v>530</v>
      </c>
      <c r="H48" s="25">
        <v>4.8873544516785349E-3</v>
      </c>
      <c r="I48" s="25">
        <v>4.8873544516785349E-3</v>
      </c>
      <c r="J48" s="25">
        <v>4.8873544516785349E-3</v>
      </c>
      <c r="L48" s="10" t="s">
        <v>530</v>
      </c>
      <c r="M48" s="97">
        <v>3.0053401748872865E-4</v>
      </c>
      <c r="N48" s="97">
        <v>3.0053401748872865E-4</v>
      </c>
      <c r="O48" s="97">
        <v>3.0053401748872865E-4</v>
      </c>
    </row>
    <row r="49" spans="1:15" x14ac:dyDescent="0.2">
      <c r="A49" s="10" t="s">
        <v>259</v>
      </c>
      <c r="B49" s="111">
        <v>0.28817534349355223</v>
      </c>
      <c r="C49" s="111">
        <v>0.25091753585104776</v>
      </c>
      <c r="D49" s="111">
        <v>0.18882118978020695</v>
      </c>
      <c r="E49" s="103" t="s">
        <v>544</v>
      </c>
      <c r="G49" s="10" t="s">
        <v>532</v>
      </c>
      <c r="H49" s="25">
        <v>4.8873544516785349E-3</v>
      </c>
      <c r="I49" s="25">
        <v>4.8873544516785349E-3</v>
      </c>
      <c r="J49" s="25">
        <v>4.8873544516785349E-3</v>
      </c>
      <c r="L49" s="10" t="s">
        <v>532</v>
      </c>
      <c r="M49" s="97">
        <v>3.0053401748872865E-4</v>
      </c>
      <c r="N49" s="97">
        <v>3.0053401748872865E-4</v>
      </c>
      <c r="O49" s="97">
        <v>3.0053401748872865E-4</v>
      </c>
    </row>
    <row r="50" spans="1:15" x14ac:dyDescent="0.2">
      <c r="A50" s="10" t="s">
        <v>261</v>
      </c>
      <c r="B50" s="111">
        <v>0.61312437045720991</v>
      </c>
      <c r="C50" s="111">
        <v>0.1632296520228054</v>
      </c>
      <c r="D50" s="111">
        <v>0.15041056940321332</v>
      </c>
      <c r="E50" s="103" t="s">
        <v>544</v>
      </c>
      <c r="G50" s="10" t="s">
        <v>534</v>
      </c>
      <c r="H50" s="12">
        <v>1.0978626653102749E-2</v>
      </c>
      <c r="I50" s="12">
        <v>1.0978626653102749E-2</v>
      </c>
      <c r="J50" s="12">
        <v>1.0978626653102749E-2</v>
      </c>
      <c r="L50" s="10" t="s">
        <v>534</v>
      </c>
      <c r="M50" s="98">
        <v>5.2068158697863689E-3</v>
      </c>
      <c r="N50" s="98">
        <v>5.2068158697863689E-3</v>
      </c>
      <c r="O50" s="98">
        <v>5.2068158697863689E-3</v>
      </c>
    </row>
    <row r="51" spans="1:15" ht="26.25" customHeight="1" x14ac:dyDescent="0.2">
      <c r="A51" s="10" t="s">
        <v>528</v>
      </c>
      <c r="B51" s="103" t="s">
        <v>539</v>
      </c>
      <c r="C51" s="110">
        <v>2.1695788639904786E-2</v>
      </c>
      <c r="D51" s="110">
        <v>2.1695788639904786E-2</v>
      </c>
      <c r="E51" s="103" t="s">
        <v>544</v>
      </c>
    </row>
    <row r="52" spans="1:15" x14ac:dyDescent="0.2">
      <c r="A52" s="10" t="s">
        <v>531</v>
      </c>
      <c r="B52" s="110">
        <v>1.0370898007034E-2</v>
      </c>
      <c r="C52" s="112">
        <v>5.1272623118283595E-2</v>
      </c>
      <c r="D52" s="112">
        <v>4.3939558470621809E-2</v>
      </c>
      <c r="E52" s="103" t="s">
        <v>544</v>
      </c>
    </row>
    <row r="53" spans="1:15" x14ac:dyDescent="0.2">
      <c r="A53" s="10" t="s">
        <v>533</v>
      </c>
      <c r="B53" s="110">
        <v>5.6241594372801879E-3</v>
      </c>
      <c r="C53" s="112">
        <v>3.873461719810127E-2</v>
      </c>
      <c r="D53" s="112">
        <v>3.4510134303252636E-2</v>
      </c>
      <c r="E53" s="103" t="s">
        <v>544</v>
      </c>
      <c r="G53" s="91" t="s">
        <v>545</v>
      </c>
      <c r="H53" s="92"/>
      <c r="I53" s="92"/>
      <c r="J53" s="92"/>
      <c r="L53" s="91" t="s">
        <v>546</v>
      </c>
      <c r="M53" s="92"/>
      <c r="N53" s="92"/>
      <c r="O53" s="92"/>
    </row>
    <row r="54" spans="1:15" ht="15.75" customHeight="1" x14ac:dyDescent="0.2">
      <c r="A54" s="10" t="s">
        <v>530</v>
      </c>
      <c r="B54" s="149" t="s">
        <v>540</v>
      </c>
      <c r="C54" s="110">
        <v>2.9576834478378805E-2</v>
      </c>
      <c r="D54" s="110">
        <v>2.2243769830717026E-2</v>
      </c>
      <c r="E54" s="103" t="s">
        <v>544</v>
      </c>
      <c r="G54" s="89"/>
      <c r="H54" s="142" t="s">
        <v>525</v>
      </c>
      <c r="I54" s="142"/>
      <c r="J54" s="142"/>
      <c r="L54" s="89"/>
      <c r="M54" s="142" t="s">
        <v>547</v>
      </c>
      <c r="N54" s="142"/>
      <c r="O54" s="142"/>
    </row>
    <row r="55" spans="1:15" ht="15" customHeight="1" x14ac:dyDescent="0.2">
      <c r="A55" s="10" t="s">
        <v>532</v>
      </c>
      <c r="B55" s="149"/>
      <c r="C55" s="110">
        <v>1.7038828558196481E-2</v>
      </c>
      <c r="D55" s="110">
        <v>1.2814345663347852E-2</v>
      </c>
      <c r="E55" s="103" t="s">
        <v>544</v>
      </c>
      <c r="G55" s="89" t="s">
        <v>524</v>
      </c>
      <c r="H55" s="89">
        <v>2013</v>
      </c>
      <c r="I55" s="89">
        <v>2020</v>
      </c>
      <c r="J55" s="89">
        <v>2030</v>
      </c>
      <c r="L55" s="89" t="s">
        <v>524</v>
      </c>
      <c r="M55" s="89">
        <v>2013</v>
      </c>
      <c r="N55" s="89">
        <v>2020</v>
      </c>
      <c r="O55" s="89">
        <v>2030</v>
      </c>
    </row>
    <row r="56" spans="1:15" x14ac:dyDescent="0.2">
      <c r="E56" s="14"/>
      <c r="G56" s="10" t="s">
        <v>22</v>
      </c>
      <c r="H56" s="99">
        <v>127.02363367799114</v>
      </c>
      <c r="I56" s="99">
        <v>127.02363367799114</v>
      </c>
      <c r="J56" s="99">
        <v>127.02363367799114</v>
      </c>
      <c r="L56" s="10" t="s">
        <v>22</v>
      </c>
      <c r="M56" s="99">
        <v>696.92499999999995</v>
      </c>
      <c r="N56" s="99">
        <v>696.92499999999995</v>
      </c>
      <c r="O56" s="99">
        <v>696.92499999999995</v>
      </c>
    </row>
    <row r="57" spans="1:15" x14ac:dyDescent="0.2">
      <c r="G57" s="10" t="s">
        <v>29</v>
      </c>
      <c r="H57" s="25">
        <v>2.3264401772525849E-3</v>
      </c>
      <c r="I57" s="25">
        <v>2.3264401772525849E-3</v>
      </c>
      <c r="J57" s="25">
        <v>2.3264401772525849E-3</v>
      </c>
      <c r="L57" s="10" t="s">
        <v>29</v>
      </c>
      <c r="M57" s="12">
        <v>1.0344827577931036E-2</v>
      </c>
      <c r="N57" s="12">
        <v>1.0344827577931036E-2</v>
      </c>
      <c r="O57" s="12">
        <v>1.0344827577931036E-2</v>
      </c>
    </row>
    <row r="58" spans="1:15" x14ac:dyDescent="0.2">
      <c r="A58" s="90" t="s">
        <v>548</v>
      </c>
      <c r="B58" s="113"/>
      <c r="C58" s="113"/>
      <c r="D58" s="113"/>
      <c r="G58" s="10" t="s">
        <v>30</v>
      </c>
      <c r="H58" s="13">
        <v>2.3264401772525855E-4</v>
      </c>
      <c r="I58" s="13">
        <v>2.3264401772525855E-4</v>
      </c>
      <c r="J58" s="13">
        <v>2.3264401772525855E-4</v>
      </c>
      <c r="L58" s="10" t="s">
        <v>30</v>
      </c>
      <c r="M58" s="12">
        <v>1.5517241366896554E-2</v>
      </c>
      <c r="N58" s="12">
        <v>1.5517241366896554E-2</v>
      </c>
      <c r="O58" s="12">
        <v>1.5517241366896554E-2</v>
      </c>
    </row>
    <row r="59" spans="1:15" x14ac:dyDescent="0.2">
      <c r="A59" s="143" t="s">
        <v>524</v>
      </c>
      <c r="B59" s="142" t="s">
        <v>525</v>
      </c>
      <c r="C59" s="143"/>
      <c r="D59" s="143"/>
      <c r="G59" s="10" t="s">
        <v>526</v>
      </c>
      <c r="H59" s="25">
        <v>6.1216000000000005E-3</v>
      </c>
      <c r="I59" s="25">
        <v>6.1216000000000005E-3</v>
      </c>
      <c r="J59" s="25">
        <v>6.1216000000000005E-3</v>
      </c>
      <c r="L59" s="10" t="s">
        <v>526</v>
      </c>
      <c r="M59" s="114" t="s">
        <v>249</v>
      </c>
      <c r="N59" s="114" t="s">
        <v>249</v>
      </c>
      <c r="O59" s="114" t="s">
        <v>249</v>
      </c>
    </row>
    <row r="60" spans="1:15" ht="31.5" customHeight="1" x14ac:dyDescent="0.2">
      <c r="A60" s="143"/>
      <c r="B60" s="89">
        <v>2013</v>
      </c>
      <c r="C60" s="89">
        <v>2020</v>
      </c>
      <c r="D60" s="89">
        <v>2030</v>
      </c>
      <c r="G60" s="10" t="s">
        <v>527</v>
      </c>
      <c r="H60" s="28">
        <v>0.5</v>
      </c>
      <c r="I60" s="28">
        <v>0.5</v>
      </c>
      <c r="J60" s="28">
        <v>0.5</v>
      </c>
      <c r="L60" s="10" t="s">
        <v>527</v>
      </c>
      <c r="M60" s="25">
        <v>0.1004</v>
      </c>
      <c r="N60" s="25">
        <v>0.1004</v>
      </c>
      <c r="O60" s="25">
        <v>0.1004</v>
      </c>
    </row>
    <row r="61" spans="1:15" ht="15" customHeight="1" x14ac:dyDescent="0.2">
      <c r="A61" s="10" t="s">
        <v>22</v>
      </c>
      <c r="B61" s="93">
        <v>147.14537963507945</v>
      </c>
      <c r="C61" s="93">
        <v>147.14537963507945</v>
      </c>
      <c r="D61" s="93">
        <v>147.14537963507945</v>
      </c>
      <c r="G61" s="10" t="s">
        <v>23</v>
      </c>
      <c r="H61" s="12">
        <v>4.1000000000000002E-2</v>
      </c>
      <c r="I61" s="12">
        <v>4.1000000000000002E-2</v>
      </c>
      <c r="J61" s="12">
        <v>4.1000000000000002E-2</v>
      </c>
      <c r="L61" s="10" t="s">
        <v>23</v>
      </c>
      <c r="M61" s="25">
        <v>5.7333333333333333E-3</v>
      </c>
      <c r="N61" s="25">
        <v>5.7333333333333333E-3</v>
      </c>
      <c r="O61" s="25">
        <v>5.7333333333333333E-3</v>
      </c>
    </row>
    <row r="62" spans="1:15" x14ac:dyDescent="0.2">
      <c r="A62" s="10" t="s">
        <v>29</v>
      </c>
      <c r="B62" s="25">
        <v>2.3543260741612716E-3</v>
      </c>
      <c r="C62" s="25">
        <v>2.3543260741612716E-3</v>
      </c>
      <c r="D62" s="25">
        <v>2.3543260741612716E-3</v>
      </c>
      <c r="G62" s="10" t="s">
        <v>259</v>
      </c>
      <c r="H62" s="28">
        <v>0.7</v>
      </c>
      <c r="I62" s="28">
        <v>0.7</v>
      </c>
      <c r="J62" s="28">
        <v>0.7</v>
      </c>
      <c r="L62" s="10" t="s">
        <v>259</v>
      </c>
      <c r="M62" s="12">
        <v>0.17350000000000002</v>
      </c>
      <c r="N62" s="12">
        <v>0.17350000000000002</v>
      </c>
      <c r="O62" s="12">
        <v>0.17350000000000002</v>
      </c>
    </row>
    <row r="63" spans="1:15" x14ac:dyDescent="0.2">
      <c r="A63" s="10" t="s">
        <v>30</v>
      </c>
      <c r="B63" s="12">
        <v>1.059446733372572E-2</v>
      </c>
      <c r="C63" s="12">
        <v>1.059446733372572E-2</v>
      </c>
      <c r="D63" s="12">
        <v>1.059446733372572E-2</v>
      </c>
      <c r="G63" s="10" t="s">
        <v>261</v>
      </c>
      <c r="H63" s="12">
        <v>1.1546508294081506E-2</v>
      </c>
      <c r="I63" s="12">
        <v>1.1546508294081506E-2</v>
      </c>
      <c r="J63" s="12">
        <v>1.1546508294081506E-2</v>
      </c>
      <c r="L63" s="10" t="s">
        <v>261</v>
      </c>
      <c r="M63" s="25">
        <v>6.3475000000000004E-2</v>
      </c>
      <c r="N63" s="25">
        <v>6.3475000000000004E-2</v>
      </c>
      <c r="O63" s="25">
        <v>6.3475000000000004E-2</v>
      </c>
    </row>
    <row r="64" spans="1:15" x14ac:dyDescent="0.2">
      <c r="A64" s="10" t="s">
        <v>526</v>
      </c>
      <c r="B64" s="25">
        <v>3.5785756327251323E-3</v>
      </c>
      <c r="C64" s="25">
        <v>3.5785756327251323E-3</v>
      </c>
      <c r="D64" s="25">
        <v>3.5785756327251323E-3</v>
      </c>
      <c r="G64" s="10" t="s">
        <v>530</v>
      </c>
      <c r="H64" s="12">
        <v>1.2999999999999999E-2</v>
      </c>
      <c r="I64" s="12">
        <v>1.2999999999999999E-2</v>
      </c>
      <c r="J64" s="12">
        <v>1.2999999999999999E-2</v>
      </c>
      <c r="L64" s="10" t="s">
        <v>530</v>
      </c>
      <c r="M64" s="25">
        <v>2.4125000000000001E-2</v>
      </c>
      <c r="N64" s="25">
        <v>2.4125000000000001E-2</v>
      </c>
      <c r="O64" s="25">
        <v>2.4125000000000001E-2</v>
      </c>
    </row>
    <row r="65" spans="1:15" x14ac:dyDescent="0.2">
      <c r="A65" s="10" t="s">
        <v>527</v>
      </c>
      <c r="B65" s="25">
        <v>7.7845520014239358E-3</v>
      </c>
      <c r="C65" s="25">
        <v>7.7845520014239358E-3</v>
      </c>
      <c r="D65" s="25">
        <v>7.7845520014239358E-3</v>
      </c>
      <c r="G65" s="10" t="s">
        <v>532</v>
      </c>
      <c r="H65" s="25">
        <v>1.2999999999999999E-2</v>
      </c>
      <c r="I65" s="25">
        <v>1.2999999999999999E-2</v>
      </c>
      <c r="J65" s="25">
        <v>1.2999999999999999E-2</v>
      </c>
      <c r="L65" s="10" t="s">
        <v>532</v>
      </c>
      <c r="M65" s="114" t="s">
        <v>249</v>
      </c>
      <c r="N65" s="114" t="s">
        <v>249</v>
      </c>
      <c r="O65" s="114" t="s">
        <v>249</v>
      </c>
    </row>
    <row r="66" spans="1:15" x14ac:dyDescent="0.2">
      <c r="A66" s="25" t="s">
        <v>23</v>
      </c>
      <c r="B66" s="25">
        <v>9.4173042966450866E-3</v>
      </c>
      <c r="C66" s="25">
        <v>9.4173042966450866E-3</v>
      </c>
      <c r="D66" s="25">
        <v>9.4173042966450866E-3</v>
      </c>
      <c r="G66" s="10" t="s">
        <v>534</v>
      </c>
      <c r="H66" s="25">
        <v>2.3040000000000001E-3</v>
      </c>
      <c r="I66" s="25">
        <v>2.3040000000000001E-3</v>
      </c>
      <c r="J66" s="25">
        <v>2.3040000000000001E-3</v>
      </c>
      <c r="L66" s="10" t="s">
        <v>534</v>
      </c>
      <c r="M66" s="114" t="s">
        <v>249</v>
      </c>
      <c r="N66" s="114" t="s">
        <v>249</v>
      </c>
      <c r="O66" s="114" t="s">
        <v>249</v>
      </c>
    </row>
    <row r="67" spans="1:15" x14ac:dyDescent="0.2">
      <c r="A67" s="12" t="s">
        <v>259</v>
      </c>
      <c r="B67" s="28">
        <v>0.15303119482048264</v>
      </c>
      <c r="C67" s="28">
        <v>0.15303119482048264</v>
      </c>
      <c r="D67" s="28">
        <v>0.15303119482048264</v>
      </c>
    </row>
    <row r="68" spans="1:15" x14ac:dyDescent="0.2">
      <c r="A68" s="10" t="s">
        <v>261</v>
      </c>
      <c r="B68" s="12">
        <v>1.8021076551401567E-2</v>
      </c>
      <c r="C68" s="12">
        <v>1.8021076551401567E-2</v>
      </c>
      <c r="D68" s="12">
        <v>1.8021076551401567E-2</v>
      </c>
    </row>
    <row r="69" spans="1:15" x14ac:dyDescent="0.2">
      <c r="A69" s="10" t="s">
        <v>528</v>
      </c>
      <c r="B69" s="25">
        <v>7.0629782224838136E-3</v>
      </c>
      <c r="C69" s="25">
        <v>7.0629782224838136E-3</v>
      </c>
      <c r="D69" s="25">
        <v>7.0629782224838136E-3</v>
      </c>
      <c r="L69" s="91" t="s">
        <v>549</v>
      </c>
      <c r="M69" s="92"/>
      <c r="N69" s="92"/>
      <c r="O69" s="92"/>
    </row>
    <row r="70" spans="1:15" x14ac:dyDescent="0.2">
      <c r="A70" s="10" t="s">
        <v>530</v>
      </c>
      <c r="B70" s="25">
        <v>2.3543260741612716E-3</v>
      </c>
      <c r="C70" s="25">
        <v>2.3543260741612716E-3</v>
      </c>
      <c r="D70" s="25">
        <v>2.3543260741612716E-3</v>
      </c>
      <c r="L70" s="89"/>
      <c r="M70" s="142" t="s">
        <v>525</v>
      </c>
      <c r="N70" s="142"/>
      <c r="O70" s="142"/>
    </row>
    <row r="71" spans="1:15" x14ac:dyDescent="0.2">
      <c r="A71" s="10" t="s">
        <v>532</v>
      </c>
      <c r="B71" s="25">
        <v>2.3543260741612716E-3</v>
      </c>
      <c r="C71" s="25">
        <v>2.3543260741612716E-3</v>
      </c>
      <c r="D71" s="25">
        <v>2.3543260741612716E-3</v>
      </c>
      <c r="L71" s="89" t="s">
        <v>524</v>
      </c>
      <c r="M71" s="89">
        <v>2013</v>
      </c>
      <c r="N71" s="89">
        <v>2020</v>
      </c>
      <c r="O71" s="89">
        <v>2030</v>
      </c>
    </row>
    <row r="72" spans="1:15" x14ac:dyDescent="0.2">
      <c r="A72" s="115" t="s">
        <v>550</v>
      </c>
      <c r="B72" s="116"/>
      <c r="C72" s="116"/>
      <c r="D72" s="116"/>
      <c r="L72" s="10" t="s">
        <v>22</v>
      </c>
      <c r="M72" s="95">
        <v>38.5</v>
      </c>
      <c r="N72" s="95">
        <v>38.5</v>
      </c>
      <c r="O72" s="95">
        <v>38.5</v>
      </c>
    </row>
    <row r="73" spans="1:15" x14ac:dyDescent="0.2">
      <c r="L73" s="10" t="s">
        <v>29</v>
      </c>
      <c r="M73" s="98">
        <v>1.1632200886262926E-2</v>
      </c>
      <c r="N73" s="98">
        <v>1.1632200886262926E-2</v>
      </c>
      <c r="O73" s="98">
        <v>1.1632200886262926E-2</v>
      </c>
    </row>
    <row r="74" spans="1:15" x14ac:dyDescent="0.2">
      <c r="L74" s="10" t="s">
        <v>30</v>
      </c>
      <c r="M74" s="98">
        <v>2.3264401772525855E-4</v>
      </c>
      <c r="N74" s="98">
        <v>2.3264401772525855E-4</v>
      </c>
      <c r="O74" s="98">
        <v>2.3264401772525855E-4</v>
      </c>
    </row>
    <row r="75" spans="1:15" x14ac:dyDescent="0.2">
      <c r="A75" s="128" t="s">
        <v>551</v>
      </c>
      <c r="B75" s="117"/>
      <c r="C75" s="117"/>
      <c r="D75" s="117"/>
      <c r="L75" s="10" t="s">
        <v>526</v>
      </c>
      <c r="M75" s="98">
        <v>8.4014199999999997E-3</v>
      </c>
      <c r="N75" s="98">
        <v>8.4014199999999997E-3</v>
      </c>
      <c r="O75" s="98">
        <v>8.4014199999999997E-3</v>
      </c>
    </row>
    <row r="76" spans="1:15" x14ac:dyDescent="0.2">
      <c r="A76" s="146" t="s">
        <v>524</v>
      </c>
      <c r="B76" s="147" t="s">
        <v>552</v>
      </c>
      <c r="C76" s="146"/>
      <c r="D76" s="146"/>
      <c r="L76" s="10" t="s">
        <v>527</v>
      </c>
      <c r="M76" s="98">
        <v>0.22850000000000001</v>
      </c>
      <c r="N76" s="98">
        <v>0.22850000000000001</v>
      </c>
      <c r="O76" s="98">
        <v>0.22850000000000001</v>
      </c>
    </row>
    <row r="77" spans="1:15" ht="32.25" customHeight="1" x14ac:dyDescent="0.2">
      <c r="A77" s="146"/>
      <c r="B77" s="9">
        <v>2013</v>
      </c>
      <c r="C77" s="9">
        <v>2020</v>
      </c>
      <c r="D77" s="9">
        <v>2030</v>
      </c>
      <c r="L77" s="10" t="s">
        <v>23</v>
      </c>
      <c r="M77" s="98">
        <v>9.3999999999999986E-3</v>
      </c>
      <c r="N77" s="98">
        <v>9.3999999999999986E-3</v>
      </c>
      <c r="O77" s="98">
        <v>9.3999999999999986E-3</v>
      </c>
    </row>
    <row r="78" spans="1:15" ht="15" customHeight="1" x14ac:dyDescent="0.2">
      <c r="A78" s="10" t="s">
        <v>22</v>
      </c>
      <c r="B78" s="93">
        <v>195</v>
      </c>
      <c r="C78" s="93">
        <v>195</v>
      </c>
      <c r="D78" s="93">
        <v>195</v>
      </c>
      <c r="L78" s="10" t="s">
        <v>259</v>
      </c>
      <c r="M78" s="98">
        <v>0.15000000000000002</v>
      </c>
      <c r="N78" s="98">
        <v>0.15000000000000002</v>
      </c>
      <c r="O78" s="98">
        <v>0.15000000000000002</v>
      </c>
    </row>
    <row r="79" spans="1:15" x14ac:dyDescent="0.2">
      <c r="A79" s="10" t="s">
        <v>29</v>
      </c>
      <c r="B79" s="12">
        <v>2.1000000000000001E-2</v>
      </c>
      <c r="C79" s="12">
        <v>2.1000000000000001E-2</v>
      </c>
      <c r="D79" s="12">
        <v>2.1000000000000001E-2</v>
      </c>
      <c r="L79" s="10" t="s">
        <v>261</v>
      </c>
      <c r="M79" s="98">
        <v>2.5749999999999999E-2</v>
      </c>
      <c r="N79" s="98">
        <v>2.5749999999999999E-2</v>
      </c>
      <c r="O79" s="98">
        <v>2.5749999999999999E-2</v>
      </c>
    </row>
    <row r="80" spans="1:15" x14ac:dyDescent="0.2">
      <c r="A80" s="10" t="s">
        <v>30</v>
      </c>
      <c r="B80" s="12">
        <v>1.2999999999999999E-2</v>
      </c>
      <c r="C80" s="12">
        <v>1.2999999999999999E-2</v>
      </c>
      <c r="D80" s="12">
        <v>1.2999999999999999E-2</v>
      </c>
      <c r="L80" s="10" t="s">
        <v>530</v>
      </c>
      <c r="M80" s="98">
        <v>1.9805E-2</v>
      </c>
      <c r="N80" s="98">
        <v>1.9805E-2</v>
      </c>
      <c r="O80" s="98">
        <v>1.9805E-2</v>
      </c>
    </row>
    <row r="81" spans="1:15" x14ac:dyDescent="0.2">
      <c r="A81" s="10" t="s">
        <v>526</v>
      </c>
      <c r="B81" s="25">
        <v>2.7960000000000003E-3</v>
      </c>
      <c r="C81" s="25">
        <v>1.9801326719999998E-3</v>
      </c>
      <c r="D81" s="25">
        <v>1.8435217600000001E-3</v>
      </c>
      <c r="L81" s="10" t="s">
        <v>532</v>
      </c>
      <c r="M81" s="98">
        <v>1.9805E-2</v>
      </c>
      <c r="N81" s="98">
        <v>1.9805E-2</v>
      </c>
      <c r="O81" s="98">
        <v>1.9805E-2</v>
      </c>
    </row>
    <row r="82" spans="1:15" x14ac:dyDescent="0.2">
      <c r="A82" s="10" t="s">
        <v>527</v>
      </c>
      <c r="B82" s="28">
        <v>0.6</v>
      </c>
      <c r="C82" s="28">
        <v>0.57510207798170032</v>
      </c>
      <c r="D82" s="28">
        <v>0.54440731152402555</v>
      </c>
      <c r="L82" s="10" t="s">
        <v>534</v>
      </c>
      <c r="M82" s="98">
        <v>2.3040000000000001E-3</v>
      </c>
      <c r="N82" s="98">
        <v>2.3040000000000001E-3</v>
      </c>
      <c r="O82" s="98">
        <v>2.3040000000000001E-3</v>
      </c>
    </row>
    <row r="83" spans="1:15" x14ac:dyDescent="0.2">
      <c r="A83" s="10" t="s">
        <v>23</v>
      </c>
      <c r="B83" s="12">
        <v>1.7000000000000001E-2</v>
      </c>
      <c r="C83" s="12">
        <v>1.7000000000000001E-2</v>
      </c>
      <c r="D83" s="12">
        <v>1.7000000000000001E-2</v>
      </c>
    </row>
    <row r="84" spans="1:15" x14ac:dyDescent="0.2">
      <c r="A84" s="10" t="s">
        <v>259</v>
      </c>
      <c r="B84" s="28">
        <v>0.22</v>
      </c>
      <c r="C84" s="28">
        <v>0.22</v>
      </c>
      <c r="D84" s="28">
        <v>0.22</v>
      </c>
    </row>
    <row r="85" spans="1:15" x14ac:dyDescent="0.2">
      <c r="A85" s="10" t="s">
        <v>261</v>
      </c>
      <c r="B85" s="12">
        <v>2.5000000000000001E-2</v>
      </c>
      <c r="C85" s="12">
        <v>2.5000000000000001E-2</v>
      </c>
      <c r="D85" s="12">
        <v>2.5000000000000001E-2</v>
      </c>
    </row>
    <row r="86" spans="1:15" x14ac:dyDescent="0.2">
      <c r="A86" s="10" t="s">
        <v>528</v>
      </c>
      <c r="B86" s="27">
        <v>1.7000000000000001E-2</v>
      </c>
      <c r="C86" s="12">
        <v>1.7000000000000001E-2</v>
      </c>
      <c r="D86" s="12">
        <v>1.7000000000000001E-2</v>
      </c>
    </row>
    <row r="87" spans="1:15" x14ac:dyDescent="0.2">
      <c r="A87" s="10" t="s">
        <v>530</v>
      </c>
      <c r="B87" s="12">
        <v>6.0950000000000004E-2</v>
      </c>
      <c r="C87" s="12">
        <v>2.6284977599999999E-2</v>
      </c>
      <c r="D87" s="12">
        <v>2.4497107999999997E-2</v>
      </c>
    </row>
    <row r="88" spans="1:15" x14ac:dyDescent="0.2">
      <c r="A88" s="10" t="s">
        <v>532</v>
      </c>
      <c r="B88" s="28">
        <v>5.2900000000000003E-2</v>
      </c>
      <c r="C88" s="12">
        <v>2.3218339199999997E-2</v>
      </c>
      <c r="D88" s="12">
        <v>2.1590935999999998E-2</v>
      </c>
    </row>
    <row r="91" spans="1:15" x14ac:dyDescent="0.2">
      <c r="A91" s="90" t="s">
        <v>553</v>
      </c>
      <c r="B91" s="113"/>
      <c r="C91" s="113"/>
      <c r="D91" s="113"/>
    </row>
    <row r="92" spans="1:15" x14ac:dyDescent="0.2">
      <c r="A92" s="143" t="s">
        <v>524</v>
      </c>
      <c r="B92" s="142" t="s">
        <v>525</v>
      </c>
      <c r="C92" s="142"/>
      <c r="D92" s="142"/>
    </row>
    <row r="93" spans="1:15" x14ac:dyDescent="0.2">
      <c r="A93" s="143"/>
      <c r="B93" s="89">
        <v>2013</v>
      </c>
      <c r="C93" s="89">
        <v>2020</v>
      </c>
      <c r="D93" s="89">
        <v>2030</v>
      </c>
    </row>
    <row r="94" spans="1:15" x14ac:dyDescent="0.2">
      <c r="A94" s="10" t="s">
        <v>22</v>
      </c>
      <c r="B94" s="93">
        <v>173.36954279015242</v>
      </c>
      <c r="C94" s="93">
        <v>173.36954279015242</v>
      </c>
      <c r="D94" s="93">
        <v>173.36954279015242</v>
      </c>
    </row>
    <row r="95" spans="1:15" x14ac:dyDescent="0.2">
      <c r="A95" s="10" t="s">
        <v>29</v>
      </c>
      <c r="B95" s="25">
        <v>7.4607854630715136E-3</v>
      </c>
      <c r="C95" s="25">
        <v>7.4607854630715127E-3</v>
      </c>
      <c r="D95" s="25">
        <v>7.4607854630715136E-3</v>
      </c>
    </row>
    <row r="96" spans="1:15" x14ac:dyDescent="0.2">
      <c r="A96" s="10" t="s">
        <v>30</v>
      </c>
      <c r="B96" s="25">
        <v>1.4965674091441971E-3</v>
      </c>
      <c r="C96" s="25">
        <v>1.4965674091441969E-3</v>
      </c>
      <c r="D96" s="25">
        <v>1.4965674091441971E-3</v>
      </c>
    </row>
    <row r="97" spans="1:4" x14ac:dyDescent="0.2">
      <c r="A97" s="10" t="s">
        <v>526</v>
      </c>
      <c r="B97" s="25">
        <v>1.168439859320047E-3</v>
      </c>
      <c r="C97" s="25">
        <v>1.168439859320047E-3</v>
      </c>
      <c r="D97" s="25">
        <v>1.168439859320047E-3</v>
      </c>
    </row>
    <row r="98" spans="1:4" x14ac:dyDescent="0.2">
      <c r="A98" s="10" t="s">
        <v>527</v>
      </c>
      <c r="B98" s="12">
        <v>3.7690565064478321E-2</v>
      </c>
      <c r="C98" s="12">
        <v>3.7690565064478321E-2</v>
      </c>
      <c r="D98" s="12">
        <v>3.7690565064478321E-2</v>
      </c>
    </row>
    <row r="99" spans="1:4" x14ac:dyDescent="0.2">
      <c r="A99" s="10" t="s">
        <v>23</v>
      </c>
      <c r="B99" s="25">
        <v>5.7290011723329422E-3</v>
      </c>
      <c r="C99" s="25">
        <v>5.7290011723329422E-3</v>
      </c>
      <c r="D99" s="25">
        <v>5.7290011723329422E-3</v>
      </c>
    </row>
    <row r="100" spans="1:4" x14ac:dyDescent="0.2">
      <c r="A100" s="10" t="s">
        <v>259</v>
      </c>
      <c r="B100" s="28">
        <v>0.26337087221570926</v>
      </c>
      <c r="C100" s="28">
        <v>0.19856390217291842</v>
      </c>
      <c r="D100" s="28">
        <v>0.16093404859968505</v>
      </c>
    </row>
    <row r="101" spans="1:4" x14ac:dyDescent="0.2">
      <c r="A101" s="10" t="s">
        <v>261</v>
      </c>
      <c r="B101" s="28">
        <v>0.70800281359906225</v>
      </c>
      <c r="C101" s="28">
        <v>0.51510825771610924</v>
      </c>
      <c r="D101" s="28">
        <v>0.40310496720342698</v>
      </c>
    </row>
    <row r="102" spans="1:4" ht="38.25" x14ac:dyDescent="0.2">
      <c r="A102" s="10" t="s">
        <v>528</v>
      </c>
      <c r="B102" s="118" t="s">
        <v>529</v>
      </c>
      <c r="C102" s="28">
        <v>9.4628039015868387E-3</v>
      </c>
      <c r="D102" s="28">
        <v>9.4628039015868387E-3</v>
      </c>
    </row>
    <row r="103" spans="1:4" x14ac:dyDescent="0.2">
      <c r="A103" s="10" t="s">
        <v>531</v>
      </c>
      <c r="B103" s="12">
        <v>1.7338424384525208E-2</v>
      </c>
      <c r="C103" s="12">
        <v>1.6375605889885153E-2</v>
      </c>
      <c r="D103" s="12">
        <v>1.391217481922603E-2</v>
      </c>
    </row>
    <row r="104" spans="1:4" x14ac:dyDescent="0.2">
      <c r="A104" s="10" t="s">
        <v>533</v>
      </c>
      <c r="B104" s="12">
        <v>1.168439859320047E-2</v>
      </c>
      <c r="C104" s="12">
        <v>1.5884337713188597E-2</v>
      </c>
      <c r="D104" s="12">
        <v>1.3494809574649248E-2</v>
      </c>
    </row>
    <row r="107" spans="1:4" x14ac:dyDescent="0.2">
      <c r="A107" s="90" t="s">
        <v>554</v>
      </c>
      <c r="B107" s="113"/>
      <c r="C107" s="113"/>
      <c r="D107" s="113"/>
    </row>
    <row r="108" spans="1:4" x14ac:dyDescent="0.2">
      <c r="A108" s="143" t="s">
        <v>524</v>
      </c>
      <c r="B108" s="142" t="s">
        <v>525</v>
      </c>
      <c r="C108" s="142"/>
      <c r="D108" s="142"/>
    </row>
    <row r="109" spans="1:4" x14ac:dyDescent="0.2">
      <c r="A109" s="143"/>
      <c r="B109" s="89">
        <v>2013</v>
      </c>
      <c r="C109" s="89">
        <v>2020</v>
      </c>
      <c r="D109" s="89">
        <v>2030</v>
      </c>
    </row>
    <row r="110" spans="1:4" x14ac:dyDescent="0.2">
      <c r="A110" s="10" t="s">
        <v>22</v>
      </c>
      <c r="B110" s="93">
        <v>167.30883939038688</v>
      </c>
      <c r="C110" s="93">
        <v>167.30883939038688</v>
      </c>
      <c r="D110" s="93">
        <v>167.30883939038688</v>
      </c>
    </row>
    <row r="111" spans="1:4" x14ac:dyDescent="0.2">
      <c r="A111" s="10" t="s">
        <v>29</v>
      </c>
      <c r="B111" s="25">
        <v>6.4673294255568588E-3</v>
      </c>
      <c r="C111" s="25">
        <v>6.4673294255568588E-3</v>
      </c>
      <c r="D111" s="25">
        <v>6.4673294255568579E-3</v>
      </c>
    </row>
    <row r="112" spans="1:4" x14ac:dyDescent="0.2">
      <c r="A112" s="10" t="s">
        <v>30</v>
      </c>
      <c r="B112" s="25">
        <v>1.2477842907385698E-3</v>
      </c>
      <c r="C112" s="25">
        <v>1.2477842907385696E-3</v>
      </c>
      <c r="D112" s="25">
        <v>1.2477842907385696E-3</v>
      </c>
    </row>
    <row r="113" spans="1:4" x14ac:dyDescent="0.2">
      <c r="A113" s="10" t="s">
        <v>526</v>
      </c>
      <c r="B113" s="25">
        <v>2.4513674091441971E-3</v>
      </c>
      <c r="C113" s="25">
        <v>2.4513674091441971E-3</v>
      </c>
      <c r="D113" s="25">
        <v>2.4513674091441971E-3</v>
      </c>
    </row>
    <row r="114" spans="1:4" x14ac:dyDescent="0.2">
      <c r="A114" s="10" t="s">
        <v>527</v>
      </c>
      <c r="B114" s="12">
        <v>5.4077702227432592E-2</v>
      </c>
      <c r="C114" s="12">
        <v>5.4077702227432592E-2</v>
      </c>
      <c r="D114" s="12">
        <v>5.4077702227432592E-2</v>
      </c>
    </row>
    <row r="115" spans="1:4" x14ac:dyDescent="0.2">
      <c r="A115" s="10" t="s">
        <v>23</v>
      </c>
      <c r="B115" s="25">
        <v>5.4035404454865184E-3</v>
      </c>
      <c r="C115" s="25">
        <v>5.4035404454865175E-3</v>
      </c>
      <c r="D115" s="25">
        <v>5.4035404454865175E-3</v>
      </c>
    </row>
    <row r="116" spans="1:4" x14ac:dyDescent="0.2">
      <c r="A116" s="10" t="s">
        <v>259</v>
      </c>
      <c r="B116" s="28">
        <v>0.28614654630715125</v>
      </c>
      <c r="C116" s="28">
        <v>0.24869949403072114</v>
      </c>
      <c r="D116" s="28">
        <v>0.196689699202346</v>
      </c>
    </row>
    <row r="117" spans="1:4" x14ac:dyDescent="0.2">
      <c r="A117" s="10" t="s">
        <v>261</v>
      </c>
      <c r="B117" s="28">
        <v>0.69772290738569764</v>
      </c>
      <c r="C117" s="28">
        <v>0.59433171993867795</v>
      </c>
      <c r="D117" s="28">
        <v>0.45073284848448414</v>
      </c>
    </row>
    <row r="118" spans="1:4" ht="38.25" x14ac:dyDescent="0.2">
      <c r="A118" s="10" t="s">
        <v>528</v>
      </c>
      <c r="B118" s="118" t="s">
        <v>529</v>
      </c>
      <c r="C118" s="28">
        <v>8.6608927381745509E-3</v>
      </c>
      <c r="D118" s="28">
        <v>8.6608927381745509E-3</v>
      </c>
    </row>
    <row r="119" spans="1:4" x14ac:dyDescent="0.2">
      <c r="A119" s="10" t="s">
        <v>531</v>
      </c>
      <c r="B119" s="12">
        <v>2.9564028135990621E-2</v>
      </c>
      <c r="C119" s="12">
        <v>2.6036917055340125E-2</v>
      </c>
      <c r="D119" s="12">
        <v>2.1138151665547771E-2</v>
      </c>
    </row>
    <row r="120" spans="1:4" x14ac:dyDescent="0.2">
      <c r="A120" s="10" t="s">
        <v>533</v>
      </c>
      <c r="B120" s="12">
        <v>2.4513674091441971E-2</v>
      </c>
      <c r="C120" s="12">
        <v>2.1766132946162864E-2</v>
      </c>
      <c r="D120" s="12">
        <v>1.7950103577719662E-2</v>
      </c>
    </row>
  </sheetData>
  <mergeCells count="30">
    <mergeCell ref="A92:A93"/>
    <mergeCell ref="B92:D92"/>
    <mergeCell ref="A108:A109"/>
    <mergeCell ref="B108:D108"/>
    <mergeCell ref="M54:O54"/>
    <mergeCell ref="A59:A60"/>
    <mergeCell ref="B59:D59"/>
    <mergeCell ref="M70:O70"/>
    <mergeCell ref="A76:A77"/>
    <mergeCell ref="B76:D76"/>
    <mergeCell ref="H54:J54"/>
    <mergeCell ref="A40:E40"/>
    <mergeCell ref="A41:A42"/>
    <mergeCell ref="B41:D41"/>
    <mergeCell ref="E41:E42"/>
    <mergeCell ref="B54:B55"/>
    <mergeCell ref="M38:O38"/>
    <mergeCell ref="A6:A7"/>
    <mergeCell ref="B6:D6"/>
    <mergeCell ref="H6:J6"/>
    <mergeCell ref="M6:O6"/>
    <mergeCell ref="B16:D16"/>
    <mergeCell ref="A22:E22"/>
    <mergeCell ref="H22:J22"/>
    <mergeCell ref="M22:O22"/>
    <mergeCell ref="A23:A24"/>
    <mergeCell ref="B23:D23"/>
    <mergeCell ref="E23:E24"/>
    <mergeCell ref="B36:B37"/>
    <mergeCell ref="H38:J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984B-7EF9-46A9-8289-1B8245B279F0}">
  <dimension ref="A1:S52"/>
  <sheetViews>
    <sheetView tabSelected="1" workbookViewId="0">
      <selection activeCell="F4" sqref="F4"/>
    </sheetView>
  </sheetViews>
  <sheetFormatPr defaultColWidth="9.42578125" defaultRowHeight="12.75" x14ac:dyDescent="0.2"/>
  <cols>
    <col min="1" max="1" width="17.85546875" style="62" customWidth="1"/>
    <col min="2" max="2" width="9.42578125" style="62"/>
    <col min="3" max="3" width="12.5703125" style="62" customWidth="1"/>
    <col min="4" max="4" width="5.5703125" style="62" customWidth="1"/>
    <col min="5" max="5" width="21.140625" style="62" customWidth="1"/>
    <col min="6" max="6" width="11.85546875" style="62" customWidth="1"/>
    <col min="7" max="7" width="20.140625" style="62" customWidth="1"/>
    <col min="8" max="8" width="5.5703125" style="62" customWidth="1"/>
    <col min="9" max="9" width="11" style="62" bestFit="1" customWidth="1"/>
    <col min="10" max="10" width="10" style="62" bestFit="1" customWidth="1"/>
    <col min="11" max="11" width="11.5703125" style="62" bestFit="1" customWidth="1"/>
    <col min="12" max="16384" width="9.42578125" style="62"/>
  </cols>
  <sheetData>
    <row r="1" spans="1:19" x14ac:dyDescent="0.2">
      <c r="A1" s="150" t="s">
        <v>555</v>
      </c>
      <c r="B1" s="150"/>
      <c r="C1" s="150"/>
      <c r="E1" s="151" t="s">
        <v>556</v>
      </c>
      <c r="F1" s="151"/>
      <c r="G1" s="152"/>
      <c r="H1" s="63"/>
      <c r="I1" s="153" t="s">
        <v>557</v>
      </c>
      <c r="J1" s="153"/>
      <c r="K1" s="153"/>
      <c r="L1" s="64"/>
      <c r="M1" s="64"/>
      <c r="N1" s="65"/>
      <c r="O1" s="65"/>
      <c r="P1" s="65"/>
      <c r="Q1" s="127"/>
    </row>
    <row r="2" spans="1:19" s="1" customFormat="1" x14ac:dyDescent="0.2">
      <c r="A2" s="127" t="s">
        <v>558</v>
      </c>
      <c r="B2" s="62" t="s">
        <v>559</v>
      </c>
      <c r="C2" s="127">
        <v>6</v>
      </c>
      <c r="D2" s="127"/>
      <c r="E2" s="66" t="s">
        <v>4</v>
      </c>
      <c r="F2" s="66" t="s">
        <v>560</v>
      </c>
      <c r="G2" s="66" t="s">
        <v>561</v>
      </c>
      <c r="H2" s="64"/>
      <c r="I2" s="67" t="s">
        <v>562</v>
      </c>
      <c r="J2" s="67" t="s">
        <v>563</v>
      </c>
      <c r="K2" s="67" t="s">
        <v>564</v>
      </c>
      <c r="L2" s="64"/>
      <c r="M2" s="64"/>
      <c r="N2" s="65"/>
      <c r="O2" s="65"/>
      <c r="P2" s="65"/>
      <c r="Q2" s="127"/>
      <c r="R2" s="62"/>
      <c r="S2" s="62"/>
    </row>
    <row r="3" spans="1:19" s="1" customFormat="1" x14ac:dyDescent="0.2">
      <c r="A3" s="127" t="s">
        <v>565</v>
      </c>
      <c r="B3" s="62" t="s">
        <v>566</v>
      </c>
      <c r="C3" s="127">
        <v>9</v>
      </c>
      <c r="D3" s="127"/>
      <c r="E3" s="127">
        <v>1983</v>
      </c>
      <c r="F3" s="127">
        <v>57.652000000000001</v>
      </c>
      <c r="G3" s="68">
        <f t="shared" ref="G3:G33" si="0">$F$25/F3</f>
        <v>1.7345452022479706</v>
      </c>
      <c r="H3" s="68"/>
      <c r="I3" s="63" t="s">
        <v>567</v>
      </c>
      <c r="J3" s="63" t="s">
        <v>568</v>
      </c>
      <c r="K3" s="63">
        <v>1055</v>
      </c>
      <c r="L3" s="64"/>
      <c r="M3" s="64"/>
      <c r="N3" s="65"/>
      <c r="O3" s="65"/>
      <c r="P3" s="65"/>
      <c r="Q3" s="127"/>
      <c r="R3" s="62"/>
      <c r="S3" s="62"/>
    </row>
    <row r="4" spans="1:19" s="1" customFormat="1" x14ac:dyDescent="0.2">
      <c r="A4" s="127" t="s">
        <v>569</v>
      </c>
      <c r="B4" s="62" t="s">
        <v>570</v>
      </c>
      <c r="C4" s="127">
        <v>8</v>
      </c>
      <c r="D4" s="127"/>
      <c r="E4" s="127">
        <v>1984</v>
      </c>
      <c r="F4" s="127">
        <v>59.817</v>
      </c>
      <c r="G4" s="68">
        <f t="shared" si="0"/>
        <v>1.6717655515990437</v>
      </c>
      <c r="H4" s="68"/>
      <c r="I4" s="63" t="s">
        <v>571</v>
      </c>
      <c r="J4" s="63" t="s">
        <v>572</v>
      </c>
      <c r="K4" s="63">
        <v>3.6</v>
      </c>
      <c r="L4" s="64"/>
      <c r="M4" s="64"/>
      <c r="N4" s="65"/>
      <c r="O4" s="65"/>
      <c r="P4" s="65"/>
      <c r="Q4" s="127"/>
      <c r="R4" s="62"/>
      <c r="S4" s="62"/>
    </row>
    <row r="5" spans="1:19" s="1" customFormat="1" x14ac:dyDescent="0.2">
      <c r="A5" s="127" t="s">
        <v>573</v>
      </c>
      <c r="B5" s="62" t="s">
        <v>574</v>
      </c>
      <c r="C5" s="127">
        <v>7</v>
      </c>
      <c r="D5" s="127"/>
      <c r="E5" s="127">
        <v>1985</v>
      </c>
      <c r="F5" s="127">
        <v>61.628</v>
      </c>
      <c r="G5" s="68">
        <f t="shared" si="0"/>
        <v>1.6226390601674563</v>
      </c>
      <c r="H5" s="68"/>
      <c r="I5" s="63" t="s">
        <v>575</v>
      </c>
      <c r="J5" s="63" t="s">
        <v>254</v>
      </c>
      <c r="K5" s="63">
        <v>3.599999E-6</v>
      </c>
      <c r="L5" s="64"/>
      <c r="M5" s="64"/>
      <c r="N5" s="65"/>
      <c r="O5" s="65"/>
      <c r="P5" s="65"/>
      <c r="Q5" s="127"/>
      <c r="R5" s="62"/>
      <c r="S5" s="62"/>
    </row>
    <row r="6" spans="1:19" s="1" customFormat="1" x14ac:dyDescent="0.2">
      <c r="A6" s="127" t="s">
        <v>576</v>
      </c>
      <c r="B6" s="62" t="s">
        <v>250</v>
      </c>
      <c r="C6" s="127">
        <v>9</v>
      </c>
      <c r="D6" s="127"/>
      <c r="E6" s="127">
        <v>1986</v>
      </c>
      <c r="F6" s="127">
        <v>62.991</v>
      </c>
      <c r="G6" s="68">
        <f t="shared" si="0"/>
        <v>1.5875283770697401</v>
      </c>
      <c r="H6" s="68"/>
      <c r="I6" s="63" t="s">
        <v>254</v>
      </c>
      <c r="J6" s="63" t="s">
        <v>568</v>
      </c>
      <c r="K6" s="69">
        <v>1000000000000000</v>
      </c>
      <c r="L6" s="64"/>
      <c r="M6" s="64"/>
      <c r="N6" s="65"/>
      <c r="O6" s="65"/>
      <c r="P6" s="65"/>
      <c r="Q6" s="127"/>
      <c r="R6" s="62"/>
      <c r="S6" s="62"/>
    </row>
    <row r="7" spans="1:19" s="1" customFormat="1" x14ac:dyDescent="0.2">
      <c r="A7" s="127" t="s">
        <v>577</v>
      </c>
      <c r="B7" s="62" t="s">
        <v>24</v>
      </c>
      <c r="C7" s="127">
        <v>8</v>
      </c>
      <c r="D7" s="127"/>
      <c r="E7" s="127">
        <v>1987</v>
      </c>
      <c r="F7" s="127">
        <v>64.819000000000003</v>
      </c>
      <c r="G7" s="68">
        <f t="shared" si="0"/>
        <v>1.5427575247998271</v>
      </c>
      <c r="H7" s="68"/>
      <c r="I7" s="63" t="s">
        <v>255</v>
      </c>
      <c r="J7" s="63" t="s">
        <v>568</v>
      </c>
      <c r="K7" s="69">
        <v>1055650000</v>
      </c>
      <c r="L7" s="127"/>
      <c r="M7" s="68"/>
      <c r="N7" s="65"/>
      <c r="O7" s="65"/>
      <c r="P7" s="65"/>
      <c r="Q7" s="127"/>
      <c r="R7" s="62"/>
      <c r="S7" s="62"/>
    </row>
    <row r="8" spans="1:19" s="1" customFormat="1" x14ac:dyDescent="0.2">
      <c r="A8" s="127" t="s">
        <v>578</v>
      </c>
      <c r="B8" s="62" t="s">
        <v>579</v>
      </c>
      <c r="C8" s="127">
        <v>1</v>
      </c>
      <c r="D8" s="127"/>
      <c r="E8" s="127">
        <v>1988</v>
      </c>
      <c r="F8" s="127">
        <v>67.046000000000006</v>
      </c>
      <c r="G8" s="68">
        <f t="shared" si="0"/>
        <v>1.4915132893834082</v>
      </c>
      <c r="H8" s="68"/>
      <c r="I8" s="63" t="s">
        <v>580</v>
      </c>
      <c r="J8" s="63" t="s">
        <v>581</v>
      </c>
      <c r="K8" s="63">
        <v>8766</v>
      </c>
      <c r="L8" s="127"/>
      <c r="M8" s="68"/>
      <c r="N8" s="65"/>
      <c r="O8" s="65"/>
      <c r="P8" s="127"/>
      <c r="Q8" s="127"/>
      <c r="R8" s="62"/>
      <c r="S8" s="62"/>
    </row>
    <row r="9" spans="1:19" s="1" customFormat="1" x14ac:dyDescent="0.2">
      <c r="A9" s="127" t="s">
        <v>582</v>
      </c>
      <c r="B9" s="62" t="s">
        <v>583</v>
      </c>
      <c r="C9" s="127">
        <v>5</v>
      </c>
      <c r="D9" s="127"/>
      <c r="E9" s="127">
        <v>1989</v>
      </c>
      <c r="F9" s="127">
        <v>69.576999999999998</v>
      </c>
      <c r="G9" s="68">
        <f t="shared" si="0"/>
        <v>1.4372565646693591</v>
      </c>
      <c r="H9" s="68"/>
      <c r="I9" s="63" t="s">
        <v>584</v>
      </c>
      <c r="J9" s="63" t="s">
        <v>585</v>
      </c>
      <c r="K9" s="63">
        <v>31.536000000000001</v>
      </c>
      <c r="L9" s="127"/>
      <c r="M9" s="68"/>
      <c r="N9" s="65"/>
      <c r="O9" s="65"/>
      <c r="P9" s="127"/>
      <c r="Q9" s="127"/>
      <c r="R9" s="62"/>
      <c r="S9" s="62"/>
    </row>
    <row r="10" spans="1:19" s="1" customFormat="1" x14ac:dyDescent="0.2">
      <c r="A10" s="62" t="s">
        <v>586</v>
      </c>
      <c r="B10" s="62" t="s">
        <v>587</v>
      </c>
      <c r="C10" s="62">
        <v>5</v>
      </c>
      <c r="D10" s="127"/>
      <c r="E10" s="127">
        <v>1990</v>
      </c>
      <c r="F10" s="127">
        <v>72.262</v>
      </c>
      <c r="G10" s="68">
        <f t="shared" si="0"/>
        <v>1.3838532008524536</v>
      </c>
      <c r="H10" s="68"/>
      <c r="I10" s="63" t="s">
        <v>588</v>
      </c>
      <c r="J10" s="63" t="s">
        <v>589</v>
      </c>
      <c r="K10" s="70">
        <f>1/K4</f>
        <v>0.27777777777777779</v>
      </c>
      <c r="L10" s="127"/>
      <c r="M10" s="68"/>
      <c r="N10" s="65"/>
      <c r="O10" s="65"/>
      <c r="P10" s="127"/>
      <c r="Q10" s="127"/>
      <c r="R10" s="62"/>
      <c r="S10" s="62"/>
    </row>
    <row r="11" spans="1:19" s="1" customFormat="1" x14ac:dyDescent="0.2">
      <c r="A11" s="127" t="s">
        <v>590</v>
      </c>
      <c r="B11" s="62" t="s">
        <v>591</v>
      </c>
      <c r="C11" s="127">
        <v>5</v>
      </c>
      <c r="D11" s="127"/>
      <c r="E11" s="127">
        <v>1991</v>
      </c>
      <c r="F11" s="127">
        <v>74.823999999999998</v>
      </c>
      <c r="G11" s="68">
        <f t="shared" si="0"/>
        <v>1.3364695819523147</v>
      </c>
      <c r="H11" s="68"/>
      <c r="I11" s="127"/>
      <c r="J11" s="127"/>
      <c r="K11" s="127"/>
      <c r="L11" s="127"/>
      <c r="M11" s="68"/>
      <c r="N11" s="65"/>
      <c r="O11" s="65"/>
      <c r="P11" s="127"/>
      <c r="Q11" s="127"/>
      <c r="R11" s="62"/>
      <c r="S11" s="62"/>
    </row>
    <row r="12" spans="1:19" s="1" customFormat="1" x14ac:dyDescent="0.2">
      <c r="A12" s="127" t="s">
        <v>592</v>
      </c>
      <c r="B12" s="62" t="s">
        <v>593</v>
      </c>
      <c r="C12" s="127">
        <v>5</v>
      </c>
      <c r="D12" s="127"/>
      <c r="E12" s="127">
        <v>1992</v>
      </c>
      <c r="F12" s="127">
        <v>76.597999999999999</v>
      </c>
      <c r="G12" s="68">
        <f t="shared" si="0"/>
        <v>1.3055171153293821</v>
      </c>
      <c r="H12" s="68"/>
      <c r="I12" s="127"/>
      <c r="J12" s="127"/>
      <c r="K12" s="127"/>
      <c r="L12" s="127"/>
      <c r="M12" s="68"/>
      <c r="N12" s="65"/>
      <c r="O12" s="65"/>
      <c r="P12" s="127"/>
      <c r="Q12" s="127"/>
      <c r="R12" s="62"/>
      <c r="S12" s="62"/>
    </row>
    <row r="13" spans="1:19" s="1" customFormat="1" x14ac:dyDescent="0.2">
      <c r="A13" s="127" t="s">
        <v>594</v>
      </c>
      <c r="B13" s="62" t="s">
        <v>595</v>
      </c>
      <c r="C13" s="127">
        <v>9</v>
      </c>
      <c r="D13" s="127"/>
      <c r="E13" s="127">
        <v>1993</v>
      </c>
      <c r="F13" s="127">
        <v>78.290000000000006</v>
      </c>
      <c r="G13" s="68">
        <f t="shared" si="0"/>
        <v>1.2773023374632775</v>
      </c>
      <c r="H13" s="68"/>
      <c r="I13" s="127"/>
      <c r="J13" s="127"/>
      <c r="K13" s="127"/>
      <c r="L13" s="127"/>
      <c r="M13" s="68"/>
      <c r="N13" s="65"/>
      <c r="O13" s="65"/>
      <c r="P13" s="127"/>
      <c r="Q13" s="127"/>
      <c r="R13" s="62"/>
      <c r="S13" s="62"/>
    </row>
    <row r="14" spans="1:19" s="1" customFormat="1" x14ac:dyDescent="0.2">
      <c r="A14" s="127" t="s">
        <v>596</v>
      </c>
      <c r="B14" s="62" t="s">
        <v>597</v>
      </c>
      <c r="C14" s="127">
        <v>8</v>
      </c>
      <c r="D14" s="127"/>
      <c r="E14" s="127">
        <v>1994</v>
      </c>
      <c r="F14" s="127">
        <v>79.94</v>
      </c>
      <c r="G14" s="68">
        <f t="shared" si="0"/>
        <v>1.2509382036527397</v>
      </c>
      <c r="H14" s="68"/>
      <c r="I14" s="127"/>
      <c r="J14" s="127"/>
      <c r="K14" s="127"/>
      <c r="L14" s="127"/>
      <c r="M14" s="68"/>
      <c r="N14" s="71"/>
      <c r="O14" s="71"/>
      <c r="P14" s="65"/>
      <c r="Q14" s="127"/>
      <c r="R14" s="62"/>
      <c r="S14" s="62"/>
    </row>
    <row r="15" spans="1:19" s="1" customFormat="1" x14ac:dyDescent="0.2">
      <c r="A15" s="127" t="s">
        <v>598</v>
      </c>
      <c r="B15" s="62" t="s">
        <v>599</v>
      </c>
      <c r="C15" s="127">
        <v>3</v>
      </c>
      <c r="D15" s="127"/>
      <c r="E15" s="127">
        <v>1995</v>
      </c>
      <c r="F15" s="127">
        <v>81.605999999999995</v>
      </c>
      <c r="G15" s="68">
        <f t="shared" si="0"/>
        <v>1.2254000931304072</v>
      </c>
      <c r="H15" s="68"/>
      <c r="I15" s="127"/>
      <c r="J15" s="127"/>
      <c r="K15" s="127"/>
      <c r="L15" s="127"/>
      <c r="M15" s="68"/>
      <c r="N15" s="71"/>
      <c r="O15" s="71"/>
      <c r="P15" s="65"/>
      <c r="Q15" s="127"/>
      <c r="R15" s="62"/>
      <c r="S15" s="62"/>
    </row>
    <row r="16" spans="1:19" s="1" customFormat="1" x14ac:dyDescent="0.2">
      <c r="A16" s="127" t="s">
        <v>600</v>
      </c>
      <c r="B16" s="62" t="s">
        <v>601</v>
      </c>
      <c r="C16" s="127">
        <v>3</v>
      </c>
      <c r="D16" s="127"/>
      <c r="E16" s="127">
        <v>1996</v>
      </c>
      <c r="F16" s="127">
        <v>83.159000000000006</v>
      </c>
      <c r="G16" s="68">
        <f t="shared" si="0"/>
        <v>1.2025156627665075</v>
      </c>
      <c r="H16" s="68"/>
      <c r="I16" s="127"/>
      <c r="J16" s="127"/>
      <c r="K16" s="127"/>
      <c r="L16" s="127"/>
      <c r="M16" s="68"/>
      <c r="N16" s="71"/>
      <c r="O16" s="71"/>
      <c r="P16" s="65"/>
      <c r="Q16" s="127"/>
      <c r="R16" s="62"/>
      <c r="S16" s="62"/>
    </row>
    <row r="17" spans="1:19" s="1" customFormat="1" x14ac:dyDescent="0.2">
      <c r="A17" s="127" t="s">
        <v>602</v>
      </c>
      <c r="B17" s="62" t="s">
        <v>603</v>
      </c>
      <c r="C17" s="127">
        <v>4</v>
      </c>
      <c r="D17" s="127"/>
      <c r="E17" s="127">
        <v>1997</v>
      </c>
      <c r="F17" s="127">
        <v>84.628</v>
      </c>
      <c r="G17" s="68">
        <f t="shared" si="0"/>
        <v>1.1816420097367302</v>
      </c>
      <c r="H17" s="68"/>
      <c r="I17" s="127"/>
      <c r="J17" s="127"/>
      <c r="K17" s="127"/>
      <c r="L17" s="127"/>
      <c r="M17" s="68"/>
      <c r="N17" s="71"/>
      <c r="O17" s="71"/>
      <c r="P17" s="65"/>
      <c r="Q17" s="127"/>
      <c r="R17" s="62"/>
      <c r="S17" s="62"/>
    </row>
    <row r="18" spans="1:19" s="1" customFormat="1" x14ac:dyDescent="0.2">
      <c r="A18" s="127" t="s">
        <v>604</v>
      </c>
      <c r="B18" s="62" t="s">
        <v>605</v>
      </c>
      <c r="C18" s="127">
        <v>4</v>
      </c>
      <c r="D18" s="127"/>
      <c r="E18" s="127">
        <v>1998</v>
      </c>
      <c r="F18" s="127">
        <v>85.584000000000003</v>
      </c>
      <c r="G18" s="68">
        <f t="shared" si="0"/>
        <v>1.168442699570013</v>
      </c>
      <c r="H18" s="68"/>
      <c r="I18" s="127"/>
      <c r="J18" s="127"/>
      <c r="K18" s="127"/>
      <c r="L18" s="127"/>
      <c r="M18" s="68"/>
      <c r="N18" s="71"/>
      <c r="O18" s="71"/>
      <c r="P18" s="65"/>
      <c r="Q18" s="127"/>
      <c r="R18" s="62"/>
      <c r="S18" s="62"/>
    </row>
    <row r="19" spans="1:19" s="1" customFormat="1" x14ac:dyDescent="0.2">
      <c r="A19" s="127" t="s">
        <v>606</v>
      </c>
      <c r="B19" s="62" t="s">
        <v>607</v>
      </c>
      <c r="C19" s="127">
        <v>6</v>
      </c>
      <c r="D19" s="127"/>
      <c r="E19" s="127">
        <v>1999</v>
      </c>
      <c r="F19" s="127">
        <v>86.841999999999999</v>
      </c>
      <c r="G19" s="68">
        <f t="shared" si="0"/>
        <v>1.1515165472927846</v>
      </c>
      <c r="H19" s="68"/>
      <c r="I19" s="127"/>
      <c r="J19" s="127"/>
      <c r="K19" s="127"/>
      <c r="L19" s="127"/>
      <c r="M19" s="68"/>
      <c r="N19" s="71"/>
      <c r="O19" s="71"/>
      <c r="P19" s="65"/>
      <c r="Q19" s="127"/>
      <c r="R19" s="62"/>
      <c r="S19" s="62"/>
    </row>
    <row r="20" spans="1:19" s="1" customFormat="1" x14ac:dyDescent="0.2">
      <c r="A20" s="127" t="s">
        <v>608</v>
      </c>
      <c r="B20" s="62" t="s">
        <v>609</v>
      </c>
      <c r="C20" s="127">
        <v>7</v>
      </c>
      <c r="D20" s="127"/>
      <c r="E20" s="127">
        <v>2000</v>
      </c>
      <c r="F20" s="127">
        <v>88.722999999999999</v>
      </c>
      <c r="G20" s="68">
        <f t="shared" si="0"/>
        <v>1.1271034568263021</v>
      </c>
      <c r="H20" s="68"/>
      <c r="I20" s="127"/>
      <c r="J20" s="127"/>
      <c r="K20" s="127"/>
      <c r="L20" s="127"/>
      <c r="M20" s="68"/>
      <c r="N20" s="71"/>
      <c r="O20" s="71"/>
      <c r="P20" s="65"/>
      <c r="Q20" s="127"/>
      <c r="R20" s="62"/>
      <c r="S20" s="62"/>
    </row>
    <row r="21" spans="1:19" s="1" customFormat="1" x14ac:dyDescent="0.2">
      <c r="A21" s="127" t="s">
        <v>610</v>
      </c>
      <c r="B21" s="62" t="s">
        <v>611</v>
      </c>
      <c r="C21" s="127">
        <v>1</v>
      </c>
      <c r="D21" s="127"/>
      <c r="E21" s="127">
        <v>2001</v>
      </c>
      <c r="F21" s="127">
        <v>90.727000000000004</v>
      </c>
      <c r="G21" s="68">
        <f t="shared" si="0"/>
        <v>1.1022077220673008</v>
      </c>
      <c r="H21" s="68"/>
      <c r="I21" s="127"/>
      <c r="J21" s="127"/>
      <c r="K21" s="127"/>
      <c r="L21" s="127"/>
      <c r="M21" s="68"/>
      <c r="N21" s="71"/>
      <c r="O21" s="71"/>
      <c r="P21" s="65"/>
      <c r="Q21" s="127"/>
      <c r="R21" s="62"/>
      <c r="S21" s="62"/>
    </row>
    <row r="22" spans="1:19" s="1" customFormat="1" x14ac:dyDescent="0.2">
      <c r="A22" s="127" t="s">
        <v>612</v>
      </c>
      <c r="B22" s="62" t="s">
        <v>613</v>
      </c>
      <c r="C22" s="127">
        <v>5</v>
      </c>
      <c r="D22" s="127"/>
      <c r="E22" s="127">
        <v>2002</v>
      </c>
      <c r="F22" s="127">
        <v>92.195999999999998</v>
      </c>
      <c r="G22" s="68">
        <f t="shared" si="0"/>
        <v>1.0846457546965163</v>
      </c>
      <c r="H22" s="68"/>
      <c r="I22" s="127"/>
      <c r="J22" s="127"/>
      <c r="K22" s="127"/>
      <c r="L22" s="127"/>
      <c r="M22" s="68"/>
      <c r="N22" s="71"/>
      <c r="O22" s="71"/>
      <c r="P22" s="65"/>
      <c r="Q22" s="127"/>
      <c r="R22" s="62"/>
      <c r="S22" s="62"/>
    </row>
    <row r="23" spans="1:19" s="1" customFormat="1" x14ac:dyDescent="0.2">
      <c r="A23" s="127" t="s">
        <v>614</v>
      </c>
      <c r="B23" s="62" t="s">
        <v>615</v>
      </c>
      <c r="C23" s="127">
        <v>1</v>
      </c>
      <c r="D23" s="127"/>
      <c r="E23" s="127">
        <v>2003</v>
      </c>
      <c r="F23" s="127">
        <v>94.135000000000005</v>
      </c>
      <c r="G23" s="68">
        <f t="shared" si="0"/>
        <v>1.0623041376746163</v>
      </c>
      <c r="H23" s="68"/>
      <c r="I23" s="127"/>
      <c r="J23" s="127"/>
      <c r="K23" s="127"/>
      <c r="L23" s="127"/>
      <c r="M23" s="68"/>
      <c r="N23" s="71"/>
      <c r="O23" s="71"/>
      <c r="P23" s="65"/>
      <c r="Q23" s="127"/>
      <c r="R23" s="62"/>
      <c r="S23" s="62"/>
    </row>
    <row r="24" spans="1:19" s="1" customFormat="1" x14ac:dyDescent="0.2">
      <c r="A24" s="127" t="s">
        <v>616</v>
      </c>
      <c r="B24" s="62" t="s">
        <v>617</v>
      </c>
      <c r="C24" s="127">
        <v>3</v>
      </c>
      <c r="D24" s="127"/>
      <c r="E24" s="127">
        <v>2004</v>
      </c>
      <c r="F24" s="127">
        <v>96.786000000000001</v>
      </c>
      <c r="G24" s="68">
        <f t="shared" si="0"/>
        <v>1.0332072820449238</v>
      </c>
      <c r="H24" s="68"/>
      <c r="I24" s="127"/>
      <c r="J24" s="127"/>
      <c r="K24" s="127"/>
      <c r="L24" s="127"/>
      <c r="M24" s="68"/>
      <c r="N24" s="71"/>
      <c r="O24" s="71"/>
      <c r="P24" s="65"/>
      <c r="Q24" s="127"/>
      <c r="R24" s="62"/>
      <c r="S24" s="62"/>
    </row>
    <row r="25" spans="1:19" s="1" customFormat="1" x14ac:dyDescent="0.2">
      <c r="A25" s="127" t="s">
        <v>618</v>
      </c>
      <c r="B25" s="62" t="s">
        <v>619</v>
      </c>
      <c r="C25" s="127">
        <v>4</v>
      </c>
      <c r="D25" s="127"/>
      <c r="E25" s="127">
        <v>2005</v>
      </c>
      <c r="F25" s="127">
        <v>100</v>
      </c>
      <c r="G25" s="68">
        <f t="shared" si="0"/>
        <v>1</v>
      </c>
      <c r="H25" s="68"/>
      <c r="I25" s="127"/>
      <c r="J25" s="127"/>
      <c r="K25" s="127"/>
      <c r="L25" s="127"/>
      <c r="M25" s="68"/>
      <c r="N25" s="71"/>
      <c r="O25" s="71"/>
      <c r="P25" s="65"/>
      <c r="Q25" s="127"/>
      <c r="R25" s="62"/>
      <c r="S25" s="62"/>
    </row>
    <row r="26" spans="1:19" s="1" customFormat="1" x14ac:dyDescent="0.2">
      <c r="A26" s="127" t="s">
        <v>620</v>
      </c>
      <c r="B26" s="62" t="s">
        <v>621</v>
      </c>
      <c r="C26" s="127">
        <v>6</v>
      </c>
      <c r="D26" s="127"/>
      <c r="E26" s="127">
        <v>2006</v>
      </c>
      <c r="F26" s="127">
        <v>103.23</v>
      </c>
      <c r="G26" s="68">
        <f t="shared" si="0"/>
        <v>0.96871064613000091</v>
      </c>
      <c r="H26" s="68"/>
      <c r="I26" s="127"/>
      <c r="J26" s="127"/>
      <c r="K26" s="127"/>
      <c r="L26" s="127"/>
      <c r="M26" s="68"/>
      <c r="N26" s="71"/>
      <c r="O26" s="71"/>
      <c r="P26" s="65"/>
      <c r="Q26" s="127"/>
      <c r="R26" s="62"/>
      <c r="S26" s="62"/>
    </row>
    <row r="27" spans="1:19" s="1" customFormat="1" x14ac:dyDescent="0.2">
      <c r="A27" s="127" t="s">
        <v>622</v>
      </c>
      <c r="B27" s="62" t="s">
        <v>623</v>
      </c>
      <c r="C27" s="127">
        <v>4</v>
      </c>
      <c r="D27" s="127"/>
      <c r="E27" s="127">
        <v>2007</v>
      </c>
      <c r="F27" s="127">
        <v>106.23</v>
      </c>
      <c r="G27" s="68">
        <f t="shared" si="0"/>
        <v>0.94135366657253128</v>
      </c>
      <c r="H27" s="68"/>
      <c r="I27" s="127"/>
      <c r="J27" s="127"/>
      <c r="K27" s="127"/>
      <c r="L27" s="127"/>
      <c r="M27" s="68"/>
      <c r="N27" s="71"/>
      <c r="O27" s="71"/>
      <c r="P27" s="65"/>
      <c r="Q27" s="127"/>
      <c r="R27" s="62"/>
      <c r="S27" s="62"/>
    </row>
    <row r="28" spans="1:19" s="1" customFormat="1" x14ac:dyDescent="0.2">
      <c r="A28" s="127" t="s">
        <v>624</v>
      </c>
      <c r="B28" s="62" t="s">
        <v>625</v>
      </c>
      <c r="C28" s="127">
        <v>8</v>
      </c>
      <c r="D28" s="127"/>
      <c r="E28" s="127">
        <v>2008</v>
      </c>
      <c r="F28" s="127">
        <v>108.58</v>
      </c>
      <c r="G28" s="68">
        <f t="shared" si="0"/>
        <v>0.92097992263768647</v>
      </c>
      <c r="H28" s="68"/>
      <c r="I28" s="127"/>
      <c r="J28" s="127"/>
      <c r="K28" s="127"/>
      <c r="L28" s="127"/>
      <c r="M28" s="68"/>
      <c r="N28" s="71"/>
      <c r="O28" s="71"/>
      <c r="P28" s="65"/>
      <c r="Q28" s="127"/>
      <c r="R28" s="127"/>
      <c r="S28" s="127"/>
    </row>
    <row r="29" spans="1:19" s="1" customFormat="1" x14ac:dyDescent="0.2">
      <c r="A29" s="127" t="s">
        <v>626</v>
      </c>
      <c r="B29" s="62" t="s">
        <v>627</v>
      </c>
      <c r="C29" s="127">
        <v>4</v>
      </c>
      <c r="D29" s="127"/>
      <c r="E29" s="127">
        <v>2009</v>
      </c>
      <c r="F29" s="127">
        <v>109.73</v>
      </c>
      <c r="G29" s="68">
        <f t="shared" si="0"/>
        <v>0.91132780461131868</v>
      </c>
      <c r="H29" s="68"/>
      <c r="I29" s="127"/>
      <c r="J29" s="127"/>
      <c r="K29" s="127"/>
      <c r="L29" s="127"/>
      <c r="M29" s="68"/>
      <c r="N29" s="71"/>
      <c r="O29" s="71"/>
      <c r="P29" s="65"/>
      <c r="Q29" s="127"/>
      <c r="R29" s="127"/>
      <c r="S29" s="127"/>
    </row>
    <row r="30" spans="1:19" s="1" customFormat="1" x14ac:dyDescent="0.2">
      <c r="A30" s="127" t="s">
        <v>628</v>
      </c>
      <c r="B30" s="62" t="s">
        <v>629</v>
      </c>
      <c r="C30" s="127">
        <v>8</v>
      </c>
      <c r="D30" s="127"/>
      <c r="E30" s="127">
        <v>2010</v>
      </c>
      <c r="F30" s="127">
        <v>110.99</v>
      </c>
      <c r="G30" s="68">
        <f t="shared" si="0"/>
        <v>0.9009820704567979</v>
      </c>
      <c r="H30" s="64"/>
      <c r="I30" s="127"/>
      <c r="J30" s="127"/>
      <c r="K30" s="127"/>
      <c r="L30" s="127"/>
      <c r="M30" s="68"/>
      <c r="N30" s="71"/>
      <c r="O30" s="71"/>
      <c r="P30" s="65"/>
      <c r="Q30" s="127"/>
      <c r="R30" s="127"/>
      <c r="S30" s="127"/>
    </row>
    <row r="31" spans="1:19" s="1" customFormat="1" x14ac:dyDescent="0.2">
      <c r="A31" s="127" t="s">
        <v>630</v>
      </c>
      <c r="B31" s="62" t="s">
        <v>631</v>
      </c>
      <c r="C31" s="127">
        <v>1</v>
      </c>
      <c r="D31" s="127"/>
      <c r="E31" s="62">
        <v>2011</v>
      </c>
      <c r="F31" s="62">
        <f>103.311*100/91.88</f>
        <v>112.44122768828909</v>
      </c>
      <c r="G31" s="68">
        <f t="shared" si="0"/>
        <v>0.88935350543504554</v>
      </c>
      <c r="H31" s="64"/>
      <c r="I31" s="127"/>
      <c r="J31" s="127"/>
      <c r="K31" s="127"/>
      <c r="L31" s="127"/>
      <c r="M31" s="68"/>
      <c r="N31" s="71"/>
      <c r="O31" s="71"/>
      <c r="P31" s="65"/>
      <c r="Q31" s="127"/>
      <c r="R31" s="127"/>
      <c r="S31" s="127"/>
    </row>
    <row r="32" spans="1:19" s="1" customFormat="1" x14ac:dyDescent="0.2">
      <c r="A32" s="127" t="s">
        <v>632</v>
      </c>
      <c r="B32" s="62" t="s">
        <v>633</v>
      </c>
      <c r="C32" s="127">
        <v>2</v>
      </c>
      <c r="D32" s="127"/>
      <c r="E32" s="62">
        <v>2012</v>
      </c>
      <c r="F32" s="62">
        <f>105.214*100/91.988</f>
        <v>114.37796234291429</v>
      </c>
      <c r="G32" s="68">
        <f t="shared" si="0"/>
        <v>0.87429429543596859</v>
      </c>
      <c r="H32" s="62"/>
      <c r="I32" s="62"/>
      <c r="J32" s="127"/>
      <c r="K32" s="127"/>
      <c r="L32" s="127"/>
      <c r="M32" s="68"/>
      <c r="N32" s="71"/>
      <c r="O32" s="71"/>
      <c r="P32" s="65"/>
      <c r="Q32" s="127"/>
      <c r="R32" s="127"/>
      <c r="S32" s="127"/>
    </row>
    <row r="33" spans="1:16" s="1" customFormat="1" x14ac:dyDescent="0.2">
      <c r="A33" s="127" t="s">
        <v>634</v>
      </c>
      <c r="B33" s="62" t="s">
        <v>635</v>
      </c>
      <c r="C33" s="127">
        <v>8</v>
      </c>
      <c r="D33" s="127"/>
      <c r="E33" s="62">
        <v>2013</v>
      </c>
      <c r="F33" s="62">
        <f>106.929*100/91.98</f>
        <v>116.25244618395303</v>
      </c>
      <c r="G33" s="68">
        <f t="shared" si="0"/>
        <v>0.86019695311842448</v>
      </c>
      <c r="H33" s="62"/>
      <c r="I33" s="62"/>
      <c r="J33" s="127"/>
      <c r="K33" s="127"/>
      <c r="L33" s="127"/>
      <c r="M33" s="68"/>
      <c r="N33" s="71"/>
      <c r="O33" s="71"/>
      <c r="P33" s="65"/>
    </row>
    <row r="34" spans="1:16" s="1" customFormat="1" x14ac:dyDescent="0.2">
      <c r="A34" s="127" t="s">
        <v>636</v>
      </c>
      <c r="B34" s="62" t="s">
        <v>637</v>
      </c>
      <c r="C34" s="127">
        <v>2</v>
      </c>
      <c r="D34" s="127"/>
      <c r="E34" s="62"/>
      <c r="F34" s="62"/>
      <c r="G34" s="62"/>
      <c r="H34" s="62"/>
      <c r="I34" s="62"/>
      <c r="J34" s="127"/>
      <c r="K34" s="127"/>
      <c r="L34" s="127"/>
      <c r="M34" s="68"/>
      <c r="N34" s="127"/>
      <c r="O34" s="127"/>
      <c r="P34" s="127"/>
    </row>
    <row r="35" spans="1:16" s="1" customFormat="1" x14ac:dyDescent="0.2">
      <c r="A35" s="127" t="s">
        <v>638</v>
      </c>
      <c r="B35" s="62" t="s">
        <v>639</v>
      </c>
      <c r="C35" s="127">
        <v>5</v>
      </c>
      <c r="D35" s="127"/>
      <c r="E35" s="72" t="s">
        <v>640</v>
      </c>
      <c r="F35" s="64"/>
      <c r="G35" s="64"/>
      <c r="H35" s="64"/>
      <c r="I35" s="127"/>
      <c r="J35" s="127"/>
      <c r="K35" s="127"/>
      <c r="L35" s="127"/>
      <c r="M35" s="127"/>
      <c r="N35" s="127"/>
      <c r="O35" s="127"/>
      <c r="P35" s="127"/>
    </row>
    <row r="36" spans="1:16" x14ac:dyDescent="0.2">
      <c r="A36" s="127" t="s">
        <v>641</v>
      </c>
      <c r="B36" s="62" t="s">
        <v>642</v>
      </c>
      <c r="C36" s="127">
        <v>4</v>
      </c>
      <c r="E36" s="64" t="s">
        <v>643</v>
      </c>
      <c r="F36" s="64"/>
      <c r="G36" s="64"/>
      <c r="H36" s="64"/>
      <c r="I36" s="127"/>
    </row>
    <row r="37" spans="1:16" x14ac:dyDescent="0.2">
      <c r="A37" s="127" t="s">
        <v>644</v>
      </c>
      <c r="B37" s="62" t="s">
        <v>645</v>
      </c>
      <c r="C37" s="127">
        <v>3</v>
      </c>
      <c r="E37" s="64" t="s">
        <v>646</v>
      </c>
      <c r="F37" s="64"/>
      <c r="G37" s="64"/>
      <c r="H37" s="127"/>
      <c r="I37" s="127"/>
    </row>
    <row r="38" spans="1:16" ht="15" x14ac:dyDescent="0.25">
      <c r="A38" s="127" t="s">
        <v>647</v>
      </c>
      <c r="B38" s="62" t="s">
        <v>648</v>
      </c>
      <c r="C38" s="127">
        <v>7</v>
      </c>
      <c r="E38" s="73" t="s">
        <v>649</v>
      </c>
      <c r="F38" s="64"/>
      <c r="G38" s="64"/>
      <c r="H38" s="127"/>
      <c r="I38" s="127"/>
    </row>
    <row r="39" spans="1:16" x14ac:dyDescent="0.2">
      <c r="A39" s="127" t="s">
        <v>650</v>
      </c>
      <c r="B39" s="62" t="s">
        <v>651</v>
      </c>
      <c r="C39" s="127">
        <v>9</v>
      </c>
      <c r="E39" s="127" t="s">
        <v>652</v>
      </c>
      <c r="F39" s="127"/>
      <c r="G39" s="127"/>
    </row>
    <row r="40" spans="1:16" x14ac:dyDescent="0.2">
      <c r="A40" s="127" t="s">
        <v>653</v>
      </c>
      <c r="B40" s="62" t="s">
        <v>654</v>
      </c>
      <c r="C40" s="127">
        <v>2</v>
      </c>
    </row>
    <row r="41" spans="1:16" x14ac:dyDescent="0.2">
      <c r="A41" s="127" t="s">
        <v>655</v>
      </c>
      <c r="B41" s="62" t="s">
        <v>656</v>
      </c>
      <c r="C41" s="127">
        <v>1</v>
      </c>
    </row>
    <row r="42" spans="1:16" x14ac:dyDescent="0.2">
      <c r="A42" s="127" t="s">
        <v>657</v>
      </c>
      <c r="B42" s="62" t="s">
        <v>658</v>
      </c>
      <c r="C42" s="127">
        <v>5</v>
      </c>
    </row>
    <row r="43" spans="1:16" x14ac:dyDescent="0.2">
      <c r="A43" s="127" t="s">
        <v>659</v>
      </c>
      <c r="B43" s="62" t="s">
        <v>660</v>
      </c>
      <c r="C43" s="127">
        <v>4</v>
      </c>
    </row>
    <row r="44" spans="1:16" x14ac:dyDescent="0.2">
      <c r="A44" s="127" t="s">
        <v>661</v>
      </c>
      <c r="B44" s="62" t="s">
        <v>662</v>
      </c>
      <c r="C44" s="127">
        <v>6</v>
      </c>
    </row>
    <row r="45" spans="1:16" x14ac:dyDescent="0.2">
      <c r="A45" s="127" t="s">
        <v>663</v>
      </c>
      <c r="B45" s="62" t="s">
        <v>664</v>
      </c>
      <c r="C45" s="127">
        <v>7</v>
      </c>
    </row>
    <row r="46" spans="1:16" x14ac:dyDescent="0.2">
      <c r="A46" s="127" t="s">
        <v>665</v>
      </c>
      <c r="B46" s="62" t="s">
        <v>666</v>
      </c>
      <c r="C46" s="127">
        <v>8</v>
      </c>
    </row>
    <row r="47" spans="1:16" x14ac:dyDescent="0.2">
      <c r="A47" s="127" t="s">
        <v>667</v>
      </c>
      <c r="B47" s="62" t="s">
        <v>668</v>
      </c>
      <c r="C47" s="127">
        <v>1</v>
      </c>
    </row>
    <row r="48" spans="1:16" x14ac:dyDescent="0.2">
      <c r="A48" s="127" t="s">
        <v>669</v>
      </c>
      <c r="B48" s="62" t="s">
        <v>670</v>
      </c>
      <c r="C48" s="127">
        <v>5</v>
      </c>
    </row>
    <row r="49" spans="1:3" x14ac:dyDescent="0.2">
      <c r="A49" s="127" t="s">
        <v>671</v>
      </c>
      <c r="B49" s="62" t="s">
        <v>672</v>
      </c>
      <c r="C49" s="127">
        <v>9</v>
      </c>
    </row>
    <row r="50" spans="1:3" x14ac:dyDescent="0.2">
      <c r="A50" s="127" t="s">
        <v>673</v>
      </c>
      <c r="B50" s="62" t="s">
        <v>674</v>
      </c>
      <c r="C50" s="127">
        <v>5</v>
      </c>
    </row>
    <row r="51" spans="1:3" x14ac:dyDescent="0.2">
      <c r="A51" s="127" t="s">
        <v>675</v>
      </c>
      <c r="B51" s="62" t="s">
        <v>251</v>
      </c>
      <c r="C51" s="127">
        <v>3</v>
      </c>
    </row>
    <row r="52" spans="1:3" x14ac:dyDescent="0.2">
      <c r="A52" s="127" t="s">
        <v>676</v>
      </c>
      <c r="B52" s="62" t="s">
        <v>677</v>
      </c>
      <c r="C52" s="127">
        <v>8</v>
      </c>
    </row>
  </sheetData>
  <mergeCells count="3">
    <mergeCell ref="A1:C1"/>
    <mergeCell ref="E1:G1"/>
    <mergeCell ref="I1:K1"/>
  </mergeCells>
  <hyperlinks>
    <hyperlink ref="E38" r:id="rId1" xr:uid="{5CADE76C-7466-4CAC-83DE-CC88C286B3B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508C0F-E0BE-43D7-84E4-C372AE1BA8D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28AD505-EAA3-47C7-B63C-58DBD4D72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EC974A-3B4A-412A-BC25-4573A657F5FE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92B42422-6692-4D5E-92D5-7A6BE8C887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GHG-SUP</vt:lpstr>
      <vt:lpstr>GHG-ELC</vt:lpstr>
      <vt:lpstr>Emissions - REF</vt:lpstr>
      <vt:lpstr>Retrofit - ELC</vt:lpstr>
      <vt:lpstr>Water Data</vt:lpstr>
      <vt:lpstr>CompositeGREETEFs</vt:lpstr>
      <vt:lpstr>GREET2014-EFUpdate</vt:lpstr>
      <vt:lpstr>Conversions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Carroll, Zane</cp:lastModifiedBy>
  <cp:revision/>
  <dcterms:created xsi:type="dcterms:W3CDTF">2015-06-05T18:19:34Z</dcterms:created>
  <dcterms:modified xsi:type="dcterms:W3CDTF">2025-06-02T13:21:50Z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Record">
    <vt:lpwstr>Shared</vt:lpwstr>
  </property>
  <property fmtid="{D5CDD505-2E9C-101B-9397-08002B2CF9AE}" pid="4" name="Order">
    <vt:lpwstr>12300.0000000000</vt:lpwstr>
  </property>
  <property fmtid="{D5CDD505-2E9C-101B-9397-08002B2CF9AE}" pid="5" name="Document Creation Date">
    <vt:lpwstr>2023-09-28T09:14:41Z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Language">
    <vt:lpwstr>English</vt:lpwstr>
  </property>
  <property fmtid="{D5CDD505-2E9C-101B-9397-08002B2CF9AE}" pid="12" name="xd_Signature">
    <vt:lpwstr/>
  </property>
  <property fmtid="{D5CDD505-2E9C-101B-9397-08002B2CF9AE}" pid="13" name="MediaServiceImageTags">
    <vt:lpwstr/>
  </property>
</Properties>
</file>