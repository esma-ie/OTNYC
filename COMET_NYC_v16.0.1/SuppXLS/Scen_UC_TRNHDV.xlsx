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pivotTables/pivotTable1.xml" ContentType="application/vnd.openxmlformats-officedocument.spreadsheetml.pivotTable+xml"/>
  <Override PartName="/xl/drawings/drawing2.xml" ContentType="application/vnd.openxmlformats-officedocument.drawing+xml"/>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3.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drawings/drawing4.xml" ContentType="application/vnd.openxmlformats-officedocument.drawing+xml"/>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drawings/drawing5.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drawings/drawing6.xml" ContentType="application/vnd.openxmlformats-officedocument.drawing+xml"/>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drawings/drawing7.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https://usepa-my.sharepoint.com/personal/carroll_zane_epa_gov/Documents/ORD/COMET/COMET_NYC_v16.0.1/COMET_NYC_v16.0.1/SuppXLS/"/>
    </mc:Choice>
  </mc:AlternateContent>
  <xr:revisionPtr revIDLastSave="24" documentId="13_ncr:1_{259D270F-1433-46EC-B6E3-954137E4D950}" xr6:coauthVersionLast="47" xr6:coauthVersionMax="47" xr10:uidLastSave="{C6EC4846-DF0A-43DC-A553-0EA30E6DDE60}"/>
  <bookViews>
    <workbookView xWindow="53880" yWindow="-120" windowWidth="29040" windowHeight="15720" tabRatio="827" firstSheet="1" activeTab="1" xr2:uid="{00000000-000D-0000-FFFF-FFFF00000000}"/>
  </bookViews>
  <sheets>
    <sheet name="ANSv6.0-Commodities" sheetId="1" state="veryHidden" r:id="rId1"/>
    <sheet name="UC_TRNHDV" sheetId="111" r:id="rId2"/>
    <sheet name="UC_TRNHDVb" sheetId="112" r:id="rId3"/>
    <sheet name="ON-Road Historical share" sheetId="113" r:id="rId4"/>
    <sheet name="TRP" sheetId="100" r:id="rId5"/>
    <sheet name="&gt;&gt;&gt; Not used" sheetId="110" r:id="rId6"/>
    <sheet name="NewTech" sheetId="109" r:id="rId7"/>
    <sheet name="Commodities" sheetId="10" r:id="rId8"/>
    <sheet name="ANSv6.0-Technologies" sheetId="2" state="veryHidden" r:id="rId9"/>
    <sheet name="ANSv6.0-Constraints" sheetId="7" state="veryHidden" r:id="rId10"/>
    <sheet name="ANSv6.0-CommData" sheetId="4" state="veryHidden" r:id="rId11"/>
    <sheet name="ANSv6.0-TechData" sheetId="3" state="veryHidden" r:id="rId12"/>
    <sheet name="ANSv6.0-ConstrData" sheetId="8" state="veryHidden" r:id="rId13"/>
    <sheet name="Technologies" sheetId="11" r:id="rId14"/>
    <sheet name="CommData" sheetId="42" r:id="rId15"/>
    <sheet name="TechData" sheetId="14" r:id="rId16"/>
    <sheet name="AEO Data" sheetId="76" r:id="rId17"/>
    <sheet name="Rail&amp;Bus" sheetId="78" r:id="rId18"/>
    <sheet name="Pop" sheetId="95" r:id="rId19"/>
    <sheet name="2015 GHG" sheetId="101" r:id="rId20"/>
    <sheet name="2010 GHG" sheetId="94" r:id="rId21"/>
    <sheet name="THS" sheetId="97" r:id="rId22"/>
    <sheet name="TM" sheetId="102" r:id="rId23"/>
    <sheet name="TB" sheetId="96" r:id="rId24"/>
    <sheet name="TSW" sheetId="93" r:id="rId25"/>
    <sheet name="Air&amp;Marine" sheetId="80" r:id="rId26"/>
    <sheet name="Freight" sheetId="79" r:id="rId27"/>
    <sheet name="Trucks" sheetId="82" r:id="rId28"/>
    <sheet name="Rail&amp;Bus2" sheetId="83" r:id="rId29"/>
    <sheet name="Conv Factors" sheetId="20" r:id="rId30"/>
  </sheets>
  <externalReferences>
    <externalReference r:id="rId31"/>
    <externalReference r:id="rId32"/>
  </externalReferences>
  <definedNames>
    <definedName name="__HDV50">#REF!</definedName>
    <definedName name="__LDV50">#REF!</definedName>
    <definedName name="_1995_Implicit_GDP_Deflator" localSheetId="22">#REF!</definedName>
    <definedName name="_1995_Implicit_GDP_Deflator">#REF!</definedName>
    <definedName name="_2001_Implicit_GDP_Deflator" localSheetId="22">#REF!</definedName>
    <definedName name="_2001_Implicit_GDP_Deflator">#REF!</definedName>
    <definedName name="_xlnm._FilterDatabase" localSheetId="19" hidden="1">'2015 GHG'!$A$4:$AM$4</definedName>
    <definedName name="_xlnm._FilterDatabase" localSheetId="3" hidden="1">'ON-Road Historical share'!$A$12:$AY$12</definedName>
    <definedName name="_xlnm._FilterDatabase" localSheetId="15" hidden="1">TechData!$A$6:$AV$32</definedName>
    <definedName name="_HDV50" localSheetId="22">#REF!</definedName>
    <definedName name="_HDV50">#REF!</definedName>
    <definedName name="_LDV50" localSheetId="22">#REF!</definedName>
    <definedName name="_LDV50">#REF!</definedName>
    <definedName name="Age_of_car" localSheetId="22">#REF!</definedName>
    <definedName name="Age_of_car">#REF!</definedName>
    <definedName name="avg_water_heater_PJ">'[1]AEO HW'!$B$33</definedName>
    <definedName name="Aviation_Detail_Table">'[2]Marine and Aviation'!$I$27:$Z$31</definedName>
    <definedName name="Aviation_Detail_Table_Years">'[2]Marine and Aviation'!$I$27:$Z$27</definedName>
    <definedName name="btu_per_watthr" localSheetId="22">#REF!</definedName>
    <definedName name="btu_per_watthr">#REF!</definedName>
    <definedName name="CH4GWP_20YR">'[2]RELA TABLE'!$D$8</definedName>
    <definedName name="ConEd_Steam_Table">'[2]ConEd Steam'!$I$11:$Z$15</definedName>
    <definedName name="ConEd_Steam_Years">'[2]ConEd Steam'!$I$11:$Z$11</definedName>
    <definedName name="conv" localSheetId="22">#REF!</definedName>
    <definedName name="conv">#REF!</definedName>
    <definedName name="Convert_MMbtu_to_GJ">'[2]Unit conversions'!$F$25</definedName>
    <definedName name="days_per_year" localSheetId="22">#REF!</definedName>
    <definedName name="days_per_year">#REF!</definedName>
    <definedName name="Diesel_Car_CO" localSheetId="22">#REF!</definedName>
    <definedName name="Diesel_Car_CO">#REF!</definedName>
    <definedName name="Diesel_Car_Nox" localSheetId="22">#REF!</definedName>
    <definedName name="Diesel_Car_Nox">#REF!</definedName>
    <definedName name="Diesel_Car_PM" localSheetId="22">#REF!</definedName>
    <definedName name="Diesel_Car_PM">#REF!</definedName>
    <definedName name="Diesel_Car_VOCs" localSheetId="22">#REF!</definedName>
    <definedName name="Diesel_Car_VOCs">#REF!</definedName>
    <definedName name="Diesel_HDT_CO" localSheetId="22">#REF!</definedName>
    <definedName name="Diesel_HDT_CO">#REF!</definedName>
    <definedName name="Diesel_HDT_NOx" localSheetId="22">#REF!</definedName>
    <definedName name="Diesel_HDT_NOx">#REF!</definedName>
    <definedName name="Diesel_HDT_PM" localSheetId="22">#REF!</definedName>
    <definedName name="Diesel_HDT_PM">#REF!</definedName>
    <definedName name="Diesel_HDT_SO2" localSheetId="22">#REF!</definedName>
    <definedName name="Diesel_HDT_SO2">#REF!</definedName>
    <definedName name="Diesel_HDT_VOCs" localSheetId="22">#REF!</definedName>
    <definedName name="Diesel_HDT_VOCs">#REF!</definedName>
    <definedName name="Diesel_LDT_CO" localSheetId="22">#REF!</definedName>
    <definedName name="Diesel_LDT_CO">#REF!</definedName>
    <definedName name="Diesel_LDT_Nox" localSheetId="22">#REF!</definedName>
    <definedName name="Diesel_LDT_Nox">#REF!</definedName>
    <definedName name="Diesel_LDT_PM" localSheetId="22">#REF!</definedName>
    <definedName name="Diesel_LDT_PM">#REF!</definedName>
    <definedName name="Diesel_LDT_VOCs" localSheetId="22">#REF!</definedName>
    <definedName name="Diesel_LDT_VOCs">#REF!</definedName>
    <definedName name="Diesel_Rail_Table">[2]Transit!$I$26:$Z$29</definedName>
    <definedName name="Diesel_Rail_Table_Years">[2]Transit!$I$26:$Z$26</definedName>
    <definedName name="dollar____per__m" localSheetId="22">#REF!</definedName>
    <definedName name="dollar____per__m">#REF!</definedName>
    <definedName name="EF_table_electricity_and_steam">'[2]EF EL and Steam'!$D$5:$Z$81</definedName>
    <definedName name="EF_table_road_trans">'[2]EF road transport'!$J$25:$AA$2225</definedName>
    <definedName name="Elec_Vehicle_Assump">'[2]EF road transport'!$B$16:$C$23</definedName>
    <definedName name="Electric_Traction_Summary_Table">[2]Transit!$I$12:$Z$22</definedName>
    <definedName name="Electric_Traction_Summary_Table_Years">[2]Transit!$I$12:$Z$12</definedName>
    <definedName name="Electricity_Table">'[2]Electricity '!$I$30:$Z$35</definedName>
    <definedName name="Electricity_table_Years">'[2]Electricity '!$I$30:$Z$30</definedName>
    <definedName name="Fuel_Oil_Table">'[2]Fuel Oils'!$I$11:$Z$30</definedName>
    <definedName name="Fuel_Oil_Table_Years">'[2]Fuel Oils'!$I$10:$Z$10</definedName>
    <definedName name="Fugitive_Table">[2]Fugitive!$I$10:$Z$13</definedName>
    <definedName name="Fugitive_Table_Years">[2]Fugitive!$I$10:$Z$10</definedName>
    <definedName name="Full_OnRoad_Transpo">'ON-Road Historical share'!$Y$12:$AY$49</definedName>
    <definedName name="Gas_Car_CO" localSheetId="22">#REF!</definedName>
    <definedName name="Gas_Car_CO">#REF!</definedName>
    <definedName name="Gas_Car_Nox" localSheetId="22">#REF!</definedName>
    <definedName name="Gas_Car_Nox">#REF!</definedName>
    <definedName name="Gas_Car_PM" localSheetId="22">#REF!</definedName>
    <definedName name="Gas_Car_PM">#REF!</definedName>
    <definedName name="Gas_Car_VOC" localSheetId="22">#REF!</definedName>
    <definedName name="Gas_Car_VOC">#REF!</definedName>
    <definedName name="Gas_HDT_CO" localSheetId="22">#REF!</definedName>
    <definedName name="Gas_HDT_CO">#REF!</definedName>
    <definedName name="Gas_HDT_NOx" localSheetId="22">#REF!</definedName>
    <definedName name="Gas_HDT_NOx">#REF!</definedName>
    <definedName name="Gas_HDT_PM" localSheetId="22">#REF!</definedName>
    <definedName name="Gas_HDT_PM">#REF!</definedName>
    <definedName name="Gas_HDT_SO2" localSheetId="22">#REF!</definedName>
    <definedName name="Gas_HDT_SO2">#REF!</definedName>
    <definedName name="Gas_HDT_VOCs" localSheetId="22">#REF!</definedName>
    <definedName name="Gas_HDT_VOCs">#REF!</definedName>
    <definedName name="Gas_LDT_CO" localSheetId="22">#REF!</definedName>
    <definedName name="Gas_LDT_CO">#REF!</definedName>
    <definedName name="Gas_LDT_NOx" localSheetId="22">#REF!</definedName>
    <definedName name="Gas_LDT_NOx">#REF!</definedName>
    <definedName name="Gas_LDT_PM" localSheetId="22">#REF!</definedName>
    <definedName name="Gas_LDT_PM">#REF!</definedName>
    <definedName name="Gas_LDT_VOCs" localSheetId="22">#REF!</definedName>
    <definedName name="Gas_LDT_VOCs">#REF!</definedName>
    <definedName name="GWP_CH4">'[2]RELA TABLE'!$E$8</definedName>
    <definedName name="GWP_N2O">'[2]RELA TABLE'!$E$9</definedName>
    <definedName name="hours_per_day" localSheetId="22">#REF!</definedName>
    <definedName name="hours_per_day">#REF!</definedName>
    <definedName name="j_per_btu" localSheetId="22">#REF!</definedName>
    <definedName name="j_per_btu">#REF!</definedName>
    <definedName name="j_per_pj" localSheetId="22">#REF!</definedName>
    <definedName name="j_per_pj">#REF!</definedName>
    <definedName name="joules_per_btu">[1]Conversions!$D$5</definedName>
    <definedName name="kwhr_per_j" localSheetId="22">#REF!</definedName>
    <definedName name="kwhr_per_j">#REF!</definedName>
    <definedName name="Marine_Detail_Table">'[2]Marine and Aviation'!$I$11:$Z$23</definedName>
    <definedName name="Marine_Detail_Table_Years">'[2]Marine and Aviation'!$I$11:$Z$11</definedName>
    <definedName name="Methane_Emissions_Table">[2]WWTP!$I$12:$Z$27</definedName>
    <definedName name="Methane_Emissions_Table_Years">[2]WWTP!$I$12:$Z$12</definedName>
    <definedName name="N2OGWP_20YR">'[2]RELA TABLE'!$D$9</definedName>
    <definedName name="Natural_Gas_Table">'[2]Natural Gas'!$I$31:$Z$36</definedName>
    <definedName name="Natural_Gas_Years">'[2]Natural Gas'!$I$31:$Z$31</definedName>
    <definedName name="Nitrous_Oxide_Emissions_Table">[2]WWTP!$I$31:$Z$46</definedName>
    <definedName name="Nitrous_Oxide_Emissions_Table_Years">[2]WWTP!$I$31:$Z$31</definedName>
    <definedName name="On_Road_Transportation_Table">'ON-Road Historical share'!$AH$12:$AY$49</definedName>
    <definedName name="On_Road_Transportation_Table_Years">'ON-Road Historical share'!$AH$12:$AY$12</definedName>
    <definedName name="Onroad_tag">'ON-Road Historical share'!$Y$12:$Y$49</definedName>
    <definedName name="Process_Discharge_Nitrogen_Oxide_Emissions_Table">[2]WWTP!$I$53:$Z$69</definedName>
    <definedName name="Process_Discharge_Nitrogen_Oxide_Emissions_Table_Years">[2]WWTP!$I$53:$Z$53</definedName>
    <definedName name="Solid_Waste_Summary_Table">'[2]Solid Waste'!$I$10:$Z$12</definedName>
    <definedName name="Solid_Waste_Summary_Table_Years">'[2]Solid Waste'!$I$10:$Z$10</definedName>
    <definedName name="Street_Lighting_and_traffic_signals_table">'[2]Electricity '!$I$40:$Z$44</definedName>
    <definedName name="Street_Lighting_and_Traffic_Signals_Years">'[2]Electricity '!$I$40:$Z$40</definedName>
    <definedName name="Transit_Outputs_Table">[2]Transit!$I$49:$Z$55</definedName>
    <definedName name="Transit_Outputs_Table_Years">[2]Transit!$I$49:$Z$49</definedName>
    <definedName name="Unit_conversion_table">'[2]Unit conversions'!$B$5:$G$53</definedName>
    <definedName name="unit_per_million_unit" localSheetId="22">#REF!</definedName>
    <definedName name="unit_per_million_unit">#REF!</definedName>
  </definedNames>
  <calcPr calcId="191028"/>
  <pivotCaches>
    <pivotCache cacheId="0" r:id="rId33"/>
    <pivotCache cacheId="1" r:id="rId34"/>
    <pivotCache cacheId="4" r:id="rId3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9" i="111" l="1"/>
  <c r="O60" i="111"/>
  <c r="O61" i="111"/>
  <c r="O62" i="111"/>
  <c r="O63" i="111"/>
  <c r="O58" i="111"/>
  <c r="O53" i="111"/>
  <c r="O51" i="111"/>
  <c r="O50" i="111"/>
  <c r="O49" i="111"/>
  <c r="O48" i="111"/>
  <c r="B54" i="111"/>
  <c r="B44" i="111"/>
  <c r="O57" i="111" l="1"/>
  <c r="Q172" i="76"/>
  <c r="O36" i="112"/>
  <c r="C39" i="112"/>
  <c r="B39" i="112"/>
  <c r="J39" i="112" s="1"/>
  <c r="J40" i="112" s="1"/>
  <c r="O43" i="112"/>
  <c r="O41" i="112"/>
  <c r="O39" i="112"/>
  <c r="G39" i="112"/>
  <c r="C41" i="112"/>
  <c r="C43" i="112" s="1"/>
  <c r="G40" i="112"/>
  <c r="O67" i="112"/>
  <c r="O65" i="112"/>
  <c r="O63" i="112"/>
  <c r="C65" i="112"/>
  <c r="C67" i="112" s="1"/>
  <c r="C111" i="112"/>
  <c r="C113" i="112" s="1"/>
  <c r="C115" i="112" s="1"/>
  <c r="B111" i="112"/>
  <c r="B113" i="112" s="1"/>
  <c r="AT53" i="113"/>
  <c r="AS53" i="113" s="1"/>
  <c r="AR53" i="113" s="1"/>
  <c r="AQ53" i="113" s="1"/>
  <c r="AP53" i="113" s="1"/>
  <c r="AO53" i="113" s="1"/>
  <c r="AN53" i="113" s="1"/>
  <c r="AM53" i="113" s="1"/>
  <c r="AL53" i="113" s="1"/>
  <c r="AK53" i="113" s="1"/>
  <c r="AJ53" i="113" s="1"/>
  <c r="AI53" i="113" s="1"/>
  <c r="AH53" i="113" s="1"/>
  <c r="AT52" i="113"/>
  <c r="O91" i="112"/>
  <c r="O89" i="112"/>
  <c r="C89" i="112"/>
  <c r="C91" i="112" s="1"/>
  <c r="O87" i="112"/>
  <c r="O49" i="112"/>
  <c r="B119" i="112"/>
  <c r="C123" i="112"/>
  <c r="G124" i="112" s="1"/>
  <c r="C117" i="112"/>
  <c r="C119" i="112" s="1"/>
  <c r="C121" i="112" s="1"/>
  <c r="AS52" i="113"/>
  <c r="AR52" i="113" s="1"/>
  <c r="AQ52" i="113" s="1"/>
  <c r="AP52" i="113" s="1"/>
  <c r="AO52" i="113" s="1"/>
  <c r="AN52" i="113" s="1"/>
  <c r="AM52" i="113" s="1"/>
  <c r="AL52" i="113" s="1"/>
  <c r="AK52" i="113" s="1"/>
  <c r="AJ52" i="113" s="1"/>
  <c r="AI52" i="113" s="1"/>
  <c r="AH52" i="113" s="1"/>
  <c r="J3" i="100"/>
  <c r="G7" i="100"/>
  <c r="P42" i="113"/>
  <c r="Q42" i="113"/>
  <c r="O43" i="113"/>
  <c r="R43" i="113"/>
  <c r="Q43" i="113"/>
  <c r="P43" i="113"/>
  <c r="P34" i="113"/>
  <c r="R34" i="113"/>
  <c r="Q34" i="113"/>
  <c r="O34" i="113"/>
  <c r="R42" i="113"/>
  <c r="O42" i="113"/>
  <c r="B41" i="112" l="1"/>
  <c r="G41" i="112" s="1"/>
  <c r="G111" i="112"/>
  <c r="B115" i="112"/>
  <c r="J115" i="112" s="1"/>
  <c r="J113" i="112"/>
  <c r="J111" i="112"/>
  <c r="G112" i="112"/>
  <c r="S34" i="113"/>
  <c r="G123" i="112"/>
  <c r="C125" i="112"/>
  <c r="C127" i="112" s="1"/>
  <c r="G118" i="112"/>
  <c r="B121" i="112"/>
  <c r="B125" i="112"/>
  <c r="G117" i="112"/>
  <c r="J41" i="112" l="1"/>
  <c r="B43" i="112"/>
  <c r="J43" i="112" s="1"/>
  <c r="G42" i="112"/>
  <c r="G114" i="112"/>
  <c r="G113" i="112"/>
  <c r="J112" i="112"/>
  <c r="J114" i="112"/>
  <c r="J116" i="112"/>
  <c r="B127" i="112"/>
  <c r="G126" i="112"/>
  <c r="G125" i="112"/>
  <c r="G120" i="112"/>
  <c r="G119" i="112"/>
  <c r="J118" i="112"/>
  <c r="J119" i="112" s="1"/>
  <c r="J120" i="112" s="1"/>
  <c r="J121" i="112" s="1"/>
  <c r="J122" i="112" s="1"/>
  <c r="J123" i="112" s="1"/>
  <c r="J124" i="112" s="1"/>
  <c r="J125" i="112" s="1"/>
  <c r="J126" i="112" s="1"/>
  <c r="J127" i="112" s="1"/>
  <c r="J128" i="112" s="1"/>
  <c r="J44" i="112" l="1"/>
  <c r="J42" i="112"/>
  <c r="G44" i="112"/>
  <c r="G43" i="112"/>
  <c r="G116" i="112"/>
  <c r="G115" i="112"/>
  <c r="G122" i="112"/>
  <c r="G121" i="112"/>
  <c r="G128" i="112"/>
  <c r="G127" i="112"/>
  <c r="S43" i="113" l="1"/>
  <c r="V43" i="113"/>
  <c r="O126" i="112" s="1"/>
  <c r="O125" i="112" s="1"/>
  <c r="U43" i="113"/>
  <c r="O124" i="112" s="1"/>
  <c r="O123" i="112" s="1"/>
  <c r="T43" i="113"/>
  <c r="W42" i="113"/>
  <c r="O122" i="112" s="1"/>
  <c r="O121" i="112" s="1"/>
  <c r="S42" i="113"/>
  <c r="V42" i="113"/>
  <c r="O120" i="112" s="1"/>
  <c r="O119" i="112" s="1"/>
  <c r="U42" i="113"/>
  <c r="O118" i="112" s="1"/>
  <c r="O117" i="112" s="1"/>
  <c r="W43" i="113"/>
  <c r="O128" i="112" s="1"/>
  <c r="O127" i="112" s="1"/>
  <c r="T42" i="113"/>
  <c r="O47" i="112" l="1"/>
  <c r="C47" i="112"/>
  <c r="C49" i="112" s="1"/>
  <c r="O45" i="112"/>
  <c r="D93" i="112"/>
  <c r="D33" i="112"/>
  <c r="C105" i="112"/>
  <c r="C107" i="112" s="1"/>
  <c r="D105" i="112"/>
  <c r="B105" i="112"/>
  <c r="B107" i="112" s="1"/>
  <c r="C99" i="112"/>
  <c r="C101" i="112" s="1"/>
  <c r="C103" i="112" s="1"/>
  <c r="B99" i="112"/>
  <c r="C93" i="112"/>
  <c r="C95" i="112" s="1"/>
  <c r="C97" i="112" s="1"/>
  <c r="B93" i="112"/>
  <c r="B95" i="112" s="1"/>
  <c r="C81" i="112"/>
  <c r="C83" i="112" s="1"/>
  <c r="C85" i="112" s="1"/>
  <c r="B81" i="112"/>
  <c r="C75" i="112"/>
  <c r="C77" i="112" s="1"/>
  <c r="C79" i="112" s="1"/>
  <c r="D75" i="112"/>
  <c r="B75" i="112"/>
  <c r="J75" i="112" s="1"/>
  <c r="C69" i="112"/>
  <c r="C71" i="112" s="1"/>
  <c r="C73" i="112" s="1"/>
  <c r="B69" i="112"/>
  <c r="D57" i="112"/>
  <c r="C57" i="112"/>
  <c r="B57" i="112"/>
  <c r="C51" i="112"/>
  <c r="B51" i="112"/>
  <c r="C33" i="112"/>
  <c r="B33" i="112"/>
  <c r="C27" i="112"/>
  <c r="C29" i="112" s="1"/>
  <c r="B27" i="112"/>
  <c r="C21" i="112"/>
  <c r="B21" i="112"/>
  <c r="C15" i="112"/>
  <c r="B15" i="112"/>
  <c r="J15" i="112" s="1"/>
  <c r="C9" i="112"/>
  <c r="B9" i="112"/>
  <c r="A19" i="112"/>
  <c r="K19" i="112" s="1"/>
  <c r="K20" i="112" s="1"/>
  <c r="A17" i="112"/>
  <c r="K17" i="112" s="1"/>
  <c r="K18" i="112" s="1"/>
  <c r="D15" i="112"/>
  <c r="A15" i="112"/>
  <c r="K15" i="112" s="1"/>
  <c r="K16" i="112" s="1"/>
  <c r="K13" i="112"/>
  <c r="K14" i="112" s="1"/>
  <c r="K11" i="112"/>
  <c r="K12" i="112" s="1"/>
  <c r="K9" i="112"/>
  <c r="K10" i="112" s="1"/>
  <c r="P25" i="113"/>
  <c r="J57" i="112" l="1"/>
  <c r="B63" i="112"/>
  <c r="F15" i="112"/>
  <c r="J58" i="112"/>
  <c r="O27" i="113"/>
  <c r="P29" i="113"/>
  <c r="O28" i="113"/>
  <c r="P21" i="113"/>
  <c r="P38" i="113"/>
  <c r="P33" i="113"/>
  <c r="G64" i="112" l="1"/>
  <c r="B65" i="112"/>
  <c r="J63" i="112"/>
  <c r="J64" i="112" s="1"/>
  <c r="G63" i="112"/>
  <c r="G106" i="112"/>
  <c r="B101" i="112"/>
  <c r="G100" i="112"/>
  <c r="G94" i="112"/>
  <c r="B83" i="112"/>
  <c r="G82" i="112"/>
  <c r="D77" i="112"/>
  <c r="G76" i="112"/>
  <c r="J76" i="112"/>
  <c r="J69" i="112"/>
  <c r="G70" i="112"/>
  <c r="D59" i="112"/>
  <c r="G58" i="112"/>
  <c r="B53" i="112"/>
  <c r="G52" i="112"/>
  <c r="D35" i="112"/>
  <c r="G34" i="112"/>
  <c r="J27" i="112"/>
  <c r="G28" i="112"/>
  <c r="B23" i="112"/>
  <c r="G22" i="112"/>
  <c r="G15" i="112"/>
  <c r="G16" i="112"/>
  <c r="J16" i="112"/>
  <c r="B11" i="112"/>
  <c r="G10" i="112"/>
  <c r="G33" i="112"/>
  <c r="G105" i="112"/>
  <c r="G93" i="112"/>
  <c r="G57" i="112"/>
  <c r="G75" i="112"/>
  <c r="D95" i="112"/>
  <c r="G96" i="112" s="1"/>
  <c r="C109" i="112"/>
  <c r="G99" i="112"/>
  <c r="C11" i="112"/>
  <c r="C13" i="112" s="1"/>
  <c r="R26" i="113"/>
  <c r="J65" i="112" l="1"/>
  <c r="J66" i="112" s="1"/>
  <c r="B67" i="112"/>
  <c r="G65" i="112"/>
  <c r="G66" i="112"/>
  <c r="J70" i="112"/>
  <c r="J28" i="112"/>
  <c r="O21" i="113"/>
  <c r="O33" i="113"/>
  <c r="O25" i="113"/>
  <c r="O29" i="113"/>
  <c r="O38" i="113"/>
  <c r="R22" i="113"/>
  <c r="R35" i="113"/>
  <c r="R30" i="113"/>
  <c r="J67" i="112" l="1"/>
  <c r="J68" i="112" s="1"/>
  <c r="G68" i="112"/>
  <c r="G67" i="112"/>
  <c r="G102" i="112"/>
  <c r="G84" i="112"/>
  <c r="D61" i="112"/>
  <c r="J53" i="112"/>
  <c r="D37" i="112"/>
  <c r="B13" i="112"/>
  <c r="G14" i="112" s="1"/>
  <c r="G12" i="112"/>
  <c r="D97" i="112"/>
  <c r="G95" i="112"/>
  <c r="J107" i="112"/>
  <c r="B109" i="112"/>
  <c r="D107" i="112"/>
  <c r="J105" i="112"/>
  <c r="J101" i="112"/>
  <c r="B103" i="112"/>
  <c r="G104" i="112" s="1"/>
  <c r="J99" i="112"/>
  <c r="B97" i="112"/>
  <c r="J95" i="112"/>
  <c r="J93" i="112"/>
  <c r="G83" i="112"/>
  <c r="B85" i="112"/>
  <c r="J83" i="112"/>
  <c r="G81" i="112"/>
  <c r="J81" i="112"/>
  <c r="D79" i="112"/>
  <c r="B77" i="112"/>
  <c r="G78" i="112" s="1"/>
  <c r="G69" i="112"/>
  <c r="B71" i="112"/>
  <c r="J51" i="112"/>
  <c r="G51" i="112"/>
  <c r="J33" i="112"/>
  <c r="B17" i="112"/>
  <c r="B19" i="112" s="1"/>
  <c r="J19" i="112" s="1"/>
  <c r="C17" i="112"/>
  <c r="G9" i="112"/>
  <c r="J9" i="112"/>
  <c r="F9" i="112" s="1"/>
  <c r="C31" i="112"/>
  <c r="J23" i="112"/>
  <c r="B25" i="112"/>
  <c r="B35" i="112"/>
  <c r="C53" i="112"/>
  <c r="G54" i="112" s="1"/>
  <c r="C59" i="112"/>
  <c r="C35" i="112"/>
  <c r="A25" i="112"/>
  <c r="B29" i="112"/>
  <c r="G30" i="112" s="1"/>
  <c r="B55" i="112"/>
  <c r="B59" i="112"/>
  <c r="A21" i="112"/>
  <c r="A23" i="112"/>
  <c r="C23" i="112"/>
  <c r="G23" i="112" s="1"/>
  <c r="G27" i="112"/>
  <c r="D17" i="112"/>
  <c r="G21" i="112"/>
  <c r="J21" i="112"/>
  <c r="O39" i="113"/>
  <c r="P27" i="113"/>
  <c r="P36" i="113"/>
  <c r="Q23" i="113"/>
  <c r="R32" i="113"/>
  <c r="Q22" i="113"/>
  <c r="O40" i="113"/>
  <c r="R39" i="113"/>
  <c r="G86" i="112" l="1"/>
  <c r="B87" i="112"/>
  <c r="F21" i="112"/>
  <c r="J102" i="112"/>
  <c r="J54" i="112"/>
  <c r="J24" i="112"/>
  <c r="F23" i="112"/>
  <c r="J84" i="112"/>
  <c r="J108" i="112"/>
  <c r="J96" i="112"/>
  <c r="J20" i="112"/>
  <c r="P24" i="113"/>
  <c r="R21" i="113"/>
  <c r="Q39" i="113"/>
  <c r="O36" i="113"/>
  <c r="P30" i="113"/>
  <c r="O41" i="113"/>
  <c r="O26" i="113"/>
  <c r="Q27" i="113"/>
  <c r="R24" i="113"/>
  <c r="P32" i="113"/>
  <c r="P31" i="113"/>
  <c r="O35" i="113"/>
  <c r="R41" i="113"/>
  <c r="P39" i="113"/>
  <c r="Q29" i="113"/>
  <c r="Q35" i="113"/>
  <c r="O31" i="113"/>
  <c r="O24" i="113"/>
  <c r="Q26" i="113"/>
  <c r="R37" i="113"/>
  <c r="O37" i="113"/>
  <c r="R29" i="113"/>
  <c r="R28" i="113"/>
  <c r="Q33" i="113"/>
  <c r="Q36" i="113"/>
  <c r="R27" i="113"/>
  <c r="P22" i="113"/>
  <c r="O32" i="113"/>
  <c r="R36" i="113"/>
  <c r="Q37" i="113"/>
  <c r="P41" i="113"/>
  <c r="P37" i="113"/>
  <c r="Q30" i="113"/>
  <c r="Q21" i="113"/>
  <c r="P28" i="113"/>
  <c r="P40" i="113"/>
  <c r="R23" i="113"/>
  <c r="Q38" i="113"/>
  <c r="R40" i="113"/>
  <c r="Q28" i="113"/>
  <c r="Q40" i="113"/>
  <c r="Q32" i="113"/>
  <c r="P26" i="113"/>
  <c r="Q31" i="113"/>
  <c r="O23" i="113"/>
  <c r="Q24" i="113"/>
  <c r="Q41" i="113"/>
  <c r="P23" i="113"/>
  <c r="R33" i="113"/>
  <c r="Q25" i="113"/>
  <c r="R38" i="113"/>
  <c r="R25" i="113"/>
  <c r="O22" i="113"/>
  <c r="V34" i="113" l="1"/>
  <c r="O114" i="112" s="1"/>
  <c r="O113" i="112" s="1"/>
  <c r="T34" i="113"/>
  <c r="U34" i="113"/>
  <c r="O112" i="112" s="1"/>
  <c r="O111" i="112" s="1"/>
  <c r="G88" i="112"/>
  <c r="J87" i="112"/>
  <c r="G87" i="112"/>
  <c r="B89" i="112"/>
  <c r="U31" i="113"/>
  <c r="O94" i="112" s="1"/>
  <c r="O93" i="112" s="1"/>
  <c r="U33" i="113"/>
  <c r="O106" i="112" s="1"/>
  <c r="O105" i="112" s="1"/>
  <c r="V26" i="113"/>
  <c r="O54" i="112" s="1"/>
  <c r="O53" i="112" s="1"/>
  <c r="W37" i="113"/>
  <c r="V38" i="113"/>
  <c r="W24" i="113"/>
  <c r="U30" i="113"/>
  <c r="O82" i="112" s="1"/>
  <c r="O81" i="112" s="1"/>
  <c r="W21" i="113"/>
  <c r="O14" i="112" s="1"/>
  <c r="O13" i="112" s="1"/>
  <c r="W22" i="113"/>
  <c r="O20" i="112" s="1"/>
  <c r="O19" i="112" s="1"/>
  <c r="V29" i="113"/>
  <c r="O78" i="112" s="1"/>
  <c r="O77" i="112" s="1"/>
  <c r="W28" i="113"/>
  <c r="U32" i="113"/>
  <c r="O100" i="112" s="1"/>
  <c r="O99" i="112" s="1"/>
  <c r="V37" i="113"/>
  <c r="U24" i="113"/>
  <c r="O28" i="112" s="1"/>
  <c r="O27" i="112" s="1"/>
  <c r="W25" i="113"/>
  <c r="V25" i="113"/>
  <c r="O35" i="112" s="1"/>
  <c r="U23" i="113"/>
  <c r="O22" i="112" s="1"/>
  <c r="O21" i="112" s="1"/>
  <c r="V40" i="113"/>
  <c r="U26" i="113"/>
  <c r="O52" i="112" s="1"/>
  <c r="O51" i="112" s="1"/>
  <c r="U29" i="113"/>
  <c r="O76" i="112" s="1"/>
  <c r="O75" i="112" s="1"/>
  <c r="V28" i="113"/>
  <c r="O72" i="112" s="1"/>
  <c r="O71" i="112" s="1"/>
  <c r="W38" i="113"/>
  <c r="V31" i="113"/>
  <c r="O96" i="112" s="1"/>
  <c r="O95" i="112" s="1"/>
  <c r="V39" i="113"/>
  <c r="U22" i="113"/>
  <c r="O16" i="112" s="1"/>
  <c r="O15" i="112" s="1"/>
  <c r="U25" i="113"/>
  <c r="O34" i="112" s="1"/>
  <c r="O33" i="112" s="1"/>
  <c r="U28" i="113"/>
  <c r="O70" i="112" s="1"/>
  <c r="O69" i="112" s="1"/>
  <c r="W27" i="113"/>
  <c r="W30" i="113"/>
  <c r="W26" i="113"/>
  <c r="O56" i="112" s="1"/>
  <c r="O55" i="112" s="1"/>
  <c r="W40" i="113"/>
  <c r="W29" i="113"/>
  <c r="V30" i="113"/>
  <c r="O84" i="112" s="1"/>
  <c r="O83" i="112" s="1"/>
  <c r="V33" i="113"/>
  <c r="O108" i="112" s="1"/>
  <c r="O107" i="112" s="1"/>
  <c r="W23" i="113"/>
  <c r="W41" i="113"/>
  <c r="V41" i="113"/>
  <c r="V35" i="113"/>
  <c r="V36" i="113"/>
  <c r="V32" i="113"/>
  <c r="O102" i="112" s="1"/>
  <c r="O101" i="112" s="1"/>
  <c r="V24" i="113"/>
  <c r="O30" i="112" s="1"/>
  <c r="O29" i="112" s="1"/>
  <c r="V27" i="113"/>
  <c r="O60" i="112" s="1"/>
  <c r="O59" i="112" s="1"/>
  <c r="W36" i="113"/>
  <c r="W39" i="113"/>
  <c r="W35" i="113"/>
  <c r="V23" i="113"/>
  <c r="O24" i="112" s="1"/>
  <c r="O23" i="112" s="1"/>
  <c r="U27" i="113"/>
  <c r="O58" i="112" s="1"/>
  <c r="O57" i="112" s="1"/>
  <c r="V22" i="113"/>
  <c r="O18" i="112" s="1"/>
  <c r="O17" i="112" s="1"/>
  <c r="G107" i="112"/>
  <c r="G108" i="112"/>
  <c r="J106" i="112"/>
  <c r="J100" i="112"/>
  <c r="G98" i="112"/>
  <c r="J94" i="112"/>
  <c r="G18" i="112"/>
  <c r="J82" i="112"/>
  <c r="G72" i="112"/>
  <c r="G60" i="112"/>
  <c r="G36" i="112"/>
  <c r="J52" i="112"/>
  <c r="G35" i="112"/>
  <c r="J34" i="112"/>
  <c r="G24" i="112"/>
  <c r="J22" i="112"/>
  <c r="J10" i="112"/>
  <c r="G59" i="112"/>
  <c r="G17" i="112"/>
  <c r="G77" i="112"/>
  <c r="G97" i="112"/>
  <c r="J109" i="112"/>
  <c r="J110" i="112" s="1"/>
  <c r="J85" i="112"/>
  <c r="J97" i="112"/>
  <c r="J103" i="112"/>
  <c r="J17" i="112"/>
  <c r="S24" i="113"/>
  <c r="T36" i="113"/>
  <c r="T32" i="113"/>
  <c r="S28" i="113"/>
  <c r="S32" i="113"/>
  <c r="T35" i="113"/>
  <c r="T38" i="113"/>
  <c r="S22" i="113"/>
  <c r="T33" i="113"/>
  <c r="T31" i="113"/>
  <c r="S29" i="113"/>
  <c r="S26" i="113"/>
  <c r="S25" i="113"/>
  <c r="S23" i="113"/>
  <c r="S41" i="113"/>
  <c r="S27" i="113"/>
  <c r="T39" i="113"/>
  <c r="S30" i="113"/>
  <c r="S37" i="113"/>
  <c r="S33" i="113"/>
  <c r="T23" i="113"/>
  <c r="S35" i="113"/>
  <c r="T22" i="113"/>
  <c r="T21" i="113"/>
  <c r="T25" i="113"/>
  <c r="T41" i="113"/>
  <c r="V21" i="113"/>
  <c r="O12" i="112" s="1"/>
  <c r="O11" i="112" s="1"/>
  <c r="S21" i="113"/>
  <c r="S38" i="113"/>
  <c r="S36" i="113"/>
  <c r="S39" i="113"/>
  <c r="T37" i="113"/>
  <c r="T40" i="113"/>
  <c r="T24" i="113"/>
  <c r="S40" i="113"/>
  <c r="U21" i="113"/>
  <c r="O10" i="112" s="1"/>
  <c r="O9" i="112" s="1"/>
  <c r="D109" i="112"/>
  <c r="G110" i="112" s="1"/>
  <c r="G101" i="112"/>
  <c r="G103" i="112"/>
  <c r="G85" i="112"/>
  <c r="B79" i="112"/>
  <c r="J77" i="112"/>
  <c r="J71" i="112"/>
  <c r="B73" i="112"/>
  <c r="G74" i="112" s="1"/>
  <c r="G71" i="112"/>
  <c r="J25" i="112"/>
  <c r="G53" i="112"/>
  <c r="C37" i="112"/>
  <c r="K23" i="112"/>
  <c r="K24" i="112" s="1"/>
  <c r="A29" i="112"/>
  <c r="K21" i="112"/>
  <c r="K22" i="112" s="1"/>
  <c r="A27" i="112"/>
  <c r="F27" i="112" s="1"/>
  <c r="C61" i="112"/>
  <c r="B61" i="112"/>
  <c r="J59" i="112"/>
  <c r="D19" i="112"/>
  <c r="J55" i="112"/>
  <c r="C55" i="112"/>
  <c r="J11" i="112"/>
  <c r="G11" i="112"/>
  <c r="G29" i="112"/>
  <c r="J29" i="112"/>
  <c r="B31" i="112"/>
  <c r="G32" i="112" s="1"/>
  <c r="K25" i="112"/>
  <c r="K26" i="112" s="1"/>
  <c r="A31" i="112"/>
  <c r="C25" i="112"/>
  <c r="J35" i="112"/>
  <c r="B37" i="112"/>
  <c r="B45" i="112" s="1"/>
  <c r="C19" i="112"/>
  <c r="F19" i="112" s="1"/>
  <c r="O30" i="113"/>
  <c r="P35" i="113"/>
  <c r="R31" i="113"/>
  <c r="W34" i="113" l="1"/>
  <c r="O116" i="112" s="1"/>
  <c r="O115" i="112" s="1"/>
  <c r="G90" i="112"/>
  <c r="J89" i="112"/>
  <c r="G89" i="112"/>
  <c r="B91" i="112"/>
  <c r="J88" i="112"/>
  <c r="G79" i="112"/>
  <c r="B47" i="112"/>
  <c r="G46" i="112"/>
  <c r="G45" i="112"/>
  <c r="J45" i="112"/>
  <c r="J46" i="112" s="1"/>
  <c r="W31" i="113"/>
  <c r="O98" i="112" s="1"/>
  <c r="O97" i="112" s="1"/>
  <c r="S31" i="113"/>
  <c r="W33" i="113"/>
  <c r="W32" i="113"/>
  <c r="O104" i="112" s="1"/>
  <c r="O103" i="112" s="1"/>
  <c r="T29" i="113"/>
  <c r="T26" i="113"/>
  <c r="T28" i="113"/>
  <c r="T30" i="113"/>
  <c r="T27" i="113"/>
  <c r="U35" i="113"/>
  <c r="U38" i="113"/>
  <c r="U36" i="113"/>
  <c r="U40" i="113"/>
  <c r="U39" i="113"/>
  <c r="U41" i="113"/>
  <c r="U37" i="113"/>
  <c r="J26" i="112"/>
  <c r="F25" i="112"/>
  <c r="J56" i="112"/>
  <c r="J36" i="112"/>
  <c r="J60" i="112"/>
  <c r="J72" i="112"/>
  <c r="J12" i="112"/>
  <c r="F11" i="112"/>
  <c r="J86" i="112"/>
  <c r="J78" i="112"/>
  <c r="J30" i="112"/>
  <c r="F29" i="112"/>
  <c r="J18" i="112"/>
  <c r="F17" i="112"/>
  <c r="J104" i="112"/>
  <c r="J98" i="112"/>
  <c r="G109" i="112"/>
  <c r="G38" i="112"/>
  <c r="G80" i="112"/>
  <c r="G62" i="112"/>
  <c r="G56" i="112"/>
  <c r="G26" i="112"/>
  <c r="G20" i="112"/>
  <c r="G37" i="112"/>
  <c r="G61" i="112"/>
  <c r="G19" i="112"/>
  <c r="J73" i="112"/>
  <c r="J79" i="112"/>
  <c r="O26" i="112"/>
  <c r="O25" i="112" s="1"/>
  <c r="O62" i="112"/>
  <c r="O61" i="112" s="1"/>
  <c r="O38" i="112"/>
  <c r="O37" i="112" s="1"/>
  <c r="O80" i="112"/>
  <c r="O79" i="112" s="1"/>
  <c r="O74" i="112"/>
  <c r="O73" i="112" s="1"/>
  <c r="O32" i="112"/>
  <c r="O31" i="112" s="1"/>
  <c r="O86" i="112"/>
  <c r="O85" i="112" s="1"/>
  <c r="G73" i="112"/>
  <c r="J31" i="112"/>
  <c r="G31" i="112"/>
  <c r="J37" i="112"/>
  <c r="A33" i="112"/>
  <c r="A39" i="112" s="1"/>
  <c r="K27" i="112"/>
  <c r="K28" i="112" s="1"/>
  <c r="G55" i="112"/>
  <c r="G25" i="112"/>
  <c r="J13" i="112"/>
  <c r="G13" i="112"/>
  <c r="A37" i="112"/>
  <c r="K31" i="112"/>
  <c r="K32" i="112" s="1"/>
  <c r="K29" i="112"/>
  <c r="K30" i="112" s="1"/>
  <c r="A35" i="112"/>
  <c r="A41" i="112" s="1"/>
  <c r="J61" i="112"/>
  <c r="K39" i="112" l="1"/>
  <c r="K40" i="112" s="1"/>
  <c r="F39" i="112"/>
  <c r="K41" i="112"/>
  <c r="K42" i="112" s="1"/>
  <c r="F41" i="112"/>
  <c r="A49" i="112"/>
  <c r="A43" i="112"/>
  <c r="G92" i="112"/>
  <c r="J91" i="112"/>
  <c r="G91" i="112"/>
  <c r="J90" i="112"/>
  <c r="O110" i="112"/>
  <c r="O109" i="112" s="1"/>
  <c r="J47" i="112"/>
  <c r="J48" i="112" s="1"/>
  <c r="B49" i="112"/>
  <c r="G48" i="112"/>
  <c r="G47" i="112"/>
  <c r="F35" i="112"/>
  <c r="A47" i="112"/>
  <c r="K49" i="112"/>
  <c r="K50" i="112" s="1"/>
  <c r="F33" i="112"/>
  <c r="A45" i="112"/>
  <c r="J38" i="112"/>
  <c r="F37" i="112"/>
  <c r="J74" i="112"/>
  <c r="J32" i="112"/>
  <c r="F31" i="112"/>
  <c r="J80" i="112"/>
  <c r="J62" i="112"/>
  <c r="J14" i="112"/>
  <c r="F13" i="112"/>
  <c r="A53" i="112"/>
  <c r="F53" i="112" s="1"/>
  <c r="K35" i="112"/>
  <c r="K36" i="112" s="1"/>
  <c r="A55" i="112"/>
  <c r="F55" i="112" s="1"/>
  <c r="K37" i="112"/>
  <c r="K38" i="112" s="1"/>
  <c r="A51" i="112"/>
  <c r="F51" i="112" s="1"/>
  <c r="K33" i="112"/>
  <c r="K34" i="112" s="1"/>
  <c r="K43" i="112" l="1"/>
  <c r="K44" i="112" s="1"/>
  <c r="F43" i="112"/>
  <c r="J92" i="112"/>
  <c r="J49" i="112"/>
  <c r="G50" i="112"/>
  <c r="G49" i="112"/>
  <c r="K45" i="112"/>
  <c r="K46" i="112" s="1"/>
  <c r="F45" i="112"/>
  <c r="K47" i="112"/>
  <c r="K48" i="112" s="1"/>
  <c r="F47" i="112"/>
  <c r="A57" i="112"/>
  <c r="A63" i="112" s="1"/>
  <c r="K51" i="112"/>
  <c r="K52" i="112" s="1"/>
  <c r="A59" i="112"/>
  <c r="A65" i="112" s="1"/>
  <c r="K53" i="112"/>
  <c r="K54" i="112" s="1"/>
  <c r="A61" i="112"/>
  <c r="A67" i="112" s="1"/>
  <c r="K55" i="112"/>
  <c r="K56" i="112" s="1"/>
  <c r="K65" i="112" l="1"/>
  <c r="K66" i="112" s="1"/>
  <c r="F65" i="112"/>
  <c r="K63" i="112"/>
  <c r="K64" i="112" s="1"/>
  <c r="F63" i="112"/>
  <c r="K67" i="112"/>
  <c r="K68" i="112" s="1"/>
  <c r="F67" i="112"/>
  <c r="J50" i="112"/>
  <c r="F49" i="112"/>
  <c r="F57" i="112"/>
  <c r="F59" i="112"/>
  <c r="F61" i="112"/>
  <c r="K57" i="112"/>
  <c r="K58" i="112" s="1"/>
  <c r="A69" i="112"/>
  <c r="F69" i="112" s="1"/>
  <c r="K61" i="112"/>
  <c r="K62" i="112" s="1"/>
  <c r="A73" i="112"/>
  <c r="F73" i="112" s="1"/>
  <c r="K59" i="112"/>
  <c r="K60" i="112" s="1"/>
  <c r="A71" i="112"/>
  <c r="F71" i="112" s="1"/>
  <c r="K71" i="112" l="1"/>
  <c r="K72" i="112" s="1"/>
  <c r="A77" i="112"/>
  <c r="K73" i="112"/>
  <c r="K74" i="112" s="1"/>
  <c r="A79" i="112"/>
  <c r="A75" i="112"/>
  <c r="K69" i="112"/>
  <c r="K70" i="112" s="1"/>
  <c r="O118" i="111"/>
  <c r="O121" i="111" s="1"/>
  <c r="O46" i="111"/>
  <c r="O56" i="111" s="1"/>
  <c r="U81" i="111"/>
  <c r="O80" i="111"/>
  <c r="O79" i="111"/>
  <c r="P79" i="111" s="1"/>
  <c r="Q79" i="111" s="1"/>
  <c r="R79" i="111" s="1"/>
  <c r="S79" i="111" s="1"/>
  <c r="P74" i="111"/>
  <c r="Q74" i="111" s="1"/>
  <c r="R74" i="111" s="1"/>
  <c r="S74" i="111" s="1"/>
  <c r="B74" i="111"/>
  <c r="U71" i="111"/>
  <c r="P66" i="111"/>
  <c r="Q66" i="111" s="1"/>
  <c r="R66" i="111" s="1"/>
  <c r="S66" i="111" s="1"/>
  <c r="O66" i="111"/>
  <c r="O76" i="111" s="1"/>
  <c r="P76" i="111" s="1"/>
  <c r="Q76" i="111" s="1"/>
  <c r="R76" i="111" s="1"/>
  <c r="S76" i="111" s="1"/>
  <c r="P64" i="111"/>
  <c r="Q64" i="111" s="1"/>
  <c r="R64" i="111" s="1"/>
  <c r="S64" i="111" s="1"/>
  <c r="B64" i="111"/>
  <c r="P54" i="111"/>
  <c r="Q54" i="111" s="1"/>
  <c r="R54" i="111" s="1"/>
  <c r="S54" i="111" s="1"/>
  <c r="U51" i="111"/>
  <c r="P44" i="111"/>
  <c r="Q44" i="111" s="1"/>
  <c r="R44" i="111" s="1"/>
  <c r="S44" i="111" s="1"/>
  <c r="P102" i="111"/>
  <c r="P103" i="111" s="1"/>
  <c r="Q102" i="111"/>
  <c r="Q103" i="111" s="1"/>
  <c r="R102" i="111"/>
  <c r="R111" i="111" s="1"/>
  <c r="S102" i="111"/>
  <c r="S103" i="111" s="1"/>
  <c r="O102" i="111"/>
  <c r="O103" i="111" s="1"/>
  <c r="O112" i="111" s="1"/>
  <c r="B25" i="111"/>
  <c r="B101" i="111"/>
  <c r="P110" i="111"/>
  <c r="Q110" i="111" s="1"/>
  <c r="R110" i="111" s="1"/>
  <c r="S110" i="111" s="1"/>
  <c r="P109" i="111"/>
  <c r="Q109" i="111" s="1"/>
  <c r="R109" i="111" s="1"/>
  <c r="S109" i="111" s="1"/>
  <c r="B109" i="111"/>
  <c r="AK36" i="14"/>
  <c r="AK37" i="14"/>
  <c r="AK38" i="14"/>
  <c r="B8" i="111"/>
  <c r="B16" i="111"/>
  <c r="B84" i="111"/>
  <c r="B92" i="111"/>
  <c r="B118" i="111"/>
  <c r="F75" i="112" l="1"/>
  <c r="F79" i="112"/>
  <c r="F77" i="112"/>
  <c r="O81" i="111"/>
  <c r="O67" i="111"/>
  <c r="O68" i="111" s="1"/>
  <c r="O69" i="111" s="1"/>
  <c r="O78" i="111"/>
  <c r="P78" i="111" s="1"/>
  <c r="Q78" i="111" s="1"/>
  <c r="R78" i="111" s="1"/>
  <c r="S78" i="111" s="1"/>
  <c r="K75" i="112"/>
  <c r="K76" i="112" s="1"/>
  <c r="A81" i="112"/>
  <c r="K77" i="112"/>
  <c r="K78" i="112" s="1"/>
  <c r="A83" i="112"/>
  <c r="K79" i="112"/>
  <c r="K80" i="112" s="1"/>
  <c r="A85" i="112"/>
  <c r="P81" i="111"/>
  <c r="Q81" i="111" s="1"/>
  <c r="R81" i="111" s="1"/>
  <c r="S81" i="111" s="1"/>
  <c r="O82" i="111"/>
  <c r="P68" i="111"/>
  <c r="Q68" i="111" s="1"/>
  <c r="R68" i="111" s="1"/>
  <c r="S68" i="111" s="1"/>
  <c r="P67" i="111"/>
  <c r="Q67" i="111" s="1"/>
  <c r="R67" i="111" s="1"/>
  <c r="S67" i="111" s="1"/>
  <c r="P80" i="111"/>
  <c r="Q80" i="111" s="1"/>
  <c r="R80" i="111" s="1"/>
  <c r="S80" i="111" s="1"/>
  <c r="O47" i="111"/>
  <c r="R103" i="111"/>
  <c r="R104" i="111" s="1"/>
  <c r="R105" i="111" s="1"/>
  <c r="R106" i="111" s="1"/>
  <c r="R107" i="111" s="1"/>
  <c r="R108" i="111" s="1"/>
  <c r="O111" i="111"/>
  <c r="Q112" i="111"/>
  <c r="Q104" i="111"/>
  <c r="Q105" i="111" s="1"/>
  <c r="Q106" i="111" s="1"/>
  <c r="Q107" i="111" s="1"/>
  <c r="Q108" i="111" s="1"/>
  <c r="O104" i="111"/>
  <c r="O105" i="111" s="1"/>
  <c r="O106" i="111" s="1"/>
  <c r="O107" i="111" s="1"/>
  <c r="O108" i="111" s="1"/>
  <c r="P112" i="111"/>
  <c r="P104" i="111"/>
  <c r="P105" i="111" s="1"/>
  <c r="P106" i="111" s="1"/>
  <c r="P107" i="111" s="1"/>
  <c r="P108" i="111" s="1"/>
  <c r="S104" i="111"/>
  <c r="S105" i="111" s="1"/>
  <c r="S106" i="111" s="1"/>
  <c r="S107" i="111" s="1"/>
  <c r="S108" i="111" s="1"/>
  <c r="S112" i="111"/>
  <c r="S111" i="111"/>
  <c r="Q111" i="111"/>
  <c r="P111" i="111"/>
  <c r="O117" i="111"/>
  <c r="P117" i="111" s="1"/>
  <c r="Q117" i="111" s="1"/>
  <c r="R117" i="111" s="1"/>
  <c r="S117" i="111" s="1"/>
  <c r="O35" i="111"/>
  <c r="O43" i="111" s="1"/>
  <c r="C42" i="100"/>
  <c r="C41" i="100"/>
  <c r="C40" i="100"/>
  <c r="C39" i="100"/>
  <c r="C38" i="100"/>
  <c r="C32" i="100"/>
  <c r="C31" i="100"/>
  <c r="C30" i="100"/>
  <c r="H7" i="100"/>
  <c r="H6" i="100"/>
  <c r="P92" i="111"/>
  <c r="Q92" i="111" s="1"/>
  <c r="R92" i="111" s="1"/>
  <c r="S92" i="111" s="1"/>
  <c r="O97" i="111"/>
  <c r="O100" i="111" s="1"/>
  <c r="P100" i="111" s="1"/>
  <c r="Q100" i="111" s="1"/>
  <c r="R100" i="111" s="1"/>
  <c r="S100" i="111" s="1"/>
  <c r="O96" i="111"/>
  <c r="P96" i="111" s="1"/>
  <c r="Q96" i="111" s="1"/>
  <c r="R96" i="111" s="1"/>
  <c r="S96" i="111" s="1"/>
  <c r="O93" i="111"/>
  <c r="P93" i="111" s="1"/>
  <c r="Q93" i="111" s="1"/>
  <c r="R93" i="111" s="1"/>
  <c r="S93" i="111" s="1"/>
  <c r="O87" i="111"/>
  <c r="P87" i="111" s="1"/>
  <c r="Q87" i="111" s="1"/>
  <c r="R87" i="111" s="1"/>
  <c r="S87" i="111" s="1"/>
  <c r="O84" i="111"/>
  <c r="P84" i="111" s="1"/>
  <c r="Q84" i="111" s="1"/>
  <c r="R84" i="111" s="1"/>
  <c r="S84" i="111" s="1"/>
  <c r="U61" i="111"/>
  <c r="P49" i="111" l="1"/>
  <c r="Q49" i="111" s="1"/>
  <c r="R49" i="111" s="1"/>
  <c r="S49" i="111" s="1"/>
  <c r="P59" i="111"/>
  <c r="Q59" i="111" s="1"/>
  <c r="R59" i="111" s="1"/>
  <c r="S59" i="111" s="1"/>
  <c r="F85" i="112"/>
  <c r="A91" i="112"/>
  <c r="F83" i="112"/>
  <c r="A89" i="112"/>
  <c r="F81" i="112"/>
  <c r="A87" i="112"/>
  <c r="O77" i="111"/>
  <c r="P77" i="111" s="1"/>
  <c r="Q77" i="111" s="1"/>
  <c r="R77" i="111" s="1"/>
  <c r="S77" i="111" s="1"/>
  <c r="K81" i="112"/>
  <c r="K82" i="112" s="1"/>
  <c r="A93" i="112"/>
  <c r="F93" i="112" s="1"/>
  <c r="K85" i="112"/>
  <c r="K86" i="112" s="1"/>
  <c r="A97" i="112"/>
  <c r="F97" i="112" s="1"/>
  <c r="K83" i="112"/>
  <c r="K84" i="112" s="1"/>
  <c r="A95" i="112"/>
  <c r="F95" i="112" s="1"/>
  <c r="O70" i="111"/>
  <c r="P69" i="111"/>
  <c r="Q69" i="111" s="1"/>
  <c r="R69" i="111" s="1"/>
  <c r="S69" i="111" s="1"/>
  <c r="O83" i="111"/>
  <c r="P83" i="111" s="1"/>
  <c r="Q83" i="111" s="1"/>
  <c r="R83" i="111" s="1"/>
  <c r="S83" i="111" s="1"/>
  <c r="P82" i="111"/>
  <c r="Q82" i="111" s="1"/>
  <c r="R82" i="111" s="1"/>
  <c r="S82" i="111" s="1"/>
  <c r="R112" i="111"/>
  <c r="P48" i="111"/>
  <c r="Q48" i="111" s="1"/>
  <c r="R48" i="111" s="1"/>
  <c r="S48" i="111" s="1"/>
  <c r="P97" i="111"/>
  <c r="Q97" i="111" s="1"/>
  <c r="R97" i="111" s="1"/>
  <c r="S97" i="111" s="1"/>
  <c r="P121" i="111"/>
  <c r="Q121" i="111" s="1"/>
  <c r="R121" i="111" s="1"/>
  <c r="S121" i="111" s="1"/>
  <c r="O125" i="111"/>
  <c r="P125" i="111" s="1"/>
  <c r="Q125" i="111" s="1"/>
  <c r="R125" i="111" s="1"/>
  <c r="S125" i="111" s="1"/>
  <c r="P118" i="111"/>
  <c r="Q118" i="111" s="1"/>
  <c r="R118" i="111" s="1"/>
  <c r="S118" i="111" s="1"/>
  <c r="P35" i="111"/>
  <c r="Q35" i="111" s="1"/>
  <c r="R35" i="111" s="1"/>
  <c r="S35" i="111" s="1"/>
  <c r="O91" i="111"/>
  <c r="P91" i="111" s="1"/>
  <c r="Q91" i="111" s="1"/>
  <c r="R91" i="111" s="1"/>
  <c r="S91" i="111" s="1"/>
  <c r="P34" i="111"/>
  <c r="Q34" i="111" s="1"/>
  <c r="R34" i="111" s="1"/>
  <c r="S34" i="111" s="1"/>
  <c r="P60" i="111" l="1"/>
  <c r="Q60" i="111" s="1"/>
  <c r="R60" i="111" s="1"/>
  <c r="S60" i="111" s="1"/>
  <c r="K89" i="112"/>
  <c r="K90" i="112" s="1"/>
  <c r="F89" i="112"/>
  <c r="K87" i="112"/>
  <c r="K88" i="112" s="1"/>
  <c r="F87" i="112"/>
  <c r="K91" i="112"/>
  <c r="K92" i="112" s="1"/>
  <c r="F91" i="112"/>
  <c r="P51" i="111"/>
  <c r="Q51" i="111" s="1"/>
  <c r="R51" i="111" s="1"/>
  <c r="S51" i="111" s="1"/>
  <c r="P50" i="111"/>
  <c r="Q50" i="111" s="1"/>
  <c r="R50" i="111" s="1"/>
  <c r="S50" i="111" s="1"/>
  <c r="K95" i="112"/>
  <c r="K96" i="112" s="1"/>
  <c r="A101" i="112"/>
  <c r="F101" i="112" s="1"/>
  <c r="K97" i="112"/>
  <c r="K98" i="112" s="1"/>
  <c r="A103" i="112"/>
  <c r="F103" i="112" s="1"/>
  <c r="K93" i="112"/>
  <c r="K94" i="112" s="1"/>
  <c r="A99" i="112"/>
  <c r="F99" i="112" s="1"/>
  <c r="O71" i="111"/>
  <c r="P70" i="111"/>
  <c r="Q70" i="111" s="1"/>
  <c r="R70" i="111" s="1"/>
  <c r="S70" i="111" s="1"/>
  <c r="P47" i="111"/>
  <c r="Q47" i="111" s="1"/>
  <c r="R47" i="111" s="1"/>
  <c r="S47" i="111" s="1"/>
  <c r="P46" i="111"/>
  <c r="P58" i="111"/>
  <c r="Q58" i="111" s="1"/>
  <c r="R58" i="111" s="1"/>
  <c r="S58" i="111" s="1"/>
  <c r="B34" i="111"/>
  <c r="P61" i="111" l="1"/>
  <c r="Q61" i="111" s="1"/>
  <c r="R61" i="111" s="1"/>
  <c r="S61" i="111" s="1"/>
  <c r="K103" i="112"/>
  <c r="K104" i="112" s="1"/>
  <c r="A109" i="112"/>
  <c r="A105" i="112"/>
  <c r="K99" i="112"/>
  <c r="K100" i="112" s="1"/>
  <c r="K101" i="112"/>
  <c r="K102" i="112" s="1"/>
  <c r="A107" i="112"/>
  <c r="P71" i="111"/>
  <c r="Q71" i="111" s="1"/>
  <c r="R71" i="111" s="1"/>
  <c r="S71" i="111" s="1"/>
  <c r="O72" i="111"/>
  <c r="Q46" i="111"/>
  <c r="P56" i="111"/>
  <c r="Q56" i="111" s="1"/>
  <c r="R56" i="111" s="1"/>
  <c r="S56" i="111" s="1"/>
  <c r="P57" i="111"/>
  <c r="Q57" i="111" s="1"/>
  <c r="R57" i="111" s="1"/>
  <c r="S57" i="111" s="1"/>
  <c r="O16" i="111"/>
  <c r="O17" i="111" s="1"/>
  <c r="O15" i="111"/>
  <c r="P9" i="111"/>
  <c r="Q9" i="111" s="1"/>
  <c r="R9" i="111" s="1"/>
  <c r="S9" i="111" s="1"/>
  <c r="P10" i="111"/>
  <c r="Q10" i="111" s="1"/>
  <c r="R10" i="111" s="1"/>
  <c r="S10" i="111" s="1"/>
  <c r="P11" i="111"/>
  <c r="Q11" i="111" s="1"/>
  <c r="R11" i="111" s="1"/>
  <c r="S11" i="111" s="1"/>
  <c r="P12" i="111"/>
  <c r="Q12" i="111" s="1"/>
  <c r="R12" i="111" s="1"/>
  <c r="S12" i="111" s="1"/>
  <c r="P13" i="111"/>
  <c r="Q13" i="111" s="1"/>
  <c r="R13" i="111" s="1"/>
  <c r="S13" i="111" s="1"/>
  <c r="P14" i="111"/>
  <c r="P15" i="111" s="1"/>
  <c r="P8" i="111"/>
  <c r="Q8" i="111" s="1"/>
  <c r="R8" i="111" s="1"/>
  <c r="S8" i="111" s="1"/>
  <c r="P62" i="111" l="1"/>
  <c r="Q62" i="111" s="1"/>
  <c r="R62" i="111" s="1"/>
  <c r="S62" i="111" s="1"/>
  <c r="P52" i="111"/>
  <c r="Q52" i="111" s="1"/>
  <c r="R52" i="111" s="1"/>
  <c r="S52" i="111" s="1"/>
  <c r="A121" i="112"/>
  <c r="F121" i="112" s="1"/>
  <c r="A115" i="112"/>
  <c r="A119" i="112"/>
  <c r="A113" i="112"/>
  <c r="A117" i="112"/>
  <c r="K117" i="112" s="1"/>
  <c r="K118" i="112" s="1"/>
  <c r="A111" i="112"/>
  <c r="K119" i="112"/>
  <c r="K120" i="112" s="1"/>
  <c r="A125" i="112"/>
  <c r="F119" i="112"/>
  <c r="K109" i="112"/>
  <c r="K110" i="112" s="1"/>
  <c r="F109" i="112"/>
  <c r="K107" i="112"/>
  <c r="K108" i="112" s="1"/>
  <c r="F107" i="112"/>
  <c r="K105" i="112"/>
  <c r="K106" i="112" s="1"/>
  <c r="F105" i="112"/>
  <c r="O73" i="111"/>
  <c r="P73" i="111" s="1"/>
  <c r="Q73" i="111" s="1"/>
  <c r="R73" i="111" s="1"/>
  <c r="S73" i="111" s="1"/>
  <c r="P72" i="111"/>
  <c r="Q72" i="111" s="1"/>
  <c r="R72" i="111" s="1"/>
  <c r="S72" i="111" s="1"/>
  <c r="R46" i="111"/>
  <c r="O18" i="111"/>
  <c r="P17" i="111"/>
  <c r="Q17" i="111" s="1"/>
  <c r="R17" i="111" s="1"/>
  <c r="S17" i="111" s="1"/>
  <c r="P16" i="111"/>
  <c r="Q16" i="111" s="1"/>
  <c r="R16" i="111" s="1"/>
  <c r="S16" i="111" s="1"/>
  <c r="Q14" i="111"/>
  <c r="P53" i="111" l="1"/>
  <c r="Q53" i="111" s="1"/>
  <c r="R53" i="111" s="1"/>
  <c r="S53" i="111" s="1"/>
  <c r="P63" i="111"/>
  <c r="Q63" i="111" s="1"/>
  <c r="R63" i="111" s="1"/>
  <c r="S63" i="111" s="1"/>
  <c r="K121" i="112"/>
  <c r="K122" i="112" s="1"/>
  <c r="A127" i="112"/>
  <c r="K111" i="112"/>
  <c r="K112" i="112" s="1"/>
  <c r="F111" i="112"/>
  <c r="K113" i="112"/>
  <c r="K114" i="112" s="1"/>
  <c r="F113" i="112"/>
  <c r="A123" i="112"/>
  <c r="K115" i="112"/>
  <c r="K116" i="112" s="1"/>
  <c r="F115" i="112"/>
  <c r="F117" i="112"/>
  <c r="K123" i="112"/>
  <c r="K124" i="112" s="1"/>
  <c r="F123" i="112"/>
  <c r="K125" i="112"/>
  <c r="K126" i="112" s="1"/>
  <c r="F125" i="112"/>
  <c r="K127" i="112"/>
  <c r="K128" i="112" s="1"/>
  <c r="F127" i="112"/>
  <c r="S46" i="111"/>
  <c r="O19" i="111"/>
  <c r="P18" i="111"/>
  <c r="Q18" i="111" s="1"/>
  <c r="R18" i="111" s="1"/>
  <c r="S18" i="111" s="1"/>
  <c r="R14" i="111"/>
  <c r="Q15" i="111"/>
  <c r="B28" i="11"/>
  <c r="D28" i="11"/>
  <c r="C28" i="11"/>
  <c r="AZ33" i="14"/>
  <c r="AG33" i="14"/>
  <c r="AF33" i="14"/>
  <c r="V33" i="14"/>
  <c r="W33" i="14" s="1"/>
  <c r="X33" i="14" s="1"/>
  <c r="Y33" i="14" s="1"/>
  <c r="Z33" i="14" s="1"/>
  <c r="AA33" i="14" s="1"/>
  <c r="AB33" i="14" s="1"/>
  <c r="AC33" i="14" s="1"/>
  <c r="AD33" i="14" s="1"/>
  <c r="AE33" i="14" s="1"/>
  <c r="K33" i="14"/>
  <c r="E33" i="14"/>
  <c r="C33" i="14"/>
  <c r="B33" i="14"/>
  <c r="A33" i="14"/>
  <c r="B10" i="11"/>
  <c r="B12" i="11"/>
  <c r="D13" i="11"/>
  <c r="B14" i="11"/>
  <c r="B15" i="11"/>
  <c r="B19" i="11"/>
  <c r="B22" i="11"/>
  <c r="B23" i="11"/>
  <c r="B26" i="11"/>
  <c r="B27" i="11"/>
  <c r="B147" i="109"/>
  <c r="C147" i="109"/>
  <c r="L147" i="109"/>
  <c r="L148" i="109" s="1"/>
  <c r="M147" i="109"/>
  <c r="M148" i="109" s="1"/>
  <c r="N147" i="109"/>
  <c r="N148" i="109" s="1"/>
  <c r="O147" i="109"/>
  <c r="P147" i="109"/>
  <c r="P148" i="109" s="1"/>
  <c r="Q147" i="109"/>
  <c r="Q148" i="109" s="1"/>
  <c r="V147" i="109"/>
  <c r="V148" i="109" s="1"/>
  <c r="W147" i="109"/>
  <c r="W148" i="109" s="1"/>
  <c r="B148" i="109"/>
  <c r="C148" i="109"/>
  <c r="E148" i="109"/>
  <c r="F148" i="109"/>
  <c r="G148" i="109"/>
  <c r="H148" i="109"/>
  <c r="I148" i="109"/>
  <c r="J148" i="109"/>
  <c r="O148" i="109"/>
  <c r="AZ148" i="109"/>
  <c r="B149" i="109"/>
  <c r="C149" i="109"/>
  <c r="K149" i="109"/>
  <c r="K150" i="109" s="1"/>
  <c r="V149" i="109"/>
  <c r="V150" i="109" s="1"/>
  <c r="X149" i="109"/>
  <c r="Y149" i="109" s="1"/>
  <c r="Z149" i="109" s="1"/>
  <c r="AF149" i="109"/>
  <c r="AF150" i="109" s="1"/>
  <c r="AZ149" i="109"/>
  <c r="AZ150" i="109" s="1"/>
  <c r="B150" i="109"/>
  <c r="C150" i="109"/>
  <c r="E150" i="109"/>
  <c r="F150" i="109"/>
  <c r="G150" i="109"/>
  <c r="H150" i="109"/>
  <c r="I150" i="109"/>
  <c r="J150" i="109"/>
  <c r="B151" i="109"/>
  <c r="C151" i="109"/>
  <c r="K151" i="109"/>
  <c r="K152" i="109" s="1"/>
  <c r="V151" i="109"/>
  <c r="V152" i="109" s="1"/>
  <c r="W151" i="109"/>
  <c r="W152" i="109" s="1"/>
  <c r="X151" i="109"/>
  <c r="X152" i="109" s="1"/>
  <c r="AF151" i="109"/>
  <c r="AF152" i="109" s="1"/>
  <c r="AZ151" i="109"/>
  <c r="AZ152" i="109" s="1"/>
  <c r="B152" i="109"/>
  <c r="C152" i="109"/>
  <c r="E152" i="109"/>
  <c r="F152" i="109"/>
  <c r="H152" i="109"/>
  <c r="I152" i="109"/>
  <c r="J152" i="109"/>
  <c r="B153" i="109"/>
  <c r="C153" i="109"/>
  <c r="K153" i="109"/>
  <c r="V153" i="109"/>
  <c r="W153" i="109" s="1"/>
  <c r="X153" i="109" s="1"/>
  <c r="Y153" i="109" s="1"/>
  <c r="Z153" i="109" s="1"/>
  <c r="AA153" i="109" s="1"/>
  <c r="AB153" i="109" s="1"/>
  <c r="AC153" i="109" s="1"/>
  <c r="AD153" i="109" s="1"/>
  <c r="AE153" i="109" s="1"/>
  <c r="AF153" i="109"/>
  <c r="AZ153" i="109"/>
  <c r="B154" i="109"/>
  <c r="C154" i="109"/>
  <c r="E154" i="109"/>
  <c r="L154" i="109"/>
  <c r="M154" i="109"/>
  <c r="N154" i="109"/>
  <c r="O154" i="109"/>
  <c r="P154" i="109"/>
  <c r="Q154" i="109"/>
  <c r="R154" i="109" s="1"/>
  <c r="S154" i="109" s="1"/>
  <c r="T154" i="109" s="1"/>
  <c r="U154" i="109" s="1"/>
  <c r="V154" i="109"/>
  <c r="W154" i="109" s="1"/>
  <c r="X154" i="109" s="1"/>
  <c r="Y154" i="109" s="1"/>
  <c r="Z154" i="109" s="1"/>
  <c r="AA154" i="109" s="1"/>
  <c r="AB154" i="109" s="1"/>
  <c r="AC154" i="109" s="1"/>
  <c r="AD154" i="109" s="1"/>
  <c r="AE154" i="109" s="1"/>
  <c r="AF154" i="109"/>
  <c r="AZ154" i="109"/>
  <c r="B155" i="109"/>
  <c r="C155" i="109"/>
  <c r="K155" i="109"/>
  <c r="V155" i="109"/>
  <c r="W155" i="109" s="1"/>
  <c r="X155" i="109" s="1"/>
  <c r="Y155" i="109" s="1"/>
  <c r="Z155" i="109" s="1"/>
  <c r="AA155" i="109" s="1"/>
  <c r="AB155" i="109" s="1"/>
  <c r="AC155" i="109" s="1"/>
  <c r="AD155" i="109" s="1"/>
  <c r="AE155" i="109" s="1"/>
  <c r="AF155" i="109"/>
  <c r="AZ155" i="109"/>
  <c r="A156" i="109"/>
  <c r="B156" i="109"/>
  <c r="C156" i="109"/>
  <c r="K156" i="109"/>
  <c r="V156" i="109"/>
  <c r="W156" i="109" s="1"/>
  <c r="X156" i="109" s="1"/>
  <c r="Y156" i="109" s="1"/>
  <c r="Z156" i="109" s="1"/>
  <c r="AA156" i="109" s="1"/>
  <c r="AB156" i="109" s="1"/>
  <c r="AC156" i="109" s="1"/>
  <c r="AD156" i="109" s="1"/>
  <c r="AE156" i="109" s="1"/>
  <c r="AF156" i="109"/>
  <c r="AZ156" i="109"/>
  <c r="A157" i="109"/>
  <c r="B157" i="109"/>
  <c r="C157" i="109"/>
  <c r="E157" i="109"/>
  <c r="E158" i="109" s="1"/>
  <c r="E159" i="109" s="1"/>
  <c r="K157" i="109"/>
  <c r="V157" i="109"/>
  <c r="W157" i="109"/>
  <c r="X157" i="109" s="1"/>
  <c r="Y157" i="109" s="1"/>
  <c r="Z157" i="109" s="1"/>
  <c r="AA157" i="109" s="1"/>
  <c r="AB157" i="109" s="1"/>
  <c r="AC157" i="109" s="1"/>
  <c r="AD157" i="109" s="1"/>
  <c r="AE157" i="109" s="1"/>
  <c r="AF157" i="109"/>
  <c r="AZ157" i="109"/>
  <c r="A158" i="109"/>
  <c r="B158" i="109"/>
  <c r="C158" i="109"/>
  <c r="K158" i="109"/>
  <c r="V158" i="109"/>
  <c r="W158" i="109" s="1"/>
  <c r="X158" i="109" s="1"/>
  <c r="Y158" i="109" s="1"/>
  <c r="Z158" i="109" s="1"/>
  <c r="AA158" i="109" s="1"/>
  <c r="AB158" i="109" s="1"/>
  <c r="AC158" i="109" s="1"/>
  <c r="AD158" i="109" s="1"/>
  <c r="AE158" i="109" s="1"/>
  <c r="AF158" i="109"/>
  <c r="AZ158" i="109"/>
  <c r="A159" i="109"/>
  <c r="B159" i="109"/>
  <c r="C159" i="109"/>
  <c r="H159" i="109"/>
  <c r="K159" i="109"/>
  <c r="V159" i="109"/>
  <c r="W159" i="109" s="1"/>
  <c r="X159" i="109" s="1"/>
  <c r="Y159" i="109" s="1"/>
  <c r="Z159" i="109" s="1"/>
  <c r="AA159" i="109" s="1"/>
  <c r="AB159" i="109" s="1"/>
  <c r="AC159" i="109" s="1"/>
  <c r="AD159" i="109" s="1"/>
  <c r="AE159" i="109" s="1"/>
  <c r="AF159" i="109"/>
  <c r="AZ159" i="109"/>
  <c r="E160" i="109"/>
  <c r="E161" i="109" s="1"/>
  <c r="E162" i="109" s="1"/>
  <c r="A160" i="109"/>
  <c r="B160" i="109"/>
  <c r="C160" i="109"/>
  <c r="K160" i="109"/>
  <c r="V160" i="109"/>
  <c r="W160" i="109"/>
  <c r="X160" i="109" s="1"/>
  <c r="Y160" i="109" s="1"/>
  <c r="Z160" i="109" s="1"/>
  <c r="AA160" i="109" s="1"/>
  <c r="AB160" i="109" s="1"/>
  <c r="AC160" i="109" s="1"/>
  <c r="AD160" i="109" s="1"/>
  <c r="AE160" i="109" s="1"/>
  <c r="AF160" i="109"/>
  <c r="AZ160" i="109"/>
  <c r="A161" i="109"/>
  <c r="B161" i="109"/>
  <c r="C161" i="109"/>
  <c r="K161" i="109"/>
  <c r="V161" i="109"/>
  <c r="W161" i="109"/>
  <c r="X161" i="109"/>
  <c r="Y161" i="109" s="1"/>
  <c r="Z161" i="109" s="1"/>
  <c r="AA161" i="109" s="1"/>
  <c r="AB161" i="109" s="1"/>
  <c r="AC161" i="109" s="1"/>
  <c r="AD161" i="109" s="1"/>
  <c r="AE161" i="109" s="1"/>
  <c r="AF161" i="109"/>
  <c r="AZ161" i="109"/>
  <c r="A162" i="109"/>
  <c r="B162" i="109"/>
  <c r="C162" i="109"/>
  <c r="H162" i="109"/>
  <c r="K162" i="109"/>
  <c r="V162" i="109"/>
  <c r="W162" i="109" s="1"/>
  <c r="X162" i="109" s="1"/>
  <c r="Y162" i="109" s="1"/>
  <c r="Z162" i="109" s="1"/>
  <c r="AA162" i="109" s="1"/>
  <c r="AB162" i="109" s="1"/>
  <c r="AC162" i="109" s="1"/>
  <c r="AD162" i="109" s="1"/>
  <c r="AE162" i="109" s="1"/>
  <c r="AF162" i="109"/>
  <c r="AZ162" i="109"/>
  <c r="B143" i="109"/>
  <c r="C143" i="109"/>
  <c r="E143" i="109"/>
  <c r="L143" i="109"/>
  <c r="M143" i="109" s="1"/>
  <c r="V143" i="109"/>
  <c r="W143" i="109" s="1"/>
  <c r="X143" i="109" s="1"/>
  <c r="Y143" i="109" s="1"/>
  <c r="Z143" i="109" s="1"/>
  <c r="AA143" i="109" s="1"/>
  <c r="AB143" i="109" s="1"/>
  <c r="AC143" i="109" s="1"/>
  <c r="AD143" i="109" s="1"/>
  <c r="AE143" i="109" s="1"/>
  <c r="AF143" i="109"/>
  <c r="G144" i="109"/>
  <c r="G143" i="109" s="1"/>
  <c r="A142" i="109"/>
  <c r="B142" i="109"/>
  <c r="C142" i="109"/>
  <c r="L142" i="109"/>
  <c r="M142" i="109" s="1"/>
  <c r="V142" i="109"/>
  <c r="W142" i="109" s="1"/>
  <c r="X142" i="109" s="1"/>
  <c r="Y142" i="109" s="1"/>
  <c r="Z142" i="109" s="1"/>
  <c r="AA142" i="109" s="1"/>
  <c r="AB142" i="109" s="1"/>
  <c r="AC142" i="109" s="1"/>
  <c r="AD142" i="109" s="1"/>
  <c r="AE142" i="109" s="1"/>
  <c r="AF142" i="109"/>
  <c r="B90" i="109"/>
  <c r="C90" i="109"/>
  <c r="E90" i="109"/>
  <c r="F90" i="109"/>
  <c r="B91" i="109"/>
  <c r="C91" i="109"/>
  <c r="E91" i="109"/>
  <c r="F91" i="109"/>
  <c r="B92" i="109"/>
  <c r="C92" i="109"/>
  <c r="E92" i="109"/>
  <c r="F92" i="109"/>
  <c r="B93" i="109"/>
  <c r="C93" i="109"/>
  <c r="E93" i="109"/>
  <c r="F93" i="109"/>
  <c r="B94" i="109"/>
  <c r="C94" i="109"/>
  <c r="E94" i="109"/>
  <c r="F94" i="109"/>
  <c r="B95" i="109"/>
  <c r="C95" i="109"/>
  <c r="E95" i="109"/>
  <c r="F95" i="109"/>
  <c r="A96" i="109"/>
  <c r="B96" i="109"/>
  <c r="C96" i="109"/>
  <c r="E96" i="109"/>
  <c r="F96" i="109"/>
  <c r="AF96" i="109"/>
  <c r="AZ96" i="109"/>
  <c r="I96" i="109" s="1"/>
  <c r="B97" i="109"/>
  <c r="C97" i="109"/>
  <c r="E97" i="109"/>
  <c r="F97" i="109"/>
  <c r="AF97" i="109"/>
  <c r="AZ97" i="109"/>
  <c r="I97" i="109" s="1"/>
  <c r="B98" i="109"/>
  <c r="C98" i="109"/>
  <c r="E98" i="109"/>
  <c r="F98" i="109"/>
  <c r="I98" i="109"/>
  <c r="A99" i="109"/>
  <c r="B99" i="109"/>
  <c r="C99" i="109"/>
  <c r="E99" i="109"/>
  <c r="F99" i="109"/>
  <c r="H99" i="109"/>
  <c r="H100" i="109" s="1"/>
  <c r="V99" i="109"/>
  <c r="V100" i="109" s="1"/>
  <c r="AF99" i="109"/>
  <c r="AZ99" i="109"/>
  <c r="AZ100" i="109" s="1"/>
  <c r="I100" i="109" s="1"/>
  <c r="B100" i="109"/>
  <c r="C100" i="109"/>
  <c r="E100" i="109"/>
  <c r="F100" i="109"/>
  <c r="AF100" i="109"/>
  <c r="A101" i="109"/>
  <c r="B101" i="109"/>
  <c r="C101" i="109"/>
  <c r="E101" i="109"/>
  <c r="F101" i="109"/>
  <c r="I101" i="109"/>
  <c r="V101" i="109"/>
  <c r="AF101" i="109"/>
  <c r="A102" i="109"/>
  <c r="B102" i="109"/>
  <c r="C102" i="109"/>
  <c r="E102" i="109"/>
  <c r="F102" i="109"/>
  <c r="W102" i="109"/>
  <c r="X102" i="109" s="1"/>
  <c r="Y102" i="109" s="1"/>
  <c r="Z102" i="109" s="1"/>
  <c r="AA102" i="109" s="1"/>
  <c r="AB102" i="109" s="1"/>
  <c r="AC102" i="109" s="1"/>
  <c r="AD102" i="109" s="1"/>
  <c r="AE102" i="109" s="1"/>
  <c r="AF102" i="109"/>
  <c r="AZ102" i="109"/>
  <c r="I102" i="109" s="1"/>
  <c r="A103" i="109"/>
  <c r="B103" i="109"/>
  <c r="C103" i="109"/>
  <c r="E103" i="109"/>
  <c r="F103" i="109"/>
  <c r="I103" i="109"/>
  <c r="Y103" i="109"/>
  <c r="Z103" i="109" s="1"/>
  <c r="AA103" i="109" s="1"/>
  <c r="AB103" i="109"/>
  <c r="AC103" i="109" s="1"/>
  <c r="AD103" i="109" s="1"/>
  <c r="AE103" i="109" s="1"/>
  <c r="A104" i="109"/>
  <c r="B104" i="109"/>
  <c r="C104" i="109"/>
  <c r="E104" i="109"/>
  <c r="F104" i="109"/>
  <c r="H104" i="109"/>
  <c r="W104" i="109"/>
  <c r="X104" i="109" s="1"/>
  <c r="Y104" i="109"/>
  <c r="Z104" i="109" s="1"/>
  <c r="AA104" i="109" s="1"/>
  <c r="AB104" i="109" s="1"/>
  <c r="AC104" i="109" s="1"/>
  <c r="AD104" i="109" s="1"/>
  <c r="AE104" i="109" s="1"/>
  <c r="AF104" i="109"/>
  <c r="AZ104" i="109"/>
  <c r="I104" i="109" s="1"/>
  <c r="A105" i="109"/>
  <c r="B105" i="109"/>
  <c r="C105" i="109"/>
  <c r="E105" i="109"/>
  <c r="F105" i="109"/>
  <c r="H105" i="109"/>
  <c r="M105" i="109"/>
  <c r="N105" i="109" s="1"/>
  <c r="O105" i="109"/>
  <c r="P105" i="109" s="1"/>
  <c r="Q105" i="109" s="1"/>
  <c r="R105" i="109"/>
  <c r="S105" i="109" s="1"/>
  <c r="T105" i="109" s="1"/>
  <c r="U105" i="109" s="1"/>
  <c r="W105" i="109"/>
  <c r="X105" i="109" s="1"/>
  <c r="Y105" i="109"/>
  <c r="Z105" i="109"/>
  <c r="AA105" i="109" s="1"/>
  <c r="AB105" i="109"/>
  <c r="AC105" i="109" s="1"/>
  <c r="AD105" i="109" s="1"/>
  <c r="AE105" i="109" s="1"/>
  <c r="AF105" i="109"/>
  <c r="AZ105" i="109"/>
  <c r="I105" i="109" s="1"/>
  <c r="B106" i="109"/>
  <c r="C106" i="109"/>
  <c r="E106" i="109"/>
  <c r="F106" i="109"/>
  <c r="I106" i="109"/>
  <c r="K106" i="109"/>
  <c r="V106" i="109"/>
  <c r="AF106" i="109"/>
  <c r="B107" i="109"/>
  <c r="C107" i="109"/>
  <c r="E107" i="109"/>
  <c r="F107" i="109"/>
  <c r="M107" i="109"/>
  <c r="N107" i="109" s="1"/>
  <c r="O107" i="109" s="1"/>
  <c r="P107" i="109" s="1"/>
  <c r="Q107" i="109" s="1"/>
  <c r="R107" i="109" s="1"/>
  <c r="S107" i="109" s="1"/>
  <c r="T107" i="109" s="1"/>
  <c r="U107" i="109" s="1"/>
  <c r="W107" i="109"/>
  <c r="X107" i="109" s="1"/>
  <c r="Y107" i="109" s="1"/>
  <c r="Z107" i="109" s="1"/>
  <c r="AA107" i="109" s="1"/>
  <c r="AB107" i="109" s="1"/>
  <c r="AC107" i="109" s="1"/>
  <c r="AD107" i="109" s="1"/>
  <c r="AE107" i="109" s="1"/>
  <c r="AF107" i="109"/>
  <c r="AZ107" i="109"/>
  <c r="I107" i="109" s="1"/>
  <c r="B108" i="109"/>
  <c r="C108" i="109"/>
  <c r="E108" i="109"/>
  <c r="E109" i="109" s="1"/>
  <c r="E110" i="109" s="1"/>
  <c r="F108" i="109"/>
  <c r="I108" i="109"/>
  <c r="O108" i="109"/>
  <c r="P108" i="109" s="1"/>
  <c r="Q108" i="109" s="1"/>
  <c r="R108" i="109"/>
  <c r="S108" i="109" s="1"/>
  <c r="T108" i="109" s="1"/>
  <c r="U108" i="109" s="1"/>
  <c r="Y108" i="109"/>
  <c r="Z108" i="109" s="1"/>
  <c r="AA108" i="109" s="1"/>
  <c r="AB108" i="109"/>
  <c r="AC108" i="109" s="1"/>
  <c r="AD108" i="109" s="1"/>
  <c r="AE108" i="109" s="1"/>
  <c r="B109" i="109"/>
  <c r="C109" i="109"/>
  <c r="F109" i="109"/>
  <c r="I109" i="109"/>
  <c r="M109" i="109"/>
  <c r="N109" i="109" s="1"/>
  <c r="O109" i="109"/>
  <c r="P109" i="109" s="1"/>
  <c r="Q109" i="109" s="1"/>
  <c r="R109" i="109" s="1"/>
  <c r="S109" i="109" s="1"/>
  <c r="T109" i="109" s="1"/>
  <c r="U109" i="109" s="1"/>
  <c r="W109" i="109"/>
  <c r="X109" i="109" s="1"/>
  <c r="Y109" i="109"/>
  <c r="Z109" i="109" s="1"/>
  <c r="AA109" i="109" s="1"/>
  <c r="AB109" i="109" s="1"/>
  <c r="AC109" i="109" s="1"/>
  <c r="AD109" i="109" s="1"/>
  <c r="AE109" i="109" s="1"/>
  <c r="B110" i="109"/>
  <c r="C110" i="109"/>
  <c r="F110" i="109"/>
  <c r="I110" i="109"/>
  <c r="M110" i="109"/>
  <c r="N110" i="109" s="1"/>
  <c r="O110" i="109"/>
  <c r="P110" i="109" s="1"/>
  <c r="Q110" i="109" s="1"/>
  <c r="R110" i="109"/>
  <c r="S110" i="109" s="1"/>
  <c r="T110" i="109" s="1"/>
  <c r="U110" i="109" s="1"/>
  <c r="W110" i="109"/>
  <c r="X110" i="109" s="1"/>
  <c r="Y110" i="109"/>
  <c r="Z110" i="109" s="1"/>
  <c r="AA110" i="109" s="1"/>
  <c r="AB110" i="109"/>
  <c r="AC110" i="109" s="1"/>
  <c r="AD110" i="109" s="1"/>
  <c r="AE110" i="109" s="1"/>
  <c r="A111" i="109"/>
  <c r="B111" i="109"/>
  <c r="C111" i="109"/>
  <c r="E111" i="109"/>
  <c r="F111" i="109"/>
  <c r="I111" i="109"/>
  <c r="V111" i="109"/>
  <c r="AF111" i="109"/>
  <c r="A112" i="109"/>
  <c r="B112" i="109"/>
  <c r="C112" i="109"/>
  <c r="E112" i="109"/>
  <c r="F112" i="109"/>
  <c r="W112" i="109"/>
  <c r="W113" i="109" s="1"/>
  <c r="AF112" i="109"/>
  <c r="AF113" i="109" s="1"/>
  <c r="AZ112" i="109"/>
  <c r="I112" i="109" s="1"/>
  <c r="B113" i="109"/>
  <c r="C113" i="109"/>
  <c r="E113" i="109"/>
  <c r="F113" i="109"/>
  <c r="J113" i="109"/>
  <c r="A114" i="109"/>
  <c r="B114" i="109"/>
  <c r="C114" i="109"/>
  <c r="E114" i="109"/>
  <c r="F114" i="109"/>
  <c r="I114" i="109"/>
  <c r="Y114" i="109"/>
  <c r="Y115" i="109" s="1"/>
  <c r="AB114" i="109"/>
  <c r="AB115" i="109" s="1"/>
  <c r="A115" i="109"/>
  <c r="B115" i="109"/>
  <c r="C115" i="109"/>
  <c r="E115" i="109"/>
  <c r="F115" i="109"/>
  <c r="J115" i="109"/>
  <c r="AF115" i="109"/>
  <c r="AZ115" i="109"/>
  <c r="I115" i="109" s="1"/>
  <c r="A116" i="109"/>
  <c r="B116" i="109"/>
  <c r="C116" i="109"/>
  <c r="E116" i="109"/>
  <c r="F116" i="109"/>
  <c r="I116" i="109"/>
  <c r="I117" i="109" s="1"/>
  <c r="W116" i="109"/>
  <c r="X116" i="109" s="1"/>
  <c r="X117" i="109" s="1"/>
  <c r="Y116" i="109"/>
  <c r="Z116" i="109" s="1"/>
  <c r="AB116" i="109"/>
  <c r="AB117" i="109" s="1"/>
  <c r="AC116" i="109"/>
  <c r="AD116" i="109" s="1"/>
  <c r="AF116" i="109"/>
  <c r="AF117" i="109" s="1"/>
  <c r="B117" i="109"/>
  <c r="C117" i="109"/>
  <c r="E117" i="109"/>
  <c r="F117" i="109"/>
  <c r="H117" i="109"/>
  <c r="J117" i="109"/>
  <c r="AZ117" i="109"/>
  <c r="B118" i="109"/>
  <c r="C118" i="109"/>
  <c r="E118" i="109"/>
  <c r="F118" i="109"/>
  <c r="I118" i="109"/>
  <c r="W118" i="109"/>
  <c r="X118" i="109" s="1"/>
  <c r="Y118" i="109"/>
  <c r="Z118" i="109" s="1"/>
  <c r="AA118" i="109" s="1"/>
  <c r="AB118" i="109"/>
  <c r="AC118" i="109" s="1"/>
  <c r="AD118" i="109" s="1"/>
  <c r="AE118" i="109" s="1"/>
  <c r="AF118" i="109"/>
  <c r="B119" i="109"/>
  <c r="C119" i="109"/>
  <c r="E119" i="109"/>
  <c r="F119" i="109"/>
  <c r="K119" i="109"/>
  <c r="AF119" i="109"/>
  <c r="AZ119" i="109"/>
  <c r="I119" i="109" s="1"/>
  <c r="B120" i="109"/>
  <c r="C120" i="109"/>
  <c r="E120" i="109"/>
  <c r="F120" i="109"/>
  <c r="K120" i="109"/>
  <c r="AF120" i="109"/>
  <c r="AZ120" i="109"/>
  <c r="I120" i="109" s="1"/>
  <c r="B121" i="109"/>
  <c r="C121" i="109"/>
  <c r="E121" i="109"/>
  <c r="F121" i="109"/>
  <c r="K121" i="109"/>
  <c r="V121" i="109"/>
  <c r="AF121" i="109"/>
  <c r="AZ121" i="109"/>
  <c r="I121" i="109" s="1"/>
  <c r="B122" i="109"/>
  <c r="C122" i="109"/>
  <c r="E122" i="109"/>
  <c r="F122" i="109"/>
  <c r="M122" i="109"/>
  <c r="N122" i="109"/>
  <c r="O122" i="109" s="1"/>
  <c r="P122" i="109" s="1"/>
  <c r="Q122" i="109" s="1"/>
  <c r="R122" i="109" s="1"/>
  <c r="S122" i="109" s="1"/>
  <c r="T122" i="109" s="1"/>
  <c r="U122" i="109" s="1"/>
  <c r="W122" i="109"/>
  <c r="X122" i="109"/>
  <c r="Y122" i="109" s="1"/>
  <c r="Z122" i="109" s="1"/>
  <c r="AA122" i="109" s="1"/>
  <c r="AB122" i="109" s="1"/>
  <c r="AC122" i="109" s="1"/>
  <c r="AD122" i="109" s="1"/>
  <c r="AE122" i="109" s="1"/>
  <c r="AF122" i="109"/>
  <c r="AZ122" i="109"/>
  <c r="I122" i="109" s="1"/>
  <c r="B123" i="109"/>
  <c r="C123" i="109"/>
  <c r="E123" i="109"/>
  <c r="F123" i="109"/>
  <c r="O123" i="109"/>
  <c r="P123" i="109" s="1"/>
  <c r="Q123" i="109" s="1"/>
  <c r="R123" i="109"/>
  <c r="S123" i="109" s="1"/>
  <c r="T123" i="109" s="1"/>
  <c r="U123" i="109" s="1"/>
  <c r="Y123" i="109"/>
  <c r="Z123" i="109" s="1"/>
  <c r="AA123" i="109" s="1"/>
  <c r="AB123" i="109"/>
  <c r="AC123" i="109" s="1"/>
  <c r="AD123" i="109" s="1"/>
  <c r="AE123" i="109" s="1"/>
  <c r="AZ123" i="109"/>
  <c r="I123" i="109" s="1"/>
  <c r="B124" i="109"/>
  <c r="C124" i="109"/>
  <c r="E124" i="109"/>
  <c r="F124" i="109"/>
  <c r="H124" i="109"/>
  <c r="M124" i="109"/>
  <c r="N124" i="109" s="1"/>
  <c r="O124" i="109"/>
  <c r="P124" i="109" s="1"/>
  <c r="Q124" i="109" s="1"/>
  <c r="R124" i="109"/>
  <c r="S124" i="109" s="1"/>
  <c r="T124" i="109" s="1"/>
  <c r="U124" i="109" s="1"/>
  <c r="W124" i="109"/>
  <c r="X124" i="109" s="1"/>
  <c r="Y124" i="109"/>
  <c r="Z124" i="109" s="1"/>
  <c r="AA124" i="109" s="1"/>
  <c r="AB124" i="109"/>
  <c r="AC124" i="109" s="1"/>
  <c r="AD124" i="109" s="1"/>
  <c r="AE124" i="109" s="1"/>
  <c r="AF124" i="109"/>
  <c r="AZ124" i="109"/>
  <c r="I124" i="109" s="1"/>
  <c r="B125" i="109"/>
  <c r="C125" i="109"/>
  <c r="E125" i="109"/>
  <c r="F125" i="109"/>
  <c r="M125" i="109"/>
  <c r="N125" i="109" s="1"/>
  <c r="O125" i="109"/>
  <c r="P125" i="109" s="1"/>
  <c r="Q125" i="109" s="1"/>
  <c r="R125" i="109"/>
  <c r="S125" i="109" s="1"/>
  <c r="T125" i="109" s="1"/>
  <c r="U125" i="109" s="1"/>
  <c r="W125" i="109"/>
  <c r="X125" i="109" s="1"/>
  <c r="Y125" i="109"/>
  <c r="Z125" i="109" s="1"/>
  <c r="AA125" i="109" s="1"/>
  <c r="AB125" i="109"/>
  <c r="AC125" i="109" s="1"/>
  <c r="AD125" i="109" s="1"/>
  <c r="AE125" i="109" s="1"/>
  <c r="AF125" i="109"/>
  <c r="AZ125" i="109"/>
  <c r="I125" i="109" s="1"/>
  <c r="B126" i="109"/>
  <c r="C126" i="109"/>
  <c r="E126" i="109"/>
  <c r="F126" i="109"/>
  <c r="H126" i="109"/>
  <c r="M126" i="109"/>
  <c r="N126" i="109" s="1"/>
  <c r="O126" i="109"/>
  <c r="P126" i="109" s="1"/>
  <c r="Q126" i="109" s="1"/>
  <c r="R126" i="109"/>
  <c r="S126" i="109" s="1"/>
  <c r="T126" i="109" s="1"/>
  <c r="U126" i="109" s="1"/>
  <c r="W126" i="109"/>
  <c r="X126" i="109" s="1"/>
  <c r="Y126" i="109"/>
  <c r="Z126" i="109" s="1"/>
  <c r="AA126" i="109" s="1"/>
  <c r="AB126" i="109"/>
  <c r="AC126" i="109" s="1"/>
  <c r="AD126" i="109" s="1"/>
  <c r="AE126" i="109" s="1"/>
  <c r="AF126" i="109"/>
  <c r="AZ126" i="109"/>
  <c r="I126" i="109" s="1"/>
  <c r="B127" i="109"/>
  <c r="C127" i="109"/>
  <c r="E127" i="109"/>
  <c r="F127" i="109"/>
  <c r="M127" i="109"/>
  <c r="N127" i="109" s="1"/>
  <c r="O127" i="109"/>
  <c r="P127" i="109" s="1"/>
  <c r="Q127" i="109" s="1"/>
  <c r="R127" i="109"/>
  <c r="S127" i="109" s="1"/>
  <c r="T127" i="109" s="1"/>
  <c r="U127" i="109" s="1"/>
  <c r="W127" i="109"/>
  <c r="X127" i="109" s="1"/>
  <c r="Y127" i="109"/>
  <c r="Z127" i="109" s="1"/>
  <c r="AA127" i="109" s="1"/>
  <c r="AB127" i="109"/>
  <c r="AC127" i="109" s="1"/>
  <c r="AD127" i="109" s="1"/>
  <c r="AE127" i="109" s="1"/>
  <c r="AF127" i="109"/>
  <c r="AZ127" i="109"/>
  <c r="I127" i="109" s="1"/>
  <c r="B128" i="109"/>
  <c r="C128" i="109"/>
  <c r="E128" i="109"/>
  <c r="F128" i="109"/>
  <c r="K128" i="109"/>
  <c r="V128" i="109"/>
  <c r="AF128" i="109"/>
  <c r="AZ128" i="109"/>
  <c r="I128" i="109" s="1"/>
  <c r="B129" i="109"/>
  <c r="C129" i="109"/>
  <c r="E129" i="109"/>
  <c r="F129" i="109"/>
  <c r="M129" i="109"/>
  <c r="N129" i="109"/>
  <c r="O129" i="109" s="1"/>
  <c r="P129" i="109" s="1"/>
  <c r="Q129" i="109" s="1"/>
  <c r="R129" i="109" s="1"/>
  <c r="S129" i="109" s="1"/>
  <c r="T129" i="109" s="1"/>
  <c r="U129" i="109" s="1"/>
  <c r="W129" i="109"/>
  <c r="X129" i="109"/>
  <c r="Y129" i="109" s="1"/>
  <c r="Z129" i="109" s="1"/>
  <c r="AA129" i="109" s="1"/>
  <c r="AB129" i="109" s="1"/>
  <c r="AC129" i="109" s="1"/>
  <c r="AD129" i="109" s="1"/>
  <c r="AE129" i="109" s="1"/>
  <c r="AF129" i="109"/>
  <c r="AZ129" i="109"/>
  <c r="I129" i="109" s="1"/>
  <c r="B130" i="109"/>
  <c r="C130" i="109"/>
  <c r="E130" i="109"/>
  <c r="F130" i="109"/>
  <c r="O130" i="109"/>
  <c r="P130" i="109" s="1"/>
  <c r="Q130" i="109" s="1"/>
  <c r="R130" i="109"/>
  <c r="S130" i="109" s="1"/>
  <c r="T130" i="109" s="1"/>
  <c r="U130" i="109" s="1"/>
  <c r="Y130" i="109"/>
  <c r="Z130" i="109" s="1"/>
  <c r="AA130" i="109" s="1"/>
  <c r="AB130" i="109"/>
  <c r="AC130" i="109" s="1"/>
  <c r="AD130" i="109" s="1"/>
  <c r="AE130" i="109" s="1"/>
  <c r="AZ130" i="109"/>
  <c r="I130" i="109" s="1"/>
  <c r="B131" i="109"/>
  <c r="C131" i="109"/>
  <c r="E131" i="109"/>
  <c r="F131" i="109"/>
  <c r="M131" i="109"/>
  <c r="N131" i="109" s="1"/>
  <c r="O131" i="109"/>
  <c r="P131" i="109" s="1"/>
  <c r="Q131" i="109" s="1"/>
  <c r="R131" i="109"/>
  <c r="S131" i="109" s="1"/>
  <c r="T131" i="109" s="1"/>
  <c r="U131" i="109" s="1"/>
  <c r="W131" i="109"/>
  <c r="X131" i="109" s="1"/>
  <c r="Y131" i="109"/>
  <c r="Z131" i="109" s="1"/>
  <c r="AA131" i="109" s="1"/>
  <c r="AB131" i="109"/>
  <c r="AC131" i="109" s="1"/>
  <c r="AD131" i="109" s="1"/>
  <c r="AE131" i="109" s="1"/>
  <c r="AF131" i="109"/>
  <c r="AZ131" i="109"/>
  <c r="I131" i="109" s="1"/>
  <c r="B132" i="109"/>
  <c r="C132" i="109"/>
  <c r="E132" i="109"/>
  <c r="F132" i="109"/>
  <c r="M132" i="109"/>
  <c r="N132" i="109" s="1"/>
  <c r="O132" i="109"/>
  <c r="P132" i="109" s="1"/>
  <c r="Q132" i="109" s="1"/>
  <c r="R132" i="109"/>
  <c r="S132" i="109" s="1"/>
  <c r="T132" i="109" s="1"/>
  <c r="U132" i="109" s="1"/>
  <c r="W132" i="109"/>
  <c r="X132" i="109" s="1"/>
  <c r="Y132" i="109"/>
  <c r="Z132" i="109" s="1"/>
  <c r="AA132" i="109" s="1"/>
  <c r="AB132" i="109"/>
  <c r="AC132" i="109" s="1"/>
  <c r="AD132" i="109" s="1"/>
  <c r="AE132" i="109" s="1"/>
  <c r="AF132" i="109"/>
  <c r="B133" i="109"/>
  <c r="C133" i="109"/>
  <c r="E133" i="109"/>
  <c r="F133" i="109"/>
  <c r="M133" i="109"/>
  <c r="N133" i="109" s="1"/>
  <c r="O133" i="109"/>
  <c r="P133" i="109" s="1"/>
  <c r="Q133" i="109" s="1"/>
  <c r="R133" i="109"/>
  <c r="S133" i="109" s="1"/>
  <c r="T133" i="109" s="1"/>
  <c r="U133" i="109" s="1"/>
  <c r="W133" i="109"/>
  <c r="X133" i="109" s="1"/>
  <c r="Y133" i="109"/>
  <c r="Z133" i="109" s="1"/>
  <c r="AA133" i="109" s="1"/>
  <c r="AB133" i="109"/>
  <c r="AC133" i="109" s="1"/>
  <c r="AD133" i="109" s="1"/>
  <c r="AE133" i="109" s="1"/>
  <c r="AF133" i="109"/>
  <c r="B134" i="109"/>
  <c r="C134" i="109"/>
  <c r="E134" i="109"/>
  <c r="F134" i="109"/>
  <c r="M134" i="109"/>
  <c r="N134" i="109" s="1"/>
  <c r="O134" i="109"/>
  <c r="P134" i="109" s="1"/>
  <c r="Q134" i="109" s="1"/>
  <c r="R134" i="109"/>
  <c r="S134" i="109" s="1"/>
  <c r="T134" i="109" s="1"/>
  <c r="U134" i="109" s="1"/>
  <c r="W134" i="109"/>
  <c r="X134" i="109" s="1"/>
  <c r="Y134" i="109"/>
  <c r="Z134" i="109" s="1"/>
  <c r="AA134" i="109" s="1"/>
  <c r="AB134" i="109"/>
  <c r="AC134" i="109" s="1"/>
  <c r="AD134" i="109" s="1"/>
  <c r="AE134" i="109" s="1"/>
  <c r="AF134" i="109"/>
  <c r="B135" i="109"/>
  <c r="C135" i="109"/>
  <c r="E135" i="109"/>
  <c r="F135" i="109"/>
  <c r="K135" i="109"/>
  <c r="V135" i="109"/>
  <c r="AF135" i="109"/>
  <c r="B136" i="109"/>
  <c r="C136" i="109"/>
  <c r="E136" i="109"/>
  <c r="F136" i="109"/>
  <c r="M136" i="109"/>
  <c r="N136" i="109" s="1"/>
  <c r="O136" i="109"/>
  <c r="P136" i="109" s="1"/>
  <c r="Q136" i="109" s="1"/>
  <c r="R136" i="109"/>
  <c r="S136" i="109" s="1"/>
  <c r="T136" i="109" s="1"/>
  <c r="U136" i="109" s="1"/>
  <c r="W136" i="109"/>
  <c r="X136" i="109" s="1"/>
  <c r="Y136" i="109"/>
  <c r="Z136" i="109" s="1"/>
  <c r="AA136" i="109" s="1"/>
  <c r="AB136" i="109"/>
  <c r="AC136" i="109" s="1"/>
  <c r="AD136" i="109" s="1"/>
  <c r="AE136" i="109" s="1"/>
  <c r="AF136" i="109"/>
  <c r="B137" i="109"/>
  <c r="C137" i="109"/>
  <c r="E137" i="109"/>
  <c r="F137" i="109"/>
  <c r="M137" i="109"/>
  <c r="N137" i="109" s="1"/>
  <c r="O137" i="109"/>
  <c r="P137" i="109" s="1"/>
  <c r="Q137" i="109" s="1"/>
  <c r="R137" i="109"/>
  <c r="S137" i="109" s="1"/>
  <c r="T137" i="109" s="1"/>
  <c r="U137" i="109" s="1"/>
  <c r="W137" i="109"/>
  <c r="X137" i="109" s="1"/>
  <c r="Y137" i="109"/>
  <c r="Z137" i="109" s="1"/>
  <c r="AA137" i="109" s="1"/>
  <c r="AB137" i="109"/>
  <c r="AC137" i="109" s="1"/>
  <c r="AD137" i="109" s="1"/>
  <c r="AE137" i="109" s="1"/>
  <c r="AF137" i="109"/>
  <c r="B138" i="109"/>
  <c r="C138" i="109"/>
  <c r="E138" i="109"/>
  <c r="F138" i="109"/>
  <c r="M138" i="109"/>
  <c r="N138" i="109" s="1"/>
  <c r="O138" i="109"/>
  <c r="P138" i="109" s="1"/>
  <c r="Q138" i="109" s="1"/>
  <c r="R138" i="109"/>
  <c r="S138" i="109" s="1"/>
  <c r="T138" i="109" s="1"/>
  <c r="U138" i="109" s="1"/>
  <c r="W138" i="109"/>
  <c r="X138" i="109" s="1"/>
  <c r="Y138" i="109"/>
  <c r="Z138" i="109" s="1"/>
  <c r="AA138" i="109" s="1"/>
  <c r="AB138" i="109"/>
  <c r="AC138" i="109" s="1"/>
  <c r="AD138" i="109" s="1"/>
  <c r="AE138" i="109" s="1"/>
  <c r="AF138" i="109"/>
  <c r="B139" i="109"/>
  <c r="C139" i="109"/>
  <c r="E139" i="109"/>
  <c r="F139" i="109"/>
  <c r="M139" i="109"/>
  <c r="N139" i="109" s="1"/>
  <c r="O139" i="109"/>
  <c r="P139" i="109" s="1"/>
  <c r="Q139" i="109" s="1"/>
  <c r="R139" i="109"/>
  <c r="S139" i="109" s="1"/>
  <c r="T139" i="109" s="1"/>
  <c r="U139" i="109" s="1"/>
  <c r="W139" i="109"/>
  <c r="X139" i="109"/>
  <c r="Y139" i="109"/>
  <c r="Z139" i="109" s="1"/>
  <c r="AA139" i="109" s="1"/>
  <c r="AB139" i="109"/>
  <c r="AC139" i="109" s="1"/>
  <c r="AD139" i="109" s="1"/>
  <c r="AE139" i="109" s="1"/>
  <c r="AF139" i="109"/>
  <c r="B140" i="109"/>
  <c r="C140" i="109"/>
  <c r="E140" i="109"/>
  <c r="F140" i="109"/>
  <c r="M140" i="109"/>
  <c r="N140" i="109" s="1"/>
  <c r="O140" i="109"/>
  <c r="P140" i="109" s="1"/>
  <c r="Q140" i="109" s="1"/>
  <c r="R140" i="109"/>
  <c r="S140" i="109" s="1"/>
  <c r="T140" i="109" s="1"/>
  <c r="U140" i="109" s="1"/>
  <c r="W140" i="109"/>
  <c r="X140" i="109" s="1"/>
  <c r="Y140" i="109"/>
  <c r="Z140" i="109" s="1"/>
  <c r="AA140" i="109" s="1"/>
  <c r="AB140" i="109"/>
  <c r="AC140" i="109" s="1"/>
  <c r="AD140" i="109" s="1"/>
  <c r="AE140" i="109" s="1"/>
  <c r="AF140" i="109"/>
  <c r="A67" i="109"/>
  <c r="B67" i="109"/>
  <c r="E67" i="109"/>
  <c r="F67" i="109"/>
  <c r="I67" i="109"/>
  <c r="K67" i="109"/>
  <c r="V67" i="109"/>
  <c r="AF67" i="109"/>
  <c r="A68" i="109"/>
  <c r="B68" i="109"/>
  <c r="E68" i="109"/>
  <c r="F68" i="109"/>
  <c r="I68" i="109"/>
  <c r="M68" i="109"/>
  <c r="N68" i="109"/>
  <c r="O68" i="109" s="1"/>
  <c r="P68" i="109" s="1"/>
  <c r="Q68" i="109" s="1"/>
  <c r="R68" i="109" s="1"/>
  <c r="S68" i="109" s="1"/>
  <c r="T68" i="109" s="1"/>
  <c r="U68" i="109" s="1"/>
  <c r="W68" i="109"/>
  <c r="X68" i="109"/>
  <c r="Y68" i="109"/>
  <c r="Z68" i="109" s="1"/>
  <c r="AA68" i="109" s="1"/>
  <c r="AB68" i="109" s="1"/>
  <c r="AC68" i="109" s="1"/>
  <c r="AD68" i="109" s="1"/>
  <c r="AE68" i="109" s="1"/>
  <c r="AF68" i="109"/>
  <c r="A69" i="109"/>
  <c r="B69" i="109"/>
  <c r="E69" i="109"/>
  <c r="F69" i="109"/>
  <c r="I69" i="109"/>
  <c r="K69" i="109"/>
  <c r="Y69" i="109"/>
  <c r="Z69" i="109" s="1"/>
  <c r="AA69" i="109" s="1"/>
  <c r="AB69" i="109" s="1"/>
  <c r="AC69" i="109" s="1"/>
  <c r="AD69" i="109" s="1"/>
  <c r="AE69" i="109" s="1"/>
  <c r="AF69" i="109"/>
  <c r="A70" i="109"/>
  <c r="B70" i="109"/>
  <c r="E70" i="109"/>
  <c r="F70" i="109"/>
  <c r="H70" i="109"/>
  <c r="M70" i="109"/>
  <c r="N70" i="109" s="1"/>
  <c r="O70" i="109"/>
  <c r="P70" i="109" s="1"/>
  <c r="Q70" i="109" s="1"/>
  <c r="R70" i="109"/>
  <c r="S70" i="109" s="1"/>
  <c r="T70" i="109" s="1"/>
  <c r="U70" i="109" s="1"/>
  <c r="W70" i="109"/>
  <c r="X70" i="109" s="1"/>
  <c r="Y70" i="109"/>
  <c r="Z70" i="109" s="1"/>
  <c r="AA70" i="109" s="1"/>
  <c r="AB70" i="109"/>
  <c r="AC70" i="109" s="1"/>
  <c r="AD70" i="109" s="1"/>
  <c r="AE70" i="109" s="1"/>
  <c r="AF70" i="109"/>
  <c r="AZ70" i="109"/>
  <c r="I70" i="109" s="1"/>
  <c r="A71" i="109"/>
  <c r="B71" i="109"/>
  <c r="E71" i="109"/>
  <c r="F71" i="109"/>
  <c r="I71" i="109"/>
  <c r="V71" i="109"/>
  <c r="AF71" i="109"/>
  <c r="A72" i="109"/>
  <c r="B72" i="109"/>
  <c r="E72" i="109"/>
  <c r="F72" i="109"/>
  <c r="I72" i="109"/>
  <c r="M72" i="109"/>
  <c r="N72" i="109"/>
  <c r="O72" i="109" s="1"/>
  <c r="P72" i="109" s="1"/>
  <c r="Q72" i="109" s="1"/>
  <c r="R72" i="109" s="1"/>
  <c r="S72" i="109" s="1"/>
  <c r="T72" i="109" s="1"/>
  <c r="U72" i="109" s="1"/>
  <c r="W72" i="109"/>
  <c r="X72" i="109"/>
  <c r="Y72" i="109" s="1"/>
  <c r="Z72" i="109" s="1"/>
  <c r="AA72" i="109" s="1"/>
  <c r="AB72" i="109" s="1"/>
  <c r="AC72" i="109" s="1"/>
  <c r="AD72" i="109" s="1"/>
  <c r="AE72" i="109" s="1"/>
  <c r="AF72" i="109"/>
  <c r="AF73" i="109" s="1"/>
  <c r="AF74" i="109" s="1"/>
  <c r="A73" i="109"/>
  <c r="B73" i="109"/>
  <c r="E73" i="109"/>
  <c r="F73" i="109"/>
  <c r="I73" i="109"/>
  <c r="K73" i="109"/>
  <c r="Y73" i="109"/>
  <c r="Z73" i="109" s="1"/>
  <c r="AA73" i="109" s="1"/>
  <c r="AB73" i="109" s="1"/>
  <c r="AC73" i="109" s="1"/>
  <c r="AD73" i="109" s="1"/>
  <c r="AE73" i="109" s="1"/>
  <c r="A74" i="109"/>
  <c r="B74" i="109"/>
  <c r="E74" i="109"/>
  <c r="F74" i="109"/>
  <c r="I74" i="109"/>
  <c r="M74" i="109"/>
  <c r="N74" i="109" s="1"/>
  <c r="O74" i="109"/>
  <c r="P74" i="109" s="1"/>
  <c r="Q74" i="109" s="1"/>
  <c r="R74" i="109"/>
  <c r="S74" i="109" s="1"/>
  <c r="T74" i="109" s="1"/>
  <c r="U74" i="109" s="1"/>
  <c r="W74" i="109"/>
  <c r="X74" i="109" s="1"/>
  <c r="Y74" i="109"/>
  <c r="Z74" i="109" s="1"/>
  <c r="AA74" i="109" s="1"/>
  <c r="AB74" i="109"/>
  <c r="AC74" i="109" s="1"/>
  <c r="AD74" i="109" s="1"/>
  <c r="AE74" i="109" s="1"/>
  <c r="A75" i="109"/>
  <c r="B75" i="109"/>
  <c r="E75" i="109"/>
  <c r="F75" i="109"/>
  <c r="H75" i="109"/>
  <c r="M75" i="109"/>
  <c r="N75" i="109" s="1"/>
  <c r="O75" i="109"/>
  <c r="P75" i="109" s="1"/>
  <c r="Q75" i="109" s="1"/>
  <c r="R75" i="109"/>
  <c r="S75" i="109" s="1"/>
  <c r="T75" i="109" s="1"/>
  <c r="U75" i="109" s="1"/>
  <c r="W75" i="109"/>
  <c r="X75" i="109" s="1"/>
  <c r="Y75" i="109"/>
  <c r="Z75" i="109"/>
  <c r="AA75" i="109" s="1"/>
  <c r="AB75" i="109"/>
  <c r="AC75" i="109" s="1"/>
  <c r="AD75" i="109" s="1"/>
  <c r="AE75" i="109" s="1"/>
  <c r="AF75" i="109"/>
  <c r="AZ75" i="109"/>
  <c r="I75" i="109" s="1"/>
  <c r="B76" i="109"/>
  <c r="E76" i="109"/>
  <c r="F76" i="109"/>
  <c r="I76" i="109"/>
  <c r="K76" i="109"/>
  <c r="V76" i="109"/>
  <c r="AF76" i="109"/>
  <c r="B77" i="109"/>
  <c r="E77" i="109"/>
  <c r="F77" i="109"/>
  <c r="I77" i="109"/>
  <c r="M77" i="109"/>
  <c r="N77" i="109"/>
  <c r="O77" i="109" s="1"/>
  <c r="P77" i="109" s="1"/>
  <c r="Q77" i="109" s="1"/>
  <c r="R77" i="109" s="1"/>
  <c r="S77" i="109" s="1"/>
  <c r="T77" i="109" s="1"/>
  <c r="U77" i="109" s="1"/>
  <c r="W77" i="109"/>
  <c r="X77" i="109"/>
  <c r="Y77" i="109" s="1"/>
  <c r="Z77" i="109" s="1"/>
  <c r="AA77" i="109" s="1"/>
  <c r="AB77" i="109" s="1"/>
  <c r="AC77" i="109" s="1"/>
  <c r="AD77" i="109" s="1"/>
  <c r="AE77" i="109" s="1"/>
  <c r="AF77" i="109"/>
  <c r="AF78" i="109" s="1"/>
  <c r="AF79" i="109" s="1"/>
  <c r="B78" i="109"/>
  <c r="E78" i="109"/>
  <c r="F78" i="109"/>
  <c r="I78" i="109"/>
  <c r="K78" i="109"/>
  <c r="Y78" i="109"/>
  <c r="Z78" i="109"/>
  <c r="AA78" i="109" s="1"/>
  <c r="AB78" i="109" s="1"/>
  <c r="AC78" i="109" s="1"/>
  <c r="AD78" i="109" s="1"/>
  <c r="AE78" i="109" s="1"/>
  <c r="B79" i="109"/>
  <c r="C79" i="109"/>
  <c r="E79" i="109"/>
  <c r="F79" i="109"/>
  <c r="H79" i="109"/>
  <c r="I79" i="109"/>
  <c r="M79" i="109"/>
  <c r="N79" i="109" s="1"/>
  <c r="O79" i="109"/>
  <c r="P79" i="109" s="1"/>
  <c r="Q79" i="109" s="1"/>
  <c r="R79" i="109"/>
  <c r="S79" i="109" s="1"/>
  <c r="T79" i="109" s="1"/>
  <c r="U79" i="109" s="1"/>
  <c r="W79" i="109"/>
  <c r="X79" i="109" s="1"/>
  <c r="Y79" i="109"/>
  <c r="Z79" i="109" s="1"/>
  <c r="AA79" i="109" s="1"/>
  <c r="AB79" i="109"/>
  <c r="AC79" i="109" s="1"/>
  <c r="AD79" i="109" s="1"/>
  <c r="AE79" i="109" s="1"/>
  <c r="B80" i="109"/>
  <c r="C80" i="109"/>
  <c r="E80" i="109"/>
  <c r="F80" i="109"/>
  <c r="H80" i="109"/>
  <c r="I80" i="109"/>
  <c r="M80" i="109"/>
  <c r="N80" i="109" s="1"/>
  <c r="O80" i="109"/>
  <c r="P80" i="109" s="1"/>
  <c r="Q80" i="109" s="1"/>
  <c r="R80" i="109"/>
  <c r="S80" i="109" s="1"/>
  <c r="T80" i="109" s="1"/>
  <c r="U80" i="109" s="1"/>
  <c r="W80" i="109"/>
  <c r="X80" i="109" s="1"/>
  <c r="Y80" i="109"/>
  <c r="Z80" i="109" s="1"/>
  <c r="AA80" i="109" s="1"/>
  <c r="AB80" i="109"/>
  <c r="AC80" i="109" s="1"/>
  <c r="AD80" i="109" s="1"/>
  <c r="AE80" i="109" s="1"/>
  <c r="AF80" i="109"/>
  <c r="A81" i="109"/>
  <c r="B81" i="109"/>
  <c r="E81" i="109"/>
  <c r="F81" i="109"/>
  <c r="I81" i="109"/>
  <c r="K81" i="109"/>
  <c r="V81" i="109"/>
  <c r="AF81" i="109"/>
  <c r="A82" i="109"/>
  <c r="B82" i="109"/>
  <c r="E82" i="109"/>
  <c r="F82" i="109"/>
  <c r="I82" i="109"/>
  <c r="M82" i="109"/>
  <c r="N82" i="109"/>
  <c r="O82" i="109" s="1"/>
  <c r="P82" i="109" s="1"/>
  <c r="Q82" i="109" s="1"/>
  <c r="R82" i="109" s="1"/>
  <c r="S82" i="109" s="1"/>
  <c r="T82" i="109" s="1"/>
  <c r="U82" i="109" s="1"/>
  <c r="W82" i="109"/>
  <c r="X82" i="109"/>
  <c r="Y82" i="109" s="1"/>
  <c r="Z82" i="109" s="1"/>
  <c r="AA82" i="109" s="1"/>
  <c r="AB82" i="109" s="1"/>
  <c r="AC82" i="109" s="1"/>
  <c r="AD82" i="109" s="1"/>
  <c r="AE82" i="109" s="1"/>
  <c r="AF82" i="109"/>
  <c r="AF83" i="109" s="1"/>
  <c r="A83" i="109"/>
  <c r="B83" i="109"/>
  <c r="E83" i="109"/>
  <c r="F83" i="109"/>
  <c r="I83" i="109"/>
  <c r="K83" i="109"/>
  <c r="Y83" i="109"/>
  <c r="Z83" i="109" s="1"/>
  <c r="AA83" i="109" s="1"/>
  <c r="AB83" i="109" s="1"/>
  <c r="AC83" i="109" s="1"/>
  <c r="AD83" i="109" s="1"/>
  <c r="AE83" i="109" s="1"/>
  <c r="A84" i="109"/>
  <c r="B84" i="109"/>
  <c r="E84" i="109"/>
  <c r="F84" i="109"/>
  <c r="H84" i="109"/>
  <c r="I84" i="109"/>
  <c r="M84" i="109"/>
  <c r="N84" i="109" s="1"/>
  <c r="O84" i="109"/>
  <c r="P84" i="109" s="1"/>
  <c r="Q84" i="109" s="1"/>
  <c r="R84" i="109"/>
  <c r="S84" i="109" s="1"/>
  <c r="T84" i="109" s="1"/>
  <c r="U84" i="109" s="1"/>
  <c r="W84" i="109"/>
  <c r="X84" i="109" s="1"/>
  <c r="Y84" i="109"/>
  <c r="Z84" i="109" s="1"/>
  <c r="AA84" i="109" s="1"/>
  <c r="AB84" i="109"/>
  <c r="AC84" i="109" s="1"/>
  <c r="AD84" i="109" s="1"/>
  <c r="AE84" i="109" s="1"/>
  <c r="AF84" i="109"/>
  <c r="B85" i="109"/>
  <c r="E85" i="109"/>
  <c r="F85" i="109"/>
  <c r="I85" i="109"/>
  <c r="K85" i="109"/>
  <c r="V85" i="109"/>
  <c r="AF85" i="109"/>
  <c r="B86" i="109"/>
  <c r="E86" i="109"/>
  <c r="F86" i="109"/>
  <c r="I86" i="109"/>
  <c r="M86" i="109"/>
  <c r="N86" i="109"/>
  <c r="O86" i="109" s="1"/>
  <c r="P86" i="109" s="1"/>
  <c r="Q86" i="109" s="1"/>
  <c r="R86" i="109" s="1"/>
  <c r="S86" i="109" s="1"/>
  <c r="T86" i="109" s="1"/>
  <c r="U86" i="109" s="1"/>
  <c r="W86" i="109"/>
  <c r="X86" i="109"/>
  <c r="Y86" i="109" s="1"/>
  <c r="Z86" i="109" s="1"/>
  <c r="AA86" i="109" s="1"/>
  <c r="AB86" i="109" s="1"/>
  <c r="AC86" i="109" s="1"/>
  <c r="AD86" i="109" s="1"/>
  <c r="AE86" i="109" s="1"/>
  <c r="AF86" i="109"/>
  <c r="AF87" i="109" s="1"/>
  <c r="B87" i="109"/>
  <c r="E87" i="109"/>
  <c r="F87" i="109"/>
  <c r="I87" i="109"/>
  <c r="K87" i="109"/>
  <c r="Y87" i="109"/>
  <c r="Z87" i="109" s="1"/>
  <c r="AA87" i="109" s="1"/>
  <c r="AB87" i="109" s="1"/>
  <c r="AC87" i="109" s="1"/>
  <c r="AD87" i="109" s="1"/>
  <c r="AE87" i="109" s="1"/>
  <c r="B88" i="109"/>
  <c r="E88" i="109"/>
  <c r="F88" i="109"/>
  <c r="H88" i="109"/>
  <c r="I88" i="109"/>
  <c r="M88" i="109"/>
  <c r="N88" i="109" s="1"/>
  <c r="O88" i="109"/>
  <c r="P88" i="109" s="1"/>
  <c r="Q88" i="109" s="1"/>
  <c r="R88" i="109"/>
  <c r="S88" i="109" s="1"/>
  <c r="T88" i="109" s="1"/>
  <c r="U88" i="109" s="1"/>
  <c r="W88" i="109"/>
  <c r="X88" i="109" s="1"/>
  <c r="Y88" i="109"/>
  <c r="Z88" i="109" s="1"/>
  <c r="AA88" i="109" s="1"/>
  <c r="AB88" i="109"/>
  <c r="AC88" i="109" s="1"/>
  <c r="AD88" i="109" s="1"/>
  <c r="AE88" i="109" s="1"/>
  <c r="AF88" i="109"/>
  <c r="B37" i="109"/>
  <c r="F37" i="109"/>
  <c r="K37" i="109"/>
  <c r="V37" i="109"/>
  <c r="W37" i="109" s="1"/>
  <c r="AF37" i="109"/>
  <c r="AZ37" i="109"/>
  <c r="I37" i="109" s="1"/>
  <c r="B38" i="109"/>
  <c r="F38" i="109"/>
  <c r="M38" i="109"/>
  <c r="N38" i="109"/>
  <c r="O38" i="109" s="1"/>
  <c r="P38" i="109" s="1"/>
  <c r="Q38" i="109" s="1"/>
  <c r="R38" i="109" s="1"/>
  <c r="S38" i="109" s="1"/>
  <c r="T38" i="109" s="1"/>
  <c r="U38" i="109" s="1"/>
  <c r="W38" i="109"/>
  <c r="X38" i="109"/>
  <c r="Y38" i="109" s="1"/>
  <c r="Z38" i="109" s="1"/>
  <c r="AA38" i="109" s="1"/>
  <c r="AB38" i="109" s="1"/>
  <c r="AC38" i="109" s="1"/>
  <c r="AD38" i="109" s="1"/>
  <c r="AE38" i="109" s="1"/>
  <c r="AF38" i="109"/>
  <c r="AF39" i="109" s="1"/>
  <c r="AZ38" i="109"/>
  <c r="I38" i="109" s="1"/>
  <c r="B39" i="109"/>
  <c r="F39" i="109"/>
  <c r="I39" i="109"/>
  <c r="O39" i="109"/>
  <c r="P39" i="109" s="1"/>
  <c r="Q39" i="109" s="1"/>
  <c r="R39" i="109"/>
  <c r="S39" i="109" s="1"/>
  <c r="T39" i="109" s="1"/>
  <c r="U39" i="109" s="1"/>
  <c r="Y39" i="109"/>
  <c r="Z39" i="109" s="1"/>
  <c r="AA39" i="109" s="1"/>
  <c r="AB39" i="109"/>
  <c r="AC39" i="109" s="1"/>
  <c r="AD39" i="109" s="1"/>
  <c r="AE39" i="109" s="1"/>
  <c r="B40" i="109"/>
  <c r="F40" i="109"/>
  <c r="H40" i="109"/>
  <c r="M40" i="109"/>
  <c r="N40" i="109" s="1"/>
  <c r="O40" i="109"/>
  <c r="P40" i="109" s="1"/>
  <c r="Q40" i="109" s="1"/>
  <c r="R40" i="109" s="1"/>
  <c r="S40" i="109" s="1"/>
  <c r="T40" i="109" s="1"/>
  <c r="U40" i="109" s="1"/>
  <c r="W40" i="109"/>
  <c r="X40" i="109" s="1"/>
  <c r="Y40" i="109"/>
  <c r="Z40" i="109" s="1"/>
  <c r="AA40" i="109" s="1"/>
  <c r="AB40" i="109" s="1"/>
  <c r="AC40" i="109" s="1"/>
  <c r="AD40" i="109" s="1"/>
  <c r="AE40" i="109" s="1"/>
  <c r="AF40" i="109"/>
  <c r="AZ40" i="109"/>
  <c r="I40" i="109" s="1"/>
  <c r="B41" i="109"/>
  <c r="F41" i="109"/>
  <c r="H41" i="109"/>
  <c r="M41" i="109"/>
  <c r="N41" i="109" s="1"/>
  <c r="O41" i="109"/>
  <c r="P41" i="109" s="1"/>
  <c r="Q41" i="109" s="1"/>
  <c r="R41" i="109"/>
  <c r="S41" i="109" s="1"/>
  <c r="T41" i="109" s="1"/>
  <c r="U41" i="109" s="1"/>
  <c r="W41" i="109"/>
  <c r="X41" i="109" s="1"/>
  <c r="Y41" i="109"/>
  <c r="Z41" i="109" s="1"/>
  <c r="AA41" i="109" s="1"/>
  <c r="AB41" i="109"/>
  <c r="AC41" i="109" s="1"/>
  <c r="AD41" i="109" s="1"/>
  <c r="AE41" i="109" s="1"/>
  <c r="AF41" i="109"/>
  <c r="AZ41" i="109"/>
  <c r="I41" i="109" s="1"/>
  <c r="B42" i="109"/>
  <c r="F42" i="109"/>
  <c r="I42" i="109"/>
  <c r="K42" i="109"/>
  <c r="V42" i="109"/>
  <c r="AF42" i="109"/>
  <c r="B43" i="109"/>
  <c r="F43" i="109"/>
  <c r="M43" i="109"/>
  <c r="N43" i="109"/>
  <c r="O43" i="109" s="1"/>
  <c r="P43" i="109" s="1"/>
  <c r="Q43" i="109" s="1"/>
  <c r="R43" i="109" s="1"/>
  <c r="S43" i="109" s="1"/>
  <c r="T43" i="109" s="1"/>
  <c r="U43" i="109" s="1"/>
  <c r="W43" i="109"/>
  <c r="X43" i="109"/>
  <c r="Y43" i="109" s="1"/>
  <c r="Z43" i="109" s="1"/>
  <c r="AA43" i="109" s="1"/>
  <c r="AB43" i="109" s="1"/>
  <c r="AC43" i="109" s="1"/>
  <c r="AD43" i="109" s="1"/>
  <c r="AE43" i="109" s="1"/>
  <c r="AF43" i="109"/>
  <c r="AF44" i="109" s="1"/>
  <c r="AZ43" i="109"/>
  <c r="I43" i="109" s="1"/>
  <c r="B44" i="109"/>
  <c r="F44" i="109"/>
  <c r="I44" i="109"/>
  <c r="K44" i="109"/>
  <c r="Y44" i="109"/>
  <c r="Z44" i="109" s="1"/>
  <c r="AA44" i="109" s="1"/>
  <c r="AB44" i="109" s="1"/>
  <c r="AC44" i="109" s="1"/>
  <c r="AD44" i="109" s="1"/>
  <c r="AE44" i="109" s="1"/>
  <c r="B45" i="109"/>
  <c r="F45" i="109"/>
  <c r="H45" i="109"/>
  <c r="M45" i="109"/>
  <c r="N45" i="109" s="1"/>
  <c r="O45" i="109"/>
  <c r="P45" i="109" s="1"/>
  <c r="Q45" i="109" s="1"/>
  <c r="R45" i="109"/>
  <c r="S45" i="109" s="1"/>
  <c r="T45" i="109" s="1"/>
  <c r="U45" i="109" s="1"/>
  <c r="W45" i="109"/>
  <c r="X45" i="109" s="1"/>
  <c r="Y45" i="109"/>
  <c r="Z45" i="109" s="1"/>
  <c r="AA45" i="109" s="1"/>
  <c r="AB45" i="109"/>
  <c r="AC45" i="109" s="1"/>
  <c r="AD45" i="109" s="1"/>
  <c r="AE45" i="109" s="1"/>
  <c r="AF45" i="109"/>
  <c r="AZ45" i="109"/>
  <c r="I45" i="109" s="1"/>
  <c r="B46" i="109"/>
  <c r="F46" i="109"/>
  <c r="I46" i="109"/>
  <c r="K46" i="109"/>
  <c r="V46" i="109"/>
  <c r="AF46" i="109"/>
  <c r="B47" i="109"/>
  <c r="F47" i="109"/>
  <c r="M47" i="109"/>
  <c r="N47" i="109"/>
  <c r="O47" i="109" s="1"/>
  <c r="P47" i="109" s="1"/>
  <c r="Q47" i="109" s="1"/>
  <c r="R47" i="109" s="1"/>
  <c r="S47" i="109" s="1"/>
  <c r="T47" i="109" s="1"/>
  <c r="U47" i="109" s="1"/>
  <c r="W47" i="109"/>
  <c r="X47" i="109"/>
  <c r="Y47" i="109" s="1"/>
  <c r="Z47" i="109" s="1"/>
  <c r="AA47" i="109" s="1"/>
  <c r="AB47" i="109" s="1"/>
  <c r="AC47" i="109" s="1"/>
  <c r="AD47" i="109" s="1"/>
  <c r="AE47" i="109" s="1"/>
  <c r="AF47" i="109"/>
  <c r="AZ47" i="109"/>
  <c r="I47" i="109" s="1"/>
  <c r="B48" i="109"/>
  <c r="F48" i="109"/>
  <c r="I48" i="109"/>
  <c r="K48" i="109"/>
  <c r="Y48" i="109"/>
  <c r="Z48" i="109" s="1"/>
  <c r="AA48" i="109" s="1"/>
  <c r="AB48" i="109" s="1"/>
  <c r="AC48" i="109" s="1"/>
  <c r="AD48" i="109" s="1"/>
  <c r="AE48" i="109" s="1"/>
  <c r="AF48" i="109"/>
  <c r="B49" i="109"/>
  <c r="F49" i="109"/>
  <c r="I49" i="109"/>
  <c r="M49" i="109"/>
  <c r="N49" i="109" s="1"/>
  <c r="O49" i="109"/>
  <c r="P49" i="109" s="1"/>
  <c r="Q49" i="109" s="1"/>
  <c r="R49" i="109"/>
  <c r="S49" i="109" s="1"/>
  <c r="T49" i="109" s="1"/>
  <c r="U49" i="109" s="1"/>
  <c r="W49" i="109"/>
  <c r="X49" i="109" s="1"/>
  <c r="Y49" i="109"/>
  <c r="Z49" i="109" s="1"/>
  <c r="AA49" i="109" s="1"/>
  <c r="AB49" i="109"/>
  <c r="AC49" i="109" s="1"/>
  <c r="AD49" i="109" s="1"/>
  <c r="AE49" i="109" s="1"/>
  <c r="AF49" i="109"/>
  <c r="B50" i="109"/>
  <c r="E50" i="109"/>
  <c r="F50" i="109"/>
  <c r="I50" i="109"/>
  <c r="K50" i="109"/>
  <c r="V50" i="109"/>
  <c r="AF50" i="109"/>
  <c r="B51" i="109"/>
  <c r="E51" i="109"/>
  <c r="F51" i="109"/>
  <c r="M51" i="109"/>
  <c r="N51" i="109"/>
  <c r="O51" i="109" s="1"/>
  <c r="P51" i="109" s="1"/>
  <c r="Q51" i="109" s="1"/>
  <c r="R51" i="109" s="1"/>
  <c r="S51" i="109" s="1"/>
  <c r="T51" i="109" s="1"/>
  <c r="U51" i="109" s="1"/>
  <c r="W51" i="109"/>
  <c r="X51" i="109"/>
  <c r="Y51" i="109" s="1"/>
  <c r="Z51" i="109" s="1"/>
  <c r="AA51" i="109" s="1"/>
  <c r="AB51" i="109" s="1"/>
  <c r="AC51" i="109" s="1"/>
  <c r="AD51" i="109" s="1"/>
  <c r="AE51" i="109" s="1"/>
  <c r="AF51" i="109"/>
  <c r="AF52" i="109" s="1"/>
  <c r="AZ51" i="109"/>
  <c r="I51" i="109" s="1"/>
  <c r="B52" i="109"/>
  <c r="E52" i="109"/>
  <c r="F52" i="109"/>
  <c r="I52" i="109"/>
  <c r="O52" i="109"/>
  <c r="P52" i="109" s="1"/>
  <c r="Q52" i="109" s="1"/>
  <c r="R52" i="109"/>
  <c r="S52" i="109" s="1"/>
  <c r="T52" i="109" s="1"/>
  <c r="U52" i="109" s="1"/>
  <c r="Y52" i="109"/>
  <c r="Z52" i="109" s="1"/>
  <c r="AA52" i="109" s="1"/>
  <c r="AB52" i="109"/>
  <c r="AC52" i="109" s="1"/>
  <c r="AD52" i="109" s="1"/>
  <c r="AE52" i="109" s="1"/>
  <c r="B53" i="109"/>
  <c r="E53" i="109"/>
  <c r="F53" i="109"/>
  <c r="I53" i="109"/>
  <c r="M53" i="109"/>
  <c r="N53" i="109" s="1"/>
  <c r="O53" i="109"/>
  <c r="P53" i="109" s="1"/>
  <c r="Q53" i="109" s="1"/>
  <c r="R53" i="109"/>
  <c r="S53" i="109" s="1"/>
  <c r="T53" i="109" s="1"/>
  <c r="U53" i="109" s="1"/>
  <c r="W53" i="109"/>
  <c r="X53" i="109" s="1"/>
  <c r="Y53" i="109"/>
  <c r="Z53" i="109" s="1"/>
  <c r="AA53" i="109" s="1"/>
  <c r="AB53" i="109"/>
  <c r="AC53" i="109" s="1"/>
  <c r="AD53" i="109" s="1"/>
  <c r="AE53" i="109" s="1"/>
  <c r="AF53" i="109"/>
  <c r="B54" i="109"/>
  <c r="E54" i="109"/>
  <c r="F54" i="109"/>
  <c r="I54" i="109"/>
  <c r="M54" i="109"/>
  <c r="N54" i="109" s="1"/>
  <c r="O54" i="109"/>
  <c r="P54" i="109" s="1"/>
  <c r="Q54" i="109" s="1"/>
  <c r="R54" i="109"/>
  <c r="S54" i="109" s="1"/>
  <c r="T54" i="109" s="1"/>
  <c r="U54" i="109" s="1"/>
  <c r="W54" i="109"/>
  <c r="X54" i="109" s="1"/>
  <c r="Y54" i="109"/>
  <c r="Z54" i="109" s="1"/>
  <c r="AA54" i="109" s="1"/>
  <c r="AB54" i="109"/>
  <c r="AC54" i="109" s="1"/>
  <c r="AD54" i="109" s="1"/>
  <c r="AE54" i="109" s="1"/>
  <c r="AF54" i="109"/>
  <c r="B55" i="109"/>
  <c r="F55" i="109"/>
  <c r="I55" i="109"/>
  <c r="K55" i="109"/>
  <c r="V55" i="109"/>
  <c r="AF55" i="109"/>
  <c r="B56" i="109"/>
  <c r="F56" i="109"/>
  <c r="M56" i="109"/>
  <c r="N56" i="109"/>
  <c r="O56" i="109" s="1"/>
  <c r="P56" i="109" s="1"/>
  <c r="Q56" i="109" s="1"/>
  <c r="R56" i="109" s="1"/>
  <c r="S56" i="109" s="1"/>
  <c r="T56" i="109" s="1"/>
  <c r="U56" i="109" s="1"/>
  <c r="W56" i="109"/>
  <c r="X56" i="109"/>
  <c r="Y56" i="109" s="1"/>
  <c r="Z56" i="109" s="1"/>
  <c r="AA56" i="109" s="1"/>
  <c r="AB56" i="109" s="1"/>
  <c r="AC56" i="109" s="1"/>
  <c r="AD56" i="109" s="1"/>
  <c r="AE56" i="109" s="1"/>
  <c r="AF56" i="109"/>
  <c r="AF57" i="109" s="1"/>
  <c r="AF58" i="109" s="1"/>
  <c r="AF59" i="109" s="1"/>
  <c r="AZ56" i="109"/>
  <c r="I56" i="109" s="1"/>
  <c r="B57" i="109"/>
  <c r="F57" i="109"/>
  <c r="I57" i="109"/>
  <c r="O57" i="109"/>
  <c r="P57" i="109" s="1"/>
  <c r="Q57" i="109" s="1"/>
  <c r="R57" i="109"/>
  <c r="S57" i="109" s="1"/>
  <c r="T57" i="109" s="1"/>
  <c r="U57" i="109" s="1"/>
  <c r="Y57" i="109"/>
  <c r="Z57" i="109" s="1"/>
  <c r="AA57" i="109" s="1"/>
  <c r="AB57" i="109"/>
  <c r="AC57" i="109" s="1"/>
  <c r="AD57" i="109" s="1"/>
  <c r="AE57" i="109" s="1"/>
  <c r="B58" i="109"/>
  <c r="F58" i="109"/>
  <c r="I58" i="109"/>
  <c r="M58" i="109"/>
  <c r="N58" i="109" s="1"/>
  <c r="O58" i="109"/>
  <c r="P58" i="109" s="1"/>
  <c r="Q58" i="109" s="1"/>
  <c r="R58" i="109"/>
  <c r="S58" i="109" s="1"/>
  <c r="T58" i="109" s="1"/>
  <c r="U58" i="109" s="1"/>
  <c r="W58" i="109"/>
  <c r="X58" i="109" s="1"/>
  <c r="Y58" i="109"/>
  <c r="Z58" i="109" s="1"/>
  <c r="AA58" i="109" s="1"/>
  <c r="AB58" i="109"/>
  <c r="AC58" i="109" s="1"/>
  <c r="AD58" i="109" s="1"/>
  <c r="AE58" i="109" s="1"/>
  <c r="B59" i="109"/>
  <c r="F59" i="109"/>
  <c r="I59" i="109"/>
  <c r="M59" i="109"/>
  <c r="N59" i="109" s="1"/>
  <c r="O59" i="109"/>
  <c r="P59" i="109" s="1"/>
  <c r="Q59" i="109" s="1"/>
  <c r="R59" i="109"/>
  <c r="S59" i="109" s="1"/>
  <c r="T59" i="109" s="1"/>
  <c r="U59" i="109" s="1"/>
  <c r="W59" i="109"/>
  <c r="X59" i="109" s="1"/>
  <c r="Y59" i="109"/>
  <c r="Z59" i="109" s="1"/>
  <c r="AA59" i="109" s="1"/>
  <c r="AB59" i="109"/>
  <c r="AC59" i="109" s="1"/>
  <c r="AD59" i="109" s="1"/>
  <c r="AE59" i="109" s="1"/>
  <c r="B60" i="109"/>
  <c r="E60" i="109"/>
  <c r="F60" i="109"/>
  <c r="I60" i="109"/>
  <c r="K60" i="109"/>
  <c r="V60" i="109"/>
  <c r="AF60" i="109"/>
  <c r="B61" i="109"/>
  <c r="E61" i="109"/>
  <c r="F61" i="109"/>
  <c r="M61" i="109"/>
  <c r="N61" i="109"/>
  <c r="O61" i="109" s="1"/>
  <c r="P61" i="109" s="1"/>
  <c r="Q61" i="109" s="1"/>
  <c r="R61" i="109" s="1"/>
  <c r="S61" i="109" s="1"/>
  <c r="T61" i="109" s="1"/>
  <c r="U61" i="109" s="1"/>
  <c r="W61" i="109"/>
  <c r="X61" i="109"/>
  <c r="Y61" i="109" s="1"/>
  <c r="Z61" i="109" s="1"/>
  <c r="AA61" i="109" s="1"/>
  <c r="AB61" i="109" s="1"/>
  <c r="AC61" i="109" s="1"/>
  <c r="AD61" i="109" s="1"/>
  <c r="AE61" i="109" s="1"/>
  <c r="AF61" i="109"/>
  <c r="AF62" i="109" s="1"/>
  <c r="AF63" i="109" s="1"/>
  <c r="AF64" i="109" s="1"/>
  <c r="AZ61" i="109"/>
  <c r="I61" i="109" s="1"/>
  <c r="B62" i="109"/>
  <c r="E62" i="109"/>
  <c r="F62" i="109"/>
  <c r="I62" i="109"/>
  <c r="O62" i="109"/>
  <c r="P62" i="109"/>
  <c r="Q62" i="109" s="1"/>
  <c r="R62" i="109"/>
  <c r="S62" i="109" s="1"/>
  <c r="T62" i="109" s="1"/>
  <c r="U62" i="109" s="1"/>
  <c r="Y62" i="109"/>
  <c r="Z62" i="109" s="1"/>
  <c r="AA62" i="109" s="1"/>
  <c r="AB62" i="109"/>
  <c r="AC62" i="109" s="1"/>
  <c r="AD62" i="109" s="1"/>
  <c r="AE62" i="109" s="1"/>
  <c r="B63" i="109"/>
  <c r="E63" i="109"/>
  <c r="F63" i="109"/>
  <c r="I63" i="109"/>
  <c r="M63" i="109"/>
  <c r="N63" i="109" s="1"/>
  <c r="O63" i="109"/>
  <c r="P63" i="109" s="1"/>
  <c r="Q63" i="109" s="1"/>
  <c r="R63" i="109"/>
  <c r="S63" i="109" s="1"/>
  <c r="T63" i="109" s="1"/>
  <c r="U63" i="109" s="1"/>
  <c r="W63" i="109"/>
  <c r="X63" i="109" s="1"/>
  <c r="Y63" i="109"/>
  <c r="Z63" i="109" s="1"/>
  <c r="AA63" i="109" s="1"/>
  <c r="AB63" i="109"/>
  <c r="AC63" i="109" s="1"/>
  <c r="AD63" i="109" s="1"/>
  <c r="AE63" i="109" s="1"/>
  <c r="B64" i="109"/>
  <c r="E64" i="109"/>
  <c r="F64" i="109"/>
  <c r="I64" i="109"/>
  <c r="M64" i="109"/>
  <c r="N64" i="109" s="1"/>
  <c r="O64" i="109"/>
  <c r="P64" i="109" s="1"/>
  <c r="Q64" i="109" s="1"/>
  <c r="R64" i="109"/>
  <c r="S64" i="109" s="1"/>
  <c r="T64" i="109" s="1"/>
  <c r="U64" i="109" s="1"/>
  <c r="W64" i="109"/>
  <c r="X64" i="109" s="1"/>
  <c r="Y64" i="109"/>
  <c r="Z64" i="109" s="1"/>
  <c r="AA64" i="109" s="1"/>
  <c r="AB64" i="109"/>
  <c r="AC64" i="109" s="1"/>
  <c r="AD64" i="109" s="1"/>
  <c r="AE64" i="109" s="1"/>
  <c r="B65" i="109"/>
  <c r="E65" i="109"/>
  <c r="F65" i="109"/>
  <c r="H65" i="109"/>
  <c r="O65" i="109"/>
  <c r="P65" i="109" s="1"/>
  <c r="Q65" i="109" s="1"/>
  <c r="R65" i="109"/>
  <c r="S65" i="109" s="1"/>
  <c r="T65" i="109" s="1"/>
  <c r="U65" i="109" s="1"/>
  <c r="Y65" i="109"/>
  <c r="Z65" i="109" s="1"/>
  <c r="AA65" i="109" s="1"/>
  <c r="AB65" i="109"/>
  <c r="AC65" i="109" s="1"/>
  <c r="AD65" i="109" s="1"/>
  <c r="AE65" i="109" s="1"/>
  <c r="AF65" i="109"/>
  <c r="AZ65" i="109"/>
  <c r="I65" i="109" s="1"/>
  <c r="A17" i="109"/>
  <c r="B17" i="109"/>
  <c r="C17" i="109"/>
  <c r="E17" i="109"/>
  <c r="I17" i="109"/>
  <c r="K17" i="109"/>
  <c r="V17" i="109"/>
  <c r="AF17" i="109"/>
  <c r="A18" i="109"/>
  <c r="B18" i="109"/>
  <c r="C18" i="109"/>
  <c r="E18" i="109"/>
  <c r="M18" i="109"/>
  <c r="N18" i="109"/>
  <c r="O18" i="109" s="1"/>
  <c r="P18" i="109" s="1"/>
  <c r="Q18" i="109" s="1"/>
  <c r="R18" i="109" s="1"/>
  <c r="S18" i="109" s="1"/>
  <c r="T18" i="109" s="1"/>
  <c r="U18" i="109" s="1"/>
  <c r="W18" i="109"/>
  <c r="X18" i="109"/>
  <c r="Y18" i="109" s="1"/>
  <c r="Z18" i="109" s="1"/>
  <c r="AA18" i="109" s="1"/>
  <c r="AB18" i="109" s="1"/>
  <c r="AC18" i="109" s="1"/>
  <c r="AD18" i="109" s="1"/>
  <c r="AE18" i="109" s="1"/>
  <c r="AF18" i="109"/>
  <c r="AZ18" i="109"/>
  <c r="I18" i="109" s="1"/>
  <c r="A19" i="109"/>
  <c r="B19" i="109"/>
  <c r="C19" i="109"/>
  <c r="E19" i="109"/>
  <c r="I19" i="109"/>
  <c r="K19" i="109"/>
  <c r="Y19" i="109"/>
  <c r="X19" i="109" s="1"/>
  <c r="W19" i="109" s="1"/>
  <c r="AF19" i="109"/>
  <c r="A20" i="109"/>
  <c r="B20" i="109"/>
  <c r="C20" i="109"/>
  <c r="E20" i="109"/>
  <c r="H20" i="109"/>
  <c r="M20" i="109"/>
  <c r="N20" i="109" s="1"/>
  <c r="O20" i="109"/>
  <c r="P20" i="109" s="1"/>
  <c r="Q20" i="109" s="1"/>
  <c r="R20" i="109"/>
  <c r="S20" i="109" s="1"/>
  <c r="T20" i="109" s="1"/>
  <c r="U20" i="109" s="1"/>
  <c r="W20" i="109"/>
  <c r="X20" i="109" s="1"/>
  <c r="Y20" i="109"/>
  <c r="Z20" i="109" s="1"/>
  <c r="AA20" i="109" s="1"/>
  <c r="AB20" i="109"/>
  <c r="AC20" i="109" s="1"/>
  <c r="AD20" i="109" s="1"/>
  <c r="AE20" i="109" s="1"/>
  <c r="AF20" i="109"/>
  <c r="AZ20" i="109"/>
  <c r="I20" i="109" s="1"/>
  <c r="A21" i="109"/>
  <c r="B21" i="109"/>
  <c r="C21" i="109"/>
  <c r="E21" i="109"/>
  <c r="H21" i="109"/>
  <c r="M21" i="109"/>
  <c r="N21" i="109" s="1"/>
  <c r="O21" i="109"/>
  <c r="P21" i="109" s="1"/>
  <c r="Q21" i="109" s="1"/>
  <c r="R21" i="109"/>
  <c r="S21" i="109" s="1"/>
  <c r="T21" i="109" s="1"/>
  <c r="U21" i="109" s="1"/>
  <c r="W21" i="109"/>
  <c r="X21" i="109" s="1"/>
  <c r="Y21" i="109"/>
  <c r="Z21" i="109" s="1"/>
  <c r="AA21" i="109" s="1"/>
  <c r="AB21" i="109"/>
  <c r="AC21" i="109" s="1"/>
  <c r="AD21" i="109" s="1"/>
  <c r="AE21" i="109" s="1"/>
  <c r="AF21" i="109"/>
  <c r="AZ21" i="109"/>
  <c r="I21" i="109" s="1"/>
  <c r="B22" i="109"/>
  <c r="C22" i="109"/>
  <c r="I22" i="109"/>
  <c r="K22" i="109"/>
  <c r="V22" i="109"/>
  <c r="AF22" i="109"/>
  <c r="B23" i="109"/>
  <c r="C23" i="109"/>
  <c r="M23" i="109"/>
  <c r="N23" i="109"/>
  <c r="O23" i="109" s="1"/>
  <c r="P23" i="109" s="1"/>
  <c r="Q23" i="109" s="1"/>
  <c r="R23" i="109" s="1"/>
  <c r="S23" i="109" s="1"/>
  <c r="T23" i="109" s="1"/>
  <c r="U23" i="109" s="1"/>
  <c r="W23" i="109"/>
  <c r="X23" i="109"/>
  <c r="Y23" i="109" s="1"/>
  <c r="Z23" i="109" s="1"/>
  <c r="AA23" i="109" s="1"/>
  <c r="AB23" i="109" s="1"/>
  <c r="AC23" i="109" s="1"/>
  <c r="AD23" i="109" s="1"/>
  <c r="AE23" i="109" s="1"/>
  <c r="AF23" i="109"/>
  <c r="AZ23" i="109"/>
  <c r="I23" i="109" s="1"/>
  <c r="B24" i="109"/>
  <c r="C24" i="109"/>
  <c r="I24" i="109"/>
  <c r="K24" i="109"/>
  <c r="Y24" i="109"/>
  <c r="Z24" i="109" s="1"/>
  <c r="AA24" i="109" s="1"/>
  <c r="AB24" i="109" s="1"/>
  <c r="AC24" i="109" s="1"/>
  <c r="AD24" i="109" s="1"/>
  <c r="AE24" i="109" s="1"/>
  <c r="AF24" i="109"/>
  <c r="B25" i="109"/>
  <c r="C25" i="109"/>
  <c r="I25" i="109"/>
  <c r="M25" i="109"/>
  <c r="N25" i="109" s="1"/>
  <c r="O25" i="109"/>
  <c r="P25" i="109" s="1"/>
  <c r="Q25" i="109" s="1"/>
  <c r="R25" i="109"/>
  <c r="S25" i="109" s="1"/>
  <c r="T25" i="109" s="1"/>
  <c r="U25" i="109" s="1"/>
  <c r="W25" i="109"/>
  <c r="X25" i="109" s="1"/>
  <c r="Y25" i="109"/>
  <c r="Z25" i="109" s="1"/>
  <c r="AA25" i="109" s="1"/>
  <c r="AB25" i="109"/>
  <c r="AC25" i="109" s="1"/>
  <c r="AD25" i="109" s="1"/>
  <c r="AE25" i="109" s="1"/>
  <c r="AF25" i="109"/>
  <c r="B26" i="109"/>
  <c r="C26" i="109"/>
  <c r="I26" i="109"/>
  <c r="M26" i="109"/>
  <c r="N26" i="109" s="1"/>
  <c r="O26" i="109"/>
  <c r="P26" i="109" s="1"/>
  <c r="Q26" i="109" s="1"/>
  <c r="R26" i="109"/>
  <c r="S26" i="109" s="1"/>
  <c r="T26" i="109" s="1"/>
  <c r="U26" i="109" s="1"/>
  <c r="W26" i="109"/>
  <c r="X26" i="109" s="1"/>
  <c r="Y26" i="109"/>
  <c r="Z26" i="109" s="1"/>
  <c r="AA26" i="109" s="1"/>
  <c r="AB26" i="109"/>
  <c r="AC26" i="109" s="1"/>
  <c r="AD26" i="109" s="1"/>
  <c r="AE26" i="109" s="1"/>
  <c r="AF26" i="109"/>
  <c r="A27" i="109"/>
  <c r="B27" i="109"/>
  <c r="C27" i="109"/>
  <c r="E27" i="109"/>
  <c r="I27" i="109"/>
  <c r="K27" i="109"/>
  <c r="V27" i="109"/>
  <c r="AF27" i="109"/>
  <c r="A28" i="109"/>
  <c r="B28" i="109"/>
  <c r="C28" i="109"/>
  <c r="E28" i="109"/>
  <c r="M28" i="109"/>
  <c r="N28" i="109"/>
  <c r="O28" i="109" s="1"/>
  <c r="P28" i="109" s="1"/>
  <c r="Q28" i="109" s="1"/>
  <c r="R28" i="109" s="1"/>
  <c r="S28" i="109" s="1"/>
  <c r="T28" i="109" s="1"/>
  <c r="U28" i="109" s="1"/>
  <c r="W28" i="109"/>
  <c r="X28" i="109"/>
  <c r="Y28" i="109" s="1"/>
  <c r="Z28" i="109" s="1"/>
  <c r="AA28" i="109" s="1"/>
  <c r="AB28" i="109" s="1"/>
  <c r="AC28" i="109" s="1"/>
  <c r="AD28" i="109" s="1"/>
  <c r="AE28" i="109" s="1"/>
  <c r="AF28" i="109"/>
  <c r="AZ28" i="109"/>
  <c r="I28" i="109" s="1"/>
  <c r="A29" i="109"/>
  <c r="B29" i="109"/>
  <c r="C29" i="109"/>
  <c r="E29" i="109"/>
  <c r="I29" i="109"/>
  <c r="K29" i="109"/>
  <c r="Y29" i="109"/>
  <c r="Z29" i="109" s="1"/>
  <c r="AA29" i="109" s="1"/>
  <c r="AB29" i="109" s="1"/>
  <c r="AC29" i="109" s="1"/>
  <c r="AD29" i="109" s="1"/>
  <c r="AE29" i="109" s="1"/>
  <c r="AF29" i="109"/>
  <c r="A30" i="109"/>
  <c r="B30" i="109"/>
  <c r="C30" i="109"/>
  <c r="E30" i="109"/>
  <c r="H30" i="109"/>
  <c r="M30" i="109"/>
  <c r="N30" i="109" s="1"/>
  <c r="O30" i="109"/>
  <c r="P30" i="109" s="1"/>
  <c r="Q30" i="109" s="1"/>
  <c r="R30" i="109"/>
  <c r="S30" i="109" s="1"/>
  <c r="T30" i="109" s="1"/>
  <c r="U30" i="109" s="1"/>
  <c r="W30" i="109"/>
  <c r="X30" i="109" s="1"/>
  <c r="Y30" i="109"/>
  <c r="Z30" i="109" s="1"/>
  <c r="AA30" i="109" s="1"/>
  <c r="AB30" i="109"/>
  <c r="AC30" i="109" s="1"/>
  <c r="AD30" i="109" s="1"/>
  <c r="AE30" i="109" s="1"/>
  <c r="AF30" i="109"/>
  <c r="AZ30" i="109"/>
  <c r="I30" i="109" s="1"/>
  <c r="A31" i="109"/>
  <c r="B31" i="109"/>
  <c r="C31" i="109"/>
  <c r="E31" i="109"/>
  <c r="M31" i="109"/>
  <c r="N31" i="109" s="1"/>
  <c r="O31" i="109"/>
  <c r="P31" i="109" s="1"/>
  <c r="Q31" i="109" s="1"/>
  <c r="R31" i="109"/>
  <c r="S31" i="109" s="1"/>
  <c r="T31" i="109" s="1"/>
  <c r="U31" i="109" s="1"/>
  <c r="W31" i="109"/>
  <c r="X31" i="109" s="1"/>
  <c r="Y31" i="109"/>
  <c r="Z31" i="109" s="1"/>
  <c r="AA31" i="109" s="1"/>
  <c r="AB31" i="109"/>
  <c r="AC31" i="109" s="1"/>
  <c r="AD31" i="109" s="1"/>
  <c r="AE31" i="109" s="1"/>
  <c r="AF31" i="109"/>
  <c r="AZ31" i="109"/>
  <c r="I31" i="109" s="1"/>
  <c r="A32" i="109"/>
  <c r="B32" i="109"/>
  <c r="C32" i="109"/>
  <c r="E32" i="109"/>
  <c r="H32" i="109"/>
  <c r="K32" i="109"/>
  <c r="V32" i="109"/>
  <c r="V33" i="109" s="1"/>
  <c r="W32" i="109"/>
  <c r="X32" i="109" s="1"/>
  <c r="Y32" i="109"/>
  <c r="Z32" i="109" s="1"/>
  <c r="AA32" i="109" s="1"/>
  <c r="AB32" i="109"/>
  <c r="AC32" i="109" s="1"/>
  <c r="AD32" i="109" s="1"/>
  <c r="AE32" i="109" s="1"/>
  <c r="AF32" i="109"/>
  <c r="AZ32" i="109"/>
  <c r="I32" i="109" s="1"/>
  <c r="A33" i="109"/>
  <c r="B33" i="109"/>
  <c r="C33" i="109"/>
  <c r="E33" i="109"/>
  <c r="H33" i="109"/>
  <c r="K33" i="109"/>
  <c r="W33" i="109"/>
  <c r="X33" i="109" s="1"/>
  <c r="Y33" i="109"/>
  <c r="Z33" i="109" s="1"/>
  <c r="AA33" i="109" s="1"/>
  <c r="AB33" i="109"/>
  <c r="AC33" i="109" s="1"/>
  <c r="AD33" i="109" s="1"/>
  <c r="AE33" i="109" s="1"/>
  <c r="AF33" i="109"/>
  <c r="AZ33" i="109"/>
  <c r="I33" i="109" s="1"/>
  <c r="A34" i="109"/>
  <c r="B34" i="109"/>
  <c r="C34" i="109"/>
  <c r="A35" i="109"/>
  <c r="B35" i="109"/>
  <c r="C35" i="109"/>
  <c r="AF15" i="109"/>
  <c r="V15" i="109"/>
  <c r="W15" i="109" s="1"/>
  <c r="X15" i="109" s="1"/>
  <c r="Y15" i="109" s="1"/>
  <c r="Z15" i="109" s="1"/>
  <c r="AA15" i="109" s="1"/>
  <c r="AB15" i="109" s="1"/>
  <c r="AC15" i="109" s="1"/>
  <c r="AD15" i="109" s="1"/>
  <c r="AE15" i="109" s="1"/>
  <c r="I15" i="109"/>
  <c r="C15" i="109"/>
  <c r="B15" i="109"/>
  <c r="AZ14" i="109"/>
  <c r="I14" i="109" s="1"/>
  <c r="AF14" i="109"/>
  <c r="V14" i="109"/>
  <c r="W14" i="109" s="1"/>
  <c r="X14" i="109" s="1"/>
  <c r="Y14" i="109" s="1"/>
  <c r="Z14" i="109" s="1"/>
  <c r="AA14" i="109" s="1"/>
  <c r="AB14" i="109" s="1"/>
  <c r="AC14" i="109" s="1"/>
  <c r="AD14" i="109" s="1"/>
  <c r="AE14" i="109" s="1"/>
  <c r="K14" i="109"/>
  <c r="H14" i="109"/>
  <c r="E14" i="109"/>
  <c r="B14" i="109"/>
  <c r="A14" i="109"/>
  <c r="AZ13" i="109"/>
  <c r="I13" i="109" s="1"/>
  <c r="AF13" i="109"/>
  <c r="V13" i="109"/>
  <c r="W13" i="109" s="1"/>
  <c r="X13" i="109" s="1"/>
  <c r="Y13" i="109" s="1"/>
  <c r="Z13" i="109" s="1"/>
  <c r="AA13" i="109" s="1"/>
  <c r="AB13" i="109" s="1"/>
  <c r="AC13" i="109" s="1"/>
  <c r="AD13" i="109" s="1"/>
  <c r="AE13" i="109" s="1"/>
  <c r="K13" i="109"/>
  <c r="H13" i="109"/>
  <c r="E13" i="109"/>
  <c r="B13" i="109"/>
  <c r="A13" i="109"/>
  <c r="AZ12" i="109"/>
  <c r="I12" i="109" s="1"/>
  <c r="AF12" i="109"/>
  <c r="V12" i="109"/>
  <c r="W12" i="109" s="1"/>
  <c r="X12" i="109" s="1"/>
  <c r="Y12" i="109" s="1"/>
  <c r="Z12" i="109" s="1"/>
  <c r="AA12" i="109" s="1"/>
  <c r="AB12" i="109" s="1"/>
  <c r="AC12" i="109" s="1"/>
  <c r="AD12" i="109" s="1"/>
  <c r="AE12" i="109" s="1"/>
  <c r="K12" i="109"/>
  <c r="H12" i="109"/>
  <c r="E12" i="109"/>
  <c r="B12" i="109"/>
  <c r="A12" i="109"/>
  <c r="AZ11" i="109"/>
  <c r="I11" i="109" s="1"/>
  <c r="AF11" i="109"/>
  <c r="V11" i="109"/>
  <c r="W11" i="109" s="1"/>
  <c r="X11" i="109" s="1"/>
  <c r="Y11" i="109" s="1"/>
  <c r="Z11" i="109" s="1"/>
  <c r="AA11" i="109" s="1"/>
  <c r="AB11" i="109" s="1"/>
  <c r="AC11" i="109" s="1"/>
  <c r="AD11" i="109" s="1"/>
  <c r="AE11" i="109" s="1"/>
  <c r="K11" i="109"/>
  <c r="H11" i="109"/>
  <c r="E11" i="109"/>
  <c r="B11" i="109"/>
  <c r="A11" i="109"/>
  <c r="AZ10" i="109"/>
  <c r="I10" i="109" s="1"/>
  <c r="AF10" i="109"/>
  <c r="V10" i="109"/>
  <c r="W10" i="109" s="1"/>
  <c r="X10" i="109" s="1"/>
  <c r="Y10" i="109" s="1"/>
  <c r="Z10" i="109" s="1"/>
  <c r="AA10" i="109" s="1"/>
  <c r="AB10" i="109" s="1"/>
  <c r="AC10" i="109" s="1"/>
  <c r="AD10" i="109" s="1"/>
  <c r="AE10" i="109" s="1"/>
  <c r="K10" i="109"/>
  <c r="H10" i="109"/>
  <c r="E10" i="109"/>
  <c r="B10" i="109"/>
  <c r="A10" i="109"/>
  <c r="AZ9" i="109"/>
  <c r="I9" i="109" s="1"/>
  <c r="AF9" i="109"/>
  <c r="V9" i="109"/>
  <c r="W9" i="109" s="1"/>
  <c r="X9" i="109" s="1"/>
  <c r="Y9" i="109" s="1"/>
  <c r="Z9" i="109" s="1"/>
  <c r="AA9" i="109" s="1"/>
  <c r="AB9" i="109" s="1"/>
  <c r="AC9" i="109" s="1"/>
  <c r="AD9" i="109" s="1"/>
  <c r="AE9" i="109" s="1"/>
  <c r="K9" i="109"/>
  <c r="H9" i="109"/>
  <c r="E9" i="109"/>
  <c r="B9" i="109"/>
  <c r="A9" i="109"/>
  <c r="AZ8" i="109"/>
  <c r="I8" i="109" s="1"/>
  <c r="AF8" i="109"/>
  <c r="V8" i="109"/>
  <c r="W8" i="109" s="1"/>
  <c r="X8" i="109" s="1"/>
  <c r="Y8" i="109" s="1"/>
  <c r="Z8" i="109" s="1"/>
  <c r="AA8" i="109" s="1"/>
  <c r="AB8" i="109" s="1"/>
  <c r="AC8" i="109" s="1"/>
  <c r="AD8" i="109" s="1"/>
  <c r="AE8" i="109" s="1"/>
  <c r="K8" i="109"/>
  <c r="H8" i="109"/>
  <c r="E8" i="109"/>
  <c r="B8" i="109"/>
  <c r="A8" i="109"/>
  <c r="B34" i="11"/>
  <c r="B35" i="11"/>
  <c r="B36" i="11"/>
  <c r="B37" i="11"/>
  <c r="B38" i="11"/>
  <c r="C38" i="11"/>
  <c r="B39" i="11"/>
  <c r="C39" i="11"/>
  <c r="B40" i="11"/>
  <c r="B41" i="11"/>
  <c r="B42" i="11"/>
  <c r="B33" i="11"/>
  <c r="C42" i="11"/>
  <c r="C41" i="11"/>
  <c r="C40" i="11"/>
  <c r="C37" i="11"/>
  <c r="C36" i="11"/>
  <c r="C35" i="11"/>
  <c r="C34" i="11"/>
  <c r="C33" i="11"/>
  <c r="P19" i="111" l="1"/>
  <c r="Q19" i="111" s="1"/>
  <c r="R19" i="111" s="1"/>
  <c r="S19" i="111" s="1"/>
  <c r="O20" i="111"/>
  <c r="S14" i="111"/>
  <c r="S15" i="111" s="1"/>
  <c r="R15" i="111"/>
  <c r="X112" i="109"/>
  <c r="Y112" i="109" s="1"/>
  <c r="Z112" i="109" s="1"/>
  <c r="W149" i="109"/>
  <c r="W150" i="109" s="1"/>
  <c r="R147" i="109"/>
  <c r="X150" i="109"/>
  <c r="AA149" i="109"/>
  <c r="Z150" i="109"/>
  <c r="Y151" i="109"/>
  <c r="X147" i="109"/>
  <c r="Z114" i="109"/>
  <c r="AA114" i="109" s="1"/>
  <c r="AA115" i="109" s="1"/>
  <c r="AZ132" i="109"/>
  <c r="I132" i="109" s="1"/>
  <c r="W99" i="109"/>
  <c r="W100" i="109" s="1"/>
  <c r="Y150" i="109"/>
  <c r="I99" i="109"/>
  <c r="W117" i="109"/>
  <c r="Y117" i="109"/>
  <c r="N143" i="109"/>
  <c r="Z117" i="109"/>
  <c r="AA116" i="109"/>
  <c r="AA117" i="109" s="1"/>
  <c r="AC114" i="109"/>
  <c r="N142" i="109"/>
  <c r="O142" i="109" s="1"/>
  <c r="P142" i="109" s="1"/>
  <c r="Q142" i="109" s="1"/>
  <c r="R142" i="109" s="1"/>
  <c r="S142" i="109" s="1"/>
  <c r="T142" i="109" s="1"/>
  <c r="U142" i="109" s="1"/>
  <c r="Z19" i="109"/>
  <c r="AA19" i="109" s="1"/>
  <c r="AB19" i="109" s="1"/>
  <c r="AC19" i="109" s="1"/>
  <c r="AD19" i="109" s="1"/>
  <c r="AE19" i="109" s="1"/>
  <c r="AE116" i="109"/>
  <c r="AE117" i="109" s="1"/>
  <c r="AD117" i="109"/>
  <c r="X99" i="109"/>
  <c r="AZ133" i="109"/>
  <c r="AZ113" i="109"/>
  <c r="I113" i="109" s="1"/>
  <c r="AC117" i="109"/>
  <c r="X113" i="109"/>
  <c r="P20" i="111" l="1"/>
  <c r="Q20" i="111" s="1"/>
  <c r="R20" i="111" s="1"/>
  <c r="S20" i="111" s="1"/>
  <c r="O21" i="111"/>
  <c r="Y113" i="109"/>
  <c r="R148" i="109"/>
  <c r="S147" i="109"/>
  <c r="Z115" i="109"/>
  <c r="X148" i="109"/>
  <c r="Y147" i="109"/>
  <c r="Y152" i="109"/>
  <c r="Z151" i="109"/>
  <c r="AB149" i="109"/>
  <c r="AA150" i="109"/>
  <c r="AC115" i="109"/>
  <c r="AD114" i="109"/>
  <c r="Y99" i="109"/>
  <c r="X100" i="109"/>
  <c r="I133" i="109"/>
  <c r="AZ134" i="109"/>
  <c r="AA112" i="109"/>
  <c r="Z113" i="109"/>
  <c r="P21" i="111" l="1"/>
  <c r="Q21" i="111" s="1"/>
  <c r="R21" i="111" s="1"/>
  <c r="S21" i="111" s="1"/>
  <c r="O22" i="111"/>
  <c r="T147" i="109"/>
  <c r="S148" i="109"/>
  <c r="AC149" i="109"/>
  <c r="AB150" i="109"/>
  <c r="Z152" i="109"/>
  <c r="AA151" i="109"/>
  <c r="Y148" i="109"/>
  <c r="Z147" i="109"/>
  <c r="AE114" i="109"/>
  <c r="AE115" i="109" s="1"/>
  <c r="AD115" i="109"/>
  <c r="AB112" i="109"/>
  <c r="AA113" i="109"/>
  <c r="AZ135" i="109"/>
  <c r="I134" i="109"/>
  <c r="Z99" i="109"/>
  <c r="Y100" i="109"/>
  <c r="O23" i="111" l="1"/>
  <c r="P22" i="111"/>
  <c r="Q22" i="111" s="1"/>
  <c r="R22" i="111" s="1"/>
  <c r="S22" i="111" s="1"/>
  <c r="P43" i="111"/>
  <c r="Q43" i="111" s="1"/>
  <c r="R43" i="111" s="1"/>
  <c r="S43" i="111" s="1"/>
  <c r="T148" i="109"/>
  <c r="U147" i="109"/>
  <c r="U148" i="109" s="1"/>
  <c r="Z148" i="109"/>
  <c r="AA147" i="109"/>
  <c r="AA152" i="109"/>
  <c r="AB151" i="109"/>
  <c r="AD149" i="109"/>
  <c r="AC150" i="109"/>
  <c r="AA99" i="109"/>
  <c r="Z100" i="109"/>
  <c r="I135" i="109"/>
  <c r="AZ136" i="109"/>
  <c r="AC112" i="109"/>
  <c r="AB113" i="109"/>
  <c r="O24" i="111" l="1"/>
  <c r="P24" i="111" s="1"/>
  <c r="Q24" i="111" s="1"/>
  <c r="R24" i="111" s="1"/>
  <c r="S24" i="111" s="1"/>
  <c r="P23" i="111"/>
  <c r="Q23" i="111" s="1"/>
  <c r="R23" i="111" s="1"/>
  <c r="S23" i="111" s="1"/>
  <c r="AE149" i="109"/>
  <c r="AE150" i="109" s="1"/>
  <c r="AD150" i="109"/>
  <c r="AB152" i="109"/>
  <c r="AC151" i="109"/>
  <c r="AA148" i="109"/>
  <c r="AB147" i="109"/>
  <c r="AD112" i="109"/>
  <c r="AC113" i="109"/>
  <c r="I136" i="109"/>
  <c r="AZ137" i="109"/>
  <c r="AA100" i="109"/>
  <c r="AB99" i="109"/>
  <c r="C70" i="20"/>
  <c r="C62"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B14" i="20"/>
  <c r="H62" i="83"/>
  <c r="A62" i="83"/>
  <c r="H61" i="83"/>
  <c r="H60" i="83"/>
  <c r="G60" i="83"/>
  <c r="F60" i="83"/>
  <c r="H59" i="83"/>
  <c r="A44" i="83"/>
  <c r="A40" i="83"/>
  <c r="A37" i="83"/>
  <c r="A34" i="83"/>
  <c r="A33" i="83"/>
  <c r="A31" i="83"/>
  <c r="A30" i="83"/>
  <c r="A27" i="83"/>
  <c r="A24" i="83"/>
  <c r="A23" i="83"/>
  <c r="A21" i="83"/>
  <c r="A20" i="83"/>
  <c r="A17" i="83"/>
  <c r="A14" i="83"/>
  <c r="W13" i="83"/>
  <c r="V13" i="83"/>
  <c r="U13" i="83"/>
  <c r="T13" i="83"/>
  <c r="O13" i="83"/>
  <c r="N13" i="83"/>
  <c r="M13" i="83"/>
  <c r="L13" i="83"/>
  <c r="A13" i="83"/>
  <c r="W12" i="83"/>
  <c r="V12" i="83"/>
  <c r="U12" i="83"/>
  <c r="T12" i="83"/>
  <c r="O12" i="83"/>
  <c r="N12" i="83"/>
  <c r="M12" i="83"/>
  <c r="L12" i="83"/>
  <c r="W11" i="83"/>
  <c r="V11" i="83"/>
  <c r="U11" i="83"/>
  <c r="O11" i="83"/>
  <c r="N11" i="83"/>
  <c r="M11" i="83"/>
  <c r="A11" i="83"/>
  <c r="W10" i="83"/>
  <c r="V10" i="83"/>
  <c r="U10" i="83"/>
  <c r="T10" i="83"/>
  <c r="O10" i="83"/>
  <c r="N10" i="83"/>
  <c r="M10" i="83"/>
  <c r="L10" i="83"/>
  <c r="A10" i="83"/>
  <c r="W9" i="83"/>
  <c r="V9" i="83"/>
  <c r="U9" i="83"/>
  <c r="T9" i="83"/>
  <c r="O9" i="83"/>
  <c r="N9" i="83"/>
  <c r="M9" i="83"/>
  <c r="L9" i="83"/>
  <c r="I9" i="83"/>
  <c r="H9" i="83"/>
  <c r="A9" i="83"/>
  <c r="W8" i="83"/>
  <c r="V8" i="83"/>
  <c r="U8" i="83"/>
  <c r="O8" i="83"/>
  <c r="N8" i="83"/>
  <c r="M8" i="83"/>
  <c r="I8" i="83"/>
  <c r="H8" i="83"/>
  <c r="G8" i="83"/>
  <c r="A8" i="83"/>
  <c r="W7" i="83"/>
  <c r="V7" i="83"/>
  <c r="U7" i="83"/>
  <c r="T7" i="83"/>
  <c r="O7" i="83"/>
  <c r="N7" i="83"/>
  <c r="M7" i="83"/>
  <c r="L7" i="83"/>
  <c r="I7" i="83"/>
  <c r="H7" i="83"/>
  <c r="A7" i="83"/>
  <c r="E223" i="82"/>
  <c r="E222" i="82"/>
  <c r="E221" i="82"/>
  <c r="A221" i="82"/>
  <c r="E220" i="82"/>
  <c r="E219" i="82"/>
  <c r="E218" i="82"/>
  <c r="A218" i="82"/>
  <c r="E217" i="82"/>
  <c r="E216" i="82"/>
  <c r="E215" i="82"/>
  <c r="A215" i="82"/>
  <c r="E214" i="82"/>
  <c r="E213" i="82"/>
  <c r="E212" i="82"/>
  <c r="A212" i="82"/>
  <c r="E211" i="82"/>
  <c r="E210" i="82"/>
  <c r="E209" i="82"/>
  <c r="A209" i="82"/>
  <c r="E208" i="82"/>
  <c r="A208" i="82"/>
  <c r="H207" i="82"/>
  <c r="G207" i="82"/>
  <c r="E207" i="82"/>
  <c r="A207" i="82"/>
  <c r="H206" i="82"/>
  <c r="G206" i="82"/>
  <c r="E206" i="82"/>
  <c r="A206" i="82"/>
  <c r="A203" i="82"/>
  <c r="A200" i="82"/>
  <c r="A197" i="82"/>
  <c r="A194" i="82"/>
  <c r="A192" i="82"/>
  <c r="H191" i="82"/>
  <c r="E190" i="82"/>
  <c r="A190" i="82"/>
  <c r="E189" i="82"/>
  <c r="A189" i="82"/>
  <c r="A186" i="82"/>
  <c r="A183" i="82"/>
  <c r="A180" i="82"/>
  <c r="A177" i="82"/>
  <c r="A175" i="82"/>
  <c r="N174" i="82"/>
  <c r="M174" i="82"/>
  <c r="L174" i="82"/>
  <c r="K174" i="82"/>
  <c r="N173" i="82"/>
  <c r="M173" i="82"/>
  <c r="L173" i="82"/>
  <c r="K173" i="82"/>
  <c r="A173" i="82"/>
  <c r="N172" i="82"/>
  <c r="M172" i="82"/>
  <c r="A172" i="82"/>
  <c r="N171" i="82"/>
  <c r="M171" i="82"/>
  <c r="L171" i="82"/>
  <c r="N170" i="82"/>
  <c r="M170" i="82"/>
  <c r="L170" i="82"/>
  <c r="K170" i="82"/>
  <c r="G166" i="82"/>
  <c r="F166" i="82"/>
  <c r="A166" i="82"/>
  <c r="I165" i="82"/>
  <c r="G165" i="82"/>
  <c r="A165" i="82"/>
  <c r="I164" i="82"/>
  <c r="G164" i="82"/>
  <c r="A164" i="82"/>
  <c r="I163" i="82"/>
  <c r="G163" i="82"/>
  <c r="A163" i="82"/>
  <c r="G162" i="82"/>
  <c r="A162" i="82"/>
  <c r="A159" i="82"/>
  <c r="A156" i="82"/>
  <c r="A154" i="82"/>
  <c r="F153" i="82"/>
  <c r="A152" i="82"/>
  <c r="A151" i="82"/>
  <c r="H150" i="82"/>
  <c r="H149" i="82"/>
  <c r="H148" i="82"/>
  <c r="H147" i="82"/>
  <c r="H146" i="82"/>
  <c r="H145" i="82"/>
  <c r="H144" i="82"/>
  <c r="A144" i="82"/>
  <c r="H143" i="82"/>
  <c r="H142" i="82"/>
  <c r="A142" i="82"/>
  <c r="H141" i="82"/>
  <c r="A141" i="82"/>
  <c r="H140" i="82"/>
  <c r="H139" i="82"/>
  <c r="H138" i="82"/>
  <c r="A138" i="82"/>
  <c r="A136" i="82"/>
  <c r="A134" i="82"/>
  <c r="N132" i="82"/>
  <c r="M132" i="82"/>
  <c r="L132" i="82"/>
  <c r="K132" i="82"/>
  <c r="A132" i="82"/>
  <c r="N131" i="82"/>
  <c r="A131" i="82"/>
  <c r="H122" i="82"/>
  <c r="G122" i="82"/>
  <c r="H121" i="82"/>
  <c r="G121" i="82"/>
  <c r="H120" i="82"/>
  <c r="G120" i="82"/>
  <c r="H119" i="82"/>
  <c r="G119" i="82"/>
  <c r="U83" i="82"/>
  <c r="T83" i="82"/>
  <c r="S83" i="82"/>
  <c r="R83" i="82"/>
  <c r="N83" i="82"/>
  <c r="M83" i="82"/>
  <c r="L83" i="82"/>
  <c r="K83" i="82"/>
  <c r="U82" i="82"/>
  <c r="T82" i="82"/>
  <c r="S82" i="82"/>
  <c r="R82" i="82"/>
  <c r="N82" i="82"/>
  <c r="M82" i="82"/>
  <c r="L82" i="82"/>
  <c r="K82" i="82"/>
  <c r="U81" i="82"/>
  <c r="T81" i="82"/>
  <c r="S81" i="82"/>
  <c r="R81" i="82"/>
  <c r="N81" i="82"/>
  <c r="M81" i="82"/>
  <c r="L81" i="82"/>
  <c r="K81" i="82"/>
  <c r="U80" i="82"/>
  <c r="T80" i="82"/>
  <c r="S80" i="82"/>
  <c r="N80" i="82"/>
  <c r="M80" i="82"/>
  <c r="L80" i="82"/>
  <c r="E80" i="82"/>
  <c r="U79" i="82"/>
  <c r="T79" i="82"/>
  <c r="S79" i="82"/>
  <c r="R79" i="82"/>
  <c r="N79" i="82"/>
  <c r="M79" i="82"/>
  <c r="L79" i="82"/>
  <c r="K79" i="82"/>
  <c r="U78" i="82"/>
  <c r="T78" i="82"/>
  <c r="S78" i="82"/>
  <c r="N78" i="82"/>
  <c r="M78" i="82"/>
  <c r="L78" i="82"/>
  <c r="U77" i="82"/>
  <c r="T77" i="82"/>
  <c r="S77" i="82"/>
  <c r="R77" i="82"/>
  <c r="N77" i="82"/>
  <c r="M77" i="82"/>
  <c r="L77" i="82"/>
  <c r="K77" i="82"/>
  <c r="T21" i="82"/>
  <c r="S21" i="82"/>
  <c r="O21" i="82"/>
  <c r="N21" i="82"/>
  <c r="T20" i="82"/>
  <c r="S20" i="82"/>
  <c r="R20" i="82"/>
  <c r="Q20" i="82"/>
  <c r="O20" i="82"/>
  <c r="N20" i="82"/>
  <c r="M20" i="82"/>
  <c r="L20" i="82"/>
  <c r="T19" i="82"/>
  <c r="S19" i="82"/>
  <c r="R19" i="82"/>
  <c r="Q19" i="82"/>
  <c r="O19" i="82"/>
  <c r="N19" i="82"/>
  <c r="M19" i="82"/>
  <c r="L19" i="82"/>
  <c r="T18" i="82"/>
  <c r="S18" i="82"/>
  <c r="R18" i="82"/>
  <c r="Q18" i="82"/>
  <c r="O18" i="82"/>
  <c r="N18" i="82"/>
  <c r="M18" i="82"/>
  <c r="L18" i="82"/>
  <c r="T17" i="82"/>
  <c r="S17" i="82"/>
  <c r="R17" i="82"/>
  <c r="Q17" i="82"/>
  <c r="O17" i="82"/>
  <c r="N17" i="82"/>
  <c r="M17" i="82"/>
  <c r="L17" i="82"/>
  <c r="T16" i="82"/>
  <c r="S16" i="82"/>
  <c r="R16" i="82"/>
  <c r="O16" i="82"/>
  <c r="N16" i="82"/>
  <c r="M16" i="82"/>
  <c r="T15" i="82"/>
  <c r="S15" i="82"/>
  <c r="O15" i="82"/>
  <c r="T14" i="82"/>
  <c r="S14" i="82"/>
  <c r="R14" i="82"/>
  <c r="Q14" i="82"/>
  <c r="O14" i="82"/>
  <c r="N14" i="82"/>
  <c r="M14" i="82"/>
  <c r="L14" i="82"/>
  <c r="T13" i="82"/>
  <c r="S13" i="82"/>
  <c r="R13" i="82"/>
  <c r="O13" i="82"/>
  <c r="N13" i="82"/>
  <c r="M13" i="82"/>
  <c r="S12" i="82"/>
  <c r="R12" i="82"/>
  <c r="N12" i="82"/>
  <c r="M12" i="82"/>
  <c r="T11" i="82"/>
  <c r="S11" i="82"/>
  <c r="R11" i="82"/>
  <c r="Q11" i="82"/>
  <c r="O11" i="82"/>
  <c r="N11" i="82"/>
  <c r="M11" i="82"/>
  <c r="L11" i="82"/>
  <c r="V93" i="79"/>
  <c r="C91" i="79"/>
  <c r="Y81" i="79"/>
  <c r="M81" i="79"/>
  <c r="G81" i="79"/>
  <c r="Y80" i="79"/>
  <c r="X80" i="79"/>
  <c r="N80" i="79"/>
  <c r="G80" i="79"/>
  <c r="F80" i="79"/>
  <c r="D80" i="79"/>
  <c r="B80" i="79"/>
  <c r="Y79" i="79"/>
  <c r="X79" i="79"/>
  <c r="N79" i="79"/>
  <c r="G79" i="79"/>
  <c r="F79" i="79"/>
  <c r="Y78" i="79"/>
  <c r="X78" i="79"/>
  <c r="N78" i="79"/>
  <c r="G78" i="79"/>
  <c r="F78" i="79"/>
  <c r="Y77" i="79"/>
  <c r="X77" i="79"/>
  <c r="N77" i="79"/>
  <c r="G77" i="79"/>
  <c r="F77" i="79"/>
  <c r="Y76" i="79"/>
  <c r="X76" i="79"/>
  <c r="N76" i="79"/>
  <c r="G76" i="79"/>
  <c r="F76" i="79"/>
  <c r="Y75" i="79"/>
  <c r="X75" i="79"/>
  <c r="N75" i="79"/>
  <c r="G75" i="79"/>
  <c r="F75" i="79"/>
  <c r="Y74" i="79"/>
  <c r="X74" i="79"/>
  <c r="N74" i="79"/>
  <c r="G74" i="79"/>
  <c r="F74" i="79"/>
  <c r="Y73" i="79"/>
  <c r="X73" i="79"/>
  <c r="N73" i="79"/>
  <c r="G73" i="79"/>
  <c r="F73" i="79"/>
  <c r="Y72" i="79"/>
  <c r="X72" i="79"/>
  <c r="N72" i="79"/>
  <c r="G72" i="79"/>
  <c r="F72" i="79"/>
  <c r="Y71" i="79"/>
  <c r="X71" i="79"/>
  <c r="N71" i="79"/>
  <c r="G71" i="79"/>
  <c r="F71" i="79"/>
  <c r="Y70" i="79"/>
  <c r="X70" i="79"/>
  <c r="N70" i="79"/>
  <c r="G70" i="79"/>
  <c r="F70" i="79"/>
  <c r="Y69" i="79"/>
  <c r="X69" i="79"/>
  <c r="N69" i="79"/>
  <c r="G69" i="79"/>
  <c r="F69" i="79"/>
  <c r="Y68" i="79"/>
  <c r="X68" i="79"/>
  <c r="N68" i="79"/>
  <c r="G68" i="79"/>
  <c r="F68" i="79"/>
  <c r="Y67" i="79"/>
  <c r="X67" i="79"/>
  <c r="N67" i="79"/>
  <c r="G67" i="79"/>
  <c r="F67" i="79"/>
  <c r="Y66" i="79"/>
  <c r="X66" i="79"/>
  <c r="N66" i="79"/>
  <c r="G66" i="79"/>
  <c r="F66" i="79"/>
  <c r="Y65" i="79"/>
  <c r="X65" i="79"/>
  <c r="N65" i="79"/>
  <c r="G65" i="79"/>
  <c r="F65" i="79"/>
  <c r="Y64" i="79"/>
  <c r="X64" i="79"/>
  <c r="N64" i="79"/>
  <c r="G64" i="79"/>
  <c r="F64" i="79"/>
  <c r="Y63" i="79"/>
  <c r="X63" i="79"/>
  <c r="N63" i="79"/>
  <c r="G63" i="79"/>
  <c r="F63" i="79"/>
  <c r="Y62" i="79"/>
  <c r="X62" i="79"/>
  <c r="N62" i="79"/>
  <c r="G62" i="79"/>
  <c r="F62" i="79"/>
  <c r="Y61" i="79"/>
  <c r="X61" i="79"/>
  <c r="N61" i="79"/>
  <c r="G61" i="79"/>
  <c r="F61" i="79"/>
  <c r="Y60" i="79"/>
  <c r="X60" i="79"/>
  <c r="N60" i="79"/>
  <c r="G60" i="79"/>
  <c r="F60" i="79"/>
  <c r="Y59" i="79"/>
  <c r="X59" i="79"/>
  <c r="N59" i="79"/>
  <c r="G59" i="79"/>
  <c r="F59" i="79"/>
  <c r="Y58" i="79"/>
  <c r="X58" i="79"/>
  <c r="N58" i="79"/>
  <c r="G58" i="79"/>
  <c r="F58" i="79"/>
  <c r="Y57" i="79"/>
  <c r="X57" i="79"/>
  <c r="N57" i="79"/>
  <c r="G57" i="79"/>
  <c r="F57" i="79"/>
  <c r="Y56" i="79"/>
  <c r="X56" i="79"/>
  <c r="N56" i="79"/>
  <c r="G56" i="79"/>
  <c r="F56" i="79"/>
  <c r="Y55" i="79"/>
  <c r="X55" i="79"/>
  <c r="N55" i="79"/>
  <c r="G55" i="79"/>
  <c r="F55" i="79"/>
  <c r="Y54" i="79"/>
  <c r="X54" i="79"/>
  <c r="N54" i="79"/>
  <c r="G54" i="79"/>
  <c r="F54" i="79"/>
  <c r="Y53" i="79"/>
  <c r="X53" i="79"/>
  <c r="N53" i="79"/>
  <c r="G53" i="79"/>
  <c r="F53" i="79"/>
  <c r="Y52" i="79"/>
  <c r="X52" i="79"/>
  <c r="N52" i="79"/>
  <c r="G52" i="79"/>
  <c r="F52" i="79"/>
  <c r="Y51" i="79"/>
  <c r="X51" i="79"/>
  <c r="N51" i="79"/>
  <c r="G51" i="79"/>
  <c r="F51" i="79"/>
  <c r="Y50" i="79"/>
  <c r="X50" i="79"/>
  <c r="N50" i="79"/>
  <c r="G50" i="79"/>
  <c r="F50" i="79"/>
  <c r="Y49" i="79"/>
  <c r="X49" i="79"/>
  <c r="N49" i="79"/>
  <c r="G49" i="79"/>
  <c r="F49" i="79"/>
  <c r="Y48" i="79"/>
  <c r="X48" i="79"/>
  <c r="N48" i="79"/>
  <c r="G48" i="79"/>
  <c r="F48" i="79"/>
  <c r="Y47" i="79"/>
  <c r="X47" i="79"/>
  <c r="N47" i="79"/>
  <c r="G47" i="79"/>
  <c r="F47" i="79"/>
  <c r="Y46" i="79"/>
  <c r="X46" i="79"/>
  <c r="N46" i="79"/>
  <c r="G46" i="79"/>
  <c r="F46" i="79"/>
  <c r="Y45" i="79"/>
  <c r="X45" i="79"/>
  <c r="N45" i="79"/>
  <c r="G45" i="79"/>
  <c r="F45" i="79"/>
  <c r="Y44" i="79"/>
  <c r="X44" i="79"/>
  <c r="N44" i="79"/>
  <c r="G44" i="79"/>
  <c r="F44" i="79"/>
  <c r="Y43" i="79"/>
  <c r="X43" i="79"/>
  <c r="N43" i="79"/>
  <c r="G43" i="79"/>
  <c r="F43" i="79"/>
  <c r="Y42" i="79"/>
  <c r="X42" i="79"/>
  <c r="N42" i="79"/>
  <c r="G42" i="79"/>
  <c r="F42" i="79"/>
  <c r="Y41" i="79"/>
  <c r="X41" i="79"/>
  <c r="N41" i="79"/>
  <c r="G41" i="79"/>
  <c r="F41" i="79"/>
  <c r="Y40" i="79"/>
  <c r="X40" i="79"/>
  <c r="N40" i="79"/>
  <c r="M40" i="79"/>
  <c r="G40" i="79"/>
  <c r="F40" i="79"/>
  <c r="Y39" i="79"/>
  <c r="X39" i="79"/>
  <c r="N39" i="79"/>
  <c r="G39" i="79"/>
  <c r="F39" i="79"/>
  <c r="Y38" i="79"/>
  <c r="X38" i="79"/>
  <c r="N38" i="79"/>
  <c r="G38" i="79"/>
  <c r="F38" i="79"/>
  <c r="Y37" i="79"/>
  <c r="X37" i="79"/>
  <c r="N37" i="79"/>
  <c r="G37" i="79"/>
  <c r="F37" i="79"/>
  <c r="Y36" i="79"/>
  <c r="X36" i="79"/>
  <c r="N36" i="79"/>
  <c r="G36" i="79"/>
  <c r="F36" i="79"/>
  <c r="Y35" i="79"/>
  <c r="X35" i="79"/>
  <c r="N35" i="79"/>
  <c r="G35" i="79"/>
  <c r="F35" i="79"/>
  <c r="Y34" i="79"/>
  <c r="X34" i="79"/>
  <c r="N34" i="79"/>
  <c r="G34" i="79"/>
  <c r="F34" i="79"/>
  <c r="Y33" i="79"/>
  <c r="X33" i="79"/>
  <c r="N33" i="79"/>
  <c r="G33" i="79"/>
  <c r="F33" i="79"/>
  <c r="Y32" i="79"/>
  <c r="X32" i="79"/>
  <c r="N32" i="79"/>
  <c r="G32" i="79"/>
  <c r="F32" i="79"/>
  <c r="Y31" i="79"/>
  <c r="X31" i="79"/>
  <c r="N31" i="79"/>
  <c r="G31" i="79"/>
  <c r="F31" i="79"/>
  <c r="Y30" i="79"/>
  <c r="X30" i="79"/>
  <c r="N30" i="79"/>
  <c r="G30" i="79"/>
  <c r="F30" i="79"/>
  <c r="Y29" i="79"/>
  <c r="X29" i="79"/>
  <c r="N29" i="79"/>
  <c r="G29" i="79"/>
  <c r="F29" i="79"/>
  <c r="E23" i="79"/>
  <c r="D23" i="79"/>
  <c r="C23" i="79"/>
  <c r="E22" i="79"/>
  <c r="D22" i="79"/>
  <c r="C22" i="79"/>
  <c r="E21" i="79"/>
  <c r="D21" i="79"/>
  <c r="C21" i="79"/>
  <c r="E20" i="79"/>
  <c r="D20" i="79"/>
  <c r="C20" i="79"/>
  <c r="E19" i="79"/>
  <c r="D19" i="79"/>
  <c r="C19" i="79"/>
  <c r="E18" i="79"/>
  <c r="D18" i="79"/>
  <c r="C18" i="79"/>
  <c r="E17" i="79"/>
  <c r="D17" i="79"/>
  <c r="C17" i="79"/>
  <c r="E16" i="79"/>
  <c r="D16" i="79"/>
  <c r="C16" i="79"/>
  <c r="E15" i="79"/>
  <c r="D15" i="79"/>
  <c r="C15" i="79"/>
  <c r="H12" i="79"/>
  <c r="G12" i="79"/>
  <c r="O11" i="79"/>
  <c r="N11" i="79"/>
  <c r="M11" i="79"/>
  <c r="L11" i="79"/>
  <c r="K11" i="79"/>
  <c r="J11" i="79"/>
  <c r="H11" i="79"/>
  <c r="G11" i="79"/>
  <c r="F11" i="79"/>
  <c r="G10" i="79"/>
  <c r="G9" i="79"/>
  <c r="G8" i="79"/>
  <c r="G7" i="79"/>
  <c r="G6" i="79"/>
  <c r="O5" i="79"/>
  <c r="N5" i="79"/>
  <c r="M5" i="79"/>
  <c r="L5" i="79"/>
  <c r="K5" i="79"/>
  <c r="J5" i="79"/>
  <c r="H5" i="79"/>
  <c r="G5" i="79"/>
  <c r="S71" i="80"/>
  <c r="S65" i="80"/>
  <c r="R65" i="80"/>
  <c r="P65" i="80"/>
  <c r="O65" i="80"/>
  <c r="L52" i="80"/>
  <c r="K52" i="80"/>
  <c r="L51" i="80"/>
  <c r="K51" i="80"/>
  <c r="B40" i="80"/>
  <c r="A40" i="80"/>
  <c r="B39" i="80"/>
  <c r="A39" i="80"/>
  <c r="B38" i="80"/>
  <c r="A38" i="80"/>
  <c r="B37" i="80"/>
  <c r="C47" i="80" s="1"/>
  <c r="A37" i="80"/>
  <c r="B35" i="80"/>
  <c r="A35" i="80"/>
  <c r="B34" i="80"/>
  <c r="A34" i="80"/>
  <c r="B33" i="80"/>
  <c r="A33" i="80"/>
  <c r="B32" i="80"/>
  <c r="C46" i="80" s="1"/>
  <c r="A32" i="80"/>
  <c r="J18" i="80"/>
  <c r="I18" i="80"/>
  <c r="H18" i="80"/>
  <c r="G18" i="80"/>
  <c r="J17" i="80"/>
  <c r="I17" i="80"/>
  <c r="K16" i="80"/>
  <c r="K15" i="80"/>
  <c r="A15" i="80"/>
  <c r="K14" i="80"/>
  <c r="R13" i="80"/>
  <c r="K13" i="80"/>
  <c r="A13" i="80"/>
  <c r="R12" i="80"/>
  <c r="K12" i="80"/>
  <c r="A12" i="80"/>
  <c r="R11" i="80"/>
  <c r="K11" i="80"/>
  <c r="A11" i="80"/>
  <c r="R10" i="80"/>
  <c r="K10" i="80"/>
  <c r="R9" i="80"/>
  <c r="K9" i="80"/>
  <c r="A9" i="80"/>
  <c r="R8" i="80"/>
  <c r="K8" i="80"/>
  <c r="A8" i="80"/>
  <c r="R7" i="80"/>
  <c r="K7" i="80"/>
  <c r="A7" i="80"/>
  <c r="R6" i="80"/>
  <c r="A6" i="80"/>
  <c r="R5" i="80"/>
  <c r="D57" i="93"/>
  <c r="C57" i="93"/>
  <c r="E57" i="93" s="1"/>
  <c r="C60" i="93" s="1"/>
  <c r="C64" i="93" s="1"/>
  <c r="A45" i="93"/>
  <c r="D42" i="93"/>
  <c r="L37" i="93"/>
  <c r="K37" i="93"/>
  <c r="J37" i="93"/>
  <c r="I37" i="93"/>
  <c r="H37" i="93"/>
  <c r="G37" i="93"/>
  <c r="F37" i="93"/>
  <c r="E37" i="93"/>
  <c r="D37" i="93"/>
  <c r="B37" i="93"/>
  <c r="A37" i="93"/>
  <c r="L36" i="93"/>
  <c r="K36" i="93"/>
  <c r="J36" i="93"/>
  <c r="I36" i="93"/>
  <c r="H36" i="93"/>
  <c r="G36" i="93"/>
  <c r="F36" i="93"/>
  <c r="E36" i="93"/>
  <c r="D36" i="93"/>
  <c r="B36" i="93"/>
  <c r="A36" i="93"/>
  <c r="L33" i="93"/>
  <c r="K33" i="93"/>
  <c r="J33" i="93"/>
  <c r="I33" i="93"/>
  <c r="H33" i="93"/>
  <c r="G33" i="93"/>
  <c r="F33" i="93"/>
  <c r="E33" i="93"/>
  <c r="D33" i="93"/>
  <c r="C33" i="93"/>
  <c r="B33" i="93"/>
  <c r="L32" i="93"/>
  <c r="K32" i="93"/>
  <c r="J32" i="93"/>
  <c r="I32" i="93"/>
  <c r="H32" i="93"/>
  <c r="G32" i="93"/>
  <c r="F32" i="93"/>
  <c r="E32" i="93"/>
  <c r="D32" i="93"/>
  <c r="C32" i="93"/>
  <c r="J29" i="93"/>
  <c r="I29" i="93"/>
  <c r="H29" i="93"/>
  <c r="G29" i="93"/>
  <c r="F29" i="93"/>
  <c r="E29" i="93"/>
  <c r="D29" i="93"/>
  <c r="C29" i="93"/>
  <c r="B29" i="93"/>
  <c r="A29" i="93"/>
  <c r="J28" i="93"/>
  <c r="I28" i="93"/>
  <c r="H28" i="93"/>
  <c r="G28" i="93"/>
  <c r="F28" i="93"/>
  <c r="E28" i="93"/>
  <c r="D28" i="93"/>
  <c r="C28" i="93"/>
  <c r="B28" i="93"/>
  <c r="A28" i="93"/>
  <c r="K25" i="93"/>
  <c r="J25" i="93"/>
  <c r="I25" i="93"/>
  <c r="H25" i="93"/>
  <c r="G25" i="93"/>
  <c r="F25" i="93"/>
  <c r="E25" i="93"/>
  <c r="D25" i="93"/>
  <c r="C25" i="93"/>
  <c r="B25" i="93"/>
  <c r="K24" i="93"/>
  <c r="J24" i="93"/>
  <c r="I24" i="93"/>
  <c r="H24" i="93"/>
  <c r="G24" i="93"/>
  <c r="F24" i="93"/>
  <c r="E24" i="93"/>
  <c r="D24" i="93"/>
  <c r="C24" i="93"/>
  <c r="B24" i="93"/>
  <c r="K23" i="93"/>
  <c r="J23" i="93"/>
  <c r="I23" i="93"/>
  <c r="H23" i="93"/>
  <c r="G23" i="93"/>
  <c r="F23" i="93"/>
  <c r="E23" i="93"/>
  <c r="D23" i="93"/>
  <c r="C23" i="93"/>
  <c r="B23" i="93"/>
  <c r="K22" i="93"/>
  <c r="J22" i="93"/>
  <c r="I22" i="93"/>
  <c r="H22" i="93"/>
  <c r="G22" i="93"/>
  <c r="F22" i="93"/>
  <c r="E22" i="93"/>
  <c r="D22" i="93"/>
  <c r="C22" i="93"/>
  <c r="B22" i="93"/>
  <c r="K21" i="93"/>
  <c r="J21" i="93"/>
  <c r="I21" i="93"/>
  <c r="H21" i="93"/>
  <c r="G21" i="93"/>
  <c r="F21" i="93"/>
  <c r="E21" i="93"/>
  <c r="D21" i="93"/>
  <c r="C21" i="93"/>
  <c r="B21" i="93"/>
  <c r="K20" i="93"/>
  <c r="J20" i="93"/>
  <c r="I20" i="93"/>
  <c r="H20" i="93"/>
  <c r="G20" i="93"/>
  <c r="F20" i="93"/>
  <c r="E20" i="93"/>
  <c r="D20" i="93"/>
  <c r="C20" i="93"/>
  <c r="B20" i="93"/>
  <c r="B17" i="93"/>
  <c r="Q7" i="93"/>
  <c r="P7" i="93"/>
  <c r="O7" i="93"/>
  <c r="N7" i="93"/>
  <c r="M7" i="93"/>
  <c r="L7" i="93"/>
  <c r="K7" i="93"/>
  <c r="J7" i="93"/>
  <c r="I7" i="93"/>
  <c r="H7" i="93"/>
  <c r="G7" i="93"/>
  <c r="F7" i="93"/>
  <c r="E7" i="93"/>
  <c r="D35" i="96"/>
  <c r="B35" i="96"/>
  <c r="D34" i="96"/>
  <c r="B34" i="96"/>
  <c r="D33" i="96"/>
  <c r="B33" i="96"/>
  <c r="D32" i="96"/>
  <c r="B32" i="96"/>
  <c r="D31" i="96"/>
  <c r="B31" i="96"/>
  <c r="K28" i="96"/>
  <c r="J28" i="96"/>
  <c r="I28" i="96"/>
  <c r="H28" i="96"/>
  <c r="G28" i="96"/>
  <c r="F28" i="96"/>
  <c r="E28" i="96"/>
  <c r="D28" i="96"/>
  <c r="C28" i="96"/>
  <c r="B28" i="96"/>
  <c r="K27" i="96"/>
  <c r="J27" i="96"/>
  <c r="I27" i="96"/>
  <c r="H27" i="96"/>
  <c r="G27" i="96"/>
  <c r="F27" i="96"/>
  <c r="E27" i="96"/>
  <c r="D27" i="96"/>
  <c r="C27" i="96"/>
  <c r="B27" i="96"/>
  <c r="K26" i="96"/>
  <c r="J26" i="96"/>
  <c r="I26" i="96"/>
  <c r="H26" i="96"/>
  <c r="G26" i="96"/>
  <c r="F26" i="96"/>
  <c r="E26" i="96"/>
  <c r="D26" i="96"/>
  <c r="C26" i="96"/>
  <c r="B26" i="96"/>
  <c r="K25" i="96"/>
  <c r="J25" i="96"/>
  <c r="I25" i="96"/>
  <c r="H25" i="96"/>
  <c r="G25" i="96"/>
  <c r="F25" i="96"/>
  <c r="E25" i="96"/>
  <c r="D25" i="96"/>
  <c r="C25" i="96"/>
  <c r="B25" i="96"/>
  <c r="K24" i="96"/>
  <c r="J24" i="96"/>
  <c r="I24" i="96"/>
  <c r="H24" i="96"/>
  <c r="G24" i="96"/>
  <c r="F24" i="96"/>
  <c r="E24" i="96"/>
  <c r="D24" i="96"/>
  <c r="C24" i="96"/>
  <c r="B24" i="96"/>
  <c r="K23" i="96"/>
  <c r="J23" i="96"/>
  <c r="I23" i="96"/>
  <c r="H23" i="96"/>
  <c r="G23" i="96"/>
  <c r="F23" i="96"/>
  <c r="E23" i="96"/>
  <c r="D23" i="96"/>
  <c r="C23" i="96"/>
  <c r="B23" i="96"/>
  <c r="K20" i="96"/>
  <c r="J20" i="96"/>
  <c r="I20" i="96"/>
  <c r="H20" i="96"/>
  <c r="G20" i="96"/>
  <c r="F20" i="96"/>
  <c r="E20" i="96"/>
  <c r="D20" i="96"/>
  <c r="C20" i="96"/>
  <c r="B20" i="96"/>
  <c r="K19" i="96"/>
  <c r="J19" i="96"/>
  <c r="I19" i="96"/>
  <c r="H19" i="96"/>
  <c r="G19" i="96"/>
  <c r="F19" i="96"/>
  <c r="E19" i="96"/>
  <c r="D19" i="96"/>
  <c r="C19" i="96"/>
  <c r="B19" i="96"/>
  <c r="F11" i="96"/>
  <c r="G10" i="96"/>
  <c r="F10" i="96"/>
  <c r="G9" i="96"/>
  <c r="F9" i="96"/>
  <c r="J4" i="96"/>
  <c r="J3" i="96"/>
  <c r="J2" i="96"/>
  <c r="K21" i="102"/>
  <c r="J21" i="102"/>
  <c r="I21" i="102"/>
  <c r="H21" i="102"/>
  <c r="G21" i="102"/>
  <c r="F21" i="102"/>
  <c r="E21" i="102"/>
  <c r="D21" i="102"/>
  <c r="C21" i="102"/>
  <c r="B21" i="102"/>
  <c r="C5" i="102"/>
  <c r="B5" i="102"/>
  <c r="A5" i="102"/>
  <c r="C4" i="102"/>
  <c r="B4" i="102"/>
  <c r="A4" i="102"/>
  <c r="C3" i="102"/>
  <c r="B3" i="102"/>
  <c r="A3" i="102"/>
  <c r="C2" i="102"/>
  <c r="B2" i="102"/>
  <c r="A2" i="102"/>
  <c r="B27" i="97"/>
  <c r="B26" i="97"/>
  <c r="B25" i="97"/>
  <c r="B24" i="97"/>
  <c r="B23" i="97"/>
  <c r="B22" i="97"/>
  <c r="K16" i="97"/>
  <c r="J16" i="97"/>
  <c r="I16" i="97"/>
  <c r="H16" i="97"/>
  <c r="G16" i="97"/>
  <c r="F16" i="97"/>
  <c r="E16" i="97"/>
  <c r="D16" i="97"/>
  <c r="C16" i="97"/>
  <c r="B16" i="97"/>
  <c r="K15" i="97"/>
  <c r="J15" i="97"/>
  <c r="I15" i="97"/>
  <c r="H15" i="97"/>
  <c r="G15" i="97"/>
  <c r="F15" i="97"/>
  <c r="E15" i="97"/>
  <c r="D15" i="97"/>
  <c r="C15" i="97"/>
  <c r="B15" i="97"/>
  <c r="H7" i="97"/>
  <c r="F2" i="97"/>
  <c r="G5" i="97" s="1"/>
  <c r="E2" i="97"/>
  <c r="D2" i="97"/>
  <c r="C2" i="97"/>
  <c r="B2" i="97"/>
  <c r="A2" i="97"/>
  <c r="E1" i="97"/>
  <c r="D1" i="97"/>
  <c r="C1" i="97"/>
  <c r="B1" i="97"/>
  <c r="K17" i="100"/>
  <c r="J17" i="100"/>
  <c r="I17" i="100"/>
  <c r="H17" i="100"/>
  <c r="G17" i="100"/>
  <c r="F17" i="100"/>
  <c r="E17" i="100"/>
  <c r="D17" i="100"/>
  <c r="C17" i="100"/>
  <c r="B17" i="100"/>
  <c r="D7" i="100"/>
  <c r="D6" i="100"/>
  <c r="I3" i="100"/>
  <c r="H3" i="100"/>
  <c r="G3" i="100"/>
  <c r="F3" i="100"/>
  <c r="E3" i="100"/>
  <c r="D3" i="100"/>
  <c r="C3" i="100"/>
  <c r="B3" i="100"/>
  <c r="A3" i="100"/>
  <c r="J2" i="100"/>
  <c r="I2" i="100"/>
  <c r="H2" i="100"/>
  <c r="G2" i="100"/>
  <c r="F2" i="100"/>
  <c r="E2" i="100"/>
  <c r="D2" i="100"/>
  <c r="C2" i="100"/>
  <c r="B2" i="100"/>
  <c r="A2" i="100"/>
  <c r="I1" i="100"/>
  <c r="H1" i="100"/>
  <c r="G1" i="100"/>
  <c r="F1" i="100"/>
  <c r="E1" i="100"/>
  <c r="D1" i="100"/>
  <c r="C1" i="100"/>
  <c r="B1" i="100"/>
  <c r="A1" i="100"/>
  <c r="I15" i="94"/>
  <c r="H15" i="94"/>
  <c r="G15" i="94"/>
  <c r="J59" i="101"/>
  <c r="F59" i="101"/>
  <c r="K49" i="101"/>
  <c r="C49" i="101"/>
  <c r="N48" i="101"/>
  <c r="J48" i="101"/>
  <c r="F48" i="101"/>
  <c r="K43" i="101"/>
  <c r="C43" i="101"/>
  <c r="N42" i="101"/>
  <c r="J42" i="101"/>
  <c r="F42" i="101"/>
  <c r="N41" i="101"/>
  <c r="J41" i="101"/>
  <c r="N40" i="101"/>
  <c r="J40" i="101"/>
  <c r="F40" i="101"/>
  <c r="N39" i="101"/>
  <c r="J39" i="101"/>
  <c r="F39" i="101"/>
  <c r="N38" i="101"/>
  <c r="J38" i="101"/>
  <c r="N37" i="101"/>
  <c r="J37" i="101"/>
  <c r="F37" i="101"/>
  <c r="N36" i="101"/>
  <c r="J36" i="101"/>
  <c r="F36" i="101"/>
  <c r="N35" i="101"/>
  <c r="J35" i="101"/>
  <c r="F35" i="101"/>
  <c r="N34" i="101"/>
  <c r="J34" i="101"/>
  <c r="F34" i="101"/>
  <c r="J30" i="101"/>
  <c r="F30" i="101"/>
  <c r="N29" i="101"/>
  <c r="J29" i="101"/>
  <c r="F29" i="101"/>
  <c r="N28" i="101"/>
  <c r="J28" i="101"/>
  <c r="F28" i="101"/>
  <c r="N27" i="101"/>
  <c r="J27" i="101"/>
  <c r="F27" i="101"/>
  <c r="N26" i="101"/>
  <c r="J26" i="101"/>
  <c r="F26" i="101"/>
  <c r="N25" i="101"/>
  <c r="J25" i="101"/>
  <c r="F25" i="101"/>
  <c r="N24" i="101"/>
  <c r="J24" i="101"/>
  <c r="F24" i="101"/>
  <c r="N23" i="101"/>
  <c r="J23" i="101"/>
  <c r="F23" i="101"/>
  <c r="N22" i="101"/>
  <c r="N21" i="101"/>
  <c r="J21" i="101"/>
  <c r="F21" i="101"/>
  <c r="N20" i="101"/>
  <c r="J20" i="101"/>
  <c r="F20" i="101"/>
  <c r="N19" i="101"/>
  <c r="J19" i="101"/>
  <c r="F19" i="101"/>
  <c r="N18" i="101"/>
  <c r="J18" i="101"/>
  <c r="F18" i="101"/>
  <c r="N17" i="101"/>
  <c r="J17" i="101"/>
  <c r="F17" i="101"/>
  <c r="N16" i="101"/>
  <c r="J16" i="101"/>
  <c r="F16" i="101"/>
  <c r="N15" i="101"/>
  <c r="J15" i="101"/>
  <c r="F15" i="101"/>
  <c r="N14" i="101"/>
  <c r="N13" i="101"/>
  <c r="J13" i="101"/>
  <c r="F13" i="101"/>
  <c r="N12" i="101"/>
  <c r="J12" i="101"/>
  <c r="F12" i="101"/>
  <c r="N11" i="101"/>
  <c r="J11" i="101"/>
  <c r="F11" i="101"/>
  <c r="N10" i="101"/>
  <c r="J10" i="101"/>
  <c r="F10" i="101"/>
  <c r="N9" i="101"/>
  <c r="J9" i="101"/>
  <c r="F9" i="101"/>
  <c r="N8" i="101"/>
  <c r="J8" i="101"/>
  <c r="F8" i="101"/>
  <c r="N7" i="101"/>
  <c r="J7" i="101"/>
  <c r="F7" i="101"/>
  <c r="N54" i="95"/>
  <c r="M54" i="95"/>
  <c r="L54" i="95"/>
  <c r="K54" i="95"/>
  <c r="J54" i="95"/>
  <c r="I54" i="95"/>
  <c r="H54" i="95"/>
  <c r="G54" i="95"/>
  <c r="F54" i="95"/>
  <c r="E54" i="95"/>
  <c r="N45" i="95"/>
  <c r="M45" i="95"/>
  <c r="L45" i="95"/>
  <c r="K45" i="95"/>
  <c r="J45" i="95"/>
  <c r="I45" i="95"/>
  <c r="H45" i="95"/>
  <c r="G45" i="95"/>
  <c r="F45" i="95"/>
  <c r="E45" i="95"/>
  <c r="D45" i="95"/>
  <c r="C45" i="95"/>
  <c r="N44" i="95"/>
  <c r="M44" i="95"/>
  <c r="L44" i="95"/>
  <c r="K44" i="95"/>
  <c r="J44" i="95"/>
  <c r="I44" i="95"/>
  <c r="H44" i="95"/>
  <c r="G44" i="95"/>
  <c r="F44" i="95"/>
  <c r="E44" i="95"/>
  <c r="D44" i="95"/>
  <c r="C44" i="95"/>
  <c r="N31" i="95"/>
  <c r="M31" i="95"/>
  <c r="L31" i="95"/>
  <c r="K31" i="95"/>
  <c r="J31" i="95"/>
  <c r="I31" i="95"/>
  <c r="H31" i="95"/>
  <c r="G31" i="95"/>
  <c r="F31" i="95"/>
  <c r="E31" i="95"/>
  <c r="D31" i="95"/>
  <c r="C31" i="95"/>
  <c r="N18" i="95"/>
  <c r="M18" i="95"/>
  <c r="L18" i="95"/>
  <c r="K18" i="95"/>
  <c r="J18" i="95"/>
  <c r="I18" i="95"/>
  <c r="H18" i="95"/>
  <c r="G18" i="95"/>
  <c r="F18" i="95"/>
  <c r="E18" i="95"/>
  <c r="D18" i="95"/>
  <c r="C18" i="95"/>
  <c r="I302" i="78"/>
  <c r="I301" i="78"/>
  <c r="I300" i="78"/>
  <c r="J299" i="78"/>
  <c r="H299" i="78"/>
  <c r="G299" i="78"/>
  <c r="E299" i="78"/>
  <c r="D299" i="78"/>
  <c r="J298" i="78"/>
  <c r="H298" i="78"/>
  <c r="G298" i="78"/>
  <c r="E298" i="78"/>
  <c r="D298" i="78"/>
  <c r="C298" i="78"/>
  <c r="J297" i="78"/>
  <c r="H297" i="78"/>
  <c r="G297" i="78"/>
  <c r="E297" i="78"/>
  <c r="D297" i="78"/>
  <c r="C297" i="78"/>
  <c r="J296" i="78"/>
  <c r="H296" i="78"/>
  <c r="G296" i="78"/>
  <c r="E296" i="78"/>
  <c r="D296" i="78"/>
  <c r="C296" i="78"/>
  <c r="J295" i="78"/>
  <c r="H295" i="78"/>
  <c r="G295" i="78"/>
  <c r="E295" i="78"/>
  <c r="D295" i="78"/>
  <c r="C295" i="78"/>
  <c r="N294" i="78"/>
  <c r="J294" i="78"/>
  <c r="H294" i="78"/>
  <c r="G294" i="78"/>
  <c r="E294" i="78"/>
  <c r="D294" i="78"/>
  <c r="C294" i="78"/>
  <c r="N293" i="78"/>
  <c r="J293" i="78"/>
  <c r="H293" i="78"/>
  <c r="G293" i="78"/>
  <c r="E293" i="78"/>
  <c r="D293" i="78"/>
  <c r="C293" i="78"/>
  <c r="J292" i="78"/>
  <c r="H292" i="78"/>
  <c r="G292" i="78"/>
  <c r="E292" i="78"/>
  <c r="D292" i="78"/>
  <c r="C292" i="78"/>
  <c r="O291" i="78"/>
  <c r="J291" i="78"/>
  <c r="H291" i="78"/>
  <c r="G291" i="78"/>
  <c r="E291" i="78"/>
  <c r="D291" i="78"/>
  <c r="C291" i="78"/>
  <c r="J290" i="78"/>
  <c r="H290" i="78"/>
  <c r="G290" i="78"/>
  <c r="E290" i="78"/>
  <c r="D290" i="78"/>
  <c r="C290" i="78"/>
  <c r="J289" i="78"/>
  <c r="H289" i="78"/>
  <c r="G289" i="78"/>
  <c r="E289" i="78"/>
  <c r="D289" i="78"/>
  <c r="C289" i="78"/>
  <c r="J288" i="78"/>
  <c r="H288" i="78"/>
  <c r="G288" i="78"/>
  <c r="E288" i="78"/>
  <c r="D288" i="78"/>
  <c r="C288" i="78"/>
  <c r="J287" i="78"/>
  <c r="H287" i="78"/>
  <c r="G287" i="78"/>
  <c r="E287" i="78"/>
  <c r="D287" i="78"/>
  <c r="C287" i="78"/>
  <c r="J286" i="78"/>
  <c r="H286" i="78"/>
  <c r="G286" i="78"/>
  <c r="E286" i="78"/>
  <c r="D286" i="78"/>
  <c r="C286" i="78"/>
  <c r="J285" i="78"/>
  <c r="H285" i="78"/>
  <c r="G285" i="78"/>
  <c r="E285" i="78"/>
  <c r="D285" i="78"/>
  <c r="C285" i="78"/>
  <c r="J284" i="78"/>
  <c r="H284" i="78"/>
  <c r="G284" i="78"/>
  <c r="E284" i="78"/>
  <c r="D284" i="78"/>
  <c r="C284" i="78"/>
  <c r="J283" i="78"/>
  <c r="H283" i="78"/>
  <c r="G283" i="78"/>
  <c r="E283" i="78"/>
  <c r="D283" i="78"/>
  <c r="C283" i="78"/>
  <c r="J282" i="78"/>
  <c r="H282" i="78"/>
  <c r="G282" i="78"/>
  <c r="E282" i="78"/>
  <c r="D282" i="78"/>
  <c r="C282" i="78"/>
  <c r="J281" i="78"/>
  <c r="H281" i="78"/>
  <c r="G281" i="78"/>
  <c r="E281" i="78"/>
  <c r="D281" i="78"/>
  <c r="C281" i="78"/>
  <c r="J280" i="78"/>
  <c r="H280" i="78"/>
  <c r="G280" i="78"/>
  <c r="E280" i="78"/>
  <c r="D280" i="78"/>
  <c r="C280" i="78"/>
  <c r="J279" i="78"/>
  <c r="H279" i="78"/>
  <c r="G279" i="78"/>
  <c r="E279" i="78"/>
  <c r="D279" i="78"/>
  <c r="C279" i="78"/>
  <c r="O278" i="78"/>
  <c r="J278" i="78"/>
  <c r="H278" i="78"/>
  <c r="G278" i="78"/>
  <c r="E278" i="78"/>
  <c r="D278" i="78"/>
  <c r="C278" i="78"/>
  <c r="O277" i="78"/>
  <c r="J277" i="78"/>
  <c r="H277" i="78"/>
  <c r="G277" i="78"/>
  <c r="E277" i="78"/>
  <c r="D277" i="78"/>
  <c r="C277" i="78"/>
  <c r="J276" i="78"/>
  <c r="H276" i="78"/>
  <c r="G276" i="78"/>
  <c r="E276" i="78"/>
  <c r="D276" i="78"/>
  <c r="C276" i="78"/>
  <c r="J275" i="78"/>
  <c r="H275" i="78"/>
  <c r="G275" i="78"/>
  <c r="E275" i="78"/>
  <c r="D275" i="78"/>
  <c r="C275" i="78"/>
  <c r="J274" i="78"/>
  <c r="H274" i="78"/>
  <c r="G274" i="78"/>
  <c r="E274" i="78"/>
  <c r="D274" i="78"/>
  <c r="C274" i="78"/>
  <c r="O273" i="78"/>
  <c r="J273" i="78"/>
  <c r="H273" i="78"/>
  <c r="G273" i="78"/>
  <c r="E273" i="78"/>
  <c r="D273" i="78"/>
  <c r="C273" i="78"/>
  <c r="J272" i="78"/>
  <c r="H272" i="78"/>
  <c r="G272" i="78"/>
  <c r="E272" i="78"/>
  <c r="D272" i="78"/>
  <c r="C272" i="78"/>
  <c r="J271" i="78"/>
  <c r="H271" i="78"/>
  <c r="G271" i="78"/>
  <c r="E271" i="78"/>
  <c r="D271" i="78"/>
  <c r="C271" i="78"/>
  <c r="O270" i="78"/>
  <c r="J270" i="78"/>
  <c r="H270" i="78"/>
  <c r="G270" i="78"/>
  <c r="E270" i="78"/>
  <c r="D270" i="78"/>
  <c r="C270" i="78"/>
  <c r="J269" i="78"/>
  <c r="H269" i="78"/>
  <c r="G269" i="78"/>
  <c r="E269" i="78"/>
  <c r="D269" i="78"/>
  <c r="C269" i="78"/>
  <c r="J268" i="78"/>
  <c r="H268" i="78"/>
  <c r="G268" i="78"/>
  <c r="E268" i="78"/>
  <c r="D268" i="78"/>
  <c r="C268" i="78"/>
  <c r="J267" i="78"/>
  <c r="H267" i="78"/>
  <c r="G267" i="78"/>
  <c r="E267" i="78"/>
  <c r="D267" i="78"/>
  <c r="C267" i="78"/>
  <c r="J266" i="78"/>
  <c r="H266" i="78"/>
  <c r="G266" i="78"/>
  <c r="E266" i="78"/>
  <c r="D266" i="78"/>
  <c r="C266" i="78"/>
  <c r="J265" i="78"/>
  <c r="H265" i="78"/>
  <c r="G265" i="78"/>
  <c r="E265" i="78"/>
  <c r="D265" i="78"/>
  <c r="C265" i="78"/>
  <c r="J264" i="78"/>
  <c r="H264" i="78"/>
  <c r="G264" i="78"/>
  <c r="E264" i="78"/>
  <c r="D264" i="78"/>
  <c r="C264" i="78"/>
  <c r="J263" i="78"/>
  <c r="H263" i="78"/>
  <c r="G263" i="78"/>
  <c r="E263" i="78"/>
  <c r="D263" i="78"/>
  <c r="C263" i="78"/>
  <c r="J262" i="78"/>
  <c r="H262" i="78"/>
  <c r="G262" i="78"/>
  <c r="E262" i="78"/>
  <c r="D262" i="78"/>
  <c r="C262" i="78"/>
  <c r="J261" i="78"/>
  <c r="H261" i="78"/>
  <c r="G261" i="78"/>
  <c r="E261" i="78"/>
  <c r="D261" i="78"/>
  <c r="C261" i="78"/>
  <c r="J260" i="78"/>
  <c r="H260" i="78"/>
  <c r="G260" i="78"/>
  <c r="E260" i="78"/>
  <c r="D260" i="78"/>
  <c r="C260" i="78"/>
  <c r="J259" i="78"/>
  <c r="H259" i="78"/>
  <c r="G259" i="78"/>
  <c r="E259" i="78"/>
  <c r="D259" i="78"/>
  <c r="C259" i="78"/>
  <c r="J258" i="78"/>
  <c r="H258" i="78"/>
  <c r="G258" i="78"/>
  <c r="E258" i="78"/>
  <c r="D258" i="78"/>
  <c r="C258" i="78"/>
  <c r="J257" i="78"/>
  <c r="H257" i="78"/>
  <c r="G257" i="78"/>
  <c r="E257" i="78"/>
  <c r="D257" i="78"/>
  <c r="C257" i="78"/>
  <c r="M256" i="78"/>
  <c r="J256" i="78"/>
  <c r="H256" i="78"/>
  <c r="G256" i="78"/>
  <c r="E256" i="78"/>
  <c r="D256" i="78"/>
  <c r="C256" i="78"/>
  <c r="M255" i="78"/>
  <c r="J255" i="78"/>
  <c r="H255" i="78"/>
  <c r="G255" i="78"/>
  <c r="E255" i="78"/>
  <c r="D255" i="78"/>
  <c r="C255" i="78"/>
  <c r="J254" i="78"/>
  <c r="H254" i="78"/>
  <c r="G254" i="78"/>
  <c r="E254" i="78"/>
  <c r="D254" i="78"/>
  <c r="C254" i="78"/>
  <c r="J253" i="78"/>
  <c r="H253" i="78"/>
  <c r="G253" i="78"/>
  <c r="E253" i="78"/>
  <c r="D253" i="78"/>
  <c r="C253" i="78"/>
  <c r="N252" i="78"/>
  <c r="J252" i="78"/>
  <c r="H252" i="78"/>
  <c r="G252" i="78"/>
  <c r="E252" i="78"/>
  <c r="D252" i="78"/>
  <c r="C252" i="78"/>
  <c r="J251" i="78"/>
  <c r="H251" i="78"/>
  <c r="G251" i="78"/>
  <c r="E251" i="78"/>
  <c r="D251" i="78"/>
  <c r="C251" i="78"/>
  <c r="N250" i="78"/>
  <c r="J250" i="78"/>
  <c r="H250" i="78"/>
  <c r="G250" i="78"/>
  <c r="E250" i="78"/>
  <c r="D250" i="78"/>
  <c r="C250" i="78"/>
  <c r="J249" i="78"/>
  <c r="H249" i="78"/>
  <c r="G249" i="78"/>
  <c r="E249" i="78"/>
  <c r="D249" i="78"/>
  <c r="C249" i="78"/>
  <c r="J248" i="78"/>
  <c r="H248" i="78"/>
  <c r="G248" i="78"/>
  <c r="E248" i="78"/>
  <c r="D248" i="78"/>
  <c r="C248" i="78"/>
  <c r="M240" i="78"/>
  <c r="J240" i="78"/>
  <c r="D236" i="78"/>
  <c r="D235" i="78"/>
  <c r="D234" i="78"/>
  <c r="G233" i="78"/>
  <c r="D233" i="78"/>
  <c r="J232" i="78"/>
  <c r="G232" i="78"/>
  <c r="D232" i="78"/>
  <c r="G231" i="78"/>
  <c r="D231" i="78"/>
  <c r="G230" i="78"/>
  <c r="D230" i="78"/>
  <c r="G229" i="78"/>
  <c r="D229" i="78"/>
  <c r="D228" i="78"/>
  <c r="K227" i="78"/>
  <c r="M219" i="78"/>
  <c r="M218" i="78"/>
  <c r="N216" i="78"/>
  <c r="M216" i="78"/>
  <c r="L216" i="78"/>
  <c r="K216" i="78"/>
  <c r="J216" i="78"/>
  <c r="I216" i="78"/>
  <c r="H216" i="78"/>
  <c r="G216" i="78"/>
  <c r="F216" i="78"/>
  <c r="E216" i="78"/>
  <c r="D216" i="78"/>
  <c r="C216" i="78"/>
  <c r="M202" i="78"/>
  <c r="M201" i="78"/>
  <c r="M200" i="78"/>
  <c r="M199" i="78"/>
  <c r="O198" i="78"/>
  <c r="N198" i="78"/>
  <c r="M198" i="78"/>
  <c r="L198" i="78"/>
  <c r="K198" i="78"/>
  <c r="J198" i="78"/>
  <c r="I198" i="78"/>
  <c r="H198" i="78"/>
  <c r="G198" i="78"/>
  <c r="F198" i="78"/>
  <c r="E198" i="78"/>
  <c r="D198" i="78"/>
  <c r="C198" i="78"/>
  <c r="O197" i="78"/>
  <c r="N197" i="78"/>
  <c r="M197" i="78"/>
  <c r="L197" i="78"/>
  <c r="K197" i="78"/>
  <c r="J197" i="78"/>
  <c r="H197" i="78"/>
  <c r="G197" i="78"/>
  <c r="F197" i="78"/>
  <c r="E197" i="78"/>
  <c r="D197" i="78"/>
  <c r="C197" i="78"/>
  <c r="O196" i="78"/>
  <c r="N196" i="78"/>
  <c r="M196" i="78"/>
  <c r="L196" i="78"/>
  <c r="K196" i="78"/>
  <c r="J196" i="78"/>
  <c r="H196" i="78"/>
  <c r="G196" i="78"/>
  <c r="F196" i="78"/>
  <c r="E196" i="78"/>
  <c r="D196" i="78"/>
  <c r="C196" i="78"/>
  <c r="M189" i="78"/>
  <c r="M188" i="78"/>
  <c r="M187" i="78"/>
  <c r="C187" i="78"/>
  <c r="C186" i="78"/>
  <c r="C185" i="78"/>
  <c r="F177" i="78"/>
  <c r="D177" i="78"/>
  <c r="F175" i="78"/>
  <c r="D175" i="78"/>
  <c r="J135" i="78"/>
  <c r="J134" i="78"/>
  <c r="I134" i="78"/>
  <c r="K133" i="78"/>
  <c r="J133" i="78"/>
  <c r="I133" i="78"/>
  <c r="K132" i="78"/>
  <c r="J132" i="78"/>
  <c r="K131" i="78"/>
  <c r="J131" i="78"/>
  <c r="I131" i="78"/>
  <c r="K130" i="78"/>
  <c r="J130" i="78"/>
  <c r="K129" i="78"/>
  <c r="J129" i="78"/>
  <c r="I129" i="78"/>
  <c r="K128" i="78"/>
  <c r="J128" i="78"/>
  <c r="K127" i="78"/>
  <c r="J127" i="78"/>
  <c r="I127" i="78"/>
  <c r="K126" i="78"/>
  <c r="J126" i="78"/>
  <c r="I126" i="78"/>
  <c r="K125" i="78"/>
  <c r="J125" i="78"/>
  <c r="I125" i="78"/>
  <c r="O113" i="78"/>
  <c r="N113" i="78"/>
  <c r="M113" i="78"/>
  <c r="L113" i="78"/>
  <c r="O112" i="78"/>
  <c r="N112" i="78"/>
  <c r="M112" i="78"/>
  <c r="L112" i="78"/>
  <c r="K112" i="78"/>
  <c r="C112" i="78"/>
  <c r="O111" i="78"/>
  <c r="N111" i="78"/>
  <c r="M111" i="78"/>
  <c r="L111" i="78"/>
  <c r="K111" i="78"/>
  <c r="O110" i="78"/>
  <c r="N110" i="78"/>
  <c r="M110" i="78"/>
  <c r="L110" i="78"/>
  <c r="K110" i="78"/>
  <c r="O109" i="78"/>
  <c r="N109" i="78"/>
  <c r="M109" i="78"/>
  <c r="L109" i="78"/>
  <c r="K109" i="78"/>
  <c r="O108" i="78"/>
  <c r="N108" i="78"/>
  <c r="M108" i="78"/>
  <c r="L108" i="78"/>
  <c r="K108" i="78"/>
  <c r="O107" i="78"/>
  <c r="N107" i="78"/>
  <c r="M107" i="78"/>
  <c r="L107" i="78"/>
  <c r="K107" i="78"/>
  <c r="O106" i="78"/>
  <c r="N106" i="78"/>
  <c r="M106" i="78"/>
  <c r="L106" i="78"/>
  <c r="K106" i="78"/>
  <c r="O105" i="78"/>
  <c r="N105" i="78"/>
  <c r="M105" i="78"/>
  <c r="L105" i="78"/>
  <c r="K105" i="78"/>
  <c r="O104" i="78"/>
  <c r="N104" i="78"/>
  <c r="M104" i="78"/>
  <c r="L104" i="78"/>
  <c r="K104" i="78"/>
  <c r="O103" i="78"/>
  <c r="N103" i="78"/>
  <c r="M103" i="78"/>
  <c r="L103" i="78"/>
  <c r="K103" i="78"/>
  <c r="O102" i="78"/>
  <c r="N102" i="78"/>
  <c r="M102" i="78"/>
  <c r="L102" i="78"/>
  <c r="K102" i="78"/>
  <c r="O101" i="78"/>
  <c r="N101" i="78"/>
  <c r="M101" i="78"/>
  <c r="L101" i="78"/>
  <c r="K101" i="78"/>
  <c r="O100" i="78"/>
  <c r="N100" i="78"/>
  <c r="M100" i="78"/>
  <c r="L100" i="78"/>
  <c r="K100" i="78"/>
  <c r="O99" i="78"/>
  <c r="N99" i="78"/>
  <c r="M99" i="78"/>
  <c r="L99" i="78"/>
  <c r="K99" i="78"/>
  <c r="O98" i="78"/>
  <c r="N98" i="78"/>
  <c r="M98" i="78"/>
  <c r="L98" i="78"/>
  <c r="K98" i="78"/>
  <c r="O97" i="78"/>
  <c r="N97" i="78"/>
  <c r="M97" i="78"/>
  <c r="L97" i="78"/>
  <c r="K97" i="78"/>
  <c r="O96" i="78"/>
  <c r="N96" i="78"/>
  <c r="M96" i="78"/>
  <c r="L96" i="78"/>
  <c r="K96" i="78"/>
  <c r="O95" i="78"/>
  <c r="N95" i="78"/>
  <c r="M95" i="78"/>
  <c r="L95" i="78"/>
  <c r="K95" i="78"/>
  <c r="O94" i="78"/>
  <c r="N94" i="78"/>
  <c r="M94" i="78"/>
  <c r="L94" i="78"/>
  <c r="K94" i="78"/>
  <c r="O93" i="78"/>
  <c r="N93" i="78"/>
  <c r="M93" i="78"/>
  <c r="L93" i="78"/>
  <c r="K93" i="78"/>
  <c r="O92" i="78"/>
  <c r="N92" i="78"/>
  <c r="M92" i="78"/>
  <c r="L92" i="78"/>
  <c r="K92" i="78"/>
  <c r="O91" i="78"/>
  <c r="N91" i="78"/>
  <c r="M91" i="78"/>
  <c r="L91" i="78"/>
  <c r="K91" i="78"/>
  <c r="O90" i="78"/>
  <c r="N90" i="78"/>
  <c r="M90" i="78"/>
  <c r="L90" i="78"/>
  <c r="K90" i="78"/>
  <c r="O89" i="78"/>
  <c r="N89" i="78"/>
  <c r="M89" i="78"/>
  <c r="L89" i="78"/>
  <c r="K89" i="78"/>
  <c r="O88" i="78"/>
  <c r="N88" i="78"/>
  <c r="M88" i="78"/>
  <c r="L88" i="78"/>
  <c r="K88" i="78"/>
  <c r="O87" i="78"/>
  <c r="N87" i="78"/>
  <c r="M87" i="78"/>
  <c r="L87" i="78"/>
  <c r="K87" i="78"/>
  <c r="O86" i="78"/>
  <c r="N86" i="78"/>
  <c r="M86" i="78"/>
  <c r="L86" i="78"/>
  <c r="K86" i="78"/>
  <c r="O85" i="78"/>
  <c r="N85" i="78"/>
  <c r="M85" i="78"/>
  <c r="L85" i="78"/>
  <c r="K85" i="78"/>
  <c r="O84" i="78"/>
  <c r="N84" i="78"/>
  <c r="M84" i="78"/>
  <c r="L84" i="78"/>
  <c r="K84" i="78"/>
  <c r="O83" i="78"/>
  <c r="N83" i="78"/>
  <c r="M83" i="78"/>
  <c r="L83" i="78"/>
  <c r="K83" i="78"/>
  <c r="O82" i="78"/>
  <c r="N82" i="78"/>
  <c r="M82" i="78"/>
  <c r="L82" i="78"/>
  <c r="K82" i="78"/>
  <c r="O81" i="78"/>
  <c r="N81" i="78"/>
  <c r="M81" i="78"/>
  <c r="L81" i="78"/>
  <c r="K81" i="78"/>
  <c r="O80" i="78"/>
  <c r="N80" i="78"/>
  <c r="M80" i="78"/>
  <c r="L80" i="78"/>
  <c r="K80" i="78"/>
  <c r="O79" i="78"/>
  <c r="N79" i="78"/>
  <c r="M79" i="78"/>
  <c r="L79" i="78"/>
  <c r="K79" i="78"/>
  <c r="O78" i="78"/>
  <c r="N78" i="78"/>
  <c r="M78" i="78"/>
  <c r="L78" i="78"/>
  <c r="K78" i="78"/>
  <c r="O77" i="78"/>
  <c r="N77" i="78"/>
  <c r="M77" i="78"/>
  <c r="L77" i="78"/>
  <c r="K77" i="78"/>
  <c r="O76" i="78"/>
  <c r="N76" i="78"/>
  <c r="M76" i="78"/>
  <c r="L76" i="78"/>
  <c r="K76" i="78"/>
  <c r="O75" i="78"/>
  <c r="N75" i="78"/>
  <c r="M75" i="78"/>
  <c r="L75" i="78"/>
  <c r="K75" i="78"/>
  <c r="O74" i="78"/>
  <c r="N74" i="78"/>
  <c r="M74" i="78"/>
  <c r="L74" i="78"/>
  <c r="K74" i="78"/>
  <c r="O73" i="78"/>
  <c r="N73" i="78"/>
  <c r="M73" i="78"/>
  <c r="L73" i="78"/>
  <c r="K73" i="78"/>
  <c r="O72" i="78"/>
  <c r="N72" i="78"/>
  <c r="M72" i="78"/>
  <c r="L72" i="78"/>
  <c r="K72" i="78"/>
  <c r="O71" i="78"/>
  <c r="N71" i="78"/>
  <c r="M71" i="78"/>
  <c r="L71" i="78"/>
  <c r="K71" i="78"/>
  <c r="V70" i="78"/>
  <c r="U70" i="78"/>
  <c r="T70" i="78"/>
  <c r="S70" i="78"/>
  <c r="R70" i="78"/>
  <c r="O70" i="78"/>
  <c r="N70" i="78"/>
  <c r="M70" i="78"/>
  <c r="L70" i="78"/>
  <c r="K70" i="78"/>
  <c r="V69" i="78"/>
  <c r="U69" i="78"/>
  <c r="T69" i="78"/>
  <c r="S69" i="78"/>
  <c r="R69" i="78"/>
  <c r="O69" i="78"/>
  <c r="N69" i="78"/>
  <c r="M69" i="78"/>
  <c r="L69" i="78"/>
  <c r="K69" i="78"/>
  <c r="V68" i="78"/>
  <c r="U68" i="78"/>
  <c r="T68" i="78"/>
  <c r="S68" i="78"/>
  <c r="R68" i="78"/>
  <c r="O68" i="78"/>
  <c r="N68" i="78"/>
  <c r="M68" i="78"/>
  <c r="L68" i="78"/>
  <c r="K68" i="78"/>
  <c r="V67" i="78"/>
  <c r="U67" i="78"/>
  <c r="T67" i="78"/>
  <c r="S67" i="78"/>
  <c r="R67" i="78"/>
  <c r="O67" i="78"/>
  <c r="N67" i="78"/>
  <c r="M67" i="78"/>
  <c r="L67" i="78"/>
  <c r="K67" i="78"/>
  <c r="V66" i="78"/>
  <c r="U66" i="78"/>
  <c r="T66" i="78"/>
  <c r="S66" i="78"/>
  <c r="R66" i="78"/>
  <c r="O66" i="78"/>
  <c r="N66" i="78"/>
  <c r="M66" i="78"/>
  <c r="L66" i="78"/>
  <c r="K66" i="78"/>
  <c r="V65" i="78"/>
  <c r="U65" i="78"/>
  <c r="T65" i="78"/>
  <c r="S65" i="78"/>
  <c r="R65" i="78"/>
  <c r="O65" i="78"/>
  <c r="N65" i="78"/>
  <c r="M65" i="78"/>
  <c r="L65" i="78"/>
  <c r="K65" i="78"/>
  <c r="V64" i="78"/>
  <c r="U64" i="78"/>
  <c r="T64" i="78"/>
  <c r="S64" i="78"/>
  <c r="R64" i="78"/>
  <c r="O64" i="78"/>
  <c r="N64" i="78"/>
  <c r="M64" i="78"/>
  <c r="L64" i="78"/>
  <c r="K64" i="78"/>
  <c r="V63" i="78"/>
  <c r="U63" i="78"/>
  <c r="T63" i="78"/>
  <c r="S63" i="78"/>
  <c r="R63" i="78"/>
  <c r="O63" i="78"/>
  <c r="N63" i="78"/>
  <c r="M63" i="78"/>
  <c r="L63" i="78"/>
  <c r="K63" i="78"/>
  <c r="V62" i="78"/>
  <c r="U62" i="78"/>
  <c r="T62" i="78"/>
  <c r="S62" i="78"/>
  <c r="R62" i="78"/>
  <c r="O62" i="78"/>
  <c r="N62" i="78"/>
  <c r="M62" i="78"/>
  <c r="L62" i="78"/>
  <c r="K62" i="78"/>
  <c r="V61" i="78"/>
  <c r="U61" i="78"/>
  <c r="T61" i="78"/>
  <c r="S61" i="78"/>
  <c r="R61" i="78"/>
  <c r="O61" i="78"/>
  <c r="N61" i="78"/>
  <c r="M61" i="78"/>
  <c r="L61" i="78"/>
  <c r="K61" i="78"/>
  <c r="S51" i="78"/>
  <c r="N51" i="78"/>
  <c r="L51" i="78"/>
  <c r="J51" i="78"/>
  <c r="H51" i="78"/>
  <c r="F51" i="78"/>
  <c r="D51" i="78"/>
  <c r="T50" i="78"/>
  <c r="S50" i="78"/>
  <c r="R50" i="78"/>
  <c r="O50" i="78"/>
  <c r="N50" i="78"/>
  <c r="M50" i="78"/>
  <c r="L50" i="78"/>
  <c r="K50" i="78"/>
  <c r="J50" i="78"/>
  <c r="I50" i="78"/>
  <c r="H50" i="78"/>
  <c r="G50" i="78"/>
  <c r="F50" i="78"/>
  <c r="E50" i="78"/>
  <c r="D50" i="78"/>
  <c r="T49" i="78"/>
  <c r="S49" i="78"/>
  <c r="R49" i="78"/>
  <c r="O49" i="78"/>
  <c r="N49" i="78"/>
  <c r="M49" i="78"/>
  <c r="L49" i="78"/>
  <c r="K49" i="78"/>
  <c r="J49" i="78"/>
  <c r="I49" i="78"/>
  <c r="H49" i="78"/>
  <c r="G49" i="78"/>
  <c r="F49" i="78"/>
  <c r="E49" i="78"/>
  <c r="D49" i="78"/>
  <c r="T48" i="78"/>
  <c r="S48" i="78"/>
  <c r="R48" i="78"/>
  <c r="O48" i="78"/>
  <c r="N48" i="78"/>
  <c r="M48" i="78"/>
  <c r="L48" i="78"/>
  <c r="K48" i="78"/>
  <c r="J48" i="78"/>
  <c r="I48" i="78"/>
  <c r="H48" i="78"/>
  <c r="G48" i="78"/>
  <c r="F48" i="78"/>
  <c r="E48" i="78"/>
  <c r="D48" i="78"/>
  <c r="T47" i="78"/>
  <c r="S47" i="78"/>
  <c r="R47" i="78"/>
  <c r="O47" i="78"/>
  <c r="N47" i="78"/>
  <c r="M47" i="78"/>
  <c r="L47" i="78"/>
  <c r="K47" i="78"/>
  <c r="J47" i="78"/>
  <c r="I47" i="78"/>
  <c r="H47" i="78"/>
  <c r="G47" i="78"/>
  <c r="F47" i="78"/>
  <c r="E47" i="78"/>
  <c r="D47" i="78"/>
  <c r="T46" i="78"/>
  <c r="S46" i="78"/>
  <c r="R46" i="78"/>
  <c r="O46" i="78"/>
  <c r="N46" i="78"/>
  <c r="M46" i="78"/>
  <c r="L46" i="78"/>
  <c r="K46" i="78"/>
  <c r="J46" i="78"/>
  <c r="I46" i="78"/>
  <c r="H46" i="78"/>
  <c r="G46" i="78"/>
  <c r="F46" i="78"/>
  <c r="E46" i="78"/>
  <c r="D46" i="78"/>
  <c r="T45" i="78"/>
  <c r="S45" i="78"/>
  <c r="R45" i="78"/>
  <c r="O45" i="78"/>
  <c r="N45" i="78"/>
  <c r="M45" i="78"/>
  <c r="L45" i="78"/>
  <c r="K45" i="78"/>
  <c r="J45" i="78"/>
  <c r="I45" i="78"/>
  <c r="H45" i="78"/>
  <c r="G45" i="78"/>
  <c r="F45" i="78"/>
  <c r="E45" i="78"/>
  <c r="D45" i="78"/>
  <c r="T44" i="78"/>
  <c r="S44" i="78"/>
  <c r="R44" i="78"/>
  <c r="O44" i="78"/>
  <c r="N44" i="78"/>
  <c r="M44" i="78"/>
  <c r="L44" i="78"/>
  <c r="K44" i="78"/>
  <c r="J44" i="78"/>
  <c r="I44" i="78"/>
  <c r="H44" i="78"/>
  <c r="G44" i="78"/>
  <c r="F44" i="78"/>
  <c r="E44" i="78"/>
  <c r="D44" i="78"/>
  <c r="T43" i="78"/>
  <c r="S43" i="78"/>
  <c r="R43" i="78"/>
  <c r="O43" i="78"/>
  <c r="N43" i="78"/>
  <c r="M43" i="78"/>
  <c r="L43" i="78"/>
  <c r="K43" i="78"/>
  <c r="J43" i="78"/>
  <c r="I43" i="78"/>
  <c r="H43" i="78"/>
  <c r="G43" i="78"/>
  <c r="F43" i="78"/>
  <c r="E43" i="78"/>
  <c r="D43" i="78"/>
  <c r="T42" i="78"/>
  <c r="S42" i="78"/>
  <c r="R42" i="78"/>
  <c r="O42" i="78"/>
  <c r="N42" i="78"/>
  <c r="M42" i="78"/>
  <c r="L42" i="78"/>
  <c r="K42" i="78"/>
  <c r="J42" i="78"/>
  <c r="I42" i="78"/>
  <c r="H42" i="78"/>
  <c r="G42" i="78"/>
  <c r="F42" i="78"/>
  <c r="E42" i="78"/>
  <c r="D42" i="78"/>
  <c r="G32" i="78"/>
  <c r="D32" i="78"/>
  <c r="G31" i="78"/>
  <c r="D31" i="78"/>
  <c r="H30" i="78"/>
  <c r="F30" i="78"/>
  <c r="L29" i="78"/>
  <c r="K29" i="78"/>
  <c r="H29" i="78"/>
  <c r="L28" i="78"/>
  <c r="H28" i="78"/>
  <c r="G28" i="78"/>
  <c r="F28" i="78"/>
  <c r="D28" i="78"/>
  <c r="L27" i="78"/>
  <c r="J27" i="78"/>
  <c r="H27" i="78"/>
  <c r="F27" i="78"/>
  <c r="C27" i="78"/>
  <c r="L26" i="78"/>
  <c r="J26" i="78"/>
  <c r="H26" i="78"/>
  <c r="F26" i="78"/>
  <c r="C26" i="78"/>
  <c r="L25" i="78"/>
  <c r="K25" i="78"/>
  <c r="J25" i="78"/>
  <c r="I25" i="78"/>
  <c r="H25" i="78"/>
  <c r="F25" i="78"/>
  <c r="D25" i="78"/>
  <c r="C25" i="78"/>
  <c r="M13" i="78"/>
  <c r="L13" i="78"/>
  <c r="K13" i="78"/>
  <c r="J13" i="78"/>
  <c r="I13" i="78"/>
  <c r="H13" i="78"/>
  <c r="G13" i="78"/>
  <c r="F13" i="78"/>
  <c r="E13" i="78"/>
  <c r="D13" i="78"/>
  <c r="C13" i="78"/>
  <c r="M12" i="78"/>
  <c r="L12" i="78"/>
  <c r="K12" i="78"/>
  <c r="J12" i="78"/>
  <c r="I12" i="78"/>
  <c r="H12" i="78"/>
  <c r="G12" i="78"/>
  <c r="F12" i="78"/>
  <c r="E12" i="78"/>
  <c r="D12" i="78"/>
  <c r="C12" i="78"/>
  <c r="M11" i="78"/>
  <c r="L11" i="78"/>
  <c r="K11" i="78"/>
  <c r="J11" i="78"/>
  <c r="I11" i="78"/>
  <c r="H11" i="78"/>
  <c r="G11" i="78"/>
  <c r="F11" i="78"/>
  <c r="E11" i="78"/>
  <c r="D11" i="78"/>
  <c r="C11" i="78"/>
  <c r="M10" i="78"/>
  <c r="L10" i="78"/>
  <c r="K10" i="78"/>
  <c r="J10" i="78"/>
  <c r="I10" i="78"/>
  <c r="H10" i="78"/>
  <c r="G10" i="78"/>
  <c r="F10" i="78"/>
  <c r="E10" i="78"/>
  <c r="D10" i="78"/>
  <c r="C10" i="78"/>
  <c r="M8" i="78"/>
  <c r="L8" i="78"/>
  <c r="K8" i="78"/>
  <c r="J8" i="78"/>
  <c r="I8" i="78"/>
  <c r="H8" i="78"/>
  <c r="G8" i="78"/>
  <c r="F8" i="78"/>
  <c r="E8" i="78"/>
  <c r="D8" i="78"/>
  <c r="C8" i="78"/>
  <c r="C419" i="76"/>
  <c r="C418" i="76"/>
  <c r="C417" i="76"/>
  <c r="C416" i="76"/>
  <c r="K400" i="76"/>
  <c r="K398" i="76"/>
  <c r="K396" i="76"/>
  <c r="C396" i="76"/>
  <c r="B396" i="76"/>
  <c r="K395" i="76"/>
  <c r="C395" i="76"/>
  <c r="B395" i="76"/>
  <c r="K394" i="76"/>
  <c r="L373" i="76"/>
  <c r="K373" i="76"/>
  <c r="J373" i="76"/>
  <c r="I373" i="76"/>
  <c r="H373" i="76"/>
  <c r="G373" i="76"/>
  <c r="F373" i="76"/>
  <c r="E373" i="76"/>
  <c r="D373" i="76"/>
  <c r="C373" i="76"/>
  <c r="B373" i="76"/>
  <c r="M372" i="76"/>
  <c r="I372" i="76"/>
  <c r="H372" i="76"/>
  <c r="G372" i="76"/>
  <c r="F372" i="76"/>
  <c r="E372" i="76"/>
  <c r="D372" i="76"/>
  <c r="C372" i="76"/>
  <c r="B372" i="76"/>
  <c r="L371" i="76"/>
  <c r="K371" i="76"/>
  <c r="J371" i="76"/>
  <c r="I371" i="76"/>
  <c r="H371" i="76"/>
  <c r="G371" i="76"/>
  <c r="F371" i="76"/>
  <c r="E371" i="76"/>
  <c r="D371" i="76"/>
  <c r="L370" i="76"/>
  <c r="K370" i="76"/>
  <c r="J370" i="76"/>
  <c r="L369" i="76"/>
  <c r="K369" i="76"/>
  <c r="J369" i="76"/>
  <c r="L368" i="76"/>
  <c r="K368" i="76"/>
  <c r="J368" i="76"/>
  <c r="L367" i="76"/>
  <c r="K367" i="76"/>
  <c r="J367" i="76"/>
  <c r="L366" i="76"/>
  <c r="K366" i="76"/>
  <c r="J366" i="76"/>
  <c r="L364" i="76"/>
  <c r="K364" i="76"/>
  <c r="J364" i="76"/>
  <c r="I364" i="76"/>
  <c r="H364" i="76"/>
  <c r="G364" i="76"/>
  <c r="F364" i="76"/>
  <c r="E364" i="76"/>
  <c r="D364" i="76"/>
  <c r="C364" i="76"/>
  <c r="B364" i="76"/>
  <c r="Q363" i="76"/>
  <c r="P363" i="76"/>
  <c r="O363" i="76"/>
  <c r="L363" i="76"/>
  <c r="K363" i="76"/>
  <c r="J363" i="76"/>
  <c r="I363" i="76"/>
  <c r="H363" i="76"/>
  <c r="G363" i="76"/>
  <c r="F363" i="76"/>
  <c r="E363" i="76"/>
  <c r="D363" i="76"/>
  <c r="C363" i="76"/>
  <c r="B363" i="76"/>
  <c r="Q362" i="76"/>
  <c r="P362" i="76"/>
  <c r="O362" i="76"/>
  <c r="L362" i="76"/>
  <c r="K362" i="76"/>
  <c r="J362" i="76"/>
  <c r="I362" i="76"/>
  <c r="H362" i="76"/>
  <c r="G362" i="76"/>
  <c r="F362" i="76"/>
  <c r="E362" i="76"/>
  <c r="D362" i="76"/>
  <c r="C362" i="76"/>
  <c r="B362" i="76"/>
  <c r="Q361" i="76"/>
  <c r="P361" i="76"/>
  <c r="O361" i="76"/>
  <c r="L361" i="76"/>
  <c r="K361" i="76"/>
  <c r="J361" i="76"/>
  <c r="I361" i="76"/>
  <c r="H361" i="76"/>
  <c r="G361" i="76"/>
  <c r="F361" i="76"/>
  <c r="E361" i="76"/>
  <c r="D361" i="76"/>
  <c r="C361" i="76"/>
  <c r="B361" i="76"/>
  <c r="Q360" i="76"/>
  <c r="P360" i="76"/>
  <c r="O360" i="76"/>
  <c r="L360" i="76"/>
  <c r="K360" i="76"/>
  <c r="J360" i="76"/>
  <c r="I360" i="76"/>
  <c r="H360" i="76"/>
  <c r="G360" i="76"/>
  <c r="F360" i="76"/>
  <c r="E360" i="76"/>
  <c r="D360" i="76"/>
  <c r="C360" i="76"/>
  <c r="B360" i="76"/>
  <c r="N358" i="76"/>
  <c r="L358" i="76"/>
  <c r="K358" i="76"/>
  <c r="J358" i="76"/>
  <c r="I358" i="76"/>
  <c r="H358" i="76"/>
  <c r="G358" i="76"/>
  <c r="F358" i="76"/>
  <c r="E358" i="76"/>
  <c r="D358" i="76"/>
  <c r="B358" i="76"/>
  <c r="N357" i="76"/>
  <c r="L357" i="76"/>
  <c r="K357" i="76"/>
  <c r="J357" i="76"/>
  <c r="I357" i="76"/>
  <c r="H357" i="76"/>
  <c r="G357" i="76"/>
  <c r="F357" i="76"/>
  <c r="E357" i="76"/>
  <c r="D357" i="76"/>
  <c r="B357" i="76"/>
  <c r="N356" i="76"/>
  <c r="L356" i="76"/>
  <c r="K356" i="76"/>
  <c r="J356" i="76"/>
  <c r="N355" i="76"/>
  <c r="L355" i="76"/>
  <c r="K355" i="76"/>
  <c r="J355" i="76"/>
  <c r="B355" i="76"/>
  <c r="N354" i="76"/>
  <c r="L354" i="76"/>
  <c r="K354" i="76"/>
  <c r="J354" i="76"/>
  <c r="N353" i="76"/>
  <c r="L353" i="76"/>
  <c r="K353" i="76"/>
  <c r="J353" i="76"/>
  <c r="N351" i="76"/>
  <c r="L351" i="76"/>
  <c r="K351" i="76"/>
  <c r="J351" i="76"/>
  <c r="I351" i="76"/>
  <c r="H351" i="76"/>
  <c r="G351" i="76"/>
  <c r="F351" i="76"/>
  <c r="E351" i="76"/>
  <c r="D351" i="76"/>
  <c r="B351" i="76"/>
  <c r="N348" i="76"/>
  <c r="L348" i="76"/>
  <c r="K348" i="76"/>
  <c r="J348" i="76"/>
  <c r="B348" i="76"/>
  <c r="Q346" i="76"/>
  <c r="P346" i="76"/>
  <c r="O346" i="76"/>
  <c r="N345" i="76"/>
  <c r="L345" i="76"/>
  <c r="K345" i="76"/>
  <c r="J345" i="76"/>
  <c r="I345" i="76"/>
  <c r="H345" i="76"/>
  <c r="G345" i="76"/>
  <c r="F345" i="76"/>
  <c r="E345" i="76"/>
  <c r="D345" i="76"/>
  <c r="B345" i="76"/>
  <c r="Q344" i="76"/>
  <c r="P344" i="76"/>
  <c r="N344" i="76"/>
  <c r="L344" i="76"/>
  <c r="K344" i="76"/>
  <c r="J344" i="76"/>
  <c r="Q343" i="76"/>
  <c r="P343" i="76"/>
  <c r="O343" i="76"/>
  <c r="N343" i="76"/>
  <c r="L343" i="76"/>
  <c r="K343" i="76"/>
  <c r="J343" i="76"/>
  <c r="B343" i="76"/>
  <c r="Q342" i="76"/>
  <c r="P342" i="76"/>
  <c r="O342" i="76"/>
  <c r="N342" i="76"/>
  <c r="L342" i="76"/>
  <c r="K342" i="76"/>
  <c r="J342" i="76"/>
  <c r="Q341" i="76"/>
  <c r="P341" i="76"/>
  <c r="O341" i="76"/>
  <c r="N341" i="76"/>
  <c r="L341" i="76"/>
  <c r="K341" i="76"/>
  <c r="J341" i="76"/>
  <c r="I337" i="76"/>
  <c r="H337" i="76"/>
  <c r="G337" i="76"/>
  <c r="F337" i="76"/>
  <c r="E337" i="76"/>
  <c r="D337" i="76"/>
  <c r="I330" i="76"/>
  <c r="H330" i="76"/>
  <c r="G330" i="76"/>
  <c r="F330" i="76"/>
  <c r="E330" i="76"/>
  <c r="D330" i="76"/>
  <c r="K329" i="76"/>
  <c r="K328" i="76"/>
  <c r="I325" i="76"/>
  <c r="H325" i="76"/>
  <c r="G325" i="76"/>
  <c r="F325" i="76"/>
  <c r="E325" i="76"/>
  <c r="D325" i="76"/>
  <c r="I318" i="76"/>
  <c r="H318" i="76"/>
  <c r="G318" i="76"/>
  <c r="F318" i="76"/>
  <c r="E318" i="76"/>
  <c r="D318" i="76"/>
  <c r="B318" i="76"/>
  <c r="Q315" i="76"/>
  <c r="L315" i="76"/>
  <c r="K315" i="76"/>
  <c r="Q314" i="76"/>
  <c r="L314" i="76"/>
  <c r="K314" i="76"/>
  <c r="I311" i="76"/>
  <c r="H311" i="76"/>
  <c r="G311" i="76"/>
  <c r="F311" i="76"/>
  <c r="E311" i="76"/>
  <c r="D311" i="76"/>
  <c r="K304" i="76"/>
  <c r="I304" i="76"/>
  <c r="H304" i="76"/>
  <c r="G304" i="76"/>
  <c r="F304" i="76"/>
  <c r="E304" i="76"/>
  <c r="D304" i="76"/>
  <c r="R303" i="76"/>
  <c r="Q303" i="76"/>
  <c r="P303" i="76"/>
  <c r="O303" i="76"/>
  <c r="N303" i="76"/>
  <c r="M303" i="76"/>
  <c r="K303" i="76"/>
  <c r="R302" i="76"/>
  <c r="Q302" i="76"/>
  <c r="P302" i="76"/>
  <c r="O302" i="76"/>
  <c r="N302" i="76"/>
  <c r="M302" i="76"/>
  <c r="K302" i="76"/>
  <c r="R301" i="76"/>
  <c r="Q301" i="76"/>
  <c r="K301" i="76"/>
  <c r="R300" i="76"/>
  <c r="Q300" i="76"/>
  <c r="K300" i="76"/>
  <c r="I297" i="76"/>
  <c r="H297" i="76"/>
  <c r="G297" i="76"/>
  <c r="F297" i="76"/>
  <c r="E297" i="76"/>
  <c r="D297" i="76"/>
  <c r="U296" i="76"/>
  <c r="T296" i="76"/>
  <c r="S296" i="76"/>
  <c r="R296" i="76"/>
  <c r="Q296" i="76"/>
  <c r="P296" i="76"/>
  <c r="O296" i="76"/>
  <c r="N296" i="76"/>
  <c r="M296" i="76"/>
  <c r="L296" i="76"/>
  <c r="K296" i="76"/>
  <c r="B296" i="76"/>
  <c r="Q295" i="76"/>
  <c r="P295" i="76"/>
  <c r="O295" i="76"/>
  <c r="N295" i="76"/>
  <c r="M295" i="76"/>
  <c r="K295" i="76"/>
  <c r="B295" i="76"/>
  <c r="C285" i="76"/>
  <c r="C284" i="76"/>
  <c r="C283" i="76"/>
  <c r="C282" i="76"/>
  <c r="K266" i="76"/>
  <c r="K264" i="76"/>
  <c r="K262" i="76"/>
  <c r="C262" i="76"/>
  <c r="B262" i="76"/>
  <c r="K261" i="76"/>
  <c r="I261" i="76"/>
  <c r="H261" i="76"/>
  <c r="G261" i="76"/>
  <c r="F261" i="76"/>
  <c r="E261" i="76"/>
  <c r="D261" i="76"/>
  <c r="C261" i="76"/>
  <c r="B261" i="76"/>
  <c r="K260" i="76"/>
  <c r="L239" i="76"/>
  <c r="K239" i="76"/>
  <c r="J239" i="76"/>
  <c r="I239" i="76"/>
  <c r="H239" i="76"/>
  <c r="G239" i="76"/>
  <c r="F239" i="76"/>
  <c r="E239" i="76"/>
  <c r="D239" i="76"/>
  <c r="C239" i="76"/>
  <c r="B239" i="76"/>
  <c r="M238" i="76"/>
  <c r="I238" i="76"/>
  <c r="H238" i="76"/>
  <c r="G238" i="76"/>
  <c r="F238" i="76"/>
  <c r="E238" i="76"/>
  <c r="D238" i="76"/>
  <c r="C238" i="76"/>
  <c r="B238" i="76"/>
  <c r="L237" i="76"/>
  <c r="K237" i="76"/>
  <c r="J237" i="76"/>
  <c r="L236" i="76"/>
  <c r="K236" i="76"/>
  <c r="J236" i="76"/>
  <c r="L235" i="76"/>
  <c r="K235" i="76"/>
  <c r="J235" i="76"/>
  <c r="L234" i="76"/>
  <c r="K234" i="76"/>
  <c r="J234" i="76"/>
  <c r="L233" i="76"/>
  <c r="K233" i="76"/>
  <c r="J233" i="76"/>
  <c r="L232" i="76"/>
  <c r="K232" i="76"/>
  <c r="J232" i="76"/>
  <c r="L230" i="76"/>
  <c r="K230" i="76"/>
  <c r="J230" i="76"/>
  <c r="I230" i="76"/>
  <c r="H230" i="76"/>
  <c r="G230" i="76"/>
  <c r="F230" i="76"/>
  <c r="E230" i="76"/>
  <c r="D230" i="76"/>
  <c r="C230" i="76"/>
  <c r="B230" i="76"/>
  <c r="Q229" i="76"/>
  <c r="P229" i="76"/>
  <c r="O229" i="76"/>
  <c r="L229" i="76"/>
  <c r="K229" i="76"/>
  <c r="J229" i="76"/>
  <c r="I229" i="76"/>
  <c r="H229" i="76"/>
  <c r="G229" i="76"/>
  <c r="F229" i="76"/>
  <c r="E229" i="76"/>
  <c r="D229" i="76"/>
  <c r="C229" i="76"/>
  <c r="B229" i="76"/>
  <c r="Q228" i="76"/>
  <c r="P228" i="76"/>
  <c r="O228" i="76"/>
  <c r="L228" i="76"/>
  <c r="K228" i="76"/>
  <c r="J228" i="76"/>
  <c r="I228" i="76"/>
  <c r="H228" i="76"/>
  <c r="G228" i="76"/>
  <c r="F228" i="76"/>
  <c r="E228" i="76"/>
  <c r="D228" i="76"/>
  <c r="C228" i="76"/>
  <c r="B228" i="76"/>
  <c r="Q227" i="76"/>
  <c r="P227" i="76"/>
  <c r="O227" i="76"/>
  <c r="L227" i="76"/>
  <c r="K227" i="76"/>
  <c r="J227" i="76"/>
  <c r="I227" i="76"/>
  <c r="H227" i="76"/>
  <c r="G227" i="76"/>
  <c r="F227" i="76"/>
  <c r="E227" i="76"/>
  <c r="D227" i="76"/>
  <c r="C227" i="76"/>
  <c r="B227" i="76"/>
  <c r="Q226" i="76"/>
  <c r="P226" i="76"/>
  <c r="O226" i="76"/>
  <c r="L226" i="76"/>
  <c r="K226" i="76"/>
  <c r="J226" i="76"/>
  <c r="I226" i="76"/>
  <c r="H226" i="76"/>
  <c r="G226" i="76"/>
  <c r="F226" i="76"/>
  <c r="E226" i="76"/>
  <c r="D226" i="76"/>
  <c r="C226" i="76"/>
  <c r="B226" i="76"/>
  <c r="L225" i="76"/>
  <c r="K225" i="76"/>
  <c r="J225" i="76"/>
  <c r="I225" i="76"/>
  <c r="H225" i="76"/>
  <c r="G225" i="76"/>
  <c r="F225" i="76"/>
  <c r="E225" i="76"/>
  <c r="D225" i="76"/>
  <c r="C225" i="76"/>
  <c r="B225" i="76"/>
  <c r="N224" i="76"/>
  <c r="L224" i="76"/>
  <c r="K224" i="76"/>
  <c r="J224" i="76"/>
  <c r="B224" i="76"/>
  <c r="N223" i="76"/>
  <c r="L223" i="76"/>
  <c r="K223" i="76"/>
  <c r="J223" i="76"/>
  <c r="B223" i="76"/>
  <c r="N222" i="76"/>
  <c r="L222" i="76"/>
  <c r="K222" i="76"/>
  <c r="J222" i="76"/>
  <c r="N221" i="76"/>
  <c r="L221" i="76"/>
  <c r="K221" i="76"/>
  <c r="J221" i="76"/>
  <c r="B221" i="76"/>
  <c r="N220" i="76"/>
  <c r="L220" i="76"/>
  <c r="K220" i="76"/>
  <c r="J220" i="76"/>
  <c r="N219" i="76"/>
  <c r="L219" i="76"/>
  <c r="K219" i="76"/>
  <c r="J219" i="76"/>
  <c r="N217" i="76"/>
  <c r="L217" i="76"/>
  <c r="K217" i="76"/>
  <c r="J217" i="76"/>
  <c r="B217" i="76"/>
  <c r="N214" i="76"/>
  <c r="L214" i="76"/>
  <c r="K214" i="76"/>
  <c r="J214" i="76"/>
  <c r="B214" i="76"/>
  <c r="Q212" i="76"/>
  <c r="P212" i="76"/>
  <c r="O212" i="76"/>
  <c r="N211" i="76"/>
  <c r="L211" i="76"/>
  <c r="K211" i="76"/>
  <c r="J211" i="76"/>
  <c r="B211" i="76"/>
  <c r="Q210" i="76"/>
  <c r="P210" i="76"/>
  <c r="N210" i="76"/>
  <c r="L210" i="76"/>
  <c r="K210" i="76"/>
  <c r="J210" i="76"/>
  <c r="Q209" i="76"/>
  <c r="P209" i="76"/>
  <c r="O209" i="76"/>
  <c r="N209" i="76"/>
  <c r="L209" i="76"/>
  <c r="K209" i="76"/>
  <c r="J209" i="76"/>
  <c r="B209" i="76"/>
  <c r="Q208" i="76"/>
  <c r="P208" i="76"/>
  <c r="O208" i="76"/>
  <c r="N208" i="76"/>
  <c r="L208" i="76"/>
  <c r="K208" i="76"/>
  <c r="J208" i="76"/>
  <c r="Q207" i="76"/>
  <c r="P207" i="76"/>
  <c r="O207" i="76"/>
  <c r="N207" i="76"/>
  <c r="L207" i="76"/>
  <c r="K207" i="76"/>
  <c r="J207" i="76"/>
  <c r="K195" i="76"/>
  <c r="K194" i="76"/>
  <c r="B186" i="76"/>
  <c r="Q183" i="76"/>
  <c r="L183" i="76"/>
  <c r="K183" i="76"/>
  <c r="Q182" i="76"/>
  <c r="L182" i="76"/>
  <c r="K182" i="76"/>
  <c r="K174" i="76"/>
  <c r="R173" i="76"/>
  <c r="Q173" i="76"/>
  <c r="P173" i="76"/>
  <c r="O173" i="76"/>
  <c r="N173" i="76"/>
  <c r="M173" i="76"/>
  <c r="K173" i="76"/>
  <c r="B173" i="76"/>
  <c r="R172" i="76"/>
  <c r="P172" i="76"/>
  <c r="O172" i="76"/>
  <c r="N172" i="76"/>
  <c r="M172" i="76"/>
  <c r="K172" i="76"/>
  <c r="B172" i="76"/>
  <c r="R171" i="76"/>
  <c r="Q171" i="76"/>
  <c r="K171" i="76"/>
  <c r="B171" i="76"/>
  <c r="R170" i="76"/>
  <c r="Q170" i="76"/>
  <c r="K170" i="76"/>
  <c r="B170" i="76"/>
  <c r="U166" i="76"/>
  <c r="T166" i="76"/>
  <c r="S166" i="76"/>
  <c r="R166" i="76"/>
  <c r="Q166" i="76"/>
  <c r="P166" i="76"/>
  <c r="O166" i="76"/>
  <c r="N166" i="76"/>
  <c r="M166" i="76"/>
  <c r="K166" i="76"/>
  <c r="B166" i="76"/>
  <c r="Q165" i="76"/>
  <c r="P165" i="76"/>
  <c r="O165" i="76"/>
  <c r="N165" i="76"/>
  <c r="M165" i="76"/>
  <c r="K165" i="76"/>
  <c r="B165" i="76"/>
  <c r="AH150" i="76"/>
  <c r="AJ38" i="76"/>
  <c r="AI38" i="76"/>
  <c r="AJ37" i="76"/>
  <c r="AI37" i="76"/>
  <c r="AJ36" i="76"/>
  <c r="AI36" i="76"/>
  <c r="AJ35" i="76"/>
  <c r="AI35" i="76"/>
  <c r="AJ32" i="76"/>
  <c r="AI32" i="76"/>
  <c r="AJ31" i="76"/>
  <c r="AI31" i="76"/>
  <c r="AJ30" i="76"/>
  <c r="AI30" i="76"/>
  <c r="AJ29" i="76"/>
  <c r="AI29" i="76"/>
  <c r="E26" i="76"/>
  <c r="D26" i="76"/>
  <c r="C26" i="76"/>
  <c r="B26" i="76"/>
  <c r="AJ23" i="76"/>
  <c r="AI23" i="76"/>
  <c r="AJ22" i="76"/>
  <c r="AI22" i="76"/>
  <c r="AJ21" i="76"/>
  <c r="AI21" i="76"/>
  <c r="AJ20" i="76"/>
  <c r="AI20" i="76"/>
  <c r="AJ17" i="76"/>
  <c r="AI17" i="76"/>
  <c r="AJ16" i="76"/>
  <c r="AI16" i="76"/>
  <c r="AJ15" i="76"/>
  <c r="AI15" i="76"/>
  <c r="AJ14" i="76"/>
  <c r="AI14" i="76"/>
  <c r="F55" i="14"/>
  <c r="C55" i="14"/>
  <c r="B55" i="14"/>
  <c r="A55" i="14"/>
  <c r="C54" i="14"/>
  <c r="B54" i="14"/>
  <c r="A54" i="14"/>
  <c r="C53" i="14"/>
  <c r="B53" i="14"/>
  <c r="A53" i="14"/>
  <c r="C52" i="14"/>
  <c r="B52" i="14"/>
  <c r="A52" i="14"/>
  <c r="C51" i="14"/>
  <c r="B51" i="14"/>
  <c r="A51" i="14"/>
  <c r="C50" i="14"/>
  <c r="B50" i="14"/>
  <c r="A50" i="14"/>
  <c r="C49" i="14"/>
  <c r="B49" i="14"/>
  <c r="A49" i="14"/>
  <c r="C48" i="14"/>
  <c r="B48" i="14"/>
  <c r="A48" i="14"/>
  <c r="C42" i="14"/>
  <c r="B42" i="14"/>
  <c r="A42" i="14"/>
  <c r="F41" i="14"/>
  <c r="C41" i="14"/>
  <c r="B41" i="14"/>
  <c r="I32" i="14"/>
  <c r="H32" i="14"/>
  <c r="G32" i="14"/>
  <c r="F32" i="14"/>
  <c r="E32" i="14"/>
  <c r="C32" i="14"/>
  <c r="B32" i="14"/>
  <c r="C27" i="11" s="1"/>
  <c r="AZ31" i="14"/>
  <c r="AZ32" i="14" s="1"/>
  <c r="AF31" i="14"/>
  <c r="K31" i="14"/>
  <c r="K32" i="14" s="1"/>
  <c r="C42" i="93" s="1"/>
  <c r="E42" i="93" s="1"/>
  <c r="C31" i="14"/>
  <c r="D26" i="11" s="1"/>
  <c r="B31" i="14"/>
  <c r="C26" i="11" s="1"/>
  <c r="AF29" i="14"/>
  <c r="V29" i="14"/>
  <c r="W29" i="14" s="1"/>
  <c r="X29" i="14" s="1"/>
  <c r="Y29" i="14" s="1"/>
  <c r="Z29" i="14" s="1"/>
  <c r="AA29" i="14" s="1"/>
  <c r="AB29" i="14" s="1"/>
  <c r="AC29" i="14" s="1"/>
  <c r="AD29" i="14" s="1"/>
  <c r="AE29" i="14" s="1"/>
  <c r="L29" i="14"/>
  <c r="F7" i="100" s="1"/>
  <c r="C29" i="14"/>
  <c r="D25" i="11" s="1"/>
  <c r="B29" i="14"/>
  <c r="C25" i="11" s="1"/>
  <c r="A29" i="14"/>
  <c r="AF28" i="14"/>
  <c r="V28" i="14"/>
  <c r="W28" i="14" s="1"/>
  <c r="X28" i="14" s="1"/>
  <c r="Y28" i="14" s="1"/>
  <c r="Z28" i="14" s="1"/>
  <c r="AA28" i="14" s="1"/>
  <c r="AB28" i="14" s="1"/>
  <c r="AC28" i="14" s="1"/>
  <c r="AD28" i="14" s="1"/>
  <c r="AE28" i="14" s="1"/>
  <c r="L28" i="14"/>
  <c r="F6" i="100" s="1"/>
  <c r="G6" i="100" s="1"/>
  <c r="C28" i="14"/>
  <c r="D24" i="11" s="1"/>
  <c r="B28" i="14"/>
  <c r="C24" i="11" s="1"/>
  <c r="A28" i="14"/>
  <c r="E7" i="100"/>
  <c r="E6" i="100"/>
  <c r="F26" i="14"/>
  <c r="E26" i="14"/>
  <c r="C26" i="14"/>
  <c r="D23" i="11" s="1"/>
  <c r="B26" i="14"/>
  <c r="C23" i="11" s="1"/>
  <c r="F25" i="14"/>
  <c r="E25" i="14"/>
  <c r="C25" i="14"/>
  <c r="B25" i="14"/>
  <c r="AZ24" i="14"/>
  <c r="I24" i="14" s="1"/>
  <c r="AK24" i="14"/>
  <c r="AJ24" i="14"/>
  <c r="AI24" i="14"/>
  <c r="AH24" i="14"/>
  <c r="AG24" i="14"/>
  <c r="AF24" i="14"/>
  <c r="AF98" i="109" s="1"/>
  <c r="F24" i="14"/>
  <c r="F7" i="97" s="1"/>
  <c r="E24" i="14"/>
  <c r="E7" i="97" s="1"/>
  <c r="C24" i="14"/>
  <c r="B24" i="14"/>
  <c r="A24" i="14"/>
  <c r="AZ23" i="14"/>
  <c r="I23" i="14" s="1"/>
  <c r="AF23" i="14"/>
  <c r="F23" i="14"/>
  <c r="E23" i="14"/>
  <c r="C23" i="14"/>
  <c r="D20" i="11" s="1"/>
  <c r="B23" i="14"/>
  <c r="C20" i="11" s="1"/>
  <c r="A23" i="14"/>
  <c r="B20" i="11" s="1"/>
  <c r="AZ21" i="14"/>
  <c r="I21" i="14" s="1"/>
  <c r="AF21" i="14"/>
  <c r="K21" i="14"/>
  <c r="F21" i="14"/>
  <c r="E21" i="14"/>
  <c r="B21" i="14"/>
  <c r="C19" i="11" s="1"/>
  <c r="AZ20" i="14"/>
  <c r="I20" i="14" s="1"/>
  <c r="AF20" i="14"/>
  <c r="K20" i="14"/>
  <c r="F3" i="102" s="1"/>
  <c r="F20" i="14"/>
  <c r="E20" i="14"/>
  <c r="B20" i="14"/>
  <c r="A20" i="14"/>
  <c r="B18" i="11" s="1"/>
  <c r="AZ19" i="14"/>
  <c r="I19" i="14" s="1"/>
  <c r="AF19" i="14"/>
  <c r="K19" i="14"/>
  <c r="F19" i="14"/>
  <c r="E19" i="14"/>
  <c r="B19" i="14"/>
  <c r="A19" i="14"/>
  <c r="B17" i="11" s="1"/>
  <c r="AZ18" i="14"/>
  <c r="I18" i="14" s="1"/>
  <c r="AF18" i="14"/>
  <c r="K18" i="14"/>
  <c r="F5" i="102" s="1"/>
  <c r="F18" i="14"/>
  <c r="E18" i="14"/>
  <c r="B18" i="14"/>
  <c r="A18" i="14"/>
  <c r="B16" i="11" s="1"/>
  <c r="AZ16" i="14"/>
  <c r="I16" i="14" s="1"/>
  <c r="AF16" i="14"/>
  <c r="K16" i="14"/>
  <c r="F16" i="14"/>
  <c r="C16" i="14"/>
  <c r="D15" i="11" s="1"/>
  <c r="B16" i="14"/>
  <c r="C15" i="11" s="1"/>
  <c r="AZ15" i="14"/>
  <c r="I15" i="14" s="1"/>
  <c r="AF15" i="14"/>
  <c r="K15" i="14"/>
  <c r="F15" i="14"/>
  <c r="C15" i="14"/>
  <c r="D14" i="11" s="1"/>
  <c r="B15" i="14"/>
  <c r="C14" i="11" s="1"/>
  <c r="AK13" i="14"/>
  <c r="AJ13" i="14"/>
  <c r="AI13" i="14"/>
  <c r="AH13" i="14"/>
  <c r="AG13" i="14"/>
  <c r="AF13" i="14"/>
  <c r="K13" i="14"/>
  <c r="I13" i="14"/>
  <c r="B13" i="14"/>
  <c r="A13" i="14"/>
  <c r="B13" i="11" s="1"/>
  <c r="AZ12" i="14"/>
  <c r="I12" i="14" s="1"/>
  <c r="AF12" i="14"/>
  <c r="V12" i="14"/>
  <c r="W12" i="14" s="1"/>
  <c r="X12" i="14" s="1"/>
  <c r="Y12" i="14" s="1"/>
  <c r="Z12" i="14" s="1"/>
  <c r="AA12" i="14" s="1"/>
  <c r="AB12" i="14" s="1"/>
  <c r="AC12" i="14" s="1"/>
  <c r="AD12" i="14" s="1"/>
  <c r="AE12" i="14" s="1"/>
  <c r="K12" i="14"/>
  <c r="C12" i="14"/>
  <c r="B12" i="14"/>
  <c r="AZ11" i="14"/>
  <c r="I11" i="14" s="1"/>
  <c r="AK11" i="14"/>
  <c r="AJ11" i="14"/>
  <c r="AI11" i="14"/>
  <c r="AH11" i="14"/>
  <c r="AG11" i="14"/>
  <c r="AF11" i="14"/>
  <c r="K11" i="14"/>
  <c r="C11" i="14"/>
  <c r="B11" i="14"/>
  <c r="C11" i="11" s="1"/>
  <c r="A11" i="14"/>
  <c r="B11" i="11" s="1"/>
  <c r="B18" i="80"/>
  <c r="AF9" i="14"/>
  <c r="I9" i="14"/>
  <c r="C9" i="14"/>
  <c r="B9" i="14"/>
  <c r="AZ8" i="14"/>
  <c r="I8" i="14" s="1"/>
  <c r="AF8" i="14"/>
  <c r="K8" i="14"/>
  <c r="E8" i="14"/>
  <c r="B8" i="14"/>
  <c r="A8" i="14"/>
  <c r="D79" i="42"/>
  <c r="C79" i="42"/>
  <c r="B79" i="42"/>
  <c r="A79" i="42"/>
  <c r="O78" i="42"/>
  <c r="N78" i="42"/>
  <c r="M78" i="42"/>
  <c r="L78" i="42"/>
  <c r="K78" i="42"/>
  <c r="J78" i="42"/>
  <c r="I78" i="42"/>
  <c r="H78" i="42"/>
  <c r="G78" i="42"/>
  <c r="F78" i="42"/>
  <c r="E78" i="42"/>
  <c r="C78" i="42"/>
  <c r="B78" i="42"/>
  <c r="A78" i="42"/>
  <c r="C77" i="42"/>
  <c r="B77" i="42"/>
  <c r="A77" i="42"/>
  <c r="C76" i="42"/>
  <c r="B76" i="42"/>
  <c r="A76" i="42"/>
  <c r="O75" i="42"/>
  <c r="N75" i="42"/>
  <c r="M75" i="42"/>
  <c r="L75" i="42"/>
  <c r="K75" i="42"/>
  <c r="J75" i="42"/>
  <c r="I75" i="42"/>
  <c r="H75" i="42"/>
  <c r="G75" i="42"/>
  <c r="F75" i="42"/>
  <c r="E75" i="42"/>
  <c r="C75" i="42"/>
  <c r="B75" i="42"/>
  <c r="A75" i="42"/>
  <c r="O74" i="42"/>
  <c r="N74" i="42"/>
  <c r="M74" i="42"/>
  <c r="L74" i="42"/>
  <c r="K74" i="42"/>
  <c r="J74" i="42"/>
  <c r="I74" i="42"/>
  <c r="H74" i="42"/>
  <c r="G74" i="42"/>
  <c r="F74" i="42"/>
  <c r="E74" i="42"/>
  <c r="C74" i="42"/>
  <c r="B74" i="42"/>
  <c r="A74" i="42"/>
  <c r="O73" i="42"/>
  <c r="N73" i="42"/>
  <c r="M73" i="42"/>
  <c r="L73" i="42"/>
  <c r="K73" i="42"/>
  <c r="J73" i="42"/>
  <c r="I73" i="42"/>
  <c r="H73" i="42"/>
  <c r="G73" i="42"/>
  <c r="F73" i="42"/>
  <c r="E73" i="42"/>
  <c r="C73" i="42"/>
  <c r="B73" i="42"/>
  <c r="A73" i="42"/>
  <c r="C72" i="42"/>
  <c r="B72" i="42"/>
  <c r="O71" i="42"/>
  <c r="N71" i="42"/>
  <c r="M71" i="42"/>
  <c r="L71" i="42"/>
  <c r="K71" i="42"/>
  <c r="J71" i="42"/>
  <c r="I71" i="42"/>
  <c r="H71" i="42"/>
  <c r="G71" i="42"/>
  <c r="F71" i="42"/>
  <c r="E71" i="42"/>
  <c r="C71" i="42"/>
  <c r="B71" i="42"/>
  <c r="A71" i="42"/>
  <c r="C70" i="42"/>
  <c r="B70" i="42"/>
  <c r="D68" i="42"/>
  <c r="C68" i="42"/>
  <c r="B68" i="42"/>
  <c r="A68" i="42"/>
  <c r="O67" i="42"/>
  <c r="N67" i="42"/>
  <c r="M67" i="42"/>
  <c r="L67" i="42"/>
  <c r="K67" i="42"/>
  <c r="J67" i="42"/>
  <c r="I67" i="42"/>
  <c r="H67" i="42"/>
  <c r="G67" i="42"/>
  <c r="F67" i="42"/>
  <c r="E67" i="42"/>
  <c r="C67" i="42"/>
  <c r="B67" i="42"/>
  <c r="A67" i="42"/>
  <c r="C66" i="42"/>
  <c r="B66" i="42"/>
  <c r="A66" i="42"/>
  <c r="C65" i="42"/>
  <c r="B65" i="42"/>
  <c r="A65" i="42"/>
  <c r="O64" i="42"/>
  <c r="N64" i="42"/>
  <c r="M64" i="42"/>
  <c r="L64" i="42"/>
  <c r="K64" i="42"/>
  <c r="J64" i="42"/>
  <c r="I64" i="42"/>
  <c r="H64" i="42"/>
  <c r="G64" i="42"/>
  <c r="F64" i="42"/>
  <c r="E64" i="42"/>
  <c r="C64" i="42"/>
  <c r="B64" i="42"/>
  <c r="A64" i="42"/>
  <c r="O63" i="42"/>
  <c r="N63" i="42"/>
  <c r="M63" i="42"/>
  <c r="L63" i="42"/>
  <c r="K63" i="42"/>
  <c r="J63" i="42"/>
  <c r="I63" i="42"/>
  <c r="H63" i="42"/>
  <c r="G63" i="42"/>
  <c r="F63" i="42"/>
  <c r="E63" i="42"/>
  <c r="C63" i="42"/>
  <c r="B63" i="42"/>
  <c r="A63" i="42"/>
  <c r="O62" i="42"/>
  <c r="N62" i="42"/>
  <c r="M62" i="42"/>
  <c r="L62" i="42"/>
  <c r="K62" i="42"/>
  <c r="J62" i="42"/>
  <c r="I62" i="42"/>
  <c r="H62" i="42"/>
  <c r="G62" i="42"/>
  <c r="F62" i="42"/>
  <c r="E62" i="42"/>
  <c r="C62" i="42"/>
  <c r="B62" i="42"/>
  <c r="A62" i="42"/>
  <c r="C61" i="42"/>
  <c r="B61" i="42"/>
  <c r="O60" i="42"/>
  <c r="N60" i="42"/>
  <c r="M60" i="42"/>
  <c r="L60" i="42"/>
  <c r="K60" i="42"/>
  <c r="J60" i="42"/>
  <c r="I60" i="42"/>
  <c r="H60" i="42"/>
  <c r="G60" i="42"/>
  <c r="F60" i="42"/>
  <c r="E60" i="42"/>
  <c r="C60" i="42"/>
  <c r="B60" i="42"/>
  <c r="A60" i="42"/>
  <c r="O59" i="42"/>
  <c r="N59" i="42"/>
  <c r="M59" i="42"/>
  <c r="L59" i="42"/>
  <c r="K59" i="42"/>
  <c r="J59" i="42"/>
  <c r="I59" i="42"/>
  <c r="H59" i="42"/>
  <c r="G59" i="42"/>
  <c r="F59" i="42"/>
  <c r="E59" i="42"/>
  <c r="C59" i="42"/>
  <c r="B59" i="42"/>
  <c r="D57" i="42"/>
  <c r="C57" i="42"/>
  <c r="B57" i="42"/>
  <c r="A57" i="42"/>
  <c r="O56" i="42"/>
  <c r="N56" i="42"/>
  <c r="M56" i="42"/>
  <c r="L56" i="42"/>
  <c r="K56" i="42"/>
  <c r="J56" i="42"/>
  <c r="I56" i="42"/>
  <c r="H56" i="42"/>
  <c r="G56" i="42"/>
  <c r="F56" i="42"/>
  <c r="E56" i="42"/>
  <c r="C56" i="42"/>
  <c r="B56" i="42"/>
  <c r="A56" i="42"/>
  <c r="O55" i="42"/>
  <c r="N55" i="42"/>
  <c r="M55" i="42"/>
  <c r="L55" i="42"/>
  <c r="K55" i="42"/>
  <c r="J55" i="42"/>
  <c r="I55" i="42"/>
  <c r="H55" i="42"/>
  <c r="G55" i="42"/>
  <c r="F55" i="42"/>
  <c r="E55" i="42"/>
  <c r="C55" i="42"/>
  <c r="B55" i="42"/>
  <c r="A55" i="42"/>
  <c r="C54" i="42"/>
  <c r="B54" i="42"/>
  <c r="A54" i="42"/>
  <c r="O53" i="42"/>
  <c r="N53" i="42"/>
  <c r="M53" i="42"/>
  <c r="L53" i="42"/>
  <c r="K53" i="42"/>
  <c r="J53" i="42"/>
  <c r="I53" i="42"/>
  <c r="H53" i="42"/>
  <c r="G53" i="42"/>
  <c r="F53" i="42"/>
  <c r="E53" i="42"/>
  <c r="C53" i="42"/>
  <c r="B53" i="42"/>
  <c r="A53" i="42"/>
  <c r="O52" i="42"/>
  <c r="N52" i="42"/>
  <c r="M52" i="42"/>
  <c r="L52" i="42"/>
  <c r="K52" i="42"/>
  <c r="J52" i="42"/>
  <c r="I52" i="42"/>
  <c r="H52" i="42"/>
  <c r="G52" i="42"/>
  <c r="F52" i="42"/>
  <c r="E52" i="42"/>
  <c r="C52" i="42"/>
  <c r="B52" i="42"/>
  <c r="A52" i="42"/>
  <c r="O51" i="42"/>
  <c r="N51" i="42"/>
  <c r="M51" i="42"/>
  <c r="L51" i="42"/>
  <c r="K51" i="42"/>
  <c r="J51" i="42"/>
  <c r="I51" i="42"/>
  <c r="H51" i="42"/>
  <c r="G51" i="42"/>
  <c r="F51" i="42"/>
  <c r="E51" i="42"/>
  <c r="C51" i="42"/>
  <c r="B51" i="42"/>
  <c r="A51" i="42"/>
  <c r="C50" i="42"/>
  <c r="B50" i="42"/>
  <c r="O49" i="42"/>
  <c r="N49" i="42"/>
  <c r="M49" i="42"/>
  <c r="L49" i="42"/>
  <c r="K49" i="42"/>
  <c r="J49" i="42"/>
  <c r="I49" i="42"/>
  <c r="H49" i="42"/>
  <c r="G49" i="42"/>
  <c r="F49" i="42"/>
  <c r="E49" i="42"/>
  <c r="C49" i="42"/>
  <c r="B49" i="42"/>
  <c r="A49" i="42"/>
  <c r="O48" i="42"/>
  <c r="N48" i="42"/>
  <c r="M48" i="42"/>
  <c r="L48" i="42"/>
  <c r="K48" i="42"/>
  <c r="J48" i="42"/>
  <c r="I48" i="42"/>
  <c r="H48" i="42"/>
  <c r="G48" i="42"/>
  <c r="F48" i="42"/>
  <c r="E48" i="42"/>
  <c r="C48" i="42"/>
  <c r="B48" i="42"/>
  <c r="D46" i="42"/>
  <c r="C46" i="42"/>
  <c r="B46" i="42"/>
  <c r="A46" i="42"/>
  <c r="O45" i="42"/>
  <c r="N45" i="42"/>
  <c r="M45" i="42"/>
  <c r="L45" i="42"/>
  <c r="K45" i="42"/>
  <c r="J45" i="42"/>
  <c r="I45" i="42"/>
  <c r="H45" i="42"/>
  <c r="G45" i="42"/>
  <c r="F45" i="42"/>
  <c r="E45" i="42"/>
  <c r="C45" i="42"/>
  <c r="B45" i="42"/>
  <c r="A45" i="42"/>
  <c r="C44" i="42"/>
  <c r="B44" i="42"/>
  <c r="A44" i="42"/>
  <c r="C43" i="42"/>
  <c r="B43" i="42"/>
  <c r="A43" i="42"/>
  <c r="O42" i="42"/>
  <c r="N42" i="42"/>
  <c r="M42" i="42"/>
  <c r="L42" i="42"/>
  <c r="K42" i="42"/>
  <c r="J42" i="42"/>
  <c r="I42" i="42"/>
  <c r="H42" i="42"/>
  <c r="G42" i="42"/>
  <c r="F42" i="42"/>
  <c r="E42" i="42"/>
  <c r="C42" i="42"/>
  <c r="B42" i="42"/>
  <c r="A42" i="42"/>
  <c r="O41" i="42"/>
  <c r="N41" i="42"/>
  <c r="M41" i="42"/>
  <c r="L41" i="42"/>
  <c r="K41" i="42"/>
  <c r="J41" i="42"/>
  <c r="I41" i="42"/>
  <c r="H41" i="42"/>
  <c r="G41" i="42"/>
  <c r="F41" i="42"/>
  <c r="E41" i="42"/>
  <c r="C41" i="42"/>
  <c r="B41" i="42"/>
  <c r="A41" i="42"/>
  <c r="O40" i="42"/>
  <c r="N40" i="42"/>
  <c r="M40" i="42"/>
  <c r="L40" i="42"/>
  <c r="K40" i="42"/>
  <c r="J40" i="42"/>
  <c r="I40" i="42"/>
  <c r="H40" i="42"/>
  <c r="G40" i="42"/>
  <c r="F40" i="42"/>
  <c r="E40" i="42"/>
  <c r="C40" i="42"/>
  <c r="B40" i="42"/>
  <c r="A40" i="42"/>
  <c r="C39" i="42"/>
  <c r="B39" i="42"/>
  <c r="O38" i="42"/>
  <c r="N38" i="42"/>
  <c r="M38" i="42"/>
  <c r="L38" i="42"/>
  <c r="K38" i="42"/>
  <c r="J38" i="42"/>
  <c r="I38" i="42"/>
  <c r="H38" i="42"/>
  <c r="G38" i="42"/>
  <c r="F38" i="42"/>
  <c r="E38" i="42"/>
  <c r="C38" i="42"/>
  <c r="B38" i="42"/>
  <c r="A38" i="42"/>
  <c r="O37" i="42"/>
  <c r="N37" i="42"/>
  <c r="M37" i="42"/>
  <c r="L37" i="42"/>
  <c r="K37" i="42"/>
  <c r="J37" i="42"/>
  <c r="I37" i="42"/>
  <c r="H37" i="42"/>
  <c r="G37" i="42"/>
  <c r="F37" i="42"/>
  <c r="E37" i="42"/>
  <c r="C37" i="42"/>
  <c r="B37" i="42"/>
  <c r="D35" i="42"/>
  <c r="C35" i="42"/>
  <c r="B35" i="42"/>
  <c r="A35" i="42"/>
  <c r="O34" i="42"/>
  <c r="N34" i="42"/>
  <c r="M34" i="42"/>
  <c r="L34" i="42"/>
  <c r="K34" i="42"/>
  <c r="J34" i="42"/>
  <c r="I34" i="42"/>
  <c r="H34" i="42"/>
  <c r="G34" i="42"/>
  <c r="F34" i="42"/>
  <c r="E34" i="42"/>
  <c r="C34" i="42"/>
  <c r="B34" i="42"/>
  <c r="A34" i="42"/>
  <c r="C33" i="42"/>
  <c r="B33" i="42"/>
  <c r="A33" i="42"/>
  <c r="C32" i="42"/>
  <c r="B32" i="42"/>
  <c r="A32" i="42"/>
  <c r="O31" i="42"/>
  <c r="N31" i="42"/>
  <c r="M31" i="42"/>
  <c r="L31" i="42"/>
  <c r="K31" i="42"/>
  <c r="J31" i="42"/>
  <c r="I31" i="42"/>
  <c r="H31" i="42"/>
  <c r="G31" i="42"/>
  <c r="F31" i="42"/>
  <c r="E31" i="42"/>
  <c r="C31" i="42"/>
  <c r="B31" i="42"/>
  <c r="A31" i="42"/>
  <c r="O30" i="42"/>
  <c r="N30" i="42"/>
  <c r="M30" i="42"/>
  <c r="L30" i="42"/>
  <c r="K30" i="42"/>
  <c r="J30" i="42"/>
  <c r="I30" i="42"/>
  <c r="H30" i="42"/>
  <c r="G30" i="42"/>
  <c r="F30" i="42"/>
  <c r="E30" i="42"/>
  <c r="C30" i="42"/>
  <c r="B30" i="42"/>
  <c r="A30" i="42"/>
  <c r="O29" i="42"/>
  <c r="N29" i="42"/>
  <c r="M29" i="42"/>
  <c r="L29" i="42"/>
  <c r="K29" i="42"/>
  <c r="J29" i="42"/>
  <c r="I29" i="42"/>
  <c r="H29" i="42"/>
  <c r="G29" i="42"/>
  <c r="F29" i="42"/>
  <c r="E29" i="42"/>
  <c r="C29" i="42"/>
  <c r="B29" i="42"/>
  <c r="A29" i="42"/>
  <c r="C28" i="42"/>
  <c r="B28" i="42"/>
  <c r="O27" i="42"/>
  <c r="N27" i="42"/>
  <c r="M27" i="42"/>
  <c r="L27" i="42"/>
  <c r="K27" i="42"/>
  <c r="J27" i="42"/>
  <c r="I27" i="42"/>
  <c r="H27" i="42"/>
  <c r="G27" i="42"/>
  <c r="F27" i="42"/>
  <c r="E27" i="42"/>
  <c r="C27" i="42"/>
  <c r="B27" i="42"/>
  <c r="A27" i="42"/>
  <c r="O26" i="42"/>
  <c r="N26" i="42"/>
  <c r="M26" i="42"/>
  <c r="L26" i="42"/>
  <c r="K26" i="42"/>
  <c r="J26" i="42"/>
  <c r="I26" i="42"/>
  <c r="H26" i="42"/>
  <c r="G26" i="42"/>
  <c r="F26" i="42"/>
  <c r="E26" i="42"/>
  <c r="C26" i="42"/>
  <c r="B26" i="42"/>
  <c r="O24" i="42"/>
  <c r="N24" i="42"/>
  <c r="M24" i="42"/>
  <c r="L24" i="42"/>
  <c r="K24" i="42"/>
  <c r="J24" i="42"/>
  <c r="I24" i="42"/>
  <c r="H24" i="42"/>
  <c r="G24" i="42"/>
  <c r="F24" i="42"/>
  <c r="E24" i="42"/>
  <c r="C24" i="42"/>
  <c r="C14" i="42" s="1"/>
  <c r="O22" i="42"/>
  <c r="N22" i="42"/>
  <c r="M22" i="42"/>
  <c r="L22" i="42"/>
  <c r="K22" i="42"/>
  <c r="J22" i="42"/>
  <c r="I22" i="42"/>
  <c r="H22" i="42"/>
  <c r="G22" i="42"/>
  <c r="F22" i="42"/>
  <c r="E22" i="42"/>
  <c r="O21" i="42"/>
  <c r="N21" i="42"/>
  <c r="M21" i="42"/>
  <c r="L21" i="42"/>
  <c r="K21" i="42"/>
  <c r="J21" i="42"/>
  <c r="I21" i="42"/>
  <c r="H21" i="42"/>
  <c r="G21" i="42"/>
  <c r="F21" i="42"/>
  <c r="E21" i="42"/>
  <c r="O20" i="42"/>
  <c r="N20" i="42"/>
  <c r="M20" i="42"/>
  <c r="L20" i="42"/>
  <c r="K20" i="42"/>
  <c r="J20" i="42"/>
  <c r="I20" i="42"/>
  <c r="H20" i="42"/>
  <c r="G20" i="42"/>
  <c r="F20" i="42"/>
  <c r="E20" i="42"/>
  <c r="C20" i="42"/>
  <c r="C10" i="42" s="1"/>
  <c r="B20" i="42"/>
  <c r="B10" i="42" s="1"/>
  <c r="O19" i="42"/>
  <c r="N19" i="42"/>
  <c r="M19" i="42"/>
  <c r="L19" i="42"/>
  <c r="K19" i="42"/>
  <c r="J19" i="42"/>
  <c r="I19" i="42"/>
  <c r="H19" i="42"/>
  <c r="G19" i="42"/>
  <c r="F19" i="42"/>
  <c r="E19" i="42"/>
  <c r="C19" i="42"/>
  <c r="C9" i="42" s="1"/>
  <c r="B19" i="42"/>
  <c r="B9" i="42" s="1"/>
  <c r="O18" i="42"/>
  <c r="N18" i="42"/>
  <c r="M18" i="42"/>
  <c r="L18" i="42"/>
  <c r="K18" i="42"/>
  <c r="J18" i="42"/>
  <c r="I18" i="42"/>
  <c r="H18" i="42"/>
  <c r="G18" i="42"/>
  <c r="F18" i="42"/>
  <c r="E18" i="42"/>
  <c r="O17" i="42"/>
  <c r="N17" i="42"/>
  <c r="M17" i="42"/>
  <c r="L17" i="42"/>
  <c r="K17" i="42"/>
  <c r="J17" i="42"/>
  <c r="I17" i="42"/>
  <c r="H17" i="42"/>
  <c r="G17" i="42"/>
  <c r="F17" i="42"/>
  <c r="E17" i="42"/>
  <c r="O16" i="42"/>
  <c r="N16" i="42"/>
  <c r="M16" i="42"/>
  <c r="L16" i="42"/>
  <c r="K16" i="42"/>
  <c r="J16" i="42"/>
  <c r="I16" i="42"/>
  <c r="H16" i="42"/>
  <c r="G16" i="42"/>
  <c r="F16" i="42"/>
  <c r="E16" i="42"/>
  <c r="D14" i="42"/>
  <c r="B14" i="42"/>
  <c r="D13" i="42"/>
  <c r="C13" i="42"/>
  <c r="B13" i="42"/>
  <c r="D12" i="42"/>
  <c r="C12" i="42"/>
  <c r="B12" i="42"/>
  <c r="D11" i="42"/>
  <c r="C11" i="42"/>
  <c r="B11" i="42"/>
  <c r="D10" i="42"/>
  <c r="D9" i="42"/>
  <c r="D7" i="42"/>
  <c r="C7" i="42"/>
  <c r="B7" i="42"/>
  <c r="D6" i="42"/>
  <c r="C6" i="42"/>
  <c r="B6" i="42"/>
  <c r="D135" i="11"/>
  <c r="D134" i="11"/>
  <c r="D133" i="11"/>
  <c r="D132" i="11"/>
  <c r="C85" i="109" s="1"/>
  <c r="D131" i="11"/>
  <c r="D130" i="11"/>
  <c r="D129" i="11"/>
  <c r="D128" i="11"/>
  <c r="D125" i="11"/>
  <c r="D124" i="11"/>
  <c r="C77" i="109" s="1"/>
  <c r="D123" i="11"/>
  <c r="D122" i="11"/>
  <c r="D121" i="11"/>
  <c r="D120" i="11"/>
  <c r="C73" i="109" s="1"/>
  <c r="D119" i="11"/>
  <c r="D118" i="11"/>
  <c r="D117" i="11"/>
  <c r="D116" i="11"/>
  <c r="D115" i="11"/>
  <c r="D114" i="11"/>
  <c r="D113" i="11"/>
  <c r="D112" i="11"/>
  <c r="D111" i="11"/>
  <c r="D110" i="11"/>
  <c r="D109" i="11"/>
  <c r="D108" i="11"/>
  <c r="C64" i="109" s="1"/>
  <c r="D107" i="11"/>
  <c r="C63" i="109" s="1"/>
  <c r="D106" i="11"/>
  <c r="D105" i="11"/>
  <c r="D104" i="11"/>
  <c r="C60" i="109" s="1"/>
  <c r="D103" i="11"/>
  <c r="C59" i="109" s="1"/>
  <c r="D102" i="11"/>
  <c r="C58" i="109" s="1"/>
  <c r="D101" i="11"/>
  <c r="D100" i="11"/>
  <c r="D99" i="11"/>
  <c r="D98" i="11"/>
  <c r="C54" i="109" s="1"/>
  <c r="D97" i="11"/>
  <c r="D96" i="11"/>
  <c r="D95" i="11"/>
  <c r="C51" i="109" s="1"/>
  <c r="D94" i="11"/>
  <c r="D93" i="11"/>
  <c r="C49" i="109" s="1"/>
  <c r="D92" i="11"/>
  <c r="D91" i="11"/>
  <c r="C47" i="109" s="1"/>
  <c r="D90" i="11"/>
  <c r="D89" i="11"/>
  <c r="C45" i="109" s="1"/>
  <c r="D88" i="11"/>
  <c r="D87" i="11"/>
  <c r="C43" i="109" s="1"/>
  <c r="D86" i="11"/>
  <c r="D85" i="11"/>
  <c r="C41" i="109" s="1"/>
  <c r="D84" i="11"/>
  <c r="D83" i="11"/>
  <c r="C39" i="109" s="1"/>
  <c r="D82" i="11"/>
  <c r="D81" i="11"/>
  <c r="D59" i="11"/>
  <c r="D55" i="11"/>
  <c r="D54" i="11"/>
  <c r="D53" i="11"/>
  <c r="D52" i="11"/>
  <c r="D51" i="11"/>
  <c r="C10" i="109" s="1"/>
  <c r="D50" i="11"/>
  <c r="C9" i="109" s="1"/>
  <c r="D49" i="11"/>
  <c r="C8" i="109" s="1"/>
  <c r="D47" i="11"/>
  <c r="C8" i="14" s="1"/>
  <c r="H131" i="82" l="1"/>
  <c r="K24" i="14"/>
  <c r="K98" i="109" s="1"/>
  <c r="J10" i="42"/>
  <c r="O7" i="42"/>
  <c r="G11" i="42"/>
  <c r="K10" i="42"/>
  <c r="I7" i="42"/>
  <c r="K9" i="42"/>
  <c r="L9" i="42"/>
  <c r="M14" i="42"/>
  <c r="M9" i="42"/>
  <c r="L14" i="42"/>
  <c r="E7" i="42"/>
  <c r="N7" i="42"/>
  <c r="H7" i="42"/>
  <c r="H9" i="42"/>
  <c r="G10" i="42"/>
  <c r="H11" i="42"/>
  <c r="F7" i="42"/>
  <c r="N9" i="42"/>
  <c r="L10" i="42"/>
  <c r="N14" i="42"/>
  <c r="N11" i="42"/>
  <c r="I9" i="42"/>
  <c r="H10" i="42"/>
  <c r="I11" i="42"/>
  <c r="J14" i="42"/>
  <c r="O9" i="42"/>
  <c r="E9" i="42"/>
  <c r="K7" i="42"/>
  <c r="G9" i="42"/>
  <c r="O11" i="42"/>
  <c r="O10" i="42"/>
  <c r="M11" i="42"/>
  <c r="M7" i="42"/>
  <c r="E10" i="42"/>
  <c r="F11" i="42"/>
  <c r="G14" i="42"/>
  <c r="J9" i="42"/>
  <c r="I10" i="42"/>
  <c r="K14" i="42"/>
  <c r="L7" i="42"/>
  <c r="F10" i="42"/>
  <c r="H14" i="42"/>
  <c r="J7" i="42"/>
  <c r="E14" i="42"/>
  <c r="F9" i="42"/>
  <c r="G7" i="42"/>
  <c r="K11" i="42"/>
  <c r="J11" i="42"/>
  <c r="I14" i="42"/>
  <c r="F14" i="42"/>
  <c r="M10" i="42"/>
  <c r="O14" i="42"/>
  <c r="L11" i="42"/>
  <c r="N10" i="42"/>
  <c r="E11" i="42"/>
  <c r="D11" i="11"/>
  <c r="A7" i="97"/>
  <c r="B21" i="11"/>
  <c r="B7" i="97"/>
  <c r="C21" i="11"/>
  <c r="B57" i="93"/>
  <c r="D22" i="11"/>
  <c r="C7" i="97"/>
  <c r="D21" i="11"/>
  <c r="D4" i="102"/>
  <c r="A39" i="102" s="1"/>
  <c r="C17" i="11"/>
  <c r="B24" i="11"/>
  <c r="D27" i="11"/>
  <c r="C12" i="11"/>
  <c r="D12" i="11"/>
  <c r="D3" i="102"/>
  <c r="A32" i="102" s="1"/>
  <c r="C18" i="11"/>
  <c r="C10" i="11"/>
  <c r="B25" i="11"/>
  <c r="A57" i="93"/>
  <c r="C22" i="11"/>
  <c r="D10" i="11"/>
  <c r="D5" i="102"/>
  <c r="A46" i="102" s="1"/>
  <c r="C16" i="11"/>
  <c r="C13" i="11"/>
  <c r="C87" i="109"/>
  <c r="C88" i="109"/>
  <c r="C48" i="109"/>
  <c r="C50" i="109"/>
  <c r="C67" i="109"/>
  <c r="C68" i="109"/>
  <c r="C11" i="109"/>
  <c r="C52" i="109"/>
  <c r="C69" i="109"/>
  <c r="B9" i="11"/>
  <c r="C12" i="109"/>
  <c r="C53" i="109"/>
  <c r="C70" i="109"/>
  <c r="C9" i="11"/>
  <c r="D9" i="11"/>
  <c r="C13" i="109"/>
  <c r="C71" i="109"/>
  <c r="C56" i="109"/>
  <c r="C57" i="109"/>
  <c r="C74" i="109"/>
  <c r="C72" i="109"/>
  <c r="C37" i="109"/>
  <c r="C38" i="109"/>
  <c r="C75" i="109"/>
  <c r="C55" i="109"/>
  <c r="C76" i="109"/>
  <c r="C14" i="109"/>
  <c r="C61" i="109"/>
  <c r="C78" i="109"/>
  <c r="C40" i="109"/>
  <c r="C42" i="109"/>
  <c r="C62" i="109"/>
  <c r="C81" i="109"/>
  <c r="C82" i="109"/>
  <c r="C83" i="109"/>
  <c r="C65" i="109"/>
  <c r="C84" i="109"/>
  <c r="C44" i="109"/>
  <c r="C46" i="109"/>
  <c r="C86" i="109"/>
  <c r="AF32" i="14"/>
  <c r="AF147" i="109"/>
  <c r="AF148" i="109" s="1"/>
  <c r="AB148" i="109"/>
  <c r="AC147" i="109"/>
  <c r="AD151" i="109"/>
  <c r="AC152" i="109"/>
  <c r="AB100" i="109"/>
  <c r="AC99" i="109"/>
  <c r="AZ138" i="109"/>
  <c r="I137" i="109"/>
  <c r="AE112" i="109"/>
  <c r="AE113" i="109" s="1"/>
  <c r="AD113" i="109"/>
  <c r="F4" i="102"/>
  <c r="K71" i="109"/>
  <c r="C21" i="14"/>
  <c r="D19" i="11" s="1"/>
  <c r="C19" i="14"/>
  <c r="C20" i="14"/>
  <c r="C18" i="14"/>
  <c r="A42" i="93"/>
  <c r="D71" i="11"/>
  <c r="L165" i="76"/>
  <c r="D73" i="11"/>
  <c r="D58" i="11"/>
  <c r="AK25" i="14"/>
  <c r="D61" i="11"/>
  <c r="Q29" i="14"/>
  <c r="R29" i="14" s="1"/>
  <c r="S29" i="14" s="1"/>
  <c r="T29" i="14" s="1"/>
  <c r="U29" i="14" s="1"/>
  <c r="D64" i="11"/>
  <c r="D76" i="11"/>
  <c r="H3" i="102"/>
  <c r="G3" i="102"/>
  <c r="D68" i="11"/>
  <c r="D75" i="11"/>
  <c r="M28" i="14"/>
  <c r="G7" i="97"/>
  <c r="H5" i="97" s="1"/>
  <c r="G9" i="100"/>
  <c r="B18" i="100" s="1"/>
  <c r="N28" i="14"/>
  <c r="O28" i="14" s="1"/>
  <c r="P28" i="14" s="1"/>
  <c r="Q28" i="14" s="1"/>
  <c r="R28" i="14" s="1"/>
  <c r="S28" i="14" s="1"/>
  <c r="T28" i="14" s="1"/>
  <c r="U28" i="14" s="1"/>
  <c r="D74" i="11"/>
  <c r="D66" i="11"/>
  <c r="C45" i="93"/>
  <c r="F42" i="93"/>
  <c r="D57" i="11"/>
  <c r="A18" i="80"/>
  <c r="D69" i="11"/>
  <c r="H5" i="102"/>
  <c r="G5" i="102"/>
  <c r="D63" i="11"/>
  <c r="B42" i="93"/>
  <c r="K50" i="101"/>
  <c r="C50" i="101"/>
  <c r="H4" i="102"/>
  <c r="G4" i="102"/>
  <c r="A17" i="80"/>
  <c r="B17" i="80"/>
  <c r="A7" i="100"/>
  <c r="A36" i="100" s="1"/>
  <c r="B7" i="100"/>
  <c r="M29" i="14"/>
  <c r="A6" i="100"/>
  <c r="A28" i="100" s="1"/>
  <c r="B6" i="100"/>
  <c r="K44" i="101"/>
  <c r="C44" i="101"/>
  <c r="C65" i="93"/>
  <c r="C63" i="93"/>
  <c r="C61" i="93"/>
  <c r="C62" i="93"/>
  <c r="D60" i="93"/>
  <c r="K101" i="109" l="1"/>
  <c r="H163" i="82"/>
  <c r="I162" i="82" s="1"/>
  <c r="H162" i="82" s="1"/>
  <c r="K23" i="14" s="1"/>
  <c r="H157" i="82"/>
  <c r="O116" i="109" s="1"/>
  <c r="H156" i="82"/>
  <c r="M116" i="109" s="1"/>
  <c r="H155" i="82"/>
  <c r="H133" i="82"/>
  <c r="H165" i="82"/>
  <c r="K97" i="109" s="1"/>
  <c r="H154" i="82"/>
  <c r="H137" i="82"/>
  <c r="H153" i="82"/>
  <c r="H136" i="82"/>
  <c r="K130" i="82"/>
  <c r="H161" i="82"/>
  <c r="R118" i="109" s="1"/>
  <c r="S118" i="109" s="1"/>
  <c r="T118" i="109" s="1"/>
  <c r="U118" i="109" s="1"/>
  <c r="H164" i="82"/>
  <c r="K96" i="109" s="1"/>
  <c r="H160" i="82"/>
  <c r="O118" i="109" s="1"/>
  <c r="P118" i="109" s="1"/>
  <c r="Q118" i="109" s="1"/>
  <c r="H152" i="82"/>
  <c r="H135" i="82"/>
  <c r="H132" i="82"/>
  <c r="H134" i="82"/>
  <c r="H159" i="82"/>
  <c r="M118" i="109" s="1"/>
  <c r="N118" i="109" s="1"/>
  <c r="I166" i="82"/>
  <c r="H166" i="82" s="1"/>
  <c r="K99" i="109" s="1"/>
  <c r="K100" i="109" s="1"/>
  <c r="H151" i="82"/>
  <c r="H158" i="82"/>
  <c r="E3" i="102"/>
  <c r="D18" i="11"/>
  <c r="E5" i="102"/>
  <c r="D16" i="11"/>
  <c r="E4" i="102"/>
  <c r="D17" i="11"/>
  <c r="AD152" i="109"/>
  <c r="AE151" i="109"/>
  <c r="AE152" i="109" s="1"/>
  <c r="AD147" i="109"/>
  <c r="AC148" i="109"/>
  <c r="I138" i="109"/>
  <c r="AZ139" i="109"/>
  <c r="AC100" i="109"/>
  <c r="AD99" i="109"/>
  <c r="L166" i="76"/>
  <c r="O29" i="14"/>
  <c r="P29" i="14" s="1"/>
  <c r="C66" i="93"/>
  <c r="L45" i="93"/>
  <c r="K45" i="93"/>
  <c r="J45" i="93"/>
  <c r="I45" i="93"/>
  <c r="H45" i="93"/>
  <c r="G45" i="93"/>
  <c r="F45" i="93"/>
  <c r="E45" i="93"/>
  <c r="D45" i="93"/>
  <c r="C49" i="93"/>
  <c r="AK32" i="14" s="1"/>
  <c r="C47" i="93"/>
  <c r="AG32" i="14" s="1"/>
  <c r="C48" i="93"/>
  <c r="AI32" i="14" s="1"/>
  <c r="C46" i="93"/>
  <c r="AH32" i="14" s="1"/>
  <c r="C50" i="93"/>
  <c r="AJ32" i="14" s="1"/>
  <c r="G70" i="42"/>
  <c r="G6" i="42" s="1"/>
  <c r="B25" i="100"/>
  <c r="B23" i="100"/>
  <c r="B21" i="100"/>
  <c r="C18" i="100"/>
  <c r="B24" i="100"/>
  <c r="B22" i="100"/>
  <c r="B22" i="102"/>
  <c r="AG25" i="14"/>
  <c r="AH25" i="14"/>
  <c r="C22" i="102"/>
  <c r="AI25" i="14"/>
  <c r="E70" i="42"/>
  <c r="E6" i="42" s="1"/>
  <c r="D65" i="93"/>
  <c r="D63" i="93"/>
  <c r="D61" i="93"/>
  <c r="D62" i="93"/>
  <c r="E60" i="93"/>
  <c r="D64" i="93"/>
  <c r="AJ25" i="14"/>
  <c r="O104" i="109" l="1"/>
  <c r="P104" i="109" s="1"/>
  <c r="Q104" i="109" s="1"/>
  <c r="R104" i="109" s="1"/>
  <c r="S104" i="109" s="1"/>
  <c r="T104" i="109" s="1"/>
  <c r="U104" i="109" s="1"/>
  <c r="M131" i="82"/>
  <c r="O114" i="109"/>
  <c r="M133" i="82"/>
  <c r="O103" i="109"/>
  <c r="P103" i="109" s="1"/>
  <c r="Q103" i="109" s="1"/>
  <c r="M130" i="82"/>
  <c r="M102" i="109"/>
  <c r="N102" i="109" s="1"/>
  <c r="O102" i="109" s="1"/>
  <c r="P102" i="109" s="1"/>
  <c r="Q102" i="109" s="1"/>
  <c r="R102" i="109" s="1"/>
  <c r="S102" i="109" s="1"/>
  <c r="T102" i="109" s="1"/>
  <c r="U102" i="109" s="1"/>
  <c r="L130" i="82"/>
  <c r="R103" i="109"/>
  <c r="S103" i="109" s="1"/>
  <c r="T103" i="109" s="1"/>
  <c r="U103" i="109" s="1"/>
  <c r="N130" i="82"/>
  <c r="R114" i="109"/>
  <c r="N133" i="82"/>
  <c r="M112" i="109"/>
  <c r="L133" i="82"/>
  <c r="M117" i="109"/>
  <c r="N116" i="109"/>
  <c r="N117" i="109" s="1"/>
  <c r="P116" i="109"/>
  <c r="O117" i="109"/>
  <c r="M104" i="109"/>
  <c r="N104" i="109" s="1"/>
  <c r="L131" i="82"/>
  <c r="K111" i="109"/>
  <c r="K133" i="82"/>
  <c r="AE147" i="109"/>
  <c r="AE148" i="109" s="1"/>
  <c r="AD148" i="109"/>
  <c r="AE99" i="109"/>
  <c r="AE100" i="109" s="1"/>
  <c r="AD100" i="109"/>
  <c r="I139" i="109"/>
  <c r="AZ140" i="109"/>
  <c r="I140" i="109" s="1"/>
  <c r="F49" i="93"/>
  <c r="F47" i="93"/>
  <c r="F48" i="93"/>
  <c r="F46" i="93"/>
  <c r="F50" i="93"/>
  <c r="C29" i="102"/>
  <c r="C27" i="102"/>
  <c r="C25" i="102"/>
  <c r="D22" i="102"/>
  <c r="C28" i="102"/>
  <c r="C26" i="102"/>
  <c r="D49" i="93"/>
  <c r="D47" i="93"/>
  <c r="D48" i="93"/>
  <c r="D46" i="93"/>
  <c r="D50" i="93"/>
  <c r="G49" i="93"/>
  <c r="G47" i="93"/>
  <c r="G50" i="93"/>
  <c r="G46" i="93"/>
  <c r="G48" i="93"/>
  <c r="AJ29" i="14"/>
  <c r="C34" i="100"/>
  <c r="AJ28" i="14" s="1"/>
  <c r="E33" i="42"/>
  <c r="K49" i="93"/>
  <c r="K47" i="93"/>
  <c r="K50" i="93"/>
  <c r="K46" i="93"/>
  <c r="K48" i="93"/>
  <c r="L49" i="93"/>
  <c r="L47" i="93"/>
  <c r="L50" i="93"/>
  <c r="L46" i="93"/>
  <c r="L48" i="93"/>
  <c r="B29" i="102"/>
  <c r="B27" i="102"/>
  <c r="B25" i="102"/>
  <c r="B26" i="102"/>
  <c r="B28" i="102"/>
  <c r="AI29" i="14"/>
  <c r="AI28" i="14"/>
  <c r="I49" i="93"/>
  <c r="I47" i="93"/>
  <c r="I50" i="93"/>
  <c r="I46" i="93"/>
  <c r="I48" i="93"/>
  <c r="E49" i="93"/>
  <c r="E47" i="93"/>
  <c r="E48" i="93"/>
  <c r="E46" i="93"/>
  <c r="E50" i="93"/>
  <c r="C51" i="93"/>
  <c r="E65" i="93"/>
  <c r="E63" i="93"/>
  <c r="E61" i="93"/>
  <c r="E62" i="93"/>
  <c r="F60" i="93"/>
  <c r="E64" i="93"/>
  <c r="D66" i="93"/>
  <c r="AG28" i="14"/>
  <c r="AG29" i="14"/>
  <c r="J49" i="93"/>
  <c r="J47" i="93"/>
  <c r="J50" i="93"/>
  <c r="J46" i="93"/>
  <c r="J48" i="93"/>
  <c r="B26" i="100"/>
  <c r="H49" i="93"/>
  <c r="H47" i="93"/>
  <c r="H50" i="93"/>
  <c r="H46" i="93"/>
  <c r="H48" i="93"/>
  <c r="AK29" i="14"/>
  <c r="C33" i="100"/>
  <c r="AK28" i="14" s="1"/>
  <c r="D18" i="100"/>
  <c r="C24" i="100"/>
  <c r="C22" i="100"/>
  <c r="C25" i="100"/>
  <c r="C21" i="100"/>
  <c r="C23" i="100"/>
  <c r="G33" i="42"/>
  <c r="R115" i="109" l="1"/>
  <c r="S114" i="109"/>
  <c r="Q116" i="109"/>
  <c r="P117" i="109"/>
  <c r="P114" i="109"/>
  <c r="O115" i="109"/>
  <c r="N112" i="109"/>
  <c r="M113" i="109"/>
  <c r="B30" i="102"/>
  <c r="F51" i="93"/>
  <c r="J51" i="93"/>
  <c r="E51" i="93"/>
  <c r="G51" i="93"/>
  <c r="C26" i="100"/>
  <c r="I51" i="93"/>
  <c r="H51" i="93"/>
  <c r="F65" i="93"/>
  <c r="F63" i="93"/>
  <c r="F61" i="93"/>
  <c r="F62" i="93"/>
  <c r="G60" i="93"/>
  <c r="F64" i="93"/>
  <c r="G23" i="42"/>
  <c r="H70" i="42"/>
  <c r="H6" i="42" s="1"/>
  <c r="C48" i="102"/>
  <c r="C34" i="102"/>
  <c r="C41" i="102"/>
  <c r="C30" i="102"/>
  <c r="F32" i="42"/>
  <c r="E77" i="42"/>
  <c r="F43" i="42"/>
  <c r="C37" i="100"/>
  <c r="AH29" i="14"/>
  <c r="K51" i="93"/>
  <c r="G66" i="42"/>
  <c r="B43" i="102"/>
  <c r="AK19" i="14" s="1"/>
  <c r="B50" i="102"/>
  <c r="AK18" i="14" s="1"/>
  <c r="B36" i="102"/>
  <c r="AK20" i="14" s="1"/>
  <c r="D51" i="93"/>
  <c r="F33" i="42"/>
  <c r="G44" i="42"/>
  <c r="B48" i="102"/>
  <c r="AG18" i="14" s="1"/>
  <c r="B34" i="102"/>
  <c r="AG20" i="14" s="1"/>
  <c r="B41" i="102"/>
  <c r="AG19" i="14" s="1"/>
  <c r="C43" i="102"/>
  <c r="C50" i="102"/>
  <c r="C36" i="102"/>
  <c r="D40" i="100"/>
  <c r="D32" i="100"/>
  <c r="E44" i="42"/>
  <c r="E66" i="93"/>
  <c r="E66" i="42"/>
  <c r="B47" i="102"/>
  <c r="AH18" i="14" s="1"/>
  <c r="B33" i="102"/>
  <c r="B40" i="102"/>
  <c r="AH19" i="14" s="1"/>
  <c r="L51" i="93"/>
  <c r="D31" i="100"/>
  <c r="D39" i="100"/>
  <c r="D41" i="100"/>
  <c r="D33" i="100"/>
  <c r="F76" i="42"/>
  <c r="D42" i="100"/>
  <c r="D34" i="100"/>
  <c r="D38" i="100"/>
  <c r="D30" i="100"/>
  <c r="E18" i="100"/>
  <c r="D24" i="100"/>
  <c r="D22" i="100"/>
  <c r="D25" i="100"/>
  <c r="D21" i="100"/>
  <c r="D23" i="100"/>
  <c r="E23" i="42"/>
  <c r="B35" i="102"/>
  <c r="AI20" i="14" s="1"/>
  <c r="B49" i="102"/>
  <c r="AI18" i="14" s="1"/>
  <c r="B42" i="102"/>
  <c r="AI19" i="14" s="1"/>
  <c r="B44" i="102"/>
  <c r="AJ19" i="14" s="1"/>
  <c r="B51" i="102"/>
  <c r="AJ18" i="14" s="1"/>
  <c r="B37" i="102"/>
  <c r="AJ20" i="14" s="1"/>
  <c r="C29" i="100"/>
  <c r="AH28" i="14"/>
  <c r="G77" i="42"/>
  <c r="F65" i="42"/>
  <c r="D29" i="102"/>
  <c r="D27" i="102"/>
  <c r="D25" i="102"/>
  <c r="E22" i="102"/>
  <c r="D28" i="102"/>
  <c r="D26" i="102"/>
  <c r="C47" i="102"/>
  <c r="C33" i="102"/>
  <c r="C40" i="102"/>
  <c r="C35" i="102"/>
  <c r="C42" i="102"/>
  <c r="C49" i="102"/>
  <c r="C44" i="102"/>
  <c r="C51" i="102"/>
  <c r="C37" i="102"/>
  <c r="H33" i="42"/>
  <c r="F54" i="42"/>
  <c r="O112" i="109" l="1"/>
  <c r="N113" i="109"/>
  <c r="Q114" i="109"/>
  <c r="Q115" i="109" s="1"/>
  <c r="P115" i="109"/>
  <c r="R116" i="109"/>
  <c r="Q117" i="109"/>
  <c r="T114" i="109"/>
  <c r="S115" i="109"/>
  <c r="D37" i="100"/>
  <c r="D29" i="100"/>
  <c r="E42" i="100"/>
  <c r="E34" i="100"/>
  <c r="G28" i="42"/>
  <c r="I33" i="42"/>
  <c r="F18" i="100"/>
  <c r="E24" i="100"/>
  <c r="E22" i="100"/>
  <c r="E25" i="100"/>
  <c r="E21" i="100"/>
  <c r="E23" i="100"/>
  <c r="B53" i="102"/>
  <c r="AH20" i="14"/>
  <c r="F23" i="42"/>
  <c r="E76" i="42"/>
  <c r="H72" i="42"/>
  <c r="E43" i="42"/>
  <c r="E29" i="102"/>
  <c r="E27" i="102"/>
  <c r="E25" i="102"/>
  <c r="F22" i="102"/>
  <c r="E28" i="102"/>
  <c r="E26" i="102"/>
  <c r="E41" i="100"/>
  <c r="E33" i="100"/>
  <c r="H39" i="42"/>
  <c r="G50" i="42"/>
  <c r="F61" i="42"/>
  <c r="E31" i="100"/>
  <c r="E39" i="100"/>
  <c r="C53" i="102"/>
  <c r="F50" i="42"/>
  <c r="G61" i="42"/>
  <c r="G65" i="93"/>
  <c r="G63" i="93"/>
  <c r="G61" i="93"/>
  <c r="H60" i="93"/>
  <c r="G62" i="93"/>
  <c r="G64" i="93"/>
  <c r="G13" i="42"/>
  <c r="G72" i="42"/>
  <c r="F12" i="42"/>
  <c r="H66" i="42"/>
  <c r="G39" i="42"/>
  <c r="H28" i="42"/>
  <c r="E65" i="42"/>
  <c r="E32" i="42"/>
  <c r="F66" i="93"/>
  <c r="H44" i="42"/>
  <c r="F39" i="42"/>
  <c r="D30" i="102"/>
  <c r="F44" i="42"/>
  <c r="H61" i="42"/>
  <c r="D26" i="100"/>
  <c r="H23" i="42"/>
  <c r="E54" i="42"/>
  <c r="F77" i="42"/>
  <c r="F66" i="42"/>
  <c r="H50" i="42"/>
  <c r="E13" i="42"/>
  <c r="F70" i="42"/>
  <c r="E40" i="100"/>
  <c r="E32" i="100"/>
  <c r="F72" i="42"/>
  <c r="H77" i="42"/>
  <c r="E38" i="100"/>
  <c r="E30" i="100"/>
  <c r="F28" i="42"/>
  <c r="U114" i="109" l="1"/>
  <c r="U115" i="109" s="1"/>
  <c r="T115" i="109"/>
  <c r="S116" i="109"/>
  <c r="R117" i="109"/>
  <c r="P112" i="109"/>
  <c r="O113" i="109"/>
  <c r="E37" i="100"/>
  <c r="E30" i="102"/>
  <c r="G66" i="93"/>
  <c r="E29" i="100"/>
  <c r="I23" i="42"/>
  <c r="E50" i="42"/>
  <c r="F29" i="102"/>
  <c r="F27" i="102"/>
  <c r="F25" i="102"/>
  <c r="G22" i="102"/>
  <c r="F28" i="102"/>
  <c r="F26" i="102"/>
  <c r="I61" i="42"/>
  <c r="E61" i="42"/>
  <c r="I66" i="42"/>
  <c r="I28" i="42"/>
  <c r="F6" i="42"/>
  <c r="AK8" i="14"/>
  <c r="F38" i="100"/>
  <c r="F30" i="100"/>
  <c r="J33" i="42"/>
  <c r="I50" i="42"/>
  <c r="E72" i="42"/>
  <c r="F41" i="100"/>
  <c r="F33" i="100"/>
  <c r="G18" i="100"/>
  <c r="F24" i="100"/>
  <c r="F22" i="100"/>
  <c r="F25" i="100"/>
  <c r="F21" i="100"/>
  <c r="F23" i="100"/>
  <c r="I44" i="42"/>
  <c r="H13" i="42"/>
  <c r="G8" i="42"/>
  <c r="E39" i="42"/>
  <c r="F42" i="100"/>
  <c r="F34" i="100"/>
  <c r="I39" i="42"/>
  <c r="I70" i="42"/>
  <c r="I6" i="42" s="1"/>
  <c r="I60" i="93"/>
  <c r="H64" i="93"/>
  <c r="H62" i="93"/>
  <c r="H63" i="93"/>
  <c r="H61" i="93"/>
  <c r="H65" i="93"/>
  <c r="F31" i="100"/>
  <c r="F39" i="100"/>
  <c r="E26" i="100"/>
  <c r="I72" i="42"/>
  <c r="E12" i="42"/>
  <c r="H8" i="42"/>
  <c r="F8" i="42"/>
  <c r="E28" i="42"/>
  <c r="F40" i="100"/>
  <c r="F32" i="100"/>
  <c r="I77" i="42"/>
  <c r="F13" i="42"/>
  <c r="Q112" i="109" l="1"/>
  <c r="P113" i="109"/>
  <c r="T116" i="109"/>
  <c r="S117" i="109"/>
  <c r="F30" i="102"/>
  <c r="F37" i="100"/>
  <c r="J77" i="42"/>
  <c r="J66" i="42"/>
  <c r="J28" i="42"/>
  <c r="J44" i="42"/>
  <c r="G29" i="102"/>
  <c r="G27" i="102"/>
  <c r="G25" i="102"/>
  <c r="H22" i="102"/>
  <c r="G28" i="102"/>
  <c r="G26" i="102"/>
  <c r="G31" i="100"/>
  <c r="G39" i="100"/>
  <c r="F26" i="100"/>
  <c r="G65" i="42"/>
  <c r="J39" i="42"/>
  <c r="F29" i="100"/>
  <c r="I8" i="42"/>
  <c r="J50" i="42"/>
  <c r="J23" i="42"/>
  <c r="G76" i="42"/>
  <c r="J61" i="42"/>
  <c r="H18" i="100"/>
  <c r="G24" i="100"/>
  <c r="G22" i="100"/>
  <c r="G25" i="100"/>
  <c r="G21" i="100"/>
  <c r="G23" i="100"/>
  <c r="G41" i="100"/>
  <c r="G33" i="100"/>
  <c r="G32" i="42"/>
  <c r="E8" i="42"/>
  <c r="G42" i="100"/>
  <c r="G34" i="100"/>
  <c r="H66" i="93"/>
  <c r="J60" i="93"/>
  <c r="I64" i="93"/>
  <c r="I62" i="93"/>
  <c r="I63" i="93"/>
  <c r="I61" i="93"/>
  <c r="I65" i="93"/>
  <c r="G43" i="42"/>
  <c r="G40" i="100"/>
  <c r="G32" i="100"/>
  <c r="I13" i="42"/>
  <c r="K33" i="42"/>
  <c r="J72" i="42"/>
  <c r="G54" i="42"/>
  <c r="G38" i="100"/>
  <c r="G30" i="100"/>
  <c r="U116" i="109" l="1"/>
  <c r="U117" i="109" s="1"/>
  <c r="T117" i="109"/>
  <c r="Q113" i="109"/>
  <c r="R112" i="109"/>
  <c r="G30" i="102"/>
  <c r="G26" i="100"/>
  <c r="K28" i="42"/>
  <c r="K50" i="42"/>
  <c r="K61" i="42"/>
  <c r="J8" i="42"/>
  <c r="K77" i="42"/>
  <c r="G12" i="42"/>
  <c r="H43" i="42"/>
  <c r="K23" i="42"/>
  <c r="K60" i="93"/>
  <c r="J64" i="93"/>
  <c r="J62" i="93"/>
  <c r="J63" i="93"/>
  <c r="J61" i="93"/>
  <c r="J65" i="93"/>
  <c r="J13" i="42"/>
  <c r="K66" i="42"/>
  <c r="I66" i="93"/>
  <c r="H29" i="102"/>
  <c r="H27" i="102"/>
  <c r="H25" i="102"/>
  <c r="I22" i="102"/>
  <c r="H28" i="102"/>
  <c r="H26" i="102"/>
  <c r="H65" i="42"/>
  <c r="K44" i="42"/>
  <c r="H41" i="100"/>
  <c r="H33" i="100"/>
  <c r="I18" i="100"/>
  <c r="H24" i="100"/>
  <c r="H22" i="100"/>
  <c r="H25" i="100"/>
  <c r="H21" i="100"/>
  <c r="H23" i="100"/>
  <c r="L33" i="42"/>
  <c r="K72" i="42"/>
  <c r="H32" i="42"/>
  <c r="K39" i="42"/>
  <c r="H40" i="100"/>
  <c r="H32" i="100"/>
  <c r="H54" i="42"/>
  <c r="H42" i="100"/>
  <c r="H34" i="100"/>
  <c r="H31" i="100"/>
  <c r="H39" i="100"/>
  <c r="J70" i="42"/>
  <c r="J6" i="42" s="1"/>
  <c r="G29" i="100"/>
  <c r="G37" i="100"/>
  <c r="H38" i="100"/>
  <c r="H30" i="100"/>
  <c r="H76" i="42"/>
  <c r="R113" i="109" l="1"/>
  <c r="S112" i="109"/>
  <c r="L28" i="42"/>
  <c r="H12" i="42"/>
  <c r="H30" i="102"/>
  <c r="H29" i="100"/>
  <c r="L72" i="42"/>
  <c r="J22" i="102"/>
  <c r="I28" i="102"/>
  <c r="I26" i="102"/>
  <c r="I29" i="102"/>
  <c r="I25" i="102"/>
  <c r="I27" i="102"/>
  <c r="J66" i="93"/>
  <c r="L50" i="42"/>
  <c r="L77" i="42"/>
  <c r="L61" i="42"/>
  <c r="L23" i="42"/>
  <c r="H37" i="100"/>
  <c r="L60" i="93"/>
  <c r="K64" i="93"/>
  <c r="K62" i="93"/>
  <c r="K63" i="93"/>
  <c r="K61" i="93"/>
  <c r="K65" i="93"/>
  <c r="I40" i="100"/>
  <c r="I32" i="100"/>
  <c r="L39" i="42"/>
  <c r="I38" i="100"/>
  <c r="I30" i="100"/>
  <c r="L44" i="42"/>
  <c r="K13" i="42"/>
  <c r="M33" i="42"/>
  <c r="I76" i="42"/>
  <c r="L66" i="42"/>
  <c r="K8" i="42"/>
  <c r="I31" i="100"/>
  <c r="I39" i="100"/>
  <c r="I41" i="100"/>
  <c r="I33" i="100"/>
  <c r="I43" i="42"/>
  <c r="H26" i="100"/>
  <c r="J18" i="100"/>
  <c r="I24" i="100"/>
  <c r="I22" i="100"/>
  <c r="I25" i="100"/>
  <c r="I21" i="100"/>
  <c r="I23" i="100"/>
  <c r="I32" i="42"/>
  <c r="I54" i="42"/>
  <c r="I42" i="100"/>
  <c r="I34" i="100"/>
  <c r="I65" i="42"/>
  <c r="S113" i="109" l="1"/>
  <c r="T112" i="109"/>
  <c r="L13" i="42"/>
  <c r="I26" i="100"/>
  <c r="M44" i="42"/>
  <c r="I30" i="102"/>
  <c r="L64" i="93"/>
  <c r="L62" i="93"/>
  <c r="L65" i="93"/>
  <c r="L61" i="93"/>
  <c r="L63" i="93"/>
  <c r="N33" i="42"/>
  <c r="J54" i="42"/>
  <c r="M77" i="42"/>
  <c r="K18" i="100"/>
  <c r="J24" i="100"/>
  <c r="J22" i="100"/>
  <c r="J25" i="100"/>
  <c r="J21" i="100"/>
  <c r="J23" i="100"/>
  <c r="M61" i="42"/>
  <c r="J65" i="42"/>
  <c r="I12" i="42"/>
  <c r="M39" i="42"/>
  <c r="M72" i="42"/>
  <c r="J40" i="100"/>
  <c r="J32" i="100"/>
  <c r="M66" i="42"/>
  <c r="K22" i="102"/>
  <c r="J28" i="102"/>
  <c r="J26" i="102"/>
  <c r="J29" i="102"/>
  <c r="J25" i="102"/>
  <c r="J27" i="102"/>
  <c r="J76" i="42"/>
  <c r="J38" i="100"/>
  <c r="J30" i="100"/>
  <c r="M50" i="42"/>
  <c r="J42" i="100"/>
  <c r="J34" i="100"/>
  <c r="I29" i="100"/>
  <c r="L8" i="42"/>
  <c r="J43" i="42"/>
  <c r="J32" i="42"/>
  <c r="J31" i="100"/>
  <c r="J39" i="100"/>
  <c r="I37" i="100"/>
  <c r="M23" i="42"/>
  <c r="M28" i="42"/>
  <c r="K66" i="93"/>
  <c r="J41" i="100"/>
  <c r="J33" i="100"/>
  <c r="K70" i="42"/>
  <c r="K6" i="42" s="1"/>
  <c r="T113" i="109" l="1"/>
  <c r="U112" i="109"/>
  <c r="U113" i="109" s="1"/>
  <c r="M8" i="42"/>
  <c r="M13" i="42"/>
  <c r="J37" i="100"/>
  <c r="N39" i="42"/>
  <c r="N72" i="42"/>
  <c r="K31" i="100"/>
  <c r="K39" i="100"/>
  <c r="K24" i="100"/>
  <c r="K22" i="100"/>
  <c r="K25" i="100"/>
  <c r="K21" i="100"/>
  <c r="K23" i="100"/>
  <c r="N44" i="42"/>
  <c r="N23" i="42"/>
  <c r="J26" i="100"/>
  <c r="J30" i="102"/>
  <c r="N66" i="42"/>
  <c r="O33" i="42"/>
  <c r="K76" i="42"/>
  <c r="K33" i="100"/>
  <c r="K41" i="100"/>
  <c r="N61" i="42"/>
  <c r="K54" i="42"/>
  <c r="K28" i="102"/>
  <c r="K26" i="102"/>
  <c r="K29" i="102"/>
  <c r="K25" i="102"/>
  <c r="K27" i="102"/>
  <c r="K43" i="42"/>
  <c r="K42" i="100"/>
  <c r="K34" i="100"/>
  <c r="N28" i="42"/>
  <c r="J12" i="42"/>
  <c r="N77" i="42"/>
  <c r="L66" i="93"/>
  <c r="N50" i="42"/>
  <c r="K65" i="42"/>
  <c r="K40" i="100"/>
  <c r="K32" i="100"/>
  <c r="J29" i="100"/>
  <c r="K32" i="42"/>
  <c r="K38" i="100"/>
  <c r="K30" i="100"/>
  <c r="K37" i="100" l="1"/>
  <c r="K29" i="100"/>
  <c r="N13" i="42"/>
  <c r="L32" i="100"/>
  <c r="L40" i="100"/>
  <c r="L41" i="100"/>
  <c r="L33" i="100"/>
  <c r="L32" i="42"/>
  <c r="O23" i="42"/>
  <c r="O72" i="42"/>
  <c r="L70" i="42"/>
  <c r="L6" i="42" s="1"/>
  <c r="L39" i="100"/>
  <c r="L31" i="100"/>
  <c r="O50" i="42"/>
  <c r="O28" i="42"/>
  <c r="N8" i="42"/>
  <c r="O61" i="42"/>
  <c r="L30" i="100"/>
  <c r="L38" i="100"/>
  <c r="L43" i="42"/>
  <c r="L76" i="42"/>
  <c r="O66" i="42"/>
  <c r="K12" i="42"/>
  <c r="L65" i="42"/>
  <c r="L34" i="100"/>
  <c r="L42" i="100"/>
  <c r="O44" i="42"/>
  <c r="O39" i="42"/>
  <c r="K30" i="102"/>
  <c r="L54" i="42"/>
  <c r="K26" i="100"/>
  <c r="O77" i="42"/>
  <c r="L37" i="100" l="1"/>
  <c r="L29" i="100"/>
  <c r="M43" i="42"/>
  <c r="M65" i="42"/>
  <c r="O8" i="42"/>
  <c r="L12" i="42"/>
  <c r="O13" i="42"/>
  <c r="M54" i="42"/>
  <c r="M76" i="42"/>
  <c r="M32" i="42"/>
  <c r="N32" i="42" l="1"/>
  <c r="N76" i="42"/>
  <c r="N65" i="42"/>
  <c r="M70" i="42"/>
  <c r="M6" i="42" s="1"/>
  <c r="M12" i="42"/>
  <c r="N43" i="42"/>
  <c r="N54" i="42"/>
  <c r="O43" i="42" l="1"/>
  <c r="O32" i="42"/>
  <c r="O54" i="42"/>
  <c r="O65" i="42"/>
  <c r="O76" i="42"/>
  <c r="N12" i="42"/>
  <c r="O12" i="42" l="1"/>
  <c r="N70" i="42"/>
  <c r="N6" i="42" s="1"/>
  <c r="O70" i="42" l="1"/>
  <c r="O6"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ctsuser</author>
    <author>CLS</author>
  </authors>
  <commentList>
    <comment ref="D7" authorId="0" shapeId="0" xr:uid="{00000000-0006-0000-1C00-000001000000}">
      <text>
        <r>
          <rPr>
            <b/>
            <sz val="8"/>
            <color indexed="81"/>
            <rFont val="Tahoma"/>
            <family val="2"/>
          </rPr>
          <t>ctsuser:</t>
        </r>
        <r>
          <rPr>
            <sz val="8"/>
            <color indexed="81"/>
            <rFont val="Tahoma"/>
            <family val="2"/>
          </rPr>
          <t xml:space="preserve">
2010 Data starts here.</t>
        </r>
      </text>
    </comment>
    <comment ref="C255" authorId="1" shapeId="0" xr:uid="{00000000-0006-0000-1C00-000002000000}">
      <text>
        <r>
          <rPr>
            <b/>
            <sz val="8"/>
            <color indexed="81"/>
            <rFont val="Tahoma"/>
            <family val="2"/>
          </rPr>
          <t>AEO2011 data</t>
        </r>
        <r>
          <rPr>
            <sz val="8"/>
            <color indexed="81"/>
            <rFont val="Tahoma"/>
            <family val="2"/>
          </rPr>
          <t xml:space="preserve">
</t>
        </r>
      </text>
    </comment>
    <comment ref="D255" authorId="1" shapeId="0" xr:uid="{00000000-0006-0000-1C00-000003000000}">
      <text>
        <r>
          <rPr>
            <b/>
            <sz val="8"/>
            <color indexed="81"/>
            <rFont val="Tahoma"/>
            <family val="2"/>
          </rPr>
          <t>Start of AEO2014 data</t>
        </r>
      </text>
    </comment>
    <comment ref="A261" authorId="1" shapeId="0" xr:uid="{00000000-0006-0000-1C00-000004000000}">
      <text>
        <r>
          <rPr>
            <sz val="8"/>
            <color indexed="81"/>
            <rFont val="Tahoma"/>
            <family val="2"/>
          </rPr>
          <t>No longer reported in AEO14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B9" authorId="0" shapeId="0" xr:uid="{83B08A70-5A63-4C08-923E-AD42B5B45C09}">
      <text>
        <r>
          <rPr>
            <b/>
            <sz val="9"/>
            <color indexed="81"/>
            <rFont val="Tahoma"/>
            <family val="2"/>
          </rPr>
          <t>Isik, Mine:</t>
        </r>
        <r>
          <rPr>
            <sz val="9"/>
            <color indexed="81"/>
            <rFont val="Tahoma"/>
            <family val="2"/>
          </rPr>
          <t xml:space="preserve">
AEO data please see EPAUS9r TRN_HDV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B48" authorId="0" shapeId="0" xr:uid="{3A66DC4D-3BFF-4A34-8544-2452A1D7EA99}">
      <text>
        <r>
          <rPr>
            <b/>
            <sz val="9"/>
            <color indexed="81"/>
            <rFont val="Tahoma"/>
            <family val="2"/>
          </rPr>
          <t>Isik, Mine:</t>
        </r>
        <r>
          <rPr>
            <sz val="9"/>
            <color indexed="81"/>
            <rFont val="Tahoma"/>
            <family val="2"/>
          </rPr>
          <t xml:space="preserve">
42.8 MJ/lt</t>
        </r>
      </text>
    </comment>
  </commentList>
</comments>
</file>

<file path=xl/sharedStrings.xml><?xml version="1.0" encoding="utf-8"?>
<sst xmlns="http://schemas.openxmlformats.org/spreadsheetml/2006/main" count="6193" uniqueCount="1847">
  <si>
    <t>ANSWER-Commodities</t>
  </si>
  <si>
    <t>CommName</t>
  </si>
  <si>
    <t>CommDesc</t>
  </si>
  <si>
    <t>CommUnit</t>
  </si>
  <si>
    <t>Set Memberships</t>
  </si>
  <si>
    <t>Comment</t>
  </si>
  <si>
    <t>Commodities</t>
  </si>
  <si>
    <t>R1,R2,R3,R4,R5,R6</t>
  </si>
  <si>
    <t>*Energy Carriers</t>
  </si>
  <si>
    <t>TRNELC</t>
  </si>
  <si>
    <t>ELC to TRN</t>
  </si>
  <si>
    <t>PJ</t>
  </si>
  <si>
    <t>*R1,R2,R3,R4,R5,R6</t>
  </si>
  <si>
    <t>TRNDSL</t>
  </si>
  <si>
    <t>DSL to rail emissions collector</t>
  </si>
  <si>
    <t>TRNLPG1</t>
  </si>
  <si>
    <t>LPG to TRN after Collection</t>
  </si>
  <si>
    <t>TRNLPG</t>
  </si>
  <si>
    <t>LPG after collection</t>
  </si>
  <si>
    <t>TRNJTF1</t>
  </si>
  <si>
    <t>JTF to TRN after Collection</t>
  </si>
  <si>
    <t>TRNJTF</t>
  </si>
  <si>
    <t>JTF after collection</t>
  </si>
  <si>
    <t>TRNRFH</t>
  </si>
  <si>
    <t>High Sulfur Residual Fuel Oil to Transportation Sector</t>
  </si>
  <si>
    <t>TRNRFH1</t>
  </si>
  <si>
    <t>RFH to TRN after collector</t>
  </si>
  <si>
    <t>TRNGSL</t>
  </si>
  <si>
    <t>GSL to TRN</t>
  </si>
  <si>
    <t>TRNGSLB</t>
  </si>
  <si>
    <t>GSLB to TRN</t>
  </si>
  <si>
    <t>TBGSL</t>
  </si>
  <si>
    <t>GSL to TB</t>
  </si>
  <si>
    <t>TCGSL</t>
  </si>
  <si>
    <t>GSL to TC</t>
  </si>
  <si>
    <t>TMGSL</t>
  </si>
  <si>
    <t>GSL to TM</t>
  </si>
  <si>
    <t>TCDSL</t>
  </si>
  <si>
    <t>DSL to TC</t>
  </si>
  <si>
    <t>TBDSL</t>
  </si>
  <si>
    <t>DSL to TB</t>
  </si>
  <si>
    <t>TMDSL</t>
  </si>
  <si>
    <t>DSL to TM</t>
  </si>
  <si>
    <t>TSDSL</t>
  </si>
  <si>
    <t>DSL to TS</t>
  </si>
  <si>
    <t>THDSL</t>
  </si>
  <si>
    <t>DSL to TH</t>
  </si>
  <si>
    <t>TRDSL</t>
  </si>
  <si>
    <t>DSL to TRF and TRP</t>
  </si>
  <si>
    <t>TWDSL</t>
  </si>
  <si>
    <t>DSL to TSW</t>
  </si>
  <si>
    <t>THGSL</t>
  </si>
  <si>
    <t>GSL to TH</t>
  </si>
  <si>
    <t>TWGSL</t>
  </si>
  <si>
    <t>GSL to TSW</t>
  </si>
  <si>
    <t>TRGSLB</t>
  </si>
  <si>
    <t>TRNE10</t>
  </si>
  <si>
    <t>E10 to TRN</t>
  </si>
  <si>
    <t>TRNE85</t>
  </si>
  <si>
    <t>E85 to TRN</t>
  </si>
  <si>
    <t>TCE85X</t>
  </si>
  <si>
    <t>E85X to TC</t>
  </si>
  <si>
    <t>TRNH2</t>
  </si>
  <si>
    <t>H2 to TRN</t>
  </si>
  <si>
    <t>THLNG</t>
  </si>
  <si>
    <t>LNG to TH</t>
  </si>
  <si>
    <t>TBCNG</t>
  </si>
  <si>
    <t>CNG to Bueses</t>
  </si>
  <si>
    <t>TCCNG</t>
  </si>
  <si>
    <t>CNG to Commercial Trucks</t>
  </si>
  <si>
    <t>TMCNG</t>
  </si>
  <si>
    <t>CNG to Medium Duty Trucks</t>
  </si>
  <si>
    <t>THCNG</t>
  </si>
  <si>
    <t>CNG to Heavy Duty Trucks</t>
  </si>
  <si>
    <t>TRB20</t>
  </si>
  <si>
    <t>Biodiesel (B20) to rail emissions collector</t>
  </si>
  <si>
    <t>TBB20X</t>
  </si>
  <si>
    <t>B20X to TB</t>
  </si>
  <si>
    <t>TCB20X</t>
  </si>
  <si>
    <t>B20X to TC</t>
  </si>
  <si>
    <t>THB20X</t>
  </si>
  <si>
    <t>B20X to TH</t>
  </si>
  <si>
    <t>TMB20X</t>
  </si>
  <si>
    <t>B20X to TM</t>
  </si>
  <si>
    <t>TRB20X</t>
  </si>
  <si>
    <t>B20X to TRF and TRP</t>
  </si>
  <si>
    <t>TSB20X</t>
  </si>
  <si>
    <t>B20X to TS</t>
  </si>
  <si>
    <t>*Demands</t>
  </si>
  <si>
    <t>TA</t>
  </si>
  <si>
    <t>TRN.AIR</t>
  </si>
  <si>
    <t>bn-pass-miles</t>
  </si>
  <si>
    <t>R2,R3,R4,R5,R6</t>
  </si>
  <si>
    <t>TB</t>
  </si>
  <si>
    <t>TRN.BUS</t>
  </si>
  <si>
    <t>bn-vmt</t>
  </si>
  <si>
    <t>TM</t>
  </si>
  <si>
    <t>TRN.Medium Duty Trucks</t>
  </si>
  <si>
    <t>THS</t>
  </si>
  <si>
    <t>TRN.HDV Short Haul</t>
  </si>
  <si>
    <t>THL</t>
  </si>
  <si>
    <t>TRN.HDV Long Haul</t>
  </si>
  <si>
    <t>TS</t>
  </si>
  <si>
    <t>TRN.SHIP</t>
  </si>
  <si>
    <t>bn-t-m</t>
  </si>
  <si>
    <t>*R2,R3,R4,R5,R6</t>
  </si>
  <si>
    <t>TRF</t>
  </si>
  <si>
    <t>TRN.RAIL.FREIGHT</t>
  </si>
  <si>
    <t>TSW</t>
  </si>
  <si>
    <t>TRN.MSW</t>
  </si>
  <si>
    <t>TRP</t>
  </si>
  <si>
    <t>TRN.RAIL.PASS</t>
  </si>
  <si>
    <t>TC</t>
  </si>
  <si>
    <t>TRN.TRUCK.COMMERCIAL</t>
  </si>
  <si>
    <t>*Emissions Commodities</t>
  </si>
  <si>
    <t>*</t>
  </si>
  <si>
    <t>CARBON</t>
  </si>
  <si>
    <t>Carbon Emissions</t>
  </si>
  <si>
    <t>Mt</t>
  </si>
  <si>
    <t>ENV</t>
  </si>
  <si>
    <t>CO2</t>
  </si>
  <si>
    <t>Carbon dioxide emissions</t>
  </si>
  <si>
    <t>SULFUR</t>
  </si>
  <si>
    <t>Sulfur Emissions</t>
  </si>
  <si>
    <t>kt</t>
  </si>
  <si>
    <t>SO2</t>
  </si>
  <si>
    <t>Sulfur emissions</t>
  </si>
  <si>
    <t>SO2T</t>
  </si>
  <si>
    <t>Sulfur Emissions -Transportation</t>
  </si>
  <si>
    <t>NOX</t>
  </si>
  <si>
    <t>NOX Emissions</t>
  </si>
  <si>
    <t>NOXT</t>
  </si>
  <si>
    <t>NOX Emissions -Transportation</t>
  </si>
  <si>
    <t>PM10</t>
  </si>
  <si>
    <t>PM10 Emissions</t>
  </si>
  <si>
    <t>PM10T</t>
  </si>
  <si>
    <t>PM10 Emissions -Transportation</t>
  </si>
  <si>
    <t>VOC</t>
  </si>
  <si>
    <t>VOC Emissions</t>
  </si>
  <si>
    <t>VOCT</t>
  </si>
  <si>
    <t>VOC Emissions - Transportation</t>
  </si>
  <si>
    <t>PM25</t>
  </si>
  <si>
    <t>PM25 Emissions</t>
  </si>
  <si>
    <t>PM25T</t>
  </si>
  <si>
    <t>PM25 Emissions - Trasportation</t>
  </si>
  <si>
    <t>CO</t>
  </si>
  <si>
    <t>Carbon Monoxide emissions</t>
  </si>
  <si>
    <t>N2O</t>
  </si>
  <si>
    <t>Nitrous Oxide Emissions</t>
  </si>
  <si>
    <t>CH4</t>
  </si>
  <si>
    <t>Methane emissions</t>
  </si>
  <si>
    <t>BC</t>
  </si>
  <si>
    <t>Black carbon(2.5) emissions</t>
  </si>
  <si>
    <t>OC</t>
  </si>
  <si>
    <t>Organic carbon (2.5) emissions</t>
  </si>
  <si>
    <t>NH3</t>
  </si>
  <si>
    <t>Ammonia</t>
  </si>
  <si>
    <t>ANSWER-Technologies</t>
  </si>
  <si>
    <t>TechName</t>
  </si>
  <si>
    <t>TechDesc</t>
  </si>
  <si>
    <t>TACTUnit</t>
  </si>
  <si>
    <t>TCAPUnit</t>
  </si>
  <si>
    <t>ANSWER-Constraints</t>
  </si>
  <si>
    <t>ConstrName</t>
  </si>
  <si>
    <t>ConstrDesc</t>
  </si>
  <si>
    <t>Units</t>
  </si>
  <si>
    <t>ANSWER-CommData</t>
  </si>
  <si>
    <t>ANSWER-TechData</t>
  </si>
  <si>
    <t>CommIN</t>
  </si>
  <si>
    <t>CommOUT</t>
  </si>
  <si>
    <t>ANSWER-ConstrData</t>
  </si>
  <si>
    <t>CommData</t>
  </si>
  <si>
    <t>2005</t>
  </si>
  <si>
    <t>2010</t>
  </si>
  <si>
    <t>2015</t>
  </si>
  <si>
    <t>2020</t>
  </si>
  <si>
    <t>2025</t>
  </si>
  <si>
    <t>2030</t>
  </si>
  <si>
    <t>*Energy Demands by End Use</t>
  </si>
  <si>
    <t>TRN.MDV</t>
  </si>
  <si>
    <t>*R1</t>
  </si>
  <si>
    <t>*R2</t>
  </si>
  <si>
    <t>R2</t>
  </si>
  <si>
    <t>*R3</t>
  </si>
  <si>
    <t>R3</t>
  </si>
  <si>
    <t>*R4</t>
  </si>
  <si>
    <t>R4</t>
  </si>
  <si>
    <t>*R5</t>
  </si>
  <si>
    <t>R5</t>
  </si>
  <si>
    <t>*R6</t>
  </si>
  <si>
    <t>R6</t>
  </si>
  <si>
    <t>*R7</t>
  </si>
  <si>
    <t>*R8</t>
  </si>
  <si>
    <t>*R9</t>
  </si>
  <si>
    <t>Technologies</t>
  </si>
  <si>
    <t>TAJE</t>
  </si>
  <si>
    <t>bn-pmt/a</t>
  </si>
  <si>
    <t>TAPE</t>
  </si>
  <si>
    <t>Airplane, General Aviation, exisiting</t>
  </si>
  <si>
    <t>TAJ10</t>
  </si>
  <si>
    <t>TAJSYN10</t>
  </si>
  <si>
    <t>TAJWT10</t>
  </si>
  <si>
    <t>TAJAPU15</t>
  </si>
  <si>
    <t>TAJBW30</t>
  </si>
  <si>
    <t>TAJAE30</t>
  </si>
  <si>
    <t>TAJGE15</t>
  </si>
  <si>
    <t>TAP10</t>
  </si>
  <si>
    <t>Airplane, General Aviation - 2010</t>
  </si>
  <si>
    <t>TBDSLE</t>
  </si>
  <si>
    <t>bn-vmt/a</t>
  </si>
  <si>
    <t>TBGSLE</t>
  </si>
  <si>
    <t>TBCNGE</t>
  </si>
  <si>
    <t>TBDSLC10</t>
  </si>
  <si>
    <t>Bus, Conventional Diesel, 2010</t>
  </si>
  <si>
    <t>TBDSLC</t>
  </si>
  <si>
    <t>TBDSLIM</t>
  </si>
  <si>
    <t>Bus, Improved Diesel</t>
  </si>
  <si>
    <t>TBDSLADV</t>
  </si>
  <si>
    <t>TBDSLAH</t>
  </si>
  <si>
    <t>TBB20C10</t>
  </si>
  <si>
    <t>Bus, Conventional Biodiesel, 2010</t>
  </si>
  <si>
    <t>TBB20C</t>
  </si>
  <si>
    <t>TBB20IM</t>
  </si>
  <si>
    <t>Bus, B20, Improved Biodiesel</t>
  </si>
  <si>
    <t>TBB20ADV</t>
  </si>
  <si>
    <t>TBB20AH</t>
  </si>
  <si>
    <t>TBCNGC10</t>
  </si>
  <si>
    <t>Bus, Conventional CNG, 2010</t>
  </si>
  <si>
    <t>TBCNGC</t>
  </si>
  <si>
    <t>TBCNGIM</t>
  </si>
  <si>
    <t>Bus, Improved CNG</t>
  </si>
  <si>
    <t>TBCNGADV</t>
  </si>
  <si>
    <t>TBCNGAH</t>
  </si>
  <si>
    <t>TBH2FC</t>
  </si>
  <si>
    <t>TBH2HYB</t>
  </si>
  <si>
    <t>TBELC</t>
  </si>
  <si>
    <t>Bus, Conventional ELC</t>
  </si>
  <si>
    <t>TBELCIM</t>
  </si>
  <si>
    <t>Bus, Improved ELC</t>
  </si>
  <si>
    <t>TCGSLE</t>
  </si>
  <si>
    <t>Truck, Commerical, Exisiting Gasoline</t>
  </si>
  <si>
    <t>TCDSLE</t>
  </si>
  <si>
    <t>Truck, Commerical, Existing Diesel</t>
  </si>
  <si>
    <t>TCGSLC10</t>
  </si>
  <si>
    <t>TCGSLC</t>
  </si>
  <si>
    <t>TCGSLIM</t>
  </si>
  <si>
    <t>TCGSLADV</t>
  </si>
  <si>
    <t>TCGSLAH</t>
  </si>
  <si>
    <t>TCDSLC10</t>
  </si>
  <si>
    <t>TCDSLC</t>
  </si>
  <si>
    <t>TCDSLIM</t>
  </si>
  <si>
    <t>TCDSLAH</t>
  </si>
  <si>
    <t>TCB20C10</t>
  </si>
  <si>
    <t>TCB20C</t>
  </si>
  <si>
    <t>TCB20IM</t>
  </si>
  <si>
    <t>TCB20AH</t>
  </si>
  <si>
    <t>TCCNGC10</t>
  </si>
  <si>
    <t>TCCNGC</t>
  </si>
  <si>
    <t>TCCNGIM</t>
  </si>
  <si>
    <t>TCCNGADV</t>
  </si>
  <si>
    <t>TCCNGAH</t>
  </si>
  <si>
    <t>TCE85C10</t>
  </si>
  <si>
    <t>TCE85C</t>
  </si>
  <si>
    <t>TCE85IM</t>
  </si>
  <si>
    <t>TCE85ADV</t>
  </si>
  <si>
    <t>TCE85AH</t>
  </si>
  <si>
    <t>TCLPGC10</t>
  </si>
  <si>
    <t>TCLPGC</t>
  </si>
  <si>
    <t>TCLPGIM</t>
  </si>
  <si>
    <t>TCLPGADV</t>
  </si>
  <si>
    <t>TCLPGAH</t>
  </si>
  <si>
    <t>TCH2FC</t>
  </si>
  <si>
    <t>TMGSLE</t>
  </si>
  <si>
    <t>TMDSLE</t>
  </si>
  <si>
    <t>TMCNGE</t>
  </si>
  <si>
    <t>TMLPGE</t>
  </si>
  <si>
    <t>TMGSLC10</t>
  </si>
  <si>
    <t>TMGSLC</t>
  </si>
  <si>
    <t>TMGSLIM</t>
  </si>
  <si>
    <t>TMGSLAH</t>
  </si>
  <si>
    <t>TMDSLC10</t>
  </si>
  <si>
    <t>TMDSLC</t>
  </si>
  <si>
    <t>TMDSLIM</t>
  </si>
  <si>
    <t>TMDSLADV</t>
  </si>
  <si>
    <t>TMDSLAH</t>
  </si>
  <si>
    <t>TMB20C10</t>
  </si>
  <si>
    <t>*R2,R3,R4,R5,R7</t>
  </si>
  <si>
    <t>TMB20C</t>
  </si>
  <si>
    <t>*R2,R3,R4,R5,R8</t>
  </si>
  <si>
    <t>TMB20IM</t>
  </si>
  <si>
    <t>*R2,R3,R4,R5,R9</t>
  </si>
  <si>
    <t>TMB20ADV</t>
  </si>
  <si>
    <t>Medium Duty Truck, Advanced Tech B20</t>
  </si>
  <si>
    <t>*R2,R3,R4,R5,R10</t>
  </si>
  <si>
    <t>TMB20AH</t>
  </si>
  <si>
    <t>Medium Duty Truck, Advanced Hybrid B20</t>
  </si>
  <si>
    <t>TMCNGC10</t>
  </si>
  <si>
    <t>TMCNGC</t>
  </si>
  <si>
    <t>TMCNGIM</t>
  </si>
  <si>
    <t>TMCNGAH</t>
  </si>
  <si>
    <t>TMLPGC10</t>
  </si>
  <si>
    <t>TMLPGC</t>
  </si>
  <si>
    <t>TMLPGIM</t>
  </si>
  <si>
    <t>TMLPGAH</t>
  </si>
  <si>
    <t>THSGSLE</t>
  </si>
  <si>
    <t>Heavy Truck, Short Haul, Gasoline exisiting</t>
  </si>
  <si>
    <t>THSDSLE</t>
  </si>
  <si>
    <t>Heavy Truck, Short Haul, Diesel exisiting</t>
  </si>
  <si>
    <t>THSDSLE2</t>
  </si>
  <si>
    <t>Heavy Truck, Short Haul, Diesel exisiting MSW</t>
  </si>
  <si>
    <t>THSCNGE</t>
  </si>
  <si>
    <t>Heavy Truck, Short Haul, CNG exisiting</t>
  </si>
  <si>
    <t>THSCNGE2</t>
  </si>
  <si>
    <t>Heavy Truck, Short Haul, CNG exisiting MSW</t>
  </si>
  <si>
    <t>THSLPGE</t>
  </si>
  <si>
    <t>Heavy Truck, Short Haul, LPG exisiting</t>
  </si>
  <si>
    <t>THSB20E</t>
  </si>
  <si>
    <t>Heavy Truck, Short Haul, B20exisiting</t>
  </si>
  <si>
    <t>THSGSL10</t>
  </si>
  <si>
    <t>Heavy Truck, Short Haul, Gasoline, 2010</t>
  </si>
  <si>
    <t>THSGSL102</t>
  </si>
  <si>
    <t>THSDSLC10</t>
  </si>
  <si>
    <t>Heavy Truck, Short Haul, Conventional Diesel 2010</t>
  </si>
  <si>
    <t>THSDSLC</t>
  </si>
  <si>
    <t>Heavy Truck, Short Haul, Conv. Diesel</t>
  </si>
  <si>
    <t>THSDSLIM</t>
  </si>
  <si>
    <t>Heavy Truck, Short Haul, Improved Diesel</t>
  </si>
  <si>
    <t>THSDSLADV</t>
  </si>
  <si>
    <t>Heavy Truck, Short Haul, Advanced Diesel</t>
  </si>
  <si>
    <t>THSDSLAH</t>
  </si>
  <si>
    <t>Heavy Truck, Short Haul, Hybrid Diesel</t>
  </si>
  <si>
    <t>THSDSLC102</t>
  </si>
  <si>
    <t>THSDSLC2</t>
  </si>
  <si>
    <t>THSDSLIM2</t>
  </si>
  <si>
    <t>THSDSLADV2</t>
  </si>
  <si>
    <t>THSDSLAH2</t>
  </si>
  <si>
    <t>THSB20C10</t>
  </si>
  <si>
    <t>Heavy Truck, Short Haul, Conventional B20 2010</t>
  </si>
  <si>
    <t>THSB20C</t>
  </si>
  <si>
    <t>Heavy Truck, Short Haul, Conventional B20</t>
  </si>
  <si>
    <t>THSB20IM</t>
  </si>
  <si>
    <t>Heavy Truck, Short Haul, Improved B20</t>
  </si>
  <si>
    <t>THSB20ADV</t>
  </si>
  <si>
    <t>Heavy Truck, Short Haul, Advanced B20</t>
  </si>
  <si>
    <t>THSB20AH</t>
  </si>
  <si>
    <t>Heavy Truck, Short Haul, Hybrid B20</t>
  </si>
  <si>
    <t>THSCNGC10</t>
  </si>
  <si>
    <t>Heavy Truck, Short Haul, Conventional CNG 2010</t>
  </si>
  <si>
    <t>THSCNGC</t>
  </si>
  <si>
    <t>Heavy Truck, Short Haul, Conventional CNG</t>
  </si>
  <si>
    <t>THSCNGC2</t>
  </si>
  <si>
    <t>THSCNGIM</t>
  </si>
  <si>
    <t>Heavy Truck, Short Haul, Improved CNG</t>
  </si>
  <si>
    <t>THSCNGIM2</t>
  </si>
  <si>
    <t>THSCNGADV</t>
  </si>
  <si>
    <t>Heavy Truck, Short Haul, Advanced CNG</t>
  </si>
  <si>
    <t>THSCNGADV2</t>
  </si>
  <si>
    <t>THSCNGAH</t>
  </si>
  <si>
    <t>Heavy Truck, Short Haul, Hybrid CNG</t>
  </si>
  <si>
    <t>THLDSLE</t>
  </si>
  <si>
    <t>Heavy Truck, Long Haul, Diesel exisiting</t>
  </si>
  <si>
    <t>THLLPGE</t>
  </si>
  <si>
    <t>Heavy Truck, Long Haul, LPG exisiting</t>
  </si>
  <si>
    <t>THLDSLC10</t>
  </si>
  <si>
    <t>Heavy Truck, Long Haul, Diesel Conventional 2010</t>
  </si>
  <si>
    <t>THLDSLC</t>
  </si>
  <si>
    <t>Heavy Truck, Long Haul, Conv. Diesel</t>
  </si>
  <si>
    <t>THLDSLIM</t>
  </si>
  <si>
    <t>Heavy Truck, Long Haul, Improved Diesel</t>
  </si>
  <si>
    <t>THLDSLADV</t>
  </si>
  <si>
    <t>Heavy Truck, Long Haul, Advanced Diesel</t>
  </si>
  <si>
    <t>THLDSLAH</t>
  </si>
  <si>
    <t>Heavy Truck, Long Haul, Advanced Diesel Hybrid</t>
  </si>
  <si>
    <t>THLDSLSW</t>
  </si>
  <si>
    <t>Heavy Truck, Long Haul, Diesel Smartway</t>
  </si>
  <si>
    <t>THLDSLSWH</t>
  </si>
  <si>
    <t>Heavy Truck, Long Haul, Diesel Smartway Hybird</t>
  </si>
  <si>
    <t>THLB20C10</t>
  </si>
  <si>
    <t>Heavy Truck, Long Haul, B20 Conventional 2010</t>
  </si>
  <si>
    <t>THLB20C</t>
  </si>
  <si>
    <t>Heavy Truck, Long Haul, Conventional B20</t>
  </si>
  <si>
    <t>THLB20IM</t>
  </si>
  <si>
    <t>Heavy Truck, Long Haul, Improved B20</t>
  </si>
  <si>
    <t>THLB20ADV</t>
  </si>
  <si>
    <t>Heavy Truck, Long Haul, Advanced B20</t>
  </si>
  <si>
    <t>THLB20AH</t>
  </si>
  <si>
    <t>Heavy Truck, Long Haul, Advanced B20 Hybrid</t>
  </si>
  <si>
    <t>THLB20SW</t>
  </si>
  <si>
    <t>Heavy Truck, Long Haul, B20 Smartway</t>
  </si>
  <si>
    <t>THLB20SWH</t>
  </si>
  <si>
    <t>Heavy Truck, Long Haul, B20 Smartway Hybird</t>
  </si>
  <si>
    <t>THLLNGC10</t>
  </si>
  <si>
    <t>Heavy Truck, Long Haul, LNG 2010</t>
  </si>
  <si>
    <t>THLLNGC</t>
  </si>
  <si>
    <t xml:space="preserve">Heavy Truck, Long Haul, Conventional LNG </t>
  </si>
  <si>
    <t>THLLNGADV</t>
  </si>
  <si>
    <t>Heavy Truck, Long Haul, Advanced LNG</t>
  </si>
  <si>
    <t>THLLNGAH</t>
  </si>
  <si>
    <t>Heavy Truck, Long Haul, Advanced LNG Hybrid</t>
  </si>
  <si>
    <t>THLLNGSW</t>
  </si>
  <si>
    <t>Heavy Truck, Long Haul, LNG Smartway</t>
  </si>
  <si>
    <t>THLLNGSWH</t>
  </si>
  <si>
    <t>Heavy Truck, Long Haul, LNG Smartway Hybird</t>
  </si>
  <si>
    <t>TPDSLCR</t>
  </si>
  <si>
    <t>Commuter Rail, Diesel</t>
  </si>
  <si>
    <t>TPELCCR</t>
  </si>
  <si>
    <t>Commuter Rail, Electricity</t>
  </si>
  <si>
    <t>TPELCSUB</t>
  </si>
  <si>
    <t>Subways and Streetcars, Electricity</t>
  </si>
  <si>
    <t>TPDSLIR</t>
  </si>
  <si>
    <t>Intercity Rail, Diesel</t>
  </si>
  <si>
    <t>TRFDSLE</t>
  </si>
  <si>
    <t>Rail Freight, Diesel Existing</t>
  </si>
  <si>
    <t>bn-ton-m/a</t>
  </si>
  <si>
    <t>TRFDSLE2</t>
  </si>
  <si>
    <t>Rail Freight, Diesel Existing-MSW</t>
  </si>
  <si>
    <t>TRFDSL</t>
  </si>
  <si>
    <t>Rail Freight, Diesel</t>
  </si>
  <si>
    <t>TRFDSL2</t>
  </si>
  <si>
    <t>Rail Freight, Diesel-MSW</t>
  </si>
  <si>
    <t>TRF10DSL</t>
  </si>
  <si>
    <t>Rail Freight Diesel, 10% improvement</t>
  </si>
  <si>
    <t>TRF10DSL2</t>
  </si>
  <si>
    <t>Rail Freight Diesel, 10% improvement-MSW</t>
  </si>
  <si>
    <t>TRF25DSL</t>
  </si>
  <si>
    <t>Rail Freight Dieseil, 25% improvement</t>
  </si>
  <si>
    <t>TRF25DSL2</t>
  </si>
  <si>
    <t>Rail Freight Dieseil, 25% improvement-MSW</t>
  </si>
  <si>
    <t>TRFAPU</t>
  </si>
  <si>
    <t>Rail Freight Diesel with APU</t>
  </si>
  <si>
    <t>TRFB20</t>
  </si>
  <si>
    <t>Rail Freight, Biodiesel</t>
  </si>
  <si>
    <t>TRFLNG</t>
  </si>
  <si>
    <t>Rail Freight, LNG</t>
  </si>
  <si>
    <t>TSDSHE</t>
  </si>
  <si>
    <t>Water Shipping, Residual Oil exisiting</t>
  </si>
  <si>
    <t>TSDSH10</t>
  </si>
  <si>
    <t>Water Shipping, Residual Oil, 2010</t>
  </si>
  <si>
    <t>TSDSHFI15</t>
  </si>
  <si>
    <t>Water Shipping, Resid Fuel Inject, 2015</t>
  </si>
  <si>
    <t>TSDSHBL15</t>
  </si>
  <si>
    <t>Water Shipping, Resid Bubble Lub, 2015</t>
  </si>
  <si>
    <t>TSDSLE</t>
  </si>
  <si>
    <t>Water Shipping, Diesel exisiting</t>
  </si>
  <si>
    <t>TSDSL10</t>
  </si>
  <si>
    <t>Water Shipping, Diesel,2010</t>
  </si>
  <si>
    <t>TSDSLFI15</t>
  </si>
  <si>
    <t>Water Shipping, Diesel Fuel Inj, 2015</t>
  </si>
  <si>
    <t>TSDSLHE15</t>
  </si>
  <si>
    <t>Water Shipping, Diesel, Hybrid Electric, 2015</t>
  </si>
  <si>
    <t>* Criteria Pollutant Emission Collectors</t>
  </si>
  <si>
    <t>SETRDSL</t>
  </si>
  <si>
    <t>Emissions: DSL Rail fuel to TRDSL</t>
  </si>
  <si>
    <t>PJ/a</t>
  </si>
  <si>
    <t>SETRB20</t>
  </si>
  <si>
    <t>Emissions: B20 Rail fuel to TRB20X</t>
  </si>
  <si>
    <t>* DMY Backstop Technologies</t>
  </si>
  <si>
    <t>ZZTB</t>
  </si>
  <si>
    <t>Transportation Buses - ZZINFES backstop</t>
  </si>
  <si>
    <t>ZZTC</t>
  </si>
  <si>
    <t>Transportation Commercial Trucks - ZZINFES backstop</t>
  </si>
  <si>
    <t>ZZTM</t>
  </si>
  <si>
    <t>Transportation Medium Trucks - ZZINFES backstop</t>
  </si>
  <si>
    <t>ZZTHS</t>
  </si>
  <si>
    <t>Transportation Heavy Short Haul - ZZINFES backstop</t>
  </si>
  <si>
    <t>ZZTRP</t>
  </si>
  <si>
    <t>Transportation Rail Passenger - ZZINFES backstop</t>
  </si>
  <si>
    <t>ZZTHL</t>
  </si>
  <si>
    <t>Transportation Rail Freight - ZZINFES backstop</t>
  </si>
  <si>
    <t>ZZTS</t>
  </si>
  <si>
    <t>Transportation Water Shipping - ZZINFES backstop</t>
  </si>
  <si>
    <t>ZZTSW</t>
  </si>
  <si>
    <t>Transportation MSW  - ZZINFES backstop</t>
  </si>
  <si>
    <t>TechData</t>
  </si>
  <si>
    <t>LIFE</t>
  </si>
  <si>
    <t>EFF</t>
  </si>
  <si>
    <t>INVCOST</t>
  </si>
  <si>
    <t>FIXOM</t>
  </si>
  <si>
    <t>bn-pass-miles, bn-pmt/a</t>
  </si>
  <si>
    <t>*BUSES</t>
  </si>
  <si>
    <t>bn-vmt, bn-vmt/a</t>
  </si>
  <si>
    <t>Bus, Exisiting CNG</t>
  </si>
  <si>
    <t>*Commercial Trucks</t>
  </si>
  <si>
    <t>*Medium Duty Trucks</t>
  </si>
  <si>
    <t>*Heavy Duty Trucks</t>
  </si>
  <si>
    <t>*Passenger Rail</t>
  </si>
  <si>
    <t>*Freight Rail</t>
  </si>
  <si>
    <t>bn-t-m, bn-ton-m/a</t>
  </si>
  <si>
    <t>*Emissions Collectors</t>
  </si>
  <si>
    <t>PJ, PJ/a</t>
  </si>
  <si>
    <t>* ZZ (DMD) Backstop Technologies</t>
  </si>
  <si>
    <t>ZZDMY</t>
  </si>
  <si>
    <t>LO</t>
  </si>
  <si>
    <t>UP</t>
  </si>
  <si>
    <t>Type</t>
  </si>
  <si>
    <t>Fuel</t>
  </si>
  <si>
    <t>DSL</t>
  </si>
  <si>
    <t>GSL</t>
  </si>
  <si>
    <t>CNG</t>
  </si>
  <si>
    <t>LPG</t>
  </si>
  <si>
    <t>H2</t>
  </si>
  <si>
    <t>E85</t>
  </si>
  <si>
    <t>LNG</t>
  </si>
  <si>
    <t>This worksheet contains data from AEO tables which are used to establish national demands and some constraint data.</t>
  </si>
  <si>
    <t>Also Table 46&amp;66 below.</t>
  </si>
  <si>
    <t xml:space="preserve"> Table  67.  Freight Transportation Energy Use</t>
  </si>
  <si>
    <t>This data is used to develop efficiencies for truck technologies</t>
  </si>
  <si>
    <t>From AEO 2010</t>
  </si>
  <si>
    <t>(2005 retained from AEO 2008)</t>
  </si>
  <si>
    <t/>
  </si>
  <si>
    <t>2008-</t>
  </si>
  <si>
    <t>2006</t>
  </si>
  <si>
    <t>2007</t>
  </si>
  <si>
    <t>2008</t>
  </si>
  <si>
    <t>2009</t>
  </si>
  <si>
    <t>2011</t>
  </si>
  <si>
    <t>2012</t>
  </si>
  <si>
    <t>2013</t>
  </si>
  <si>
    <t>2014</t>
  </si>
  <si>
    <t>2016</t>
  </si>
  <si>
    <t>2017</t>
  </si>
  <si>
    <t>2018</t>
  </si>
  <si>
    <t>2019</t>
  </si>
  <si>
    <t>2021</t>
  </si>
  <si>
    <t>2022</t>
  </si>
  <si>
    <t>2023</t>
  </si>
  <si>
    <t>2024</t>
  </si>
  <si>
    <t>2026</t>
  </si>
  <si>
    <t>2027</t>
  </si>
  <si>
    <t>2028</t>
  </si>
  <si>
    <t>2029</t>
  </si>
  <si>
    <t>Table 68</t>
  </si>
  <si>
    <t>Existing Trucks by Size Class</t>
  </si>
  <si>
    <t>VMT Shares</t>
  </si>
  <si>
    <t xml:space="preserve">  Vehicle Miles Traveled (billion miles)</t>
  </si>
  <si>
    <t xml:space="preserve">    Medium</t>
  </si>
  <si>
    <t xml:space="preserve">      Diesel</t>
  </si>
  <si>
    <t xml:space="preserve">      Gasoline</t>
  </si>
  <si>
    <t xml:space="preserve">      Liquefied Petroleum Gas</t>
  </si>
  <si>
    <t xml:space="preserve">      Compressed Natural Gas</t>
  </si>
  <si>
    <t xml:space="preserve">        Medium Subtotal</t>
  </si>
  <si>
    <t xml:space="preserve">    Heavy</t>
  </si>
  <si>
    <t xml:space="preserve">        Heavy Subtotal</t>
  </si>
  <si>
    <t xml:space="preserve">    Total Vehicle Miles Traveled</t>
  </si>
  <si>
    <t xml:space="preserve">  Consumption (trillion Btu)</t>
  </si>
  <si>
    <t>Energy Shares</t>
  </si>
  <si>
    <t xml:space="preserve">    Light Medium</t>
  </si>
  <si>
    <t xml:space="preserve">    Medium and Heavy Total</t>
  </si>
  <si>
    <t xml:space="preserve">        Total</t>
  </si>
  <si>
    <t xml:space="preserve">  Fuel Efficiency (gasoline equivalent MPG)</t>
  </si>
  <si>
    <t xml:space="preserve">        Medium Average</t>
  </si>
  <si>
    <t xml:space="preserve">        Heavy Average</t>
  </si>
  <si>
    <t xml:space="preserve">    Average</t>
  </si>
  <si>
    <t xml:space="preserve">  Stock (millions)</t>
  </si>
  <si>
    <t xml:space="preserve">    Total Stock</t>
  </si>
  <si>
    <t>New Trucks by Size Class</t>
  </si>
  <si>
    <t xml:space="preserve">  Sales (millions)</t>
  </si>
  <si>
    <t xml:space="preserve">    Total Sales</t>
  </si>
  <si>
    <t>Railroads</t>
  </si>
  <si>
    <t xml:space="preserve"> Ton Miles by Rail (billion)</t>
  </si>
  <si>
    <t xml:space="preserve"> Fuel Efficiency (ton miles per thousand Btu)</t>
  </si>
  <si>
    <t xml:space="preserve"> Fuel Consumption (trillion Btu)</t>
  </si>
  <si>
    <t xml:space="preserve">   Distillate (diesel)</t>
  </si>
  <si>
    <t xml:space="preserve">   Residual Oil</t>
  </si>
  <si>
    <t>- -</t>
  </si>
  <si>
    <t xml:space="preserve">   Electricity</t>
  </si>
  <si>
    <t>Domestic Shipping</t>
  </si>
  <si>
    <t xml:space="preserve"> Ton Miles Shipping (billion)</t>
  </si>
  <si>
    <t xml:space="preserve">   Motor Gasoline</t>
  </si>
  <si>
    <t>International Shipping</t>
  </si>
  <si>
    <t xml:space="preserve"> Gross Trade (billion 2000 $)</t>
  </si>
  <si>
    <t xml:space="preserve"> Exports (billion 2000 dollars)</t>
  </si>
  <si>
    <t xml:space="preserve"> Imports (billion 2000 dollars)</t>
  </si>
  <si>
    <t xml:space="preserve">    MPG = Miles per gallon.</t>
  </si>
  <si>
    <t xml:space="preserve">    Btu = British thermal unit.</t>
  </si>
  <si>
    <t xml:space="preserve">    - - = Not applicable.</t>
  </si>
  <si>
    <t xml:space="preserve">    Sources:  2009 and 2010 values derived using:  Oak Ridge National Laboratory,</t>
  </si>
  <si>
    <t>Transportation Energy Data Book:  Edition 30 and Annual (Oak Ridge, TN, 2011);</t>
  </si>
  <si>
    <t>U.S. Department of Commerce, Bureau of the Census, "Vehicle Inventory and Use Survey," EC02TV (Washington, DC, December 2004);</t>
  </si>
  <si>
    <t>Federal Highway Administration, Highway Statistics 2009 (Washington, DC, April 2011); and Energy</t>
  </si>
  <si>
    <t>Information Administration (EIA), AEO2012 National Energy Modeling System run ref2012.d020112c.  Projections:  EIA,</t>
  </si>
  <si>
    <t>AEO2012 National Energy Modeling System run ref2012.d020112c.</t>
  </si>
  <si>
    <t xml:space="preserve"> Table  66.  Air Travel Energy Use</t>
  </si>
  <si>
    <t>2030-2035</t>
  </si>
  <si>
    <t xml:space="preserve">  US Revenue Passenger Miles (billion miles)</t>
  </si>
  <si>
    <t xml:space="preserve">  Load Factor (fraction of seats filled)</t>
  </si>
  <si>
    <t xml:space="preserve">  Freight Revenue Ton Miles (billion miles)</t>
  </si>
  <si>
    <t xml:space="preserve"> Table  46.  Transportation Sector Energy Use by Fuel Type Within a Mode</t>
  </si>
  <si>
    <t>(Trillion Btu)</t>
  </si>
  <si>
    <t>Initial</t>
  </si>
  <si>
    <t>From AEO 2014</t>
  </si>
  <si>
    <t>Lower</t>
  </si>
  <si>
    <t>Fuel Shares</t>
  </si>
  <si>
    <t>Bound</t>
  </si>
  <si>
    <t>2010-</t>
  </si>
  <si>
    <t>Fuel Splits</t>
  </si>
  <si>
    <t>VMT splits</t>
  </si>
  <si>
    <t>Table 46 (trillion BTUS)</t>
  </si>
  <si>
    <t>Commercial Light Trucks 1/</t>
  </si>
  <si>
    <t xml:space="preserve"> Motor Gasoline</t>
  </si>
  <si>
    <t xml:space="preserve"> Distillate Fuel Oil (diesel)</t>
  </si>
  <si>
    <t xml:space="preserve">    Total</t>
  </si>
  <si>
    <t>Freight Trucks 2/</t>
  </si>
  <si>
    <t xml:space="preserve"> Distillate (diesel)</t>
  </si>
  <si>
    <t xml:space="preserve"> Compressed Natural Gas</t>
  </si>
  <si>
    <t xml:space="preserve"> Liquefied Petroleum Gas</t>
  </si>
  <si>
    <t>Total</t>
  </si>
  <si>
    <t>Freight Rail 3/</t>
  </si>
  <si>
    <t xml:space="preserve"> Liquified Natural Gas</t>
  </si>
  <si>
    <t xml:space="preserve"> Residual Oil</t>
  </si>
  <si>
    <t xml:space="preserve"> CNG</t>
  </si>
  <si>
    <t xml:space="preserve">  Liquified Natural Gas</t>
  </si>
  <si>
    <t>Air Transportation</t>
  </si>
  <si>
    <t xml:space="preserve"> Jet Fuel</t>
  </si>
  <si>
    <t xml:space="preserve"> Aviation Gasoline</t>
  </si>
  <si>
    <t>Miscellaneous Transportation</t>
  </si>
  <si>
    <t xml:space="preserve"> Military Use</t>
  </si>
  <si>
    <t xml:space="preserve">   Jet Fuel</t>
  </si>
  <si>
    <t xml:space="preserve">   Residual Fuel</t>
  </si>
  <si>
    <t xml:space="preserve">   Distillate</t>
  </si>
  <si>
    <t>2035-2055</t>
  </si>
  <si>
    <t>Bus Transportation</t>
  </si>
  <si>
    <t>shares</t>
  </si>
  <si>
    <t xml:space="preserve">   Transit Bus</t>
  </si>
  <si>
    <t xml:space="preserve">     Motor Gasoline</t>
  </si>
  <si>
    <t xml:space="preserve">     Distillate Fuel Oil (diesel)</t>
  </si>
  <si>
    <t xml:space="preserve">     Compressed Natural Gas</t>
  </si>
  <si>
    <t xml:space="preserve">     Liquefied Petroleum Gases</t>
  </si>
  <si>
    <t xml:space="preserve">       Total Transit Bus</t>
  </si>
  <si>
    <t xml:space="preserve">   Intercity Bus</t>
  </si>
  <si>
    <t xml:space="preserve">       Total Intercity Bus</t>
  </si>
  <si>
    <t xml:space="preserve">   School Bus</t>
  </si>
  <si>
    <t xml:space="preserve">       Total School Bus</t>
  </si>
  <si>
    <t xml:space="preserve">         Total Bus</t>
  </si>
  <si>
    <t>Total Bus adjust CNG BTU to Diesel</t>
  </si>
  <si>
    <t>Rail Transportation</t>
  </si>
  <si>
    <t xml:space="preserve">  Intercity Rail Electricity</t>
  </si>
  <si>
    <t xml:space="preserve">  Intercity Rail  Diesel</t>
  </si>
  <si>
    <t xml:space="preserve">  Transit Rail Electricity</t>
  </si>
  <si>
    <t xml:space="preserve">  Commuter Rail Electricity</t>
  </si>
  <si>
    <t xml:space="preserve">  Commuter Rail Diesel</t>
  </si>
  <si>
    <t xml:space="preserve">     Total</t>
  </si>
  <si>
    <t>Intercity Ratio elc to diesel</t>
  </si>
  <si>
    <t>elc to diesel input for intercity rail</t>
  </si>
  <si>
    <t>Commuter Fraction diesel</t>
  </si>
  <si>
    <t>Recreation Boats</t>
  </si>
  <si>
    <t xml:space="preserve">   Gasoline</t>
  </si>
  <si>
    <t xml:space="preserve">   Distillate Fuel Oil (diesel)</t>
  </si>
  <si>
    <t>Lubricants</t>
  </si>
  <si>
    <t>Pipeline Fuel Natural Gas</t>
  </si>
  <si>
    <t>Total Miscellaneous</t>
  </si>
  <si>
    <t>Total Consumption</t>
  </si>
  <si>
    <t>AEO 2014</t>
  </si>
  <si>
    <t xml:space="preserve"> Table   7.  Transportation Sector Key Indicators and Delivered Energy Consumption</t>
  </si>
  <si>
    <t>2025-</t>
  </si>
  <si>
    <t>Key Indicators</t>
  </si>
  <si>
    <t>Travel Indicators</t>
  </si>
  <si>
    <t xml:space="preserve"> (billion vehicle miles traveled)</t>
  </si>
  <si>
    <t xml:space="preserve">   Light-Duty Vehicles &lt; 8500 pounds</t>
  </si>
  <si>
    <t xml:space="preserve">   Commercial Light Trucks 1/</t>
  </si>
  <si>
    <t xml:space="preserve">   Medium Duty Trucks - Class 3-6</t>
  </si>
  <si>
    <t xml:space="preserve">   Freight Trucks &gt; 10000 pounds</t>
  </si>
  <si>
    <t xml:space="preserve"> (billion seat miles available)</t>
  </si>
  <si>
    <t xml:space="preserve">   Air</t>
  </si>
  <si>
    <t xml:space="preserve"> (billion ton miles traveled)</t>
  </si>
  <si>
    <t xml:space="preserve">   Rail</t>
  </si>
  <si>
    <t xml:space="preserve">   Domestic Shipping</t>
  </si>
  <si>
    <t>Table 45.  Transportation Sector Energy Use by Mode and Type</t>
  </si>
  <si>
    <t>(trillion Btu)</t>
  </si>
  <si>
    <t xml:space="preserve"> Mode and Type</t>
  </si>
  <si>
    <t xml:space="preserve"> Non-Highway</t>
  </si>
  <si>
    <t xml:space="preserve">   Air 3/</t>
  </si>
  <si>
    <t xml:space="preserve">     General Aviation</t>
  </si>
  <si>
    <t xml:space="preserve">     Domestic Air Carriers</t>
  </si>
  <si>
    <t xml:space="preserve">     International Air Carriers</t>
  </si>
  <si>
    <t xml:space="preserve">     Freight Carriers</t>
  </si>
  <si>
    <t>Jet fuel use breakdown</t>
  </si>
  <si>
    <t>Passenger Jet</t>
  </si>
  <si>
    <t>Freight</t>
  </si>
  <si>
    <t>General Aviation (jet fuel)</t>
  </si>
  <si>
    <t>Compare to C189</t>
  </si>
  <si>
    <t xml:space="preserve"> Residual Fuel Oil</t>
  </si>
  <si>
    <t>Description</t>
  </si>
  <si>
    <t>Region</t>
  </si>
  <si>
    <t>NE</t>
  </si>
  <si>
    <t>MA</t>
  </si>
  <si>
    <t>SA</t>
  </si>
  <si>
    <t>ESC</t>
  </si>
  <si>
    <t>ENC</t>
  </si>
  <si>
    <t>WSC</t>
  </si>
  <si>
    <t>WNC</t>
  </si>
  <si>
    <t>M</t>
  </si>
  <si>
    <t>P</t>
  </si>
  <si>
    <t>Transportation</t>
  </si>
  <si>
    <t>Source</t>
  </si>
  <si>
    <t>Biofuel</t>
  </si>
  <si>
    <t>NYC</t>
  </si>
  <si>
    <t>Rail</t>
  </si>
  <si>
    <t>Marine</t>
  </si>
  <si>
    <t>Commercial</t>
  </si>
  <si>
    <t>New England</t>
  </si>
  <si>
    <t>Bronx</t>
  </si>
  <si>
    <t>Manhattan</t>
  </si>
  <si>
    <t>Staten Island</t>
  </si>
  <si>
    <t>Queens</t>
  </si>
  <si>
    <t>Brooklyn</t>
  </si>
  <si>
    <t>BTU</t>
  </si>
  <si>
    <t>This worksheet contains various population projections for use in scenarios.</t>
  </si>
  <si>
    <t xml:space="preserve">Note: Census projections are used with AEO data to determine demand-per-capita values.  </t>
  </si>
  <si>
    <t>Rows 9-17 hold the projections of interest for determining regional demands shown in CommData.</t>
  </si>
  <si>
    <t>To investigate a different population projection, paste the projection into rows 9-17, matching the region order as shown.</t>
  </si>
  <si>
    <t>Population Projections for calculations</t>
  </si>
  <si>
    <t>MN</t>
  </si>
  <si>
    <t>Population Projections for A1 Scenario*</t>
  </si>
  <si>
    <t>Middle Atlantic</t>
  </si>
  <si>
    <t>South Atlantic</t>
  </si>
  <si>
    <t>East South Central</t>
  </si>
  <si>
    <t>East North Central</t>
  </si>
  <si>
    <t>West South Central</t>
  </si>
  <si>
    <t>West North Central</t>
  </si>
  <si>
    <t>Mountain</t>
  </si>
  <si>
    <t>Pacific</t>
  </si>
  <si>
    <t>Total US</t>
  </si>
  <si>
    <t>Population Projections Based on Census Projections</t>
  </si>
  <si>
    <t>Total US (millions)</t>
  </si>
  <si>
    <t>* A1 scenario from ICLUS project.  ICLUS Pacific region has been adjusted to include Alaska and Hawaii projects based on Census projections.</t>
  </si>
  <si>
    <t>This worksheet contains the raw data to calculate national demands and regional shares for bus and passenger rail services.</t>
  </si>
  <si>
    <t>Note: National demands also use data from the AEO table.</t>
  </si>
  <si>
    <t>NATIONAL DEMANDS</t>
  </si>
  <si>
    <t>Passenger services by rail (billion pass-m)</t>
  </si>
  <si>
    <t xml:space="preserve">  Intercity Rail (Elec &amp; Diesel)</t>
  </si>
  <si>
    <t>Transit Rail (ELC)</t>
  </si>
  <si>
    <t>Source: NYC MTA</t>
  </si>
  <si>
    <t xml:space="preserve">  Commuter Rail (Elc &amp; diesel)</t>
  </si>
  <si>
    <t>USA_Bus services (billion vmt)</t>
  </si>
  <si>
    <t>NYC_Bus services (billion vmt)</t>
  </si>
  <si>
    <t>NYC GHG Inventory</t>
  </si>
  <si>
    <t xml:space="preserve"> Transit Bus</t>
  </si>
  <si>
    <t xml:space="preserve"> Intercity Bus (diesel)</t>
  </si>
  <si>
    <t xml:space="preserve"> School Bus</t>
  </si>
  <si>
    <t xml:space="preserve">Rail calculations Rows 17 to 177.     </t>
  </si>
  <si>
    <t>Bus calculations Rows 122+</t>
  </si>
  <si>
    <t>Determine energy intensity of passenger rail (VMT per BTU) for demand calculation</t>
  </si>
  <si>
    <t>https://www.apta.com/resources/statistics/Documents/FactBook/2018-APTA-Fact-Book.pdf</t>
  </si>
  <si>
    <t>Public Transportation Fact Book, 2009</t>
  </si>
  <si>
    <t xml:space="preserve">1gal diesel = </t>
  </si>
  <si>
    <t>Data from American Public Transportation Association (APTA)</t>
  </si>
  <si>
    <t>1 kwh =</t>
  </si>
  <si>
    <t>National Totals 2005</t>
  </si>
  <si>
    <t>CNG gal equiv</t>
  </si>
  <si>
    <t>Unlinked passenger trips/yr</t>
  </si>
  <si>
    <t>Pass. Miles (millions)</t>
  </si>
  <si>
    <t>Avg Trip Length (miles)</t>
  </si>
  <si>
    <t>Avg. # Pass. Per vehicle mile</t>
  </si>
  <si>
    <t>Tot. Miles, Vehicle (million)</t>
  </si>
  <si>
    <t>Million Miles per Trillion BTUs</t>
  </si>
  <si>
    <t>Diesel Fuel (gal)</t>
  </si>
  <si>
    <t>Electricity (kwh)</t>
  </si>
  <si>
    <t>Diesel</t>
  </si>
  <si>
    <t>Electriicy</t>
  </si>
  <si>
    <t>Mode</t>
  </si>
  <si>
    <t>tBTU</t>
  </si>
  <si>
    <t>Commuter Rail</t>
  </si>
  <si>
    <t>= Aeo Commuter rails</t>
  </si>
  <si>
    <t>Heavy Rail</t>
  </si>
  <si>
    <t>=Aeo Transit rail category</t>
  </si>
  <si>
    <t>Light Rail</t>
  </si>
  <si>
    <t>Data from BTS Table 4-18 Amtrak 2005</t>
  </si>
  <si>
    <t>TED-28 Table 9.10 Amtrak 2005</t>
  </si>
  <si>
    <t>Total energy usage</t>
  </si>
  <si>
    <t>= approx Intercity</t>
  </si>
  <si>
    <t>Rail total miles(passenger or vehicle)</t>
  </si>
  <si>
    <t>Billion miles (passenger or vehicle)</t>
  </si>
  <si>
    <r>
      <t>(BTS)</t>
    </r>
    <r>
      <rPr>
        <sz val="8"/>
        <rFont val="Arial"/>
        <family val="2"/>
      </rPr>
      <t xml:space="preserve"> Bureau of Transportation Statistics, </t>
    </r>
    <r>
      <rPr>
        <i/>
        <sz val="8"/>
        <rFont val="Arial"/>
        <family val="2"/>
      </rPr>
      <t>National Transportation Statistics 2009</t>
    </r>
  </si>
  <si>
    <t>Determine regional distribution of rail services</t>
  </si>
  <si>
    <t>MARKAL Rail Definition Crosswalk</t>
  </si>
  <si>
    <t>Transit rail = subway = heavy rail</t>
  </si>
  <si>
    <t>Transit rail = streetcars = light rail</t>
  </si>
  <si>
    <t>Regional  vehicle miles from Table 4.4 and APTA Table. Intercity vehicle miles based on boardings from Table 4.5 and vehicle from TED Table 9.10</t>
  </si>
  <si>
    <t>Commuter = passanger train = commuter rail</t>
  </si>
  <si>
    <t>Motor bus</t>
  </si>
  <si>
    <t>Commuter rail</t>
  </si>
  <si>
    <t>Intercity</t>
  </si>
  <si>
    <t>Total Rail</t>
  </si>
  <si>
    <t>Mode Distribution</t>
  </si>
  <si>
    <t>Intercity rail = AMTRAK</t>
  </si>
  <si>
    <t>Boardings</t>
  </si>
  <si>
    <t>Frac</t>
  </si>
  <si>
    <t>Miles</t>
  </si>
  <si>
    <t xml:space="preserve">Miles </t>
  </si>
  <si>
    <t>Transit</t>
  </si>
  <si>
    <t>Commuter</t>
  </si>
  <si>
    <t>CT,ME,MA,NH,RI,VT</t>
  </si>
  <si>
    <t>NY,NJ,PA</t>
  </si>
  <si>
    <t>DE,DC,GA,FL,MD,NC,SC,VA,WV</t>
  </si>
  <si>
    <t>AL,KY,MS,TN</t>
  </si>
  <si>
    <t>IL,IN,MI,OH,WI</t>
  </si>
  <si>
    <t>AR,LA,OK,TX</t>
  </si>
  <si>
    <t>IA,KS,MN,MO,NE,ND,SD</t>
  </si>
  <si>
    <t>AZ,CO,ID,MT,NV,NM,UT,WY</t>
  </si>
  <si>
    <t>AK,CA,HI,OR,WA</t>
  </si>
  <si>
    <t>Pass-miles</t>
  </si>
  <si>
    <t xml:space="preserve">A:  Commuter and Transit </t>
  </si>
  <si>
    <t>Table 4-4: Urban Transit Ridership by State and Transit Mode: 2005</t>
  </si>
  <si>
    <t>Source: Bureau of Transportation Statistics: State Transportation Statistics 2007</t>
  </si>
  <si>
    <t>Number of agencies reporting</t>
  </si>
  <si>
    <t>Annual unlinked passenger trips (thousands)</t>
  </si>
  <si>
    <t>Percent</t>
  </si>
  <si>
    <t>Boardings per year</t>
  </si>
  <si>
    <t>Boardings per region per year</t>
  </si>
  <si>
    <t>State</t>
  </si>
  <si>
    <t>Heavy rail</t>
  </si>
  <si>
    <t>Light rail</t>
  </si>
  <si>
    <t>Other</t>
  </si>
  <si>
    <t>Alabama</t>
  </si>
  <si>
    <t>AL</t>
  </si>
  <si>
    <t>Alaska</t>
  </si>
  <si>
    <t>AK</t>
  </si>
  <si>
    <t>Arizona</t>
  </si>
  <si>
    <t>AZ</t>
  </si>
  <si>
    <t>Arkansas</t>
  </si>
  <si>
    <t>AR</t>
  </si>
  <si>
    <t>California</t>
  </si>
  <si>
    <t>CA</t>
  </si>
  <si>
    <t>Colorado</t>
  </si>
  <si>
    <t>Connecticut</t>
  </si>
  <si>
    <t>CT</t>
  </si>
  <si>
    <t>Delaware</t>
  </si>
  <si>
    <t>DE</t>
  </si>
  <si>
    <t>District of Columbia</t>
  </si>
  <si>
    <t>DC</t>
  </si>
  <si>
    <t>Florida</t>
  </si>
  <si>
    <t>FL</t>
  </si>
  <si>
    <t>Georgia</t>
  </si>
  <si>
    <t>GA</t>
  </si>
  <si>
    <t>Hawaii</t>
  </si>
  <si>
    <t>HI</t>
  </si>
  <si>
    <t>Idaho</t>
  </si>
  <si>
    <t>ID</t>
  </si>
  <si>
    <t>Illinois</t>
  </si>
  <si>
    <t>IL</t>
  </si>
  <si>
    <t>Indiana</t>
  </si>
  <si>
    <t>IN</t>
  </si>
  <si>
    <t>Iowa</t>
  </si>
  <si>
    <t>IA</t>
  </si>
  <si>
    <t>Kansas</t>
  </si>
  <si>
    <t>KS</t>
  </si>
  <si>
    <t>Kentucky</t>
  </si>
  <si>
    <t>KY</t>
  </si>
  <si>
    <r>
      <t>Louisiana</t>
    </r>
    <r>
      <rPr>
        <vertAlign val="superscript"/>
        <sz val="8"/>
        <rFont val="Arial"/>
        <family val="2"/>
      </rPr>
      <t>1</t>
    </r>
  </si>
  <si>
    <t>LA</t>
  </si>
  <si>
    <t>Maine</t>
  </si>
  <si>
    <t>ME</t>
  </si>
  <si>
    <t>Maryland</t>
  </si>
  <si>
    <t>MD</t>
  </si>
  <si>
    <t>Massachusetts</t>
  </si>
  <si>
    <t>Michigan</t>
  </si>
  <si>
    <t>MI</t>
  </si>
  <si>
    <t>Minnesota</t>
  </si>
  <si>
    <t>Mississippi</t>
  </si>
  <si>
    <t>MS</t>
  </si>
  <si>
    <t>Missouri</t>
  </si>
  <si>
    <t>MO</t>
  </si>
  <si>
    <t>Montana</t>
  </si>
  <si>
    <t>MT</t>
  </si>
  <si>
    <t>Nebraska</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</si>
  <si>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</si>
  <si>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</si>
  <si>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</si>
  <si>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</si>
  <si>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</si>
  <si>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</si>
  <si>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</si>
  <si>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</si>
  <si>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</si>
  <si>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</si>
  <si>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</si>
  <si>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</si>
  <si>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</si>
  <si>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</si>
  <si>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</si>
  <si>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</si>
  <si>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</si>
  <si>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</si>
  <si>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</si>
  <si>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</si>
  <si>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</si>
  <si>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</si>
  <si>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</si>
  <si>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</si>
  <si>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</si>
  <si>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</si>
  <si>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</si>
  <si>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</si>
  <si>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</si>
  <si>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</si>
  <si>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</si>
  <si>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</si>
  <si>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</si>
  <si>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</si>
  <si>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</si>
  <si>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VE</t>
  </si>
  <si>
    <t>Virginia</t>
  </si>
  <si>
    <t>VA</t>
  </si>
  <si>
    <t>Washington</t>
  </si>
  <si>
    <t>WA</t>
  </si>
  <si>
    <t>West Virginia</t>
  </si>
  <si>
    <t>WV</t>
  </si>
  <si>
    <t>Wisconsin</t>
  </si>
  <si>
    <t>WI</t>
  </si>
  <si>
    <t>Wyoming</t>
  </si>
  <si>
    <t>WY</t>
  </si>
  <si>
    <r>
      <t>United States, total</t>
    </r>
    <r>
      <rPr>
        <vertAlign val="superscript"/>
        <sz val="8"/>
        <rFont val="Arial"/>
        <family val="2"/>
      </rPr>
      <t>2</t>
    </r>
  </si>
  <si>
    <t>US</t>
  </si>
  <si>
    <r>
      <t>1</t>
    </r>
    <r>
      <rPr>
        <sz val="8"/>
        <rFont val="Arial"/>
        <family val="2"/>
      </rPr>
      <t>The New Orleans Regional Transit Authority did not report data for 2005.</t>
    </r>
  </si>
  <si>
    <r>
      <t>2</t>
    </r>
    <r>
      <rPr>
        <sz val="8"/>
        <rFont val="Arial"/>
        <family val="2"/>
      </rPr>
      <t>Excludes Puerto Rico.</t>
    </r>
  </si>
  <si>
    <r>
      <t>NOTE:</t>
    </r>
    <r>
      <rPr>
        <sz val="8"/>
        <rFont val="Arial"/>
        <family val="2"/>
      </rPr>
      <t xml:space="preserve">  This table includes data from urban transit agencies that are required to report information to the federal government because they applied for or are direct beneficiaries of urbanized area formula grants (49 USC 5307).  Transit agencies with nine or fewer vehicles that would otherwise need to report under this definition typically receive a waiver from detailed reporting and, thus, are not necessarily included in the source database.  Data are assigned to the state of a transit agency's mailing address. Percentages may not add to 100 due to rounding. Ridership data may not add to national total due to rounding.</t>
    </r>
  </si>
  <si>
    <r>
      <t>SOURCE:</t>
    </r>
    <r>
      <rPr>
        <sz val="8"/>
        <rFont val="Arial"/>
        <family val="2"/>
      </rPr>
      <t xml:space="preserve"> U.S. Department of Transportation, Federal Transit Administration, National Transit Database, available at http://www.ntdprogram.com as of Nov. 16, 2007.</t>
    </r>
  </si>
  <si>
    <t>B.  Intercity</t>
  </si>
  <si>
    <t>Table 4-5: Top 50 Amtrak Stations by Number of Boardings: 2005 and 2006</t>
  </si>
  <si>
    <t>Fiscal Year 2005</t>
  </si>
  <si>
    <t>Fiscal Year 2006</t>
  </si>
  <si>
    <t>Station</t>
  </si>
  <si>
    <t>Rank</t>
  </si>
  <si>
    <t>Number of boardings</t>
  </si>
  <si>
    <t>Boardings per region 2005</t>
  </si>
  <si>
    <t>Regional Distribution</t>
  </si>
  <si>
    <r>
      <t>New York, NY</t>
    </r>
    <r>
      <rPr>
        <sz val="8"/>
        <rFont val="Arial"/>
        <family val="2"/>
      </rPr>
      <t xml:space="preserve"> </t>
    </r>
  </si>
  <si>
    <r>
      <t>Washington, DC</t>
    </r>
    <r>
      <rPr>
        <sz val="8"/>
        <rFont val="Arial"/>
        <family val="2"/>
      </rPr>
      <t xml:space="preserve"> </t>
    </r>
  </si>
  <si>
    <r>
      <t>Philadelphia, PA</t>
    </r>
    <r>
      <rPr>
        <sz val="8"/>
        <rFont val="Arial"/>
        <family val="2"/>
      </rPr>
      <t xml:space="preserve"> </t>
    </r>
  </si>
  <si>
    <r>
      <t>Chicago, IL</t>
    </r>
    <r>
      <rPr>
        <sz val="8"/>
        <rFont val="Arial"/>
        <family val="2"/>
      </rPr>
      <t xml:space="preserve"> </t>
    </r>
  </si>
  <si>
    <r>
      <t>Los Angeles, CA</t>
    </r>
    <r>
      <rPr>
        <sz val="8"/>
        <rFont val="Arial"/>
        <family val="2"/>
      </rPr>
      <t xml:space="preserve"> </t>
    </r>
  </si>
  <si>
    <t>Boston, MA</t>
  </si>
  <si>
    <r>
      <t>Sacramento, CA</t>
    </r>
    <r>
      <rPr>
        <sz val="8"/>
        <rFont val="Arial"/>
        <family val="2"/>
      </rPr>
      <t xml:space="preserve"> </t>
    </r>
  </si>
  <si>
    <t>Baltimore, MD</t>
  </si>
  <si>
    <r>
      <t>San Diego, CA</t>
    </r>
    <r>
      <rPr>
        <sz val="8"/>
        <rFont val="Arial"/>
        <family val="2"/>
      </rPr>
      <t xml:space="preserve"> </t>
    </r>
  </si>
  <si>
    <t>Albany-Rensselaer, NY</t>
  </si>
  <si>
    <r>
      <t>Wilmington, DE</t>
    </r>
    <r>
      <rPr>
        <sz val="8"/>
        <rFont val="Arial"/>
        <family val="2"/>
      </rPr>
      <t xml:space="preserve"> </t>
    </r>
  </si>
  <si>
    <t>one ninth of balance =</t>
  </si>
  <si>
    <t>New Haven, CT</t>
  </si>
  <si>
    <t>Since Table 4.5 represnts 77% of boardings, the</t>
  </si>
  <si>
    <r>
      <t>Newark, NJ</t>
    </r>
    <r>
      <rPr>
        <sz val="8"/>
        <rFont val="Arial"/>
        <family val="2"/>
      </rPr>
      <t xml:space="preserve"> </t>
    </r>
  </si>
  <si>
    <t>balance (23%) has been distributed evenly across regions (2.5%)</t>
  </si>
  <si>
    <r>
      <t>Seattle, WA</t>
    </r>
    <r>
      <rPr>
        <sz val="8"/>
        <rFont val="Arial"/>
        <family val="2"/>
      </rPr>
      <t xml:space="preserve"> </t>
    </r>
  </si>
  <si>
    <r>
      <t>Irvine, CA</t>
    </r>
    <r>
      <rPr>
        <sz val="8"/>
        <rFont val="Arial"/>
        <family val="2"/>
      </rPr>
      <t xml:space="preserve"> </t>
    </r>
  </si>
  <si>
    <t>Baltimore-Washington Intl. Airport, MD</t>
  </si>
  <si>
    <r>
      <t>Providence, RI</t>
    </r>
    <r>
      <rPr>
        <sz val="8"/>
        <rFont val="Arial"/>
        <family val="2"/>
      </rPr>
      <t xml:space="preserve"> </t>
    </r>
  </si>
  <si>
    <r>
      <t>Portland, OR</t>
    </r>
    <r>
      <rPr>
        <sz val="8"/>
        <rFont val="Arial"/>
        <family val="2"/>
      </rPr>
      <t xml:space="preserve"> </t>
    </r>
  </si>
  <si>
    <r>
      <t>Milwaukee, WI</t>
    </r>
    <r>
      <rPr>
        <sz val="8"/>
        <rFont val="Arial"/>
        <family val="2"/>
      </rPr>
      <t xml:space="preserve"> </t>
    </r>
  </si>
  <si>
    <r>
      <t>Emeryville, CA</t>
    </r>
    <r>
      <rPr>
        <sz val="8"/>
        <rFont val="Arial"/>
        <family val="2"/>
      </rPr>
      <t xml:space="preserve"> </t>
    </r>
  </si>
  <si>
    <t>Trenton, NJ</t>
  </si>
  <si>
    <r>
      <t>Solana Beach, CA</t>
    </r>
    <r>
      <rPr>
        <sz val="8"/>
        <rFont val="Arial"/>
        <family val="2"/>
      </rPr>
      <t xml:space="preserve"> </t>
    </r>
  </si>
  <si>
    <r>
      <t>Fullerton, CA</t>
    </r>
    <r>
      <rPr>
        <sz val="8"/>
        <rFont val="Arial"/>
        <family val="2"/>
      </rPr>
      <t xml:space="preserve"> </t>
    </r>
  </si>
  <si>
    <r>
      <t>Harrisburg, PA</t>
    </r>
    <r>
      <rPr>
        <sz val="8"/>
        <rFont val="Arial"/>
        <family val="2"/>
      </rPr>
      <t xml:space="preserve"> </t>
    </r>
  </si>
  <si>
    <t>Bakersfield, CA</t>
  </si>
  <si>
    <r>
      <t>Davis, CA</t>
    </r>
    <r>
      <rPr>
        <sz val="8"/>
        <rFont val="Arial"/>
        <family val="2"/>
      </rPr>
      <t xml:space="preserve"> </t>
    </r>
  </si>
  <si>
    <r>
      <t>Lancaster, PA</t>
    </r>
    <r>
      <rPr>
        <sz val="8"/>
        <rFont val="Arial"/>
        <family val="2"/>
      </rPr>
      <t xml:space="preserve"> </t>
    </r>
  </si>
  <si>
    <r>
      <t>Metropark, NJ</t>
    </r>
    <r>
      <rPr>
        <sz val="8"/>
        <rFont val="Arial"/>
        <family val="2"/>
      </rPr>
      <t xml:space="preserve"> </t>
    </r>
  </si>
  <si>
    <t>Anaheim, CA</t>
  </si>
  <si>
    <r>
      <t>Route 128, MA</t>
    </r>
    <r>
      <rPr>
        <sz val="8"/>
        <rFont val="Arial"/>
        <family val="2"/>
      </rPr>
      <t xml:space="preserve"> </t>
    </r>
  </si>
  <si>
    <t>Boston Back Bay, MA</t>
  </si>
  <si>
    <r>
      <t>Oceanside, CA</t>
    </r>
    <r>
      <rPr>
        <sz val="8"/>
        <rFont val="Arial"/>
        <family val="2"/>
      </rPr>
      <t xml:space="preserve"> </t>
    </r>
  </si>
  <si>
    <r>
      <t>Stamford, CT</t>
    </r>
    <r>
      <rPr>
        <sz val="8"/>
        <rFont val="Arial"/>
        <family val="2"/>
      </rPr>
      <t xml:space="preserve"> </t>
    </r>
  </si>
  <si>
    <t>Boston-North, MA</t>
  </si>
  <si>
    <r>
      <t>Martinez, CA</t>
    </r>
    <r>
      <rPr>
        <sz val="8"/>
        <rFont val="Arial"/>
        <family val="2"/>
      </rPr>
      <t xml:space="preserve"> </t>
    </r>
  </si>
  <si>
    <r>
      <t>Fresno, CA</t>
    </r>
    <r>
      <rPr>
        <sz val="8"/>
        <rFont val="Arial"/>
        <family val="2"/>
      </rPr>
      <t xml:space="preserve"> </t>
    </r>
  </si>
  <si>
    <r>
      <t>Oakland, CA</t>
    </r>
    <r>
      <rPr>
        <sz val="8"/>
        <rFont val="Arial"/>
        <family val="2"/>
      </rPr>
      <t xml:space="preserve"> </t>
    </r>
  </si>
  <si>
    <r>
      <t>Santa Barbara, CA</t>
    </r>
    <r>
      <rPr>
        <sz val="8"/>
        <rFont val="Arial"/>
        <family val="2"/>
      </rPr>
      <t xml:space="preserve"> </t>
    </r>
  </si>
  <si>
    <r>
      <t>San Juan Capistrano, CA</t>
    </r>
    <r>
      <rPr>
        <sz val="8"/>
        <rFont val="Arial"/>
        <family val="2"/>
      </rPr>
      <t xml:space="preserve"> </t>
    </r>
  </si>
  <si>
    <r>
      <t>Richmond (Staples Mill), VA</t>
    </r>
    <r>
      <rPr>
        <sz val="8"/>
        <rFont val="Arial"/>
        <family val="2"/>
      </rPr>
      <t xml:space="preserve"> </t>
    </r>
  </si>
  <si>
    <r>
      <t>Richmond, CA</t>
    </r>
    <r>
      <rPr>
        <sz val="8"/>
        <rFont val="Arial"/>
        <family val="2"/>
      </rPr>
      <t xml:space="preserve"> </t>
    </r>
  </si>
  <si>
    <r>
      <t>Lorton, VA (Auto Train)</t>
    </r>
    <r>
      <rPr>
        <sz val="8"/>
        <rFont val="Arial"/>
        <family val="2"/>
      </rPr>
      <t xml:space="preserve"> </t>
    </r>
  </si>
  <si>
    <r>
      <t>New Carrollton, MD</t>
    </r>
    <r>
      <rPr>
        <sz val="8"/>
        <rFont val="Arial"/>
        <family val="2"/>
      </rPr>
      <t xml:space="preserve"> </t>
    </r>
  </si>
  <si>
    <r>
      <t>Sanford, FL (Auto Train)</t>
    </r>
    <r>
      <rPr>
        <sz val="8"/>
        <rFont val="Arial"/>
        <family val="2"/>
      </rPr>
      <t xml:space="preserve"> </t>
    </r>
  </si>
  <si>
    <r>
      <t>Stockton (San Joaquin St.), CA</t>
    </r>
    <r>
      <rPr>
        <sz val="8"/>
        <rFont val="Arial"/>
        <family val="2"/>
      </rPr>
      <t xml:space="preserve"> </t>
    </r>
  </si>
  <si>
    <r>
      <t>Santa Ana, CA</t>
    </r>
    <r>
      <rPr>
        <sz val="8"/>
        <rFont val="Arial"/>
        <family val="2"/>
      </rPr>
      <t xml:space="preserve"> </t>
    </r>
  </si>
  <si>
    <r>
      <t>St. Louis, MO</t>
    </r>
    <r>
      <rPr>
        <sz val="8"/>
        <rFont val="Arial"/>
        <family val="2"/>
      </rPr>
      <t xml:space="preserve"> </t>
    </r>
  </si>
  <si>
    <r>
      <t>Rhinecliff, NY</t>
    </r>
    <r>
      <rPr>
        <sz val="8"/>
        <rFont val="Arial"/>
        <family val="2"/>
      </rPr>
      <t xml:space="preserve"> </t>
    </r>
  </si>
  <si>
    <r>
      <t>San Jose, CA</t>
    </r>
    <r>
      <rPr>
        <sz val="8"/>
        <rFont val="Arial"/>
        <family val="2"/>
      </rPr>
      <t xml:space="preserve"> </t>
    </r>
  </si>
  <si>
    <r>
      <t>Hartford, CT</t>
    </r>
    <r>
      <rPr>
        <sz val="8"/>
        <rFont val="Arial"/>
        <family val="2"/>
      </rPr>
      <t xml:space="preserve"> </t>
    </r>
  </si>
  <si>
    <t>Top 50 stations, total</t>
  </si>
  <si>
    <t>United States, all stations</t>
  </si>
  <si>
    <t>Top 50 stations as percent of U.S. total</t>
  </si>
  <si>
    <r>
      <t>NOTE:</t>
    </r>
    <r>
      <rPr>
        <sz val="8"/>
        <rFont val="Arial"/>
        <family val="2"/>
      </rPr>
      <t xml:space="preserve"> Amtrak's fiscal year ends on September 30. Ridership figures for fiscal year 2005 include passengers boarding on the Clocker route, which Amtrak no longer services. This route served the Northeast Corridor between Philadelphia and New York. If these passengers are excluded, the total boardings for fiscal year 2005 is 24,031,170.</t>
    </r>
  </si>
  <si>
    <r>
      <t>SOURCE:</t>
    </r>
    <r>
      <rPr>
        <sz val="8"/>
        <rFont val="Arial"/>
        <family val="2"/>
      </rPr>
      <t xml:space="preserve"> Amtrak, Office of Government Affairs, personal communication, Dec. 6, 2007.</t>
    </r>
  </si>
  <si>
    <t>Determine energy intensity of bus services (VMT per BTU) for demand calculation</t>
  </si>
  <si>
    <t>Summary Statistics from the regional data sources used to determine enegy intensity for buses</t>
  </si>
  <si>
    <t>Transit Bus BTU/VMT</t>
  </si>
  <si>
    <t xml:space="preserve"> From American Public Transit Association data</t>
  </si>
  <si>
    <t>Intercity Bus BTU/VMT</t>
  </si>
  <si>
    <t xml:space="preserve"> Derived from American Bus Association data and FHWA generic bus data</t>
  </si>
  <si>
    <t>School Bus BTU/VMT</t>
  </si>
  <si>
    <t>From American School Bus Council Data</t>
  </si>
  <si>
    <t>BTS National Transportation Statistics 2009</t>
  </si>
  <si>
    <t>Note:  These statistics are inconsistent with other data.  BTS energy use for all buses is almost 50% lower than AEO data.</t>
  </si>
  <si>
    <t>Table 4-15:  Bus Fuel Consumption and Travel*</t>
  </si>
  <si>
    <t>Number registered (thousands)</t>
  </si>
  <si>
    <t>Vehicle-miles traveled (millions)</t>
  </si>
  <si>
    <t>Fuel consumed (million gallons)</t>
  </si>
  <si>
    <t>Average miles traveled per vehicle (thousands)</t>
  </si>
  <si>
    <t>Average miles traveled per gallon</t>
  </si>
  <si>
    <t>Average fuel consumed per vehicle (gallons)</t>
  </si>
  <si>
    <r>
      <t xml:space="preserve">KEY: </t>
    </r>
    <r>
      <rPr>
        <sz val="8"/>
        <rFont val="Arial"/>
        <family val="2"/>
      </rPr>
      <t xml:space="preserve"> R = revised.</t>
    </r>
  </si>
  <si>
    <t>BTU per VMT not including transit buses</t>
  </si>
  <si>
    <t>* 1960-1994 not presented here</t>
  </si>
  <si>
    <t>tBTU of fuel assuming all diesel</t>
  </si>
  <si>
    <t>NOTE</t>
  </si>
  <si>
    <t>tBTU for all buses from AEO data</t>
  </si>
  <si>
    <t>Includes both publicly and privately owned school, transit, and other commercial buses.</t>
  </si>
  <si>
    <t>tBTU for transist buses from AEO data</t>
  </si>
  <si>
    <t>SOURCES for Table 4-15</t>
  </si>
  <si>
    <r>
      <t xml:space="preserve">1960-94: U.S. Department of Transportation, Federal Highway Administration, </t>
    </r>
    <r>
      <rPr>
        <i/>
        <sz val="8"/>
        <rFont val="Arial"/>
        <family val="2"/>
      </rPr>
      <t xml:space="preserve">Highway Statistics Summary to 1995, </t>
    </r>
    <r>
      <rPr>
        <sz val="8"/>
        <rFont val="Arial"/>
        <family val="2"/>
      </rPr>
      <t>FHWA-PL-97-009</t>
    </r>
    <r>
      <rPr>
        <i/>
        <sz val="8"/>
        <rFont val="Arial"/>
        <family val="2"/>
      </rPr>
      <t xml:space="preserve"> </t>
    </r>
    <r>
      <rPr>
        <sz val="8"/>
        <rFont val="Arial"/>
        <family val="2"/>
      </rPr>
      <t>(Washington, DC: July 1997), table VM-201A, available at www.fhwa.dot.gov/policy/ohpi as of Mar. 23, 2009.</t>
    </r>
  </si>
  <si>
    <r>
      <t xml:space="preserve">1995-2007: Ibid., </t>
    </r>
    <r>
      <rPr>
        <i/>
        <sz val="8"/>
        <rFont val="Arial"/>
        <family val="2"/>
      </rPr>
      <t xml:space="preserve">Highway Statistics </t>
    </r>
    <r>
      <rPr>
        <sz val="8"/>
        <rFont val="Arial"/>
        <family val="2"/>
      </rPr>
      <t>(Washington, DC: Annual issues), table VM-1, available at www.fhwa.dot.gov/policy/ohpi as of Mar. 23, 2009.</t>
    </r>
  </si>
  <si>
    <t>Table 4-24:  Energy Intensity of Transit Motor Buses *</t>
  </si>
  <si>
    <t>Vehicle-miles (millions)</t>
  </si>
  <si>
    <t>Passenger-miles (millions)</t>
  </si>
  <si>
    <t xml:space="preserve">Fuel consumed (million gallons diesel) </t>
  </si>
  <si>
    <t>Energy intensity (Btu / passenger-mile)</t>
  </si>
  <si>
    <r>
      <t>KEY:</t>
    </r>
    <r>
      <rPr>
        <sz val="8"/>
        <rFont val="Arial"/>
        <family val="2"/>
      </rPr>
      <t xml:space="preserve">  Btu = British thermal unit; N = data do not exist; P= Preliminary; R = Revised. </t>
    </r>
  </si>
  <si>
    <t>Million gallons non-diesel^</t>
  </si>
  <si>
    <t>^Table 32, 2009 Public Transportation Fact Book, Appendix A: Historical Tables</t>
  </si>
  <si>
    <t>BTU per VMT</t>
  </si>
  <si>
    <t>mpg</t>
  </si>
  <si>
    <t xml:space="preserve">Heat equivalent factor used for Btu is 138,700 Btu/gallon.  </t>
  </si>
  <si>
    <t>SOURCE for Table 4-24</t>
  </si>
  <si>
    <r>
      <t>American Public Transportation Association,</t>
    </r>
    <r>
      <rPr>
        <i/>
        <sz val="8"/>
        <rFont val="Arial"/>
        <family val="2"/>
      </rPr>
      <t xml:space="preserve"> 2008 Public Transportation Fact Book </t>
    </r>
    <r>
      <rPr>
        <sz val="8"/>
        <rFont val="Arial"/>
        <family val="2"/>
      </rPr>
      <t xml:space="preserve">(Washington, DC: 2007), tables 6, 10, 28,  and similar tables in earlier editions, available at http://www.apta.com/ as of December 2008. </t>
    </r>
  </si>
  <si>
    <t>Determine regional distribution of bus services</t>
  </si>
  <si>
    <t>Regional share</t>
  </si>
  <si>
    <t xml:space="preserve">NYC </t>
  </si>
  <si>
    <t>Borough Share</t>
  </si>
  <si>
    <t>R1</t>
  </si>
  <si>
    <t>Unlinked Pass.</t>
  </si>
  <si>
    <t>Passenger</t>
  </si>
  <si>
    <t>Average Trip</t>
  </si>
  <si>
    <t>Avg. Pass.</t>
  </si>
  <si>
    <t>Vehicle Miles</t>
  </si>
  <si>
    <t>Diesel Gal.</t>
  </si>
  <si>
    <t>CNG gal</t>
  </si>
  <si>
    <t>Other gal</t>
  </si>
  <si>
    <t>Operating</t>
  </si>
  <si>
    <t>Buses</t>
  </si>
  <si>
    <t>Avg annual</t>
  </si>
  <si>
    <t>Trips (millions)</t>
  </si>
  <si>
    <t>Miles (millions)</t>
  </si>
  <si>
    <t>Length</t>
  </si>
  <si>
    <t>Load</t>
  </si>
  <si>
    <t>Million</t>
  </si>
  <si>
    <t>millions</t>
  </si>
  <si>
    <t>Millions</t>
  </si>
  <si>
    <t>expense (M$)</t>
  </si>
  <si>
    <t>Available</t>
  </si>
  <si>
    <t>Mileage</t>
  </si>
  <si>
    <t>Table 1</t>
  </si>
  <si>
    <t>Table 2</t>
  </si>
  <si>
    <t>Table 3</t>
  </si>
  <si>
    <t>Table 5</t>
  </si>
  <si>
    <t>Table 6</t>
  </si>
  <si>
    <t>Table 30</t>
  </si>
  <si>
    <t>Table 32</t>
  </si>
  <si>
    <t>Table 38</t>
  </si>
  <si>
    <t xml:space="preserve">Table 45 </t>
  </si>
  <si>
    <r>
      <t>Data for above</t>
    </r>
    <r>
      <rPr>
        <b/>
        <sz val="8"/>
        <rFont val="Arial"/>
        <family val="2"/>
      </rPr>
      <t xml:space="preserve"> are extracted from the American Public Transportation Association</t>
    </r>
  </si>
  <si>
    <t>2009 Public Transportation Fact Book, Appendix A: Historical Tables</t>
  </si>
  <si>
    <t>Transit Bus*</t>
  </si>
  <si>
    <t>School Bus</t>
  </si>
  <si>
    <t>unadjusted VMT</t>
  </si>
  <si>
    <t>VMT</t>
  </si>
  <si>
    <t>Counts**</t>
  </si>
  <si>
    <t>Buses^</t>
  </si>
  <si>
    <t>Bus VMT</t>
  </si>
  <si>
    <t>From American School Bus Council</t>
  </si>
  <si>
    <t>Adjusted to 2005</t>
  </si>
  <si>
    <t>National School Bus Fuel Data Fact Sheet, 2008</t>
  </si>
  <si>
    <t>Estimate # buses</t>
  </si>
  <si>
    <t>for 1999, School Bus Fact Sheet</t>
  </si>
  <si>
    <t>Avg miles per bus</t>
  </si>
  <si>
    <t>Avg mpg per bus</t>
  </si>
  <si>
    <t>Annual fuel use per bus</t>
  </si>
  <si>
    <t>gal</t>
  </si>
  <si>
    <t>Total fuels used</t>
  </si>
  <si>
    <t>tBTU of fuel assuming diesel</t>
  </si>
  <si>
    <t xml:space="preserve">tBTU from AEO data </t>
  </si>
  <si>
    <t>Bus data extracted from Table VM-1</t>
  </si>
  <si>
    <r>
      <t>Highway Statistics 2005</t>
    </r>
    <r>
      <rPr>
        <sz val="8"/>
        <rFont val="Arial"/>
        <family val="2"/>
      </rPr>
      <t>, Federal Highway Adminisistration</t>
    </r>
  </si>
  <si>
    <t>Annual VMT (Millions)</t>
  </si>
  <si>
    <t xml:space="preserve">  Interstate Rural</t>
  </si>
  <si>
    <t xml:space="preserve">  Other Arterial Rural</t>
  </si>
  <si>
    <t xml:space="preserve">  Other Rural</t>
  </si>
  <si>
    <t>Louisiana</t>
  </si>
  <si>
    <t xml:space="preserve"> All Rural</t>
  </si>
  <si>
    <t xml:space="preserve">  Interstate Urban</t>
  </si>
  <si>
    <t xml:space="preserve">  Other Urban</t>
  </si>
  <si>
    <t xml:space="preserve"> All Urban</t>
  </si>
  <si>
    <t xml:space="preserve"> Total Rural and Urban</t>
  </si>
  <si>
    <t>Miles adjusted to meet AEO energy</t>
  </si>
  <si>
    <t xml:space="preserve"> Number of motor vehicles</t>
  </si>
  <si>
    <t xml:space="preserve">  registered  4/</t>
  </si>
  <si>
    <t xml:space="preserve"> Average miles traveled</t>
  </si>
  <si>
    <t>Avg Miles adjueted to AEO energy</t>
  </si>
  <si>
    <t xml:space="preserve">  per vehicle</t>
  </si>
  <si>
    <t xml:space="preserve"> Person-miles of travel  5/</t>
  </si>
  <si>
    <t xml:space="preserve">  (millions)</t>
  </si>
  <si>
    <t xml:space="preserve"> Fuel consumed  6/</t>
  </si>
  <si>
    <t>tBTU fuel use assuming diesel</t>
  </si>
  <si>
    <t xml:space="preserve">  (thousand gallons)</t>
  </si>
  <si>
    <t>tBTU from AEO data</t>
  </si>
  <si>
    <t xml:space="preserve"> Average fuel consumption per</t>
  </si>
  <si>
    <t xml:space="preserve">  vehicle (gallons)  6/</t>
  </si>
  <si>
    <t xml:space="preserve"> Average miles traveled per</t>
  </si>
  <si>
    <t xml:space="preserve">  gallon of fuel consumed  6/</t>
  </si>
  <si>
    <r>
      <t xml:space="preserve">Motorcoach Data from </t>
    </r>
    <r>
      <rPr>
        <i/>
        <sz val="8"/>
        <rFont val="Arial"/>
        <family val="2"/>
      </rPr>
      <t>MotorCoach Census Update 2008</t>
    </r>
  </si>
  <si>
    <t>Provided to American Bus Association</t>
  </si>
  <si>
    <t>Avg. annual mileage per coach (2007)</t>
  </si>
  <si>
    <t>US Motorcoaches</t>
  </si>
  <si>
    <t>Fuel Consumed (million gallons)</t>
  </si>
  <si>
    <t>Assumed annual mileage for "other" buses</t>
  </si>
  <si>
    <t>Average annual gallons for other buses</t>
  </si>
  <si>
    <t>US Total (millions)</t>
  </si>
  <si>
    <t>US Bus VMT</t>
  </si>
  <si>
    <t>Non-transit buses</t>
  </si>
  <si>
    <t>* Data for Transit Buses copied from Table 4-4 in Commuter and Rail section above</t>
  </si>
  <si>
    <t>Fraction motorcoaches</t>
  </si>
  <si>
    <t>Fraction other</t>
  </si>
  <si>
    <r>
      <t xml:space="preserve">** Source:  Transportation Data 2005-2006 School Year, </t>
    </r>
    <r>
      <rPr>
        <i/>
        <sz val="8"/>
        <rFont val="Arial"/>
        <family val="2"/>
      </rPr>
      <t>School Transportation News Buyer's Guide</t>
    </r>
    <r>
      <rPr>
        <sz val="8"/>
        <rFont val="Arial"/>
        <family val="2"/>
      </rPr>
      <t xml:space="preserve">, </t>
    </r>
  </si>
  <si>
    <t>National Association of State Directors of Pupil Transportation Services</t>
  </si>
  <si>
    <t>^ Source: Table MV-10, Bus registrations 2005, FHWA</t>
  </si>
  <si>
    <t>R7</t>
  </si>
  <si>
    <t>R8</t>
  </si>
  <si>
    <t>R9</t>
  </si>
  <si>
    <t>Population</t>
  </si>
  <si>
    <t>PM2.5</t>
  </si>
  <si>
    <t>Biodiesel</t>
  </si>
  <si>
    <t>Transit Bus</t>
  </si>
  <si>
    <t>Gasoline</t>
  </si>
  <si>
    <t>Passenger Rail</t>
  </si>
  <si>
    <t>Air Jet, Passenger Existing</t>
  </si>
  <si>
    <t>Appendix H</t>
  </si>
  <si>
    <t>Citywide GHG Emissions Summary</t>
  </si>
  <si>
    <t>CY 2005</t>
  </si>
  <si>
    <t>CY 2014</t>
  </si>
  <si>
    <t>CY 2015</t>
  </si>
  <si>
    <t>Change from 2014</t>
  </si>
  <si>
    <t>Change from 2005</t>
  </si>
  <si>
    <t>Sector</t>
  </si>
  <si>
    <t>Consumed</t>
  </si>
  <si>
    <t>tCO2e</t>
  </si>
  <si>
    <t>Source MMBtu</t>
  </si>
  <si>
    <t>Source PJ</t>
  </si>
  <si>
    <t>Stationary Energy</t>
  </si>
  <si>
    <t>Residential (small and large residential)</t>
  </si>
  <si>
    <t>#2 fuel oil</t>
  </si>
  <si>
    <t>liter</t>
  </si>
  <si>
    <t>#4 fuel oil</t>
  </si>
  <si>
    <t>liters</t>
  </si>
  <si>
    <t>#6 fuel oil</t>
  </si>
  <si>
    <t>1,168%</t>
  </si>
  <si>
    <t>Electricity</t>
  </si>
  <si>
    <t>kWh</t>
  </si>
  <si>
    <t>Natural gas</t>
  </si>
  <si>
    <t>GJ</t>
  </si>
  <si>
    <t>Steam</t>
  </si>
  <si>
    <t>kg</t>
  </si>
  <si>
    <t>Commercial and Institutional (commercial, institutional, and streetlights)</t>
  </si>
  <si>
    <t>Manufacturing and construction (industrial)</t>
  </si>
  <si>
    <t>Fugitive natural gas</t>
  </si>
  <si>
    <t>CH4 - natural gas distribution</t>
  </si>
  <si>
    <t>-</t>
  </si>
  <si>
    <t>On-Road</t>
  </si>
  <si>
    <t>Passenger cars</t>
  </si>
  <si>
    <t>Medium duty trucks</t>
  </si>
  <si>
    <t>Heavy duty trucks</t>
  </si>
  <si>
    <t>Railways</t>
  </si>
  <si>
    <t>Electricity - subway and commuter rail</t>
  </si>
  <si>
    <t>Diesel - commuter rail</t>
  </si>
  <si>
    <t>Marine Navigation</t>
  </si>
  <si>
    <t>Diesel - marine navigation</t>
  </si>
  <si>
    <t>Transport demand</t>
  </si>
  <si>
    <t>Gasoline - marine navigation</t>
  </si>
  <si>
    <t>Aviation</t>
  </si>
  <si>
    <t>Jet fuel - aviation</t>
  </si>
  <si>
    <t>Waste</t>
  </si>
  <si>
    <t>Landfills</t>
  </si>
  <si>
    <t>Exported solid waste - landfills</t>
  </si>
  <si>
    <t>Biological treatment</t>
  </si>
  <si>
    <t>CH4 and N2O - composting</t>
  </si>
  <si>
    <t>Wastewater treatment</t>
  </si>
  <si>
    <t>CH4 - wastewater treatment plants</t>
  </si>
  <si>
    <t>N2O - wastewater treatment plants</t>
  </si>
  <si>
    <t>TOTALS</t>
  </si>
  <si>
    <t>Inventory of New York City Greenhouse Gas Emissions: April 2017</t>
  </si>
  <si>
    <t>GHG Emissions 2010</t>
  </si>
  <si>
    <t>Fuel Type</t>
  </si>
  <si>
    <t>MgCO2e</t>
  </si>
  <si>
    <t>Source GJ</t>
  </si>
  <si>
    <t>Row Labels</t>
  </si>
  <si>
    <t>Sum of Source GJ</t>
  </si>
  <si>
    <t>Sum of Consumed</t>
  </si>
  <si>
    <t>Sum of 2010</t>
  </si>
  <si>
    <t>transit bus</t>
  </si>
  <si>
    <t>transportation</t>
  </si>
  <si>
    <t>commuter rail</t>
  </si>
  <si>
    <t>TR</t>
  </si>
  <si>
    <t>heavy truck</t>
  </si>
  <si>
    <t>Diesel Hybrid</t>
  </si>
  <si>
    <t>light truck</t>
  </si>
  <si>
    <t>TL</t>
  </si>
  <si>
    <t>non-transit bus</t>
  </si>
  <si>
    <t>Grand Total</t>
  </si>
  <si>
    <t>Fuel Cell</t>
  </si>
  <si>
    <t>passenger cars</t>
  </si>
  <si>
    <t>solid waste trn rail</t>
  </si>
  <si>
    <t>Gasoline Hybrid</t>
  </si>
  <si>
    <t>solid waste trn truck</t>
  </si>
  <si>
    <t>subway and commuter rail</t>
  </si>
  <si>
    <t>Street light and traffic signals</t>
  </si>
  <si>
    <t>These values are taken from Citywide GHG emissions summary Appendix K publication year 2012</t>
  </si>
  <si>
    <t>Consumption values that provided by NYC are not equal to the total consumption presented NYC 2010 GHG inventory report</t>
  </si>
  <si>
    <t>% values are gathered and applied to the reported values</t>
  </si>
  <si>
    <t>Exp.</t>
  </si>
  <si>
    <t>Nom.</t>
  </si>
  <si>
    <t>light</t>
  </si>
  <si>
    <t>NYCMI_PV</t>
  </si>
  <si>
    <t>ACTIVITY.L</t>
  </si>
  <si>
    <t>SCTHDSL</t>
  </si>
  <si>
    <t>eff</t>
  </si>
  <si>
    <t>dmd</t>
  </si>
  <si>
    <t>DMD</t>
  </si>
  <si>
    <t>TRP DMD</t>
  </si>
  <si>
    <t>Fuel consumption data is provided by New York City Department of Health and Mental Hygiene</t>
  </si>
  <si>
    <t>THD DMD</t>
  </si>
  <si>
    <t>Eff</t>
  </si>
  <si>
    <t>DMD-2010</t>
  </si>
  <si>
    <t>DMD-2015</t>
  </si>
  <si>
    <t>TM DMD</t>
  </si>
  <si>
    <t>TRN</t>
  </si>
  <si>
    <t>Bus, Exisiting Diesel</t>
  </si>
  <si>
    <t>TB DMD</t>
  </si>
  <si>
    <t>TB RESID  DIE</t>
  </si>
  <si>
    <t>TB RESID  CNG</t>
  </si>
  <si>
    <t>Year</t>
  </si>
  <si>
    <t>Solid Waste Generated (pounds/person/day)</t>
  </si>
  <si>
    <t>intercept</t>
  </si>
  <si>
    <t>slope</t>
  </si>
  <si>
    <t>pound to ton</t>
  </si>
  <si>
    <t>* Total SW generated (ton)</t>
  </si>
  <si>
    <t>Borough</t>
  </si>
  <si>
    <t>transportation modes for City Collected Waste</t>
  </si>
  <si>
    <t xml:space="preserve">Rail </t>
  </si>
  <si>
    <t xml:space="preserve">Truck </t>
  </si>
  <si>
    <t>Increase in Waste (%)</t>
  </si>
  <si>
    <t>Fuel Consumption (PJ)</t>
  </si>
  <si>
    <t>2010 (bn-t-m)</t>
  </si>
  <si>
    <t>mile per ton of MWS</t>
  </si>
  <si>
    <t>TRF_MSW</t>
  </si>
  <si>
    <t>Heavy Truck, Short Haul</t>
  </si>
  <si>
    <t>2010 (bn-vmt)</t>
  </si>
  <si>
    <t>TSW_MSW</t>
  </si>
  <si>
    <t>This worksheet contains imported technology data for air and marine (and regional share data for air).</t>
  </si>
  <si>
    <t>Regional shares of air travel.</t>
  </si>
  <si>
    <t>Technology</t>
  </si>
  <si>
    <t>Capacity</t>
  </si>
  <si>
    <t>First Year</t>
  </si>
  <si>
    <t>Unit</t>
  </si>
  <si>
    <t>(M2000$ per demand unit/a)</t>
  </si>
  <si>
    <t>(demand unit/PJ)</t>
  </si>
  <si>
    <t>Stock - passenger</t>
  </si>
  <si>
    <t>Jet fuel (naphtha)</t>
  </si>
  <si>
    <t>Air Jet, Passenger 2010</t>
  </si>
  <si>
    <t>Existing Technology - passenger</t>
  </si>
  <si>
    <t>over stock</t>
  </si>
  <si>
    <t>Air Jet, Passenger, Syn fuel, 2010</t>
  </si>
  <si>
    <t>Switch to Synthetic Fuel - passenger</t>
  </si>
  <si>
    <t>Synthetic Fuel</t>
  </si>
  <si>
    <t>over base</t>
  </si>
  <si>
    <t>Air Jet, Passenger (Wing tips),2010</t>
  </si>
  <si>
    <t>Wing Tip Device - passenger</t>
  </si>
  <si>
    <t>Switch to Hydrogen Fuel - passenger</t>
  </si>
  <si>
    <t>Hydrogen Fuel</t>
  </si>
  <si>
    <t>Air Jet Passeneger (APU) 2015</t>
  </si>
  <si>
    <t>Fuel-cell Auxiliary Power Unit (APU) - passenger</t>
  </si>
  <si>
    <t>Air Jet, Passenger(blended wing), 2030</t>
  </si>
  <si>
    <t>Blended Wing Design - passenger</t>
  </si>
  <si>
    <t>Air Jet, Passenger (improved aero), 2030</t>
  </si>
  <si>
    <t>Subtle Aerodynamic Improvements - passenger</t>
  </si>
  <si>
    <t>High Bypass Ratio Engine - passenger</t>
  </si>
  <si>
    <t>Air Jet Passenger, (geared engine), 2015</t>
  </si>
  <si>
    <t>Geared Jet Engine - passenger</t>
  </si>
  <si>
    <t>Open Rotor Engine (Propfan) - passenger</t>
  </si>
  <si>
    <t>General aviation  exsiting</t>
  </si>
  <si>
    <t>gasoline</t>
  </si>
  <si>
    <t>General aviation  assumed eff improvement</t>
  </si>
  <si>
    <t>Passenger Boardings by Commerical Service Airports 2005</t>
  </si>
  <si>
    <t>Cargo planes</t>
  </si>
  <si>
    <t>ST</t>
  </si>
  <si>
    <t>Large Certified</t>
  </si>
  <si>
    <t>Small &amp; Commuter</t>
  </si>
  <si>
    <t>Air Taxi</t>
  </si>
  <si>
    <t>FFC &amp; In-Transit</t>
  </si>
  <si>
    <t>Stock - cargo</t>
  </si>
  <si>
    <t>AK Total</t>
  </si>
  <si>
    <t>Existing Technology - cargo</t>
  </si>
  <si>
    <t>AL Total</t>
  </si>
  <si>
    <t>Switch to Synthetic Fuel - cargo</t>
  </si>
  <si>
    <t>AR Total</t>
  </si>
  <si>
    <t>Wing Tip Device - cargo</t>
  </si>
  <si>
    <t>AZ Total</t>
  </si>
  <si>
    <t>Switch to Hydrogen Fuel - cargo</t>
  </si>
  <si>
    <t>CA Total</t>
  </si>
  <si>
    <t>Fuel-cell Auxiliary Power Unit (APU) - cargo</t>
  </si>
  <si>
    <t>CO Total</t>
  </si>
  <si>
    <t>Blended Wing Design - cargo</t>
  </si>
  <si>
    <t>CT Total</t>
  </si>
  <si>
    <t>Subtle Aerodynamic Improvements - cargo</t>
  </si>
  <si>
    <t>High Bypass Ratio Engine - cargo</t>
  </si>
  <si>
    <t>FL Total</t>
  </si>
  <si>
    <t>Geared Jet Engine - cargo</t>
  </si>
  <si>
    <t>GA Total</t>
  </si>
  <si>
    <t>Open Rotor Engine (Propfan) - cargo</t>
  </si>
  <si>
    <t>HI Total</t>
  </si>
  <si>
    <t>MARINE SHIPPING</t>
  </si>
  <si>
    <t>IA Total</t>
  </si>
  <si>
    <t>Existing</t>
  </si>
  <si>
    <t>diesel</t>
  </si>
  <si>
    <t>ID Total</t>
  </si>
  <si>
    <t>Fuel Injection Engine Improvements</t>
  </si>
  <si>
    <t>IL Total</t>
  </si>
  <si>
    <t>Common rail</t>
  </si>
  <si>
    <t>IN Total</t>
  </si>
  <si>
    <t>Diesel Electric</t>
  </si>
  <si>
    <t>KS Total</t>
  </si>
  <si>
    <t>KY Total</t>
  </si>
  <si>
    <t>Exisiting</t>
  </si>
  <si>
    <t>residual</t>
  </si>
  <si>
    <t>LA Total</t>
  </si>
  <si>
    <t>Residual</t>
  </si>
  <si>
    <t>MA Total</t>
  </si>
  <si>
    <t>MD Total</t>
  </si>
  <si>
    <t>Bubble lubrication</t>
  </si>
  <si>
    <t>ME Total</t>
  </si>
  <si>
    <t>MI Total</t>
  </si>
  <si>
    <t>MN Total</t>
  </si>
  <si>
    <t>MO Total</t>
  </si>
  <si>
    <t>Emissions</t>
  </si>
  <si>
    <t>2015-2050</t>
  </si>
  <si>
    <t>MS Total</t>
  </si>
  <si>
    <t>grams/gross-ton-mile</t>
  </si>
  <si>
    <t>N20</t>
  </si>
  <si>
    <t>MT Total</t>
  </si>
  <si>
    <t>NC Total</t>
  </si>
  <si>
    <t>ND Total</t>
  </si>
  <si>
    <t>Water Shipping, Diesel, New vessels</t>
  </si>
  <si>
    <t>NE Total</t>
  </si>
  <si>
    <t>Water Shipping, Residual oil, New vessels</t>
  </si>
  <si>
    <t>These data from projects performed by ERG.</t>
  </si>
  <si>
    <t>BCPM2.5</t>
  </si>
  <si>
    <t>OCPM2.5</t>
  </si>
  <si>
    <t>NH Total</t>
  </si>
  <si>
    <r>
      <t xml:space="preserve">Aviation data from worksheet </t>
    </r>
    <r>
      <rPr>
        <i/>
        <sz val="8"/>
        <rFont val="Arial"/>
        <family val="2"/>
      </rPr>
      <t>MARKAL Aviation Cost Calculations 072111</t>
    </r>
  </si>
  <si>
    <t>NJ Total</t>
  </si>
  <si>
    <t>data sources: EPA (emissions), DOD, FAA, several manufacturers and some trade and journal literature</t>
  </si>
  <si>
    <t>NM Total</t>
  </si>
  <si>
    <r>
      <t xml:space="preserve">Shipping data is from worksheet </t>
    </r>
    <r>
      <rPr>
        <i/>
        <sz val="8"/>
        <rFont val="Arial"/>
        <family val="2"/>
      </rPr>
      <t>MARKAL MV 7-22-11</t>
    </r>
  </si>
  <si>
    <t>NV Total</t>
  </si>
  <si>
    <t>data sources: EPA reports, ship manufacturers, Swedish Environmental Protection Agency (emission factors)</t>
  </si>
  <si>
    <t>NY Total</t>
  </si>
  <si>
    <t>Factors for black carbon and organic carbon from RTI.</t>
  </si>
  <si>
    <t>OH Total</t>
  </si>
  <si>
    <t>OK Total</t>
  </si>
  <si>
    <t>OR Total</t>
  </si>
  <si>
    <t>PA Total</t>
  </si>
  <si>
    <t>RI Total</t>
  </si>
  <si>
    <t>SC Total</t>
  </si>
  <si>
    <t>SD Total</t>
  </si>
  <si>
    <t>TN Total</t>
  </si>
  <si>
    <t>TX Total</t>
  </si>
  <si>
    <t>UT Total</t>
  </si>
  <si>
    <t>VA Total</t>
  </si>
  <si>
    <t>VT Total</t>
  </si>
  <si>
    <t>WA Total</t>
  </si>
  <si>
    <t>WI Total</t>
  </si>
  <si>
    <t>WV Total</t>
  </si>
  <si>
    <t>WY Total</t>
  </si>
  <si>
    <t>US Total</t>
  </si>
  <si>
    <t>http://www.faa.gov/airports/planning_capacity/passenger_allcargo_stats/passenger/index.cfm?year=2005</t>
  </si>
  <si>
    <t>This worksheet contains the imported technology data for rail frieght and determines the regional shares for rail freight and marine shipping based on ton-miles.</t>
  </si>
  <si>
    <t>(M2005$ per demand unit/a)</t>
  </si>
  <si>
    <t>Biodiesel resids from Biomass work books</t>
  </si>
  <si>
    <t>Current Fleet</t>
  </si>
  <si>
    <t xml:space="preserve">Engine Improvements - 25% </t>
  </si>
  <si>
    <t>Currently Available</t>
  </si>
  <si>
    <t xml:space="preserve">Engine Improvements - 2015 and 2020 25% </t>
  </si>
  <si>
    <t>These are assigned to short haul trucks to reflect use in fleets.</t>
  </si>
  <si>
    <t xml:space="preserve">Engine Improvements - 10% </t>
  </si>
  <si>
    <t>** Data from EPAUS9R Model</t>
  </si>
  <si>
    <t xml:space="preserve">Engine Improvements - 2015 and 2020 10% </t>
  </si>
  <si>
    <t>APUs/anti-idling strategies</t>
  </si>
  <si>
    <t>Biodiesel (B20)</t>
  </si>
  <si>
    <t xml:space="preserve">Assume engine remanufacturing cost is 1% of capital </t>
  </si>
  <si>
    <t>Truck</t>
  </si>
  <si>
    <t>and there are 6 remanufactures in a life-time</t>
  </si>
  <si>
    <t>Table 3-4: Rail Shipments: 2005</t>
  </si>
  <si>
    <t>These values adjusted by national averages from 2007 Commodity Flow Survey</t>
  </si>
  <si>
    <t>Table 3-5: Waterborne Shipments: 2006</t>
  </si>
  <si>
    <t>Table 3-1: Freight Shipments by State of Origin: 2002</t>
  </si>
  <si>
    <t>(Thousands of short tons)</t>
  </si>
  <si>
    <t>Rail shipments terminating in state</t>
  </si>
  <si>
    <t>Rail shipments originating in state</t>
  </si>
  <si>
    <t>Terminating in state</t>
  </si>
  <si>
    <t>Originating in state</t>
  </si>
  <si>
    <t>All commodities (tons)</t>
  </si>
  <si>
    <t>Top commodity by weight</t>
  </si>
  <si>
    <t>Fraction of Freight by rail</t>
  </si>
  <si>
    <t>Rail ton-miles (millions)</t>
  </si>
  <si>
    <t>Value                 ($ millions)</t>
  </si>
  <si>
    <t>Tons (thousands)</t>
  </si>
  <si>
    <t>Ton-miles (millions)</t>
  </si>
  <si>
    <t>Truck tons</t>
  </si>
  <si>
    <t>Intrastate</t>
  </si>
  <si>
    <t>Domestic</t>
  </si>
  <si>
    <t>Foreign</t>
  </si>
  <si>
    <t>Adjusted*</t>
  </si>
  <si>
    <t>Estimated ton-miles</t>
  </si>
  <si>
    <t>Coal</t>
  </si>
  <si>
    <t>Petroleum products</t>
  </si>
  <si>
    <t>Neglect rail tons for AK</t>
  </si>
  <si>
    <t>Glass and stone products</t>
  </si>
  <si>
    <t>Nonmetallic minerals</t>
  </si>
  <si>
    <t>Mixed freight</t>
  </si>
  <si>
    <t>Mixed Freight</t>
  </si>
  <si>
    <t>Waste and scrap</t>
  </si>
  <si>
    <t>Chemicals</t>
  </si>
  <si>
    <t>Miscellaneous</t>
  </si>
  <si>
    <t>N/A</t>
  </si>
  <si>
    <t>Farm products</t>
  </si>
  <si>
    <t>Pulp and paper products</t>
  </si>
  <si>
    <t>Metallic ores</t>
  </si>
  <si>
    <t>Food products</t>
  </si>
  <si>
    <t>Coal and petroleum products</t>
  </si>
  <si>
    <t>Farm Products</t>
  </si>
  <si>
    <t>Primary metal products</t>
  </si>
  <si>
    <t>Lumber and wood products</t>
  </si>
  <si>
    <t>Puerto Rico</t>
  </si>
  <si>
    <t>United States, total</t>
  </si>
  <si>
    <t>AEO data</t>
  </si>
  <si>
    <t>Total of States to get Hawaii by difference</t>
  </si>
  <si>
    <t>KEY: NA = not applicable.</t>
  </si>
  <si>
    <t>KEY: S = withheld due to high sampling variability or poor response quality.</t>
  </si>
  <si>
    <t>NOTES: U.S. and state totals exclude duplication. The U.S. total includes Guam, the Virgin Islands, the Pacific Islands, other territories, and trans-shipments. Details may not sum to state totals due to rounding.</t>
  </si>
  <si>
    <t xml:space="preserve">NOTE: The top commodity is based on the 38 two-digit Standard Transportation Commodity Code groupings and is determined by the </t>
  </si>
  <si>
    <t>NOTE: Details may not sum to totals due to rounding.</t>
  </si>
  <si>
    <t xml:space="preserve">SOURCE: U.S. Army Corps of Engineers, Waterborne Commerce Statistics </t>
  </si>
  <si>
    <t>tonnage either originating or terminating in the state (including intrastate shipments.)</t>
  </si>
  <si>
    <t xml:space="preserve">Center, CY 2005 Waterborne Tonnage by State, available at </t>
  </si>
  <si>
    <t xml:space="preserve">SOURCE: U.S. Department of Transportation, Research and </t>
  </si>
  <si>
    <t>http://www.iwr.usace.army.mil/ndc/wcsc/statenm06.htm</t>
  </si>
  <si>
    <t xml:space="preserve">SOURCE: Association of American Railroads, Railroads and States-2005, Washington, DC: 2005, available at </t>
  </si>
  <si>
    <t xml:space="preserve">Innovative Technology Administration, Bureau of Transportation Statistics </t>
  </si>
  <si>
    <t xml:space="preserve"> as of Mar. 21, 2008.  </t>
  </si>
  <si>
    <t xml:space="preserve">http://www.aar.org/abouttheindustry/stateinformation.asp </t>
  </si>
  <si>
    <t xml:space="preserve">and U.S. Department of Commerce, U.S. Census Bureau, 2002 Commodity </t>
  </si>
  <si>
    <t>as of Jan. 30, 2008.</t>
  </si>
  <si>
    <t xml:space="preserve">Flow Survey: United States, Washington, DC: 2004, available at </t>
  </si>
  <si>
    <t>* In order not to double count (domestic ship = domestic receive), total is reduced</t>
  </si>
  <si>
    <t xml:space="preserve">http://www.bts.gov/publications/commodity_flow_survey/2002/united_states/ </t>
  </si>
  <si>
    <t>by domestic receive and foreign ship/receive since MARKAL is US activities only.</t>
  </si>
  <si>
    <t>Average miles per ton shipped</t>
  </si>
  <si>
    <t>as of Oct. 17, 2007.</t>
  </si>
  <si>
    <t>Per BTS results of Commodity Flow Survey, 2007</t>
  </si>
  <si>
    <t>Increase in tons shipped</t>
  </si>
  <si>
    <t>From Table 3b</t>
  </si>
  <si>
    <t>Increase in ton-miles</t>
  </si>
  <si>
    <t>Total rail ton-miles (million)</t>
  </si>
  <si>
    <t>From Table 2b</t>
  </si>
  <si>
    <t>Total marine ton-miles (mil)</t>
  </si>
  <si>
    <t>https://1bts.rita.dot.gov/publications/commodity_flow_survey/final_tables_december_2009/</t>
  </si>
  <si>
    <t>This worksheet has the imported MARKAL data for truck technologies.</t>
  </si>
  <si>
    <t>Commercial Trucks:  Conventional Technologies through time include 2018 truck CAFÉ standards.  Advances of conventional beyond 2020 are considered "Improved" technologies here.</t>
  </si>
  <si>
    <t xml:space="preserve">                        Asumes this also applies to alt fuels. (CNG,LPG,E85 meet gasoline regs. B20 meets diesel regs.)</t>
  </si>
  <si>
    <t>ERG name</t>
  </si>
  <si>
    <t>First Year Available</t>
  </si>
  <si>
    <t>Life</t>
  </si>
  <si>
    <t>(M2005$ per billion miles/a)</t>
  </si>
  <si>
    <t>(billion miles/PJ)</t>
  </si>
  <si>
    <t>Commercial Truck, Gasoline 2010</t>
  </si>
  <si>
    <t>Commercial Truck, Conventional Gasoline</t>
  </si>
  <si>
    <t>Cost</t>
  </si>
  <si>
    <t>Commercial Truck, Improved Gasoline</t>
  </si>
  <si>
    <t>Base Gasoline</t>
  </si>
  <si>
    <t>Commercial Truck, Advanced Tech Gasoline</t>
  </si>
  <si>
    <t>Mild Hybrid Tech Gasoline, 2015</t>
  </si>
  <si>
    <t>Mild Hybrid</t>
  </si>
  <si>
    <t>Mild Hybrid Tech Gasoline, 2025</t>
  </si>
  <si>
    <t>Adv GasHybrid</t>
  </si>
  <si>
    <t>Commercial Truck, Advanced Hybrid Tech Gasoline</t>
  </si>
  <si>
    <t>Base Diesel</t>
  </si>
  <si>
    <t>Imp Diesel</t>
  </si>
  <si>
    <t>Adv Diesel</t>
  </si>
  <si>
    <t>Commercial Truck, Diesel 2010</t>
  </si>
  <si>
    <t>Biodeisel</t>
  </si>
  <si>
    <t>Commercial Truck, Conventional Diesel</t>
  </si>
  <si>
    <t>Commercial Truck, Improved Diesel</t>
  </si>
  <si>
    <t>Commercial Truck, Advanced Hybrid Diesel</t>
  </si>
  <si>
    <t>Advanced Tech Diesel, 2015</t>
  </si>
  <si>
    <t>Hydrogen</t>
  </si>
  <si>
    <t>Advanced Tech Diesel, 2025</t>
  </si>
  <si>
    <t>Advanced Tech Diesel, 2040</t>
  </si>
  <si>
    <t>Commercial Truck, B20 2010</t>
  </si>
  <si>
    <t>Commercial Truck, Conventional B20</t>
  </si>
  <si>
    <t>Commercial Truck, Improved B20</t>
  </si>
  <si>
    <t>Commerical Truck, Advanced Hybrid B20</t>
  </si>
  <si>
    <t>Commercial Truck, CNG 2010</t>
  </si>
  <si>
    <t>Commercial Truck, Conventional CNG</t>
  </si>
  <si>
    <t>Commercial Truck, Improved CNG</t>
  </si>
  <si>
    <t>Commerical Truck, Advanced CNG</t>
  </si>
  <si>
    <t>Commerical Truck, Advanced Hybrid CNG</t>
  </si>
  <si>
    <t>Commercial Truck, E85 2010</t>
  </si>
  <si>
    <t>Commercial Truck, Conventional E85</t>
  </si>
  <si>
    <t>Commercial Truck, Improved E85</t>
  </si>
  <si>
    <t>Commercial Truck, Advanced E85</t>
  </si>
  <si>
    <t>Commerical Truck, Hybrid E85</t>
  </si>
  <si>
    <t>Commercial Truck, LPG 2010</t>
  </si>
  <si>
    <t>Commercial Truck, Conventional LPG</t>
  </si>
  <si>
    <t>Commercial Truck, Improved LPG</t>
  </si>
  <si>
    <t>Commercial Truck, Advanced LPG</t>
  </si>
  <si>
    <t>Commercial Truck, Hybrid LPG</t>
  </si>
  <si>
    <t>Commercial Truck, Hydrogen Fuel Cell</t>
  </si>
  <si>
    <t>These data are from a project performed by ERG in 2011-12.   Their primary data sources are  AEO 2010 (including a freight truck technology spreadsheet used to develop</t>
  </si>
  <si>
    <t>advanced technology packages), Transportation Energy Databook Edition 27, GREET Model Ver 1.8, NAS Truck studies 2009</t>
  </si>
  <si>
    <t>Costs for alternative fuel vehicles were scaled using data for alt fuels to gasoline for light duty vehicles in AEO 2010.</t>
  </si>
  <si>
    <t>Baseline alt fuel efficiency from Large Van category in Light-Duty vehicles in AEO 2010</t>
  </si>
  <si>
    <t>Medium Duty Trucks</t>
  </si>
  <si>
    <t>(billion VMT/PJ)</t>
  </si>
  <si>
    <t>Medium Duty Truck, Diesel, 2010</t>
  </si>
  <si>
    <t>adv diesel</t>
  </si>
  <si>
    <t>Medium Duty Truck, Conventional Diesel</t>
  </si>
  <si>
    <t>gasolin</t>
  </si>
  <si>
    <t>adv gasoline</t>
  </si>
  <si>
    <t>Medium Duty Truck, Improved Diesel</t>
  </si>
  <si>
    <t>biodiesel</t>
  </si>
  <si>
    <t>Medium Duty Truck, Advanced Diesel</t>
  </si>
  <si>
    <t>Medium Duty Truck, Advanced Hybrid Diesel</t>
  </si>
  <si>
    <t>Medium Duty Truck, Gasoline, 2010</t>
  </si>
  <si>
    <t>Medium Duty Truck, Conventional Gasoline</t>
  </si>
  <si>
    <t>Medium Duty Truck, Improved Gasoline</t>
  </si>
  <si>
    <t>Medium Duty Truck, Advanced Hybrid Gasoline</t>
  </si>
  <si>
    <t>Medium Duty Truck, B20, 2010</t>
  </si>
  <si>
    <t>Medium Duty Truck, Conventional B20</t>
  </si>
  <si>
    <t>Medium Duty Truck, Improved B20</t>
  </si>
  <si>
    <t>Medium Duty Truck Advanced Tech B20</t>
  </si>
  <si>
    <t>Medium Duty Truck Advanced Hybrid B20</t>
  </si>
  <si>
    <t>Medium Duty Truck, CNG, 2010</t>
  </si>
  <si>
    <t>Medium Duty Truck, Conventional CNG</t>
  </si>
  <si>
    <t>Medium Duty Truck, Improved CNG</t>
  </si>
  <si>
    <t>Medium Duty Truck, Advanced Hybrid CNG</t>
  </si>
  <si>
    <t>Medium Duty Truck, LPG, 2010</t>
  </si>
  <si>
    <t>Medium Duty Truck, Conventional LPG</t>
  </si>
  <si>
    <t>Medium Duty Truck, Improved LPG</t>
  </si>
  <si>
    <t>Medium Duty Truck, Advanced Hybrid LPG</t>
  </si>
  <si>
    <t>Medium Duty Truck, Existing Gasoline</t>
  </si>
  <si>
    <t>Medium Duty Truck, Existing Diesel</t>
  </si>
  <si>
    <t>Medium Duty Truck, Existing LPG</t>
  </si>
  <si>
    <t>Medium Duty Truck, Existing CNG</t>
  </si>
  <si>
    <t>These data are from a project performed by ERG in 2011.   Their primary data sources are  AEO 2010 (including a freight truck technology spreadsheet used to develop</t>
  </si>
  <si>
    <t>advanced technology packages), GREET Model Ver 1.8. Some individual data from other misc articles.</t>
  </si>
  <si>
    <t>Heavy Duty Trucks - long and short haul</t>
  </si>
  <si>
    <t>Short haul</t>
  </si>
  <si>
    <t>Advanced B20</t>
  </si>
  <si>
    <t>Advanced Hybrid B20</t>
  </si>
  <si>
    <t>Based on CARB doc indicating Short Haul mpg is .938 of Long Haul</t>
  </si>
  <si>
    <t>Long Haul</t>
  </si>
  <si>
    <t>SW diesel</t>
  </si>
  <si>
    <t xml:space="preserve">LNG data were all estimates from ERG.  MARKAL has no LNG energy carrier.  </t>
  </si>
  <si>
    <t>For MARKAL we assume that the short haul heavy duty will be the only one which uses natural gas.</t>
  </si>
  <si>
    <t>Lifetime from Table 3.13 ORNL's Transportation Energy Data Book, Ed. 30</t>
  </si>
  <si>
    <t>All data in this table come from ERG project file "Onroad HD trucks and buses _WA 4-18_final.xls"</t>
  </si>
  <si>
    <t>This worksheet has the imported Markal technology data for passenger rail and bus technologies.</t>
  </si>
  <si>
    <t>This data was collected through a project by ERG. Original data is found in workbook Onroad HD and Buses_Final_3. (7/20/2011)</t>
  </si>
  <si>
    <t>(M2005$ per billion vehicle miles/a)</t>
  </si>
  <si>
    <t>Bus, Exisiting Gasoline</t>
  </si>
  <si>
    <t>Bus, Diesel 2010</t>
  </si>
  <si>
    <t>Bus, Conventional Diesel</t>
  </si>
  <si>
    <t>adv CNG</t>
  </si>
  <si>
    <t>H2 Hybrid</t>
  </si>
  <si>
    <t>Bus, Advanced Tech Diesel</t>
  </si>
  <si>
    <t>Bus, Advanced Hybrid Diesel</t>
  </si>
  <si>
    <t>Bus, B20 2010</t>
  </si>
  <si>
    <t>Bus, Conventional B20</t>
  </si>
  <si>
    <t>Bus, Improved B20</t>
  </si>
  <si>
    <t>Bus, Advanced Tech B20</t>
  </si>
  <si>
    <t>Bus, Advanced Hybrid B20</t>
  </si>
  <si>
    <t>Bus, CNG , 2010</t>
  </si>
  <si>
    <t>Bus, Conventional CNG</t>
  </si>
  <si>
    <t>Bus, Advanced Tech CNG</t>
  </si>
  <si>
    <t>Bus, Advanced Hybird CNG</t>
  </si>
  <si>
    <t>Bus, Hydrogen Fuel Cell</t>
  </si>
  <si>
    <t>Bus, Hydrogen Fuel Cell Hybrid</t>
  </si>
  <si>
    <t>All 2010+ Diesel technologies assumed ULSD</t>
  </si>
  <si>
    <t>No data given for exisiting CNG buses, so 2005 CNG assumed to be comparable to 2010 CNG to meet resid.</t>
  </si>
  <si>
    <r>
      <t xml:space="preserve">Primary sources for bus data: NEMS Advanced Technologies Options file, </t>
    </r>
    <r>
      <rPr>
        <i/>
        <sz val="8"/>
        <rFont val="Arial"/>
        <family val="2"/>
      </rPr>
      <t>Public Transportation Fact Book</t>
    </r>
    <r>
      <rPr>
        <sz val="8"/>
        <rFont val="Arial"/>
        <family val="2"/>
      </rPr>
      <t>, DOT, NESCCAF, and TCRP (Transit Cooperative Research Program).</t>
    </r>
  </si>
  <si>
    <t>CAPUNIT</t>
  </si>
  <si>
    <t>CR &amp; IR Cost data updated from ERG project.  Original data in file "MARKAL rail spreadsheet"</t>
  </si>
  <si>
    <t>bn-pass-m/a</t>
  </si>
  <si>
    <t>bn-pass-miles/PJ</t>
  </si>
  <si>
    <t>CPT cost data unchanged from original 1997 database</t>
  </si>
  <si>
    <t>TP efficiencies from updated APTA data on Rali&amp;Bus worksheet.</t>
  </si>
  <si>
    <t>TPELCPT</t>
  </si>
  <si>
    <t>Conversion Factors</t>
  </si>
  <si>
    <t>Hours per day</t>
  </si>
  <si>
    <t>Days per year</t>
  </si>
  <si>
    <t>j per btu</t>
  </si>
  <si>
    <t>btu per watthr</t>
  </si>
  <si>
    <t>j per pj</t>
  </si>
  <si>
    <t>dollar($) per $m</t>
  </si>
  <si>
    <t>cfm hrs per trillion cfm hrs</t>
  </si>
  <si>
    <t>lumens per billion lumens</t>
  </si>
  <si>
    <t>kwhr per j</t>
  </si>
  <si>
    <t>units per m units</t>
  </si>
  <si>
    <t>btu per mmbtu</t>
  </si>
  <si>
    <t>tBTU to PJ</t>
  </si>
  <si>
    <t>mmbtu/PJ</t>
  </si>
  <si>
    <t xml:space="preserve">NIPA Table 1.1.9. Implicit Price Deflators for Gross Domestic Product                                                                                                                                                                                          </t>
  </si>
  <si>
    <t xml:space="preserve">[Index numbers, 2000=100]                                                                                                                                                                                                                                 </t>
  </si>
  <si>
    <t>Bureau of Economic Analysis</t>
  </si>
  <si>
    <t xml:space="preserve">Downloaded on 11/5/2008 At 4:35 PM    Last Revised October 30, 2008    </t>
  </si>
  <si>
    <t>Deflator</t>
  </si>
  <si>
    <t>To convert this year to 2005, multiply by</t>
  </si>
  <si>
    <t>Efficiencies modified to take into account different heating values of each fuel, provided below.</t>
  </si>
  <si>
    <t>HC, 080607</t>
  </si>
  <si>
    <t>Heating values for various fuels</t>
  </si>
  <si>
    <t>HHV (MMBTU/gal)</t>
  </si>
  <si>
    <t>(AEO Tables H1 and H2)</t>
  </si>
  <si>
    <t>(AEO 2011 Table G1, converted from barrels)</t>
  </si>
  <si>
    <t>Ethanol Fuel</t>
  </si>
  <si>
    <t>(AEO 2007 Table 12, p59)</t>
  </si>
  <si>
    <t>Biodiesel (B100)</t>
  </si>
  <si>
    <t>Propane (LPG)</t>
  </si>
  <si>
    <t>(Table B.4 in transportation Energy Data Book: Edition 26, 2007.)</t>
  </si>
  <si>
    <t>(Calculated from AEO 2011 values)</t>
  </si>
  <si>
    <t>Butane</t>
  </si>
  <si>
    <t>Natural gas (Methane)</t>
  </si>
  <si>
    <t>(This is converted to equivalent heating value based on TEDB. CNG 1kg-&gt;1.33 L gas) )</t>
  </si>
  <si>
    <t>Compressed (BTU/lbs)</t>
  </si>
  <si>
    <t>Dry(BTU/ft3)</t>
  </si>
  <si>
    <t>liquid(BTU/gal)</t>
  </si>
  <si>
    <t>Aviation gasoline</t>
  </si>
  <si>
    <t>Jet fuel (kerosene)</t>
  </si>
  <si>
    <t>Methanol</t>
  </si>
  <si>
    <t>M85</t>
  </si>
  <si>
    <t>(Calculated value based on above HHV of Methanol and gasoline)</t>
  </si>
  <si>
    <t>Source for converting:</t>
  </si>
  <si>
    <t>http://alternativefuels.about.com/od/resources/a/gge.htm</t>
  </si>
  <si>
    <t>http://www.nafa.org/Content/NavigationMenu/Resource_Center/Alternative_Fuels/Energy_Equivalents/Energy_Equivalents.htm</t>
  </si>
  <si>
    <t>ELC</t>
  </si>
  <si>
    <t>Csets</t>
  </si>
  <si>
    <t>LimType</t>
  </si>
  <si>
    <t>CTSLvl</t>
  </si>
  <si>
    <t>PeakTS</t>
  </si>
  <si>
    <t>Ctype</t>
  </si>
  <si>
    <t>NRG</t>
  </si>
  <si>
    <t>DEM</t>
  </si>
  <si>
    <t>Tact</t>
  </si>
  <si>
    <t>Tcap</t>
  </si>
  <si>
    <t>Sets</t>
  </si>
  <si>
    <t>PrimaryCG</t>
  </si>
  <si>
    <t>Vintage</t>
  </si>
  <si>
    <t>PRE</t>
  </si>
  <si>
    <t>*COM_PROJ~2005</t>
  </si>
  <si>
    <t>COM_PROJ~2010</t>
  </si>
  <si>
    <t>COM_PROJ~2015</t>
  </si>
  <si>
    <t>COM_PROJ~2020</t>
  </si>
  <si>
    <t>COM_PROJ~2025</t>
  </si>
  <si>
    <t>COM_PROJ~2030</t>
  </si>
  <si>
    <t>COM_PROJ~2035</t>
  </si>
  <si>
    <t>COM_PROJ~2040</t>
  </si>
  <si>
    <t>COM_PROJ~2045</t>
  </si>
  <si>
    <t>COM_PROJ~2050</t>
  </si>
  <si>
    <t>COM_PROJ~2055</t>
  </si>
  <si>
    <t>*CommDesc</t>
  </si>
  <si>
    <t>*Units</t>
  </si>
  <si>
    <t>NCAP_START</t>
  </si>
  <si>
    <t>NCAP_TLIFE</t>
  </si>
  <si>
    <t>NCAP_DRATE</t>
  </si>
  <si>
    <t>EFF~2010</t>
  </si>
  <si>
    <t>EFF~2015</t>
  </si>
  <si>
    <t>EFF~2020</t>
  </si>
  <si>
    <t>EFF~2025</t>
  </si>
  <si>
    <t>EFF~2030</t>
  </si>
  <si>
    <t>EFF~2035</t>
  </si>
  <si>
    <t>EFF~2040</t>
  </si>
  <si>
    <t>EFF~2045</t>
  </si>
  <si>
    <t>EFF~2050</t>
  </si>
  <si>
    <t>EFF~2055</t>
  </si>
  <si>
    <t>NCAP_COST~2010</t>
  </si>
  <si>
    <t>NCAP_COST~2015</t>
  </si>
  <si>
    <t>NCAP_COST~2020</t>
  </si>
  <si>
    <t>NCAP_COST~2025</t>
  </si>
  <si>
    <t>NCAP_COST~2030</t>
  </si>
  <si>
    <t>NCAP_COST~2035</t>
  </si>
  <si>
    <t>NCAP_COST~2040</t>
  </si>
  <si>
    <t>NCAP_COST~2045</t>
  </si>
  <si>
    <t>NCAP_COST~2050</t>
  </si>
  <si>
    <t>NCAP_COST~2055</t>
  </si>
  <si>
    <t>NCAP_FOM</t>
  </si>
  <si>
    <t>PRC_RESID~R2~2010</t>
  </si>
  <si>
    <t>PRC_RESID~R3~2010</t>
  </si>
  <si>
    <t>PRC_RESID~R4~2010</t>
  </si>
  <si>
    <t>PRC_RESID~R5~2010</t>
  </si>
  <si>
    <t>PRC_RESID~R6~2010</t>
  </si>
  <si>
    <t>NACP_AFA</t>
  </si>
  <si>
    <t>NCAP_BND~2010</t>
  </si>
  <si>
    <t>NCAP_BND~2015</t>
  </si>
  <si>
    <t>NCAP_BND~2020</t>
  </si>
  <si>
    <t>NCAP_BND~2025</t>
  </si>
  <si>
    <t>NCAP_BND~2030</t>
  </si>
  <si>
    <t>NCAP_BND~2035</t>
  </si>
  <si>
    <t>NCAP_BND~2040</t>
  </si>
  <si>
    <t>NCAP_BND~2045</t>
  </si>
  <si>
    <t>NCAP_BND~2050</t>
  </si>
  <si>
    <t>NCAP_BND~2055</t>
  </si>
  <si>
    <t>Share~UP</t>
  </si>
  <si>
    <t>*Aviation</t>
  </si>
  <si>
    <t>*TechDesc</t>
  </si>
  <si>
    <t>FI_T</t>
  </si>
  <si>
    <t>Pja</t>
  </si>
  <si>
    <t>* Existing Technologies</t>
  </si>
  <si>
    <t>~UC_Sets: R_E: AllRegions</t>
  </si>
  <si>
    <t>UC_N</t>
  </si>
  <si>
    <t>Pset_PN</t>
  </si>
  <si>
    <t>Pset_PD</t>
  </si>
  <si>
    <t>Pset_CI</t>
  </si>
  <si>
    <t>Cset_CN</t>
  </si>
  <si>
    <t>R0</t>
  </si>
  <si>
    <t>TB*</t>
  </si>
  <si>
    <t>Pset_CO</t>
  </si>
  <si>
    <t>UC_RHSRTS</t>
  </si>
  <si>
    <t>UC_RHSRTS~0</t>
  </si>
  <si>
    <t>*Commuter*</t>
  </si>
  <si>
    <t>TP*</t>
  </si>
  <si>
    <t>THS*</t>
  </si>
  <si>
    <t>TM*</t>
  </si>
  <si>
    <t>UC_FLO</t>
  </si>
  <si>
    <t>~UC_T: UC_COMPRD</t>
  </si>
  <si>
    <t>On-road transportation</t>
  </si>
  <si>
    <t>Header key</t>
  </si>
  <si>
    <t>Feeds</t>
  </si>
  <si>
    <t>Community tab via INDEX</t>
  </si>
  <si>
    <t>Table 3 of this tab should be populated by values from "On Road Transportation Summary 20XX" workbook.  Use the VMT values in "table 3" of the "20XX Summary" tab</t>
  </si>
  <si>
    <t>Historical tab via 'aggregate tag'</t>
  </si>
  <si>
    <t>Both Community and Historical tab</t>
  </si>
  <si>
    <t xml:space="preserve">This step is required to correct the the fact that, to avoid problems when dividing by zero. the model set some cells to values fractionally higher than zero. </t>
  </si>
  <si>
    <t>Lower bound for percentage of VMT to utilize - anything with a percentage below this will be set to 0 VMT</t>
  </si>
  <si>
    <t>Aggregate tag</t>
  </si>
  <si>
    <t>Data source</t>
  </si>
  <si>
    <t>GPC Sector</t>
  </si>
  <si>
    <t>GPC Sub-sector</t>
  </si>
  <si>
    <t>GPC Sub-sector class</t>
  </si>
  <si>
    <t>GPC Sub-sector class agg</t>
  </si>
  <si>
    <t>Address/service</t>
  </si>
  <si>
    <t>Fuel type</t>
  </si>
  <si>
    <t>Reported units</t>
  </si>
  <si>
    <t>CY2022</t>
  </si>
  <si>
    <t>CY2021</t>
  </si>
  <si>
    <t>CY2020</t>
  </si>
  <si>
    <t>CY2019</t>
  </si>
  <si>
    <t>CY2018</t>
  </si>
  <si>
    <t>CY2017</t>
  </si>
  <si>
    <t>CY2016</t>
  </si>
  <si>
    <t>CY2015</t>
  </si>
  <si>
    <t>CY2014</t>
  </si>
  <si>
    <t>CY2013</t>
  </si>
  <si>
    <t>CY2012</t>
  </si>
  <si>
    <t>CY2011</t>
  </si>
  <si>
    <t>CY2010</t>
  </si>
  <si>
    <t>CY2009</t>
  </si>
  <si>
    <t>CY2008</t>
  </si>
  <si>
    <t>CY2007</t>
  </si>
  <si>
    <t>CY2006</t>
  </si>
  <si>
    <t>CY2005</t>
  </si>
  <si>
    <t>Heavy duty trucks(private)CNG</t>
  </si>
  <si>
    <t>NYMTC BPM</t>
  </si>
  <si>
    <t>On-road</t>
  </si>
  <si>
    <t>(private)</t>
  </si>
  <si>
    <t>Sum of CY2010</t>
  </si>
  <si>
    <t>Sum of CY2015</t>
  </si>
  <si>
    <t>Sum of CY2019</t>
  </si>
  <si>
    <t>Sum of CY2021</t>
  </si>
  <si>
    <t>Sum of CY2022</t>
  </si>
  <si>
    <t>Heavy duty trucks(private)Diesel</t>
  </si>
  <si>
    <t>Heavy duty trucks(private)Electricity</t>
  </si>
  <si>
    <t>Heavy duty trucks(private)Gasoline</t>
  </si>
  <si>
    <t>Heavy duty trucks(public)Diesel</t>
  </si>
  <si>
    <t>(public)</t>
  </si>
  <si>
    <t>Heavy duty trucks(public)Diesel Hybrid</t>
  </si>
  <si>
    <t>Billion VMT</t>
  </si>
  <si>
    <t>Heavy duty trucks(public)Gasoline</t>
  </si>
  <si>
    <t>Share 2010</t>
  </si>
  <si>
    <t>Share 2015</t>
  </si>
  <si>
    <t>Share 2020</t>
  </si>
  <si>
    <t>Share 2025</t>
  </si>
  <si>
    <t>Medium duty trucks(private)CNG</t>
  </si>
  <si>
    <t>Medium duty trucks(private)Diesel</t>
  </si>
  <si>
    <t>DSLH</t>
  </si>
  <si>
    <t>Medium duty trucks(private)Electricity</t>
  </si>
  <si>
    <t>Medium duty trucks(private)Gasoline</t>
  </si>
  <si>
    <t>Medium duty trucks(public)CNG</t>
  </si>
  <si>
    <t>GSLH</t>
  </si>
  <si>
    <t>Medium duty trucks(public)Diesel</t>
  </si>
  <si>
    <t>Medium duty trucks(public)Electricity</t>
  </si>
  <si>
    <t>Medium duty trucks(public)Gasoline</t>
  </si>
  <si>
    <t>Medium duty trucks(public)Gasoline Hybrid</t>
  </si>
  <si>
    <t>GSLAH</t>
  </si>
  <si>
    <t>Passenger cars(private)CNG</t>
  </si>
  <si>
    <t>Passenger cars(private)Diesel</t>
  </si>
  <si>
    <t>DSLAH</t>
  </si>
  <si>
    <t>Passenger cars(private)Diesel Hybrid</t>
  </si>
  <si>
    <t>Passenger cars(private)Electricity</t>
  </si>
  <si>
    <t>Passenger cars(private)Fuel Cell</t>
  </si>
  <si>
    <t>Passenger cars(private)Gasoline</t>
  </si>
  <si>
    <t>DHEV</t>
  </si>
  <si>
    <t>Passenger cars(private)Gasoline Hybrid</t>
  </si>
  <si>
    <t>Passenger cars(public)Diesel</t>
  </si>
  <si>
    <t>Passenger cars(public)Electricity</t>
  </si>
  <si>
    <t>FCH</t>
  </si>
  <si>
    <t>Passenger cars(public)Gasoline</t>
  </si>
  <si>
    <t>G*HEV</t>
  </si>
  <si>
    <t>Passenger cars(public)Gasoline Hybrid</t>
  </si>
  <si>
    <t>School Bus(private)Diesel</t>
  </si>
  <si>
    <t>School Bus(private)Electricity</t>
  </si>
  <si>
    <t>School Bus(private)Gasoline</t>
  </si>
  <si>
    <t>SWCV(private)CNG</t>
  </si>
  <si>
    <t>SWCV</t>
  </si>
  <si>
    <t>SWCV(private)Diesel</t>
  </si>
  <si>
    <t>SWCV(private)Gasoline</t>
  </si>
  <si>
    <t>SWCV(public)CNG</t>
  </si>
  <si>
    <t>SWCV(public)Diesel</t>
  </si>
  <si>
    <t>SWCV(public)Diesel Hybrid</t>
  </si>
  <si>
    <t>~UC_Sets: R_S: AllRegions</t>
  </si>
  <si>
    <t>AllRegions</t>
  </si>
  <si>
    <t>FX</t>
  </si>
  <si>
    <t>UC_RHSRT</t>
  </si>
  <si>
    <t>UC_RHSRT~0</t>
  </si>
  <si>
    <t>~UC_T: UC_FLO</t>
  </si>
  <si>
    <t>Heavy duty vehicle historical boundary calibration</t>
  </si>
  <si>
    <t>H2G</t>
  </si>
  <si>
    <t>Subway</t>
  </si>
  <si>
    <t>PMT</t>
  </si>
  <si>
    <t>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</si>
</sst>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4" formatCode="_(&quot;$&quot;* #,##0.00_);_(&quot;$&quot;* \(#,##0.00\);_(&quot;$&quot;* &quot;-&quot;??_);_(@_)"/>
    <numFmt numFmtId="43" formatCode="_(* #,##0.00_);_(* \(#,##0.00\);_(* &quot;-&quot;??_);_(@_)"/>
    <numFmt numFmtId="164" formatCode="_-* #,##0.00_-;\-* #,##0.00_-;_-* &quot;-&quot;??_-;_-@_-"/>
    <numFmt numFmtId="165" formatCode="0.0"/>
    <numFmt numFmtId="166" formatCode="0.000"/>
    <numFmt numFmtId="167" formatCode="0.0000"/>
    <numFmt numFmtId="168" formatCode="0.E+00"/>
    <numFmt numFmtId="169" formatCode="0.000000"/>
    <numFmt numFmtId="170" formatCode="0.00000"/>
    <numFmt numFmtId="171" formatCode="0.0%"/>
    <numFmt numFmtId="172" formatCode="#,##0.0"/>
    <numFmt numFmtId="174" formatCode="_(* #,##0_);_(* \(#,##0\);_(* &quot;-&quot;??_);_(@_)"/>
    <numFmt numFmtId="175" formatCode="0.00_)"/>
    <numFmt numFmtId="176" formatCode="0_)"/>
    <numFmt numFmtId="177" formatCode="&quot;(R)&quot;\ #,##0;&quot;(R) -&quot;#,##0;&quot;(R) &quot;\ 0"/>
    <numFmt numFmtId="178" formatCode="&quot;(R)&quot;\ #,##0.0;&quot;(R) -&quot;#,##0.0;&quot;(R) &quot;\ 0.0"/>
    <numFmt numFmtId="179" formatCode="0.0_)"/>
    <numFmt numFmtId="180" formatCode="&quot;(P)&quot;\ #,##0;&quot;(P) -&quot;#,##0;&quot;(P) &quot;\ 0"/>
    <numFmt numFmtId="181" formatCode="0.000%"/>
    <numFmt numFmtId="182" formatCode="#,##0.0000"/>
    <numFmt numFmtId="187" formatCode="#,##0.000"/>
    <numFmt numFmtId="188" formatCode="\Te\x\t"/>
    <numFmt numFmtId="189" formatCode="_-* #,##0.00000_-;\-* #,##0.00000_-;_-* &quot;-&quot;??_-;_-@_-"/>
    <numFmt numFmtId="190" formatCode="_(* #,##0.000000000_);_(* \(#,##0.000000000\);_(* &quot;-&quot;??_);_(@_)"/>
    <numFmt numFmtId="191" formatCode="_(* #,##0.000000_);_(* \(#,##0.000000\);_(* &quot;-&quot;??_);_(@_)"/>
  </numFmts>
  <fonts count="1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b/>
      <sz val="9"/>
      <name val="Arial"/>
      <family val="2"/>
    </font>
    <font>
      <sz val="8"/>
      <name val="Arial"/>
      <family val="2"/>
    </font>
    <font>
      <b/>
      <sz val="8"/>
      <name val="Arial"/>
      <family val="2"/>
    </font>
    <font>
      <sz val="10"/>
      <color indexed="14"/>
      <name val="Arial"/>
      <family val="2"/>
    </font>
    <font>
      <sz val="8"/>
      <color indexed="12"/>
      <name val="Arial"/>
      <family val="2"/>
    </font>
    <font>
      <sz val="8"/>
      <name val="Arial"/>
      <family val="2"/>
    </font>
    <font>
      <sz val="10"/>
      <color indexed="20"/>
      <name val="Arial"/>
      <family val="2"/>
    </font>
    <font>
      <b/>
      <sz val="10"/>
      <color indexed="20"/>
      <name val="Arial"/>
      <family val="2"/>
    </font>
    <font>
      <sz val="8"/>
      <color indexed="14"/>
      <name val="Arial"/>
      <family val="2"/>
    </font>
    <font>
      <sz val="9"/>
      <name val="Arial"/>
      <family val="2"/>
    </font>
    <font>
      <sz val="8"/>
      <color indexed="10"/>
      <name val="Arial"/>
      <family val="2"/>
    </font>
    <font>
      <i/>
      <sz val="10"/>
      <name val="Arial"/>
      <family val="2"/>
    </font>
    <font>
      <i/>
      <sz val="8"/>
      <name val="Arial"/>
      <family val="2"/>
    </font>
    <font>
      <b/>
      <sz val="8"/>
      <color indexed="10"/>
      <name val="Arial"/>
      <family val="2"/>
    </font>
    <font>
      <b/>
      <u/>
      <sz val="8"/>
      <color indexed="10"/>
      <name val="Arial"/>
      <family val="2"/>
    </font>
    <font>
      <b/>
      <sz val="10"/>
      <color indexed="10"/>
      <name val="Arial"/>
      <family val="2"/>
    </font>
    <font>
      <sz val="8"/>
      <name val="Helv"/>
    </font>
    <font>
      <sz val="9"/>
      <name val="Helv"/>
    </font>
    <font>
      <b/>
      <sz val="12"/>
      <name val="Helv"/>
    </font>
    <font>
      <vertAlign val="superscript"/>
      <sz val="12"/>
      <name val="Helv"/>
    </font>
    <font>
      <sz val="8"/>
      <color indexed="81"/>
      <name val="Tahoma"/>
      <family val="2"/>
    </font>
    <font>
      <b/>
      <sz val="8"/>
      <color indexed="81"/>
      <name val="Tahoma"/>
      <family val="2"/>
    </font>
    <font>
      <b/>
      <i/>
      <sz val="8"/>
      <color indexed="17"/>
      <name val="Arial"/>
      <family val="2"/>
    </font>
    <font>
      <i/>
      <sz val="8"/>
      <color indexed="14"/>
      <name val="Arial"/>
      <family val="2"/>
    </font>
    <font>
      <sz val="8"/>
      <color indexed="48"/>
      <name val="Arial"/>
      <family val="2"/>
    </font>
    <font>
      <b/>
      <sz val="8"/>
      <color indexed="14"/>
      <name val="Arial"/>
      <family val="2"/>
    </font>
    <font>
      <u/>
      <sz val="8"/>
      <color indexed="12"/>
      <name val="Arial"/>
      <family val="2"/>
    </font>
    <font>
      <sz val="8"/>
      <color indexed="17"/>
      <name val="Arial"/>
      <family val="2"/>
    </font>
    <font>
      <sz val="8"/>
      <color indexed="8"/>
      <name val="Arial"/>
      <family val="2"/>
    </font>
    <font>
      <b/>
      <i/>
      <sz val="10"/>
      <name val="Arial"/>
      <family val="2"/>
    </font>
    <font>
      <b/>
      <i/>
      <sz val="8"/>
      <name val="Arial"/>
      <family val="2"/>
    </font>
    <font>
      <b/>
      <i/>
      <sz val="9"/>
      <name val="Arial"/>
      <family val="2"/>
    </font>
    <font>
      <sz val="11"/>
      <color rgb="FF006100"/>
      <name val="Calibri"/>
      <family val="2"/>
      <scheme val="minor"/>
    </font>
    <font>
      <sz val="8"/>
      <color theme="4"/>
      <name val="Arial"/>
      <family val="2"/>
    </font>
    <font>
      <sz val="10"/>
      <color rgb="FFFF0000"/>
      <name val="Arial"/>
      <family val="2"/>
    </font>
    <font>
      <sz val="8"/>
      <color theme="9" tint="-0.499984740745262"/>
      <name val="Arial"/>
      <family val="2"/>
    </font>
    <font>
      <sz val="10"/>
      <color theme="9" tint="-0.499984740745262"/>
      <name val="Arial"/>
      <family val="2"/>
    </font>
    <font>
      <b/>
      <sz val="8"/>
      <color rgb="FFFF0000"/>
      <name val="Arial"/>
      <family val="2"/>
    </font>
    <font>
      <sz val="10"/>
      <color theme="1"/>
      <name val="Arial"/>
      <family val="2"/>
    </font>
    <font>
      <b/>
      <sz val="10"/>
      <color theme="1"/>
      <name val="Arial"/>
      <family val="2"/>
    </font>
    <font>
      <sz val="8"/>
      <color theme="1"/>
      <name val="Arial"/>
      <family val="2"/>
    </font>
    <font>
      <i/>
      <sz val="10"/>
      <color theme="0" tint="-0.14999847407452621"/>
      <name val="Arial"/>
      <family val="2"/>
    </font>
    <font>
      <i/>
      <sz val="10"/>
      <color theme="0" tint="-0.249977111117893"/>
      <name val="Arial"/>
      <family val="2"/>
    </font>
    <font>
      <sz val="10"/>
      <color theme="0" tint="-0.249977111117893"/>
      <name val="Arial"/>
      <family val="2"/>
    </font>
    <font>
      <i/>
      <sz val="10"/>
      <color rgb="FFFF0000"/>
      <name val="Arial"/>
      <family val="2"/>
    </font>
    <font>
      <sz val="10"/>
      <color theme="0"/>
      <name val="Arial"/>
      <family val="2"/>
    </font>
    <font>
      <b/>
      <sz val="9"/>
      <color theme="1"/>
      <name val="Arial"/>
      <family val="2"/>
    </font>
    <font>
      <i/>
      <sz val="9"/>
      <color theme="0" tint="-0.249977111117893"/>
      <name val="Arial"/>
      <family val="2"/>
    </font>
    <font>
      <sz val="9"/>
      <color theme="1"/>
      <name val="Arial"/>
      <family val="2"/>
    </font>
    <font>
      <sz val="9"/>
      <color rgb="FFFF0000"/>
      <name val="Arial"/>
      <family val="2"/>
    </font>
    <font>
      <sz val="9"/>
      <color theme="0" tint="-0.249977111117893"/>
      <name val="Arial"/>
      <family val="2"/>
    </font>
    <font>
      <sz val="9"/>
      <color indexed="81"/>
      <name val="Tahoma"/>
      <family val="2"/>
    </font>
    <font>
      <b/>
      <sz val="9"/>
      <color indexed="81"/>
      <name val="Tahoma"/>
      <family val="2"/>
    </font>
    <font>
      <vertAlign val="superscript"/>
      <sz val="8"/>
      <name val="Arial"/>
      <family val="2"/>
    </font>
    <font>
      <b/>
      <sz val="11"/>
      <name val="Calibri"/>
      <family val="2"/>
      <scheme val="minor"/>
    </font>
    <font>
      <sz val="10"/>
      <color rgb="FF71BE43"/>
      <name val="Arial"/>
      <family val="2"/>
    </font>
    <font>
      <sz val="10"/>
      <name val="Arial Narrow Bold"/>
      <family val="2"/>
    </font>
    <font>
      <sz val="10"/>
      <name val="Arial Narrow"/>
      <family val="2"/>
    </font>
    <font>
      <sz val="10"/>
      <color rgb="FF626366"/>
      <name val="Arial"/>
      <family val="2"/>
    </font>
    <font>
      <b/>
      <sz val="11"/>
      <color theme="1"/>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u/>
      <sz val="10"/>
      <color theme="10"/>
      <name val="Arial"/>
      <family val="2"/>
    </font>
    <font>
      <b/>
      <sz val="12"/>
      <color theme="4"/>
      <name val="Calibri"/>
      <family val="2"/>
      <scheme val="minor"/>
    </font>
    <font>
      <b/>
      <sz val="9"/>
      <color theme="1"/>
      <name val="Calibri"/>
      <family val="2"/>
      <scheme val="minor"/>
    </font>
    <font>
      <sz val="9"/>
      <color theme="1"/>
      <name val="Calibri"/>
      <family val="2"/>
      <scheme val="minor"/>
    </font>
    <font>
      <b/>
      <sz val="9"/>
      <color rgb="FF0000FF"/>
      <name val="Arial"/>
      <family val="2"/>
    </font>
    <font>
      <b/>
      <sz val="10"/>
      <color rgb="FF0033CC"/>
      <name val="Arial"/>
      <family val="2"/>
    </font>
    <font>
      <b/>
      <sz val="14"/>
      <name val="Arial"/>
      <family val="2"/>
    </font>
    <font>
      <b/>
      <u/>
      <sz val="18"/>
      <color rgb="FFC00000"/>
      <name val="Calibri"/>
      <family val="2"/>
      <scheme val="minor"/>
    </font>
    <font>
      <b/>
      <sz val="16"/>
      <color rgb="FFC00000"/>
      <name val="Calibri"/>
      <family val="2"/>
      <scheme val="minor"/>
    </font>
    <font>
      <i/>
      <sz val="11"/>
      <color rgb="FFFF0000"/>
      <name val="Calibri"/>
      <family val="2"/>
      <scheme val="minor"/>
    </font>
    <font>
      <sz val="14"/>
      <color rgb="FFC00000"/>
      <name val="Calibri"/>
      <family val="2"/>
      <scheme val="minor"/>
    </font>
    <font>
      <b/>
      <sz val="14"/>
      <color theme="4" tint="-0.249977111117893"/>
      <name val="Calibri"/>
      <family val="2"/>
      <scheme val="minor"/>
    </font>
    <font>
      <b/>
      <sz val="11"/>
      <color theme="0" tint="-4.9989318521683403E-2"/>
      <name val="Calibri"/>
      <family val="2"/>
      <scheme val="minor"/>
    </font>
    <font>
      <b/>
      <i/>
      <sz val="11"/>
      <color theme="4" tint="-0.249977111117893"/>
      <name val="Calibri"/>
      <family val="2"/>
      <scheme val="minor"/>
    </font>
    <font>
      <b/>
      <sz val="10"/>
      <color rgb="FF7030A0"/>
      <name val="Calibri"/>
      <family val="2"/>
      <scheme val="minor"/>
    </font>
    <font>
      <b/>
      <sz val="11"/>
      <color rgb="FF7030A0"/>
      <name val="Calibri"/>
      <family val="2"/>
      <scheme val="minor"/>
    </font>
    <font>
      <b/>
      <sz val="11"/>
      <color theme="5" tint="-0.249977111117893"/>
      <name val="Calibri"/>
      <family val="2"/>
      <scheme val="minor"/>
    </font>
    <font>
      <sz val="11"/>
      <color rgb="FF000000"/>
      <name val="Calibri"/>
      <family val="2"/>
    </font>
    <font>
      <sz val="11"/>
      <color rgb="FFC65911"/>
      <name val="Calibri"/>
      <family val="2"/>
    </font>
  </fonts>
  <fills count="6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47"/>
        <bgColor indexed="64"/>
      </patternFill>
    </fill>
    <fill>
      <patternFill patternType="solid">
        <fgColor indexed="26"/>
        <bgColor indexed="64"/>
      </patternFill>
    </fill>
    <fill>
      <patternFill patternType="solid">
        <fgColor indexed="42"/>
        <bgColor indexed="64"/>
      </patternFill>
    </fill>
    <fill>
      <patternFill patternType="solid">
        <fgColor indexed="45"/>
        <bgColor indexed="64"/>
      </patternFill>
    </fill>
    <fill>
      <patternFill patternType="solid">
        <fgColor indexed="29"/>
        <bgColor indexed="64"/>
      </patternFill>
    </fill>
    <fill>
      <patternFill patternType="solid">
        <fgColor indexed="41"/>
        <bgColor indexed="64"/>
      </patternFill>
    </fill>
    <fill>
      <patternFill patternType="solid">
        <fgColor indexed="44"/>
        <bgColor indexed="64"/>
      </patternFill>
    </fill>
    <fill>
      <patternFill patternType="solid">
        <fgColor indexed="34"/>
        <bgColor indexed="64"/>
      </patternFill>
    </fill>
    <fill>
      <patternFill patternType="solid">
        <fgColor indexed="46"/>
        <bgColor indexed="64"/>
      </patternFill>
    </fill>
    <fill>
      <patternFill patternType="solid">
        <fgColor rgb="FFC6EFCE"/>
      </patternFill>
    </fill>
    <fill>
      <patternFill patternType="solid">
        <fgColor rgb="FFCC99FF"/>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FF9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bgColor indexed="9"/>
      </patternFill>
    </fill>
    <fill>
      <patternFill patternType="solid">
        <fgColor theme="0" tint="-0.249977111117893"/>
        <bgColor indexed="64"/>
      </patternFill>
    </fill>
    <fill>
      <patternFill patternType="solid">
        <fgColor theme="4" tint="0.59999389629810485"/>
        <bgColor indexed="64"/>
      </patternFill>
    </fill>
    <fill>
      <patternFill patternType="solid">
        <fgColor rgb="FFE7A1E9"/>
        <bgColor indexed="64"/>
      </patternFill>
    </fill>
    <fill>
      <patternFill patternType="solid">
        <fgColor rgb="FFFFFFCC"/>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bgColor indexed="64"/>
      </patternFill>
    </fill>
  </fills>
  <borders count="54">
    <border>
      <left/>
      <right/>
      <top/>
      <bottom/>
      <diagonal/>
    </border>
    <border>
      <left/>
      <right/>
      <top/>
      <bottom style="thin">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medium">
        <color indexed="64"/>
      </right>
      <top/>
      <bottom/>
      <diagonal/>
    </border>
    <border>
      <left/>
      <right style="double">
        <color indexed="64"/>
      </right>
      <top/>
      <bottom/>
      <diagonal/>
    </border>
    <border>
      <left/>
      <right/>
      <top style="medium">
        <color indexed="64"/>
      </top>
      <bottom style="thin">
        <color indexed="64"/>
      </bottom>
      <diagonal/>
    </border>
    <border>
      <left style="thin">
        <color indexed="64"/>
      </left>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tint="-0.249977111117893"/>
      </bottom>
      <diagonal/>
    </border>
    <border>
      <left/>
      <right/>
      <top/>
      <bottom style="dashed">
        <color theme="0" tint="-0.24994659260841701"/>
      </bottom>
      <diagonal/>
    </border>
    <border>
      <left/>
      <right/>
      <top style="thin">
        <color indexed="64"/>
      </top>
      <bottom style="medium">
        <color indexed="64"/>
      </bottom>
      <diagonal/>
    </border>
    <border>
      <left/>
      <right style="double">
        <color indexed="64"/>
      </right>
      <top style="thin">
        <color indexed="64"/>
      </top>
      <bottom/>
      <diagonal/>
    </border>
    <border>
      <left/>
      <right style="double">
        <color indexed="64"/>
      </right>
      <top/>
      <bottom style="thin">
        <color indexed="64"/>
      </bottom>
      <diagonal/>
    </border>
    <border>
      <left/>
      <right style="dashed">
        <color indexed="64"/>
      </right>
      <top style="thin">
        <color indexed="64"/>
      </top>
      <bottom/>
      <diagonal/>
    </border>
    <border>
      <left/>
      <right style="dashed">
        <color indexed="64"/>
      </right>
      <top/>
      <bottom/>
      <diagonal/>
    </border>
  </borders>
  <cellStyleXfs count="129">
    <xf numFmtId="0" fontId="0" fillId="0" borderId="0"/>
    <xf numFmtId="164" fontId="10" fillId="0" borderId="0" applyFont="0" applyFill="0" applyBorder="0" applyAlignment="0" applyProtection="0"/>
    <xf numFmtId="43" fontId="13" fillId="0" borderId="0" applyFont="0" applyFill="0" applyBorder="0" applyAlignment="0" applyProtection="0"/>
    <xf numFmtId="3" fontId="37" fillId="0" borderId="1" applyAlignment="0">
      <alignment horizontal="right" vertical="center"/>
    </xf>
    <xf numFmtId="0" fontId="52" fillId="15" borderId="0" applyNumberFormat="0" applyBorder="0" applyAlignment="0" applyProtection="0"/>
    <xf numFmtId="0" fontId="11" fillId="0" borderId="0" applyNumberFormat="0" applyFill="0" applyBorder="0" applyAlignment="0" applyProtection="0">
      <alignment vertical="top"/>
      <protection locked="0"/>
    </xf>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3" fillId="0" borderId="0" applyFont="0" applyFill="0" applyBorder="0" applyAlignment="0" applyProtection="0"/>
    <xf numFmtId="0" fontId="39" fillId="0" borderId="0">
      <alignment horizontal="right"/>
    </xf>
    <xf numFmtId="0" fontId="36" fillId="0" borderId="0">
      <alignment horizontal="left"/>
    </xf>
    <xf numFmtId="0" fontId="38" fillId="0" borderId="0">
      <alignment horizontal="left"/>
    </xf>
    <xf numFmtId="0" fontId="10" fillId="0" borderId="0"/>
    <xf numFmtId="0" fontId="9" fillId="0" borderId="0"/>
    <xf numFmtId="0" fontId="81" fillId="0" borderId="38" applyNumberFormat="0" applyFill="0" applyAlignment="0" applyProtection="0"/>
    <xf numFmtId="0" fontId="82" fillId="0" borderId="39" applyNumberFormat="0" applyFill="0" applyAlignment="0" applyProtection="0"/>
    <xf numFmtId="0" fontId="83" fillId="0" borderId="40" applyNumberFormat="0" applyFill="0" applyAlignment="0" applyProtection="0"/>
    <xf numFmtId="0" fontId="83" fillId="0" borderId="0" applyNumberFormat="0" applyFill="0" applyBorder="0" applyAlignment="0" applyProtection="0"/>
    <xf numFmtId="0" fontId="84" fillId="34" borderId="0" applyNumberFormat="0" applyBorder="0" applyAlignment="0" applyProtection="0"/>
    <xf numFmtId="0" fontId="85" fillId="36" borderId="41" applyNumberFormat="0" applyAlignment="0" applyProtection="0"/>
    <xf numFmtId="0" fontId="86" fillId="37" borderId="42" applyNumberFormat="0" applyAlignment="0" applyProtection="0"/>
    <xf numFmtId="0" fontId="87" fillId="37" borderId="41" applyNumberFormat="0" applyAlignment="0" applyProtection="0"/>
    <xf numFmtId="0" fontId="88" fillId="0" borderId="43" applyNumberFormat="0" applyFill="0" applyAlignment="0" applyProtection="0"/>
    <xf numFmtId="0" fontId="89" fillId="38" borderId="44" applyNumberFormat="0" applyAlignment="0" applyProtection="0"/>
    <xf numFmtId="0" fontId="90" fillId="0" borderId="0" applyNumberFormat="0" applyFill="0" applyBorder="0" applyAlignment="0" applyProtection="0"/>
    <xf numFmtId="0" fontId="91" fillId="0" borderId="0" applyNumberFormat="0" applyFill="0" applyBorder="0" applyAlignment="0" applyProtection="0"/>
    <xf numFmtId="0" fontId="79" fillId="0" borderId="46" applyNumberFormat="0" applyFill="0" applyAlignment="0" applyProtection="0"/>
    <xf numFmtId="0" fontId="92" fillId="40"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92" fillId="44" borderId="0" applyNumberFormat="0" applyBorder="0" applyAlignment="0" applyProtection="0"/>
    <xf numFmtId="0" fontId="8" fillId="45" borderId="0" applyNumberFormat="0" applyBorder="0" applyAlignment="0" applyProtection="0"/>
    <xf numFmtId="0" fontId="8" fillId="46" borderId="0" applyNumberFormat="0" applyBorder="0" applyAlignment="0" applyProtection="0"/>
    <xf numFmtId="0" fontId="92" fillId="48" borderId="0" applyNumberFormat="0" applyBorder="0" applyAlignment="0" applyProtection="0"/>
    <xf numFmtId="0" fontId="8" fillId="49" borderId="0" applyNumberFormat="0" applyBorder="0" applyAlignment="0" applyProtection="0"/>
    <xf numFmtId="0" fontId="8" fillId="50" borderId="0" applyNumberFormat="0" applyBorder="0" applyAlignment="0" applyProtection="0"/>
    <xf numFmtId="0" fontId="92" fillId="52" borderId="0" applyNumberFormat="0" applyBorder="0" applyAlignment="0" applyProtection="0"/>
    <xf numFmtId="0" fontId="8" fillId="53" borderId="0" applyNumberFormat="0" applyBorder="0" applyAlignment="0" applyProtection="0"/>
    <xf numFmtId="0" fontId="8" fillId="54" borderId="0" applyNumberFormat="0" applyBorder="0" applyAlignment="0" applyProtection="0"/>
    <xf numFmtId="0" fontId="92" fillId="56" borderId="0" applyNumberFormat="0" applyBorder="0" applyAlignment="0" applyProtection="0"/>
    <xf numFmtId="0" fontId="8" fillId="57" borderId="0" applyNumberFormat="0" applyBorder="0" applyAlignment="0" applyProtection="0"/>
    <xf numFmtId="0" fontId="8" fillId="58" borderId="0" applyNumberFormat="0" applyBorder="0" applyAlignment="0" applyProtection="0"/>
    <xf numFmtId="0" fontId="92" fillId="60" borderId="0" applyNumberFormat="0" applyBorder="0" applyAlignment="0" applyProtection="0"/>
    <xf numFmtId="0" fontId="8" fillId="61" borderId="0" applyNumberFormat="0" applyBorder="0" applyAlignment="0" applyProtection="0"/>
    <xf numFmtId="0" fontId="8" fillId="62" borderId="0" applyNumberFormat="0" applyBorder="0" applyAlignment="0" applyProtection="0"/>
    <xf numFmtId="43" fontId="10" fillId="0" borderId="0" applyFont="0" applyFill="0" applyBorder="0" applyAlignment="0" applyProtection="0"/>
    <xf numFmtId="44" fontId="10" fillId="0" borderId="0" applyFont="0" applyFill="0" applyBorder="0" applyAlignment="0" applyProtection="0"/>
    <xf numFmtId="0" fontId="8" fillId="0" borderId="0"/>
    <xf numFmtId="0" fontId="93" fillId="0" borderId="0" applyNumberFormat="0" applyFill="0" applyBorder="0" applyAlignment="0" applyProtection="0"/>
    <xf numFmtId="0" fontId="94" fillId="35" borderId="0" applyNumberFormat="0" applyBorder="0" applyAlignment="0" applyProtection="0"/>
    <xf numFmtId="0" fontId="92" fillId="43" borderId="0" applyNumberFormat="0" applyBorder="0" applyAlignment="0" applyProtection="0"/>
    <xf numFmtId="0" fontId="92" fillId="47" borderId="0" applyNumberFormat="0" applyBorder="0" applyAlignment="0" applyProtection="0"/>
    <xf numFmtId="0" fontId="92" fillId="51" borderId="0" applyNumberFormat="0" applyBorder="0" applyAlignment="0" applyProtection="0"/>
    <xf numFmtId="0" fontId="92" fillId="55" borderId="0" applyNumberFormat="0" applyBorder="0" applyAlignment="0" applyProtection="0"/>
    <xf numFmtId="0" fontId="92" fillId="59" borderId="0" applyNumberFormat="0" applyBorder="0" applyAlignment="0" applyProtection="0"/>
    <xf numFmtId="0" fontId="92" fillId="63" borderId="0" applyNumberFormat="0" applyBorder="0" applyAlignment="0" applyProtection="0"/>
    <xf numFmtId="171" fontId="10" fillId="0" borderId="0" applyFont="0" applyFill="0" applyBorder="0" applyAlignment="0" applyProtection="0"/>
    <xf numFmtId="0" fontId="8" fillId="39" borderId="45" applyNumberFormat="0" applyFont="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0" fontId="8" fillId="39" borderId="45" applyNumberFormat="0" applyFont="0" applyAlignment="0" applyProtection="0"/>
    <xf numFmtId="171" fontId="10" fillId="0" borderId="0" applyFont="0" applyFill="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4" borderId="0" applyNumberFormat="0" applyBorder="0" applyAlignment="0" applyProtection="0"/>
    <xf numFmtId="171" fontId="10" fillId="0" borderId="0" applyFont="0" applyFill="0" applyBorder="0" applyAlignment="0" applyProtection="0"/>
    <xf numFmtId="0" fontId="8" fillId="57" borderId="0" applyNumberFormat="0" applyBorder="0" applyAlignment="0" applyProtection="0"/>
    <xf numFmtId="0" fontId="8" fillId="58" borderId="0" applyNumberFormat="0" applyBorder="0" applyAlignment="0" applyProtection="0"/>
    <xf numFmtId="0" fontId="8" fillId="61" borderId="0" applyNumberFormat="0" applyBorder="0" applyAlignment="0" applyProtection="0"/>
    <xf numFmtId="0" fontId="8" fillId="62" borderId="0" applyNumberFormat="0" applyBorder="0" applyAlignment="0" applyProtection="0"/>
    <xf numFmtId="0" fontId="11" fillId="0" borderId="0" applyNumberForma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171" fontId="10" fillId="0" borderId="0" applyFont="0" applyFill="0" applyBorder="0" applyAlignment="0" applyProtection="0"/>
    <xf numFmtId="0" fontId="10" fillId="0" borderId="0"/>
    <xf numFmtId="0" fontId="8" fillId="0" borderId="0"/>
    <xf numFmtId="164" fontId="10" fillId="0" borderId="0" applyFont="0" applyFill="0" applyBorder="0" applyAlignment="0" applyProtection="0"/>
    <xf numFmtId="0" fontId="8" fillId="0" borderId="0"/>
    <xf numFmtId="0" fontId="10" fillId="0" borderId="0"/>
    <xf numFmtId="9" fontId="10" fillId="0" borderId="0" applyFont="0" applyFill="0" applyBorder="0" applyAlignment="0" applyProtection="0"/>
    <xf numFmtId="0" fontId="95" fillId="0" borderId="0" applyNumberFormat="0" applyFill="0" applyBorder="0" applyAlignment="0" applyProtection="0">
      <alignment vertical="top"/>
      <protection locked="0"/>
    </xf>
    <xf numFmtId="0" fontId="8" fillId="0" borderId="0"/>
    <xf numFmtId="0" fontId="96" fillId="0" borderId="0" applyNumberFormat="0" applyProtection="0">
      <alignment horizontal="left"/>
    </xf>
    <xf numFmtId="0" fontId="97" fillId="0" borderId="38" applyNumberFormat="0" applyProtection="0">
      <alignment wrapText="1"/>
    </xf>
    <xf numFmtId="0" fontId="97" fillId="0" borderId="47" applyNumberFormat="0" applyProtection="0">
      <alignment wrapText="1"/>
    </xf>
    <xf numFmtId="0" fontId="98" fillId="0" borderId="48" applyNumberFormat="0" applyFont="0" applyProtection="0">
      <alignment wrapText="1"/>
    </xf>
    <xf numFmtId="0" fontId="8" fillId="0" borderId="0"/>
    <xf numFmtId="0" fontId="3" fillId="0" borderId="0"/>
    <xf numFmtId="0" fontId="3" fillId="0" borderId="0"/>
    <xf numFmtId="43" fontId="3" fillId="0" borderId="0" applyFont="0" applyFill="0" applyBorder="0" applyAlignment="0" applyProtection="0"/>
    <xf numFmtId="0" fontId="10" fillId="0" borderId="0"/>
    <xf numFmtId="0" fontId="109" fillId="23" borderId="35">
      <alignment horizontal="left" vertical="center"/>
    </xf>
    <xf numFmtId="43" fontId="3" fillId="0" borderId="0" applyFont="0" applyFill="0" applyBorder="0" applyAlignment="0" applyProtection="0"/>
  </cellStyleXfs>
  <cellXfs count="874">
    <xf numFmtId="0" fontId="0" fillId="0" borderId="0" xfId="0"/>
    <xf numFmtId="0" fontId="12" fillId="0" borderId="0" xfId="0" applyFont="1"/>
    <xf numFmtId="0" fontId="14" fillId="0" borderId="0" xfId="0" applyFont="1"/>
    <xf numFmtId="0" fontId="15" fillId="0" borderId="0" xfId="0" applyFont="1"/>
    <xf numFmtId="0" fontId="0" fillId="2" borderId="0" xfId="0" applyFill="1"/>
    <xf numFmtId="0" fontId="16" fillId="0" borderId="0" xfId="0" applyFont="1"/>
    <xf numFmtId="49" fontId="14" fillId="0" borderId="0" xfId="0" applyNumberFormat="1" applyFont="1"/>
    <xf numFmtId="11" fontId="14" fillId="0" borderId="0" xfId="0" applyNumberFormat="1" applyFont="1"/>
    <xf numFmtId="0" fontId="17" fillId="0" borderId="0" xfId="0" applyFont="1"/>
    <xf numFmtId="0" fontId="18" fillId="0" borderId="0" xfId="0" applyFont="1"/>
    <xf numFmtId="49" fontId="17" fillId="0" borderId="0" xfId="0" applyNumberFormat="1" applyFont="1"/>
    <xf numFmtId="0" fontId="19" fillId="0" borderId="0" xfId="0" applyFont="1"/>
    <xf numFmtId="0" fontId="21" fillId="0" borderId="0" xfId="0" applyFont="1"/>
    <xf numFmtId="0" fontId="22" fillId="0" borderId="0" xfId="0" applyFont="1"/>
    <xf numFmtId="0" fontId="24" fillId="0" borderId="0" xfId="0" applyFont="1"/>
    <xf numFmtId="1" fontId="21" fillId="0" borderId="0" xfId="0" applyNumberFormat="1" applyFont="1"/>
    <xf numFmtId="166" fontId="21" fillId="0" borderId="0" xfId="0" applyNumberFormat="1" applyFont="1"/>
    <xf numFmtId="0" fontId="21" fillId="0" borderId="0" xfId="0" applyFont="1" applyAlignment="1">
      <alignment horizontal="center"/>
    </xf>
    <xf numFmtId="1" fontId="21" fillId="0" borderId="0" xfId="0" applyNumberFormat="1" applyFont="1" applyAlignment="1">
      <alignment horizontal="center"/>
    </xf>
    <xf numFmtId="2" fontId="21" fillId="0" borderId="0" xfId="0" applyNumberFormat="1" applyFont="1" applyAlignment="1">
      <alignment horizontal="center"/>
    </xf>
    <xf numFmtId="168" fontId="21" fillId="0" borderId="0" xfId="0" applyNumberFormat="1" applyFont="1"/>
    <xf numFmtId="2" fontId="21" fillId="0" borderId="0" xfId="0" applyNumberFormat="1" applyFont="1" applyAlignment="1">
      <alignment horizontal="left"/>
    </xf>
    <xf numFmtId="11" fontId="21" fillId="0" borderId="0" xfId="0" applyNumberFormat="1" applyFont="1" applyAlignment="1">
      <alignment horizontal="right"/>
    </xf>
    <xf numFmtId="1" fontId="21" fillId="0" borderId="0" xfId="0" applyNumberFormat="1" applyFont="1" applyAlignment="1">
      <alignment horizontal="right"/>
    </xf>
    <xf numFmtId="0" fontId="21" fillId="0" borderId="5" xfId="0" applyFont="1" applyBorder="1"/>
    <xf numFmtId="0" fontId="22" fillId="0" borderId="0" xfId="0" applyFont="1" applyAlignment="1">
      <alignment horizontal="right"/>
    </xf>
    <xf numFmtId="0" fontId="21" fillId="0" borderId="0" xfId="0" applyFont="1" applyProtection="1">
      <protection locked="0"/>
    </xf>
    <xf numFmtId="167" fontId="21" fillId="0" borderId="0" xfId="0" applyNumberFormat="1" applyFont="1"/>
    <xf numFmtId="0" fontId="22" fillId="0" borderId="0" xfId="0" applyFont="1" applyAlignment="1" applyProtection="1">
      <alignment horizontal="center"/>
      <protection locked="0"/>
    </xf>
    <xf numFmtId="0" fontId="22" fillId="0" borderId="0" xfId="0" applyFont="1" applyProtection="1">
      <protection locked="0"/>
    </xf>
    <xf numFmtId="0" fontId="21" fillId="0" borderId="0" xfId="0" applyFont="1" applyAlignment="1" applyProtection="1">
      <alignment horizontal="center"/>
      <protection locked="0"/>
    </xf>
    <xf numFmtId="0" fontId="22" fillId="0" borderId="0" xfId="0" applyFont="1" applyAlignment="1">
      <alignment horizontal="center"/>
    </xf>
    <xf numFmtId="167" fontId="21" fillId="0" borderId="0" xfId="0" applyNumberFormat="1" applyFont="1" applyAlignment="1">
      <alignment horizontal="center"/>
    </xf>
    <xf numFmtId="3" fontId="21" fillId="0" borderId="0" xfId="0" applyNumberFormat="1" applyFont="1"/>
    <xf numFmtId="0" fontId="21" fillId="0" borderId="8" xfId="0" applyFont="1" applyBorder="1"/>
    <xf numFmtId="0" fontId="10" fillId="0" borderId="0" xfId="0" applyFont="1"/>
    <xf numFmtId="0" fontId="29" fillId="4" borderId="0" xfId="0" applyFont="1" applyFill="1"/>
    <xf numFmtId="0" fontId="29" fillId="0" borderId="0" xfId="0" applyFont="1"/>
    <xf numFmtId="3" fontId="29" fillId="0" borderId="0" xfId="0" applyNumberFormat="1" applyFont="1"/>
    <xf numFmtId="0" fontId="29" fillId="0" borderId="0" xfId="0" applyFont="1" applyAlignment="1">
      <alignment horizontal="right"/>
    </xf>
    <xf numFmtId="167" fontId="0" fillId="0" borderId="0" xfId="0" applyNumberFormat="1"/>
    <xf numFmtId="1" fontId="29" fillId="0" borderId="0" xfId="0" applyNumberFormat="1" applyFont="1"/>
    <xf numFmtId="0" fontId="33" fillId="0" borderId="0" xfId="0" applyFont="1"/>
    <xf numFmtId="0" fontId="34" fillId="0" borderId="0" xfId="0" applyFont="1"/>
    <xf numFmtId="0" fontId="30" fillId="0" borderId="0" xfId="0" applyFont="1"/>
    <xf numFmtId="0" fontId="35" fillId="0" borderId="0" xfId="0" applyFont="1"/>
    <xf numFmtId="0" fontId="30" fillId="5" borderId="0" xfId="0" applyFont="1" applyFill="1" applyAlignment="1">
      <alignment horizontal="right"/>
    </xf>
    <xf numFmtId="166" fontId="30" fillId="5" borderId="0" xfId="0" applyNumberFormat="1" applyFont="1" applyFill="1"/>
    <xf numFmtId="0" fontId="30" fillId="0" borderId="0" xfId="0" applyFont="1" applyAlignment="1">
      <alignment horizontal="right"/>
    </xf>
    <xf numFmtId="0" fontId="30" fillId="5" borderId="0" xfId="0" applyFont="1" applyFill="1"/>
    <xf numFmtId="0" fontId="11" fillId="0" borderId="0" xfId="5" applyAlignment="1" applyProtection="1"/>
    <xf numFmtId="2" fontId="21" fillId="0" borderId="0" xfId="0" applyNumberFormat="1" applyFont="1"/>
    <xf numFmtId="0" fontId="32" fillId="0" borderId="0" xfId="0" applyFont="1"/>
    <xf numFmtId="0" fontId="12" fillId="0" borderId="8" xfId="0" applyFont="1" applyBorder="1"/>
    <xf numFmtId="0" fontId="22" fillId="0" borderId="3" xfId="0" applyFont="1" applyBorder="1" applyAlignment="1">
      <alignment horizontal="left"/>
    </xf>
    <xf numFmtId="0" fontId="12" fillId="0" borderId="0" xfId="0" applyFont="1" applyAlignment="1">
      <alignment horizontal="left"/>
    </xf>
    <xf numFmtId="0" fontId="21" fillId="0" borderId="0" xfId="0" applyFont="1" applyAlignment="1">
      <alignment horizontal="right"/>
    </xf>
    <xf numFmtId="0" fontId="22" fillId="6" borderId="0" xfId="0" applyFont="1" applyFill="1" applyAlignment="1">
      <alignment horizontal="right"/>
    </xf>
    <xf numFmtId="0" fontId="22" fillId="6" borderId="0" xfId="0" applyFont="1" applyFill="1"/>
    <xf numFmtId="1" fontId="22" fillId="0" borderId="0" xfId="0" applyNumberFormat="1" applyFont="1"/>
    <xf numFmtId="1" fontId="22" fillId="0" borderId="0" xfId="0" applyNumberFormat="1" applyFont="1" applyAlignment="1">
      <alignment horizontal="right"/>
    </xf>
    <xf numFmtId="2" fontId="22" fillId="0" borderId="0" xfId="0" applyNumberFormat="1" applyFont="1"/>
    <xf numFmtId="175" fontId="32" fillId="0" borderId="0" xfId="0" applyNumberFormat="1" applyFont="1"/>
    <xf numFmtId="0" fontId="31" fillId="14" borderId="0" xfId="0" applyFont="1" applyFill="1"/>
    <xf numFmtId="0" fontId="21" fillId="0" borderId="0" xfId="0" applyFont="1" applyAlignment="1">
      <alignment vertical="center"/>
    </xf>
    <xf numFmtId="0" fontId="21" fillId="14" borderId="0" xfId="0" applyFont="1" applyFill="1"/>
    <xf numFmtId="0" fontId="21" fillId="16" borderId="0" xfId="0" applyFont="1" applyFill="1"/>
    <xf numFmtId="0" fontId="0" fillId="16" borderId="0" xfId="0" applyFill="1"/>
    <xf numFmtId="0" fontId="21" fillId="17" borderId="0" xfId="0" applyFont="1" applyFill="1"/>
    <xf numFmtId="0" fontId="0" fillId="17" borderId="0" xfId="0" applyFill="1"/>
    <xf numFmtId="0" fontId="33" fillId="0" borderId="0" xfId="0" applyFont="1" applyAlignment="1" applyProtection="1">
      <alignment horizontal="center"/>
      <protection locked="0"/>
    </xf>
    <xf numFmtId="0" fontId="22" fillId="0" borderId="8" xfId="0" applyFont="1" applyBorder="1" applyAlignment="1" applyProtection="1">
      <alignment horizontal="center" wrapText="1"/>
      <protection locked="0"/>
    </xf>
    <xf numFmtId="0" fontId="22" fillId="0" borderId="8" xfId="0" applyFont="1" applyBorder="1" applyAlignment="1" applyProtection="1">
      <alignment horizontal="center"/>
      <protection locked="0"/>
    </xf>
    <xf numFmtId="0" fontId="21" fillId="0" borderId="8" xfId="0" applyFont="1" applyBorder="1" applyAlignment="1" applyProtection="1">
      <alignment horizontal="center" wrapText="1"/>
      <protection locked="0"/>
    </xf>
    <xf numFmtId="172" fontId="21" fillId="0" borderId="0" xfId="0" applyNumberFormat="1" applyFont="1"/>
    <xf numFmtId="182" fontId="21" fillId="0" borderId="0" xfId="0" applyNumberFormat="1" applyFont="1"/>
    <xf numFmtId="182" fontId="29" fillId="0" borderId="0" xfId="0" applyNumberFormat="1" applyFont="1"/>
    <xf numFmtId="0" fontId="33" fillId="0" borderId="0" xfId="0" applyFont="1" applyAlignment="1">
      <alignment horizontal="center"/>
    </xf>
    <xf numFmtId="0" fontId="21" fillId="18" borderId="0" xfId="0" applyFont="1" applyFill="1"/>
    <xf numFmtId="1" fontId="21" fillId="18" borderId="0" xfId="0" applyNumberFormat="1" applyFont="1" applyFill="1"/>
    <xf numFmtId="172" fontId="21" fillId="18" borderId="0" xfId="0" applyNumberFormat="1" applyFont="1" applyFill="1"/>
    <xf numFmtId="3" fontId="21" fillId="18" borderId="0" xfId="0" applyNumberFormat="1" applyFont="1" applyFill="1"/>
    <xf numFmtId="3" fontId="21" fillId="0" borderId="0" xfId="7" applyNumberFormat="1" applyFont="1"/>
    <xf numFmtId="0" fontId="21" fillId="20" borderId="0" xfId="0" applyFont="1" applyFill="1"/>
    <xf numFmtId="0" fontId="22" fillId="0" borderId="8" xfId="0" applyFont="1" applyBorder="1"/>
    <xf numFmtId="0" fontId="21" fillId="0" borderId="8" xfId="0" applyFont="1" applyBorder="1" applyAlignment="1" applyProtection="1">
      <alignment horizontal="center"/>
      <protection locked="0"/>
    </xf>
    <xf numFmtId="165" fontId="21" fillId="0" borderId="0" xfId="0" applyNumberFormat="1" applyFont="1"/>
    <xf numFmtId="0" fontId="22" fillId="0" borderId="24" xfId="0"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5" xfId="0" applyFont="1" applyBorder="1" applyAlignment="1">
      <alignment horizontal="center" vertical="center" wrapText="1"/>
    </xf>
    <xf numFmtId="3" fontId="22" fillId="0" borderId="26" xfId="0" applyNumberFormat="1" applyFont="1" applyBorder="1" applyAlignment="1">
      <alignment horizontal="center" vertical="center" wrapText="1"/>
    </xf>
    <xf numFmtId="0" fontId="21" fillId="0" borderId="27" xfId="0" applyFont="1" applyBorder="1"/>
    <xf numFmtId="3" fontId="21" fillId="0" borderId="28" xfId="0" applyNumberFormat="1" applyFont="1" applyBorder="1" applyAlignment="1">
      <alignment horizontal="right" wrapText="1"/>
    </xf>
    <xf numFmtId="3" fontId="21" fillId="0" borderId="28" xfId="0" applyNumberFormat="1" applyFont="1" applyBorder="1"/>
    <xf numFmtId="3" fontId="21" fillId="0" borderId="29" xfId="0" applyNumberFormat="1" applyFont="1" applyBorder="1"/>
    <xf numFmtId="3" fontId="21" fillId="0" borderId="6" xfId="0" applyNumberFormat="1" applyFont="1" applyBorder="1"/>
    <xf numFmtId="3" fontId="21" fillId="0" borderId="0" xfId="0" applyNumberFormat="1" applyFont="1" applyAlignment="1">
      <alignment horizontal="right" wrapText="1"/>
    </xf>
    <xf numFmtId="0" fontId="21" fillId="0" borderId="10" xfId="0" applyFont="1" applyBorder="1"/>
    <xf numFmtId="0" fontId="21" fillId="0" borderId="11" xfId="0" applyFont="1" applyBorder="1"/>
    <xf numFmtId="3" fontId="21" fillId="0" borderId="12" xfId="0" applyNumberFormat="1" applyFont="1" applyBorder="1"/>
    <xf numFmtId="0" fontId="29" fillId="21" borderId="0" xfId="0" applyFont="1" applyFill="1"/>
    <xf numFmtId="10" fontId="21" fillId="0" borderId="0" xfId="0" applyNumberFormat="1" applyFont="1"/>
    <xf numFmtId="167" fontId="21" fillId="0" borderId="0" xfId="0" applyNumberFormat="1" applyFont="1" applyAlignment="1">
      <alignment horizontal="right"/>
    </xf>
    <xf numFmtId="0" fontId="21" fillId="21" borderId="0" xfId="0" applyFont="1" applyFill="1"/>
    <xf numFmtId="0" fontId="0" fillId="21" borderId="0" xfId="0" applyFill="1"/>
    <xf numFmtId="167" fontId="21" fillId="18" borderId="0" xfId="0" applyNumberFormat="1" applyFont="1" applyFill="1"/>
    <xf numFmtId="0" fontId="0" fillId="18" borderId="0" xfId="0" applyFill="1"/>
    <xf numFmtId="0" fontId="21" fillId="0" borderId="0" xfId="0" applyFont="1" applyAlignment="1">
      <alignment horizontal="left"/>
    </xf>
    <xf numFmtId="0" fontId="0" fillId="20" borderId="0" xfId="0" applyFill="1"/>
    <xf numFmtId="0" fontId="32" fillId="0" borderId="0" xfId="0" applyFont="1" applyAlignment="1">
      <alignment horizontal="right"/>
    </xf>
    <xf numFmtId="0" fontId="21" fillId="22" borderId="0" xfId="0" applyFont="1" applyFill="1"/>
    <xf numFmtId="1" fontId="21" fillId="22" borderId="0" xfId="0" applyNumberFormat="1" applyFont="1" applyFill="1"/>
    <xf numFmtId="3" fontId="21" fillId="22" borderId="0" xfId="0" applyNumberFormat="1" applyFont="1" applyFill="1"/>
    <xf numFmtId="167" fontId="21" fillId="22" borderId="0" xfId="0" applyNumberFormat="1" applyFont="1" applyFill="1"/>
    <xf numFmtId="0" fontId="0" fillId="22" borderId="0" xfId="0" applyFill="1"/>
    <xf numFmtId="0" fontId="21" fillId="18" borderId="14" xfId="0" applyFont="1" applyFill="1" applyBorder="1"/>
    <xf numFmtId="1" fontId="21" fillId="18" borderId="14" xfId="0" applyNumberFormat="1" applyFont="1" applyFill="1" applyBorder="1"/>
    <xf numFmtId="3" fontId="21" fillId="18" borderId="14" xfId="0" applyNumberFormat="1" applyFont="1" applyFill="1" applyBorder="1"/>
    <xf numFmtId="167" fontId="21" fillId="18" borderId="14" xfId="0" applyNumberFormat="1" applyFont="1" applyFill="1" applyBorder="1"/>
    <xf numFmtId="0" fontId="48" fillId="0" borderId="0" xfId="0" applyFont="1" applyAlignment="1">
      <alignment horizontal="left" vertical="center" wrapText="1"/>
    </xf>
    <xf numFmtId="182" fontId="0" fillId="0" borderId="0" xfId="0" applyNumberFormat="1"/>
    <xf numFmtId="3" fontId="0" fillId="0" borderId="0" xfId="0" applyNumberFormat="1"/>
    <xf numFmtId="0" fontId="21" fillId="20" borderId="0" xfId="0" applyFont="1" applyFill="1" applyProtection="1">
      <protection locked="0"/>
    </xf>
    <xf numFmtId="0" fontId="49" fillId="16" borderId="0" xfId="0" applyFont="1" applyFill="1"/>
    <xf numFmtId="0" fontId="50" fillId="14" borderId="0" xfId="0" applyFont="1" applyFill="1"/>
    <xf numFmtId="0" fontId="50" fillId="16" borderId="0" xfId="0" applyFont="1" applyFill="1"/>
    <xf numFmtId="0" fontId="51" fillId="16" borderId="0" xfId="0" applyFont="1" applyFill="1"/>
    <xf numFmtId="0" fontId="29" fillId="16" borderId="0" xfId="0" applyFont="1" applyFill="1"/>
    <xf numFmtId="0" fontId="51" fillId="0" borderId="0" xfId="0" applyFont="1"/>
    <xf numFmtId="175" fontId="21" fillId="0" borderId="0" xfId="0" applyNumberFormat="1" applyFont="1"/>
    <xf numFmtId="171" fontId="21" fillId="0" borderId="0" xfId="0" applyNumberFormat="1" applyFont="1"/>
    <xf numFmtId="167" fontId="21" fillId="17" borderId="0" xfId="0" applyNumberFormat="1" applyFont="1" applyFill="1"/>
    <xf numFmtId="0" fontId="29" fillId="17" borderId="0" xfId="0" applyFont="1" applyFill="1"/>
    <xf numFmtId="0" fontId="21" fillId="19" borderId="0" xfId="0" applyFont="1" applyFill="1"/>
    <xf numFmtId="1" fontId="21" fillId="19" borderId="0" xfId="0" applyNumberFormat="1" applyFont="1" applyFill="1"/>
    <xf numFmtId="172" fontId="21" fillId="19" borderId="0" xfId="0" applyNumberFormat="1" applyFont="1" applyFill="1"/>
    <xf numFmtId="3" fontId="21" fillId="19" borderId="0" xfId="0" applyNumberFormat="1" applyFont="1" applyFill="1"/>
    <xf numFmtId="182" fontId="21" fillId="19" borderId="0" xfId="0" applyNumberFormat="1" applyFont="1" applyFill="1"/>
    <xf numFmtId="3" fontId="21" fillId="19" borderId="0" xfId="7" applyNumberFormat="1" applyFont="1" applyFill="1"/>
    <xf numFmtId="0" fontId="0" fillId="19" borderId="0" xfId="0" applyFill="1"/>
    <xf numFmtId="167" fontId="21" fillId="19" borderId="0" xfId="0" applyNumberFormat="1" applyFont="1" applyFill="1"/>
    <xf numFmtId="0" fontId="54" fillId="0" borderId="0" xfId="0" applyFont="1"/>
    <xf numFmtId="0" fontId="57" fillId="0" borderId="0" xfId="0" applyFont="1"/>
    <xf numFmtId="171" fontId="21" fillId="0" borderId="0" xfId="17" applyNumberFormat="1" applyFont="1" applyAlignment="1">
      <alignment horizontal="right"/>
    </xf>
    <xf numFmtId="0" fontId="49" fillId="16" borderId="0" xfId="0" applyFont="1" applyFill="1" applyAlignment="1">
      <alignment vertical="center"/>
    </xf>
    <xf numFmtId="0" fontId="10" fillId="0" borderId="0" xfId="0" applyFont="1" applyAlignment="1">
      <alignment vertical="center"/>
    </xf>
    <xf numFmtId="0" fontId="31" fillId="14" borderId="0" xfId="0" applyFont="1" applyFill="1" applyAlignment="1">
      <alignment vertical="center"/>
    </xf>
    <xf numFmtId="0" fontId="31" fillId="16" borderId="0" xfId="0" applyFont="1" applyFill="1" applyAlignment="1">
      <alignment vertical="center"/>
    </xf>
    <xf numFmtId="0" fontId="13" fillId="0" borderId="0" xfId="0" applyFont="1" applyAlignment="1">
      <alignment vertical="center"/>
    </xf>
    <xf numFmtId="0" fontId="31" fillId="0" borderId="0" xfId="0" applyFont="1" applyAlignment="1">
      <alignment vertical="center"/>
    </xf>
    <xf numFmtId="0" fontId="33" fillId="0" borderId="0" xfId="0" applyFont="1" applyAlignment="1">
      <alignment vertical="center"/>
    </xf>
    <xf numFmtId="0" fontId="33"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22" fillId="0" borderId="0" xfId="0" applyFont="1" applyAlignment="1">
      <alignment vertical="center"/>
    </xf>
    <xf numFmtId="0" fontId="21" fillId="0" borderId="0" xfId="0" applyFont="1" applyAlignment="1" applyProtection="1">
      <alignment horizontal="center" vertical="center" wrapText="1"/>
      <protection locked="0"/>
    </xf>
    <xf numFmtId="0" fontId="10" fillId="20" borderId="14" xfId="0" applyFont="1" applyFill="1" applyBorder="1" applyAlignment="1">
      <alignment vertical="center"/>
    </xf>
    <xf numFmtId="2" fontId="21" fillId="0" borderId="0" xfId="0" applyNumberFormat="1" applyFont="1" applyAlignment="1">
      <alignment vertical="center"/>
    </xf>
    <xf numFmtId="167" fontId="55" fillId="0" borderId="0" xfId="0" applyNumberFormat="1" applyFont="1" applyAlignment="1" applyProtection="1">
      <alignment horizontal="right" vertical="center" wrapText="1"/>
      <protection locked="0"/>
    </xf>
    <xf numFmtId="0" fontId="21" fillId="0" borderId="0" xfId="0" applyFont="1" applyAlignment="1" applyProtection="1">
      <alignment horizontal="right" vertical="center" wrapText="1"/>
      <protection locked="0"/>
    </xf>
    <xf numFmtId="0" fontId="10" fillId="20" borderId="0" xfId="0" applyFont="1" applyFill="1" applyAlignment="1">
      <alignment horizontal="center" vertical="center"/>
    </xf>
    <xf numFmtId="0" fontId="10" fillId="20" borderId="15" xfId="0" applyFont="1" applyFill="1" applyBorder="1" applyAlignment="1">
      <alignment horizontal="center" vertical="center"/>
    </xf>
    <xf numFmtId="0" fontId="48" fillId="0" borderId="0" xfId="0" applyFont="1" applyAlignment="1">
      <alignment vertical="center"/>
    </xf>
    <xf numFmtId="167" fontId="21" fillId="0" borderId="0" xfId="0" applyNumberFormat="1" applyFont="1" applyAlignment="1">
      <alignment horizontal="right" vertical="center"/>
    </xf>
    <xf numFmtId="166" fontId="21" fillId="0" borderId="0" xfId="0" applyNumberFormat="1" applyFont="1" applyAlignment="1">
      <alignment vertical="center"/>
    </xf>
    <xf numFmtId="0" fontId="10" fillId="20" borderId="13" xfId="0" applyFont="1" applyFill="1" applyBorder="1" applyAlignment="1">
      <alignment vertical="center"/>
    </xf>
    <xf numFmtId="0" fontId="21" fillId="0" borderId="0" xfId="0" quotePrefix="1" applyFont="1" applyAlignment="1">
      <alignment horizontal="center" vertical="center"/>
    </xf>
    <xf numFmtId="0" fontId="56" fillId="0" borderId="0" xfId="0" applyFont="1" applyAlignment="1">
      <alignment vertical="center"/>
    </xf>
    <xf numFmtId="3" fontId="23" fillId="6" borderId="0" xfId="9" applyNumberFormat="1" applyFont="1" applyFill="1" applyAlignment="1">
      <alignment horizontal="right" vertical="center"/>
    </xf>
    <xf numFmtId="3" fontId="23" fillId="0" borderId="0" xfId="9" applyNumberFormat="1" applyFont="1" applyAlignment="1">
      <alignment horizontal="right" vertical="center"/>
    </xf>
    <xf numFmtId="0" fontId="23" fillId="0" borderId="0" xfId="11" applyFont="1" applyAlignment="1">
      <alignment horizontal="left" vertical="center"/>
    </xf>
    <xf numFmtId="3" fontId="23" fillId="0" borderId="3" xfId="11" applyNumberFormat="1" applyFont="1" applyBorder="1" applyAlignment="1">
      <alignment vertical="center" wrapText="1"/>
    </xf>
    <xf numFmtId="3" fontId="23" fillId="0" borderId="0" xfId="11" applyNumberFormat="1" applyFont="1" applyAlignment="1">
      <alignment vertical="center" wrapText="1"/>
    </xf>
    <xf numFmtId="0" fontId="11" fillId="0" borderId="0" xfId="5" applyAlignment="1" applyProtection="1">
      <alignment vertical="center"/>
    </xf>
    <xf numFmtId="174" fontId="0" fillId="4" borderId="0" xfId="1" applyNumberFormat="1" applyFont="1" applyFill="1" applyAlignment="1">
      <alignment horizontal="right" vertical="center"/>
    </xf>
    <xf numFmtId="0" fontId="10" fillId="20" borderId="19" xfId="0" applyFont="1" applyFill="1" applyBorder="1" applyAlignment="1">
      <alignment horizontal="center" vertical="center"/>
    </xf>
    <xf numFmtId="0" fontId="12" fillId="20" borderId="20" xfId="0" applyFont="1" applyFill="1" applyBorder="1" applyAlignment="1">
      <alignment vertical="center"/>
    </xf>
    <xf numFmtId="0" fontId="10" fillId="28" borderId="0" xfId="22" applyFill="1" applyAlignment="1">
      <alignment vertical="center"/>
    </xf>
    <xf numFmtId="0" fontId="20" fillId="28" borderId="0" xfId="0" applyFont="1" applyFill="1" applyAlignment="1">
      <alignment horizontal="left"/>
    </xf>
    <xf numFmtId="0" fontId="10" fillId="27" borderId="0" xfId="0" applyFont="1" applyFill="1"/>
    <xf numFmtId="0" fontId="0" fillId="27" borderId="0" xfId="0" applyFill="1"/>
    <xf numFmtId="0" fontId="58" fillId="28" borderId="0" xfId="0" applyFont="1" applyFill="1" applyAlignment="1">
      <alignment wrapText="1"/>
    </xf>
    <xf numFmtId="0" fontId="58" fillId="28" borderId="0" xfId="0" applyFont="1" applyFill="1"/>
    <xf numFmtId="2" fontId="58" fillId="28" borderId="0" xfId="0" applyNumberFormat="1" applyFont="1" applyFill="1"/>
    <xf numFmtId="0" fontId="61" fillId="28" borderId="0" xfId="0" applyFont="1" applyFill="1"/>
    <xf numFmtId="1" fontId="58" fillId="28" borderId="0" xfId="0" applyNumberFormat="1" applyFont="1" applyFill="1"/>
    <xf numFmtId="0" fontId="59" fillId="28" borderId="0" xfId="0" applyFont="1" applyFill="1"/>
    <xf numFmtId="9" fontId="58" fillId="28" borderId="0" xfId="0" applyNumberFormat="1" applyFont="1" applyFill="1"/>
    <xf numFmtId="167" fontId="58" fillId="28" borderId="0" xfId="0" applyNumberFormat="1" applyFont="1" applyFill="1"/>
    <xf numFmtId="0" fontId="54" fillId="28" borderId="0" xfId="0" applyFont="1" applyFill="1"/>
    <xf numFmtId="2" fontId="54" fillId="28" borderId="0" xfId="0" applyNumberFormat="1" applyFont="1" applyFill="1"/>
    <xf numFmtId="0" fontId="59" fillId="27" borderId="0" xfId="0" applyFont="1" applyFill="1"/>
    <xf numFmtId="0" fontId="59" fillId="27" borderId="0" xfId="0" applyFont="1" applyFill="1" applyAlignment="1">
      <alignment wrapText="1"/>
    </xf>
    <xf numFmtId="167" fontId="54" fillId="28" borderId="0" xfId="0" applyNumberFormat="1" applyFont="1" applyFill="1"/>
    <xf numFmtId="0" fontId="62" fillId="28" borderId="0" xfId="0" applyFont="1" applyFill="1"/>
    <xf numFmtId="167" fontId="62" fillId="28" borderId="0" xfId="0" applyNumberFormat="1" applyFont="1" applyFill="1"/>
    <xf numFmtId="0" fontId="63" fillId="28" borderId="0" xfId="0" applyFont="1" applyFill="1"/>
    <xf numFmtId="0" fontId="64" fillId="28" borderId="0" xfId="0" applyFont="1" applyFill="1"/>
    <xf numFmtId="0" fontId="59" fillId="27" borderId="0" xfId="0" applyFont="1" applyFill="1" applyAlignment="1">
      <alignment horizontal="right"/>
    </xf>
    <xf numFmtId="0" fontId="58" fillId="28" borderId="0" xfId="0" applyFont="1" applyFill="1" applyAlignment="1">
      <alignment horizontal="right"/>
    </xf>
    <xf numFmtId="0" fontId="58" fillId="27" borderId="0" xfId="0" applyFont="1" applyFill="1" applyAlignment="1">
      <alignment horizontal="right"/>
    </xf>
    <xf numFmtId="0" fontId="58" fillId="0" borderId="0" xfId="0" applyFont="1" applyAlignment="1">
      <alignment horizontal="right"/>
    </xf>
    <xf numFmtId="0" fontId="10" fillId="28" borderId="0" xfId="0" applyFont="1" applyFill="1" applyAlignment="1">
      <alignment horizontal="right"/>
    </xf>
    <xf numFmtId="3" fontId="10" fillId="28" borderId="0" xfId="0" applyNumberFormat="1" applyFont="1" applyFill="1" applyAlignment="1">
      <alignment horizontal="right"/>
    </xf>
    <xf numFmtId="3" fontId="58" fillId="28" borderId="0" xfId="0" applyNumberFormat="1" applyFont="1" applyFill="1" applyAlignment="1">
      <alignment horizontal="right"/>
    </xf>
    <xf numFmtId="0" fontId="58" fillId="0" borderId="0" xfId="0" pivotButton="1" applyFont="1" applyAlignment="1">
      <alignment horizontal="right"/>
    </xf>
    <xf numFmtId="3" fontId="58" fillId="28" borderId="0" xfId="0" applyNumberFormat="1" applyFont="1" applyFill="1"/>
    <xf numFmtId="0" fontId="29" fillId="27" borderId="0" xfId="0" applyFont="1" applyFill="1"/>
    <xf numFmtId="0" fontId="58" fillId="28" borderId="0" xfId="0" applyFont="1" applyFill="1" applyAlignment="1">
      <alignment horizontal="right" wrapText="1"/>
    </xf>
    <xf numFmtId="0" fontId="59" fillId="27" borderId="0" xfId="0" applyFont="1" applyFill="1" applyAlignment="1">
      <alignment horizontal="right" wrapText="1"/>
    </xf>
    <xf numFmtId="176" fontId="21" fillId="0" borderId="0" xfId="0" applyNumberFormat="1" applyFont="1"/>
    <xf numFmtId="176" fontId="21" fillId="18" borderId="0" xfId="0" applyNumberFormat="1" applyFont="1" applyFill="1"/>
    <xf numFmtId="0" fontId="66" fillId="27" borderId="0" xfId="0" applyFont="1" applyFill="1" applyAlignment="1">
      <alignment horizontal="right"/>
    </xf>
    <xf numFmtId="0" fontId="29" fillId="27" borderId="0" xfId="0" applyFont="1" applyFill="1" applyAlignment="1">
      <alignment horizontal="right"/>
    </xf>
    <xf numFmtId="0" fontId="29" fillId="28" borderId="0" xfId="0" applyFont="1" applyFill="1" applyAlignment="1">
      <alignment horizontal="right"/>
    </xf>
    <xf numFmtId="3" fontId="29" fillId="28" borderId="0" xfId="0" applyNumberFormat="1" applyFont="1" applyFill="1" applyAlignment="1">
      <alignment horizontal="right"/>
    </xf>
    <xf numFmtId="166" fontId="29" fillId="28" borderId="0" xfId="0" applyNumberFormat="1" applyFont="1" applyFill="1" applyAlignment="1">
      <alignment horizontal="right"/>
    </xf>
    <xf numFmtId="10" fontId="29" fillId="28" borderId="0" xfId="0" applyNumberFormat="1" applyFont="1" applyFill="1" applyAlignment="1">
      <alignment horizontal="right"/>
    </xf>
    <xf numFmtId="0" fontId="20" fillId="27" borderId="0" xfId="0" applyFont="1" applyFill="1" applyAlignment="1">
      <alignment horizontal="right" wrapText="1"/>
    </xf>
    <xf numFmtId="0" fontId="20" fillId="27" borderId="0" xfId="0" applyFont="1" applyFill="1" applyAlignment="1">
      <alignment horizontal="right"/>
    </xf>
    <xf numFmtId="2" fontId="29" fillId="28" borderId="0" xfId="0" applyNumberFormat="1" applyFont="1" applyFill="1" applyAlignment="1">
      <alignment horizontal="right"/>
    </xf>
    <xf numFmtId="2" fontId="67" fillId="28" borderId="0" xfId="0" applyNumberFormat="1" applyFont="1" applyFill="1" applyAlignment="1">
      <alignment horizontal="right"/>
    </xf>
    <xf numFmtId="0" fontId="68" fillId="28" borderId="0" xfId="0" applyFont="1" applyFill="1" applyAlignment="1">
      <alignment horizontal="right"/>
    </xf>
    <xf numFmtId="167" fontId="69" fillId="28" borderId="0" xfId="0" applyNumberFormat="1" applyFont="1" applyFill="1" applyAlignment="1">
      <alignment horizontal="right"/>
    </xf>
    <xf numFmtId="167" fontId="68" fillId="28" borderId="0" xfId="0" applyNumberFormat="1" applyFont="1" applyFill="1" applyAlignment="1">
      <alignment horizontal="right"/>
    </xf>
    <xf numFmtId="0" fontId="66" fillId="27" borderId="0" xfId="0" applyFont="1" applyFill="1" applyAlignment="1">
      <alignment horizontal="left"/>
    </xf>
    <xf numFmtId="0" fontId="29" fillId="27" borderId="0" xfId="0" applyFont="1" applyFill="1" applyAlignment="1">
      <alignment horizontal="left"/>
    </xf>
    <xf numFmtId="0" fontId="29" fillId="28" borderId="0" xfId="0" applyFont="1" applyFill="1" applyAlignment="1">
      <alignment horizontal="left"/>
    </xf>
    <xf numFmtId="0" fontId="20" fillId="27" borderId="0" xfId="0" applyFont="1" applyFill="1" applyAlignment="1">
      <alignment horizontal="left" wrapText="1"/>
    </xf>
    <xf numFmtId="0" fontId="20" fillId="27" borderId="0" xfId="0" applyFont="1" applyFill="1" applyAlignment="1">
      <alignment horizontal="left"/>
    </xf>
    <xf numFmtId="0" fontId="68" fillId="28" borderId="0" xfId="0" applyFont="1" applyFill="1" applyAlignment="1">
      <alignment horizontal="left"/>
    </xf>
    <xf numFmtId="0" fontId="66" fillId="27" borderId="0" xfId="0" applyFont="1" applyFill="1" applyAlignment="1">
      <alignment horizontal="right" wrapText="1"/>
    </xf>
    <xf numFmtId="3" fontId="68" fillId="28" borderId="0" xfId="0" applyNumberFormat="1" applyFont="1" applyFill="1" applyAlignment="1">
      <alignment horizontal="right"/>
    </xf>
    <xf numFmtId="166" fontId="68" fillId="28" borderId="0" xfId="0" applyNumberFormat="1" applyFont="1" applyFill="1" applyAlignment="1">
      <alignment horizontal="right"/>
    </xf>
    <xf numFmtId="0" fontId="68" fillId="28" borderId="0" xfId="0" applyFont="1" applyFill="1" applyAlignment="1">
      <alignment horizontal="right" wrapText="1"/>
    </xf>
    <xf numFmtId="167" fontId="70" fillId="28" borderId="0" xfId="0" applyNumberFormat="1" applyFont="1" applyFill="1" applyAlignment="1">
      <alignment horizontal="right"/>
    </xf>
    <xf numFmtId="0" fontId="68" fillId="27" borderId="0" xfId="0" applyFont="1" applyFill="1" applyAlignment="1">
      <alignment horizontal="right"/>
    </xf>
    <xf numFmtId="0" fontId="68" fillId="27" borderId="0" xfId="0" applyFont="1" applyFill="1" applyAlignment="1">
      <alignment horizontal="right" wrapText="1"/>
    </xf>
    <xf numFmtId="0" fontId="20" fillId="28" borderId="0" xfId="22" applyFont="1" applyFill="1" applyAlignment="1">
      <alignment horizontal="right" vertical="center"/>
    </xf>
    <xf numFmtId="0" fontId="68" fillId="28" borderId="0" xfId="0" applyFont="1" applyFill="1" applyAlignment="1">
      <alignment horizontal="right" vertical="center"/>
    </xf>
    <xf numFmtId="0" fontId="66" fillId="27" borderId="0" xfId="0" applyFont="1" applyFill="1" applyAlignment="1">
      <alignment horizontal="right" vertical="center"/>
    </xf>
    <xf numFmtId="2" fontId="66" fillId="27" borderId="0" xfId="0" applyNumberFormat="1" applyFont="1" applyFill="1" applyAlignment="1">
      <alignment horizontal="right" vertical="center"/>
    </xf>
    <xf numFmtId="0" fontId="68" fillId="27" borderId="0" xfId="0" applyFont="1" applyFill="1" applyAlignment="1">
      <alignment horizontal="right" vertical="center"/>
    </xf>
    <xf numFmtId="0" fontId="29" fillId="28" borderId="0" xfId="22" applyFont="1" applyFill="1" applyAlignment="1">
      <alignment horizontal="right" vertical="center"/>
    </xf>
    <xf numFmtId="166" fontId="68" fillId="28" borderId="0" xfId="0" applyNumberFormat="1" applyFont="1" applyFill="1" applyAlignment="1">
      <alignment horizontal="right" vertical="center"/>
    </xf>
    <xf numFmtId="2" fontId="68" fillId="28" borderId="0" xfId="0" applyNumberFormat="1" applyFont="1" applyFill="1" applyAlignment="1">
      <alignment horizontal="right" vertical="center"/>
    </xf>
    <xf numFmtId="2" fontId="68" fillId="28" borderId="0" xfId="0" applyNumberFormat="1" applyFont="1" applyFill="1" applyAlignment="1">
      <alignment horizontal="right"/>
    </xf>
    <xf numFmtId="0" fontId="67" fillId="28" borderId="0" xfId="0" applyFont="1" applyFill="1" applyAlignment="1">
      <alignment horizontal="right"/>
    </xf>
    <xf numFmtId="0" fontId="67" fillId="28" borderId="0" xfId="0" applyFont="1" applyFill="1" applyAlignment="1">
      <alignment horizontal="right" vertical="center"/>
    </xf>
    <xf numFmtId="0" fontId="21" fillId="28" borderId="0" xfId="0" applyFont="1" applyFill="1" applyAlignment="1">
      <alignment horizontal="left" vertical="center"/>
    </xf>
    <xf numFmtId="166" fontId="21" fillId="0" borderId="0" xfId="0" applyNumberFormat="1" applyFont="1" applyAlignment="1">
      <alignment horizontal="center"/>
    </xf>
    <xf numFmtId="0" fontId="21" fillId="0" borderId="3" xfId="0" applyFont="1" applyBorder="1"/>
    <xf numFmtId="0" fontId="21" fillId="6" borderId="0" xfId="0" applyFont="1" applyFill="1"/>
    <xf numFmtId="1" fontId="29" fillId="28" borderId="0" xfId="0" applyNumberFormat="1" applyFont="1" applyFill="1"/>
    <xf numFmtId="166" fontId="21" fillId="28" borderId="0" xfId="0" applyNumberFormat="1" applyFont="1" applyFill="1" applyAlignment="1">
      <alignment horizontal="center"/>
    </xf>
    <xf numFmtId="166" fontId="22" fillId="28" borderId="0" xfId="0" applyNumberFormat="1" applyFont="1" applyFill="1" applyAlignment="1">
      <alignment horizontal="center"/>
    </xf>
    <xf numFmtId="0" fontId="21" fillId="28" borderId="0" xfId="0" applyFont="1" applyFill="1"/>
    <xf numFmtId="0" fontId="46" fillId="28" borderId="0" xfId="5" applyFont="1" applyFill="1" applyBorder="1" applyAlignment="1" applyProtection="1"/>
    <xf numFmtId="0" fontId="22" fillId="28" borderId="0" xfId="0" applyFont="1" applyFill="1"/>
    <xf numFmtId="165" fontId="21" fillId="28" borderId="0" xfId="13" applyNumberFormat="1" applyFont="1" applyFill="1"/>
    <xf numFmtId="0" fontId="21" fillId="28" borderId="0" xfId="11" applyFont="1" applyFill="1" applyAlignment="1">
      <alignment horizontal="left"/>
    </xf>
    <xf numFmtId="0" fontId="21" fillId="28" borderId="0" xfId="11" applyFont="1" applyFill="1" applyAlignment="1">
      <alignment horizontal="right"/>
    </xf>
    <xf numFmtId="172" fontId="21" fillId="28" borderId="0" xfId="13" applyNumberFormat="1" applyFont="1" applyFill="1"/>
    <xf numFmtId="172" fontId="21" fillId="28" borderId="0" xfId="13" applyNumberFormat="1" applyFont="1" applyFill="1" applyAlignment="1">
      <alignment horizontal="right"/>
    </xf>
    <xf numFmtId="3" fontId="21" fillId="28" borderId="0" xfId="11" applyNumberFormat="1" applyFont="1" applyFill="1"/>
    <xf numFmtId="0" fontId="73" fillId="28" borderId="0" xfId="13" applyFont="1" applyFill="1"/>
    <xf numFmtId="0" fontId="21" fillId="28" borderId="0" xfId="13" applyFont="1" applyFill="1"/>
    <xf numFmtId="0" fontId="73" fillId="28" borderId="0" xfId="13" applyFont="1" applyFill="1" applyAlignment="1">
      <alignment vertical="top"/>
    </xf>
    <xf numFmtId="0" fontId="73" fillId="28" borderId="0" xfId="13" applyFont="1" applyFill="1" applyAlignment="1">
      <alignment vertical="top" wrapText="1"/>
    </xf>
    <xf numFmtId="0" fontId="21" fillId="28" borderId="0" xfId="16" applyFont="1" applyFill="1" applyAlignment="1">
      <alignment horizontal="center"/>
    </xf>
    <xf numFmtId="0" fontId="21" fillId="28" borderId="0" xfId="16" applyFont="1" applyFill="1"/>
    <xf numFmtId="3" fontId="21" fillId="28" borderId="0" xfId="0" applyNumberFormat="1" applyFont="1" applyFill="1"/>
    <xf numFmtId="3" fontId="21" fillId="28" borderId="0" xfId="16" applyNumberFormat="1" applyFont="1" applyFill="1" applyAlignment="1">
      <alignment horizontal="center"/>
    </xf>
    <xf numFmtId="0" fontId="21" fillId="28" borderId="0" xfId="20" applyFont="1" applyFill="1">
      <alignment horizontal="left"/>
    </xf>
    <xf numFmtId="3" fontId="21" fillId="28" borderId="0" xfId="20" applyNumberFormat="1" applyFont="1" applyFill="1" applyAlignment="1">
      <alignment horizontal="right"/>
    </xf>
    <xf numFmtId="3" fontId="21" fillId="28" borderId="0" xfId="20" applyNumberFormat="1" applyFont="1" applyFill="1" applyAlignment="1">
      <alignment horizontal="right" vertical="center"/>
    </xf>
    <xf numFmtId="165" fontId="21" fillId="28" borderId="0" xfId="20" applyNumberFormat="1" applyFont="1" applyFill="1" applyAlignment="1">
      <alignment horizontal="right"/>
    </xf>
    <xf numFmtId="172" fontId="21" fillId="28" borderId="0" xfId="20" applyNumberFormat="1" applyFont="1" applyFill="1" applyAlignment="1">
      <alignment horizontal="right" vertical="center"/>
    </xf>
    <xf numFmtId="165" fontId="21" fillId="28" borderId="0" xfId="0" applyNumberFormat="1" applyFont="1" applyFill="1" applyAlignment="1">
      <alignment horizontal="right"/>
    </xf>
    <xf numFmtId="0" fontId="21" fillId="28" borderId="0" xfId="0" applyFont="1" applyFill="1" applyAlignment="1">
      <alignment horizontal="left"/>
    </xf>
    <xf numFmtId="165" fontId="47" fillId="28" borderId="0" xfId="20" applyNumberFormat="1" applyFont="1" applyFill="1" applyAlignment="1">
      <alignment horizontal="right"/>
    </xf>
    <xf numFmtId="0" fontId="47" fillId="28" borderId="0" xfId="20" applyFont="1" applyFill="1">
      <alignment horizontal="left"/>
    </xf>
    <xf numFmtId="0" fontId="45" fillId="28" borderId="0" xfId="0" applyFont="1" applyFill="1"/>
    <xf numFmtId="0" fontId="21" fillId="28" borderId="0" xfId="0" applyFont="1" applyFill="1" applyAlignment="1">
      <alignment vertical="center"/>
    </xf>
    <xf numFmtId="0" fontId="48" fillId="29" borderId="0" xfId="0" applyFont="1" applyFill="1" applyAlignment="1">
      <alignment horizontal="left"/>
    </xf>
    <xf numFmtId="0" fontId="22" fillId="28" borderId="0" xfId="20" applyFont="1" applyFill="1">
      <alignment horizontal="left"/>
    </xf>
    <xf numFmtId="3" fontId="22" fillId="28" borderId="0" xfId="20" applyNumberFormat="1" applyFont="1" applyFill="1" applyAlignment="1">
      <alignment horizontal="right"/>
    </xf>
    <xf numFmtId="0" fontId="21" fillId="28" borderId="0" xfId="20" applyFont="1" applyFill="1" applyAlignment="1">
      <alignment horizontal="left" indent="1"/>
    </xf>
    <xf numFmtId="0" fontId="21" fillId="28" borderId="0" xfId="20" applyFont="1" applyFill="1" applyAlignment="1">
      <alignment horizontal="left" vertical="center"/>
    </xf>
    <xf numFmtId="0" fontId="32" fillId="28" borderId="0" xfId="0" applyFont="1" applyFill="1"/>
    <xf numFmtId="0" fontId="50" fillId="28" borderId="0" xfId="0" applyFont="1" applyFill="1"/>
    <xf numFmtId="2" fontId="32" fillId="28" borderId="0" xfId="0" applyNumberFormat="1" applyFont="1" applyFill="1"/>
    <xf numFmtId="166" fontId="32" fillId="28" borderId="0" xfId="0" applyNumberFormat="1" applyFont="1" applyFill="1"/>
    <xf numFmtId="0" fontId="21" fillId="28" borderId="0" xfId="0" quotePrefix="1" applyFont="1" applyFill="1"/>
    <xf numFmtId="1" fontId="21" fillId="28" borderId="0" xfId="0" applyNumberFormat="1" applyFont="1" applyFill="1"/>
    <xf numFmtId="166" fontId="42" fillId="28" borderId="0" xfId="0" applyNumberFormat="1" applyFont="1" applyFill="1"/>
    <xf numFmtId="0" fontId="28" fillId="28" borderId="0" xfId="0" applyFont="1" applyFill="1" applyAlignment="1">
      <alignment horizontal="left"/>
    </xf>
    <xf numFmtId="0" fontId="28" fillId="28" borderId="0" xfId="0" applyFont="1" applyFill="1" applyAlignment="1">
      <alignment horizontal="right"/>
    </xf>
    <xf numFmtId="0" fontId="28" fillId="28" borderId="0" xfId="0" applyFont="1" applyFill="1"/>
    <xf numFmtId="2" fontId="43" fillId="28" borderId="0" xfId="0" applyNumberFormat="1" applyFont="1" applyFill="1"/>
    <xf numFmtId="2" fontId="28" fillId="28" borderId="0" xfId="0" applyNumberFormat="1" applyFont="1" applyFill="1"/>
    <xf numFmtId="166" fontId="43" fillId="28" borderId="0" xfId="0" applyNumberFormat="1" applyFont="1" applyFill="1"/>
    <xf numFmtId="166" fontId="28" fillId="28" borderId="0" xfId="0" applyNumberFormat="1" applyFont="1" applyFill="1"/>
    <xf numFmtId="0" fontId="28" fillId="28" borderId="0" xfId="0" quotePrefix="1" applyFont="1" applyFill="1"/>
    <xf numFmtId="166" fontId="21" fillId="28" borderId="0" xfId="0" applyNumberFormat="1" applyFont="1" applyFill="1"/>
    <xf numFmtId="0" fontId="44" fillId="28" borderId="0" xfId="0" applyFont="1" applyFill="1"/>
    <xf numFmtId="166" fontId="44" fillId="28" borderId="0" xfId="0" applyNumberFormat="1" applyFont="1" applyFill="1"/>
    <xf numFmtId="49" fontId="22" fillId="28" borderId="0" xfId="0" applyNumberFormat="1" applyFont="1" applyFill="1"/>
    <xf numFmtId="49" fontId="21" fillId="28" borderId="0" xfId="0" applyNumberFormat="1" applyFont="1" applyFill="1"/>
    <xf numFmtId="0" fontId="21" fillId="28" borderId="0" xfId="0" applyFont="1" applyFill="1" applyAlignment="1">
      <alignment horizontal="right"/>
    </xf>
    <xf numFmtId="10" fontId="21" fillId="28" borderId="0" xfId="0" applyNumberFormat="1" applyFont="1" applyFill="1"/>
    <xf numFmtId="167" fontId="21" fillId="28" borderId="0" xfId="0" applyNumberFormat="1" applyFont="1" applyFill="1"/>
    <xf numFmtId="0" fontId="22" fillId="28" borderId="0" xfId="13" applyFont="1" applyFill="1"/>
    <xf numFmtId="49" fontId="22" fillId="28" borderId="0" xfId="13" applyNumberFormat="1" applyFont="1" applyFill="1" applyAlignment="1">
      <alignment horizontal="right" wrapText="1"/>
    </xf>
    <xf numFmtId="3" fontId="21" fillId="28" borderId="0" xfId="13" applyNumberFormat="1" applyFont="1" applyFill="1"/>
    <xf numFmtId="0" fontId="21" fillId="28" borderId="0" xfId="11" applyFont="1" applyFill="1"/>
    <xf numFmtId="3" fontId="21" fillId="28" borderId="0" xfId="10" applyNumberFormat="1" applyFont="1" applyFill="1" applyAlignment="1">
      <alignment horizontal="right"/>
    </xf>
    <xf numFmtId="0" fontId="22" fillId="28" borderId="0" xfId="16" applyFont="1" applyFill="1" applyAlignment="1">
      <alignment wrapText="1"/>
    </xf>
    <xf numFmtId="0" fontId="22" fillId="28" borderId="0" xfId="16" applyFont="1" applyFill="1" applyAlignment="1">
      <alignment horizontal="center" wrapText="1"/>
    </xf>
    <xf numFmtId="0" fontId="22" fillId="28" borderId="0" xfId="16" applyFont="1" applyFill="1" applyAlignment="1">
      <alignment horizontal="right" wrapText="1"/>
    </xf>
    <xf numFmtId="49" fontId="22" fillId="28" borderId="0" xfId="16" applyNumberFormat="1" applyFont="1" applyFill="1" applyAlignment="1">
      <alignment horizontal="center" wrapText="1"/>
    </xf>
    <xf numFmtId="49" fontId="22" fillId="28" borderId="0" xfId="16" applyNumberFormat="1" applyFont="1" applyFill="1" applyAlignment="1">
      <alignment horizontal="right" wrapText="1"/>
    </xf>
    <xf numFmtId="0" fontId="21" fillId="28" borderId="0" xfId="0" applyFont="1" applyFill="1" applyAlignment="1">
      <alignment horizontal="right" wrapText="1"/>
    </xf>
    <xf numFmtId="0" fontId="48" fillId="28" borderId="0" xfId="0" applyFont="1" applyFill="1"/>
    <xf numFmtId="3" fontId="21" fillId="28" borderId="0" xfId="16" applyNumberFormat="1" applyFont="1" applyFill="1"/>
    <xf numFmtId="3" fontId="21" fillId="28" borderId="0" xfId="12" applyNumberFormat="1" applyFont="1" applyFill="1"/>
    <xf numFmtId="9" fontId="21" fillId="28" borderId="0" xfId="17" applyFont="1" applyFill="1" applyBorder="1" applyAlignment="1">
      <alignment horizontal="center"/>
    </xf>
    <xf numFmtId="9" fontId="21" fillId="28" borderId="0" xfId="17" applyFont="1" applyFill="1" applyBorder="1"/>
    <xf numFmtId="3" fontId="21" fillId="28" borderId="0" xfId="12" applyNumberFormat="1" applyFont="1" applyFill="1" applyAlignment="1">
      <alignment horizontal="center"/>
    </xf>
    <xf numFmtId="172" fontId="21" fillId="28" borderId="0" xfId="0" applyNumberFormat="1" applyFont="1" applyFill="1"/>
    <xf numFmtId="0" fontId="43" fillId="28" borderId="0" xfId="0" applyFont="1" applyFill="1"/>
    <xf numFmtId="0" fontId="22" fillId="28" borderId="0" xfId="20" applyFont="1" applyFill="1" applyAlignment="1">
      <alignment horizontal="center"/>
    </xf>
    <xf numFmtId="1" fontId="48" fillId="28" borderId="0" xfId="0" applyNumberFormat="1" applyFont="1" applyFill="1"/>
    <xf numFmtId="3" fontId="48" fillId="28" borderId="0" xfId="0" applyNumberFormat="1" applyFont="1" applyFill="1"/>
    <xf numFmtId="3" fontId="21" fillId="28" borderId="0" xfId="0" applyNumberFormat="1" applyFont="1" applyFill="1" applyAlignment="1">
      <alignment horizontal="right"/>
    </xf>
    <xf numFmtId="177" fontId="48" fillId="28" borderId="0" xfId="0" applyNumberFormat="1" applyFont="1" applyFill="1"/>
    <xf numFmtId="165" fontId="21" fillId="28" borderId="0" xfId="0" applyNumberFormat="1" applyFont="1" applyFill="1"/>
    <xf numFmtId="172" fontId="48" fillId="28" borderId="0" xfId="0" applyNumberFormat="1" applyFont="1" applyFill="1"/>
    <xf numFmtId="178" fontId="48" fillId="28" borderId="0" xfId="0" applyNumberFormat="1" applyFont="1" applyFill="1"/>
    <xf numFmtId="2" fontId="53" fillId="28" borderId="0" xfId="20" applyNumberFormat="1" applyFont="1" applyFill="1" applyAlignment="1">
      <alignment horizontal="right"/>
    </xf>
    <xf numFmtId="0" fontId="53" fillId="28" borderId="0" xfId="20" applyFont="1" applyFill="1">
      <alignment horizontal="left"/>
    </xf>
    <xf numFmtId="0" fontId="53" fillId="28" borderId="0" xfId="0" applyFont="1" applyFill="1"/>
    <xf numFmtId="49" fontId="22" fillId="28" borderId="0" xfId="0" applyNumberFormat="1" applyFont="1" applyFill="1" applyAlignment="1">
      <alignment horizontal="left"/>
    </xf>
    <xf numFmtId="49" fontId="21" fillId="28" borderId="0" xfId="0" applyNumberFormat="1" applyFont="1" applyFill="1" applyAlignment="1">
      <alignment horizontal="left"/>
    </xf>
    <xf numFmtId="49" fontId="22" fillId="28" borderId="0" xfId="0" applyNumberFormat="1" applyFont="1" applyFill="1" applyAlignment="1">
      <alignment horizontal="center"/>
    </xf>
    <xf numFmtId="177" fontId="21" fillId="28" borderId="0" xfId="0" applyNumberFormat="1" applyFont="1" applyFill="1"/>
    <xf numFmtId="180" fontId="21" fillId="28" borderId="0" xfId="0" applyNumberFormat="1" applyFont="1" applyFill="1"/>
    <xf numFmtId="2" fontId="21" fillId="28" borderId="0" xfId="0" applyNumberFormat="1" applyFont="1" applyFill="1" applyAlignment="1">
      <alignment horizontal="right"/>
    </xf>
    <xf numFmtId="0" fontId="60" fillId="28" borderId="0" xfId="0" applyFont="1" applyFill="1" applyAlignment="1">
      <alignment horizontal="right"/>
    </xf>
    <xf numFmtId="1" fontId="28" fillId="28" borderId="0" xfId="0" applyNumberFormat="1" applyFont="1" applyFill="1"/>
    <xf numFmtId="2" fontId="21" fillId="28" borderId="0" xfId="0" applyNumberFormat="1" applyFont="1" applyFill="1"/>
    <xf numFmtId="176" fontId="48" fillId="29" borderId="0" xfId="0" applyNumberFormat="1" applyFont="1" applyFill="1" applyAlignment="1">
      <alignment horizontal="center"/>
    </xf>
    <xf numFmtId="37" fontId="48" fillId="29" borderId="0" xfId="0" applyNumberFormat="1" applyFont="1" applyFill="1"/>
    <xf numFmtId="37" fontId="48" fillId="29" borderId="0" xfId="0" applyNumberFormat="1" applyFont="1" applyFill="1" applyAlignment="1">
      <alignment horizontal="right"/>
    </xf>
    <xf numFmtId="176" fontId="48" fillId="29" borderId="0" xfId="0" applyNumberFormat="1" applyFont="1" applyFill="1" applyAlignment="1">
      <alignment horizontal="center" vertical="top"/>
    </xf>
    <xf numFmtId="176" fontId="48" fillId="29" borderId="0" xfId="0" applyNumberFormat="1" applyFont="1" applyFill="1" applyAlignment="1">
      <alignment horizontal="left" vertical="top"/>
    </xf>
    <xf numFmtId="37" fontId="48" fillId="29" borderId="0" xfId="0" applyNumberFormat="1" applyFont="1" applyFill="1" applyAlignment="1">
      <alignment horizontal="right" vertical="top"/>
    </xf>
    <xf numFmtId="37" fontId="48" fillId="29" borderId="0" xfId="0" applyNumberFormat="1" applyFont="1" applyFill="1" applyAlignment="1">
      <alignment vertical="top"/>
    </xf>
    <xf numFmtId="179" fontId="48" fillId="29" borderId="0" xfId="0" applyNumberFormat="1" applyFont="1" applyFill="1" applyAlignment="1">
      <alignment horizontal="right"/>
    </xf>
    <xf numFmtId="0" fontId="48" fillId="29" borderId="0" xfId="0" applyFont="1" applyFill="1" applyAlignment="1">
      <alignment horizontal="left" vertical="top"/>
    </xf>
    <xf numFmtId="179" fontId="48" fillId="29" borderId="0" xfId="0" applyNumberFormat="1" applyFont="1" applyFill="1" applyAlignment="1">
      <alignment horizontal="right" vertical="top"/>
    </xf>
    <xf numFmtId="37" fontId="21" fillId="28" borderId="0" xfId="0" applyNumberFormat="1" applyFont="1" applyFill="1"/>
    <xf numFmtId="3" fontId="22" fillId="28" borderId="0" xfId="0" applyNumberFormat="1" applyFont="1" applyFill="1"/>
    <xf numFmtId="175" fontId="21" fillId="6" borderId="0" xfId="0" applyNumberFormat="1" applyFont="1" applyFill="1"/>
    <xf numFmtId="2" fontId="21" fillId="6" borderId="0" xfId="0" applyNumberFormat="1" applyFont="1" applyFill="1"/>
    <xf numFmtId="171" fontId="21" fillId="0" borderId="0" xfId="17" applyNumberFormat="1" applyFont="1"/>
    <xf numFmtId="2" fontId="22" fillId="6" borderId="0" xfId="0" applyNumberFormat="1" applyFont="1" applyFill="1"/>
    <xf numFmtId="171" fontId="22" fillId="0" borderId="0" xfId="17" applyNumberFormat="1" applyFont="1"/>
    <xf numFmtId="0" fontId="21" fillId="0" borderId="0" xfId="17" applyNumberFormat="1" applyFont="1"/>
    <xf numFmtId="171" fontId="21" fillId="0" borderId="0" xfId="17" quotePrefix="1" applyNumberFormat="1" applyFont="1" applyAlignment="1">
      <alignment horizontal="center"/>
    </xf>
    <xf numFmtId="0" fontId="0" fillId="6" borderId="0" xfId="0" applyFill="1"/>
    <xf numFmtId="0" fontId="21" fillId="6" borderId="0" xfId="0" applyFont="1" applyFill="1" applyAlignment="1">
      <alignment horizontal="right"/>
    </xf>
    <xf numFmtId="0" fontId="0" fillId="0" borderId="0" xfId="0" applyAlignment="1">
      <alignment horizontal="left"/>
    </xf>
    <xf numFmtId="179" fontId="21" fillId="6" borderId="0" xfId="0" applyNumberFormat="1" applyFont="1" applyFill="1"/>
    <xf numFmtId="179" fontId="21" fillId="0" borderId="0" xfId="0" applyNumberFormat="1" applyFont="1"/>
    <xf numFmtId="165" fontId="21" fillId="6" borderId="0" xfId="0" applyNumberFormat="1" applyFont="1" applyFill="1"/>
    <xf numFmtId="0" fontId="21" fillId="6" borderId="8" xfId="0" applyFont="1" applyFill="1" applyBorder="1"/>
    <xf numFmtId="2" fontId="10" fillId="0" borderId="0" xfId="0" applyNumberFormat="1" applyFont="1" applyAlignment="1">
      <alignment wrapText="1"/>
    </xf>
    <xf numFmtId="10" fontId="22" fillId="0" borderId="0" xfId="0" applyNumberFormat="1" applyFont="1" applyAlignment="1">
      <alignment horizontal="center"/>
    </xf>
    <xf numFmtId="171" fontId="22" fillId="0" borderId="0" xfId="0" applyNumberFormat="1" applyFont="1" applyAlignment="1">
      <alignment horizontal="center"/>
    </xf>
    <xf numFmtId="2" fontId="74" fillId="0" borderId="0" xfId="0" applyNumberFormat="1" applyFont="1" applyAlignment="1">
      <alignment wrapText="1"/>
    </xf>
    <xf numFmtId="171" fontId="21" fillId="0" borderId="0" xfId="0" applyNumberFormat="1" applyFont="1" applyAlignment="1">
      <alignment horizontal="center"/>
    </xf>
    <xf numFmtId="171" fontId="22" fillId="0" borderId="0" xfId="17" applyNumberFormat="1" applyFont="1" applyAlignment="1">
      <alignment horizontal="center"/>
    </xf>
    <xf numFmtId="171" fontId="22" fillId="0" borderId="0" xfId="17" applyNumberFormat="1" applyFont="1" applyFill="1" applyAlignment="1">
      <alignment horizontal="center"/>
    </xf>
    <xf numFmtId="10" fontId="22" fillId="0" borderId="0" xfId="17" applyNumberFormat="1" applyFont="1" applyAlignment="1">
      <alignment horizontal="center"/>
    </xf>
    <xf numFmtId="181" fontId="21" fillId="0" borderId="0" xfId="17" applyNumberFormat="1" applyFont="1"/>
    <xf numFmtId="181" fontId="21" fillId="0" borderId="0" xfId="0" applyNumberFormat="1" applyFont="1" applyAlignment="1">
      <alignment horizontal="center"/>
    </xf>
    <xf numFmtId="171" fontId="22" fillId="0" borderId="0" xfId="0" applyNumberFormat="1" applyFont="1"/>
    <xf numFmtId="166" fontId="22" fillId="0" borderId="0" xfId="0" applyNumberFormat="1" applyFont="1" applyAlignment="1">
      <alignment horizontal="left"/>
    </xf>
    <xf numFmtId="166" fontId="21" fillId="0" borderId="0" xfId="0" applyNumberFormat="1" applyFont="1" applyAlignment="1">
      <alignment horizontal="left"/>
    </xf>
    <xf numFmtId="2" fontId="10" fillId="0" borderId="0" xfId="0" applyNumberFormat="1" applyFont="1"/>
    <xf numFmtId="0" fontId="74" fillId="0" borderId="32" xfId="0" applyFont="1" applyBorder="1" applyAlignment="1">
      <alignment wrapText="1"/>
    </xf>
    <xf numFmtId="0" fontId="74" fillId="0" borderId="33" xfId="0" applyFont="1" applyBorder="1" applyAlignment="1">
      <alignment horizontal="center" wrapText="1"/>
    </xf>
    <xf numFmtId="0" fontId="0" fillId="0" borderId="34" xfId="0" applyBorder="1" applyAlignment="1">
      <alignment wrapText="1"/>
    </xf>
    <xf numFmtId="0" fontId="74" fillId="0" borderId="34" xfId="0" applyFont="1" applyBorder="1" applyAlignment="1">
      <alignment wrapText="1"/>
    </xf>
    <xf numFmtId="0" fontId="0" fillId="0" borderId="0" xfId="0" applyAlignment="1">
      <alignment wrapText="1"/>
    </xf>
    <xf numFmtId="1" fontId="10" fillId="0" borderId="0" xfId="0" applyNumberFormat="1" applyFont="1" applyAlignment="1">
      <alignment wrapText="1"/>
    </xf>
    <xf numFmtId="10" fontId="21" fillId="0" borderId="0" xfId="17" applyNumberFormat="1" applyFont="1"/>
    <xf numFmtId="165" fontId="10" fillId="0" borderId="0" xfId="0" applyNumberFormat="1" applyFont="1" applyAlignment="1">
      <alignment wrapText="1"/>
    </xf>
    <xf numFmtId="0" fontId="74" fillId="0" borderId="0" xfId="0" applyFont="1" applyAlignment="1">
      <alignment wrapText="1"/>
    </xf>
    <xf numFmtId="1" fontId="21" fillId="0" borderId="0" xfId="0" applyNumberFormat="1" applyFont="1" applyAlignment="1">
      <alignment wrapText="1"/>
    </xf>
    <xf numFmtId="1" fontId="21" fillId="18" borderId="0" xfId="0" applyNumberFormat="1" applyFont="1" applyFill="1" applyAlignment="1">
      <alignment wrapText="1"/>
    </xf>
    <xf numFmtId="0" fontId="75" fillId="0" borderId="0" xfId="0" applyFont="1"/>
    <xf numFmtId="0" fontId="76" fillId="0" borderId="0" xfId="0" applyFont="1"/>
    <xf numFmtId="0" fontId="77" fillId="0" borderId="0" xfId="0" applyFont="1"/>
    <xf numFmtId="3" fontId="77" fillId="0" borderId="0" xfId="0" applyNumberFormat="1" applyFont="1"/>
    <xf numFmtId="9" fontId="77" fillId="0" borderId="0" xfId="0" applyNumberFormat="1" applyFont="1"/>
    <xf numFmtId="1" fontId="77" fillId="0" borderId="0" xfId="0" applyNumberFormat="1" applyFont="1"/>
    <xf numFmtId="165" fontId="77" fillId="0" borderId="0" xfId="0" applyNumberFormat="1" applyFont="1"/>
    <xf numFmtId="3" fontId="76" fillId="0" borderId="0" xfId="0" applyNumberFormat="1" applyFont="1"/>
    <xf numFmtId="171" fontId="76" fillId="0" borderId="0" xfId="0" applyNumberFormat="1" applyFont="1"/>
    <xf numFmtId="1" fontId="10" fillId="0" borderId="0" xfId="0" applyNumberFormat="1" applyFont="1"/>
    <xf numFmtId="0" fontId="76" fillId="27" borderId="0" xfId="0" applyFont="1" applyFill="1"/>
    <xf numFmtId="3" fontId="77" fillId="27" borderId="0" xfId="0" applyNumberFormat="1" applyFont="1" applyFill="1"/>
    <xf numFmtId="0" fontId="77" fillId="27" borderId="0" xfId="0" applyFont="1" applyFill="1"/>
    <xf numFmtId="1" fontId="77" fillId="27" borderId="0" xfId="0" applyNumberFormat="1" applyFont="1" applyFill="1"/>
    <xf numFmtId="0" fontId="78" fillId="27" borderId="0" xfId="0" applyFont="1" applyFill="1"/>
    <xf numFmtId="182" fontId="77" fillId="27" borderId="0" xfId="0" applyNumberFormat="1" applyFont="1" applyFill="1"/>
    <xf numFmtId="2" fontId="77" fillId="0" borderId="0" xfId="0" applyNumberFormat="1" applyFont="1"/>
    <xf numFmtId="166" fontId="77" fillId="27" borderId="0" xfId="0" applyNumberFormat="1" applyFont="1" applyFill="1"/>
    <xf numFmtId="166" fontId="77" fillId="0" borderId="0" xfId="0" applyNumberFormat="1" applyFont="1"/>
    <xf numFmtId="4" fontId="77" fillId="0" borderId="0" xfId="0" applyNumberFormat="1" applyFont="1"/>
    <xf numFmtId="187" fontId="77" fillId="0" borderId="0" xfId="0" applyNumberFormat="1" applyFont="1"/>
    <xf numFmtId="4" fontId="77" fillId="20" borderId="0" xfId="0" applyNumberFormat="1" applyFont="1" applyFill="1"/>
    <xf numFmtId="0" fontId="0" fillId="24" borderId="0" xfId="0" applyFill="1"/>
    <xf numFmtId="0" fontId="0" fillId="0" borderId="0" xfId="0" pivotButton="1"/>
    <xf numFmtId="0" fontId="20" fillId="31" borderId="0" xfId="0" applyFont="1" applyFill="1" applyAlignment="1">
      <alignment horizontal="left"/>
    </xf>
    <xf numFmtId="2" fontId="29" fillId="28" borderId="0" xfId="0" applyNumberFormat="1" applyFont="1" applyFill="1" applyAlignment="1">
      <alignment horizontal="left"/>
    </xf>
    <xf numFmtId="0" fontId="12" fillId="31" borderId="0" xfId="0" applyFont="1" applyFill="1" applyAlignment="1">
      <alignment horizontal="left" vertical="center"/>
    </xf>
    <xf numFmtId="10" fontId="29" fillId="28" borderId="0" xfId="0" applyNumberFormat="1" applyFont="1" applyFill="1" applyAlignment="1">
      <alignment horizontal="left"/>
    </xf>
    <xf numFmtId="166" fontId="29" fillId="28" borderId="0" xfId="0" applyNumberFormat="1" applyFont="1" applyFill="1" applyAlignment="1">
      <alignment horizontal="left"/>
    </xf>
    <xf numFmtId="0" fontId="66" fillId="27" borderId="0" xfId="0" applyFont="1" applyFill="1" applyAlignment="1">
      <alignment horizontal="left" wrapText="1"/>
    </xf>
    <xf numFmtId="170" fontId="29" fillId="28" borderId="0" xfId="0" applyNumberFormat="1" applyFont="1" applyFill="1" applyAlignment="1">
      <alignment horizontal="right"/>
    </xf>
    <xf numFmtId="0" fontId="20" fillId="28" borderId="0" xfId="0" applyFont="1" applyFill="1" applyAlignment="1">
      <alignment horizontal="right"/>
    </xf>
    <xf numFmtId="0" fontId="66" fillId="28" borderId="0" xfId="0" applyFont="1" applyFill="1" applyAlignment="1">
      <alignment horizontal="right" wrapText="1"/>
    </xf>
    <xf numFmtId="171" fontId="22" fillId="27" borderId="0" xfId="17" applyNumberFormat="1" applyFont="1" applyFill="1" applyAlignment="1">
      <alignment horizontal="center"/>
    </xf>
    <xf numFmtId="171" fontId="21" fillId="27" borderId="0" xfId="0" applyNumberFormat="1" applyFont="1" applyFill="1"/>
    <xf numFmtId="0" fontId="22" fillId="32" borderId="0" xfId="0" applyFont="1" applyFill="1"/>
    <xf numFmtId="0" fontId="21" fillId="32" borderId="0" xfId="0" applyFont="1" applyFill="1"/>
    <xf numFmtId="3" fontId="21" fillId="32" borderId="0" xfId="0" applyNumberFormat="1" applyFont="1" applyFill="1"/>
    <xf numFmtId="166" fontId="32" fillId="32" borderId="0" xfId="0" applyNumberFormat="1" applyFont="1" applyFill="1"/>
    <xf numFmtId="0" fontId="21" fillId="32" borderId="0" xfId="0" quotePrefix="1" applyFont="1" applyFill="1"/>
    <xf numFmtId="166" fontId="50" fillId="32" borderId="0" xfId="0" applyNumberFormat="1" applyFont="1" applyFill="1"/>
    <xf numFmtId="0" fontId="21" fillId="32" borderId="0" xfId="0" applyFont="1" applyFill="1" applyAlignment="1">
      <alignment horizontal="left"/>
    </xf>
    <xf numFmtId="0" fontId="21" fillId="32" borderId="0" xfId="0" applyFont="1" applyFill="1" applyAlignment="1">
      <alignment horizontal="right"/>
    </xf>
    <xf numFmtId="2" fontId="32" fillId="32" borderId="0" xfId="0" applyNumberFormat="1" applyFont="1" applyFill="1"/>
    <xf numFmtId="2" fontId="21" fillId="32" borderId="0" xfId="0" applyNumberFormat="1" applyFont="1" applyFill="1"/>
    <xf numFmtId="166" fontId="21" fillId="32" borderId="0" xfId="0" applyNumberFormat="1" applyFont="1" applyFill="1"/>
    <xf numFmtId="0" fontId="21" fillId="32" borderId="3" xfId="0" applyFont="1" applyFill="1" applyBorder="1"/>
    <xf numFmtId="1" fontId="21" fillId="32" borderId="3" xfId="0" applyNumberFormat="1" applyFont="1" applyFill="1" applyBorder="1"/>
    <xf numFmtId="49" fontId="21" fillId="28" borderId="0" xfId="0" applyNumberFormat="1" applyFont="1" applyFill="1" applyAlignment="1">
      <alignment wrapText="1"/>
    </xf>
    <xf numFmtId="0" fontId="21" fillId="28" borderId="0" xfId="0" applyFont="1" applyFill="1" applyAlignment="1">
      <alignment wrapText="1"/>
    </xf>
    <xf numFmtId="0" fontId="22" fillId="28" borderId="0" xfId="20" applyFont="1" applyFill="1" applyAlignment="1">
      <alignment wrapText="1"/>
    </xf>
    <xf numFmtId="0" fontId="22" fillId="28" borderId="0" xfId="0" applyFont="1" applyFill="1" applyAlignment="1">
      <alignment wrapText="1"/>
    </xf>
    <xf numFmtId="0" fontId="21" fillId="28" borderId="0" xfId="0" applyFont="1" applyFill="1" applyAlignment="1">
      <alignment horizontal="left" wrapText="1"/>
    </xf>
    <xf numFmtId="0" fontId="22" fillId="28" borderId="0" xfId="19" applyFont="1" applyFill="1" applyAlignment="1">
      <alignment wrapText="1"/>
    </xf>
    <xf numFmtId="49" fontId="21" fillId="28" borderId="0" xfId="0" applyNumberFormat="1" applyFont="1" applyFill="1" applyAlignment="1">
      <alignment horizontal="left" vertical="top" wrapText="1"/>
    </xf>
    <xf numFmtId="0" fontId="21" fillId="28" borderId="0" xfId="0" applyFont="1" applyFill="1" applyAlignment="1">
      <alignment horizontal="left" vertical="top" wrapText="1"/>
    </xf>
    <xf numFmtId="0" fontId="21" fillId="28" borderId="0" xfId="0" applyFont="1" applyFill="1" applyAlignment="1">
      <alignment horizontal="center"/>
    </xf>
    <xf numFmtId="0" fontId="22" fillId="28" borderId="0" xfId="13" applyFont="1" applyFill="1" applyAlignment="1">
      <alignment horizontal="right" wrapText="1"/>
    </xf>
    <xf numFmtId="0" fontId="22" fillId="28" borderId="0" xfId="0" applyFont="1" applyFill="1" applyAlignment="1">
      <alignment horizontal="center"/>
    </xf>
    <xf numFmtId="2" fontId="21" fillId="28" borderId="0" xfId="0" applyNumberFormat="1" applyFont="1" applyFill="1" applyAlignment="1">
      <alignment horizontal="center"/>
    </xf>
    <xf numFmtId="0" fontId="12" fillId="0" borderId="0" xfId="15" applyFont="1" applyAlignment="1">
      <alignment horizontal="left" vertical="center" wrapText="1"/>
    </xf>
    <xf numFmtId="0" fontId="12" fillId="0" borderId="0" xfId="15" applyFont="1" applyAlignment="1">
      <alignment vertical="center" wrapText="1"/>
    </xf>
    <xf numFmtId="10" fontId="29" fillId="0" borderId="0" xfId="14" applyNumberFormat="1" applyFont="1"/>
    <xf numFmtId="0" fontId="10" fillId="16" borderId="0" xfId="0" applyFont="1" applyFill="1" applyAlignment="1">
      <alignment vertical="center"/>
    </xf>
    <xf numFmtId="0" fontId="10" fillId="20" borderId="20" xfId="0" applyFont="1" applyFill="1" applyBorder="1" applyAlignment="1">
      <alignment vertical="center"/>
    </xf>
    <xf numFmtId="0" fontId="10" fillId="20" borderId="23" xfId="0" applyFont="1" applyFill="1" applyBorder="1" applyAlignment="1">
      <alignment vertical="center"/>
    </xf>
    <xf numFmtId="166" fontId="10" fillId="0" borderId="0" xfId="0" applyNumberFormat="1" applyFont="1" applyAlignment="1">
      <alignment vertical="center"/>
    </xf>
    <xf numFmtId="0" fontId="10" fillId="20" borderId="21" xfId="0" applyFont="1" applyFill="1" applyBorder="1" applyAlignment="1">
      <alignment vertical="center"/>
    </xf>
    <xf numFmtId="0" fontId="10" fillId="20" borderId="22" xfId="0" applyFont="1" applyFill="1" applyBorder="1" applyAlignment="1">
      <alignment vertical="center"/>
    </xf>
    <xf numFmtId="0" fontId="10" fillId="0" borderId="0" xfId="0" applyFont="1" applyAlignment="1">
      <alignment horizontal="right" vertical="center"/>
    </xf>
    <xf numFmtId="0" fontId="21" fillId="0" borderId="0" xfId="0" applyFont="1" applyAlignment="1">
      <alignment horizontal="right" vertical="center"/>
    </xf>
    <xf numFmtId="0" fontId="21" fillId="8" borderId="0" xfId="0" applyFont="1" applyFill="1" applyAlignment="1">
      <alignment vertical="center"/>
    </xf>
    <xf numFmtId="0" fontId="21" fillId="8" borderId="0" xfId="0" applyFont="1" applyFill="1" applyAlignment="1">
      <alignment horizontal="right" vertical="center"/>
    </xf>
    <xf numFmtId="0" fontId="21" fillId="7" borderId="0" xfId="0" applyFont="1" applyFill="1" applyAlignment="1">
      <alignment vertical="center"/>
    </xf>
    <xf numFmtId="0" fontId="21" fillId="7" borderId="0" xfId="0" applyFont="1" applyFill="1" applyAlignment="1">
      <alignment horizontal="right" vertical="center"/>
    </xf>
    <xf numFmtId="0" fontId="21" fillId="10" borderId="0" xfId="0" applyFont="1" applyFill="1" applyAlignment="1">
      <alignment vertical="center"/>
    </xf>
    <xf numFmtId="0" fontId="21" fillId="10" borderId="0" xfId="0" applyFont="1" applyFill="1" applyAlignment="1">
      <alignment horizontal="right" vertical="center"/>
    </xf>
    <xf numFmtId="0" fontId="21" fillId="11" borderId="0" xfId="0" applyFont="1" applyFill="1" applyAlignment="1">
      <alignment vertical="center"/>
    </xf>
    <xf numFmtId="0" fontId="21" fillId="11" borderId="0" xfId="0" applyFont="1" applyFill="1" applyAlignment="1">
      <alignment horizontal="right" vertical="center"/>
    </xf>
    <xf numFmtId="0" fontId="21" fillId="12" borderId="0" xfId="0" applyFont="1" applyFill="1" applyAlignment="1">
      <alignment vertical="center"/>
    </xf>
    <xf numFmtId="0" fontId="21" fillId="12" borderId="0" xfId="0" applyFont="1" applyFill="1" applyAlignment="1">
      <alignment horizontal="right" vertical="center"/>
    </xf>
    <xf numFmtId="0" fontId="21" fillId="13" borderId="0" xfId="0" applyFont="1" applyFill="1" applyAlignment="1">
      <alignment vertical="center"/>
    </xf>
    <xf numFmtId="0" fontId="21" fillId="13" borderId="0" xfId="0" applyFont="1" applyFill="1" applyAlignment="1">
      <alignment horizontal="right" vertical="center"/>
    </xf>
    <xf numFmtId="0" fontId="21" fillId="9" borderId="0" xfId="0" applyFont="1" applyFill="1" applyAlignment="1">
      <alignment vertical="center"/>
    </xf>
    <xf numFmtId="0" fontId="21" fillId="9" borderId="0" xfId="0" applyFont="1" applyFill="1" applyAlignment="1">
      <alignment horizontal="right" vertical="center"/>
    </xf>
    <xf numFmtId="0" fontId="21" fillId="6" borderId="0" xfId="0" applyFont="1" applyFill="1" applyAlignment="1">
      <alignment vertical="center"/>
    </xf>
    <xf numFmtId="0" fontId="21" fillId="6" borderId="0" xfId="0" applyFont="1" applyFill="1" applyAlignment="1">
      <alignment horizontal="right" vertical="center"/>
    </xf>
    <xf numFmtId="169" fontId="10" fillId="0" borderId="0" xfId="0" applyNumberFormat="1" applyFont="1" applyAlignment="1">
      <alignment vertical="center"/>
    </xf>
    <xf numFmtId="0" fontId="10" fillId="3" borderId="0" xfId="0" applyFont="1" applyFill="1" applyAlignment="1">
      <alignment vertical="center"/>
    </xf>
    <xf numFmtId="0" fontId="10" fillId="0" borderId="0" xfId="15" applyAlignment="1">
      <alignment vertical="center" wrapText="1"/>
    </xf>
    <xf numFmtId="0" fontId="10" fillId="0" borderId="14" xfId="15" applyBorder="1" applyAlignment="1">
      <alignment vertical="center"/>
    </xf>
    <xf numFmtId="0" fontId="10" fillId="0" borderId="0" xfId="15" applyAlignment="1">
      <alignment horizontal="center" vertical="center"/>
    </xf>
    <xf numFmtId="0" fontId="10" fillId="0" borderId="0" xfId="0" applyFont="1" applyAlignment="1">
      <alignment vertical="center" wrapText="1"/>
    </xf>
    <xf numFmtId="0" fontId="10" fillId="0" borderId="0" xfId="15" applyAlignment="1">
      <alignment vertical="center"/>
    </xf>
    <xf numFmtId="0" fontId="10" fillId="0" borderId="14" xfId="15" applyBorder="1" applyAlignment="1">
      <alignment horizontal="center" vertical="center"/>
    </xf>
    <xf numFmtId="0" fontId="10" fillId="0" borderId="18" xfId="15" applyBorder="1" applyAlignment="1">
      <alignment horizontal="center" vertical="center"/>
    </xf>
    <xf numFmtId="0" fontId="10" fillId="0" borderId="8" xfId="15" applyBorder="1" applyAlignment="1">
      <alignment vertical="center"/>
    </xf>
    <xf numFmtId="0" fontId="10" fillId="0" borderId="8" xfId="15" applyBorder="1" applyAlignment="1">
      <alignment horizontal="right" vertical="center" wrapText="1"/>
    </xf>
    <xf numFmtId="0" fontId="10" fillId="0" borderId="10" xfId="15" applyBorder="1" applyAlignment="1">
      <alignment horizontal="left" vertical="center" wrapText="1"/>
    </xf>
    <xf numFmtId="0" fontId="10" fillId="0" borderId="7" xfId="15" applyBorder="1" applyAlignment="1">
      <alignment horizontal="right" vertical="center" wrapText="1"/>
    </xf>
    <xf numFmtId="0" fontId="10" fillId="0" borderId="0" xfId="15" applyAlignment="1">
      <alignment horizontal="left" vertical="center" wrapText="1"/>
    </xf>
    <xf numFmtId="0" fontId="10" fillId="0" borderId="17" xfId="15" applyBorder="1" applyAlignment="1">
      <alignment horizontal="right" vertical="center" wrapText="1"/>
    </xf>
    <xf numFmtId="0" fontId="10" fillId="0" borderId="0" xfId="15" applyAlignment="1">
      <alignment horizontal="right" vertical="center" wrapText="1"/>
    </xf>
    <xf numFmtId="0" fontId="10" fillId="0" borderId="9" xfId="15" applyBorder="1" applyAlignment="1">
      <alignment horizontal="right" vertical="center" wrapText="1"/>
    </xf>
    <xf numFmtId="0" fontId="10" fillId="0" borderId="7" xfId="15" applyBorder="1" applyAlignment="1">
      <alignment horizontal="right" vertical="center"/>
    </xf>
    <xf numFmtId="0" fontId="10" fillId="0" borderId="5" xfId="15" applyBorder="1" applyAlignment="1">
      <alignment horizontal="right" vertical="center" wrapText="1"/>
    </xf>
    <xf numFmtId="0" fontId="10" fillId="10" borderId="0" xfId="11" applyFill="1" applyAlignment="1">
      <alignment horizontal="left" vertical="center"/>
    </xf>
    <xf numFmtId="3" fontId="10" fillId="10" borderId="0" xfId="15" applyNumberFormat="1" applyFill="1" applyAlignment="1">
      <alignment vertical="center"/>
    </xf>
    <xf numFmtId="0" fontId="10" fillId="10" borderId="5" xfId="15" applyFill="1" applyBorder="1" applyAlignment="1">
      <alignment horizontal="left" vertical="center"/>
    </xf>
    <xf numFmtId="3" fontId="10" fillId="10" borderId="5" xfId="15" applyNumberFormat="1" applyFill="1" applyBorder="1" applyAlignment="1">
      <alignment vertical="center"/>
    </xf>
    <xf numFmtId="166" fontId="10" fillId="10" borderId="0" xfId="15" applyNumberFormat="1" applyFill="1" applyAlignment="1">
      <alignment horizontal="right" vertical="center"/>
    </xf>
    <xf numFmtId="2" fontId="10" fillId="10" borderId="0" xfId="15" applyNumberFormat="1" applyFill="1" applyAlignment="1">
      <alignment horizontal="right" vertical="center"/>
    </xf>
    <xf numFmtId="2" fontId="10" fillId="0" borderId="0" xfId="15" applyNumberFormat="1" applyAlignment="1">
      <alignment horizontal="right" vertical="center"/>
    </xf>
    <xf numFmtId="3" fontId="10" fillId="10" borderId="0" xfId="9" applyNumberFormat="1" applyFill="1" applyAlignment="1">
      <alignment horizontal="right" vertical="center"/>
    </xf>
    <xf numFmtId="3" fontId="10" fillId="0" borderId="0" xfId="9" applyNumberFormat="1" applyAlignment="1">
      <alignment horizontal="right" vertical="center"/>
    </xf>
    <xf numFmtId="3" fontId="10" fillId="10" borderId="2" xfId="15" applyNumberFormat="1" applyFill="1" applyBorder="1" applyAlignment="1">
      <alignment vertical="center"/>
    </xf>
    <xf numFmtId="3" fontId="10" fillId="10" borderId="4" xfId="15" applyNumberFormat="1" applyFill="1" applyBorder="1" applyAlignment="1">
      <alignment vertical="center"/>
    </xf>
    <xf numFmtId="3" fontId="10" fillId="10" borderId="2" xfId="11" applyNumberFormat="1" applyFill="1" applyBorder="1" applyAlignment="1">
      <alignment horizontal="right" vertical="center"/>
    </xf>
    <xf numFmtId="3" fontId="10" fillId="10" borderId="5" xfId="0" applyNumberFormat="1" applyFont="1" applyFill="1" applyBorder="1" applyAlignment="1">
      <alignment vertical="center"/>
    </xf>
    <xf numFmtId="37" fontId="10" fillId="10" borderId="0" xfId="0" applyNumberFormat="1" applyFont="1" applyFill="1" applyAlignment="1">
      <alignment vertical="center"/>
    </xf>
    <xf numFmtId="0" fontId="10" fillId="6" borderId="0" xfId="11" applyFill="1" applyAlignment="1">
      <alignment horizontal="left" vertical="center"/>
    </xf>
    <xf numFmtId="3" fontId="10" fillId="6" borderId="0" xfId="15" applyNumberFormat="1" applyFill="1" applyAlignment="1">
      <alignment vertical="center"/>
    </xf>
    <xf numFmtId="0" fontId="10" fillId="6" borderId="5" xfId="15" applyFill="1" applyBorder="1" applyAlignment="1">
      <alignment horizontal="left" vertical="center"/>
    </xf>
    <xf numFmtId="3" fontId="10" fillId="6" borderId="5" xfId="15" applyNumberFormat="1" applyFill="1" applyBorder="1" applyAlignment="1">
      <alignment vertical="center"/>
    </xf>
    <xf numFmtId="166" fontId="10" fillId="6" borderId="0" xfId="15" applyNumberFormat="1" applyFill="1" applyAlignment="1">
      <alignment horizontal="right" vertical="center"/>
    </xf>
    <xf numFmtId="2" fontId="10" fillId="6" borderId="0" xfId="15" applyNumberFormat="1" applyFill="1" applyAlignment="1">
      <alignment horizontal="right" vertical="center"/>
    </xf>
    <xf numFmtId="3" fontId="10" fillId="6" borderId="0" xfId="9" applyNumberFormat="1" applyFill="1" applyAlignment="1">
      <alignment horizontal="right" vertical="center"/>
    </xf>
    <xf numFmtId="3" fontId="10" fillId="6" borderId="6" xfId="15" applyNumberFormat="1" applyFill="1" applyBorder="1" applyAlignment="1">
      <alignment vertical="center"/>
    </xf>
    <xf numFmtId="3" fontId="10" fillId="6" borderId="5" xfId="11" applyNumberFormat="1" applyFill="1" applyBorder="1" applyAlignment="1">
      <alignment horizontal="right" vertical="center"/>
    </xf>
    <xf numFmtId="3" fontId="10" fillId="6" borderId="5" xfId="0" applyNumberFormat="1" applyFont="1" applyFill="1" applyBorder="1" applyAlignment="1">
      <alignment vertical="center"/>
    </xf>
    <xf numFmtId="37" fontId="10" fillId="6" borderId="0" xfId="0" applyNumberFormat="1" applyFont="1" applyFill="1" applyAlignment="1">
      <alignment vertical="center"/>
    </xf>
    <xf numFmtId="0" fontId="10" fillId="9" borderId="0" xfId="11" applyFill="1" applyAlignment="1">
      <alignment horizontal="left" vertical="center"/>
    </xf>
    <xf numFmtId="3" fontId="10" fillId="9" borderId="0" xfId="15" applyNumberFormat="1" applyFill="1" applyAlignment="1">
      <alignment vertical="center"/>
    </xf>
    <xf numFmtId="0" fontId="10" fillId="9" borderId="5" xfId="15" applyFill="1" applyBorder="1" applyAlignment="1">
      <alignment horizontal="left" vertical="center"/>
    </xf>
    <xf numFmtId="3" fontId="10" fillId="9" borderId="5" xfId="15" applyNumberFormat="1" applyFill="1" applyBorder="1" applyAlignment="1">
      <alignment vertical="center"/>
    </xf>
    <xf numFmtId="166" fontId="10" fillId="9" borderId="0" xfId="15" applyNumberFormat="1" applyFill="1" applyAlignment="1">
      <alignment horizontal="right" vertical="center"/>
    </xf>
    <xf numFmtId="2" fontId="10" fillId="9" borderId="0" xfId="15" applyNumberFormat="1" applyFill="1" applyAlignment="1">
      <alignment horizontal="right" vertical="center"/>
    </xf>
    <xf numFmtId="3" fontId="10" fillId="9" borderId="0" xfId="9" applyNumberFormat="1" applyFill="1" applyAlignment="1">
      <alignment horizontal="right" vertical="center"/>
    </xf>
    <xf numFmtId="3" fontId="10" fillId="9" borderId="6" xfId="15" applyNumberFormat="1" applyFill="1" applyBorder="1" applyAlignment="1">
      <alignment vertical="center"/>
    </xf>
    <xf numFmtId="3" fontId="10" fillId="9" borderId="5" xfId="11" applyNumberFormat="1" applyFill="1" applyBorder="1" applyAlignment="1">
      <alignment horizontal="right" vertical="center"/>
    </xf>
    <xf numFmtId="3" fontId="10" fillId="9" borderId="5" xfId="0" applyNumberFormat="1" applyFont="1" applyFill="1" applyBorder="1" applyAlignment="1">
      <alignment vertical="center"/>
    </xf>
    <xf numFmtId="37" fontId="10" fillId="9" borderId="0" xfId="0" applyNumberFormat="1" applyFont="1" applyFill="1" applyAlignment="1">
      <alignment vertical="center"/>
    </xf>
    <xf numFmtId="0" fontId="10" fillId="12" borderId="0" xfId="11" applyFill="1" applyAlignment="1">
      <alignment horizontal="left" vertical="center"/>
    </xf>
    <xf numFmtId="3" fontId="10" fillId="12" borderId="0" xfId="15" applyNumberFormat="1" applyFill="1" applyAlignment="1">
      <alignment vertical="center"/>
    </xf>
    <xf numFmtId="0" fontId="10" fillId="12" borderId="5" xfId="15" applyFill="1" applyBorder="1" applyAlignment="1">
      <alignment horizontal="left" vertical="center"/>
    </xf>
    <xf numFmtId="3" fontId="10" fillId="12" borderId="5" xfId="15" applyNumberFormat="1" applyFill="1" applyBorder="1" applyAlignment="1">
      <alignment vertical="center"/>
    </xf>
    <xf numFmtId="166" fontId="10" fillId="12" borderId="0" xfId="15" applyNumberFormat="1" applyFill="1" applyAlignment="1">
      <alignment horizontal="right" vertical="center"/>
    </xf>
    <xf numFmtId="2" fontId="10" fillId="12" borderId="0" xfId="15" applyNumberFormat="1" applyFill="1" applyAlignment="1">
      <alignment horizontal="right" vertical="center"/>
    </xf>
    <xf numFmtId="3" fontId="10" fillId="12" borderId="0" xfId="9" applyNumberFormat="1" applyFill="1" applyAlignment="1">
      <alignment horizontal="right" vertical="center"/>
    </xf>
    <xf numFmtId="0" fontId="10" fillId="12" borderId="6" xfId="15" applyFill="1" applyBorder="1" applyAlignment="1">
      <alignment vertical="center"/>
    </xf>
    <xf numFmtId="0" fontId="10" fillId="12" borderId="0" xfId="15" applyFill="1" applyAlignment="1">
      <alignment vertical="center"/>
    </xf>
    <xf numFmtId="3" fontId="10" fillId="12" borderId="5" xfId="11" applyNumberFormat="1" applyFill="1" applyBorder="1" applyAlignment="1">
      <alignment horizontal="right" vertical="center"/>
    </xf>
    <xf numFmtId="3" fontId="10" fillId="12" borderId="5" xfId="0" applyNumberFormat="1" applyFont="1" applyFill="1" applyBorder="1" applyAlignment="1">
      <alignment vertical="center"/>
    </xf>
    <xf numFmtId="37" fontId="10" fillId="12" borderId="0" xfId="0" applyNumberFormat="1" applyFont="1" applyFill="1" applyAlignment="1">
      <alignment vertical="center"/>
    </xf>
    <xf numFmtId="0" fontId="10" fillId="0" borderId="0" xfId="11" applyAlignment="1">
      <alignment horizontal="left" vertical="center"/>
    </xf>
    <xf numFmtId="3" fontId="10" fillId="0" borderId="0" xfId="15" applyNumberFormat="1" applyAlignment="1">
      <alignment vertical="center"/>
    </xf>
    <xf numFmtId="0" fontId="10" fillId="0" borderId="5" xfId="15" applyBorder="1" applyAlignment="1">
      <alignment horizontal="left" vertical="center"/>
    </xf>
    <xf numFmtId="3" fontId="10" fillId="0" borderId="5" xfId="15" applyNumberFormat="1" applyBorder="1" applyAlignment="1">
      <alignment vertical="center"/>
    </xf>
    <xf numFmtId="166" fontId="10" fillId="0" borderId="0" xfId="15" applyNumberFormat="1" applyAlignment="1">
      <alignment horizontal="right" vertical="center"/>
    </xf>
    <xf numFmtId="3" fontId="10" fillId="0" borderId="6" xfId="15" applyNumberFormat="1" applyBorder="1" applyAlignment="1">
      <alignment vertical="center"/>
    </xf>
    <xf numFmtId="3" fontId="10" fillId="0" borderId="5" xfId="11" applyNumberFormat="1" applyBorder="1" applyAlignment="1">
      <alignment horizontal="right" vertical="center"/>
    </xf>
    <xf numFmtId="3" fontId="10" fillId="0" borderId="5" xfId="0" applyNumberFormat="1" applyFont="1" applyBorder="1" applyAlignment="1">
      <alignment vertical="center"/>
    </xf>
    <xf numFmtId="37" fontId="10" fillId="0" borderId="0" xfId="0" applyNumberFormat="1" applyFont="1" applyAlignment="1">
      <alignment vertical="center"/>
    </xf>
    <xf numFmtId="0" fontId="10" fillId="7" borderId="0" xfId="11" applyFill="1" applyAlignment="1">
      <alignment horizontal="left" vertical="center"/>
    </xf>
    <xf numFmtId="3" fontId="10" fillId="7" borderId="0" xfId="15" applyNumberFormat="1" applyFill="1" applyAlignment="1">
      <alignment vertical="center"/>
    </xf>
    <xf numFmtId="0" fontId="10" fillId="7" borderId="5" xfId="15" applyFill="1" applyBorder="1" applyAlignment="1">
      <alignment horizontal="left" vertical="center"/>
    </xf>
    <xf numFmtId="3" fontId="10" fillId="7" borderId="5" xfId="15" applyNumberFormat="1" applyFill="1" applyBorder="1" applyAlignment="1">
      <alignment vertical="center"/>
    </xf>
    <xf numFmtId="166" fontId="10" fillId="7" borderId="0" xfId="15" applyNumberFormat="1" applyFill="1" applyAlignment="1">
      <alignment horizontal="right" vertical="center"/>
    </xf>
    <xf numFmtId="2" fontId="10" fillId="7" borderId="0" xfId="15" applyNumberFormat="1" applyFill="1" applyAlignment="1">
      <alignment horizontal="right" vertical="center"/>
    </xf>
    <xf numFmtId="3" fontId="10" fillId="7" borderId="0" xfId="9" applyNumberFormat="1" applyFill="1" applyAlignment="1">
      <alignment horizontal="right" vertical="center"/>
    </xf>
    <xf numFmtId="3" fontId="10" fillId="7" borderId="6" xfId="15" applyNumberFormat="1" applyFill="1" applyBorder="1" applyAlignment="1">
      <alignment vertical="center"/>
    </xf>
    <xf numFmtId="3" fontId="10" fillId="7" borderId="5" xfId="11" applyNumberFormat="1" applyFill="1" applyBorder="1" applyAlignment="1">
      <alignment horizontal="right" vertical="center"/>
    </xf>
    <xf numFmtId="3" fontId="10" fillId="7" borderId="5" xfId="0" applyNumberFormat="1" applyFont="1" applyFill="1" applyBorder="1" applyAlignment="1">
      <alignment vertical="center"/>
    </xf>
    <xf numFmtId="37" fontId="10" fillId="7" borderId="0" xfId="0" applyNumberFormat="1" applyFont="1" applyFill="1" applyAlignment="1">
      <alignment vertical="center"/>
    </xf>
    <xf numFmtId="0" fontId="10" fillId="7" borderId="0" xfId="15" applyFill="1" applyAlignment="1">
      <alignment vertical="center"/>
    </xf>
    <xf numFmtId="0" fontId="10" fillId="7" borderId="6" xfId="15" applyFill="1" applyBorder="1" applyAlignment="1">
      <alignment vertical="center"/>
    </xf>
    <xf numFmtId="0" fontId="10" fillId="7" borderId="5" xfId="11" applyFill="1" applyBorder="1" applyAlignment="1">
      <alignment horizontal="right" vertical="center"/>
    </xf>
    <xf numFmtId="3" fontId="10" fillId="6" borderId="0" xfId="15" applyNumberFormat="1" applyFill="1" applyAlignment="1">
      <alignment horizontal="right" vertical="center"/>
    </xf>
    <xf numFmtId="3" fontId="10" fillId="6" borderId="5" xfId="15" applyNumberFormat="1" applyFill="1" applyBorder="1" applyAlignment="1">
      <alignment horizontal="right" vertical="center"/>
    </xf>
    <xf numFmtId="0" fontId="10" fillId="9" borderId="0" xfId="15" applyFill="1" applyAlignment="1">
      <alignment vertical="center"/>
    </xf>
    <xf numFmtId="0" fontId="10" fillId="9" borderId="6" xfId="15" applyFill="1" applyBorder="1" applyAlignment="1">
      <alignment vertical="center"/>
    </xf>
    <xf numFmtId="0" fontId="10" fillId="11" borderId="0" xfId="11" applyFill="1" applyAlignment="1">
      <alignment horizontal="left" vertical="center"/>
    </xf>
    <xf numFmtId="3" fontId="10" fillId="11" borderId="0" xfId="15" applyNumberFormat="1" applyFill="1" applyAlignment="1">
      <alignment vertical="center"/>
    </xf>
    <xf numFmtId="0" fontId="10" fillId="11" borderId="5" xfId="15" applyFill="1" applyBorder="1" applyAlignment="1">
      <alignment horizontal="left" vertical="center"/>
    </xf>
    <xf numFmtId="3" fontId="10" fillId="11" borderId="5" xfId="15" applyNumberFormat="1" applyFill="1" applyBorder="1" applyAlignment="1">
      <alignment vertical="center"/>
    </xf>
    <xf numFmtId="166" fontId="10" fillId="11" borderId="0" xfId="15" applyNumberFormat="1" applyFill="1" applyAlignment="1">
      <alignment horizontal="right" vertical="center"/>
    </xf>
    <xf numFmtId="2" fontId="10" fillId="11" borderId="0" xfId="15" applyNumberFormat="1" applyFill="1" applyAlignment="1">
      <alignment horizontal="right" vertical="center"/>
    </xf>
    <xf numFmtId="3" fontId="10" fillId="11" borderId="0" xfId="9" applyNumberFormat="1" applyFill="1" applyAlignment="1">
      <alignment horizontal="right" vertical="center"/>
    </xf>
    <xf numFmtId="3" fontId="10" fillId="11" borderId="6" xfId="15" applyNumberFormat="1" applyFill="1" applyBorder="1" applyAlignment="1">
      <alignment vertical="center"/>
    </xf>
    <xf numFmtId="3" fontId="10" fillId="11" borderId="5" xfId="11" applyNumberFormat="1" applyFill="1" applyBorder="1" applyAlignment="1">
      <alignment horizontal="right" vertical="center"/>
    </xf>
    <xf numFmtId="3" fontId="10" fillId="11" borderId="5" xfId="0" applyNumberFormat="1" applyFont="1" applyFill="1" applyBorder="1" applyAlignment="1">
      <alignment vertical="center"/>
    </xf>
    <xf numFmtId="37" fontId="10" fillId="11" borderId="0" xfId="0" applyNumberFormat="1" applyFont="1" applyFill="1" applyAlignment="1">
      <alignment vertical="center"/>
    </xf>
    <xf numFmtId="0" fontId="10" fillId="5" borderId="0" xfId="11" applyFill="1" applyAlignment="1">
      <alignment horizontal="left" vertical="center"/>
    </xf>
    <xf numFmtId="3" fontId="10" fillId="5" borderId="0" xfId="15" applyNumberFormat="1" applyFill="1" applyAlignment="1">
      <alignment vertical="center"/>
    </xf>
    <xf numFmtId="0" fontId="10" fillId="5" borderId="5" xfId="15" applyFill="1" applyBorder="1" applyAlignment="1">
      <alignment horizontal="left" vertical="center"/>
    </xf>
    <xf numFmtId="3" fontId="10" fillId="5" borderId="5" xfId="15" applyNumberFormat="1" applyFill="1" applyBorder="1" applyAlignment="1">
      <alignment vertical="center"/>
    </xf>
    <xf numFmtId="166" fontId="10" fillId="5" borderId="0" xfId="15" applyNumberFormat="1" applyFill="1" applyAlignment="1">
      <alignment horizontal="right" vertical="center"/>
    </xf>
    <xf numFmtId="2" fontId="10" fillId="5" borderId="0" xfId="15" applyNumberFormat="1" applyFill="1" applyAlignment="1">
      <alignment horizontal="right" vertical="center"/>
    </xf>
    <xf numFmtId="3" fontId="10" fillId="5" borderId="0" xfId="9" applyNumberFormat="1" applyFill="1" applyAlignment="1">
      <alignment horizontal="right" vertical="center"/>
    </xf>
    <xf numFmtId="0" fontId="10" fillId="5" borderId="0" xfId="15" applyFill="1" applyAlignment="1">
      <alignment vertical="center"/>
    </xf>
    <xf numFmtId="0" fontId="10" fillId="5" borderId="6" xfId="15" applyFill="1" applyBorder="1" applyAlignment="1">
      <alignment vertical="center"/>
    </xf>
    <xf numFmtId="3" fontId="10" fillId="5" borderId="5" xfId="11" applyNumberFormat="1" applyFill="1" applyBorder="1" applyAlignment="1">
      <alignment horizontal="right" vertical="center"/>
    </xf>
    <xf numFmtId="3" fontId="10" fillId="5" borderId="5" xfId="0" applyNumberFormat="1" applyFont="1" applyFill="1" applyBorder="1" applyAlignment="1">
      <alignment vertical="center"/>
    </xf>
    <xf numFmtId="37" fontId="10" fillId="5" borderId="0" xfId="0" applyNumberFormat="1" applyFont="1" applyFill="1" applyAlignment="1">
      <alignment vertical="center"/>
    </xf>
    <xf numFmtId="0" fontId="10" fillId="10" borderId="6" xfId="15" applyFill="1" applyBorder="1" applyAlignment="1">
      <alignment vertical="center"/>
    </xf>
    <xf numFmtId="0" fontId="10" fillId="10" borderId="0" xfId="15" applyFill="1" applyAlignment="1">
      <alignment vertical="center"/>
    </xf>
    <xf numFmtId="3" fontId="10" fillId="10" borderId="5" xfId="11" applyNumberFormat="1" applyFill="1" applyBorder="1" applyAlignment="1">
      <alignment horizontal="right" vertical="center"/>
    </xf>
    <xf numFmtId="3" fontId="10" fillId="12" borderId="6" xfId="15" applyNumberFormat="1" applyFill="1" applyBorder="1" applyAlignment="1">
      <alignment vertical="center"/>
    </xf>
    <xf numFmtId="3" fontId="10" fillId="5" borderId="6" xfId="15" applyNumberFormat="1" applyFill="1" applyBorder="1" applyAlignment="1">
      <alignment vertical="center"/>
    </xf>
    <xf numFmtId="3" fontId="10" fillId="10" borderId="6" xfId="15" applyNumberFormat="1" applyFill="1" applyBorder="1" applyAlignment="1">
      <alignment vertical="center"/>
    </xf>
    <xf numFmtId="0" fontId="10" fillId="5" borderId="5" xfId="11" applyFill="1" applyBorder="1" applyAlignment="1">
      <alignment horizontal="right" vertical="center"/>
    </xf>
    <xf numFmtId="0" fontId="10" fillId="9" borderId="5" xfId="11" applyFill="1" applyBorder="1" applyAlignment="1">
      <alignment horizontal="right" vertical="center"/>
    </xf>
    <xf numFmtId="0" fontId="10" fillId="8" borderId="0" xfId="11" applyFill="1" applyAlignment="1">
      <alignment horizontal="left" vertical="center"/>
    </xf>
    <xf numFmtId="3" fontId="10" fillId="8" borderId="0" xfId="15" applyNumberFormat="1" applyFill="1" applyAlignment="1">
      <alignment vertical="center"/>
    </xf>
    <xf numFmtId="0" fontId="10" fillId="8" borderId="5" xfId="15" applyFill="1" applyBorder="1" applyAlignment="1">
      <alignment horizontal="left" vertical="center"/>
    </xf>
    <xf numFmtId="3" fontId="10" fillId="8" borderId="5" xfId="15" applyNumberFormat="1" applyFill="1" applyBorder="1" applyAlignment="1">
      <alignment vertical="center"/>
    </xf>
    <xf numFmtId="166" fontId="10" fillId="8" borderId="0" xfId="15" applyNumberFormat="1" applyFill="1" applyAlignment="1">
      <alignment horizontal="right" vertical="center"/>
    </xf>
    <xf numFmtId="2" fontId="10" fillId="8" borderId="0" xfId="15" applyNumberFormat="1" applyFill="1" applyAlignment="1">
      <alignment horizontal="right" vertical="center"/>
    </xf>
    <xf numFmtId="3" fontId="10" fillId="8" borderId="0" xfId="9" applyNumberFormat="1" applyFill="1" applyAlignment="1">
      <alignment horizontal="right" vertical="center"/>
    </xf>
    <xf numFmtId="3" fontId="10" fillId="8" borderId="6" xfId="15" applyNumberFormat="1" applyFill="1" applyBorder="1" applyAlignment="1">
      <alignment vertical="center"/>
    </xf>
    <xf numFmtId="3" fontId="10" fillId="8" borderId="5" xfId="11" applyNumberFormat="1" applyFill="1" applyBorder="1" applyAlignment="1">
      <alignment horizontal="right" vertical="center"/>
    </xf>
    <xf numFmtId="3" fontId="10" fillId="8" borderId="5" xfId="0" applyNumberFormat="1" applyFont="1" applyFill="1" applyBorder="1" applyAlignment="1">
      <alignment vertical="center"/>
    </xf>
    <xf numFmtId="37" fontId="10" fillId="8" borderId="0" xfId="0" applyNumberFormat="1" applyFont="1" applyFill="1" applyAlignment="1">
      <alignment vertical="center"/>
    </xf>
    <xf numFmtId="3" fontId="10" fillId="0" borderId="5" xfId="11" applyNumberFormat="1" applyBorder="1" applyAlignment="1">
      <alignment vertical="center"/>
    </xf>
    <xf numFmtId="3" fontId="10" fillId="7" borderId="5" xfId="11" applyNumberFormat="1" applyFill="1" applyBorder="1" applyAlignment="1">
      <alignment vertical="center"/>
    </xf>
    <xf numFmtId="3" fontId="10" fillId="5" borderId="5" xfId="11" applyNumberFormat="1" applyFill="1" applyBorder="1" applyAlignment="1">
      <alignment vertical="center"/>
    </xf>
    <xf numFmtId="3" fontId="10" fillId="10" borderId="5" xfId="11" applyNumberFormat="1" applyFill="1" applyBorder="1" applyAlignment="1">
      <alignment vertical="center"/>
    </xf>
    <xf numFmtId="3" fontId="10" fillId="12" borderId="5" xfId="11" applyNumberFormat="1" applyFill="1" applyBorder="1" applyAlignment="1">
      <alignment vertical="center"/>
    </xf>
    <xf numFmtId="3" fontId="10" fillId="9" borderId="5" xfId="11" applyNumberFormat="1" applyFill="1" applyBorder="1" applyAlignment="1">
      <alignment vertical="center"/>
    </xf>
    <xf numFmtId="0" fontId="10" fillId="4" borderId="0" xfId="11" applyFill="1" applyAlignment="1">
      <alignment horizontal="left" vertical="center"/>
    </xf>
    <xf numFmtId="3" fontId="10" fillId="4" borderId="0" xfId="15" applyNumberFormat="1" applyFill="1" applyAlignment="1">
      <alignment vertical="center"/>
    </xf>
    <xf numFmtId="0" fontId="10" fillId="4" borderId="5" xfId="15" applyFill="1" applyBorder="1" applyAlignment="1">
      <alignment horizontal="left" vertical="center"/>
    </xf>
    <xf numFmtId="3" fontId="10" fillId="4" borderId="5" xfId="15" applyNumberFormat="1" applyFill="1" applyBorder="1" applyAlignment="1">
      <alignment vertical="center"/>
    </xf>
    <xf numFmtId="166" fontId="10" fillId="4" borderId="0" xfId="15" applyNumberFormat="1" applyFill="1" applyAlignment="1">
      <alignment horizontal="right" vertical="center"/>
    </xf>
    <xf numFmtId="2" fontId="10" fillId="4" borderId="0" xfId="15" applyNumberFormat="1" applyFill="1" applyAlignment="1">
      <alignment horizontal="right" vertical="center"/>
    </xf>
    <xf numFmtId="3" fontId="10" fillId="4" borderId="0" xfId="9" applyNumberFormat="1" applyFill="1" applyAlignment="1">
      <alignment horizontal="right" vertical="center"/>
    </xf>
    <xf numFmtId="3" fontId="10" fillId="4" borderId="6" xfId="15" applyNumberFormat="1" applyFill="1" applyBorder="1" applyAlignment="1">
      <alignment vertical="center"/>
    </xf>
    <xf numFmtId="3" fontId="10" fillId="4" borderId="5" xfId="11" applyNumberFormat="1" applyFill="1" applyBorder="1" applyAlignment="1">
      <alignment vertical="center"/>
    </xf>
    <xf numFmtId="3" fontId="10" fillId="4" borderId="5" xfId="0" applyNumberFormat="1" applyFont="1" applyFill="1" applyBorder="1" applyAlignment="1">
      <alignment vertical="center"/>
    </xf>
    <xf numFmtId="37" fontId="10" fillId="4" borderId="0" xfId="0" applyNumberFormat="1" applyFont="1" applyFill="1" applyAlignment="1">
      <alignment vertical="center"/>
    </xf>
    <xf numFmtId="3" fontId="10" fillId="6" borderId="5" xfId="11" applyNumberFormat="1" applyFill="1" applyBorder="1" applyAlignment="1">
      <alignment vertical="center"/>
    </xf>
    <xf numFmtId="0" fontId="10" fillId="4" borderId="6" xfId="15" applyFill="1" applyBorder="1" applyAlignment="1">
      <alignment vertical="center"/>
    </xf>
    <xf numFmtId="0" fontId="10" fillId="4" borderId="0" xfId="15" applyFill="1" applyAlignment="1">
      <alignment vertical="center"/>
    </xf>
    <xf numFmtId="3" fontId="10" fillId="11" borderId="5" xfId="11" applyNumberFormat="1" applyFill="1" applyBorder="1" applyAlignment="1">
      <alignment vertical="center"/>
    </xf>
    <xf numFmtId="0" fontId="10" fillId="9" borderId="8" xfId="11" applyFill="1" applyBorder="1" applyAlignment="1">
      <alignment horizontal="left" vertical="center"/>
    </xf>
    <xf numFmtId="0" fontId="10" fillId="0" borderId="11" xfId="11" applyBorder="1" applyAlignment="1">
      <alignment vertical="center"/>
    </xf>
    <xf numFmtId="3" fontId="10" fillId="0" borderId="11" xfId="15" applyNumberFormat="1" applyBorder="1" applyAlignment="1">
      <alignment vertical="center"/>
    </xf>
    <xf numFmtId="3" fontId="10" fillId="0" borderId="10" xfId="15" applyNumberFormat="1" applyBorder="1" applyAlignment="1">
      <alignment vertical="center"/>
    </xf>
    <xf numFmtId="4" fontId="10" fillId="0" borderId="0" xfId="15" applyNumberFormat="1" applyAlignment="1">
      <alignment horizontal="right" vertical="center"/>
    </xf>
    <xf numFmtId="3" fontId="10" fillId="0" borderId="11" xfId="9" applyNumberFormat="1" applyBorder="1" applyAlignment="1">
      <alignment horizontal="right" vertical="center"/>
    </xf>
    <xf numFmtId="3" fontId="10" fillId="0" borderId="12" xfId="15" applyNumberFormat="1" applyBorder="1" applyAlignment="1">
      <alignment vertical="center"/>
    </xf>
    <xf numFmtId="0" fontId="10" fillId="0" borderId="0" xfId="11" applyAlignment="1">
      <alignment vertical="center"/>
    </xf>
    <xf numFmtId="0" fontId="10" fillId="0" borderId="3" xfId="0" applyFont="1" applyBorder="1" applyAlignment="1">
      <alignment vertical="center" wrapText="1"/>
    </xf>
    <xf numFmtId="43" fontId="10" fillId="0" borderId="0" xfId="0" applyNumberFormat="1" applyFont="1" applyAlignment="1">
      <alignment vertical="center"/>
    </xf>
    <xf numFmtId="0" fontId="10" fillId="4" borderId="0" xfId="0" applyFont="1" applyFill="1" applyAlignment="1">
      <alignment vertical="center"/>
    </xf>
    <xf numFmtId="171" fontId="10" fillId="4" borderId="0" xfId="0" applyNumberFormat="1" applyFont="1" applyFill="1" applyAlignment="1">
      <alignment vertical="center"/>
    </xf>
    <xf numFmtId="174" fontId="10" fillId="4" borderId="0" xfId="0" applyNumberFormat="1" applyFont="1" applyFill="1" applyAlignment="1">
      <alignment vertical="center"/>
    </xf>
    <xf numFmtId="0" fontId="10" fillId="18" borderId="0" xfId="0" applyFont="1" applyFill="1"/>
    <xf numFmtId="0" fontId="12" fillId="0" borderId="0" xfId="0" applyFont="1" applyAlignment="1">
      <alignment vertical="center"/>
    </xf>
    <xf numFmtId="0" fontId="14" fillId="0" borderId="0" xfId="0" applyFont="1" applyAlignment="1">
      <alignment vertical="center"/>
    </xf>
    <xf numFmtId="0" fontId="10" fillId="0" borderId="0" xfId="22" applyAlignment="1">
      <alignment vertical="center"/>
    </xf>
    <xf numFmtId="188" fontId="18" fillId="0" borderId="0" xfId="0" applyNumberFormat="1" applyFont="1"/>
    <xf numFmtId="188" fontId="12" fillId="23" borderId="3" xfId="0" applyNumberFormat="1" applyFont="1" applyFill="1" applyBorder="1" applyAlignment="1">
      <alignment horizontal="left"/>
    </xf>
    <xf numFmtId="0" fontId="12" fillId="23" borderId="0" xfId="0" applyFont="1" applyFill="1" applyAlignment="1">
      <alignment vertical="center"/>
    </xf>
    <xf numFmtId="0" fontId="10" fillId="23" borderId="0" xfId="0" applyFont="1" applyFill="1" applyAlignment="1">
      <alignment vertical="center"/>
    </xf>
    <xf numFmtId="0" fontId="10" fillId="33" borderId="0" xfId="22" applyFill="1" applyAlignment="1">
      <alignment vertical="center"/>
    </xf>
    <xf numFmtId="0" fontId="10" fillId="33" borderId="0" xfId="0" applyFont="1" applyFill="1" applyAlignment="1">
      <alignment vertical="center"/>
    </xf>
    <xf numFmtId="0" fontId="10" fillId="23" borderId="0" xfId="22" applyFill="1" applyAlignment="1">
      <alignment vertical="center"/>
    </xf>
    <xf numFmtId="0" fontId="10" fillId="0" borderId="0" xfId="0" applyFont="1" applyAlignment="1">
      <alignment horizontal="center" vertical="center"/>
    </xf>
    <xf numFmtId="0" fontId="65" fillId="0" borderId="0" xfId="22" applyFont="1" applyAlignment="1">
      <alignment vertical="center"/>
    </xf>
    <xf numFmtId="0" fontId="65" fillId="0" borderId="0" xfId="22" applyFont="1" applyAlignment="1">
      <alignment horizontal="left" vertical="center"/>
    </xf>
    <xf numFmtId="2" fontId="65" fillId="0" borderId="0" xfId="0" applyNumberFormat="1" applyFont="1" applyAlignment="1">
      <alignment horizontal="center" vertical="center"/>
    </xf>
    <xf numFmtId="0" fontId="65" fillId="0" borderId="0" xfId="0" applyFont="1" applyAlignment="1">
      <alignment horizontal="center" vertical="center"/>
    </xf>
    <xf numFmtId="0" fontId="65" fillId="0" borderId="0" xfId="0" applyFont="1" applyAlignment="1">
      <alignment vertical="center"/>
    </xf>
    <xf numFmtId="0" fontId="65" fillId="0" borderId="0" xfId="0" applyFont="1" applyAlignment="1">
      <alignment horizontal="left" vertical="center"/>
    </xf>
    <xf numFmtId="0" fontId="10" fillId="0" borderId="0" xfId="0" applyFont="1" applyAlignment="1">
      <alignment horizontal="left" vertical="center"/>
    </xf>
    <xf numFmtId="0" fontId="26" fillId="0" borderId="0" xfId="0" applyFont="1" applyAlignment="1">
      <alignment vertical="center"/>
    </xf>
    <xf numFmtId="0" fontId="27" fillId="0" borderId="0" xfId="0" applyFont="1" applyAlignment="1">
      <alignment vertical="center"/>
    </xf>
    <xf numFmtId="188" fontId="12" fillId="4" borderId="11" xfId="0" applyNumberFormat="1" applyFont="1" applyFill="1" applyBorder="1"/>
    <xf numFmtId="0" fontId="12" fillId="33" borderId="0" xfId="0" applyFont="1" applyFill="1" applyAlignment="1">
      <alignment vertical="center"/>
    </xf>
    <xf numFmtId="0" fontId="18" fillId="0" borderId="0" xfId="23" applyFont="1" applyAlignment="1">
      <alignment horizontal="left"/>
    </xf>
    <xf numFmtId="0" fontId="10" fillId="23" borderId="0" xfId="0" applyFont="1" applyFill="1" applyAlignment="1">
      <alignment horizontal="center" vertical="center"/>
    </xf>
    <xf numFmtId="2" fontId="10" fillId="33" borderId="0" xfId="0" applyNumberFormat="1" applyFont="1" applyFill="1" applyAlignment="1">
      <alignment horizontal="center" vertical="center"/>
    </xf>
    <xf numFmtId="0" fontId="59" fillId="0" borderId="0" xfId="0" applyFont="1" applyAlignment="1">
      <alignment vertical="center"/>
    </xf>
    <xf numFmtId="0" fontId="58" fillId="0" borderId="0" xfId="0" applyFont="1" applyAlignment="1">
      <alignment vertical="center"/>
    </xf>
    <xf numFmtId="0" fontId="58" fillId="0" borderId="0" xfId="0" applyFont="1" applyAlignment="1">
      <alignment horizontal="center" vertical="center"/>
    </xf>
    <xf numFmtId="166" fontId="58" fillId="0" borderId="0" xfId="0" applyNumberFormat="1" applyFont="1" applyAlignment="1">
      <alignment vertical="center"/>
    </xf>
    <xf numFmtId="2" fontId="58" fillId="0" borderId="0" xfId="0" applyNumberFormat="1" applyFont="1" applyAlignment="1">
      <alignment vertical="center"/>
    </xf>
    <xf numFmtId="1" fontId="58" fillId="0" borderId="0" xfId="0" applyNumberFormat="1" applyFont="1" applyAlignment="1">
      <alignment vertical="center"/>
    </xf>
    <xf numFmtId="165" fontId="58" fillId="0" borderId="0" xfId="0" applyNumberFormat="1" applyFont="1" applyAlignment="1">
      <alignment vertical="center"/>
    </xf>
    <xf numFmtId="0" fontId="12" fillId="23" borderId="3" xfId="0" applyFont="1" applyFill="1" applyBorder="1" applyAlignment="1">
      <alignment horizontal="left"/>
    </xf>
    <xf numFmtId="0" fontId="58" fillId="33" borderId="0" xfId="0" applyFont="1" applyFill="1" applyAlignment="1">
      <alignment vertical="center"/>
    </xf>
    <xf numFmtId="166" fontId="58" fillId="33" borderId="0" xfId="0" applyNumberFormat="1" applyFont="1" applyFill="1" applyAlignment="1">
      <alignment vertical="center"/>
    </xf>
    <xf numFmtId="2" fontId="58" fillId="33" borderId="0" xfId="0" applyNumberFormat="1" applyFont="1" applyFill="1" applyAlignment="1">
      <alignment vertical="center"/>
    </xf>
    <xf numFmtId="1" fontId="58" fillId="33" borderId="0" xfId="0" applyNumberFormat="1" applyFont="1" applyFill="1" applyAlignment="1">
      <alignment vertical="center"/>
    </xf>
    <xf numFmtId="3" fontId="58" fillId="33" borderId="0" xfId="0" applyNumberFormat="1" applyFont="1" applyFill="1" applyAlignment="1">
      <alignment vertical="center"/>
    </xf>
    <xf numFmtId="167" fontId="58" fillId="33" borderId="0" xfId="0" applyNumberFormat="1" applyFont="1" applyFill="1" applyAlignment="1">
      <alignment vertical="center"/>
    </xf>
    <xf numFmtId="4" fontId="58" fillId="33" borderId="0" xfId="0" applyNumberFormat="1" applyFont="1" applyFill="1" applyAlignment="1">
      <alignment vertical="center"/>
    </xf>
    <xf numFmtId="0" fontId="12" fillId="23" borderId="0" xfId="22" applyFont="1" applyFill="1" applyAlignment="1">
      <alignment vertical="center"/>
    </xf>
    <xf numFmtId="2" fontId="58" fillId="23" borderId="0" xfId="0" applyNumberFormat="1" applyFont="1" applyFill="1" applyAlignment="1">
      <alignment vertical="center"/>
    </xf>
    <xf numFmtId="0" fontId="58" fillId="23" borderId="0" xfId="0" applyFont="1" applyFill="1" applyAlignment="1">
      <alignment vertical="center"/>
    </xf>
    <xf numFmtId="1" fontId="58" fillId="23" borderId="0" xfId="0" applyNumberFormat="1" applyFont="1" applyFill="1" applyAlignment="1">
      <alignment vertical="center"/>
    </xf>
    <xf numFmtId="0" fontId="12" fillId="33" borderId="0" xfId="22" applyFont="1" applyFill="1" applyAlignment="1">
      <alignment vertical="center"/>
    </xf>
    <xf numFmtId="188" fontId="10" fillId="0" borderId="0" xfId="0" applyNumberFormat="1" applyFont="1" applyAlignment="1">
      <alignment horizontal="left"/>
    </xf>
    <xf numFmtId="188" fontId="10" fillId="0" borderId="0" xfId="0" applyNumberFormat="1" applyFont="1"/>
    <xf numFmtId="188" fontId="12" fillId="23" borderId="0" xfId="0" applyNumberFormat="1" applyFont="1" applyFill="1" applyAlignment="1">
      <alignment horizontal="left"/>
    </xf>
    <xf numFmtId="0" fontId="99" fillId="0" borderId="0" xfId="0" applyFont="1"/>
    <xf numFmtId="0" fontId="100" fillId="0" borderId="0" xfId="0" applyFont="1"/>
    <xf numFmtId="0" fontId="12" fillId="23" borderId="49" xfId="0" applyFont="1" applyFill="1" applyBorder="1"/>
    <xf numFmtId="0" fontId="20" fillId="23" borderId="49" xfId="0" applyFont="1" applyFill="1" applyBorder="1" applyAlignment="1">
      <alignment wrapText="1"/>
    </xf>
    <xf numFmtId="0" fontId="20" fillId="33" borderId="0" xfId="0" applyFont="1" applyFill="1"/>
    <xf numFmtId="0" fontId="8" fillId="33" borderId="0" xfId="122" applyFill="1" applyAlignment="1">
      <alignment horizontal="left"/>
    </xf>
    <xf numFmtId="0" fontId="8" fillId="33" borderId="0" xfId="122" applyFill="1" applyAlignment="1">
      <alignment wrapText="1"/>
    </xf>
    <xf numFmtId="0" fontId="10" fillId="33" borderId="0" xfId="0" applyFont="1" applyFill="1"/>
    <xf numFmtId="171" fontId="10" fillId="30" borderId="0" xfId="115" applyNumberFormat="1" applyFont="1" applyFill="1" applyBorder="1"/>
    <xf numFmtId="0" fontId="12" fillId="33" borderId="0" xfId="0" applyFont="1" applyFill="1"/>
    <xf numFmtId="0" fontId="7" fillId="33" borderId="0" xfId="122" applyFont="1" applyFill="1" applyAlignment="1">
      <alignment horizontal="left"/>
    </xf>
    <xf numFmtId="0" fontId="7" fillId="33" borderId="0" xfId="122" applyFont="1" applyFill="1" applyAlignment="1">
      <alignment wrapText="1"/>
    </xf>
    <xf numFmtId="0" fontId="6" fillId="33" borderId="0" xfId="122" applyFont="1" applyFill="1" applyAlignment="1">
      <alignment horizontal="left"/>
    </xf>
    <xf numFmtId="0" fontId="6" fillId="33" borderId="0" xfId="122" applyFont="1" applyFill="1" applyAlignment="1">
      <alignment wrapText="1"/>
    </xf>
    <xf numFmtId="0" fontId="54" fillId="33" borderId="0" xfId="22" applyFont="1" applyFill="1" applyAlignment="1">
      <alignment vertical="center"/>
    </xf>
    <xf numFmtId="0" fontId="54" fillId="33" borderId="0" xfId="0" applyFont="1" applyFill="1" applyAlignment="1">
      <alignment vertical="center"/>
    </xf>
    <xf numFmtId="1" fontId="54" fillId="33" borderId="0" xfId="0" applyNumberFormat="1" applyFont="1" applyFill="1" applyAlignment="1">
      <alignment vertical="center"/>
    </xf>
    <xf numFmtId="166" fontId="54" fillId="33" borderId="0" xfId="0" applyNumberFormat="1" applyFont="1" applyFill="1" applyAlignment="1">
      <alignment vertical="center"/>
    </xf>
    <xf numFmtId="2" fontId="54" fillId="33" borderId="0" xfId="0" applyNumberFormat="1" applyFont="1" applyFill="1" applyAlignment="1">
      <alignment vertical="center"/>
    </xf>
    <xf numFmtId="0" fontId="54" fillId="0" borderId="0" xfId="0" applyFont="1" applyAlignment="1">
      <alignment vertical="center"/>
    </xf>
    <xf numFmtId="1" fontId="54" fillId="0" borderId="0" xfId="0" applyNumberFormat="1" applyFont="1" applyAlignment="1">
      <alignment vertical="center"/>
    </xf>
    <xf numFmtId="171" fontId="0" fillId="0" borderId="0" xfId="0" applyNumberFormat="1"/>
    <xf numFmtId="189" fontId="0" fillId="0" borderId="0" xfId="1" applyNumberFormat="1" applyFont="1"/>
    <xf numFmtId="190" fontId="0" fillId="0" borderId="0" xfId="0" applyNumberFormat="1"/>
    <xf numFmtId="171" fontId="10" fillId="30" borderId="0" xfId="17" applyNumberFormat="1" applyFont="1" applyFill="1" applyBorder="1"/>
    <xf numFmtId="0" fontId="5" fillId="33" borderId="0" xfId="122" applyFont="1" applyFill="1" applyAlignment="1">
      <alignment wrapText="1"/>
    </xf>
    <xf numFmtId="10" fontId="10" fillId="30" borderId="0" xfId="115" applyNumberFormat="1" applyFont="1" applyFill="1" applyBorder="1"/>
    <xf numFmtId="0" fontId="4" fillId="33" borderId="0" xfId="122" applyFont="1" applyFill="1" applyAlignment="1">
      <alignment wrapText="1"/>
    </xf>
    <xf numFmtId="0" fontId="101" fillId="25" borderId="0" xfId="110" applyFont="1" applyFill="1"/>
    <xf numFmtId="0" fontId="10" fillId="25" borderId="0" xfId="110" applyFill="1"/>
    <xf numFmtId="0" fontId="10" fillId="0" borderId="0" xfId="110"/>
    <xf numFmtId="0" fontId="100" fillId="0" borderId="0" xfId="110" applyFont="1"/>
    <xf numFmtId="0" fontId="12" fillId="23" borderId="49" xfId="110" applyFont="1" applyFill="1" applyBorder="1"/>
    <xf numFmtId="0" fontId="3" fillId="33" borderId="0" xfId="123" applyFill="1" applyAlignment="1">
      <alignment horizontal="left"/>
    </xf>
    <xf numFmtId="0" fontId="3" fillId="33" borderId="0" xfId="123" applyFill="1" applyAlignment="1">
      <alignment wrapText="1"/>
    </xf>
    <xf numFmtId="0" fontId="10" fillId="33" borderId="0" xfId="110" applyFill="1"/>
    <xf numFmtId="0" fontId="3" fillId="0" borderId="0" xfId="124"/>
    <xf numFmtId="0" fontId="102" fillId="0" borderId="0" xfId="124" applyFont="1"/>
    <xf numFmtId="0" fontId="103" fillId="0" borderId="0" xfId="124" applyFont="1"/>
    <xf numFmtId="14" fontId="58" fillId="0" borderId="0" xfId="125" applyNumberFormat="1" applyFont="1" applyFill="1" applyAlignment="1">
      <alignment horizontal="left" vertical="top"/>
    </xf>
    <xf numFmtId="174" fontId="58" fillId="0" borderId="0" xfId="125" applyNumberFormat="1" applyFont="1" applyFill="1" applyAlignment="1">
      <alignment horizontal="left" vertical="top"/>
    </xf>
    <xf numFmtId="0" fontId="104" fillId="0" borderId="0" xfId="124" applyFont="1" applyAlignment="1">
      <alignment horizontal="left"/>
    </xf>
    <xf numFmtId="0" fontId="105" fillId="0" borderId="0" xfId="124" applyFont="1"/>
    <xf numFmtId="0" fontId="90" fillId="0" borderId="0" xfId="124" applyFont="1"/>
    <xf numFmtId="0" fontId="106" fillId="0" borderId="0" xfId="126" applyFont="1" applyAlignment="1">
      <alignment horizontal="left" vertical="center"/>
    </xf>
    <xf numFmtId="0" fontId="107" fillId="64" borderId="35" xfId="124" applyFont="1" applyFill="1" applyBorder="1" applyAlignment="1">
      <alignment horizontal="left" vertical="center"/>
    </xf>
    <xf numFmtId="0" fontId="80" fillId="0" borderId="0" xfId="124" applyFont="1"/>
    <xf numFmtId="0" fontId="74" fillId="65" borderId="35" xfId="124" applyFont="1" applyFill="1" applyBorder="1" applyAlignment="1">
      <alignment horizontal="left" vertical="center"/>
    </xf>
    <xf numFmtId="0" fontId="108" fillId="0" borderId="0" xfId="124" applyFont="1"/>
    <xf numFmtId="0" fontId="74" fillId="17" borderId="37" xfId="124" applyFont="1" applyFill="1" applyBorder="1" applyAlignment="1">
      <alignment horizontal="left" vertical="center"/>
    </xf>
    <xf numFmtId="0" fontId="52" fillId="0" borderId="0" xfId="4" applyFill="1" applyBorder="1" applyAlignment="1">
      <alignment vertical="center"/>
    </xf>
    <xf numFmtId="174" fontId="0" fillId="66" borderId="0" xfId="125" applyNumberFormat="1" applyFont="1" applyFill="1"/>
    <xf numFmtId="0" fontId="3" fillId="19" borderId="0" xfId="124" applyFill="1"/>
    <xf numFmtId="174" fontId="0" fillId="19" borderId="0" xfId="125" applyNumberFormat="1" applyFont="1" applyFill="1"/>
    <xf numFmtId="174" fontId="0" fillId="0" borderId="0" xfId="125" applyNumberFormat="1" applyFont="1" applyFill="1"/>
    <xf numFmtId="0" fontId="110" fillId="26" borderId="35" xfId="127" applyFont="1" applyFill="1">
      <alignment horizontal="left" vertical="center"/>
    </xf>
    <xf numFmtId="174" fontId="111" fillId="0" borderId="0" xfId="125" applyNumberFormat="1" applyFont="1" applyFill="1"/>
    <xf numFmtId="0" fontId="111" fillId="0" borderId="0" xfId="124" applyFont="1"/>
    <xf numFmtId="0" fontId="79" fillId="27" borderId="35" xfId="124" applyFont="1" applyFill="1" applyBorder="1" applyAlignment="1">
      <alignment horizontal="left" vertical="center"/>
    </xf>
    <xf numFmtId="0" fontId="74" fillId="17" borderId="10" xfId="124" applyFont="1" applyFill="1" applyBorder="1" applyAlignment="1">
      <alignment horizontal="left" vertical="center"/>
    </xf>
    <xf numFmtId="0" fontId="74" fillId="17" borderId="11" xfId="124" applyFont="1" applyFill="1" applyBorder="1" applyAlignment="1">
      <alignment horizontal="left" vertical="center"/>
    </xf>
    <xf numFmtId="0" fontId="74" fillId="17" borderId="11" xfId="124" applyFont="1" applyFill="1" applyBorder="1" applyAlignment="1">
      <alignment horizontal="center" vertical="center"/>
    </xf>
    <xf numFmtId="0" fontId="74" fillId="17" borderId="12" xfId="124" applyFont="1" applyFill="1" applyBorder="1" applyAlignment="1">
      <alignment horizontal="center" vertical="center"/>
    </xf>
    <xf numFmtId="0" fontId="3" fillId="0" borderId="4" xfId="124" applyBorder="1"/>
    <xf numFmtId="0" fontId="3" fillId="0" borderId="3" xfId="124" applyBorder="1"/>
    <xf numFmtId="0" fontId="80" fillId="0" borderId="3" xfId="124" applyFont="1" applyBorder="1"/>
    <xf numFmtId="0" fontId="80" fillId="0" borderId="50" xfId="124" applyFont="1" applyBorder="1"/>
    <xf numFmtId="174" fontId="0" fillId="0" borderId="0" xfId="125" applyNumberFormat="1" applyFont="1"/>
    <xf numFmtId="174" fontId="0" fillId="0" borderId="4" xfId="125" applyNumberFormat="1" applyFont="1" applyBorder="1"/>
    <xf numFmtId="0" fontId="3" fillId="0" borderId="6" xfId="124" applyBorder="1"/>
    <xf numFmtId="0" fontId="80" fillId="0" borderId="16" xfId="124" applyFont="1" applyBorder="1"/>
    <xf numFmtId="174" fontId="0" fillId="0" borderId="6" xfId="125" applyNumberFormat="1" applyFont="1" applyBorder="1"/>
    <xf numFmtId="0" fontId="10" fillId="0" borderId="0" xfId="110" applyAlignment="1">
      <alignment horizontal="left" indent="2"/>
    </xf>
    <xf numFmtId="0" fontId="3" fillId="65" borderId="6" xfId="124" applyFill="1" applyBorder="1"/>
    <xf numFmtId="0" fontId="3" fillId="65" borderId="0" xfId="124" applyFill="1"/>
    <xf numFmtId="0" fontId="80" fillId="65" borderId="0" xfId="124" applyFont="1" applyFill="1"/>
    <xf numFmtId="0" fontId="80" fillId="65" borderId="16" xfId="124" applyFont="1" applyFill="1" applyBorder="1"/>
    <xf numFmtId="174" fontId="0" fillId="65" borderId="0" xfId="125" applyNumberFormat="1" applyFont="1" applyFill="1"/>
    <xf numFmtId="174" fontId="0" fillId="65" borderId="6" xfId="125" applyNumberFormat="1" applyFont="1" applyFill="1" applyBorder="1"/>
    <xf numFmtId="0" fontId="10" fillId="0" borderId="0" xfId="110" applyAlignment="1">
      <alignment horizontal="left" indent="3"/>
    </xf>
    <xf numFmtId="0" fontId="12" fillId="0" borderId="0" xfId="110" applyFont="1"/>
    <xf numFmtId="0" fontId="3" fillId="31" borderId="6" xfId="124" applyFill="1" applyBorder="1"/>
    <xf numFmtId="0" fontId="3" fillId="31" borderId="0" xfId="124" applyFill="1"/>
    <xf numFmtId="0" fontId="80" fillId="31" borderId="0" xfId="124" applyFont="1" applyFill="1"/>
    <xf numFmtId="0" fontId="80" fillId="31" borderId="16" xfId="124" applyFont="1" applyFill="1" applyBorder="1"/>
    <xf numFmtId="174" fontId="0" fillId="31" borderId="0" xfId="125" applyNumberFormat="1" applyFont="1" applyFill="1"/>
    <xf numFmtId="174" fontId="0" fillId="31" borderId="6" xfId="125" applyNumberFormat="1" applyFont="1" applyFill="1" applyBorder="1"/>
    <xf numFmtId="165" fontId="10" fillId="0" borderId="0" xfId="110" applyNumberFormat="1"/>
    <xf numFmtId="9" fontId="10" fillId="0" borderId="0" xfId="17" applyFont="1"/>
    <xf numFmtId="191" fontId="80" fillId="0" borderId="0" xfId="128" applyNumberFormat="1" applyFont="1" applyFill="1" applyBorder="1"/>
    <xf numFmtId="174" fontId="0" fillId="0" borderId="0" xfId="125" applyNumberFormat="1" applyFont="1" applyBorder="1"/>
    <xf numFmtId="174" fontId="0" fillId="67" borderId="0" xfId="125" applyNumberFormat="1" applyFont="1" applyFill="1" applyBorder="1"/>
    <xf numFmtId="174" fontId="0" fillId="65" borderId="0" xfId="125" applyNumberFormat="1" applyFont="1" applyFill="1" applyBorder="1"/>
    <xf numFmtId="0" fontId="3" fillId="65" borderId="36" xfId="124" applyFill="1" applyBorder="1"/>
    <xf numFmtId="0" fontId="3" fillId="65" borderId="37" xfId="124" applyFill="1" applyBorder="1"/>
    <xf numFmtId="0" fontId="3" fillId="65" borderId="8" xfId="124" applyFill="1" applyBorder="1"/>
    <xf numFmtId="0" fontId="80" fillId="65" borderId="8" xfId="124" applyFont="1" applyFill="1" applyBorder="1"/>
    <xf numFmtId="0" fontId="80" fillId="65" borderId="51" xfId="124" applyFont="1" applyFill="1" applyBorder="1"/>
    <xf numFmtId="174" fontId="0" fillId="65" borderId="8" xfId="125" applyNumberFormat="1" applyFont="1" applyFill="1" applyBorder="1"/>
    <xf numFmtId="174" fontId="0" fillId="65" borderId="9" xfId="125" applyNumberFormat="1" applyFont="1" applyFill="1" applyBorder="1"/>
    <xf numFmtId="171" fontId="10" fillId="0" borderId="0" xfId="17" applyNumberFormat="1" applyFont="1"/>
    <xf numFmtId="0" fontId="12" fillId="4" borderId="49" xfId="0" applyFont="1" applyFill="1" applyBorder="1" applyAlignment="1">
      <alignment wrapText="1"/>
    </xf>
    <xf numFmtId="0" fontId="12" fillId="23" borderId="0" xfId="0" applyFont="1" applyFill="1"/>
    <xf numFmtId="0" fontId="20" fillId="23" borderId="0" xfId="0" applyFont="1" applyFill="1" applyAlignment="1">
      <alignment wrapText="1"/>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3" fontId="112" fillId="0" borderId="3" xfId="0" applyNumberFormat="1" applyFont="1" applyBorder="1"/>
    <xf numFmtId="3" fontId="112" fillId="0" borderId="0" xfId="0" applyNumberFormat="1" applyFont="1"/>
    <xf numFmtId="3" fontId="112" fillId="0" borderId="52" xfId="0" applyNumberFormat="1" applyFont="1" applyBorder="1"/>
    <xf numFmtId="3" fontId="113" fillId="0" borderId="3" xfId="0" applyNumberFormat="1" applyFont="1" applyBorder="1"/>
    <xf numFmtId="3" fontId="113" fillId="0" borderId="4" xfId="0" applyNumberFormat="1" applyFont="1" applyBorder="1"/>
    <xf numFmtId="4" fontId="112" fillId="0" borderId="0" xfId="0" applyNumberFormat="1" applyFont="1"/>
    <xf numFmtId="3" fontId="112" fillId="0" borderId="53" xfId="0" applyNumberFormat="1" applyFont="1" applyBorder="1"/>
    <xf numFmtId="3" fontId="113" fillId="0" borderId="0" xfId="0" applyNumberFormat="1" applyFont="1"/>
    <xf numFmtId="3" fontId="113" fillId="0" borderId="6" xfId="0" applyNumberFormat="1" applyFont="1" applyBorder="1"/>
    <xf numFmtId="0" fontId="2" fillId="0" borderId="0" xfId="124" applyFont="1"/>
    <xf numFmtId="164" fontId="112" fillId="0" borderId="3" xfId="1" applyFont="1" applyBorder="1"/>
    <xf numFmtId="9" fontId="112" fillId="0" borderId="0" xfId="17" applyFont="1"/>
    <xf numFmtId="10" fontId="3" fillId="0" borderId="0" xfId="17" applyNumberFormat="1" applyFont="1"/>
    <xf numFmtId="0" fontId="1" fillId="33" borderId="0" xfId="123" applyFont="1" applyFill="1" applyAlignment="1">
      <alignment wrapText="1"/>
    </xf>
    <xf numFmtId="10" fontId="10" fillId="0" borderId="0" xfId="17" applyNumberFormat="1" applyFont="1"/>
    <xf numFmtId="0" fontId="21" fillId="28" borderId="0" xfId="0" applyFont="1" applyFill="1" applyAlignment="1">
      <alignment wrapText="1"/>
    </xf>
    <xf numFmtId="0" fontId="21" fillId="32" borderId="0" xfId="0" quotePrefix="1" applyFont="1" applyFill="1" applyAlignment="1">
      <alignment wrapText="1"/>
    </xf>
    <xf numFmtId="0" fontId="21" fillId="32" borderId="0" xfId="13" applyFont="1" applyFill="1" applyAlignment="1">
      <alignment horizontal="center" wrapText="1"/>
    </xf>
    <xf numFmtId="0" fontId="21" fillId="28" borderId="0" xfId="13" applyFont="1" applyFill="1" applyAlignment="1">
      <alignment horizontal="center" wrapText="1"/>
    </xf>
    <xf numFmtId="0" fontId="21" fillId="28" borderId="0" xfId="20" applyFont="1" applyFill="1" applyAlignment="1">
      <alignment wrapText="1"/>
    </xf>
    <xf numFmtId="0" fontId="21" fillId="28" borderId="0" xfId="0" applyFont="1" applyFill="1"/>
    <xf numFmtId="49" fontId="21" fillId="28" borderId="0" xfId="0" applyNumberFormat="1" applyFont="1" applyFill="1" applyAlignment="1">
      <alignment wrapText="1"/>
    </xf>
    <xf numFmtId="0" fontId="22" fillId="28" borderId="0" xfId="20" applyFont="1" applyFill="1" applyAlignment="1">
      <alignment wrapText="1"/>
    </xf>
    <xf numFmtId="0" fontId="22" fillId="28" borderId="0" xfId="0" applyFont="1" applyFill="1" applyAlignment="1">
      <alignment wrapText="1"/>
    </xf>
    <xf numFmtId="0" fontId="22" fillId="28" borderId="0" xfId="13" applyFont="1" applyFill="1" applyAlignment="1">
      <alignment wrapText="1"/>
    </xf>
    <xf numFmtId="0" fontId="21" fillId="28" borderId="0" xfId="0" quotePrefix="1" applyFont="1" applyFill="1" applyAlignment="1">
      <alignment wrapText="1"/>
    </xf>
    <xf numFmtId="0" fontId="22" fillId="28" borderId="0" xfId="16" applyFont="1" applyFill="1" applyAlignment="1">
      <alignment horizontal="center"/>
    </xf>
    <xf numFmtId="0" fontId="22" fillId="28" borderId="0" xfId="20" applyFont="1" applyFill="1" applyAlignment="1">
      <alignment horizontal="left" wrapText="1"/>
    </xf>
    <xf numFmtId="0" fontId="21" fillId="28" borderId="0" xfId="0" applyFont="1" applyFill="1" applyAlignment="1">
      <alignment horizontal="left" wrapText="1"/>
    </xf>
    <xf numFmtId="0" fontId="21" fillId="28" borderId="0" xfId="20" applyFont="1" applyFill="1" applyAlignment="1">
      <alignment horizontal="left" wrapText="1"/>
    </xf>
    <xf numFmtId="0" fontId="22" fillId="28" borderId="0" xfId="19" applyFont="1" applyFill="1" applyAlignment="1">
      <alignment wrapText="1"/>
    </xf>
    <xf numFmtId="0" fontId="47" fillId="28" borderId="0" xfId="0" applyFont="1" applyFill="1" applyAlignment="1">
      <alignment wrapText="1"/>
    </xf>
    <xf numFmtId="49" fontId="21" fillId="28" borderId="0" xfId="0" applyNumberFormat="1" applyFont="1" applyFill="1" applyAlignment="1">
      <alignment horizontal="left" vertical="top" wrapText="1"/>
    </xf>
    <xf numFmtId="49" fontId="22" fillId="28" borderId="0" xfId="0" applyNumberFormat="1" applyFont="1" applyFill="1" applyAlignment="1">
      <alignment horizontal="left" vertical="top" wrapText="1"/>
    </xf>
    <xf numFmtId="0" fontId="21" fillId="28" borderId="0" xfId="0" applyFont="1" applyFill="1" applyAlignment="1">
      <alignment horizontal="left" vertical="top" wrapText="1"/>
    </xf>
    <xf numFmtId="0" fontId="22" fillId="28" borderId="0" xfId="21" applyFont="1" applyFill="1" applyAlignment="1">
      <alignment wrapText="1"/>
    </xf>
    <xf numFmtId="0" fontId="21" fillId="28" borderId="0" xfId="0" applyFont="1" applyFill="1" applyAlignment="1">
      <alignment horizontal="center"/>
    </xf>
    <xf numFmtId="0" fontId="22" fillId="28" borderId="0" xfId="13" applyFont="1" applyFill="1" applyAlignment="1">
      <alignment horizontal="right" wrapText="1"/>
    </xf>
    <xf numFmtId="3" fontId="22" fillId="28" borderId="0" xfId="12" applyNumberFormat="1" applyFont="1" applyFill="1" applyAlignment="1">
      <alignment vertical="top" wrapText="1"/>
    </xf>
    <xf numFmtId="3" fontId="21" fillId="28" borderId="0" xfId="12" applyNumberFormat="1" applyFont="1" applyFill="1" applyAlignment="1">
      <alignment vertical="top" wrapText="1"/>
    </xf>
    <xf numFmtId="0" fontId="22" fillId="28" borderId="0" xfId="0" applyFont="1" applyFill="1" applyAlignment="1">
      <alignment horizontal="left" wrapText="1"/>
    </xf>
    <xf numFmtId="0" fontId="22" fillId="28" borderId="0" xfId="13" applyFont="1" applyFill="1" applyAlignment="1">
      <alignment horizontal="center"/>
    </xf>
    <xf numFmtId="0" fontId="22" fillId="28" borderId="0" xfId="13" applyFont="1" applyFill="1" applyAlignment="1">
      <alignment vertical="top" wrapText="1"/>
    </xf>
    <xf numFmtId="0" fontId="22" fillId="28" borderId="0" xfId="16" applyFont="1" applyFill="1" applyAlignment="1">
      <alignment horizontal="left" wrapText="1"/>
    </xf>
    <xf numFmtId="0" fontId="29" fillId="0" borderId="0" xfId="0" applyFont="1" applyAlignment="1">
      <alignment horizontal="center"/>
    </xf>
    <xf numFmtId="0" fontId="58" fillId="28" borderId="0" xfId="0" applyFont="1" applyFill="1" applyAlignment="1">
      <alignment horizontal="center" wrapText="1"/>
    </xf>
    <xf numFmtId="0" fontId="10" fillId="0" borderId="0" xfId="15" applyAlignment="1">
      <alignment horizontal="left" vertical="center" wrapText="1"/>
    </xf>
    <xf numFmtId="0" fontId="12" fillId="0" borderId="0" xfId="15" applyFont="1" applyAlignment="1">
      <alignment horizontal="left" vertical="center" wrapText="1"/>
    </xf>
    <xf numFmtId="0" fontId="10" fillId="0" borderId="0" xfId="15" applyAlignment="1">
      <alignment vertical="center" wrapText="1"/>
    </xf>
    <xf numFmtId="0" fontId="10" fillId="0" borderId="17" xfId="15" applyBorder="1" applyAlignment="1">
      <alignment horizontal="center" vertical="center"/>
    </xf>
    <xf numFmtId="0" fontId="10" fillId="0" borderId="31" xfId="15" applyBorder="1" applyAlignment="1">
      <alignment horizontal="center" vertical="center"/>
    </xf>
    <xf numFmtId="0" fontId="12" fillId="0" borderId="0" xfId="15" applyFont="1" applyAlignment="1">
      <alignment vertical="center" wrapText="1"/>
    </xf>
    <xf numFmtId="0" fontId="10" fillId="0" borderId="13" xfId="15" applyBorder="1" applyAlignment="1">
      <alignment vertical="center" wrapText="1"/>
    </xf>
    <xf numFmtId="0" fontId="10" fillId="0" borderId="13" xfId="0" applyFont="1" applyBorder="1" applyAlignment="1">
      <alignment vertical="center" wrapText="1"/>
    </xf>
    <xf numFmtId="0" fontId="10" fillId="0" borderId="0" xfId="11" applyAlignment="1">
      <alignment horizontal="left" vertical="center"/>
    </xf>
    <xf numFmtId="0" fontId="10" fillId="0" borderId="0" xfId="11" applyAlignment="1">
      <alignment vertical="center" wrapText="1"/>
    </xf>
    <xf numFmtId="0" fontId="10" fillId="0" borderId="0" xfId="0" applyFont="1" applyAlignment="1">
      <alignment vertical="center" wrapText="1"/>
    </xf>
    <xf numFmtId="0" fontId="12" fillId="0" borderId="13" xfId="15" applyFont="1" applyBorder="1" applyAlignment="1">
      <alignment horizontal="left" vertical="center" wrapText="1"/>
    </xf>
    <xf numFmtId="0" fontId="10" fillId="0" borderId="30" xfId="15" applyBorder="1" applyAlignment="1">
      <alignment horizontal="center" vertical="center"/>
    </xf>
    <xf numFmtId="0" fontId="21" fillId="0" borderId="0" xfId="0" applyFont="1" applyAlignment="1">
      <alignment wrapText="1"/>
    </xf>
  </cellXfs>
  <cellStyles count="129">
    <cellStyle name="20% - Accent1" xfId="38" builtinId="30" customBuiltin="1"/>
    <cellStyle name="20% - Accent1 2" xfId="75" xr:uid="{8BADD7E4-7BDB-4DC2-A7B8-A4E9C533FFDB}"/>
    <cellStyle name="20% - Accent2" xfId="41" builtinId="34" customBuiltin="1"/>
    <cellStyle name="20% - Accent2 2" xfId="77" xr:uid="{44CA1852-3DDA-4094-945A-E55D2C3031F0}"/>
    <cellStyle name="20% - Accent3" xfId="44" builtinId="38" customBuiltin="1"/>
    <cellStyle name="20% - Accent3 2" xfId="79" xr:uid="{7CBB489F-FDBB-474A-8855-83D4344870C1}"/>
    <cellStyle name="20% - Accent4" xfId="47" builtinId="42" customBuiltin="1"/>
    <cellStyle name="20% - Accent4 2" xfId="81" xr:uid="{17518B13-7A24-41AD-B4ED-E5855DC9CBDC}"/>
    <cellStyle name="20% - Accent5" xfId="50" builtinId="46" customBuiltin="1"/>
    <cellStyle name="20% - Accent5 2" xfId="84" xr:uid="{814F6676-8F19-4ECA-8DE7-DC6130CA3DFA}"/>
    <cellStyle name="20% - Accent6" xfId="53" builtinId="50" customBuiltin="1"/>
    <cellStyle name="20% - Accent6 2" xfId="86" xr:uid="{1E2C0871-8ABC-4105-BE94-FA3BC8B6783F}"/>
    <cellStyle name="40% - Accent1" xfId="39" builtinId="31" customBuiltin="1"/>
    <cellStyle name="40% - Accent1 2" xfId="76" xr:uid="{0C6A7678-8582-4D32-8996-D196388763AC}"/>
    <cellStyle name="40% - Accent2" xfId="42" builtinId="35" customBuiltin="1"/>
    <cellStyle name="40% - Accent2 2" xfId="78" xr:uid="{466F6628-14BE-4283-BD6E-FB868034B0CD}"/>
    <cellStyle name="40% - Accent3" xfId="45" builtinId="39" customBuiltin="1"/>
    <cellStyle name="40% - Accent3 2" xfId="80" xr:uid="{55D27228-EA2F-4D0E-B3AB-EF1946865331}"/>
    <cellStyle name="40% - Accent4" xfId="48" builtinId="43" customBuiltin="1"/>
    <cellStyle name="40% - Accent4 2" xfId="82" xr:uid="{0EFE6A9A-3D5B-4A36-B09D-418CF577F26A}"/>
    <cellStyle name="40% - Accent5" xfId="51" builtinId="47" customBuiltin="1"/>
    <cellStyle name="40% - Accent5 2" xfId="85" xr:uid="{9E1EF558-8A6F-47A2-A71D-D67395F1BCE2}"/>
    <cellStyle name="40% - Accent6" xfId="54" builtinId="51" customBuiltin="1"/>
    <cellStyle name="40% - Accent6 2" xfId="87" xr:uid="{DB162DF4-6B1B-40DE-8A18-D3F75AE34786}"/>
    <cellStyle name="60% - Accent1 2" xfId="60" xr:uid="{6DF8367C-CAF0-4071-82CC-E629D90A47BA}"/>
    <cellStyle name="60% - Accent2 2" xfId="61" xr:uid="{FA14E114-5C0C-46EB-8250-3356270BD4AF}"/>
    <cellStyle name="60% - Accent3 2" xfId="62" xr:uid="{0F921F7B-3723-446C-9FDA-6664734B4C04}"/>
    <cellStyle name="60% - Accent4 2" xfId="63" xr:uid="{9440D3D7-9EAF-4A09-9272-695ECC8834CA}"/>
    <cellStyle name="60% - Accent5 2" xfId="64" xr:uid="{3A7F1F76-3CA3-49BA-8CAA-07847871FB3A}"/>
    <cellStyle name="60% - Accent6 2" xfId="65" xr:uid="{CFDF2982-A28A-4D4D-80E7-23A46E6EF840}"/>
    <cellStyle name="Accent1" xfId="37" builtinId="29" customBuiltin="1"/>
    <cellStyle name="Accent2" xfId="40" builtinId="33" customBuiltin="1"/>
    <cellStyle name="Accent3" xfId="43" builtinId="37" customBuiltin="1"/>
    <cellStyle name="Accent4" xfId="46" builtinId="41" customBuiltin="1"/>
    <cellStyle name="Accent5" xfId="49" builtinId="45" customBuiltin="1"/>
    <cellStyle name="Accent6" xfId="52" builtinId="49" customBuiltin="1"/>
    <cellStyle name="Bad" xfId="28" builtinId="27" customBuiltin="1"/>
    <cellStyle name="Body: normal cell" xfId="121" xr:uid="{AF194CD9-7AC3-4F1C-9A80-75A79F384EED}"/>
    <cellStyle name="Calculation" xfId="31" builtinId="22" customBuiltin="1"/>
    <cellStyle name="Check Cell" xfId="33" builtinId="23" customBuiltin="1"/>
    <cellStyle name="Comma" xfId="1" builtinId="3"/>
    <cellStyle name="Comma 2" xfId="2" xr:uid="{00000000-0005-0000-0000-000001000000}"/>
    <cellStyle name="Comma 2 2" xfId="125" xr:uid="{46049A55-1F57-4474-90F6-94DE930E7F4E}"/>
    <cellStyle name="Comma 2 4 2" xfId="128" xr:uid="{8320C49B-A26E-4129-817F-9A15FC1B771E}"/>
    <cellStyle name="Comma 3" xfId="112" xr:uid="{A89C5862-9CAA-4DF6-8911-57784775EDBF}"/>
    <cellStyle name="Comma 4" xfId="55" xr:uid="{2C6CC2DD-17CD-48BA-ABE5-B5C52AA5CE85}"/>
    <cellStyle name="Currency 2" xfId="56" xr:uid="{48F25696-930D-49DC-AFC5-3F492AB83A3B}"/>
    <cellStyle name="Data" xfId="3" xr:uid="{00000000-0005-0000-0000-000002000000}"/>
    <cellStyle name="Explanatory Text" xfId="35" builtinId="53" customBuiltin="1"/>
    <cellStyle name="Good" xfId="4" builtinId="26" customBuiltin="1"/>
    <cellStyle name="Header: bottom row" xfId="119" xr:uid="{4D6F096B-D6D4-4B33-B3C2-B474DAE9988D}"/>
    <cellStyle name="Heading 1" xfId="24" builtinId="16" customBuiltin="1"/>
    <cellStyle name="Heading 2" xfId="25" builtinId="17" customBuiltin="1"/>
    <cellStyle name="Heading 3" xfId="26" builtinId="18" customBuiltin="1"/>
    <cellStyle name="Heading 4" xfId="27" builtinId="19" customBuiltin="1"/>
    <cellStyle name="Hyperlink" xfId="5" builtinId="8"/>
    <cellStyle name="Hyperlink 2" xfId="88" xr:uid="{3DF66196-C943-49D2-ACF0-7FA03C172925}"/>
    <cellStyle name="Hyperlink 3" xfId="116" xr:uid="{371229DB-E503-4EDE-B244-0F43C5F1A873}"/>
    <cellStyle name="Input" xfId="29" builtinId="20" customBuiltin="1"/>
    <cellStyle name="Linked Cell" xfId="32" builtinId="24" customBuiltin="1"/>
    <cellStyle name="Mapping" xfId="127" xr:uid="{50972621-7B11-4F89-9247-587F395656B5}"/>
    <cellStyle name="Neutral 2" xfId="59" xr:uid="{63E85ABE-EB20-4C70-87D8-07067C56DC21}"/>
    <cellStyle name="Normal" xfId="0" builtinId="0"/>
    <cellStyle name="Normal 10" xfId="23" xr:uid="{4376658C-4858-456A-B0BC-E60275D63D1B}"/>
    <cellStyle name="Normal 10 2" xfId="122" xr:uid="{0997F8C3-EDB1-4B9F-8AE4-D3AEA4327403}"/>
    <cellStyle name="Normal 10 2 2" xfId="123" xr:uid="{730C8D17-B39C-4292-B486-99ED90A1F158}"/>
    <cellStyle name="Normal 10 3" xfId="111" xr:uid="{ADBDCD54-A155-4057-82C7-8C053F6CD259}"/>
    <cellStyle name="Normal 2" xfId="6" xr:uid="{00000000-0005-0000-0000-000006000000}"/>
    <cellStyle name="Normal 2 2" xfId="110" xr:uid="{350748A5-75AC-41AB-B1EE-8E091F5BE33A}"/>
    <cellStyle name="Normal 2 2 2" xfId="22" xr:uid="{00000000-0005-0000-0000-000007000000}"/>
    <cellStyle name="Normal 2 3" xfId="57" xr:uid="{00A1384E-EC6C-4686-ABF3-EFEF81105729}"/>
    <cellStyle name="Normal 3" xfId="7" xr:uid="{00000000-0005-0000-0000-000008000000}"/>
    <cellStyle name="Normal 3 2" xfId="113" xr:uid="{3706C1A0-8CBF-4ACA-B92D-AF232941DEB4}"/>
    <cellStyle name="Normal 3 2 2" xfId="126" xr:uid="{14F22B95-DC17-4B59-BCC6-9486894EB1F2}"/>
    <cellStyle name="Normal 4" xfId="8" xr:uid="{00000000-0005-0000-0000-000009000000}"/>
    <cellStyle name="Normal 4 2" xfId="117" xr:uid="{579D6C57-7048-4FA9-86B7-5FDDD92B76C1}"/>
    <cellStyle name="Normal 5" xfId="124" xr:uid="{468E2087-94BF-4474-912F-0331E671334D}"/>
    <cellStyle name="Normal 7" xfId="114" xr:uid="{DC3BE0A2-DBF0-4900-82ED-7584B8BF8FD4}"/>
    <cellStyle name="Normal_3-1 revised source" xfId="9" xr:uid="{00000000-0005-0000-0000-00000A000000}"/>
    <cellStyle name="Normal_4-4 revised source" xfId="10" xr:uid="{00000000-0005-0000-0000-00000B000000}"/>
    <cellStyle name="Normal_Air cargo 2000" xfId="11" xr:uid="{00000000-0005-0000-0000-00000C000000}"/>
    <cellStyle name="Normal_Amtrak stations" xfId="12" xr:uid="{00000000-0005-0000-0000-00000D000000}"/>
    <cellStyle name="Normal_Commuting California" xfId="13" xr:uid="{00000000-0005-0000-0000-00000E000000}"/>
    <cellStyle name="Normal_Enplanement California" xfId="14" xr:uid="{00000000-0005-0000-0000-00000F000000}"/>
    <cellStyle name="Normal_New Table 3-15" xfId="15" xr:uid="{00000000-0005-0000-0000-000012000000}"/>
    <cellStyle name="Normal_Railroad service" xfId="16" xr:uid="{00000000-0005-0000-0000-000013000000}"/>
    <cellStyle name="Note 2" xfId="73" xr:uid="{768BA4EF-EAB6-4EAC-92D1-6ED1C71D2CDE}"/>
    <cellStyle name="Note 3" xfId="67" xr:uid="{D65E7171-E7E1-4999-A420-7C2921EF953D}"/>
    <cellStyle name="Output" xfId="30" builtinId="21" customBuiltin="1"/>
    <cellStyle name="Parent row" xfId="120" xr:uid="{58898AE9-54AD-45B7-87BE-A619E94A3C2B}"/>
    <cellStyle name="Percent" xfId="17" builtinId="5"/>
    <cellStyle name="Percent 10" xfId="90" xr:uid="{056B3E3C-29F3-4DF9-A2D5-30DF4BA19485}"/>
    <cellStyle name="Percent 11" xfId="91" xr:uid="{9701BFB1-8B0B-4D28-BFAF-73000B87B20E}"/>
    <cellStyle name="Percent 12" xfId="92" xr:uid="{F5A7FD2E-D01C-47DF-A00B-5FE7026FD801}"/>
    <cellStyle name="Percent 13" xfId="93" xr:uid="{DC93F2D3-3068-45E9-BD54-453CE371BF02}"/>
    <cellStyle name="Percent 14" xfId="94" xr:uid="{19E8AD2E-9F6C-4F46-AC75-E25ECAD01D7B}"/>
    <cellStyle name="Percent 15" xfId="95" xr:uid="{9B0DA759-5D9E-46AE-9C88-C6D54154CCF9}"/>
    <cellStyle name="Percent 16" xfId="96" xr:uid="{983A1894-DA04-4BC9-B8C0-76B6928846B5}"/>
    <cellStyle name="Percent 17" xfId="97" xr:uid="{0A1E354D-8DCA-48CE-8D2E-0DB4DDF12C1E}"/>
    <cellStyle name="Percent 18" xfId="98" xr:uid="{2EEDD912-8011-4811-8247-6B4FC5499E9F}"/>
    <cellStyle name="Percent 19" xfId="99" xr:uid="{1AC13D90-3EDE-4D2F-859B-1D90A78518ED}"/>
    <cellStyle name="Percent 2" xfId="18" xr:uid="{00000000-0005-0000-0000-000015000000}"/>
    <cellStyle name="Percent 2 2" xfId="115" xr:uid="{73C4E151-30A1-416F-90F4-2D08E732A969}"/>
    <cellStyle name="Percent 2 3" xfId="68" xr:uid="{077FF9C7-24DF-4A18-A184-01F1D05BA556}"/>
    <cellStyle name="Percent 20" xfId="100" xr:uid="{9935E1FB-6CD7-4076-8AC9-45C649D47043}"/>
    <cellStyle name="Percent 21" xfId="101" xr:uid="{CBBA10A8-E388-448A-94F9-44112E0ED3BD}"/>
    <cellStyle name="Percent 22" xfId="102" xr:uid="{94F44F29-25FC-4026-9142-DC58B9076D32}"/>
    <cellStyle name="Percent 23" xfId="103" xr:uid="{9926888C-7BAD-4A47-A5F5-4323E54CD5D6}"/>
    <cellStyle name="Percent 24" xfId="104" xr:uid="{D98ACFB9-DFCA-4F87-80DE-DAEB7F9F0B3F}"/>
    <cellStyle name="Percent 25" xfId="105" xr:uid="{8FF73F88-64A1-4F66-89A3-9B37A2BD7A32}"/>
    <cellStyle name="Percent 26" xfId="106" xr:uid="{46D20870-2200-4AA6-9721-1127503B50B6}"/>
    <cellStyle name="Percent 27" xfId="107" xr:uid="{D3AB2B85-5B5A-49B4-AAB0-6D713C2FF4EA}"/>
    <cellStyle name="Percent 28" xfId="108" xr:uid="{6C362CE7-A79E-4D88-86A9-8430A86BEC3A}"/>
    <cellStyle name="Percent 29" xfId="109" xr:uid="{16B6332F-7803-4BE6-BBD8-6C2F006BCC89}"/>
    <cellStyle name="Percent 3" xfId="74" xr:uid="{703D6FE2-0DB5-4F71-A681-2CE981DFACB5}"/>
    <cellStyle name="Percent 30" xfId="66" xr:uid="{F530FB40-19C3-4E89-9BE1-203CFCD5DC52}"/>
    <cellStyle name="Percent 4" xfId="83" xr:uid="{E479F597-8864-4C9D-B9B6-5BEBB4775226}"/>
    <cellStyle name="Percent 5" xfId="71" xr:uid="{E2BEB33E-94F8-415E-ACE5-979F7B81A5F6}"/>
    <cellStyle name="Percent 6" xfId="69" xr:uid="{40C6BB55-956B-4FA1-8A09-9B1BCE672C08}"/>
    <cellStyle name="Percent 7" xfId="72" xr:uid="{84AC02E4-5CE2-4CC0-A9A3-B60B25274E6D}"/>
    <cellStyle name="Percent 8" xfId="70" xr:uid="{98EF985E-C80C-4B26-8224-0567EC47AD56}"/>
    <cellStyle name="Percent 9" xfId="89" xr:uid="{F098A28A-6DF8-4DA6-9EFD-A0FB9C5178DC}"/>
    <cellStyle name="Source Superscript" xfId="19" xr:uid="{00000000-0005-0000-0000-000016000000}"/>
    <cellStyle name="Source Text" xfId="20" xr:uid="{00000000-0005-0000-0000-000017000000}"/>
    <cellStyle name="Table title" xfId="118" xr:uid="{B968B5B5-144D-4BF4-ACCD-2A08B2BF194D}"/>
    <cellStyle name="Title 2" xfId="58" xr:uid="{52BB40A4-7B96-4E5F-ADA0-B86549811758}"/>
    <cellStyle name="Title-2" xfId="21" xr:uid="{00000000-0005-0000-0000-000018000000}"/>
    <cellStyle name="Total" xfId="36" builtinId="25" customBuiltin="1"/>
    <cellStyle name="Warning Text" xfId="34" builtinId="11" customBuiltin="1"/>
  </cellStyles>
  <dxfs count="55">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b/>
        <i val="0"/>
        <condense val="0"/>
        <extend val="0"/>
      </font>
      <fill>
        <patternFill>
          <bgColor indexed="10"/>
        </patternFill>
      </fill>
    </dxf>
    <dxf>
      <fill>
        <patternFill>
          <bgColor theme="0"/>
        </patternFill>
      </fill>
    </dxf>
    <dxf>
      <fill>
        <patternFill>
          <bgColor theme="0"/>
        </patternFill>
      </fill>
    </dxf>
    <dxf>
      <fill>
        <patternFill>
          <bgColor theme="0"/>
        </patternFill>
      </fill>
    </dxf>
    <dxf>
      <fill>
        <patternFill>
          <bgColor theme="0"/>
        </patternFill>
      </fill>
    </dxf>
    <dxf>
      <alignment horizontal="right"/>
    </dxf>
    <dxf>
      <alignment horizontal="right"/>
    </dxf>
    <dxf>
      <alignment horizontal="right"/>
    </dxf>
    <dxf>
      <alignment horizontal="right"/>
    </dxf>
    <dxf>
      <alignment horizontal="right"/>
    </dxf>
    <dxf>
      <alignment horizontal="right"/>
    </dxf>
    <dxf>
      <alignment horizontal="right"/>
    </dxf>
    <dxf>
      <font>
        <sz val="10"/>
        <family val="2"/>
      </font>
    </dxf>
    <dxf>
      <font>
        <sz val="10"/>
        <family val="2"/>
      </font>
    </dxf>
    <dxf>
      <font>
        <sz val="10"/>
        <family val="2"/>
      </font>
    </dxf>
    <dxf>
      <font>
        <sz val="10"/>
        <family val="2"/>
      </font>
    </dxf>
    <dxf>
      <font>
        <sz val="10"/>
        <family val="2"/>
      </font>
    </dxf>
    <dxf>
      <font>
        <sz val="10"/>
        <family val="2"/>
      </font>
    </dxf>
    <dxf>
      <font>
        <sz val="10"/>
        <family val="2"/>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right"/>
    </dxf>
    <dxf>
      <alignment horizontal="right"/>
    </dxf>
    <dxf>
      <alignment horizontal="right"/>
    </dxf>
    <dxf>
      <alignment horizontal="right"/>
    </dxf>
    <dxf>
      <alignment horizontal="right"/>
    </dxf>
    <dxf>
      <alignment horizontal="right"/>
    </dxf>
    <dxf>
      <font>
        <sz val="10"/>
        <family val="2"/>
      </font>
    </dxf>
    <dxf>
      <font>
        <sz val="10"/>
        <family val="2"/>
      </font>
    </dxf>
    <dxf>
      <font>
        <sz val="10"/>
        <family val="2"/>
      </font>
    </dxf>
    <dxf>
      <font>
        <sz val="10"/>
        <family val="2"/>
      </font>
    </dxf>
    <dxf>
      <font>
        <sz val="10"/>
        <family val="2"/>
      </font>
    </dxf>
    <dxf>
      <font>
        <sz val="10"/>
        <family val="2"/>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color rgb="FF0DF3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3.xml"/><Relationship Id="rId43"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977458273483641"/>
          <c:y val="8.4848735939677858E-2"/>
          <c:w val="0.71428636987338556"/>
          <c:h val="0.76363862345711042"/>
        </c:manualLayout>
      </c:layout>
      <c:scatterChart>
        <c:scatterStyle val="smoothMarker"/>
        <c:varyColors val="0"/>
        <c:ser>
          <c:idx val="0"/>
          <c:order val="0"/>
          <c:tx>
            <c:strRef>
              <c:f>'AEO Data'!$A$211</c:f>
              <c:strCache>
                <c:ptCount val="1"/>
                <c:pt idx="0">
                  <c:v>       Total Transit Bus</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Data'!$B$211:$L$211</c:f>
              <c:numCache>
                <c:formatCode>0.00</c:formatCode>
                <c:ptCount val="11"/>
                <c:pt idx="0" formatCode="0.00_)">
                  <c:v>95.000174601694852</c:v>
                </c:pt>
                <c:pt idx="1">
                  <c:v>106.01966899999999</c:v>
                </c:pt>
                <c:pt idx="2">
                  <c:v>99.926047999999994</c:v>
                </c:pt>
                <c:pt idx="3">
                  <c:v>101.646935</c:v>
                </c:pt>
                <c:pt idx="4">
                  <c:v>103.737122</c:v>
                </c:pt>
                <c:pt idx="5">
                  <c:v>105.96672100000001</c:v>
                </c:pt>
                <c:pt idx="6">
                  <c:v>108.269295</c:v>
                </c:pt>
                <c:pt idx="7">
                  <c:v>110.441963</c:v>
                </c:pt>
                <c:pt idx="8">
                  <c:v>119.79804634833286</c:v>
                </c:pt>
                <c:pt idx="9">
                  <c:v>131.14592783523142</c:v>
                </c:pt>
                <c:pt idx="10">
                  <c:v>144.72782896208992</c:v>
                </c:pt>
              </c:numCache>
            </c:numRef>
          </c:yVal>
          <c:smooth val="1"/>
          <c:extLst>
            <c:ext xmlns:c16="http://schemas.microsoft.com/office/drawing/2014/chart" uri="{C3380CC4-5D6E-409C-BE32-E72D297353CC}">
              <c16:uniqueId val="{00000000-26AA-48A9-AEA7-263434FDF452}"/>
            </c:ext>
          </c:extLst>
        </c:ser>
        <c:ser>
          <c:idx val="1"/>
          <c:order val="1"/>
          <c:tx>
            <c:strRef>
              <c:f>'AEO Data'!$A$217</c:f>
              <c:strCache>
                <c:ptCount val="1"/>
                <c:pt idx="0">
                  <c:v>       Total Intercity Bus</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Data'!$B$217:$L$217</c:f>
              <c:numCache>
                <c:formatCode>0.00</c:formatCode>
                <c:ptCount val="11"/>
                <c:pt idx="0" formatCode="0.00_)">
                  <c:v>28.625736550969492</c:v>
                </c:pt>
                <c:pt idx="1">
                  <c:v>29.96529</c:v>
                </c:pt>
                <c:pt idx="2">
                  <c:v>28.555005999999999</c:v>
                </c:pt>
                <c:pt idx="3">
                  <c:v>29.662451000000001</c:v>
                </c:pt>
                <c:pt idx="4">
                  <c:v>30.768394000000001</c:v>
                </c:pt>
                <c:pt idx="5">
                  <c:v>31.834842999999999</c:v>
                </c:pt>
                <c:pt idx="6">
                  <c:v>32.824139000000002</c:v>
                </c:pt>
                <c:pt idx="7">
                  <c:v>33.740803</c:v>
                </c:pt>
                <c:pt idx="8">
                  <c:v>34.515852803731562</c:v>
                </c:pt>
                <c:pt idx="9">
                  <c:v>35.308706042617423</c:v>
                </c:pt>
                <c:pt idx="10">
                  <c:v>36.119771673993952</c:v>
                </c:pt>
              </c:numCache>
            </c:numRef>
          </c:yVal>
          <c:smooth val="1"/>
          <c:extLst>
            <c:ext xmlns:c16="http://schemas.microsoft.com/office/drawing/2014/chart" uri="{C3380CC4-5D6E-409C-BE32-E72D297353CC}">
              <c16:uniqueId val="{00000001-26AA-48A9-AEA7-263434FDF452}"/>
            </c:ext>
          </c:extLst>
        </c:ser>
        <c:ser>
          <c:idx val="2"/>
          <c:order val="2"/>
          <c:tx>
            <c:strRef>
              <c:f>'AEO Data'!$A$223</c:f>
              <c:strCache>
                <c:ptCount val="1"/>
                <c:pt idx="0">
                  <c:v>       Total School Bus</c:v>
                </c:pt>
              </c:strCache>
            </c:strRef>
          </c:tx>
          <c:spPr>
            <a:ln w="12700">
              <a:solidFill>
                <a:srgbClr val="996633"/>
              </a:solidFill>
              <a:prstDash val="solid"/>
            </a:ln>
          </c:spPr>
          <c:marker>
            <c:symbol val="triangle"/>
            <c:size val="5"/>
            <c:spPr>
              <a:solidFill>
                <a:srgbClr val="996633"/>
              </a:solidFill>
              <a:ln>
                <a:solidFill>
                  <a:srgbClr val="996633"/>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Data'!$B$223:$L$223</c:f>
              <c:numCache>
                <c:formatCode>0.00</c:formatCode>
                <c:ptCount val="11"/>
                <c:pt idx="0" formatCode="0.00_)">
                  <c:v>123.18995851701776</c:v>
                </c:pt>
                <c:pt idx="1">
                  <c:v>116.29280900000001</c:v>
                </c:pt>
                <c:pt idx="2">
                  <c:v>113.41920500000001</c:v>
                </c:pt>
                <c:pt idx="3">
                  <c:v>119.566208</c:v>
                </c:pt>
                <c:pt idx="4">
                  <c:v>125.863457</c:v>
                </c:pt>
                <c:pt idx="5">
                  <c:v>132.15467799999999</c:v>
                </c:pt>
                <c:pt idx="6">
                  <c:v>138.27827500000001</c:v>
                </c:pt>
                <c:pt idx="7">
                  <c:v>144.241806</c:v>
                </c:pt>
                <c:pt idx="8">
                  <c:v>148.82194796169142</c:v>
                </c:pt>
                <c:pt idx="9">
                  <c:v>153.59374377800293</c:v>
                </c:pt>
                <c:pt idx="10">
                  <c:v>158.57112254433449</c:v>
                </c:pt>
              </c:numCache>
            </c:numRef>
          </c:yVal>
          <c:smooth val="1"/>
          <c:extLst>
            <c:ext xmlns:c16="http://schemas.microsoft.com/office/drawing/2014/chart" uri="{C3380CC4-5D6E-409C-BE32-E72D297353CC}">
              <c16:uniqueId val="{00000002-26AA-48A9-AEA7-263434FDF452}"/>
            </c:ext>
          </c:extLst>
        </c:ser>
        <c:dLbls>
          <c:showLegendKey val="0"/>
          <c:showVal val="0"/>
          <c:showCatName val="0"/>
          <c:showSerName val="0"/>
          <c:showPercent val="0"/>
          <c:showBubbleSize val="0"/>
        </c:dLbls>
        <c:axId val="977279560"/>
        <c:axId val="977279952"/>
      </c:scatterChart>
      <c:valAx>
        <c:axId val="977279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77279952"/>
        <c:crosses val="autoZero"/>
        <c:crossBetween val="midCat"/>
      </c:valAx>
      <c:valAx>
        <c:axId val="977279952"/>
        <c:scaling>
          <c:orientation val="minMax"/>
        </c:scaling>
        <c:delete val="0"/>
        <c:axPos val="l"/>
        <c:majorGridlines>
          <c:spPr>
            <a:ln w="3175">
              <a:solidFill>
                <a:srgbClr val="000000"/>
              </a:solidFill>
              <a:prstDash val="solid"/>
            </a:ln>
          </c:spPr>
        </c:majorGridlines>
        <c:numFmt formatCode="0.00_)"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77279560"/>
        <c:crosses val="autoZero"/>
        <c:crossBetween val="midCat"/>
      </c:valAx>
      <c:spPr>
        <a:solidFill>
          <a:srgbClr val="FFFFFF"/>
        </a:solidFill>
        <a:ln w="12700">
          <a:solidFill>
            <a:srgbClr val="808080"/>
          </a:solidFill>
          <a:prstDash val="solid"/>
        </a:ln>
      </c:spPr>
    </c:plotArea>
    <c:legend>
      <c:legendPos val="r"/>
      <c:layout>
        <c:manualLayout>
          <c:xMode val="edge"/>
          <c:yMode val="edge"/>
          <c:x val="0.17481222741894104"/>
          <c:y val="8.7879106020838302E-2"/>
          <c:w val="0.32330866536419789"/>
          <c:h val="0.19394003022349476"/>
        </c:manualLayout>
      </c:layout>
      <c:overlay val="0"/>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Base Gasoline</c:v>
          </c:tx>
          <c:marker>
            <c:symbol val="none"/>
          </c:marker>
          <c:xVal>
            <c:numLit>
              <c:formatCode>General</c:formatCode>
              <c:ptCount val="4"/>
              <c:pt idx="0">
                <c:v>2010</c:v>
              </c:pt>
              <c:pt idx="1">
                <c:v>2015</c:v>
              </c:pt>
              <c:pt idx="2">
                <c:v>2025</c:v>
              </c:pt>
              <c:pt idx="3">
                <c:v>2040</c:v>
              </c:pt>
            </c:numLit>
          </c:xVal>
          <c:yVal>
            <c:numLit>
              <c:formatCode>General</c:formatCode>
              <c:ptCount val="4"/>
              <c:pt idx="0">
                <c:v>0.11893076184220376</c:v>
              </c:pt>
              <c:pt idx="1">
                <c:v>0.12946583429191386</c:v>
              </c:pt>
              <c:pt idx="2">
                <c:v>0.17398473932759836</c:v>
              </c:pt>
              <c:pt idx="3">
                <c:v>0.19804924028758472</c:v>
              </c:pt>
            </c:numLit>
          </c:yVal>
          <c:smooth val="1"/>
          <c:extLst>
            <c:ext xmlns:c16="http://schemas.microsoft.com/office/drawing/2014/chart" uri="{C3380CC4-5D6E-409C-BE32-E72D297353CC}">
              <c16:uniqueId val="{00000000-8FDB-4B78-9FED-27688AEABF44}"/>
            </c:ext>
          </c:extLst>
        </c:ser>
        <c:ser>
          <c:idx val="1"/>
          <c:order val="1"/>
          <c:tx>
            <c:v>Mild Hybrid</c:v>
          </c:tx>
          <c:spPr>
            <a:ln>
              <a:solidFill>
                <a:schemeClr val="tx2">
                  <a:lumMod val="75000"/>
                </a:scheme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0.18885530196077607</c:v>
              </c:pt>
              <c:pt idx="2">
                <c:v>0.23592151834939284</c:v>
              </c:pt>
            </c:numLit>
          </c:yVal>
          <c:smooth val="1"/>
          <c:extLst>
            <c:ext xmlns:c16="http://schemas.microsoft.com/office/drawing/2014/chart" uri="{C3380CC4-5D6E-409C-BE32-E72D297353CC}">
              <c16:uniqueId val="{00000001-8FDB-4B78-9FED-27688AEABF44}"/>
            </c:ext>
          </c:extLst>
        </c:ser>
        <c:ser>
          <c:idx val="2"/>
          <c:order val="2"/>
          <c:tx>
            <c:v>Adv Hybrid</c:v>
          </c:tx>
          <c:spPr>
            <a:ln>
              <a:solidFill>
                <a:srgbClr val="1F497D">
                  <a:lumMod val="75000"/>
                </a:srgbClr>
              </a:solidFill>
              <a:prstDash val="sysDash"/>
            </a:ln>
          </c:spPr>
          <c:marker>
            <c:symbol val="none"/>
          </c:marker>
          <c:xVal>
            <c:numLit>
              <c:formatCode>General</c:formatCode>
              <c:ptCount val="4"/>
              <c:pt idx="0">
                <c:v>2010</c:v>
              </c:pt>
              <c:pt idx="1">
                <c:v>2015</c:v>
              </c:pt>
              <c:pt idx="2">
                <c:v>2025</c:v>
              </c:pt>
              <c:pt idx="3">
                <c:v>2040</c:v>
              </c:pt>
            </c:numLit>
          </c:xVal>
          <c:yVal>
            <c:numLit>
              <c:formatCode>General</c:formatCode>
              <c:ptCount val="4"/>
              <c:pt idx="1">
                <c:v>0.23111367904087821</c:v>
              </c:pt>
              <c:pt idx="2">
                <c:v>0.28872340268500951</c:v>
              </c:pt>
              <c:pt idx="3">
                <c:v>0.29184428083264186</c:v>
              </c:pt>
            </c:numLit>
          </c:yVal>
          <c:smooth val="1"/>
          <c:extLst>
            <c:ext xmlns:c16="http://schemas.microsoft.com/office/drawing/2014/chart" uri="{C3380CC4-5D6E-409C-BE32-E72D297353CC}">
              <c16:uniqueId val="{00000002-8FDB-4B78-9FED-27688AEABF44}"/>
            </c:ext>
          </c:extLst>
        </c:ser>
        <c:ser>
          <c:idx val="3"/>
          <c:order val="3"/>
          <c:tx>
            <c:v>Base Diesel</c:v>
          </c:tx>
          <c:spPr>
            <a:ln>
              <a:solidFill>
                <a:schemeClr val="accent6">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0.13418319665471354</c:v>
              </c:pt>
              <c:pt idx="1">
                <c:v>0.14665335919289041</c:v>
              </c:pt>
              <c:pt idx="2">
                <c:v>0.161952822598914</c:v>
              </c:pt>
              <c:pt idx="3">
                <c:v>0.17527253392314673</c:v>
              </c:pt>
            </c:numLit>
          </c:yVal>
          <c:smooth val="1"/>
          <c:extLst>
            <c:ext xmlns:c16="http://schemas.microsoft.com/office/drawing/2014/chart" uri="{C3380CC4-5D6E-409C-BE32-E72D297353CC}">
              <c16:uniqueId val="{00000003-8FDB-4B78-9FED-27688AEABF44}"/>
            </c:ext>
          </c:extLst>
        </c:ser>
        <c:ser>
          <c:idx val="4"/>
          <c:order val="4"/>
          <c:tx>
            <c:v>Adv Diesel</c:v>
          </c:tx>
          <c:spPr>
            <a:ln>
              <a:solidFill>
                <a:srgbClr val="F79646">
                  <a:lumMod val="75000"/>
                </a:srgb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0.21374495752024716</c:v>
              </c:pt>
              <c:pt idx="2">
                <c:v>0.25038933417592391</c:v>
              </c:pt>
              <c:pt idx="3">
                <c:v>0.25038933417592391</c:v>
              </c:pt>
            </c:numLit>
          </c:yVal>
          <c:smooth val="1"/>
          <c:extLst>
            <c:ext xmlns:c16="http://schemas.microsoft.com/office/drawing/2014/chart" uri="{C3380CC4-5D6E-409C-BE32-E72D297353CC}">
              <c16:uniqueId val="{00000004-8FDB-4B78-9FED-27688AEABF44}"/>
            </c:ext>
          </c:extLst>
        </c:ser>
        <c:ser>
          <c:idx val="5"/>
          <c:order val="5"/>
          <c:tx>
            <c:v>Biodeisel</c:v>
          </c:tx>
          <c:spPr>
            <a:ln w="19050">
              <a:solidFill>
                <a:schemeClr val="bg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0.13574870146367959</c:v>
              </c:pt>
              <c:pt idx="1">
                <c:v>0.14836435240807125</c:v>
              </c:pt>
              <c:pt idx="2">
                <c:v>0.16384231345116007</c:v>
              </c:pt>
              <c:pt idx="3">
                <c:v>0.17731742480052254</c:v>
              </c:pt>
            </c:numLit>
          </c:yVal>
          <c:smooth val="1"/>
          <c:extLst>
            <c:ext xmlns:c16="http://schemas.microsoft.com/office/drawing/2014/chart" uri="{C3380CC4-5D6E-409C-BE32-E72D297353CC}">
              <c16:uniqueId val="{00000005-8FDB-4B78-9FED-27688AEABF44}"/>
            </c:ext>
          </c:extLst>
        </c:ser>
        <c:ser>
          <c:idx val="6"/>
          <c:order val="6"/>
          <c:tx>
            <c:v>CNG</c:v>
          </c:tx>
          <c:spPr>
            <a:ln>
              <a:solidFill>
                <a:srgbClr val="C0000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0.12808843050405344</c:v>
              </c:pt>
              <c:pt idx="1">
                <c:v>0.13943470353239121</c:v>
              </c:pt>
              <c:pt idx="2">
                <c:v>0.18738156425582345</c:v>
              </c:pt>
              <c:pt idx="3">
                <c:v>0.2132990317897287</c:v>
              </c:pt>
            </c:numLit>
          </c:yVal>
          <c:smooth val="1"/>
          <c:extLst>
            <c:ext xmlns:c16="http://schemas.microsoft.com/office/drawing/2014/chart" uri="{C3380CC4-5D6E-409C-BE32-E72D297353CC}">
              <c16:uniqueId val="{00000006-8FDB-4B78-9FED-27688AEABF44}"/>
            </c:ext>
          </c:extLst>
        </c:ser>
        <c:ser>
          <c:idx val="7"/>
          <c:order val="7"/>
          <c:tx>
            <c:v>E85</c:v>
          </c:tx>
          <c:spPr>
            <a:ln>
              <a:solidFill>
                <a:schemeClr val="accent3">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0.10181147998156995</c:v>
              </c:pt>
              <c:pt idx="1">
                <c:v>0.11083009973312889</c:v>
              </c:pt>
              <c:pt idx="2">
                <c:v>0.14894080833899595</c:v>
              </c:pt>
              <c:pt idx="3">
                <c:v>0.16954138652250086</c:v>
              </c:pt>
            </c:numLit>
          </c:yVal>
          <c:smooth val="1"/>
          <c:extLst>
            <c:ext xmlns:c16="http://schemas.microsoft.com/office/drawing/2014/chart" uri="{C3380CC4-5D6E-409C-BE32-E72D297353CC}">
              <c16:uniqueId val="{00000007-8FDB-4B78-9FED-27688AEABF44}"/>
            </c:ext>
          </c:extLst>
        </c:ser>
        <c:ser>
          <c:idx val="8"/>
          <c:order val="8"/>
          <c:tx>
            <c:v>LPG</c:v>
          </c:tx>
          <c:spPr>
            <a:ln>
              <a:solidFill>
                <a:schemeClr val="accent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0.11401158309707092</c:v>
              </c:pt>
              <c:pt idx="1">
                <c:v>0.1241109070182228</c:v>
              </c:pt>
              <c:pt idx="2">
                <c:v>0.16678843436477175</c:v>
              </c:pt>
              <c:pt idx="3">
                <c:v>0.18985758660420035</c:v>
              </c:pt>
            </c:numLit>
          </c:yVal>
          <c:smooth val="1"/>
          <c:extLst>
            <c:ext xmlns:c16="http://schemas.microsoft.com/office/drawing/2014/chart" uri="{C3380CC4-5D6E-409C-BE32-E72D297353CC}">
              <c16:uniqueId val="{00000008-8FDB-4B78-9FED-27688AEABF44}"/>
            </c:ext>
          </c:extLst>
        </c:ser>
        <c:ser>
          <c:idx val="9"/>
          <c:order val="9"/>
          <c:tx>
            <c:v>Hydrogen</c:v>
          </c:tx>
          <c:spPr>
            <a:ln>
              <a:solidFill>
                <a:srgbClr val="00B0F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2">
                <c:v>0.34109858000744459</c:v>
              </c:pt>
              <c:pt idx="3">
                <c:v>0.34109858000744459</c:v>
              </c:pt>
            </c:numLit>
          </c:yVal>
          <c:smooth val="1"/>
          <c:extLst>
            <c:ext xmlns:c16="http://schemas.microsoft.com/office/drawing/2014/chart" uri="{C3380CC4-5D6E-409C-BE32-E72D297353CC}">
              <c16:uniqueId val="{00000009-8FDB-4B78-9FED-27688AEABF44}"/>
            </c:ext>
          </c:extLst>
        </c:ser>
        <c:ser>
          <c:idx val="10"/>
          <c:order val="10"/>
          <c:tx>
            <c:strRef>
              <c:f>Trucks!$K$15</c:f>
              <c:strCache>
                <c:ptCount val="1"/>
                <c:pt idx="0">
                  <c:v>Imp Diesel</c:v>
                </c:pt>
              </c:strCache>
            </c:strRef>
          </c:tx>
          <c:marker>
            <c:symbol val="none"/>
          </c:marker>
          <c:xVal>
            <c:numRef>
              <c:f>Trucks!$L$10:$O$10</c:f>
              <c:numCache>
                <c:formatCode>General</c:formatCode>
                <c:ptCount val="4"/>
                <c:pt idx="0">
                  <c:v>2010</c:v>
                </c:pt>
                <c:pt idx="1">
                  <c:v>2015</c:v>
                </c:pt>
                <c:pt idx="2">
                  <c:v>2025</c:v>
                </c:pt>
                <c:pt idx="3">
                  <c:v>2040</c:v>
                </c:pt>
              </c:numCache>
            </c:numRef>
          </c:xVal>
          <c:yVal>
            <c:numRef>
              <c:f>Trucks!$L$15:$O$15</c:f>
              <c:numCache>
                <c:formatCode>General</c:formatCode>
                <c:ptCount val="4"/>
                <c:pt idx="3" formatCode="#,##0.0000">
                  <c:v>0.17744269639706767</c:v>
                </c:pt>
              </c:numCache>
            </c:numRef>
          </c:yVal>
          <c:smooth val="1"/>
          <c:extLst>
            <c:ext xmlns:c16="http://schemas.microsoft.com/office/drawing/2014/chart" uri="{C3380CC4-5D6E-409C-BE32-E72D297353CC}">
              <c16:uniqueId val="{0000000A-8FDB-4B78-9FED-27688AEABF44}"/>
            </c:ext>
          </c:extLst>
        </c:ser>
        <c:dLbls>
          <c:showLegendKey val="0"/>
          <c:showVal val="0"/>
          <c:showCatName val="0"/>
          <c:showSerName val="0"/>
          <c:showPercent val="0"/>
          <c:showBubbleSize val="0"/>
        </c:dLbls>
        <c:axId val="793699128"/>
        <c:axId val="793699520"/>
      </c:scatterChart>
      <c:valAx>
        <c:axId val="79369912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699520"/>
        <c:crosses val="autoZero"/>
        <c:crossBetween val="midCat"/>
      </c:valAx>
      <c:valAx>
        <c:axId val="793699520"/>
        <c:scaling>
          <c:orientation val="minMax"/>
          <c:max val="0.35000000000000031"/>
          <c:min val="0.1"/>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699128"/>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77" l="0.70000000000000062" r="0.70000000000000062" t="0.7500000000000057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Base Gasoline</c:v>
          </c:tx>
          <c:marker>
            <c:symbol val="none"/>
          </c:marker>
          <c:xVal>
            <c:numLit>
              <c:formatCode>General</c:formatCode>
              <c:ptCount val="4"/>
              <c:pt idx="0">
                <c:v>2010</c:v>
              </c:pt>
              <c:pt idx="1">
                <c:v>2015</c:v>
              </c:pt>
              <c:pt idx="2">
                <c:v>2025</c:v>
              </c:pt>
              <c:pt idx="3">
                <c:v>2040</c:v>
              </c:pt>
            </c:numLit>
          </c:xVal>
          <c:yVal>
            <c:numLit>
              <c:formatCode>General</c:formatCode>
              <c:ptCount val="4"/>
              <c:pt idx="0">
                <c:v>1113.4942710231383</c:v>
              </c:pt>
              <c:pt idx="1">
                <c:v>1122.3649389096922</c:v>
              </c:pt>
              <c:pt idx="2">
                <c:v>1161.559786753023</c:v>
              </c:pt>
              <c:pt idx="3">
                <c:v>1221.2986387588949</c:v>
              </c:pt>
            </c:numLit>
          </c:yVal>
          <c:smooth val="1"/>
          <c:extLst>
            <c:ext xmlns:c16="http://schemas.microsoft.com/office/drawing/2014/chart" uri="{C3380CC4-5D6E-409C-BE32-E72D297353CC}">
              <c16:uniqueId val="{00000000-DF44-471D-AF96-8E9E4293F7E9}"/>
            </c:ext>
          </c:extLst>
        </c:ser>
        <c:ser>
          <c:idx val="1"/>
          <c:order val="1"/>
          <c:tx>
            <c:v>Mild Hybrid</c:v>
          </c:tx>
          <c:spPr>
            <a:ln>
              <a:solidFill>
                <a:schemeClr val="tx2">
                  <a:lumMod val="75000"/>
                </a:scheme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1215.2079015640816</c:v>
              </c:pt>
              <c:pt idx="2">
                <c:v>1256.5737052392271</c:v>
              </c:pt>
            </c:numLit>
          </c:yVal>
          <c:smooth val="1"/>
          <c:extLst>
            <c:ext xmlns:c16="http://schemas.microsoft.com/office/drawing/2014/chart" uri="{C3380CC4-5D6E-409C-BE32-E72D297353CC}">
              <c16:uniqueId val="{00000001-DF44-471D-AF96-8E9E4293F7E9}"/>
            </c:ext>
          </c:extLst>
        </c:ser>
        <c:ser>
          <c:idx val="2"/>
          <c:order val="2"/>
          <c:tx>
            <c:v>Adv Hybrid</c:v>
          </c:tx>
          <c:spPr>
            <a:ln>
              <a:solidFill>
                <a:srgbClr val="1F497D">
                  <a:lumMod val="75000"/>
                </a:srgbClr>
              </a:solidFill>
              <a:prstDash val="sysDash"/>
            </a:ln>
          </c:spPr>
          <c:marker>
            <c:symbol val="none"/>
          </c:marker>
          <c:xVal>
            <c:numLit>
              <c:formatCode>General</c:formatCode>
              <c:ptCount val="4"/>
              <c:pt idx="0">
                <c:v>2010</c:v>
              </c:pt>
              <c:pt idx="1">
                <c:v>2015</c:v>
              </c:pt>
              <c:pt idx="2">
                <c:v>2025</c:v>
              </c:pt>
              <c:pt idx="3">
                <c:v>2040</c:v>
              </c:pt>
            </c:numLit>
          </c:xVal>
          <c:yVal>
            <c:numLit>
              <c:formatCode>General</c:formatCode>
              <c:ptCount val="4"/>
              <c:pt idx="1">
                <c:v>1476.4571278768453</c:v>
              </c:pt>
              <c:pt idx="2">
                <c:v>1517.8298517208536</c:v>
              </c:pt>
              <c:pt idx="3">
                <c:v>1524.4040121405108</c:v>
              </c:pt>
            </c:numLit>
          </c:yVal>
          <c:smooth val="1"/>
          <c:extLst>
            <c:ext xmlns:c16="http://schemas.microsoft.com/office/drawing/2014/chart" uri="{C3380CC4-5D6E-409C-BE32-E72D297353CC}">
              <c16:uniqueId val="{00000002-DF44-471D-AF96-8E9E4293F7E9}"/>
            </c:ext>
          </c:extLst>
        </c:ser>
        <c:ser>
          <c:idx val="3"/>
          <c:order val="3"/>
          <c:tx>
            <c:v>Base Diesel</c:v>
          </c:tx>
          <c:spPr>
            <a:ln>
              <a:solidFill>
                <a:schemeClr val="accent6">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1393.1309012934623</c:v>
              </c:pt>
              <c:pt idx="1">
                <c:v>1403.6762500448133</c:v>
              </c:pt>
              <c:pt idx="2">
                <c:v>1403.6762500448133</c:v>
              </c:pt>
              <c:pt idx="3">
                <c:v>1460.5130798082935</c:v>
              </c:pt>
            </c:numLit>
          </c:yVal>
          <c:smooth val="1"/>
          <c:extLst>
            <c:ext xmlns:c16="http://schemas.microsoft.com/office/drawing/2014/chart" uri="{C3380CC4-5D6E-409C-BE32-E72D297353CC}">
              <c16:uniqueId val="{00000003-DF44-471D-AF96-8E9E4293F7E9}"/>
            </c:ext>
          </c:extLst>
        </c:ser>
        <c:ser>
          <c:idx val="4"/>
          <c:order val="4"/>
          <c:tx>
            <c:v>Adv Diesel</c:v>
          </c:tx>
          <c:spPr>
            <a:ln>
              <a:solidFill>
                <a:srgbClr val="F79646">
                  <a:lumMod val="75000"/>
                </a:srgb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1905.381078130963</c:v>
              </c:pt>
              <c:pt idx="2">
                <c:v>1905.381078130963</c:v>
              </c:pt>
              <c:pt idx="3">
                <c:v>1905.381078130963</c:v>
              </c:pt>
            </c:numLit>
          </c:yVal>
          <c:smooth val="1"/>
          <c:extLst>
            <c:ext xmlns:c16="http://schemas.microsoft.com/office/drawing/2014/chart" uri="{C3380CC4-5D6E-409C-BE32-E72D297353CC}">
              <c16:uniqueId val="{00000004-DF44-471D-AF96-8E9E4293F7E9}"/>
            </c:ext>
          </c:extLst>
        </c:ser>
        <c:ser>
          <c:idx val="5"/>
          <c:order val="5"/>
          <c:tx>
            <c:v>Biodeisel</c:v>
          </c:tx>
          <c:spPr>
            <a:ln w="19050">
              <a:solidFill>
                <a:schemeClr val="bg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1393.1309012934623</c:v>
              </c:pt>
              <c:pt idx="1">
                <c:v>1403.6762500448133</c:v>
              </c:pt>
              <c:pt idx="2">
                <c:v>1426.4361911367769</c:v>
              </c:pt>
              <c:pt idx="3">
                <c:v>1460.5130798082935</c:v>
              </c:pt>
            </c:numLit>
          </c:yVal>
          <c:smooth val="1"/>
          <c:extLst>
            <c:ext xmlns:c16="http://schemas.microsoft.com/office/drawing/2014/chart" uri="{C3380CC4-5D6E-409C-BE32-E72D297353CC}">
              <c16:uniqueId val="{00000005-DF44-471D-AF96-8E9E4293F7E9}"/>
            </c:ext>
          </c:extLst>
        </c:ser>
        <c:ser>
          <c:idx val="6"/>
          <c:order val="6"/>
          <c:tx>
            <c:v>CNG</c:v>
          </c:tx>
          <c:spPr>
            <a:ln>
              <a:solidFill>
                <a:srgbClr val="C0000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1441.6321043366597</c:v>
              </c:pt>
              <c:pt idx="1">
                <c:v>1453.1168869214987</c:v>
              </c:pt>
              <c:pt idx="2">
                <c:v>1503.8621421472997</c:v>
              </c:pt>
              <c:pt idx="3">
                <c:v>1581.2055548338762</c:v>
              </c:pt>
            </c:numLit>
          </c:yVal>
          <c:smooth val="1"/>
          <c:extLst>
            <c:ext xmlns:c16="http://schemas.microsoft.com/office/drawing/2014/chart" uri="{C3380CC4-5D6E-409C-BE32-E72D297353CC}">
              <c16:uniqueId val="{00000006-DF44-471D-AF96-8E9E4293F7E9}"/>
            </c:ext>
          </c:extLst>
        </c:ser>
        <c:ser>
          <c:idx val="7"/>
          <c:order val="7"/>
          <c:tx>
            <c:v>E85</c:v>
          </c:tx>
          <c:spPr>
            <a:ln>
              <a:solidFill>
                <a:schemeClr val="accent3">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1118.8475900809542</c:v>
              </c:pt>
              <c:pt idx="1">
                <c:v>1127.7182579675082</c:v>
              </c:pt>
              <c:pt idx="2">
                <c:v>1166.9131058108392</c:v>
              </c:pt>
              <c:pt idx="3">
                <c:v>1226.6519578167108</c:v>
              </c:pt>
            </c:numLit>
          </c:yVal>
          <c:smooth val="1"/>
          <c:extLst>
            <c:ext xmlns:c16="http://schemas.microsoft.com/office/drawing/2014/chart" uri="{C3380CC4-5D6E-409C-BE32-E72D297353CC}">
              <c16:uniqueId val="{00000007-DF44-471D-AF96-8E9E4293F7E9}"/>
            </c:ext>
          </c:extLst>
        </c:ser>
        <c:ser>
          <c:idx val="8"/>
          <c:order val="8"/>
          <c:tx>
            <c:v>LPG</c:v>
          </c:tx>
          <c:spPr>
            <a:ln>
              <a:solidFill>
                <a:schemeClr val="accent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1397.7832628029082</c:v>
              </c:pt>
              <c:pt idx="1">
                <c:v>1408.9187229704</c:v>
              </c:pt>
              <c:pt idx="2">
                <c:v>1458.1205049006962</c:v>
              </c:pt>
              <c:pt idx="3">
                <c:v>1533.111431792616</c:v>
              </c:pt>
            </c:numLit>
          </c:yVal>
          <c:smooth val="1"/>
          <c:extLst>
            <c:ext xmlns:c16="http://schemas.microsoft.com/office/drawing/2014/chart" uri="{C3380CC4-5D6E-409C-BE32-E72D297353CC}">
              <c16:uniqueId val="{00000008-DF44-471D-AF96-8E9E4293F7E9}"/>
            </c:ext>
          </c:extLst>
        </c:ser>
        <c:ser>
          <c:idx val="9"/>
          <c:order val="9"/>
          <c:tx>
            <c:v>Hydrogen</c:v>
          </c:tx>
          <c:spPr>
            <a:ln>
              <a:solidFill>
                <a:srgbClr val="00B0F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2">
                <c:v>2696.3939005076909</c:v>
              </c:pt>
              <c:pt idx="3">
                <c:v>2696.3939005076909</c:v>
              </c:pt>
            </c:numLit>
          </c:yVal>
          <c:smooth val="1"/>
          <c:extLst>
            <c:ext xmlns:c16="http://schemas.microsoft.com/office/drawing/2014/chart" uri="{C3380CC4-5D6E-409C-BE32-E72D297353CC}">
              <c16:uniqueId val="{00000009-DF44-471D-AF96-8E9E4293F7E9}"/>
            </c:ext>
          </c:extLst>
        </c:ser>
        <c:dLbls>
          <c:showLegendKey val="0"/>
          <c:showVal val="0"/>
          <c:showCatName val="0"/>
          <c:showSerName val="0"/>
          <c:showPercent val="0"/>
          <c:showBubbleSize val="0"/>
        </c:dLbls>
        <c:axId val="770815824"/>
        <c:axId val="770816216"/>
      </c:scatterChart>
      <c:valAx>
        <c:axId val="77081582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6216"/>
        <c:crosses val="autoZero"/>
        <c:crossBetween val="midCat"/>
      </c:valAx>
      <c:valAx>
        <c:axId val="770816216"/>
        <c:scaling>
          <c:orientation val="minMax"/>
          <c:min val="1000"/>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5824"/>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6" l="0.70000000000000062" r="0.70000000000000062" t="0.75000000000000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Trucks!$J$77</c:f>
              <c:strCache>
                <c:ptCount val="1"/>
                <c:pt idx="0">
                  <c:v>diesel</c:v>
                </c:pt>
              </c:strCache>
            </c:strRef>
          </c:tx>
          <c:spPr>
            <a:ln>
              <a:solidFill>
                <a:schemeClr val="tx1">
                  <a:lumMod val="50000"/>
                  <a:lumOff val="50000"/>
                </a:schemeClr>
              </a:solidFill>
            </a:ln>
          </c:spPr>
          <c:marker>
            <c:symbol val="none"/>
          </c:marker>
          <c:xVal>
            <c:numRef>
              <c:f>Trucks!$K$75:$N$75</c:f>
              <c:numCache>
                <c:formatCode>0</c:formatCode>
                <c:ptCount val="4"/>
                <c:pt idx="0">
                  <c:v>2010</c:v>
                </c:pt>
                <c:pt idx="1">
                  <c:v>2015</c:v>
                </c:pt>
                <c:pt idx="2">
                  <c:v>2025</c:v>
                </c:pt>
                <c:pt idx="3">
                  <c:v>2040</c:v>
                </c:pt>
              </c:numCache>
            </c:numRef>
          </c:xVal>
          <c:yVal>
            <c:numRef>
              <c:f>Trucks!$K$77:$N$77</c:f>
              <c:numCache>
                <c:formatCode>0.0000</c:formatCode>
                <c:ptCount val="4"/>
                <c:pt idx="0">
                  <c:v>7.1554552517759842E-2</c:v>
                </c:pt>
                <c:pt idx="1">
                  <c:v>7.5263594035905171E-2</c:v>
                </c:pt>
                <c:pt idx="2">
                  <c:v>8.2850618921883556E-2</c:v>
                </c:pt>
                <c:pt idx="3">
                  <c:v>8.4286624644229674E-2</c:v>
                </c:pt>
              </c:numCache>
            </c:numRef>
          </c:yVal>
          <c:smooth val="0"/>
          <c:extLst>
            <c:ext xmlns:c16="http://schemas.microsoft.com/office/drawing/2014/chart" uri="{C3380CC4-5D6E-409C-BE32-E72D297353CC}">
              <c16:uniqueId val="{00000000-C624-4A20-B29C-B863B3D1B5CC}"/>
            </c:ext>
          </c:extLst>
        </c:ser>
        <c:ser>
          <c:idx val="1"/>
          <c:order val="1"/>
          <c:tx>
            <c:strRef>
              <c:f>Trucks!$J$78</c:f>
              <c:strCache>
                <c:ptCount val="1"/>
                <c:pt idx="0">
                  <c:v>adv diesel</c:v>
                </c:pt>
              </c:strCache>
            </c:strRef>
          </c:tx>
          <c:marker>
            <c:symbol val="none"/>
          </c:marker>
          <c:xVal>
            <c:numRef>
              <c:f>Trucks!$K$75:$N$75</c:f>
              <c:numCache>
                <c:formatCode>0</c:formatCode>
                <c:ptCount val="4"/>
                <c:pt idx="0">
                  <c:v>2010</c:v>
                </c:pt>
                <c:pt idx="1">
                  <c:v>2015</c:v>
                </c:pt>
                <c:pt idx="2">
                  <c:v>2025</c:v>
                </c:pt>
                <c:pt idx="3">
                  <c:v>2040</c:v>
                </c:pt>
              </c:numCache>
            </c:numRef>
          </c:xVal>
          <c:yVal>
            <c:numRef>
              <c:f>Trucks!$K$78:$N$78</c:f>
              <c:numCache>
                <c:formatCode>0.0000</c:formatCode>
                <c:ptCount val="4"/>
                <c:pt idx="1">
                  <c:v>0.12040946377747096</c:v>
                </c:pt>
                <c:pt idx="2">
                  <c:v>0.12438727642011957</c:v>
                </c:pt>
                <c:pt idx="3">
                  <c:v>0.12438727642011957</c:v>
                </c:pt>
              </c:numCache>
            </c:numRef>
          </c:yVal>
          <c:smooth val="0"/>
          <c:extLst>
            <c:ext xmlns:c16="http://schemas.microsoft.com/office/drawing/2014/chart" uri="{C3380CC4-5D6E-409C-BE32-E72D297353CC}">
              <c16:uniqueId val="{00000001-C624-4A20-B29C-B863B3D1B5CC}"/>
            </c:ext>
          </c:extLst>
        </c:ser>
        <c:ser>
          <c:idx val="2"/>
          <c:order val="2"/>
          <c:tx>
            <c:strRef>
              <c:f>Trucks!$J$79</c:f>
              <c:strCache>
                <c:ptCount val="1"/>
                <c:pt idx="0">
                  <c:v>gasolin</c:v>
                </c:pt>
              </c:strCache>
            </c:strRef>
          </c:tx>
          <c:marker>
            <c:symbol val="none"/>
          </c:marker>
          <c:xVal>
            <c:numRef>
              <c:f>Trucks!$K$75:$N$75</c:f>
              <c:numCache>
                <c:formatCode>0</c:formatCode>
                <c:ptCount val="4"/>
                <c:pt idx="0">
                  <c:v>2010</c:v>
                </c:pt>
                <c:pt idx="1">
                  <c:v>2015</c:v>
                </c:pt>
                <c:pt idx="2">
                  <c:v>2025</c:v>
                </c:pt>
                <c:pt idx="3">
                  <c:v>2040</c:v>
                </c:pt>
              </c:numCache>
            </c:numRef>
          </c:xVal>
          <c:yVal>
            <c:numRef>
              <c:f>Trucks!$K$79:$N$79</c:f>
              <c:numCache>
                <c:formatCode>0.0000</c:formatCode>
                <c:ptCount val="4"/>
                <c:pt idx="0">
                  <c:v>6.2417562952645951E-2</c:v>
                </c:pt>
                <c:pt idx="1">
                  <c:v>6.4948004693969427E-2</c:v>
                </c:pt>
                <c:pt idx="2">
                  <c:v>6.9730539585070805E-2</c:v>
                </c:pt>
                <c:pt idx="3">
                  <c:v>7.5246902581156003E-2</c:v>
                </c:pt>
              </c:numCache>
            </c:numRef>
          </c:yVal>
          <c:smooth val="0"/>
          <c:extLst>
            <c:ext xmlns:c16="http://schemas.microsoft.com/office/drawing/2014/chart" uri="{C3380CC4-5D6E-409C-BE32-E72D297353CC}">
              <c16:uniqueId val="{00000002-C624-4A20-B29C-B863B3D1B5CC}"/>
            </c:ext>
          </c:extLst>
        </c:ser>
        <c:ser>
          <c:idx val="3"/>
          <c:order val="3"/>
          <c:tx>
            <c:strRef>
              <c:f>Trucks!$J$80</c:f>
              <c:strCache>
                <c:ptCount val="1"/>
                <c:pt idx="0">
                  <c:v>adv gasoline</c:v>
                </c:pt>
              </c:strCache>
            </c:strRef>
          </c:tx>
          <c:marker>
            <c:symbol val="none"/>
          </c:marker>
          <c:xVal>
            <c:numRef>
              <c:f>Trucks!$K$75:$N$75</c:f>
              <c:numCache>
                <c:formatCode>0</c:formatCode>
                <c:ptCount val="4"/>
                <c:pt idx="0">
                  <c:v>2010</c:v>
                </c:pt>
                <c:pt idx="1">
                  <c:v>2015</c:v>
                </c:pt>
                <c:pt idx="2">
                  <c:v>2025</c:v>
                </c:pt>
                <c:pt idx="3">
                  <c:v>2040</c:v>
                </c:pt>
              </c:numCache>
            </c:numRef>
          </c:xVal>
          <c:yVal>
            <c:numRef>
              <c:f>Trucks!$K$80:$N$80</c:f>
              <c:numCache>
                <c:formatCode>0.0000</c:formatCode>
                <c:ptCount val="4"/>
                <c:pt idx="1">
                  <c:v>7.8865434271248591E-2</c:v>
                </c:pt>
                <c:pt idx="2">
                  <c:v>9.961505655010118E-2</c:v>
                </c:pt>
                <c:pt idx="3">
                  <c:v>0.10749316517142161</c:v>
                </c:pt>
              </c:numCache>
            </c:numRef>
          </c:yVal>
          <c:smooth val="0"/>
          <c:extLst>
            <c:ext xmlns:c16="http://schemas.microsoft.com/office/drawing/2014/chart" uri="{C3380CC4-5D6E-409C-BE32-E72D297353CC}">
              <c16:uniqueId val="{00000003-C624-4A20-B29C-B863B3D1B5CC}"/>
            </c:ext>
          </c:extLst>
        </c:ser>
        <c:ser>
          <c:idx val="4"/>
          <c:order val="4"/>
          <c:tx>
            <c:strRef>
              <c:f>Trucks!$J$81</c:f>
              <c:strCache>
                <c:ptCount val="1"/>
                <c:pt idx="0">
                  <c:v>biodiesel</c:v>
                </c:pt>
              </c:strCache>
            </c:strRef>
          </c:tx>
          <c:spPr>
            <a:ln w="25400">
              <a:prstDash val="dash"/>
            </a:ln>
          </c:spPr>
          <c:marker>
            <c:symbol val="none"/>
          </c:marker>
          <c:xVal>
            <c:numRef>
              <c:f>Trucks!$K$75:$N$75</c:f>
              <c:numCache>
                <c:formatCode>0</c:formatCode>
                <c:ptCount val="4"/>
                <c:pt idx="0">
                  <c:v>2010</c:v>
                </c:pt>
                <c:pt idx="1">
                  <c:v>2015</c:v>
                </c:pt>
                <c:pt idx="2">
                  <c:v>2025</c:v>
                </c:pt>
                <c:pt idx="3">
                  <c:v>2040</c:v>
                </c:pt>
              </c:numCache>
            </c:numRef>
          </c:xVal>
          <c:yVal>
            <c:numRef>
              <c:f>Trucks!$K$81:$N$81</c:f>
              <c:numCache>
                <c:formatCode>0.0000</c:formatCode>
                <c:ptCount val="4"/>
                <c:pt idx="0">
                  <c:v>7.1504036192117926E-2</c:v>
                </c:pt>
                <c:pt idx="1">
                  <c:v>7.5210459188554166E-2</c:v>
                </c:pt>
                <c:pt idx="2">
                  <c:v>7.7965336736629975E-2</c:v>
                </c:pt>
                <c:pt idx="3">
                  <c:v>8.3060709137527847E-2</c:v>
                </c:pt>
              </c:numCache>
            </c:numRef>
          </c:yVal>
          <c:smooth val="0"/>
          <c:extLst>
            <c:ext xmlns:c16="http://schemas.microsoft.com/office/drawing/2014/chart" uri="{C3380CC4-5D6E-409C-BE32-E72D297353CC}">
              <c16:uniqueId val="{00000004-C624-4A20-B29C-B863B3D1B5CC}"/>
            </c:ext>
          </c:extLst>
        </c:ser>
        <c:ser>
          <c:idx val="5"/>
          <c:order val="5"/>
          <c:tx>
            <c:strRef>
              <c:f>Trucks!$J$82</c:f>
              <c:strCache>
                <c:ptCount val="1"/>
                <c:pt idx="0">
                  <c:v>CNG</c:v>
                </c:pt>
              </c:strCache>
            </c:strRef>
          </c:tx>
          <c:marker>
            <c:symbol val="none"/>
          </c:marker>
          <c:xVal>
            <c:numRef>
              <c:f>Trucks!$K$75:$N$75</c:f>
              <c:numCache>
                <c:formatCode>0</c:formatCode>
                <c:ptCount val="4"/>
                <c:pt idx="0">
                  <c:v>2010</c:v>
                </c:pt>
                <c:pt idx="1">
                  <c:v>2015</c:v>
                </c:pt>
                <c:pt idx="2">
                  <c:v>2025</c:v>
                </c:pt>
                <c:pt idx="3">
                  <c:v>2040</c:v>
                </c:pt>
              </c:numCache>
            </c:numRef>
          </c:xVal>
          <c:yVal>
            <c:numRef>
              <c:f>Trucks!$K$82:$N$82</c:f>
              <c:numCache>
                <c:formatCode>0.0000</c:formatCode>
                <c:ptCount val="4"/>
                <c:pt idx="0">
                  <c:v>5.2445274618984843E-2</c:v>
                </c:pt>
                <c:pt idx="1">
                  <c:v>5.5163783702583222E-2</c:v>
                </c:pt>
                <c:pt idx="2">
                  <c:v>6.0921619711943757E-2</c:v>
                </c:pt>
                <c:pt idx="3">
                  <c:v>6.3820237057809537E-2</c:v>
                </c:pt>
              </c:numCache>
            </c:numRef>
          </c:yVal>
          <c:smooth val="0"/>
          <c:extLst>
            <c:ext xmlns:c16="http://schemas.microsoft.com/office/drawing/2014/chart" uri="{C3380CC4-5D6E-409C-BE32-E72D297353CC}">
              <c16:uniqueId val="{00000005-C624-4A20-B29C-B863B3D1B5CC}"/>
            </c:ext>
          </c:extLst>
        </c:ser>
        <c:ser>
          <c:idx val="6"/>
          <c:order val="6"/>
          <c:tx>
            <c:strRef>
              <c:f>Trucks!$J$83</c:f>
              <c:strCache>
                <c:ptCount val="1"/>
                <c:pt idx="0">
                  <c:v>LPG</c:v>
                </c:pt>
              </c:strCache>
            </c:strRef>
          </c:tx>
          <c:marker>
            <c:symbol val="none"/>
          </c:marker>
          <c:xVal>
            <c:numRef>
              <c:f>Trucks!$K$75:$N$75</c:f>
              <c:numCache>
                <c:formatCode>0</c:formatCode>
                <c:ptCount val="4"/>
                <c:pt idx="0">
                  <c:v>2010</c:v>
                </c:pt>
                <c:pt idx="1">
                  <c:v>2015</c:v>
                </c:pt>
                <c:pt idx="2">
                  <c:v>2025</c:v>
                </c:pt>
                <c:pt idx="3">
                  <c:v>2040</c:v>
                </c:pt>
              </c:numCache>
            </c:numRef>
          </c:xVal>
          <c:yVal>
            <c:numRef>
              <c:f>Trucks!$K$83:$N$83</c:f>
              <c:numCache>
                <c:formatCode>0.0000</c:formatCode>
                <c:ptCount val="4"/>
                <c:pt idx="0">
                  <c:v>6.7978151294823944E-2</c:v>
                </c:pt>
                <c:pt idx="1">
                  <c:v>7.1501809491368279E-2</c:v>
                </c:pt>
                <c:pt idx="2">
                  <c:v>8.2722070995064262E-2</c:v>
                </c:pt>
                <c:pt idx="3">
                  <c:v>8.6127576547247009E-2</c:v>
                </c:pt>
              </c:numCache>
            </c:numRef>
          </c:yVal>
          <c:smooth val="0"/>
          <c:extLst>
            <c:ext xmlns:c16="http://schemas.microsoft.com/office/drawing/2014/chart" uri="{C3380CC4-5D6E-409C-BE32-E72D297353CC}">
              <c16:uniqueId val="{00000006-C624-4A20-B29C-B863B3D1B5CC}"/>
            </c:ext>
          </c:extLst>
        </c:ser>
        <c:dLbls>
          <c:showLegendKey val="0"/>
          <c:showVal val="0"/>
          <c:showCatName val="0"/>
          <c:showSerName val="0"/>
          <c:showPercent val="0"/>
          <c:showBubbleSize val="0"/>
        </c:dLbls>
        <c:axId val="770817000"/>
        <c:axId val="297703280"/>
      </c:scatterChart>
      <c:valAx>
        <c:axId val="770817000"/>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3280"/>
        <c:crosses val="autoZero"/>
        <c:crossBetween val="midCat"/>
      </c:valAx>
      <c:valAx>
        <c:axId val="297703280"/>
        <c:scaling>
          <c:orientation val="minMax"/>
          <c:min val="4.0000000000000022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7000"/>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Trucks!$Q$77</c:f>
              <c:strCache>
                <c:ptCount val="1"/>
                <c:pt idx="0">
                  <c:v>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Trucks!$R$77:$U$77</c:f>
              <c:numCache>
                <c:formatCode>0</c:formatCode>
                <c:ptCount val="4"/>
                <c:pt idx="0">
                  <c:v>6276.5914442142484</c:v>
                </c:pt>
                <c:pt idx="1">
                  <c:v>6295.5716205961326</c:v>
                </c:pt>
                <c:pt idx="2">
                  <c:v>6691.9683084070857</c:v>
                </c:pt>
                <c:pt idx="3">
                  <c:v>0</c:v>
                </c:pt>
              </c:numCache>
            </c:numRef>
          </c:yVal>
          <c:smooth val="0"/>
          <c:extLst>
            <c:ext xmlns:c16="http://schemas.microsoft.com/office/drawing/2014/chart" uri="{C3380CC4-5D6E-409C-BE32-E72D297353CC}">
              <c16:uniqueId val="{00000000-568F-4B9D-BF74-F71E73B4A2CD}"/>
            </c:ext>
          </c:extLst>
        </c:ser>
        <c:ser>
          <c:idx val="1"/>
          <c:order val="1"/>
          <c:tx>
            <c:strRef>
              <c:f>Trucks!$Q$78</c:f>
              <c:strCache>
                <c:ptCount val="1"/>
                <c:pt idx="0">
                  <c:v>adv 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Trucks!$R$78:$U$78</c:f>
              <c:numCache>
                <c:formatCode>0</c:formatCode>
                <c:ptCount val="4"/>
                <c:pt idx="1">
                  <c:v>8334.222211770475</c:v>
                </c:pt>
                <c:pt idx="2">
                  <c:v>7963.0152642194289</c:v>
                </c:pt>
                <c:pt idx="3">
                  <c:v>7963.0152642194289</c:v>
                </c:pt>
              </c:numCache>
            </c:numRef>
          </c:yVal>
          <c:smooth val="0"/>
          <c:extLst>
            <c:ext xmlns:c16="http://schemas.microsoft.com/office/drawing/2014/chart" uri="{C3380CC4-5D6E-409C-BE32-E72D297353CC}">
              <c16:uniqueId val="{00000001-568F-4B9D-BF74-F71E73B4A2CD}"/>
            </c:ext>
          </c:extLst>
        </c:ser>
        <c:ser>
          <c:idx val="2"/>
          <c:order val="2"/>
          <c:tx>
            <c:strRef>
              <c:f>Trucks!$Q$79</c:f>
              <c:strCache>
                <c:ptCount val="1"/>
                <c:pt idx="0">
                  <c:v>gasolin</c:v>
                </c:pt>
              </c:strCache>
            </c:strRef>
          </c:tx>
          <c:marker>
            <c:symbol val="none"/>
          </c:marker>
          <c:xVal>
            <c:numRef>
              <c:f>Trucks!$R$75:$U$75</c:f>
              <c:numCache>
                <c:formatCode>0</c:formatCode>
                <c:ptCount val="4"/>
                <c:pt idx="0">
                  <c:v>2010</c:v>
                </c:pt>
                <c:pt idx="1">
                  <c:v>2015</c:v>
                </c:pt>
                <c:pt idx="2">
                  <c:v>2025</c:v>
                </c:pt>
                <c:pt idx="3">
                  <c:v>2040</c:v>
                </c:pt>
              </c:numCache>
            </c:numRef>
          </c:xVal>
          <c:yVal>
            <c:numRef>
              <c:f>Trucks!$R$79:$U$79</c:f>
              <c:numCache>
                <c:formatCode>0</c:formatCode>
                <c:ptCount val="4"/>
                <c:pt idx="0">
                  <c:v>5812.2033972904501</c:v>
                </c:pt>
                <c:pt idx="1">
                  <c:v>5834.9327443156681</c:v>
                </c:pt>
                <c:pt idx="2">
                  <c:v>6443.5418634659982</c:v>
                </c:pt>
                <c:pt idx="3">
                  <c:v>0</c:v>
                </c:pt>
              </c:numCache>
            </c:numRef>
          </c:yVal>
          <c:smooth val="0"/>
          <c:extLst>
            <c:ext xmlns:c16="http://schemas.microsoft.com/office/drawing/2014/chart" uri="{C3380CC4-5D6E-409C-BE32-E72D297353CC}">
              <c16:uniqueId val="{00000002-568F-4B9D-BF74-F71E73B4A2CD}"/>
            </c:ext>
          </c:extLst>
        </c:ser>
        <c:ser>
          <c:idx val="3"/>
          <c:order val="3"/>
          <c:tx>
            <c:strRef>
              <c:f>Trucks!$Q$80</c:f>
              <c:strCache>
                <c:ptCount val="1"/>
                <c:pt idx="0">
                  <c:v>adv gasoline</c:v>
                </c:pt>
              </c:strCache>
            </c:strRef>
          </c:tx>
          <c:marker>
            <c:symbol val="none"/>
          </c:marker>
          <c:xVal>
            <c:numRef>
              <c:f>Trucks!$R$75:$U$75</c:f>
              <c:numCache>
                <c:formatCode>0</c:formatCode>
                <c:ptCount val="4"/>
                <c:pt idx="0">
                  <c:v>2010</c:v>
                </c:pt>
                <c:pt idx="1">
                  <c:v>2015</c:v>
                </c:pt>
                <c:pt idx="2">
                  <c:v>2025</c:v>
                </c:pt>
                <c:pt idx="3">
                  <c:v>2040</c:v>
                </c:pt>
              </c:numCache>
            </c:numRef>
          </c:xVal>
          <c:yVal>
            <c:numRef>
              <c:f>Trucks!$R$80:$U$80</c:f>
              <c:numCache>
                <c:formatCode>0</c:formatCode>
                <c:ptCount val="4"/>
                <c:pt idx="1">
                  <c:v>6616.0099616771531</c:v>
                </c:pt>
                <c:pt idx="2">
                  <c:v>6935.0018972475837</c:v>
                </c:pt>
                <c:pt idx="3">
                  <c:v>7469.8773270789898</c:v>
                </c:pt>
              </c:numCache>
            </c:numRef>
          </c:yVal>
          <c:smooth val="0"/>
          <c:extLst>
            <c:ext xmlns:c16="http://schemas.microsoft.com/office/drawing/2014/chart" uri="{C3380CC4-5D6E-409C-BE32-E72D297353CC}">
              <c16:uniqueId val="{00000003-568F-4B9D-BF74-F71E73B4A2CD}"/>
            </c:ext>
          </c:extLst>
        </c:ser>
        <c:ser>
          <c:idx val="4"/>
          <c:order val="4"/>
          <c:tx>
            <c:strRef>
              <c:f>Trucks!$Q$81</c:f>
              <c:strCache>
                <c:ptCount val="1"/>
                <c:pt idx="0">
                  <c:v>biodiesel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Trucks!$R$81:$U$81</c:f>
              <c:numCache>
                <c:formatCode>0</c:formatCode>
                <c:ptCount val="4"/>
                <c:pt idx="0">
                  <c:v>6276.5914442142484</c:v>
                </c:pt>
                <c:pt idx="1">
                  <c:v>6295.5716205961326</c:v>
                </c:pt>
                <c:pt idx="2">
                  <c:v>6469.2831937373276</c:v>
                </c:pt>
                <c:pt idx="3">
                  <c:v>6772.0677770475058</c:v>
                </c:pt>
              </c:numCache>
            </c:numRef>
          </c:yVal>
          <c:smooth val="0"/>
          <c:extLst>
            <c:ext xmlns:c16="http://schemas.microsoft.com/office/drawing/2014/chart" uri="{C3380CC4-5D6E-409C-BE32-E72D297353CC}">
              <c16:uniqueId val="{00000004-568F-4B9D-BF74-F71E73B4A2CD}"/>
            </c:ext>
          </c:extLst>
        </c:ser>
        <c:ser>
          <c:idx val="5"/>
          <c:order val="5"/>
          <c:tx>
            <c:strRef>
              <c:f>Trucks!$Q$82</c:f>
              <c:strCache>
                <c:ptCount val="1"/>
                <c:pt idx="0">
                  <c:v>CNG</c:v>
                </c:pt>
              </c:strCache>
            </c:strRef>
          </c:tx>
          <c:marker>
            <c:symbol val="none"/>
          </c:marker>
          <c:xVal>
            <c:numRef>
              <c:f>Trucks!$R$75:$U$75</c:f>
              <c:numCache>
                <c:formatCode>0</c:formatCode>
                <c:ptCount val="4"/>
                <c:pt idx="0">
                  <c:v>2010</c:v>
                </c:pt>
                <c:pt idx="1">
                  <c:v>2015</c:v>
                </c:pt>
                <c:pt idx="2">
                  <c:v>2025</c:v>
                </c:pt>
                <c:pt idx="3">
                  <c:v>2040</c:v>
                </c:pt>
              </c:numCache>
            </c:numRef>
          </c:xVal>
          <c:yVal>
            <c:numRef>
              <c:f>Trucks!$R$82:$U$82</c:f>
              <c:numCache>
                <c:formatCode>0</c:formatCode>
                <c:ptCount val="4"/>
                <c:pt idx="0">
                  <c:v>6575.7618337437334</c:v>
                </c:pt>
                <c:pt idx="1">
                  <c:v>6601.4771713632026</c:v>
                </c:pt>
                <c:pt idx="2">
                  <c:v>7290.0402418233361</c:v>
                </c:pt>
                <c:pt idx="3">
                  <c:v>0</c:v>
                </c:pt>
              </c:numCache>
            </c:numRef>
          </c:yVal>
          <c:smooth val="0"/>
          <c:extLst>
            <c:ext xmlns:c16="http://schemas.microsoft.com/office/drawing/2014/chart" uri="{C3380CC4-5D6E-409C-BE32-E72D297353CC}">
              <c16:uniqueId val="{00000005-568F-4B9D-BF74-F71E73B4A2CD}"/>
            </c:ext>
          </c:extLst>
        </c:ser>
        <c:ser>
          <c:idx val="6"/>
          <c:order val="6"/>
          <c:tx>
            <c:strRef>
              <c:f>Trucks!$Q$83</c:f>
              <c:strCache>
                <c:ptCount val="1"/>
                <c:pt idx="0">
                  <c:v>LPG</c:v>
                </c:pt>
              </c:strCache>
            </c:strRef>
          </c:tx>
          <c:marker>
            <c:symbol val="none"/>
          </c:marker>
          <c:xVal>
            <c:numRef>
              <c:f>Trucks!$R$75:$U$75</c:f>
              <c:numCache>
                <c:formatCode>0</c:formatCode>
                <c:ptCount val="4"/>
                <c:pt idx="0">
                  <c:v>2010</c:v>
                </c:pt>
                <c:pt idx="1">
                  <c:v>2015</c:v>
                </c:pt>
                <c:pt idx="2">
                  <c:v>2025</c:v>
                </c:pt>
                <c:pt idx="3">
                  <c:v>2040</c:v>
                </c:pt>
              </c:numCache>
            </c:numRef>
          </c:xVal>
          <c:yVal>
            <c:numRef>
              <c:f>Trucks!$R$83:$U$83</c:f>
              <c:numCache>
                <c:formatCode>0</c:formatCode>
                <c:ptCount val="4"/>
                <c:pt idx="0">
                  <c:v>6193.9826155170922</c:v>
                </c:pt>
                <c:pt idx="1">
                  <c:v>6218.2049578394353</c:v>
                </c:pt>
                <c:pt idx="2">
                  <c:v>6866.7910526446676</c:v>
                </c:pt>
                <c:pt idx="3">
                  <c:v>6997.7891799037952</c:v>
                </c:pt>
              </c:numCache>
            </c:numRef>
          </c:yVal>
          <c:smooth val="0"/>
          <c:extLst>
            <c:ext xmlns:c16="http://schemas.microsoft.com/office/drawing/2014/chart" uri="{C3380CC4-5D6E-409C-BE32-E72D297353CC}">
              <c16:uniqueId val="{00000006-568F-4B9D-BF74-F71E73B4A2CD}"/>
            </c:ext>
          </c:extLst>
        </c:ser>
        <c:dLbls>
          <c:showLegendKey val="0"/>
          <c:showVal val="0"/>
          <c:showCatName val="0"/>
          <c:showSerName val="0"/>
          <c:showPercent val="0"/>
          <c:showBubbleSize val="0"/>
        </c:dLbls>
        <c:axId val="297704064"/>
        <c:axId val="297704456"/>
      </c:scatterChart>
      <c:valAx>
        <c:axId val="297704064"/>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4456"/>
        <c:crosses val="autoZero"/>
        <c:crossBetween val="midCat"/>
      </c:valAx>
      <c:valAx>
        <c:axId val="297704456"/>
        <c:scaling>
          <c:orientation val="minMax"/>
          <c:min val="500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4064"/>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5240594925633"/>
          <c:y val="5.1400554097404488E-2"/>
          <c:w val="0.75051837270341204"/>
          <c:h val="0.79822506561679785"/>
        </c:manualLayout>
      </c:layout>
      <c:scatterChart>
        <c:scatterStyle val="lineMarker"/>
        <c:varyColors val="0"/>
        <c:ser>
          <c:idx val="0"/>
          <c:order val="0"/>
          <c:tx>
            <c:strRef>
              <c:f>Trucks!$J$130</c:f>
              <c:strCache>
                <c:ptCount val="1"/>
                <c:pt idx="0">
                  <c:v>diesel</c:v>
                </c:pt>
              </c:strCache>
            </c:strRef>
          </c:tx>
          <c:xVal>
            <c:numRef>
              <c:f>Trucks!$K$129:$N$129</c:f>
              <c:numCache>
                <c:formatCode>0</c:formatCode>
                <c:ptCount val="4"/>
                <c:pt idx="0">
                  <c:v>2010</c:v>
                </c:pt>
                <c:pt idx="1">
                  <c:v>2015</c:v>
                </c:pt>
                <c:pt idx="2">
                  <c:v>2025</c:v>
                </c:pt>
                <c:pt idx="3">
                  <c:v>2040</c:v>
                </c:pt>
              </c:numCache>
            </c:numRef>
          </c:xVal>
          <c:yVal>
            <c:numRef>
              <c:f>Trucks!$K$130:$N$130</c:f>
              <c:numCache>
                <c:formatCode>0.0000</c:formatCode>
                <c:ptCount val="4"/>
                <c:pt idx="0">
                  <c:v>0</c:v>
                </c:pt>
                <c:pt idx="1">
                  <c:v>0</c:v>
                </c:pt>
                <c:pt idx="2">
                  <c:v>0</c:v>
                </c:pt>
                <c:pt idx="3">
                  <c:v>0</c:v>
                </c:pt>
              </c:numCache>
            </c:numRef>
          </c:yVal>
          <c:smooth val="0"/>
          <c:extLst>
            <c:ext xmlns:c16="http://schemas.microsoft.com/office/drawing/2014/chart" uri="{C3380CC4-5D6E-409C-BE32-E72D297353CC}">
              <c16:uniqueId val="{00000000-F869-47C5-949C-2801CF7C4B9D}"/>
            </c:ext>
          </c:extLst>
        </c:ser>
        <c:ser>
          <c:idx val="1"/>
          <c:order val="1"/>
          <c:tx>
            <c:strRef>
              <c:f>Trucks!$J$131</c:f>
              <c:strCache>
                <c:ptCount val="1"/>
                <c:pt idx="0">
                  <c:v>adv diesel</c:v>
                </c:pt>
              </c:strCache>
            </c:strRef>
          </c:tx>
          <c:xVal>
            <c:numRef>
              <c:f>Trucks!$K$129:$N$129</c:f>
              <c:numCache>
                <c:formatCode>0</c:formatCode>
                <c:ptCount val="4"/>
                <c:pt idx="0">
                  <c:v>2010</c:v>
                </c:pt>
                <c:pt idx="1">
                  <c:v>2015</c:v>
                </c:pt>
                <c:pt idx="2">
                  <c:v>2025</c:v>
                </c:pt>
                <c:pt idx="3">
                  <c:v>2040</c:v>
                </c:pt>
              </c:numCache>
            </c:numRef>
          </c:xVal>
          <c:yVal>
            <c:numRef>
              <c:f>Trucks!$K$131:$N$131</c:f>
              <c:numCache>
                <c:formatCode>0.0000</c:formatCode>
                <c:ptCount val="4"/>
                <c:pt idx="1">
                  <c:v>0</c:v>
                </c:pt>
                <c:pt idx="2">
                  <c:v>0</c:v>
                </c:pt>
                <c:pt idx="3">
                  <c:v>6.2047733885329429E-2</c:v>
                </c:pt>
              </c:numCache>
            </c:numRef>
          </c:yVal>
          <c:smooth val="0"/>
          <c:extLst>
            <c:ext xmlns:c16="http://schemas.microsoft.com/office/drawing/2014/chart" uri="{C3380CC4-5D6E-409C-BE32-E72D297353CC}">
              <c16:uniqueId val="{00000001-F869-47C5-949C-2801CF7C4B9D}"/>
            </c:ext>
          </c:extLst>
        </c:ser>
        <c:ser>
          <c:idx val="2"/>
          <c:order val="2"/>
          <c:tx>
            <c:strRef>
              <c:f>Trucks!$J$132</c:f>
              <c:strCache>
                <c:ptCount val="1"/>
                <c:pt idx="0">
                  <c:v>biodiesel</c:v>
                </c:pt>
              </c:strCache>
            </c:strRef>
          </c:tx>
          <c:marker>
            <c:spPr>
              <a:noFill/>
            </c:spPr>
          </c:marker>
          <c:xVal>
            <c:numRef>
              <c:f>Trucks!$K$129:$N$129</c:f>
              <c:numCache>
                <c:formatCode>0</c:formatCode>
                <c:ptCount val="4"/>
                <c:pt idx="0">
                  <c:v>2010</c:v>
                </c:pt>
                <c:pt idx="1">
                  <c:v>2015</c:v>
                </c:pt>
                <c:pt idx="2">
                  <c:v>2025</c:v>
                </c:pt>
                <c:pt idx="3">
                  <c:v>2040</c:v>
                </c:pt>
              </c:numCache>
            </c:numRef>
          </c:xVal>
          <c:yVal>
            <c:numRef>
              <c:f>Trucks!$K$132:$N$132</c:f>
              <c:numCache>
                <c:formatCode>0.0000</c:formatCode>
                <c:ptCount val="4"/>
                <c:pt idx="0">
                  <c:v>4.0063961642811542E-2</c:v>
                </c:pt>
                <c:pt idx="1">
                  <c:v>4.3832480653506929E-2</c:v>
                </c:pt>
                <c:pt idx="2">
                  <c:v>4.5385378613801756E-2</c:v>
                </c:pt>
                <c:pt idx="3">
                  <c:v>4.6306909144031239E-2</c:v>
                </c:pt>
              </c:numCache>
            </c:numRef>
          </c:yVal>
          <c:smooth val="0"/>
          <c:extLst>
            <c:ext xmlns:c16="http://schemas.microsoft.com/office/drawing/2014/chart" uri="{C3380CC4-5D6E-409C-BE32-E72D297353CC}">
              <c16:uniqueId val="{00000002-F869-47C5-949C-2801CF7C4B9D}"/>
            </c:ext>
          </c:extLst>
        </c:ser>
        <c:ser>
          <c:idx val="3"/>
          <c:order val="3"/>
          <c:tx>
            <c:strRef>
              <c:f>Trucks!$J$133</c:f>
              <c:strCache>
                <c:ptCount val="1"/>
                <c:pt idx="0">
                  <c:v>CNG</c:v>
                </c:pt>
              </c:strCache>
            </c:strRef>
          </c:tx>
          <c:xVal>
            <c:numRef>
              <c:f>Trucks!$K$129:$N$129</c:f>
              <c:numCache>
                <c:formatCode>0</c:formatCode>
                <c:ptCount val="4"/>
                <c:pt idx="0">
                  <c:v>2010</c:v>
                </c:pt>
                <c:pt idx="1">
                  <c:v>2015</c:v>
                </c:pt>
                <c:pt idx="2">
                  <c:v>2025</c:v>
                </c:pt>
                <c:pt idx="3">
                  <c:v>2040</c:v>
                </c:pt>
              </c:numCache>
            </c:numRef>
          </c:xVal>
          <c:yVal>
            <c:numRef>
              <c:f>Trucks!$K$133:$N$133</c:f>
              <c:numCache>
                <c:formatCode>0.0000</c:formatCode>
                <c:ptCount val="4"/>
                <c:pt idx="0">
                  <c:v>0</c:v>
                </c:pt>
                <c:pt idx="1">
                  <c:v>0</c:v>
                </c:pt>
                <c:pt idx="2">
                  <c:v>0</c:v>
                </c:pt>
                <c:pt idx="3">
                  <c:v>0</c:v>
                </c:pt>
              </c:numCache>
            </c:numRef>
          </c:yVal>
          <c:smooth val="0"/>
          <c:extLst>
            <c:ext xmlns:c16="http://schemas.microsoft.com/office/drawing/2014/chart" uri="{C3380CC4-5D6E-409C-BE32-E72D297353CC}">
              <c16:uniqueId val="{00000003-F869-47C5-949C-2801CF7C4B9D}"/>
            </c:ext>
          </c:extLst>
        </c:ser>
        <c:dLbls>
          <c:showLegendKey val="0"/>
          <c:showVal val="0"/>
          <c:showCatName val="0"/>
          <c:showSerName val="0"/>
          <c:showPercent val="0"/>
          <c:showBubbleSize val="0"/>
        </c:dLbls>
        <c:axId val="793192984"/>
        <c:axId val="793193376"/>
      </c:scatterChart>
      <c:valAx>
        <c:axId val="793192984"/>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3376"/>
        <c:crosses val="autoZero"/>
        <c:crossBetween val="midCat"/>
      </c:valAx>
      <c:valAx>
        <c:axId val="793193376"/>
        <c:scaling>
          <c:orientation val="minMax"/>
          <c:min val="2.0000000000000011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2984"/>
        <c:crosses val="autoZero"/>
        <c:crossBetween val="midCat"/>
      </c:valAx>
    </c:plotArea>
    <c:legend>
      <c:legendPos val="r"/>
      <c:layout>
        <c:manualLayout>
          <c:xMode val="edge"/>
          <c:yMode val="edge"/>
          <c:x val="0.359652668416448"/>
          <c:y val="0.61034338851687864"/>
          <c:w val="0.41256955380577426"/>
          <c:h val="0.20986876640419949"/>
        </c:manualLayout>
      </c:layout>
      <c:overlay val="0"/>
      <c:spPr>
        <a:solidFill>
          <a:schemeClr val="bg1"/>
        </a:solidFill>
      </c:spPr>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5240594925633"/>
          <c:y val="5.1400554097404488E-2"/>
          <c:w val="0.77274059492563463"/>
          <c:h val="0.79822506561679785"/>
        </c:manualLayout>
      </c:layout>
      <c:scatterChart>
        <c:scatterStyle val="lineMarker"/>
        <c:varyColors val="0"/>
        <c:ser>
          <c:idx val="0"/>
          <c:order val="0"/>
          <c:tx>
            <c:strRef>
              <c:f>Trucks!$J$170</c:f>
              <c:strCache>
                <c:ptCount val="1"/>
                <c:pt idx="0">
                  <c:v>diesel</c:v>
                </c:pt>
              </c:strCache>
            </c:strRef>
          </c:tx>
          <c:xVal>
            <c:numRef>
              <c:f>Trucks!$K$169:$N$169</c:f>
              <c:numCache>
                <c:formatCode>0</c:formatCode>
                <c:ptCount val="4"/>
                <c:pt idx="0">
                  <c:v>2010</c:v>
                </c:pt>
                <c:pt idx="1">
                  <c:v>2015</c:v>
                </c:pt>
                <c:pt idx="2">
                  <c:v>2025</c:v>
                </c:pt>
                <c:pt idx="3">
                  <c:v>2040</c:v>
                </c:pt>
              </c:numCache>
            </c:numRef>
          </c:xVal>
          <c:yVal>
            <c:numRef>
              <c:f>Trucks!$K$170:$N$170</c:f>
              <c:numCache>
                <c:formatCode>0.0000</c:formatCode>
                <c:ptCount val="4"/>
                <c:pt idx="0">
                  <c:v>4.2741355933938345E-2</c:v>
                </c:pt>
                <c:pt idx="1">
                  <c:v>4.6675189351799498E-2</c:v>
                </c:pt>
                <c:pt idx="2">
                  <c:v>5.3053883474229534E-2</c:v>
                </c:pt>
                <c:pt idx="3">
                  <c:v>5.3053883474229534E-2</c:v>
                </c:pt>
              </c:numCache>
            </c:numRef>
          </c:yVal>
          <c:smooth val="0"/>
          <c:extLst>
            <c:ext xmlns:c16="http://schemas.microsoft.com/office/drawing/2014/chart" uri="{C3380CC4-5D6E-409C-BE32-E72D297353CC}">
              <c16:uniqueId val="{00000000-82A9-4837-8072-41B26E57C047}"/>
            </c:ext>
          </c:extLst>
        </c:ser>
        <c:ser>
          <c:idx val="1"/>
          <c:order val="1"/>
          <c:tx>
            <c:strRef>
              <c:f>Trucks!$J$171</c:f>
              <c:strCache>
                <c:ptCount val="1"/>
                <c:pt idx="0">
                  <c:v>adv diesel</c:v>
                </c:pt>
              </c:strCache>
            </c:strRef>
          </c:tx>
          <c:xVal>
            <c:numRef>
              <c:f>Trucks!$K$169:$N$169</c:f>
              <c:numCache>
                <c:formatCode>0</c:formatCode>
                <c:ptCount val="4"/>
                <c:pt idx="0">
                  <c:v>2010</c:v>
                </c:pt>
                <c:pt idx="1">
                  <c:v>2015</c:v>
                </c:pt>
                <c:pt idx="2">
                  <c:v>2025</c:v>
                </c:pt>
                <c:pt idx="3">
                  <c:v>2040</c:v>
                </c:pt>
              </c:numCache>
            </c:numRef>
          </c:xVal>
          <c:yVal>
            <c:numRef>
              <c:f>Trucks!$K$171:$N$171</c:f>
              <c:numCache>
                <c:formatCode>0.0000</c:formatCode>
                <c:ptCount val="4"/>
                <c:pt idx="1">
                  <c:v>4.9764823566427481E-2</c:v>
                </c:pt>
                <c:pt idx="2">
                  <c:v>5.2921248765543959E-2</c:v>
                </c:pt>
                <c:pt idx="3">
                  <c:v>5.5937246706524606E-2</c:v>
                </c:pt>
              </c:numCache>
            </c:numRef>
          </c:yVal>
          <c:smooth val="0"/>
          <c:extLst>
            <c:ext xmlns:c16="http://schemas.microsoft.com/office/drawing/2014/chart" uri="{C3380CC4-5D6E-409C-BE32-E72D297353CC}">
              <c16:uniqueId val="{00000001-82A9-4837-8072-41B26E57C047}"/>
            </c:ext>
          </c:extLst>
        </c:ser>
        <c:ser>
          <c:idx val="2"/>
          <c:order val="2"/>
          <c:tx>
            <c:strRef>
              <c:f>Trucks!$J$172</c:f>
              <c:strCache>
                <c:ptCount val="1"/>
                <c:pt idx="0">
                  <c:v>SW diesel</c:v>
                </c:pt>
              </c:strCache>
            </c:strRef>
          </c:tx>
          <c:xVal>
            <c:numRef>
              <c:f>Trucks!$K$169:$N$169</c:f>
              <c:numCache>
                <c:formatCode>0</c:formatCode>
                <c:ptCount val="4"/>
                <c:pt idx="0">
                  <c:v>2010</c:v>
                </c:pt>
                <c:pt idx="1">
                  <c:v>2015</c:v>
                </c:pt>
                <c:pt idx="2">
                  <c:v>2025</c:v>
                </c:pt>
                <c:pt idx="3">
                  <c:v>2040</c:v>
                </c:pt>
              </c:numCache>
            </c:numRef>
          </c:xVal>
          <c:yVal>
            <c:numRef>
              <c:f>Trucks!$K$172:$N$172</c:f>
              <c:numCache>
                <c:formatCode>0.0000</c:formatCode>
                <c:ptCount val="4"/>
                <c:pt idx="2">
                  <c:v>6.0541147891030989E-2</c:v>
                </c:pt>
                <c:pt idx="3">
                  <c:v>7.2955528269861528E-2</c:v>
                </c:pt>
              </c:numCache>
            </c:numRef>
          </c:yVal>
          <c:smooth val="0"/>
          <c:extLst>
            <c:ext xmlns:c16="http://schemas.microsoft.com/office/drawing/2014/chart" uri="{C3380CC4-5D6E-409C-BE32-E72D297353CC}">
              <c16:uniqueId val="{00000002-82A9-4837-8072-41B26E57C047}"/>
            </c:ext>
          </c:extLst>
        </c:ser>
        <c:ser>
          <c:idx val="3"/>
          <c:order val="3"/>
          <c:tx>
            <c:strRef>
              <c:f>Trucks!$J$173</c:f>
              <c:strCache>
                <c:ptCount val="1"/>
                <c:pt idx="0">
                  <c:v>biodiesel</c:v>
                </c:pt>
              </c:strCache>
            </c:strRef>
          </c:tx>
          <c:xVal>
            <c:numRef>
              <c:f>Trucks!$K$169:$N$169</c:f>
              <c:numCache>
                <c:formatCode>0</c:formatCode>
                <c:ptCount val="4"/>
                <c:pt idx="0">
                  <c:v>2010</c:v>
                </c:pt>
                <c:pt idx="1">
                  <c:v>2015</c:v>
                </c:pt>
                <c:pt idx="2">
                  <c:v>2025</c:v>
                </c:pt>
                <c:pt idx="3">
                  <c:v>2040</c:v>
                </c:pt>
              </c:numCache>
            </c:numRef>
          </c:xVal>
          <c:yVal>
            <c:numRef>
              <c:f>Trucks!$K$173:$N$173</c:f>
              <c:numCache>
                <c:formatCode>0.0000</c:formatCode>
                <c:ptCount val="4"/>
                <c:pt idx="0">
                  <c:v>4.271211262559866E-2</c:v>
                </c:pt>
                <c:pt idx="1">
                  <c:v>4.6641074476893418E-2</c:v>
                </c:pt>
                <c:pt idx="2">
                  <c:v>5.3055583726002262E-2</c:v>
                </c:pt>
                <c:pt idx="3">
                  <c:v>5.3055583726002262E-2</c:v>
                </c:pt>
              </c:numCache>
            </c:numRef>
          </c:yVal>
          <c:smooth val="0"/>
          <c:extLst>
            <c:ext xmlns:c16="http://schemas.microsoft.com/office/drawing/2014/chart" uri="{C3380CC4-5D6E-409C-BE32-E72D297353CC}">
              <c16:uniqueId val="{00000003-82A9-4837-8072-41B26E57C047}"/>
            </c:ext>
          </c:extLst>
        </c:ser>
        <c:ser>
          <c:idx val="4"/>
          <c:order val="4"/>
          <c:tx>
            <c:strRef>
              <c:f>Trucks!$J$174</c:f>
              <c:strCache>
                <c:ptCount val="1"/>
                <c:pt idx="0">
                  <c:v>LNG</c:v>
                </c:pt>
              </c:strCache>
            </c:strRef>
          </c:tx>
          <c:xVal>
            <c:numRef>
              <c:f>Trucks!$K$169:$N$169</c:f>
              <c:numCache>
                <c:formatCode>0</c:formatCode>
                <c:ptCount val="4"/>
                <c:pt idx="0">
                  <c:v>2010</c:v>
                </c:pt>
                <c:pt idx="1">
                  <c:v>2015</c:v>
                </c:pt>
                <c:pt idx="2">
                  <c:v>2025</c:v>
                </c:pt>
                <c:pt idx="3">
                  <c:v>2040</c:v>
                </c:pt>
              </c:numCache>
            </c:numRef>
          </c:xVal>
          <c:yVal>
            <c:numRef>
              <c:f>Trucks!$K$174:$N$174</c:f>
              <c:numCache>
                <c:formatCode>0.0000</c:formatCode>
                <c:ptCount val="4"/>
                <c:pt idx="0">
                  <c:v>4.1842580380559553E-2</c:v>
                </c:pt>
                <c:pt idx="1">
                  <c:v>4.1842580380559553E-2</c:v>
                </c:pt>
                <c:pt idx="2">
                  <c:v>4.1842580380559553E-2</c:v>
                </c:pt>
                <c:pt idx="3">
                  <c:v>4.1842580380559553E-2</c:v>
                </c:pt>
              </c:numCache>
            </c:numRef>
          </c:yVal>
          <c:smooth val="0"/>
          <c:extLst>
            <c:ext xmlns:c16="http://schemas.microsoft.com/office/drawing/2014/chart" uri="{C3380CC4-5D6E-409C-BE32-E72D297353CC}">
              <c16:uniqueId val="{00000004-82A9-4837-8072-41B26E57C047}"/>
            </c:ext>
          </c:extLst>
        </c:ser>
        <c:dLbls>
          <c:showLegendKey val="0"/>
          <c:showVal val="0"/>
          <c:showCatName val="0"/>
          <c:showSerName val="0"/>
          <c:showPercent val="0"/>
          <c:showBubbleSize val="0"/>
        </c:dLbls>
        <c:axId val="793194160"/>
        <c:axId val="793194552"/>
      </c:scatterChart>
      <c:valAx>
        <c:axId val="793194160"/>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4552"/>
        <c:crosses val="autoZero"/>
        <c:crossBetween val="midCat"/>
      </c:valAx>
      <c:valAx>
        <c:axId val="793194552"/>
        <c:scaling>
          <c:orientation val="minMax"/>
          <c:min val="1.0000000000000005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4160"/>
        <c:crosses val="autoZero"/>
        <c:crossBetween val="midCat"/>
      </c:valAx>
    </c:plotArea>
    <c:legend>
      <c:legendPos val="r"/>
      <c:layout>
        <c:manualLayout>
          <c:xMode val="edge"/>
          <c:yMode val="edge"/>
          <c:x val="0.17631933508311462"/>
          <c:y val="0.61941043307086618"/>
          <c:w val="0.47368066491688543"/>
          <c:h val="0.20099343832020999"/>
        </c:manualLayout>
      </c:layout>
      <c:overlay val="0"/>
      <c:spPr>
        <a:solidFill>
          <a:sysClr val="window" lastClr="FFFFFF"/>
        </a:solidFill>
      </c:spPr>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178453499764143"/>
          <c:y val="5.1400559662866545E-2"/>
          <c:w val="0.60459789300531064"/>
          <c:h val="0.79822506561679785"/>
        </c:manualLayout>
      </c:layout>
      <c:scatterChart>
        <c:scatterStyle val="smoothMarker"/>
        <c:varyColors val="0"/>
        <c:ser>
          <c:idx val="0"/>
          <c:order val="0"/>
          <c:tx>
            <c:strRef>
              <c:f>'Rail&amp;Bus2'!$K$7</c:f>
              <c:strCache>
                <c:ptCount val="1"/>
                <c:pt idx="0">
                  <c:v>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'Rail&amp;Bus2'!$L$7:$O$7</c:f>
              <c:numCache>
                <c:formatCode>#,##0.0000</c:formatCode>
                <c:ptCount val="4"/>
                <c:pt idx="0">
                  <c:v>3.1791784441245516E-2</c:v>
                </c:pt>
                <c:pt idx="1">
                  <c:v>3.348888211310911E-2</c:v>
                </c:pt>
                <c:pt idx="2">
                  <c:v>3.4986321235341691E-2</c:v>
                </c:pt>
                <c:pt idx="3">
                  <c:v>3.9094679852749017E-2</c:v>
                </c:pt>
              </c:numCache>
            </c:numRef>
          </c:yVal>
          <c:smooth val="1"/>
          <c:extLst>
            <c:ext xmlns:c16="http://schemas.microsoft.com/office/drawing/2014/chart" uri="{C3380CC4-5D6E-409C-BE32-E72D297353CC}">
              <c16:uniqueId val="{00000000-3285-496F-A079-DB8144334719}"/>
            </c:ext>
          </c:extLst>
        </c:ser>
        <c:ser>
          <c:idx val="1"/>
          <c:order val="1"/>
          <c:tx>
            <c:strRef>
              <c:f>'Rail&amp;Bus2'!$K$8</c:f>
              <c:strCache>
                <c:ptCount val="1"/>
                <c:pt idx="0">
                  <c:v>Adv 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'Rail&amp;Bus2'!$L$8:$O$8</c:f>
              <c:numCache>
                <c:formatCode>#,##0.0000</c:formatCode>
                <c:ptCount val="4"/>
                <c:pt idx="1">
                  <c:v>3.7727786705275178E-2</c:v>
                </c:pt>
                <c:pt idx="2">
                  <c:v>3.9094679852749017E-2</c:v>
                </c:pt>
                <c:pt idx="3">
                  <c:v>3.9355771802266494E-2</c:v>
                </c:pt>
              </c:numCache>
            </c:numRef>
          </c:yVal>
          <c:smooth val="1"/>
          <c:extLst>
            <c:ext xmlns:c16="http://schemas.microsoft.com/office/drawing/2014/chart" uri="{C3380CC4-5D6E-409C-BE32-E72D297353CC}">
              <c16:uniqueId val="{00000001-3285-496F-A079-DB8144334719}"/>
            </c:ext>
          </c:extLst>
        </c:ser>
        <c:ser>
          <c:idx val="2"/>
          <c:order val="2"/>
          <c:tx>
            <c:strRef>
              <c:f>'Rail&amp;Bus2'!$K$9</c:f>
              <c:strCache>
                <c:ptCount val="1"/>
                <c:pt idx="0">
                  <c:v>Biodiesel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'Rail&amp;Bus2'!$L$9:$O$9</c:f>
              <c:numCache>
                <c:formatCode>#,##0.0000</c:formatCode>
                <c:ptCount val="4"/>
                <c:pt idx="0">
                  <c:v>3.1770686560191462E-2</c:v>
                </c:pt>
                <c:pt idx="1">
                  <c:v>3.3466657992510862E-2</c:v>
                </c:pt>
                <c:pt idx="2">
                  <c:v>3.496310337396915E-2</c:v>
                </c:pt>
                <c:pt idx="3">
                  <c:v>3.906873557438037E-2</c:v>
                </c:pt>
              </c:numCache>
            </c:numRef>
          </c:yVal>
          <c:smooth val="1"/>
          <c:extLst>
            <c:ext xmlns:c16="http://schemas.microsoft.com/office/drawing/2014/chart" uri="{C3380CC4-5D6E-409C-BE32-E72D297353CC}">
              <c16:uniqueId val="{00000002-3285-496F-A079-DB8144334719}"/>
            </c:ext>
          </c:extLst>
        </c:ser>
        <c:ser>
          <c:idx val="3"/>
          <c:order val="3"/>
          <c:tx>
            <c:strRef>
              <c:f>'Rail&amp;Bus2'!$K$10</c:f>
              <c:strCache>
                <c:ptCount val="1"/>
                <c:pt idx="0">
                  <c:v>CNG</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'Rail&amp;Bus2'!$L$10:$O$10</c:f>
              <c:numCache>
                <c:formatCode>#,##0.0000</c:formatCode>
                <c:ptCount val="4"/>
                <c:pt idx="0">
                  <c:v>2.7030695950044502E-2</c:v>
                </c:pt>
                <c:pt idx="1">
                  <c:v>2.8412947447489963E-2</c:v>
                </c:pt>
                <c:pt idx="2">
                  <c:v>2.9718407195077338E-2</c:v>
                </c:pt>
                <c:pt idx="3">
                  <c:v>3.1231204667281531E-2</c:v>
                </c:pt>
              </c:numCache>
            </c:numRef>
          </c:yVal>
          <c:smooth val="1"/>
          <c:extLst>
            <c:ext xmlns:c16="http://schemas.microsoft.com/office/drawing/2014/chart" uri="{C3380CC4-5D6E-409C-BE32-E72D297353CC}">
              <c16:uniqueId val="{00000003-3285-496F-A079-DB8144334719}"/>
            </c:ext>
          </c:extLst>
        </c:ser>
        <c:ser>
          <c:idx val="4"/>
          <c:order val="4"/>
          <c:tx>
            <c:strRef>
              <c:f>'Rail&amp;Bus2'!$K$11</c:f>
              <c:strCache>
                <c:ptCount val="1"/>
                <c:pt idx="0">
                  <c:v>adv CNG</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'Rail&amp;Bus2'!$L$11:$O$11</c:f>
              <c:numCache>
                <c:formatCode>#,##0.0000</c:formatCode>
                <c:ptCount val="4"/>
                <c:pt idx="1">
                  <c:v>3.022523274414067E-2</c:v>
                </c:pt>
                <c:pt idx="2">
                  <c:v>3.0839566743005316E-2</c:v>
                </c:pt>
                <c:pt idx="3">
                  <c:v>3.1231204667281531E-2</c:v>
                </c:pt>
              </c:numCache>
            </c:numRef>
          </c:yVal>
          <c:smooth val="1"/>
          <c:extLst>
            <c:ext xmlns:c16="http://schemas.microsoft.com/office/drawing/2014/chart" uri="{C3380CC4-5D6E-409C-BE32-E72D297353CC}">
              <c16:uniqueId val="{00000004-3285-496F-A079-DB8144334719}"/>
            </c:ext>
          </c:extLst>
        </c:ser>
        <c:ser>
          <c:idx val="5"/>
          <c:order val="5"/>
          <c:tx>
            <c:strRef>
              <c:f>'Rail&amp;Bus2'!$K$12</c:f>
              <c:strCache>
                <c:ptCount val="1"/>
                <c:pt idx="0">
                  <c:v>H2</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'Rail&amp;Bus2'!$L$12:$O$12</c:f>
              <c:numCache>
                <c:formatCode>#,##0.0000</c:formatCode>
                <c:ptCount val="4"/>
                <c:pt idx="0">
                  <c:v>2.7477593548993765E-2</c:v>
                </c:pt>
                <c:pt idx="1">
                  <c:v>2.7477593548993765E-2</c:v>
                </c:pt>
                <c:pt idx="2">
                  <c:v>2.7477593548993765E-2</c:v>
                </c:pt>
                <c:pt idx="3">
                  <c:v>2.7477593548993765E-2</c:v>
                </c:pt>
              </c:numCache>
            </c:numRef>
          </c:yVal>
          <c:smooth val="1"/>
          <c:extLst>
            <c:ext xmlns:c16="http://schemas.microsoft.com/office/drawing/2014/chart" uri="{C3380CC4-5D6E-409C-BE32-E72D297353CC}">
              <c16:uniqueId val="{00000005-3285-496F-A079-DB8144334719}"/>
            </c:ext>
          </c:extLst>
        </c:ser>
        <c:ser>
          <c:idx val="6"/>
          <c:order val="6"/>
          <c:tx>
            <c:strRef>
              <c:f>'Rail&amp;Bus2'!$K$13</c:f>
              <c:strCache>
                <c:ptCount val="1"/>
                <c:pt idx="0">
                  <c:v>H2 Hybrid</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'Rail&amp;Bus2'!$L$13:$O$13</c:f>
              <c:numCache>
                <c:formatCode>#,##0.0000</c:formatCode>
                <c:ptCount val="4"/>
                <c:pt idx="0">
                  <c:v>4.9930712849028683E-2</c:v>
                </c:pt>
                <c:pt idx="1">
                  <c:v>4.9930712849028683E-2</c:v>
                </c:pt>
                <c:pt idx="2">
                  <c:v>4.9930712849028683E-2</c:v>
                </c:pt>
                <c:pt idx="3">
                  <c:v>4.9930712849028683E-2</c:v>
                </c:pt>
              </c:numCache>
            </c:numRef>
          </c:yVal>
          <c:smooth val="1"/>
          <c:extLst>
            <c:ext xmlns:c16="http://schemas.microsoft.com/office/drawing/2014/chart" uri="{C3380CC4-5D6E-409C-BE32-E72D297353CC}">
              <c16:uniqueId val="{00000006-3285-496F-A079-DB8144334719}"/>
            </c:ext>
          </c:extLst>
        </c:ser>
        <c:dLbls>
          <c:showLegendKey val="0"/>
          <c:showVal val="0"/>
          <c:showCatName val="0"/>
          <c:showSerName val="0"/>
          <c:showPercent val="0"/>
          <c:showBubbleSize val="0"/>
        </c:dLbls>
        <c:axId val="755578360"/>
        <c:axId val="755578752"/>
      </c:scatterChart>
      <c:valAx>
        <c:axId val="7555783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8752"/>
        <c:crosses val="autoZero"/>
        <c:crossBetween val="midCat"/>
      </c:valAx>
      <c:valAx>
        <c:axId val="755578752"/>
        <c:scaling>
          <c:orientation val="minMax"/>
          <c:min val="2.0000000000000011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8360"/>
        <c:crosses val="autoZero"/>
        <c:crossBetween val="midCat"/>
      </c:valAx>
    </c:plotArea>
    <c:legend>
      <c:legendPos val="r"/>
      <c:layout>
        <c:manualLayout>
          <c:xMode val="edge"/>
          <c:yMode val="edge"/>
          <c:x val="0.72110768412013015"/>
          <c:y val="0.11439695992199449"/>
          <c:w val="0.22615285992476741"/>
          <c:h val="0.61379816072609239"/>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73840769903771"/>
          <c:y val="5.1400554097404488E-2"/>
          <c:w val="0.6578379265091987"/>
          <c:h val="0.79822506561679785"/>
        </c:manualLayout>
      </c:layout>
      <c:scatterChart>
        <c:scatterStyle val="smoothMarker"/>
        <c:varyColors val="0"/>
        <c:ser>
          <c:idx val="0"/>
          <c:order val="0"/>
          <c:tx>
            <c:strRef>
              <c:f>'Rail&amp;Bus2'!$S$7</c:f>
              <c:strCache>
                <c:ptCount val="1"/>
                <c:pt idx="0">
                  <c:v>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'Rail&amp;Bus2'!$T$7:$W$7</c:f>
              <c:numCache>
                <c:formatCode>0</c:formatCode>
                <c:ptCount val="4"/>
                <c:pt idx="0">
                  <c:v>10426.65660557352</c:v>
                </c:pt>
                <c:pt idx="1">
                  <c:v>10488.438715335413</c:v>
                </c:pt>
                <c:pt idx="2">
                  <c:v>10598.809880170465</c:v>
                </c:pt>
                <c:pt idx="3">
                  <c:v>10912.547156305081</c:v>
                </c:pt>
              </c:numCache>
            </c:numRef>
          </c:yVal>
          <c:smooth val="1"/>
          <c:extLst>
            <c:ext xmlns:c16="http://schemas.microsoft.com/office/drawing/2014/chart" uri="{C3380CC4-5D6E-409C-BE32-E72D297353CC}">
              <c16:uniqueId val="{00000000-2051-44B5-A3F1-253B0F47BBB4}"/>
            </c:ext>
          </c:extLst>
        </c:ser>
        <c:ser>
          <c:idx val="1"/>
          <c:order val="1"/>
          <c:tx>
            <c:strRef>
              <c:f>'Rail&amp;Bus2'!$S$8</c:f>
              <c:strCache>
                <c:ptCount val="1"/>
                <c:pt idx="0">
                  <c:v>Adv 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'Rail&amp;Bus2'!$T$8:$W$8</c:f>
              <c:numCache>
                <c:formatCode>0</c:formatCode>
                <c:ptCount val="4"/>
                <c:pt idx="1">
                  <c:v>10807.968064260209</c:v>
                </c:pt>
                <c:pt idx="2">
                  <c:v>10912.547156305081</c:v>
                </c:pt>
                <c:pt idx="3">
                  <c:v>11236.002243454332</c:v>
                </c:pt>
              </c:numCache>
            </c:numRef>
          </c:yVal>
          <c:smooth val="1"/>
          <c:extLst>
            <c:ext xmlns:c16="http://schemas.microsoft.com/office/drawing/2014/chart" uri="{C3380CC4-5D6E-409C-BE32-E72D297353CC}">
              <c16:uniqueId val="{00000001-2051-44B5-A3F1-253B0F47BBB4}"/>
            </c:ext>
          </c:extLst>
        </c:ser>
        <c:ser>
          <c:idx val="2"/>
          <c:order val="2"/>
          <c:tx>
            <c:strRef>
              <c:f>'Rail&amp;Bus2'!$S$9</c:f>
              <c:strCache>
                <c:ptCount val="1"/>
                <c:pt idx="0">
                  <c:v>Biodiesel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'Rail&amp;Bus2'!$T$9:$W$9</c:f>
              <c:numCache>
                <c:formatCode>0</c:formatCode>
                <c:ptCount val="4"/>
                <c:pt idx="0">
                  <c:v>10426.65660557352</c:v>
                </c:pt>
                <c:pt idx="1">
                  <c:v>10488.438715335413</c:v>
                </c:pt>
                <c:pt idx="2">
                  <c:v>10749.403772715079</c:v>
                </c:pt>
                <c:pt idx="3">
                  <c:v>11404.873343470175</c:v>
                </c:pt>
              </c:numCache>
            </c:numRef>
          </c:yVal>
          <c:smooth val="1"/>
          <c:extLst>
            <c:ext xmlns:c16="http://schemas.microsoft.com/office/drawing/2014/chart" uri="{C3380CC4-5D6E-409C-BE32-E72D297353CC}">
              <c16:uniqueId val="{00000002-2051-44B5-A3F1-253B0F47BBB4}"/>
            </c:ext>
          </c:extLst>
        </c:ser>
        <c:ser>
          <c:idx val="3"/>
          <c:order val="3"/>
          <c:tx>
            <c:strRef>
              <c:f>'Rail&amp;Bus2'!$S$10</c:f>
              <c:strCache>
                <c:ptCount val="1"/>
                <c:pt idx="0">
                  <c:v>CNG</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'Rail&amp;Bus2'!$T$10:$W$10</c:f>
              <c:numCache>
                <c:formatCode>0</c:formatCode>
                <c:ptCount val="4"/>
                <c:pt idx="0">
                  <c:v>12020.946606425739</c:v>
                </c:pt>
                <c:pt idx="1">
                  <c:v>12033.045602920778</c:v>
                </c:pt>
                <c:pt idx="2">
                  <c:v>12046.850043070701</c:v>
                </c:pt>
                <c:pt idx="3">
                  <c:v>12573.413816062179</c:v>
                </c:pt>
              </c:numCache>
            </c:numRef>
          </c:yVal>
          <c:smooth val="1"/>
          <c:extLst>
            <c:ext xmlns:c16="http://schemas.microsoft.com/office/drawing/2014/chart" uri="{C3380CC4-5D6E-409C-BE32-E72D297353CC}">
              <c16:uniqueId val="{00000003-2051-44B5-A3F1-253B0F47BBB4}"/>
            </c:ext>
          </c:extLst>
        </c:ser>
        <c:ser>
          <c:idx val="4"/>
          <c:order val="4"/>
          <c:tx>
            <c:strRef>
              <c:f>'Rail&amp;Bus2'!$S$11</c:f>
              <c:strCache>
                <c:ptCount val="1"/>
                <c:pt idx="0">
                  <c:v>adv CNG</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'Rail&amp;Bus2'!$T$11:$W$11</c:f>
              <c:numCache>
                <c:formatCode>0</c:formatCode>
                <c:ptCount val="4"/>
                <c:pt idx="1">
                  <c:v>12097.884639988599</c:v>
                </c:pt>
                <c:pt idx="2">
                  <c:v>12081.087628897085</c:v>
                </c:pt>
                <c:pt idx="3">
                  <c:v>12404.542716046335</c:v>
                </c:pt>
              </c:numCache>
            </c:numRef>
          </c:yVal>
          <c:smooth val="1"/>
          <c:extLst>
            <c:ext xmlns:c16="http://schemas.microsoft.com/office/drawing/2014/chart" uri="{C3380CC4-5D6E-409C-BE32-E72D297353CC}">
              <c16:uniqueId val="{00000004-2051-44B5-A3F1-253B0F47BBB4}"/>
            </c:ext>
          </c:extLst>
        </c:ser>
        <c:ser>
          <c:idx val="5"/>
          <c:order val="5"/>
          <c:tx>
            <c:strRef>
              <c:f>'Rail&amp;Bus2'!$S$12</c:f>
              <c:strCache>
                <c:ptCount val="1"/>
                <c:pt idx="0">
                  <c:v>H2</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'Rail&amp;Bus2'!$T$12:$W$12</c:f>
              <c:numCache>
                <c:formatCode>0</c:formatCode>
                <c:ptCount val="4"/>
                <c:pt idx="0">
                  <c:v>63771.600034088806</c:v>
                </c:pt>
                <c:pt idx="1">
                  <c:v>51017.280027271045</c:v>
                </c:pt>
                <c:pt idx="2">
                  <c:v>31885.800017044403</c:v>
                </c:pt>
                <c:pt idx="3">
                  <c:v>19131.480010226642</c:v>
                </c:pt>
              </c:numCache>
            </c:numRef>
          </c:yVal>
          <c:smooth val="1"/>
          <c:extLst>
            <c:ext xmlns:c16="http://schemas.microsoft.com/office/drawing/2014/chart" uri="{C3380CC4-5D6E-409C-BE32-E72D297353CC}">
              <c16:uniqueId val="{00000005-2051-44B5-A3F1-253B0F47BBB4}"/>
            </c:ext>
          </c:extLst>
        </c:ser>
        <c:ser>
          <c:idx val="6"/>
          <c:order val="6"/>
          <c:tx>
            <c:strRef>
              <c:f>'Rail&amp;Bus2'!$S$13</c:f>
              <c:strCache>
                <c:ptCount val="1"/>
                <c:pt idx="0">
                  <c:v>H2 Hybrid</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'Rail&amp;Bus2'!$T$13:$W$13</c:f>
              <c:numCache>
                <c:formatCode>0</c:formatCode>
                <c:ptCount val="4"/>
                <c:pt idx="0">
                  <c:v>63771.600034088806</c:v>
                </c:pt>
                <c:pt idx="1">
                  <c:v>51017.280027271045</c:v>
                </c:pt>
                <c:pt idx="2">
                  <c:v>31885.800017044403</c:v>
                </c:pt>
                <c:pt idx="3">
                  <c:v>19131.480010226642</c:v>
                </c:pt>
              </c:numCache>
            </c:numRef>
          </c:yVal>
          <c:smooth val="1"/>
          <c:extLst>
            <c:ext xmlns:c16="http://schemas.microsoft.com/office/drawing/2014/chart" uri="{C3380CC4-5D6E-409C-BE32-E72D297353CC}">
              <c16:uniqueId val="{00000006-2051-44B5-A3F1-253B0F47BBB4}"/>
            </c:ext>
          </c:extLst>
        </c:ser>
        <c:dLbls>
          <c:showLegendKey val="0"/>
          <c:showVal val="0"/>
          <c:showCatName val="0"/>
          <c:showSerName val="0"/>
          <c:showPercent val="0"/>
          <c:showBubbleSize val="0"/>
        </c:dLbls>
        <c:axId val="755579536"/>
        <c:axId val="968808488"/>
      </c:scatterChart>
      <c:valAx>
        <c:axId val="75557953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8808488"/>
        <c:crosses val="autoZero"/>
        <c:crossBetween val="midCat"/>
      </c:valAx>
      <c:valAx>
        <c:axId val="96880848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9536"/>
        <c:crosses val="autoZero"/>
        <c:crossBetween val="midCat"/>
      </c:valAx>
    </c:plotArea>
    <c:legend>
      <c:legendPos val="r"/>
      <c:layout>
        <c:manualLayout>
          <c:xMode val="edge"/>
          <c:yMode val="edge"/>
          <c:x val="0.72662483414738721"/>
          <c:y val="7.2730259862555352E-2"/>
          <c:w val="0.23663856587462995"/>
          <c:h val="0.66009443476054042"/>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1.emf"/><Relationship Id="rId2" Type="http://schemas.openxmlformats.org/officeDocument/2006/relationships/image" Target="../media/image6.emf"/><Relationship Id="rId1" Type="http://schemas.openxmlformats.org/officeDocument/2006/relationships/image" Target="../media/image7.emf"/><Relationship Id="rId6" Type="http://schemas.openxmlformats.org/officeDocument/2006/relationships/image" Target="../media/image2.emf"/><Relationship Id="rId5" Type="http://schemas.openxmlformats.org/officeDocument/2006/relationships/image" Target="../media/image3.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11.emf"/><Relationship Id="rId1" Type="http://schemas.openxmlformats.org/officeDocument/2006/relationships/image" Target="../media/image12.emf"/><Relationship Id="rId5" Type="http://schemas.openxmlformats.org/officeDocument/2006/relationships/image" Target="../media/image8.emf"/><Relationship Id="rId4"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5.emf"/><Relationship Id="rId1" Type="http://schemas.openxmlformats.org/officeDocument/2006/relationships/image" Target="../media/image16.emf"/><Relationship Id="rId4" Type="http://schemas.openxmlformats.org/officeDocument/2006/relationships/image" Target="../media/image13.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20.emf"/><Relationship Id="rId1" Type="http://schemas.openxmlformats.org/officeDocument/2006/relationships/image" Target="../media/image21.emf"/><Relationship Id="rId5" Type="http://schemas.openxmlformats.org/officeDocument/2006/relationships/image" Target="../media/image17.emf"/><Relationship Id="rId4" Type="http://schemas.openxmlformats.org/officeDocument/2006/relationships/image" Target="../media/image18.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6.emf"/><Relationship Id="rId7" Type="http://schemas.openxmlformats.org/officeDocument/2006/relationships/image" Target="../media/image22.emf"/><Relationship Id="rId2" Type="http://schemas.openxmlformats.org/officeDocument/2006/relationships/image" Target="../media/image27.emf"/><Relationship Id="rId1" Type="http://schemas.openxmlformats.org/officeDocument/2006/relationships/image" Target="../media/image28.emf"/><Relationship Id="rId6" Type="http://schemas.openxmlformats.org/officeDocument/2006/relationships/image" Target="../media/image23.emf"/><Relationship Id="rId5" Type="http://schemas.openxmlformats.org/officeDocument/2006/relationships/image" Target="../media/image24.emf"/><Relationship Id="rId4" Type="http://schemas.openxmlformats.org/officeDocument/2006/relationships/image" Target="../media/image25.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32.emf"/><Relationship Id="rId2" Type="http://schemas.openxmlformats.org/officeDocument/2006/relationships/image" Target="../media/image33.emf"/><Relationship Id="rId1" Type="http://schemas.openxmlformats.org/officeDocument/2006/relationships/image" Target="../media/image34.emf"/><Relationship Id="rId6" Type="http://schemas.openxmlformats.org/officeDocument/2006/relationships/image" Target="../media/image29.emf"/><Relationship Id="rId5" Type="http://schemas.openxmlformats.org/officeDocument/2006/relationships/image" Target="../media/image30.emf"/><Relationship Id="rId4" Type="http://schemas.openxmlformats.org/officeDocument/2006/relationships/image" Target="../media/image3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114300</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9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9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3</xdr:col>
          <xdr:colOff>657225</xdr:colOff>
          <xdr:row>5</xdr:row>
          <xdr:rowOff>95250</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9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657225</xdr:colOff>
          <xdr:row>5</xdr:row>
          <xdr:rowOff>95250</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9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257175</xdr:colOff>
          <xdr:row>3</xdr:row>
          <xdr:rowOff>209550</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9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0A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0A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0A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28575</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0A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0B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0B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0B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0B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285750</xdr:colOff>
          <xdr:row>4</xdr:row>
          <xdr:rowOff>9525</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0B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1552575</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0C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9525</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0C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5</xdr:col>
          <xdr:colOff>704850</xdr:colOff>
          <xdr:row>4</xdr:row>
          <xdr:rowOff>9525</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0C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0</xdr:col>
          <xdr:colOff>695325</xdr:colOff>
          <xdr:row>4</xdr:row>
          <xdr:rowOff>219075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0C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0C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0C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9525</xdr:colOff>
          <xdr:row>4</xdr:row>
          <xdr:rowOff>19050</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0C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0D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0D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0</xdr:col>
          <xdr:colOff>695325</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0D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0D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0D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3</xdr:col>
          <xdr:colOff>333375</xdr:colOff>
          <xdr:row>4</xdr:row>
          <xdr:rowOff>28575</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0D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17</xdr:col>
      <xdr:colOff>257175</xdr:colOff>
      <xdr:row>199</xdr:row>
      <xdr:rowOff>66675</xdr:rowOff>
    </xdr:from>
    <xdr:to>
      <xdr:col>25</xdr:col>
      <xdr:colOff>447675</xdr:colOff>
      <xdr:row>221</xdr:row>
      <xdr:rowOff>28575</xdr:rowOff>
    </xdr:to>
    <xdr:graphicFrame macro="">
      <xdr:nvGraphicFramePr>
        <xdr:cNvPr id="92169" name="Chart 12">
          <a:extLst>
            <a:ext uri="{FF2B5EF4-FFF2-40B4-BE49-F238E27FC236}">
              <a16:creationId xmlns:a16="http://schemas.microsoft.com/office/drawing/2014/main" id="{00000000-0008-0000-1700-00000968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47625</xdr:colOff>
      <xdr:row>89</xdr:row>
      <xdr:rowOff>114300</xdr:rowOff>
    </xdr:from>
    <xdr:to>
      <xdr:col>8</xdr:col>
      <xdr:colOff>104775</xdr:colOff>
      <xdr:row>97</xdr:row>
      <xdr:rowOff>104775</xdr:rowOff>
    </xdr:to>
    <xdr:sp macro="" textlink="">
      <xdr:nvSpPr>
        <xdr:cNvPr id="352271" name="Line 125">
          <a:extLst>
            <a:ext uri="{FF2B5EF4-FFF2-40B4-BE49-F238E27FC236}">
              <a16:creationId xmlns:a16="http://schemas.microsoft.com/office/drawing/2014/main" id="{00000000-0008-0000-2E00-00000F600500}"/>
            </a:ext>
          </a:extLst>
        </xdr:cNvPr>
        <xdr:cNvSpPr>
          <a:spLocks noChangeShapeType="1"/>
        </xdr:cNvSpPr>
      </xdr:nvSpPr>
      <xdr:spPr bwMode="auto">
        <a:xfrm flipH="1" flipV="1">
          <a:off x="4381500" y="15382875"/>
          <a:ext cx="5153025" cy="1285875"/>
        </a:xfrm>
        <a:prstGeom prst="line">
          <a:avLst/>
        </a:prstGeom>
        <a:noFill/>
        <a:ln w="9525">
          <a:solidFill>
            <a:srgbClr val="000000"/>
          </a:solidFill>
          <a:round/>
          <a:headEnd/>
          <a:tailEnd type="triangle" w="med" len="med"/>
        </a:ln>
      </xdr:spPr>
    </xdr:sp>
    <xdr:clientData/>
  </xdr:twoCellAnchor>
  <xdr:twoCellAnchor>
    <xdr:from>
      <xdr:col>12</xdr:col>
      <xdr:colOff>76200</xdr:colOff>
      <xdr:row>92</xdr:row>
      <xdr:rowOff>114300</xdr:rowOff>
    </xdr:from>
    <xdr:to>
      <xdr:col>20</xdr:col>
      <xdr:colOff>561975</xdr:colOff>
      <xdr:row>98</xdr:row>
      <xdr:rowOff>85725</xdr:rowOff>
    </xdr:to>
    <xdr:sp macro="" textlink="">
      <xdr:nvSpPr>
        <xdr:cNvPr id="352272" name="Line 126">
          <a:extLst>
            <a:ext uri="{FF2B5EF4-FFF2-40B4-BE49-F238E27FC236}">
              <a16:creationId xmlns:a16="http://schemas.microsoft.com/office/drawing/2014/main" id="{00000000-0008-0000-2E00-000010600500}"/>
            </a:ext>
          </a:extLst>
        </xdr:cNvPr>
        <xdr:cNvSpPr>
          <a:spLocks noChangeShapeType="1"/>
        </xdr:cNvSpPr>
      </xdr:nvSpPr>
      <xdr:spPr bwMode="auto">
        <a:xfrm flipV="1">
          <a:off x="12868275" y="15868650"/>
          <a:ext cx="6267450" cy="942975"/>
        </a:xfrm>
        <a:prstGeom prst="line">
          <a:avLst/>
        </a:prstGeom>
        <a:noFill/>
        <a:ln w="9525">
          <a:solidFill>
            <a:srgbClr val="000000"/>
          </a:solidFill>
          <a:round/>
          <a:headEnd/>
          <a:tailEnd type="triangle" w="med" len="me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209550</xdr:colOff>
      <xdr:row>23</xdr:row>
      <xdr:rowOff>95250</xdr:rowOff>
    </xdr:from>
    <xdr:to>
      <xdr:col>16</xdr:col>
      <xdr:colOff>304800</xdr:colOff>
      <xdr:row>54</xdr:row>
      <xdr:rowOff>85725</xdr:rowOff>
    </xdr:to>
    <xdr:graphicFrame macro="">
      <xdr:nvGraphicFramePr>
        <xdr:cNvPr id="353323" name="Chart 1">
          <a:extLst>
            <a:ext uri="{FF2B5EF4-FFF2-40B4-BE49-F238E27FC236}">
              <a16:creationId xmlns:a16="http://schemas.microsoft.com/office/drawing/2014/main" id="{00000000-0008-0000-2F00-00002B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23</xdr:row>
      <xdr:rowOff>0</xdr:rowOff>
    </xdr:from>
    <xdr:to>
      <xdr:col>25</xdr:col>
      <xdr:colOff>304800</xdr:colOff>
      <xdr:row>53</xdr:row>
      <xdr:rowOff>152400</xdr:rowOff>
    </xdr:to>
    <xdr:graphicFrame macro="">
      <xdr:nvGraphicFramePr>
        <xdr:cNvPr id="353324" name="Chart 2">
          <a:extLst>
            <a:ext uri="{FF2B5EF4-FFF2-40B4-BE49-F238E27FC236}">
              <a16:creationId xmlns:a16="http://schemas.microsoft.com/office/drawing/2014/main" id="{00000000-0008-0000-2F00-00002C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495300</xdr:colOff>
      <xdr:row>86</xdr:row>
      <xdr:rowOff>57150</xdr:rowOff>
    </xdr:from>
    <xdr:to>
      <xdr:col>16</xdr:col>
      <xdr:colOff>190500</xdr:colOff>
      <xdr:row>108</xdr:row>
      <xdr:rowOff>0</xdr:rowOff>
    </xdr:to>
    <xdr:graphicFrame macro="">
      <xdr:nvGraphicFramePr>
        <xdr:cNvPr id="353325" name="Chart 3">
          <a:extLst>
            <a:ext uri="{FF2B5EF4-FFF2-40B4-BE49-F238E27FC236}">
              <a16:creationId xmlns:a16="http://schemas.microsoft.com/office/drawing/2014/main" id="{00000000-0008-0000-2F00-00002D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561975</xdr:colOff>
      <xdr:row>88</xdr:row>
      <xdr:rowOff>104775</xdr:rowOff>
    </xdr:from>
    <xdr:to>
      <xdr:col>24</xdr:col>
      <xdr:colOff>257175</xdr:colOff>
      <xdr:row>119</xdr:row>
      <xdr:rowOff>57150</xdr:rowOff>
    </xdr:to>
    <xdr:graphicFrame macro="">
      <xdr:nvGraphicFramePr>
        <xdr:cNvPr id="353326" name="Chart 4">
          <a:extLst>
            <a:ext uri="{FF2B5EF4-FFF2-40B4-BE49-F238E27FC236}">
              <a16:creationId xmlns:a16="http://schemas.microsoft.com/office/drawing/2014/main" id="{00000000-0008-0000-2F00-00002E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161925</xdr:colOff>
      <xdr:row>133</xdr:row>
      <xdr:rowOff>152400</xdr:rowOff>
    </xdr:from>
    <xdr:to>
      <xdr:col>18</xdr:col>
      <xdr:colOff>466725</xdr:colOff>
      <xdr:row>155</xdr:row>
      <xdr:rowOff>28575</xdr:rowOff>
    </xdr:to>
    <xdr:graphicFrame macro="">
      <xdr:nvGraphicFramePr>
        <xdr:cNvPr id="353327" name="Chart 5">
          <a:extLst>
            <a:ext uri="{FF2B5EF4-FFF2-40B4-BE49-F238E27FC236}">
              <a16:creationId xmlns:a16="http://schemas.microsoft.com/office/drawing/2014/main" id="{00000000-0008-0000-2F00-00002F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276225</xdr:colOff>
      <xdr:row>175</xdr:row>
      <xdr:rowOff>76200</xdr:rowOff>
    </xdr:from>
    <xdr:to>
      <xdr:col>15</xdr:col>
      <xdr:colOff>581025</xdr:colOff>
      <xdr:row>194</xdr:row>
      <xdr:rowOff>47625</xdr:rowOff>
    </xdr:to>
    <xdr:graphicFrame macro="">
      <xdr:nvGraphicFramePr>
        <xdr:cNvPr id="353328" name="Chart 6">
          <a:extLst>
            <a:ext uri="{FF2B5EF4-FFF2-40B4-BE49-F238E27FC236}">
              <a16:creationId xmlns:a16="http://schemas.microsoft.com/office/drawing/2014/main" id="{00000000-0008-0000-2F00-000030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371475</xdr:colOff>
      <xdr:row>19</xdr:row>
      <xdr:rowOff>133350</xdr:rowOff>
    </xdr:from>
    <xdr:to>
      <xdr:col>16</xdr:col>
      <xdr:colOff>238125</xdr:colOff>
      <xdr:row>46</xdr:row>
      <xdr:rowOff>19050</xdr:rowOff>
    </xdr:to>
    <xdr:graphicFrame macro="">
      <xdr:nvGraphicFramePr>
        <xdr:cNvPr id="360463" name="Chart 3">
          <a:extLst>
            <a:ext uri="{FF2B5EF4-FFF2-40B4-BE49-F238E27FC236}">
              <a16:creationId xmlns:a16="http://schemas.microsoft.com/office/drawing/2014/main" id="{00000000-0008-0000-3000-00000F80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390525</xdr:colOff>
      <xdr:row>19</xdr:row>
      <xdr:rowOff>28575</xdr:rowOff>
    </xdr:from>
    <xdr:to>
      <xdr:col>24</xdr:col>
      <xdr:colOff>409575</xdr:colOff>
      <xdr:row>45</xdr:row>
      <xdr:rowOff>57150</xdr:rowOff>
    </xdr:to>
    <xdr:graphicFrame macro="">
      <xdr:nvGraphicFramePr>
        <xdr:cNvPr id="360464" name="Chart 4">
          <a:extLst>
            <a:ext uri="{FF2B5EF4-FFF2-40B4-BE49-F238E27FC236}">
              <a16:creationId xmlns:a16="http://schemas.microsoft.com/office/drawing/2014/main" id="{00000000-0008-0000-3000-00001080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2626umcec001\cgage$\MARKAL%202005%20USEPA%20NM\MARKAL_14_Residential.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nycmomb.sharepoint.com/sites/grp_ESR/Shared%20Documents/Resource%20Library/Climate%20Science%20&amp;%20SBTs/GHG%20Inventory/Complete%20NYC%20GHG%20Inventory/NYC%20GHG%20inventory/2022%20Inventory/Community%20Calculation%20Workbook%20CY2022%20CLCPA%20Method%20V7%20SB.xlsx?FA755DCD" TargetMode="External"/><Relationship Id="rId1" Type="http://schemas.openxmlformats.org/officeDocument/2006/relationships/externalLinkPath" Target="file:///\\FA755DCD\Community%20Calculation%20Workbook%20CY2022%20CLCPA%20Method%20V7%20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ITEMS-C"/>
      <sheetName val="TS-C"/>
      <sheetName val="Sheet3"/>
      <sheetName val="MARKAL data"/>
      <sheetName val="RESID calcs"/>
      <sheetName val="RESID data"/>
      <sheetName val="Input-Output"/>
      <sheetName val="IBOND"/>
      <sheetName val="GROWTH"/>
      <sheetName val="AEO HW"/>
      <sheetName val="Conversions"/>
      <sheetName val="RTEKTY05"/>
      <sheetName val="RTEK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3">
          <cell r="B33">
            <v>9.9441618796908582</v>
          </cell>
        </row>
      </sheetData>
      <sheetData sheetId="13">
        <row r="5">
          <cell r="D5">
            <v>1055.056</v>
          </cell>
        </row>
      </sheetData>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unity Analysis"/>
      <sheetName val="CLCPA Update Check"/>
      <sheetName val="Summary to Publish"/>
      <sheetName val="Historical Emissions"/>
      <sheetName val="Community Emissions"/>
      <sheetName val="SB 3"/>
      <sheetName val="SB 2"/>
      <sheetName val="SB 1"/>
      <sheetName val="Weather"/>
      <sheetName val="GCP"/>
      <sheetName val="Cumulative Reduction"/>
      <sheetName val="Population"/>
      <sheetName val="EF EL and Steam"/>
      <sheetName val="EF road transport"/>
      <sheetName val="RELA TABLE"/>
      <sheetName val="On Road Transportation"/>
      <sheetName val="Transit"/>
      <sheetName val="Fuel Oils"/>
      <sheetName val="Electricity "/>
      <sheetName val="Natural Gas"/>
      <sheetName val="ConEd Steam"/>
      <sheetName val="Fugitive"/>
      <sheetName val="Marine and Aviation"/>
      <sheetName val="Solid Waste"/>
      <sheetName val="WWTP"/>
      <sheetName val="Unit conversions"/>
      <sheetName val="SB"/>
      <sheetName val="SB2"/>
      <sheetName val="SB3"/>
      <sheetName val="S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RN_HDV/TRN%20DMD_MI.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RN_HDV/TRN%20DMD_MI.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5626620374" createdVersion="6" refreshedVersion="6" minRefreshableVersion="3" recordCount="13" xr:uid="{00000000-000A-0000-FFFF-FFFF0B000000}">
  <cacheSource type="worksheet">
    <worksheetSource ref="A1:I14" sheet="2010 GHG" r:id="rId2"/>
  </cacheSource>
  <cacheFields count="7">
    <cacheField name="GHG Emissions 2010" numFmtId="0">
      <sharedItems containsBlank="1"/>
    </cacheField>
    <cacheField name="Sector" numFmtId="0">
      <sharedItems/>
    </cacheField>
    <cacheField name="Fuel Type" numFmtId="0">
      <sharedItems count="4">
        <s v="CNG"/>
        <s v="Diesel"/>
        <s v="Electricity"/>
        <s v="Gasoline"/>
      </sharedItems>
    </cacheField>
    <cacheField name="Units" numFmtId="0">
      <sharedItems/>
    </cacheField>
    <cacheField name="Consumed" numFmtId="3">
      <sharedItems containsSemiMixedTypes="0" containsString="0" containsNumber="1" containsInteger="1" minValue="855804" maxValue="3629210490"/>
    </cacheField>
    <cacheField name="MgCO2e" numFmtId="3">
      <sharedItems containsSemiMixedTypes="0" containsString="0" containsNumber="1" containsInteger="1" minValue="13789" maxValue="7790907"/>
    </cacheField>
    <cacheField name="Source GJ" numFmtId="3">
      <sharedItems containsSemiMixedTypes="0" containsString="0" containsNumber="1" containsInteger="1" minValue="195751" maxValue="1223513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6417708331" createdVersion="6" refreshedVersion="6" minRefreshableVersion="3" recordCount="70" xr:uid="{00000000-000A-0000-FFFF-FFFF0C000000}">
  <cacheSource type="worksheet">
    <worksheetSource ref="A1:F71" sheet="Fuel consumptions" r:id="rId2"/>
  </cacheSource>
  <cacheFields count="6">
    <cacheField name="GPC ID" numFmtId="0">
      <sharedItems/>
    </cacheField>
    <cacheField name="Sector" numFmtId="0">
      <sharedItems/>
    </cacheField>
    <cacheField name="Sub-Sector / Service Class" numFmtId="0">
      <sharedItems/>
    </cacheField>
    <cacheField name="FuelType" numFmtId="0">
      <sharedItems count="7">
        <s v="Gasoline"/>
        <s v="Gasoline Hybrid"/>
        <s v="Diesel"/>
        <s v="Diesel Hybrid"/>
        <s v="CNG"/>
        <s v="Electricity"/>
        <s v="Fuel Cell"/>
      </sharedItems>
    </cacheField>
    <cacheField name="Original Units" numFmtId="0">
      <sharedItems count="1">
        <s v="GJ"/>
      </sharedItems>
    </cacheField>
    <cacheField name="2010" numFmtId="174">
      <sharedItems containsSemiMixedTypes="0" containsString="0" containsNumber="1" minValue="0" maxValue="197140277.4329384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mia" refreshedDate="45324.573434375001" createdVersion="8" refreshedVersion="8" minRefreshableVersion="3" recordCount="41" xr:uid="{DB277E08-FB99-4729-85F3-57E9E8F130F5}">
  <cacheSource type="worksheet">
    <worksheetSource ref="Y12:AY53" sheet="ON-Road Historical share"/>
  </cacheSource>
  <cacheFields count="27">
    <cacheField name="Aggregate tag" numFmtId="0">
      <sharedItems containsBlank="1"/>
    </cacheField>
    <cacheField name="Data source" numFmtId="0">
      <sharedItems containsBlank="1"/>
    </cacheField>
    <cacheField name="GPC Sector" numFmtId="0">
      <sharedItems containsBlank="1" count="2">
        <s v="Transportation"/>
        <m/>
      </sharedItems>
    </cacheField>
    <cacheField name="GPC Sub-sector" numFmtId="0">
      <sharedItems containsBlank="1" count="3">
        <s v="On-road"/>
        <m/>
        <s v="Rail"/>
      </sharedItems>
    </cacheField>
    <cacheField name="GPC Sub-sector class" numFmtId="0">
      <sharedItems containsBlank="1"/>
    </cacheField>
    <cacheField name="GPC Sub-sector class agg" numFmtId="0">
      <sharedItems containsBlank="1" count="6">
        <s v="Heavy duty trucks"/>
        <s v="Medium duty trucks"/>
        <m/>
        <s v="Passenger cars"/>
        <s v="Buses"/>
        <s v="Rail"/>
      </sharedItems>
    </cacheField>
    <cacheField name="Address/service" numFmtId="0">
      <sharedItems containsBlank="1"/>
    </cacheField>
    <cacheField name="Fuel type" numFmtId="0">
      <sharedItems containsBlank="1" count="8">
        <s v="CNG"/>
        <s v="Diesel"/>
        <s v="Electricity"/>
        <s v="Gasoline"/>
        <s v="Diesel Hybrid"/>
        <m/>
        <s v="Gasoline Hybrid"/>
        <s v="Fuel Cell"/>
      </sharedItems>
    </cacheField>
    <cacheField name="Reported units" numFmtId="0">
      <sharedItems containsBlank="1"/>
    </cacheField>
    <cacheField name="CY2022" numFmtId="0">
      <sharedItems containsString="0" containsBlank="1" containsNumber="1" minValue="0" maxValue="19416549926.585327"/>
    </cacheField>
    <cacheField name="CY2021" numFmtId="0">
      <sharedItems containsString="0" containsBlank="1" containsNumber="1" minValue="0" maxValue="18575339163.754768"/>
    </cacheField>
    <cacheField name="CY2020" numFmtId="0">
      <sharedItems containsString="0" containsBlank="1" containsNumber="1" minValue="0" maxValue="15425812292.703026"/>
    </cacheField>
    <cacheField name="CY2019" numFmtId="0">
      <sharedItems containsString="0" containsBlank="1" containsNumber="1" minValue="0" maxValue="20215103866.158669"/>
    </cacheField>
    <cacheField name="CY2018" numFmtId="0">
      <sharedItems containsString="0" containsBlank="1" containsNumber="1" minValue="0" maxValue="20000031418.792645"/>
    </cacheField>
    <cacheField name="CY2017" numFmtId="0">
      <sharedItems containsString="0" containsBlank="1" containsNumber="1" minValue="0" maxValue="19586528602.364891"/>
    </cacheField>
    <cacheField name="CY2016" numFmtId="0">
      <sharedItems containsString="0" containsBlank="1" containsNumber="1" minValue="0" maxValue="19592915980.390472"/>
    </cacheField>
    <cacheField name="CY2015" numFmtId="0">
      <sharedItems containsString="0" containsBlank="1" containsNumber="1" minValue="0" maxValue="19234200482.675129"/>
    </cacheField>
    <cacheField name="CY2014" numFmtId="0">
      <sharedItems containsString="0" containsBlank="1" containsNumber="1" minValue="0" maxValue="18617847739.964611"/>
    </cacheField>
    <cacheField name="CY2013" numFmtId="0">
      <sharedItems containsString="0" containsBlank="1" containsNumber="1" minValue="0" maxValue="18632352658.980202"/>
    </cacheField>
    <cacheField name="CY2012" numFmtId="0">
      <sharedItems containsString="0" containsBlank="1" containsNumber="1" minValue="0" maxValue="18575945525.737743"/>
    </cacheField>
    <cacheField name="CY2011" numFmtId="0">
      <sharedItems containsString="0" containsBlank="1" containsNumber="1" minValue="0" maxValue="18811295822.828991"/>
    </cacheField>
    <cacheField name="CY2010" numFmtId="0">
      <sharedItems containsString="0" containsBlank="1" containsNumber="1" minValue="0" maxValue="19330346471.372349"/>
    </cacheField>
    <cacheField name="CY2009" numFmtId="0">
      <sharedItems containsString="0" containsBlank="1" containsNumber="1" minValue="0" maxValue="18393859855.70919"/>
    </cacheField>
    <cacheField name="CY2008" numFmtId="0">
      <sharedItems containsString="0" containsBlank="1" containsNumber="1" minValue="0" maxValue="18596344347.752155"/>
    </cacheField>
    <cacheField name="CY2007" numFmtId="0">
      <sharedItems containsString="0" containsBlank="1" containsNumber="1" minValue="0" maxValue="19227860011.250507"/>
    </cacheField>
    <cacheField name="CY2006" numFmtId="0">
      <sharedItems containsString="0" containsBlank="1" containsNumber="1" minValue="0" maxValue="19165762678.406345"/>
    </cacheField>
    <cacheField name="CY2005" numFmtId="0">
      <sharedItems containsString="0" containsBlank="1" containsNumber="1" minValue="0" maxValue="19090939606.3588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transit bus"/>
    <s v="transportation"/>
    <x v="0"/>
    <s v="GJ"/>
    <n v="1420989"/>
    <n v="78637"/>
    <n v="1420989"/>
  </r>
  <r>
    <s v="commuter rail"/>
    <s v="transportation"/>
    <x v="1"/>
    <s v="liters"/>
    <n v="5064028"/>
    <n v="13789"/>
    <n v="195751"/>
  </r>
  <r>
    <s v="heavy truck"/>
    <s v="transportation"/>
    <x v="1"/>
    <s v="liters"/>
    <n v="326200350"/>
    <n v="881007"/>
    <n v="12555252"/>
  </r>
  <r>
    <s v="light truck"/>
    <s v="transportation"/>
    <x v="1"/>
    <s v="light"/>
    <n v="35234181"/>
    <n v="95080"/>
    <n v="1356142"/>
  </r>
  <r>
    <s v="non-transit bus"/>
    <s v="transportation"/>
    <x v="1"/>
    <s v="liters"/>
    <n v="7545275"/>
    <n v="20391"/>
    <n v="290413"/>
  </r>
  <r>
    <s v="passenger cars"/>
    <s v="transportation"/>
    <x v="1"/>
    <s v="liters"/>
    <n v="14166357"/>
    <n v="38228"/>
    <n v="545254"/>
  </r>
  <r>
    <s v="solid waste trn rail"/>
    <s v="transportation"/>
    <x v="1"/>
    <s v="liters"/>
    <n v="5671501"/>
    <n v="15443"/>
    <n v="219257"/>
  </r>
  <r>
    <s v="solid waste trn truck"/>
    <s v="transportation"/>
    <x v="1"/>
    <s v="liters"/>
    <n v="28064413"/>
    <n v="75797"/>
    <n v="1080300"/>
  </r>
  <r>
    <s v="transit bus"/>
    <s v="transportation"/>
    <x v="1"/>
    <s v="liters"/>
    <n v="188631878"/>
    <n v="509784"/>
    <n v="7260325"/>
  </r>
  <r>
    <s v="subway and commuter rail"/>
    <s v="transportation"/>
    <x v="2"/>
    <s v="GJ"/>
    <n v="10118346"/>
    <n v="889291"/>
    <n v="25432916"/>
  </r>
  <r>
    <s v="light truck"/>
    <s v="transportation"/>
    <x v="3"/>
    <s v="liters"/>
    <n v="440373688"/>
    <n v="946065"/>
    <n v="14846296"/>
  </r>
  <r>
    <s v="passenger cars"/>
    <s v="transportation"/>
    <x v="3"/>
    <s v="liters"/>
    <n v="3629210490"/>
    <n v="7790907"/>
    <n v="122351394"/>
  </r>
  <r>
    <m/>
    <s v="Street light and traffic signals"/>
    <x v="2"/>
    <s v="GJ"/>
    <n v="855804"/>
    <n v="75216"/>
    <n v="2151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RoadPassenger cars"/>
    <s v="Private"/>
    <s v="LightDuty-"/>
    <x v="0"/>
    <x v="0"/>
    <n v="197140277.43293849"/>
  </r>
  <r>
    <s v="RoadPassenger cars"/>
    <s v="Private"/>
    <s v="LightDuty-"/>
    <x v="1"/>
    <x v="0"/>
    <n v="285842.63734909787"/>
  </r>
  <r>
    <s v="RoadPassenger cars"/>
    <s v="Private"/>
    <s v="LightDuty-"/>
    <x v="2"/>
    <x v="0"/>
    <n v="2041938.4084569474"/>
  </r>
  <r>
    <s v="RoadPassenger cars"/>
    <s v="Private"/>
    <s v="LightDuty-"/>
    <x v="3"/>
    <x v="0"/>
    <n v="12.046237098259951"/>
  </r>
  <r>
    <s v="RoadPassenger cars"/>
    <s v="Private"/>
    <s v="LightDuty-"/>
    <x v="4"/>
    <x v="0"/>
    <n v="13.063158000121131"/>
  </r>
  <r>
    <s v="RoadPassenger cars"/>
    <s v="Private"/>
    <s v="LightDuty-"/>
    <x v="5"/>
    <x v="0"/>
    <n v="20843.554608539576"/>
  </r>
  <r>
    <s v="RoadPassenger cars"/>
    <s v="Private"/>
    <s v="LightDuty-"/>
    <x v="6"/>
    <x v="0"/>
    <n v="0"/>
  </r>
  <r>
    <s v="RoadMedium duty trucks"/>
    <s v="Private"/>
    <s v="MediumDuty-"/>
    <x v="0"/>
    <x v="0"/>
    <n v="3830407.8734880253"/>
  </r>
  <r>
    <s v="RoadMedium duty trucks"/>
    <s v="Private"/>
    <s v="MediumDuty-"/>
    <x v="1"/>
    <x v="0"/>
    <n v="0"/>
  </r>
  <r>
    <s v="RoadMedium duty trucks"/>
    <s v="Private"/>
    <s v="MediumDuty-"/>
    <x v="2"/>
    <x v="0"/>
    <n v="1497870.9942587353"/>
  </r>
  <r>
    <s v="RoadMedium duty trucks"/>
    <s v="Private"/>
    <s v="MediumDuty-"/>
    <x v="3"/>
    <x v="0"/>
    <n v="0"/>
  </r>
  <r>
    <s v="RoadMedium duty trucks"/>
    <s v="Private"/>
    <s v="MediumDuty-"/>
    <x v="4"/>
    <x v="0"/>
    <n v="0"/>
  </r>
  <r>
    <s v="RoadMedium duty trucks"/>
    <s v="Private"/>
    <s v="MediumDuty-"/>
    <x v="5"/>
    <x v="0"/>
    <n v="0"/>
  </r>
  <r>
    <s v="RoadMedium duty trucks"/>
    <s v="Private"/>
    <s v="MediumDuty-"/>
    <x v="6"/>
    <x v="0"/>
    <n v="0"/>
  </r>
  <r>
    <s v="RoadHeavy duty trucks"/>
    <s v="Private"/>
    <s v="HeavyDuty-"/>
    <x v="0"/>
    <x v="0"/>
    <n v="0"/>
  </r>
  <r>
    <s v="RoadHeavy duty trucks"/>
    <s v="Private"/>
    <s v="HeavyDuty-"/>
    <x v="1"/>
    <x v="0"/>
    <n v="0"/>
  </r>
  <r>
    <s v="RoadHeavy duty trucks"/>
    <s v="Private"/>
    <s v="HeavyDuty-"/>
    <x v="2"/>
    <x v="0"/>
    <n v="16775910.393430715"/>
  </r>
  <r>
    <s v="RoadHeavy duty trucks"/>
    <s v="Private"/>
    <s v="HeavyDuty-"/>
    <x v="3"/>
    <x v="0"/>
    <n v="0"/>
  </r>
  <r>
    <s v="RoadHeavy duty trucks"/>
    <s v="Private"/>
    <s v="HeavyDuty-"/>
    <x v="4"/>
    <x v="0"/>
    <n v="0"/>
  </r>
  <r>
    <s v="RoadHeavy duty trucks"/>
    <s v="Private"/>
    <s v="HeavyDuty-"/>
    <x v="5"/>
    <x v="0"/>
    <n v="0"/>
  </r>
  <r>
    <s v="RoadHeavy duty trucks"/>
    <s v="Private"/>
    <s v="HeavyDuty-"/>
    <x v="6"/>
    <x v="0"/>
    <n v="0"/>
  </r>
  <r>
    <s v="RoadPassenger cars"/>
    <s v="Public"/>
    <s v="LightDuty-"/>
    <x v="0"/>
    <x v="0"/>
    <n v="1235026.8903158603"/>
  </r>
  <r>
    <s v="RoadPassenger cars"/>
    <s v="Public"/>
    <s v="LightDuty-"/>
    <x v="1"/>
    <x v="0"/>
    <n v="46949.904509489272"/>
  </r>
  <r>
    <s v="RoadPassenger cars"/>
    <s v="Public"/>
    <s v="LightDuty-"/>
    <x v="2"/>
    <x v="0"/>
    <n v="0"/>
  </r>
  <r>
    <s v="RoadPassenger cars"/>
    <s v="Public"/>
    <s v="LightDuty-"/>
    <x v="3"/>
    <x v="0"/>
    <n v="0"/>
  </r>
  <r>
    <s v="RoadPassenger cars"/>
    <s v="Public"/>
    <s v="LightDuty-"/>
    <x v="4"/>
    <x v="0"/>
    <n v="0"/>
  </r>
  <r>
    <s v="RoadPassenger cars"/>
    <s v="Public"/>
    <s v="LightDuty-"/>
    <x v="5"/>
    <x v="0"/>
    <n v="2364.862918363674"/>
  </r>
  <r>
    <s v="RoadPassenger cars"/>
    <s v="Public"/>
    <s v="LightDuty-"/>
    <x v="6"/>
    <x v="0"/>
    <n v="0"/>
  </r>
  <r>
    <s v="RoadMedium duty trucks"/>
    <s v="Public"/>
    <s v="MediumDuty-"/>
    <x v="0"/>
    <x v="0"/>
    <n v="335820.06174380326"/>
  </r>
  <r>
    <s v="RoadMedium duty trucks"/>
    <s v="Public"/>
    <s v="MediumDuty-"/>
    <x v="1"/>
    <x v="0"/>
    <n v="0"/>
  </r>
  <r>
    <s v="RoadMedium duty trucks"/>
    <s v="Public"/>
    <s v="MediumDuty-"/>
    <x v="2"/>
    <x v="0"/>
    <n v="414924.64982192969"/>
  </r>
  <r>
    <s v="RoadMedium duty trucks"/>
    <s v="Public"/>
    <s v="MediumDuty-"/>
    <x v="3"/>
    <x v="0"/>
    <n v="0"/>
  </r>
  <r>
    <s v="RoadMedium duty trucks"/>
    <s v="Public"/>
    <s v="MediumDuty-"/>
    <x v="4"/>
    <x v="0"/>
    <n v="12292.592241518645"/>
  </r>
  <r>
    <s v="RoadMedium duty trucks"/>
    <s v="Public"/>
    <s v="MediumDuty-"/>
    <x v="5"/>
    <x v="0"/>
    <n v="0"/>
  </r>
  <r>
    <s v="RoadMedium duty trucks"/>
    <s v="Public"/>
    <s v="MediumDuty-"/>
    <x v="6"/>
    <x v="0"/>
    <n v="0"/>
  </r>
  <r>
    <s v="RoadHeavy duty trucks"/>
    <s v="Public"/>
    <s v="HeavyDuty-"/>
    <x v="0"/>
    <x v="0"/>
    <n v="0"/>
  </r>
  <r>
    <s v="RoadHeavy duty trucks"/>
    <s v="Public"/>
    <s v="HeavyDuty-"/>
    <x v="1"/>
    <x v="0"/>
    <n v="0"/>
  </r>
  <r>
    <s v="RoadHeavy duty trucks"/>
    <s v="Public"/>
    <s v="HeavyDuty-"/>
    <x v="2"/>
    <x v="0"/>
    <n v="3409010.8720334689"/>
  </r>
  <r>
    <s v="RoadHeavy duty trucks"/>
    <s v="Public"/>
    <s v="HeavyDuty-"/>
    <x v="3"/>
    <x v="0"/>
    <n v="0"/>
  </r>
  <r>
    <s v="RoadHeavy duty trucks"/>
    <s v="Public"/>
    <s v="HeavyDuty-"/>
    <x v="4"/>
    <x v="0"/>
    <n v="0"/>
  </r>
  <r>
    <s v="RoadHeavy duty trucks"/>
    <s v="Public"/>
    <s v="HeavyDuty-"/>
    <x v="5"/>
    <x v="0"/>
    <n v="0"/>
  </r>
  <r>
    <s v="RoadHeavy duty trucks"/>
    <s v="Public"/>
    <s v="HeavyDuty-"/>
    <x v="6"/>
    <x v="0"/>
    <n v="0"/>
  </r>
  <r>
    <s v="RoadHeavy duty trucks"/>
    <s v="Public"/>
    <s v="SWCV-HD-"/>
    <x v="0"/>
    <x v="0"/>
    <n v="0"/>
  </r>
  <r>
    <s v="RoadHeavy duty trucks"/>
    <s v="Public"/>
    <s v="SWCV-HD-"/>
    <x v="1"/>
    <x v="0"/>
    <n v="0"/>
  </r>
  <r>
    <s v="RoadHeavy duty trucks"/>
    <s v="Public"/>
    <s v="SWCV-HD-"/>
    <x v="2"/>
    <x v="0"/>
    <n v="415330.08518520975"/>
  </r>
  <r>
    <s v="RoadHeavy duty trucks"/>
    <s v="Public"/>
    <s v="SWCV-HD-"/>
    <x v="3"/>
    <x v="0"/>
    <n v="0"/>
  </r>
  <r>
    <s v="RoadHeavy duty trucks"/>
    <s v="Public"/>
    <s v="SWCV-HD-"/>
    <x v="4"/>
    <x v="0"/>
    <n v="0"/>
  </r>
  <r>
    <s v="RoadHeavy duty trucks"/>
    <s v="Public"/>
    <s v="SWCV-HD-"/>
    <x v="5"/>
    <x v="0"/>
    <n v="0"/>
  </r>
  <r>
    <s v="RoadHeavy duty trucks"/>
    <s v="Public"/>
    <s v="SWCV-HD-"/>
    <x v="6"/>
    <x v="0"/>
    <n v="0"/>
  </r>
  <r>
    <s v="RoadHeavy duty trucks"/>
    <s v="Private"/>
    <s v="SWCV-HD-"/>
    <x v="0"/>
    <x v="0"/>
    <n v="0"/>
  </r>
  <r>
    <s v="RoadHeavy duty trucks"/>
    <s v="Private"/>
    <s v="SWCV-HD-"/>
    <x v="1"/>
    <x v="0"/>
    <n v="0"/>
  </r>
  <r>
    <s v="RoadHeavy duty trucks"/>
    <s v="Private"/>
    <s v="SWCV-HD-"/>
    <x v="2"/>
    <x v="0"/>
    <n v="591947.33623949799"/>
  </r>
  <r>
    <s v="RoadHeavy duty trucks"/>
    <s v="Private"/>
    <s v="SWCV-HD-"/>
    <x v="3"/>
    <x v="0"/>
    <n v="0"/>
  </r>
  <r>
    <s v="RoadHeavy duty trucks"/>
    <s v="Private"/>
    <s v="SWCV-HD-"/>
    <x v="4"/>
    <x v="0"/>
    <n v="0"/>
  </r>
  <r>
    <s v="RoadHeavy duty trucks"/>
    <s v="Private"/>
    <s v="SWCV-HD-"/>
    <x v="5"/>
    <x v="0"/>
    <n v="0"/>
  </r>
  <r>
    <s v="RoadHeavy duty trucks"/>
    <s v="Private"/>
    <s v="SWCV-HD-"/>
    <x v="6"/>
    <x v="0"/>
    <n v="0"/>
  </r>
  <r>
    <s v="RoadBuses"/>
    <s v="Public"/>
    <s v="Transit-Bus"/>
    <x v="0"/>
    <x v="0"/>
    <n v="0"/>
  </r>
  <r>
    <s v="RoadBuses"/>
    <s v="Public"/>
    <s v="Transit-Bus"/>
    <x v="1"/>
    <x v="0"/>
    <n v="0"/>
  </r>
  <r>
    <s v="RoadBuses"/>
    <s v="Public"/>
    <s v="Transit-Bus"/>
    <x v="2"/>
    <x v="0"/>
    <n v="0"/>
  </r>
  <r>
    <s v="RoadBuses"/>
    <s v="Public"/>
    <s v="Transit-Bus"/>
    <x v="3"/>
    <x v="0"/>
    <n v="0"/>
  </r>
  <r>
    <s v="RoadBuses"/>
    <s v="Public"/>
    <s v="Transit-Bus"/>
    <x v="4"/>
    <x v="0"/>
    <n v="0"/>
  </r>
  <r>
    <s v="RoadBuses"/>
    <s v="Public"/>
    <s v="Transit-Bus"/>
    <x v="5"/>
    <x v="0"/>
    <n v="0"/>
  </r>
  <r>
    <s v="RoadBuses"/>
    <s v="Public"/>
    <s v="Transit-Bus"/>
    <x v="6"/>
    <x v="0"/>
    <n v="0"/>
  </r>
  <r>
    <s v="RoadBuses"/>
    <s v="Private"/>
    <s v="Transit-OtherBuses-"/>
    <x v="0"/>
    <x v="0"/>
    <n v="0"/>
  </r>
  <r>
    <s v="RoadBuses"/>
    <s v="Private"/>
    <s v="Transit-OtherBuses-"/>
    <x v="1"/>
    <x v="0"/>
    <n v="0"/>
  </r>
  <r>
    <s v="RoadBuses"/>
    <s v="Private"/>
    <s v="Transit-OtherBuses-"/>
    <x v="2"/>
    <x v="0"/>
    <n v="0"/>
  </r>
  <r>
    <s v="RoadBuses"/>
    <s v="Private"/>
    <s v="Transit-OtherBuses-"/>
    <x v="3"/>
    <x v="0"/>
    <n v="0"/>
  </r>
  <r>
    <s v="RoadBuses"/>
    <s v="Private"/>
    <s v="Transit-OtherBuses-"/>
    <x v="4"/>
    <x v="0"/>
    <n v="0"/>
  </r>
  <r>
    <s v="RoadBuses"/>
    <s v="Private"/>
    <s v="Transit-OtherBuses-"/>
    <x v="5"/>
    <x v="0"/>
    <n v="0"/>
  </r>
  <r>
    <s v="RoadBuses"/>
    <s v="Private"/>
    <s v="Transit-OtherBuses-"/>
    <x v="6"/>
    <x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Heavy duty trucks(private)CNG"/>
    <s v="NYMTC BPM"/>
    <x v="0"/>
    <x v="0"/>
    <s v="Heavy duty trucks"/>
    <x v="0"/>
    <s v="(private)"/>
    <x v="0"/>
    <s v="VMT"/>
    <n v="6398791.5082985815"/>
    <n v="5317833.7706844471"/>
    <n v="4068498.6942784912"/>
    <n v="3481673.6742869718"/>
    <n v="2552442.8854823965"/>
    <n v="1633232.7674664152"/>
    <n v="805661.85476631252"/>
    <n v="0"/>
    <n v="0"/>
    <n v="0"/>
    <n v="0"/>
    <n v="0"/>
    <n v="0"/>
    <n v="0"/>
    <n v="0"/>
    <n v="0"/>
    <n v="0"/>
    <n v="0"/>
  </r>
  <r>
    <s v="Heavy duty trucks(private)Diesel"/>
    <s v="NYMTC BPM"/>
    <x v="0"/>
    <x v="0"/>
    <s v="Heavy duty trucks"/>
    <x v="0"/>
    <s v="(private)"/>
    <x v="1"/>
    <s v="VMT"/>
    <n v="550157467.73155105"/>
    <n v="535970547.29218686"/>
    <n v="494403715.31603754"/>
    <n v="531367979.76104367"/>
    <n v="521844282.5381366"/>
    <n v="503211266.42482841"/>
    <n v="498757032.40200406"/>
    <n v="491885550.3203702"/>
    <n v="480193962.2196762"/>
    <n v="493952732.95324385"/>
    <n v="492043155.70142436"/>
    <n v="500937964.87540305"/>
    <n v="502436220.30535114"/>
    <n v="450585081.3971684"/>
    <n v="492226733.11696744"/>
    <n v="514591976.82215136"/>
    <n v="504520445.04982251"/>
    <n v="493402660.93015885"/>
  </r>
  <r>
    <s v="Heavy duty trucks(private)Electricity"/>
    <s v="NYMTC BPM"/>
    <x v="0"/>
    <x v="0"/>
    <s v="Heavy duty trucks"/>
    <x v="0"/>
    <s v="(private)"/>
    <x v="2"/>
    <s v="VMT"/>
    <n v="0"/>
    <n v="0"/>
    <n v="0"/>
    <n v="0"/>
    <n v="0"/>
    <n v="0"/>
    <n v="0"/>
    <n v="0"/>
    <n v="0"/>
    <n v="0"/>
    <n v="0"/>
    <n v="0"/>
    <n v="0"/>
    <n v="0"/>
    <n v="0"/>
    <n v="0"/>
    <n v="0"/>
    <n v="0"/>
  </r>
  <r>
    <s v="Heavy duty trucks(private)Gasoline"/>
    <s v="NYMTC BPM"/>
    <x v="0"/>
    <x v="0"/>
    <s v="Heavy duty trucks"/>
    <x v="0"/>
    <s v="(private)"/>
    <x v="3"/>
    <s v="VMT"/>
    <n v="11503964.516724583"/>
    <n v="9560569.4310341086"/>
    <n v="7314461.9133830667"/>
    <n v="6259434.0111422874"/>
    <n v="4588820.1221223949"/>
    <n v="2936223.3282055035"/>
    <n v="1448377.6008272388"/>
    <n v="0"/>
    <n v="0"/>
    <n v="0"/>
    <n v="0"/>
    <n v="0"/>
    <n v="0"/>
    <n v="0"/>
    <n v="0"/>
    <n v="0"/>
    <n v="0"/>
    <n v="0"/>
  </r>
  <r>
    <s v="Heavy duty trucks(public)Diesel"/>
    <s v="NYMTC BPM"/>
    <x v="0"/>
    <x v="0"/>
    <s v="Heavy duty trucks"/>
    <x v="0"/>
    <s v="(public)"/>
    <x v="1"/>
    <s v="VMT"/>
    <n v="101490737.48891042"/>
    <n v="98705424.914493799"/>
    <n v="90896734.958219707"/>
    <n v="97529071.384398967"/>
    <n v="95621909.786303684"/>
    <n v="92055591.396256"/>
    <n v="91091462.391398102"/>
    <n v="89690606.712007299"/>
    <n v="87558751.130154893"/>
    <n v="90067523.704193354"/>
    <n v="89719323.754654601"/>
    <n v="91341199.364705473"/>
    <n v="91614384.696067631"/>
    <n v="91587215.911270365"/>
    <n v="100051409.74077001"/>
    <n v="104597424.89086135"/>
    <n v="102550248.85487439"/>
    <n v="100290408.94801094"/>
  </r>
  <r>
    <s v="Heavy duty trucks(public)Diesel Hybrid"/>
    <s v="NYMTC BPM"/>
    <x v="0"/>
    <x v="0"/>
    <s v="Heavy duty trucks"/>
    <x v="0"/>
    <s v="(public)"/>
    <x v="4"/>
    <s v="VMT"/>
    <n v="1348977.7461387624"/>
    <n v="1121090.5118065106"/>
    <n v="857706.75748764165"/>
    <n v="733991.12989199604"/>
    <n v="538090.85281931912"/>
    <n v="344303.40547524387"/>
    <n v="169834.92659067427"/>
    <n v="0"/>
    <n v="0"/>
    <n v="0"/>
    <n v="0"/>
    <n v="0"/>
    <n v="0"/>
    <n v="0"/>
    <n v="0"/>
    <n v="0"/>
    <n v="0"/>
    <n v="0"/>
  </r>
  <r>
    <s v="Heavy duty trucks(public)Gasoline"/>
    <s v="NYMTC BPM"/>
    <x v="0"/>
    <x v="0"/>
    <s v="Heavy duty trucks"/>
    <x v="0"/>
    <s v="(public)"/>
    <x v="3"/>
    <s v="VMT"/>
    <n v="793516.32125809556"/>
    <n v="659465.00694500632"/>
    <n v="504533.38675743632"/>
    <n v="431759.48817176238"/>
    <n v="316524.03107018769"/>
    <n v="202531.41498543756"/>
    <n v="99902.897994514278"/>
    <n v="0"/>
    <n v="0"/>
    <n v="0"/>
    <n v="0"/>
    <n v="0"/>
    <n v="0"/>
    <n v="0"/>
    <n v="0"/>
    <n v="0"/>
    <n v="0"/>
    <n v="0"/>
  </r>
  <r>
    <s v="Medium duty trucks(private)CNG"/>
    <s v="NYMTC BPM"/>
    <x v="0"/>
    <x v="0"/>
    <s v="Medium duty trucks"/>
    <x v="1"/>
    <s v="(private)"/>
    <x v="0"/>
    <s v="VMT"/>
    <n v="0"/>
    <n v="0"/>
    <n v="0"/>
    <n v="0"/>
    <n v="0"/>
    <n v="0"/>
    <n v="0"/>
    <n v="0"/>
    <n v="0"/>
    <n v="0"/>
    <n v="0"/>
    <n v="0"/>
    <n v="0"/>
    <n v="0"/>
    <n v="0"/>
    <n v="0"/>
    <n v="0"/>
    <n v="0"/>
  </r>
  <r>
    <s v="Medium duty trucks(private)Diesel"/>
    <s v="NYMTC BPM"/>
    <x v="0"/>
    <x v="0"/>
    <s v="Medium duty trucks"/>
    <x v="1"/>
    <s v="(private)"/>
    <x v="1"/>
    <s v="VMT"/>
    <n v="11279306.501100672"/>
    <n v="27518399.32316548"/>
    <n v="40144152.850659974"/>
    <n v="65719095.652302049"/>
    <n v="82839476.72831358"/>
    <n v="97508881.781650409"/>
    <n v="112357749.48273887"/>
    <n v="127588894.34823449"/>
    <n v="120487925.67305024"/>
    <n v="114115858.28635602"/>
    <n v="108109077.55182287"/>
    <n v="106050268.11699355"/>
    <n v="105452598.6251785"/>
    <n v="101805141.437767"/>
    <n v="104638981.67139532"/>
    <n v="103180427.25800413"/>
    <n v="98103288.9197907"/>
    <n v="92375248.395058021"/>
  </r>
  <r>
    <s v="Medium duty trucks(private)Electricity"/>
    <s v="NYMTC BPM"/>
    <x v="0"/>
    <x v="0"/>
    <s v="Medium duty trucks"/>
    <x v="1"/>
    <s v="(private)"/>
    <x v="2"/>
    <s v="VMT"/>
    <n v="6205269.6451339955"/>
    <n v="4937836.332506327"/>
    <n v="3706644.4324507955"/>
    <n v="3511328.1529879486"/>
    <n v="2600150.8543641581"/>
    <n v="1676984.2428304008"/>
    <n v="820134.06643057277"/>
    <n v="0"/>
    <n v="0"/>
    <n v="0"/>
    <n v="0"/>
    <n v="0"/>
    <n v="0"/>
    <n v="0"/>
    <n v="0"/>
    <n v="0"/>
    <n v="0"/>
    <n v="0"/>
  </r>
  <r>
    <s v="Medium duty trucks(private)Gasoline"/>
    <s v="NYMTC BPM"/>
    <x v="0"/>
    <x v="0"/>
    <s v="Medium duty trucks"/>
    <x v="1"/>
    <s v="(private)"/>
    <x v="3"/>
    <s v="VMT"/>
    <n v="505504205.15258175"/>
    <n v="453106356.57721841"/>
    <n v="393571008.41517633"/>
    <n v="448770021.86549371"/>
    <n v="426035064.1798259"/>
    <n v="395661634.8440975"/>
    <n v="370852167.68571413"/>
    <n v="349903529.65055144"/>
    <n v="339392818.51568449"/>
    <n v="330277354.78087687"/>
    <n v="321607356.38231379"/>
    <n v="324393176.27147388"/>
    <n v="331807888.89695334"/>
    <n v="329648214.98453367"/>
    <n v="348832991.12083042"/>
    <n v="354295608.42519772"/>
    <n v="347142982.33415836"/>
    <n v="337023462.61716706"/>
  </r>
  <r>
    <s v="Medium duty trucks(public)CNG"/>
    <s v="NYMTC BPM"/>
    <x v="0"/>
    <x v="0"/>
    <s v="Medium duty trucks"/>
    <x v="1"/>
    <s v="(public)"/>
    <x v="0"/>
    <s v="VMT"/>
    <n v="203240.43319435013"/>
    <n v="479415.07273665356"/>
    <n v="693742.48314754153"/>
    <n v="1131591.099927373"/>
    <n v="1423438.4031479838"/>
    <n v="1673274.9870592062"/>
    <n v="1926293.0628704189"/>
    <n v="2185919.7593063484"/>
    <n v="1892491.381971922"/>
    <n v="1625562.0649770314"/>
    <n v="1375390.8468369064"/>
    <n v="1180900.8921370679"/>
    <n v="999669.21232221345"/>
    <n v="804110.86536835332"/>
    <n v="633860.61531633826"/>
    <n v="426304.95756827615"/>
    <n v="207454.23509131093"/>
    <n v="0"/>
  </r>
  <r>
    <s v="Medium duty trucks(public)Diesel"/>
    <s v="NYMTC BPM"/>
    <x v="0"/>
    <x v="0"/>
    <s v="Medium duty trucks"/>
    <x v="1"/>
    <s v="(public)"/>
    <x v="1"/>
    <s v="VMT"/>
    <n v="29125917.464698024"/>
    <n v="27669746.166062884"/>
    <n v="25492231.664958369"/>
    <n v="30858137.962952547"/>
    <n v="31130768.967980113"/>
    <n v="30758549.333157994"/>
    <n v="30711877.55253011"/>
    <n v="30914243.107631937"/>
    <n v="29858652.543390006"/>
    <n v="28932713.889126267"/>
    <n v="28054155.764045727"/>
    <n v="28178738.974876728"/>
    <n v="28703354.380625769"/>
    <n v="28939167.308614086"/>
    <n v="30498827.111598898"/>
    <n v="30851646.424120888"/>
    <n v="30108173.724063024"/>
    <n v="29114934.563511766"/>
  </r>
  <r>
    <s v="Medium duty trucks(public)Electricity"/>
    <s v="NYMTC BPM"/>
    <x v="0"/>
    <x v="0"/>
    <s v="Medium duty trucks"/>
    <x v="1"/>
    <s v="(public)"/>
    <x v="2"/>
    <s v="VMT"/>
    <n v="109437.15633541931"/>
    <n v="87084.344162985275"/>
    <n v="65370.721219108913"/>
    <n v="0"/>
    <n v="0"/>
    <n v="0"/>
    <n v="0"/>
    <n v="0"/>
    <n v="0"/>
    <n v="0"/>
    <n v="0"/>
    <n v="0"/>
    <n v="0"/>
    <n v="0"/>
    <n v="0"/>
    <n v="0"/>
    <n v="0"/>
    <n v="0"/>
  </r>
  <r>
    <s v="Medium duty trucks(public)Gasoline"/>
    <s v="NYMTC BPM"/>
    <x v="0"/>
    <x v="0"/>
    <s v="Medium duty trucks"/>
    <x v="1"/>
    <s v="(public)"/>
    <x v="3"/>
    <s v="VMT"/>
    <n v="38365540.235302716"/>
    <n v="34953813.291112214"/>
    <n v="30888268.680852097"/>
    <n v="35867767.520685479"/>
    <n v="34714445.182165928"/>
    <n v="32907374.543723743"/>
    <n v="31524379.490892936"/>
    <n v="30444016.182664875"/>
    <n v="29449261.149572559"/>
    <n v="28581065.725305144"/>
    <n v="27756625.650464114"/>
    <n v="27923281.715309963"/>
    <n v="28487101.891400401"/>
    <n v="28765218.792339262"/>
    <n v="30361707.81834222"/>
    <n v="30759426.410633527"/>
    <n v="30063296.38445323"/>
    <n v="29114934.563511766"/>
  </r>
  <r>
    <m/>
    <m/>
    <x v="1"/>
    <x v="1"/>
    <m/>
    <x v="2"/>
    <m/>
    <x v="5"/>
    <m/>
    <m/>
    <m/>
    <m/>
    <m/>
    <m/>
    <m/>
    <m/>
    <m/>
    <m/>
    <m/>
    <m/>
    <m/>
    <m/>
    <m/>
    <m/>
    <m/>
    <m/>
    <m/>
  </r>
  <r>
    <s v="Medium duty trucks(public)Gasoline Hybrid"/>
    <s v="NYMTC BPM"/>
    <x v="0"/>
    <x v="0"/>
    <s v="Medium duty trucks"/>
    <x v="1"/>
    <s v="(public)"/>
    <x v="6"/>
    <s v="VMT"/>
    <n v="1829163.8987491515"/>
    <n v="1455552.6095813254"/>
    <n v="1092624.9118051063"/>
    <n v="1035046.8809435047"/>
    <n v="766451.24476420844"/>
    <n v="494321.77608025161"/>
    <n v="241740.78580654139"/>
    <n v="0"/>
    <n v="0"/>
    <n v="0"/>
    <n v="0"/>
    <n v="0"/>
    <n v="0"/>
    <n v="0"/>
    <n v="0"/>
    <n v="0"/>
    <n v="0"/>
    <n v="0"/>
  </r>
  <r>
    <s v="Passenger cars(private)CNG"/>
    <s v="NYMTC BPM"/>
    <x v="0"/>
    <x v="0"/>
    <s v="Passenger cars"/>
    <x v="3"/>
    <s v="(private)"/>
    <x v="0"/>
    <s v="VMT"/>
    <n v="0"/>
    <n v="0"/>
    <n v="0"/>
    <n v="0"/>
    <n v="0"/>
    <n v="0"/>
    <n v="0"/>
    <n v="0"/>
    <n v="0"/>
    <n v="0"/>
    <n v="0"/>
    <n v="0"/>
    <n v="0"/>
    <n v="0"/>
    <n v="0"/>
    <n v="0"/>
    <n v="0"/>
    <n v="0"/>
  </r>
  <r>
    <s v="Passenger cars(private)Diesel"/>
    <s v="NYMTC BPM"/>
    <x v="0"/>
    <x v="0"/>
    <s v="Passenger cars"/>
    <x v="3"/>
    <s v="(private)"/>
    <x v="1"/>
    <s v="VMT"/>
    <n v="135695002.44297975"/>
    <n v="144370440.59139225"/>
    <n v="131730310.94514021"/>
    <n v="187827739.21854678"/>
    <n v="200564013.76268339"/>
    <n v="210559937.1522114"/>
    <n v="224496864.81549126"/>
    <n v="233735207.27606833"/>
    <n v="213389125.75360289"/>
    <n v="200718655.41790351"/>
    <n v="187342379.14000723"/>
    <n v="176815038.94447309"/>
    <n v="168467152.73383325"/>
    <n v="147748296.79095906"/>
    <n v="136708161.32987881"/>
    <n v="128283661.98485114"/>
    <n v="114874122.3101624"/>
    <n v="101510478.71653253"/>
  </r>
  <r>
    <s v="Passenger cars(private)Diesel Hybrid"/>
    <s v="NYMTC BPM"/>
    <x v="0"/>
    <x v="0"/>
    <s v="Passenger cars"/>
    <x v="3"/>
    <s v="(private)"/>
    <x v="4"/>
    <s v="VMT"/>
    <n v="0"/>
    <n v="0"/>
    <n v="0"/>
    <n v="0"/>
    <n v="0"/>
    <n v="0"/>
    <n v="0"/>
    <n v="0"/>
    <n v="0"/>
    <n v="0"/>
    <n v="0"/>
    <n v="0"/>
    <n v="0"/>
    <n v="0"/>
    <n v="0"/>
    <n v="0"/>
    <n v="0"/>
    <n v="0"/>
  </r>
  <r>
    <s v="Passenger cars(private)Electricity"/>
    <s v="NYMTC BPM"/>
    <x v="0"/>
    <x v="0"/>
    <s v="Passenger cars"/>
    <x v="3"/>
    <s v="(private)"/>
    <x v="2"/>
    <s v="VMT"/>
    <n v="516052206.26042241"/>
    <n v="421249905.07271683"/>
    <n v="290898837.02035594"/>
    <n v="305562616.46085668"/>
    <n v="228969762.41710162"/>
    <n v="153840592.39229095"/>
    <n v="84861122.108948901"/>
    <n v="0"/>
    <n v="0"/>
    <n v="0"/>
    <n v="0"/>
    <n v="0"/>
    <n v="0"/>
    <n v="0"/>
    <n v="0"/>
    <n v="0"/>
    <n v="0"/>
    <n v="0"/>
  </r>
  <r>
    <s v="Passenger cars(private)Fuel Cell"/>
    <s v="NYMTC BPM"/>
    <x v="0"/>
    <x v="0"/>
    <s v="Passenger cars"/>
    <x v="3"/>
    <s v="(private)"/>
    <x v="7"/>
    <s v="VMT"/>
    <n v="0"/>
    <n v="0"/>
    <n v="0"/>
    <n v="0"/>
    <n v="0"/>
    <n v="0"/>
    <n v="0"/>
    <n v="0"/>
    <n v="0"/>
    <n v="0"/>
    <n v="0"/>
    <n v="0"/>
    <n v="0"/>
    <n v="0"/>
    <n v="0"/>
    <n v="0"/>
    <n v="0"/>
    <n v="0"/>
  </r>
  <r>
    <s v="Passenger cars(private)Gasoline"/>
    <s v="NYMTC BPM"/>
    <x v="0"/>
    <x v="0"/>
    <s v="Passenger cars"/>
    <x v="3"/>
    <s v="(private)"/>
    <x v="3"/>
    <s v="VMT"/>
    <n v="19416549926.585327"/>
    <n v="18575339163.754768"/>
    <n v="15425812292.703026"/>
    <n v="20215103866.158669"/>
    <n v="20000031418.792645"/>
    <n v="19586528602.364891"/>
    <n v="19592915980.390472"/>
    <n v="19234200482.675129"/>
    <n v="18617847739.964611"/>
    <n v="18632352658.980202"/>
    <n v="18575945525.737743"/>
    <n v="18811295822.828991"/>
    <n v="19330346471.372349"/>
    <n v="18393859855.70919"/>
    <n v="18596344347.752155"/>
    <n v="19227860011.250507"/>
    <n v="19165762678.406345"/>
    <n v="19090939606.358875"/>
  </r>
  <r>
    <s v="Passenger cars(private)Gasoline Hybrid"/>
    <s v="NYMTC BPM"/>
    <x v="0"/>
    <x v="0"/>
    <s v="Passenger cars"/>
    <x v="3"/>
    <s v="(private)"/>
    <x v="6"/>
    <s v="VMT"/>
    <n v="1123424407.8517919"/>
    <n v="922399512.96754491"/>
    <n v="642078914.22929823"/>
    <n v="682327752.37371874"/>
    <n v="520828154.63053977"/>
    <n v="362016830.98571759"/>
    <n v="216963547.52024707"/>
    <n v="73260465.670201734"/>
    <n v="63748539.12213771"/>
    <n v="56644696.437776148"/>
    <n v="49357649.739185631"/>
    <n v="42793719.29804574"/>
    <n v="36603697.327306986"/>
    <n v="27832625.591237482"/>
    <n v="21080314.990358599"/>
    <n v="0"/>
    <n v="0"/>
    <n v="0"/>
  </r>
  <r>
    <s v="Passenger cars(public)Diesel"/>
    <s v="NYMTC BPM"/>
    <x v="0"/>
    <x v="0"/>
    <s v="Passenger cars"/>
    <x v="3"/>
    <s v="(public)"/>
    <x v="1"/>
    <s v="VMT"/>
    <n v="703039.3942449739"/>
    <n v="570519.24484220229"/>
    <n v="390768.71723817301"/>
    <n v="405511.25347308465"/>
    <n v="297871.46664370387"/>
    <n v="192538.86079942097"/>
    <n v="0"/>
    <n v="0"/>
    <n v="0"/>
    <n v="0"/>
    <n v="0"/>
    <n v="0"/>
    <n v="0"/>
    <n v="0"/>
    <n v="0"/>
    <n v="0"/>
    <n v="0"/>
    <n v="0"/>
  </r>
  <r>
    <s v="Passenger cars(public)Electricity"/>
    <s v="NYMTC BPM"/>
    <x v="0"/>
    <x v="0"/>
    <s v="Passenger cars"/>
    <x v="3"/>
    <s v="(public)"/>
    <x v="2"/>
    <s v="VMT"/>
    <n v="25510286.591174766"/>
    <n v="20967447.535472274"/>
    <n v="14616172.422838418"/>
    <n v="15564261.966334576"/>
    <n v="11918472.839543432"/>
    <n v="8331685.9886581441"/>
    <n v="5058829.8514060853"/>
    <n v="1813394.6144447946"/>
    <n v="1583208.2842541197"/>
    <n v="1406782.3457929706"/>
    <n v="1225806.5017187092"/>
    <n v="1062789.3808192408"/>
    <n v="909058.31131246558"/>
    <n v="726947.07883634267"/>
    <n v="550585.47246928851"/>
    <n v="379090.94009809394"/>
    <n v="188719.01816915098"/>
    <n v="0"/>
  </r>
  <r>
    <s v="Passenger cars(public)Gasoline"/>
    <s v="NYMTC BPM"/>
    <x v="0"/>
    <x v="0"/>
    <s v="Passenger cars"/>
    <x v="3"/>
    <s v="(public)"/>
    <x v="3"/>
    <s v="VMT"/>
    <n v="60193563.373926811"/>
    <n v="64760163.816391975"/>
    <n v="59615495.376085073"/>
    <n v="85616592.172367245"/>
    <n v="91969012.485852376"/>
    <n v="97039031.147618726"/>
    <n v="103906928.68373246"/>
    <n v="108584609.06091581"/>
    <n v="106258470.39643957"/>
    <n v="107487098.89925833"/>
    <n v="108301460.76278643"/>
    <n v="110825172.6158096"/>
    <n v="115063766.78373487"/>
    <n v="116326245.60188769"/>
    <n v="118795882.40658739"/>
    <n v="124056761.79214382"/>
    <n v="124876053.50806956"/>
    <n v="125600960.79437032"/>
  </r>
  <r>
    <s v="Passenger cars(public)Gasoline Hybrid"/>
    <s v="NYMTC BPM"/>
    <x v="0"/>
    <x v="0"/>
    <s v="Passenger cars"/>
    <x v="3"/>
    <s v="(public)"/>
    <x v="6"/>
    <s v="VMT"/>
    <n v="45463214.161174975"/>
    <n v="38548713.93109908"/>
    <n v="27990496.748721235"/>
    <n v="31516998.885981433"/>
    <n v="26175605.485484347"/>
    <n v="20829477.420449659"/>
    <n v="16124533.916025104"/>
    <n v="11294162.430904491"/>
    <n v="9827839.4913739283"/>
    <n v="8732667.2246825304"/>
    <n v="7609251.2060405547"/>
    <n v="6597314.8016648917"/>
    <n v="5643021.9957365645"/>
    <n v="4512558.0004734201"/>
    <n v="3417785.0782657475"/>
    <n v="2353224.7455825685"/>
    <n v="1171482.1340831229"/>
    <n v="0"/>
  </r>
  <r>
    <s v="School Bus(private)Diesel"/>
    <s v="NYMTC BPM"/>
    <x v="0"/>
    <x v="0"/>
    <s v="School Bus"/>
    <x v="4"/>
    <s v="(private)"/>
    <x v="1"/>
    <s v="VMT"/>
    <n v="27085732.650959998"/>
    <n v="33218125.504947431"/>
    <n v="39431287.077003576"/>
    <n v="45357984.857832432"/>
    <n v="51012826.676171504"/>
    <n v="56388433.686208285"/>
    <n v="61478026.493680283"/>
    <n v="66295313.75"/>
    <n v="64796684.875"/>
    <n v="63298056"/>
    <n v="61799427.125"/>
    <n v="60300798.25"/>
    <n v="58802169.375"/>
    <n v="57303540.5"/>
    <n v="55804911.625"/>
    <n v="54306282.75"/>
    <n v="52807653.875"/>
    <n v="51309025"/>
  </r>
  <r>
    <s v="School Bus(private)Electricity"/>
    <s v="NYMTC BPM"/>
    <x v="0"/>
    <x v="0"/>
    <s v="School Bus"/>
    <x v="4"/>
    <s v="(private)"/>
    <x v="2"/>
    <s v="VMT"/>
    <n v="23359.4355"/>
    <n v="0"/>
    <n v="0"/>
    <n v="0"/>
    <n v="0"/>
    <n v="0"/>
    <n v="0"/>
    <n v="0"/>
    <n v="0"/>
    <n v="0"/>
    <n v="0"/>
    <n v="0"/>
    <n v="0"/>
    <n v="0"/>
    <n v="0"/>
    <n v="0"/>
    <n v="0"/>
    <n v="0"/>
  </r>
  <r>
    <s v="School Bus(private)Gasoline"/>
    <s v="NYMTC BPM"/>
    <x v="0"/>
    <x v="0"/>
    <s v="School Bus"/>
    <x v="4"/>
    <s v="(private)"/>
    <x v="3"/>
    <s v="VMT"/>
    <n v="50758729.640155002"/>
    <n v="42067176.115560852"/>
    <n v="34358172.462785266"/>
    <n v="26928291.863415856"/>
    <n v="19777534.317452624"/>
    <n v="12905899.82489557"/>
    <n v="6313388.3857446965"/>
    <n v="0"/>
    <n v="0"/>
    <n v="0"/>
    <n v="0"/>
    <n v="0"/>
    <n v="0"/>
    <n v="0"/>
    <n v="0"/>
    <n v="0"/>
    <n v="0"/>
    <n v="0"/>
  </r>
  <r>
    <s v="SWCV(private)CNG"/>
    <s v="NYMTC BPM"/>
    <x v="0"/>
    <x v="0"/>
    <s v="SWCV"/>
    <x v="0"/>
    <s v="(private)"/>
    <x v="0"/>
    <s v="VMT"/>
    <n v="74582.603264240301"/>
    <n v="63730.38147249836"/>
    <n v="52944.523205146004"/>
    <n v="42224.72192614575"/>
    <n v="31570.672360292403"/>
    <n v="0"/>
    <n v="0"/>
    <n v="0"/>
    <n v="0"/>
    <n v="0"/>
    <n v="0"/>
    <n v="0"/>
    <n v="0"/>
    <n v="0"/>
    <n v="0"/>
    <n v="0"/>
    <n v="0"/>
    <n v="0"/>
  </r>
  <r>
    <s v="SWCV(private)Diesel"/>
    <s v="NYMTC BPM"/>
    <x v="0"/>
    <x v="0"/>
    <s v="SWCV"/>
    <x v="0"/>
    <s v="(private)"/>
    <x v="1"/>
    <s v="VMT"/>
    <n v="21989437.529073495"/>
    <n v="22212693.37572702"/>
    <n v="22434359.299460519"/>
    <n v="22654442.995083969"/>
    <n v="22872952.125031825"/>
    <n v="23089894.319489632"/>
    <n v="23305277.17652018"/>
    <n v="23519108.262189183"/>
    <n v="23433919.231933162"/>
    <n v="23351480.631094594"/>
    <n v="23267666.815547302"/>
    <n v="23183853"/>
    <n v="23100000"/>
    <n v="23016328.948381927"/>
    <n v="22932960.963641729"/>
    <n v="22849894.948033761"/>
    <n v="22767129.807788547"/>
    <n v="22684664.453098383"/>
  </r>
  <r>
    <s v="SWCV(private)Gasoline"/>
    <s v="NYMTC BPM"/>
    <x v="0"/>
    <x v="0"/>
    <s v="SWCV"/>
    <x v="0"/>
    <s v="(private)"/>
    <x v="3"/>
    <s v="VMT"/>
    <n v="1967116.1610943358"/>
    <n v="1680888.8113371427"/>
    <n v="1396411.7995357246"/>
    <n v="1113677.040802093"/>
    <n v="832676.4835027114"/>
    <n v="553402.10913017066"/>
    <n v="275845.93217534176"/>
    <n v="0"/>
    <n v="0"/>
    <n v="0"/>
    <n v="0"/>
    <n v="0"/>
    <n v="0"/>
    <n v="0"/>
    <n v="0"/>
    <n v="0"/>
    <n v="0"/>
    <n v="0"/>
  </r>
  <r>
    <s v="SWCV(public)CNG"/>
    <s v="NYMTC BPM"/>
    <x v="0"/>
    <x v="0"/>
    <s v="SWCV"/>
    <x v="0"/>
    <s v="(public)"/>
    <x v="0"/>
    <s v="VMT"/>
    <n v="241321.16965254617"/>
    <n v="206207.47367664197"/>
    <n v="171308.50503160365"/>
    <n v="136623.2718824473"/>
    <n v="102150.78647376678"/>
    <n v="67890.06511399115"/>
    <n v="33840.1281597005"/>
    <n v="0"/>
    <n v="0"/>
    <n v="0"/>
    <n v="0"/>
    <n v="0"/>
    <n v="0"/>
    <n v="0"/>
    <n v="0"/>
    <n v="0"/>
    <n v="0"/>
    <n v="0"/>
  </r>
  <r>
    <s v="SWCV(public)Diesel"/>
    <s v="NYMTC BPM"/>
    <x v="0"/>
    <x v="0"/>
    <s v="SWCV"/>
    <x v="0"/>
    <s v="(public)"/>
    <x v="1"/>
    <s v="VMT"/>
    <n v="16534156.502557784"/>
    <n v="16529924.35452354"/>
    <n v="16525560.452048697"/>
    <n v="16521065.64990624"/>
    <n v="16516440.798844293"/>
    <n v="16511686.745602818"/>
    <n v="16506804.332930272"/>
    <n v="16501794.399600195"/>
    <n v="16442022.92158688"/>
    <n v="16384181.237010097"/>
    <n v="16325374.655715052"/>
    <n v="16266568.074419999"/>
    <n v="16207734"/>
    <n v="16149027.586661212"/>
    <n v="16090533.815198649"/>
    <n v="16032251.915397184"/>
    <n v="15974181.119831508"/>
    <n v="15916320.663856016"/>
  </r>
  <r>
    <s v="SWCV(public)Diesel Hybrid"/>
    <s v="NYMTC BPM"/>
    <x v="0"/>
    <x v="0"/>
    <s v="SWCV"/>
    <x v="0"/>
    <s v="(public)"/>
    <x v="4"/>
    <s v="VMT"/>
    <n v="87753.152600925881"/>
    <n v="74984.535882415264"/>
    <n v="62294.00182967406"/>
    <n v="49681.189775435392"/>
    <n v="37145.740535915204"/>
    <n v="24687.296405087694"/>
    <n v="0"/>
    <n v="0"/>
    <n v="0"/>
    <n v="0"/>
    <n v="0"/>
    <n v="0"/>
    <n v="0"/>
    <n v="0"/>
    <n v="0"/>
    <n v="0"/>
    <n v="0"/>
    <n v="0"/>
  </r>
  <r>
    <m/>
    <m/>
    <x v="0"/>
    <x v="0"/>
    <s v="Transit Bus"/>
    <x v="4"/>
    <s v="(public)"/>
    <x v="1"/>
    <s v="VMT"/>
    <n v="208939390.88999999"/>
    <n v="202132232"/>
    <n v="173681282"/>
    <n v="220337838"/>
    <n v="240132445"/>
    <n v="238732893"/>
    <n v="243438549"/>
    <n v="250565732"/>
    <n v="259790075"/>
    <n v="253820640"/>
    <n v="253623587"/>
    <n v="252812611"/>
    <n v="266429810"/>
    <n v="267982573"/>
    <n v="270725155"/>
    <n v="323209653"/>
    <n v="322626656"/>
    <n v="339477974"/>
  </r>
  <r>
    <m/>
    <m/>
    <x v="0"/>
    <x v="0"/>
    <s v="Transit Bus"/>
    <x v="4"/>
    <s v="(public)"/>
    <x v="0"/>
    <s v="VMT"/>
    <n v="43719633.609999999"/>
    <n v="33248656"/>
    <n v="21419168"/>
    <n v="30250532"/>
    <n v="39251095"/>
    <n v="36798317"/>
    <n v="40655650"/>
    <n v="40318337"/>
    <n v="39662226"/>
    <n v="38351609"/>
    <n v="37340822"/>
    <n v="36192538"/>
    <n v="37590232"/>
    <n v="40570785"/>
    <n v="42055202"/>
    <n v="40484747"/>
    <n v="6537035"/>
    <n v="6523813"/>
  </r>
  <r>
    <m/>
    <m/>
    <x v="0"/>
    <x v="2"/>
    <s v="Commuter Rail"/>
    <x v="5"/>
    <m/>
    <x v="1"/>
    <s v="PMT"/>
    <n v="1.5145247395470863E-2"/>
    <n v="1.4936116045790541E-2"/>
    <n v="1.4047505210541327E-2"/>
    <n v="1.5246185794115052E-2"/>
    <n v="1.3417953951186697E-2"/>
    <n v="1.3661005957415075E-2"/>
    <n v="1.2600129572386447E-2"/>
    <n v="1.3421499928284638E-2"/>
    <n v="1.3523064218615079E-2"/>
    <n v="1.3145742854076799E-2"/>
    <n v="1.1656415767648604E-2"/>
    <n v="1.3077177088059142E-2"/>
    <n v="1.2182741116751269E-2"/>
    <m/>
    <m/>
    <m/>
    <m/>
    <m/>
  </r>
  <r>
    <m/>
    <m/>
    <x v="0"/>
    <x v="2"/>
    <s v="Subway"/>
    <x v="5"/>
    <m/>
    <x v="2"/>
    <s v="PMT"/>
    <n v="0.98781725888324878"/>
    <n v="0.98781725888324878"/>
    <n v="0.98781725888324878"/>
    <n v="0.98781725888324878"/>
    <n v="0.98781725888324878"/>
    <n v="0.98781725888324878"/>
    <n v="0.98781725888324878"/>
    <n v="0.98781725888324878"/>
    <n v="0.98781725888324878"/>
    <n v="0.98781725888324878"/>
    <n v="0.98781725888324878"/>
    <n v="0.98781725888324878"/>
    <n v="0.98781725888324878"/>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280494-0390-4BF9-BE41-443E9A26757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G52" firstHeaderRow="0" firstDataRow="1" firstDataCol="1"/>
  <pivotFields count="27">
    <pivotField showAll="0"/>
    <pivotField showAll="0"/>
    <pivotField axis="axisRow" showAll="0">
      <items count="3">
        <item x="0"/>
        <item h="1" x="1"/>
        <item t="default"/>
      </items>
    </pivotField>
    <pivotField axis="axisRow" showAll="0">
      <items count="4">
        <item x="0"/>
        <item x="1"/>
        <item x="2"/>
        <item t="default"/>
      </items>
    </pivotField>
    <pivotField showAll="0"/>
    <pivotField axis="axisRow" showAll="0">
      <items count="7">
        <item x="4"/>
        <item x="0"/>
        <item x="1"/>
        <item x="3"/>
        <item x="2"/>
        <item x="5"/>
        <item t="default"/>
      </items>
    </pivotField>
    <pivotField showAll="0"/>
    <pivotField axis="axisRow" showAll="0">
      <items count="9">
        <item x="0"/>
        <item x="1"/>
        <item x="4"/>
        <item x="2"/>
        <item x="7"/>
        <item x="3"/>
        <item x="6"/>
        <item x="5"/>
        <item t="default"/>
      </items>
    </pivotField>
    <pivotField showAll="0"/>
    <pivotField dataField="1" numFmtId="174" showAll="0"/>
    <pivotField dataField="1" numFmtId="174" showAll="0"/>
    <pivotField numFmtId="174" showAll="0"/>
    <pivotField dataField="1" numFmtId="174" showAll="0"/>
    <pivotField numFmtId="174" showAll="0"/>
    <pivotField numFmtId="174" showAll="0"/>
    <pivotField numFmtId="174" showAll="0"/>
    <pivotField dataField="1" numFmtId="174" showAll="0"/>
    <pivotField numFmtId="174" showAll="0"/>
    <pivotField numFmtId="174" showAll="0"/>
    <pivotField numFmtId="174" showAll="0"/>
    <pivotField numFmtId="174" showAll="0"/>
    <pivotField dataField="1" numFmtId="174" showAll="0"/>
    <pivotField numFmtId="174" showAll="0"/>
    <pivotField numFmtId="174" showAll="0"/>
    <pivotField numFmtId="174" showAll="0"/>
    <pivotField numFmtId="174" showAll="0"/>
    <pivotField numFmtId="174" showAll="0"/>
  </pivotFields>
  <rowFields count="4">
    <field x="2"/>
    <field x="3"/>
    <field x="5"/>
    <field x="7"/>
  </rowFields>
  <rowItems count="32">
    <i>
      <x/>
    </i>
    <i r="1">
      <x/>
    </i>
    <i r="2">
      <x/>
    </i>
    <i r="3">
      <x/>
    </i>
    <i r="3">
      <x v="1"/>
    </i>
    <i r="3">
      <x v="3"/>
    </i>
    <i r="3">
      <x v="5"/>
    </i>
    <i r="2">
      <x v="1"/>
    </i>
    <i r="3">
      <x/>
    </i>
    <i r="3">
      <x v="1"/>
    </i>
    <i r="3">
      <x v="2"/>
    </i>
    <i r="3">
      <x v="3"/>
    </i>
    <i r="3">
      <x v="5"/>
    </i>
    <i r="2">
      <x v="2"/>
    </i>
    <i r="3">
      <x/>
    </i>
    <i r="3">
      <x v="1"/>
    </i>
    <i r="3">
      <x v="3"/>
    </i>
    <i r="3">
      <x v="5"/>
    </i>
    <i r="3">
      <x v="6"/>
    </i>
    <i r="2">
      <x v="3"/>
    </i>
    <i r="3">
      <x/>
    </i>
    <i r="3">
      <x v="1"/>
    </i>
    <i r="3">
      <x v="2"/>
    </i>
    <i r="3">
      <x v="3"/>
    </i>
    <i r="3">
      <x v="4"/>
    </i>
    <i r="3">
      <x v="5"/>
    </i>
    <i r="3">
      <x v="6"/>
    </i>
    <i r="1">
      <x v="2"/>
    </i>
    <i r="2">
      <x v="5"/>
    </i>
    <i r="3">
      <x v="1"/>
    </i>
    <i r="3">
      <x v="3"/>
    </i>
    <i t="grand">
      <x/>
    </i>
  </rowItems>
  <colFields count="1">
    <field x="-2"/>
  </colFields>
  <colItems count="5">
    <i>
      <x/>
    </i>
    <i i="1">
      <x v="1"/>
    </i>
    <i i="2">
      <x v="2"/>
    </i>
    <i i="3">
      <x v="3"/>
    </i>
    <i i="4">
      <x v="4"/>
    </i>
  </colItems>
  <dataFields count="5">
    <dataField name="Sum of CY2010" fld="21" baseField="0" baseItem="0"/>
    <dataField name="Sum of CY2015" fld="16" baseField="0" baseItem="0"/>
    <dataField name="Sum of CY2019" fld="12" baseField="0" baseItem="0"/>
    <dataField name="Sum of CY2021" fld="10" baseField="0" baseItem="0"/>
    <dataField name="Sum of CY2022"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A00-000001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P9" firstHeaderRow="1" firstDataRow="1" firstDataCol="1"/>
  <pivotFields count="6">
    <pivotField showAll="0"/>
    <pivotField showAll="0"/>
    <pivotField showAll="0"/>
    <pivotField axis="axisRow" showAll="0">
      <items count="8">
        <item x="4"/>
        <item x="2"/>
        <item x="3"/>
        <item x="5"/>
        <item x="6"/>
        <item x="0"/>
        <item x="1"/>
        <item t="default"/>
      </items>
    </pivotField>
    <pivotField showAll="0">
      <items count="2">
        <item x="0"/>
        <item t="default"/>
      </items>
    </pivotField>
    <pivotField dataField="1" numFmtId="174" showAll="0"/>
  </pivotFields>
  <rowFields count="1">
    <field x="3"/>
  </rowFields>
  <rowItems count="8">
    <i>
      <x/>
    </i>
    <i>
      <x v="1"/>
    </i>
    <i>
      <x v="2"/>
    </i>
    <i>
      <x v="3"/>
    </i>
    <i>
      <x v="4"/>
    </i>
    <i>
      <x v="5"/>
    </i>
    <i>
      <x v="6"/>
    </i>
    <i t="grand">
      <x/>
    </i>
  </rowItems>
  <colItems count="1">
    <i/>
  </colItems>
  <dataFields count="1">
    <dataField name="Sum of 2010" fld="5" baseField="0" baseItem="0"/>
  </dataFields>
  <formats count="25">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outline="0" axis="axisValues" fieldPosition="0"/>
    </format>
    <format dxfId="29">
      <pivotArea dataOnly="0" labelOnly="1" fieldPosition="0">
        <references count="1">
          <reference field="3"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outline="0" axis="axisValues" fieldPosition="0"/>
    </format>
    <format dxfId="22">
      <pivotArea dataOnly="0" labelOnly="1" fieldPosition="0">
        <references count="1">
          <reference field="3"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outline="0" axis="axisValues" fieldPosition="0"/>
    </format>
    <format dxfId="15">
      <pivotArea dataOnly="0" labelOnly="1" fieldPosition="0">
        <references count="1">
          <reference field="3" count="0"/>
        </references>
      </pivotArea>
    </format>
    <format dxfId="14">
      <pivotArea dataOnly="0" labelOnly="1" grandRow="1" outline="0" fieldPosition="0"/>
    </format>
    <format dxfId="13">
      <pivotArea dataOnly="0" labelOnly="1" outline="0" axis="axisValues" fieldPosition="0"/>
    </format>
    <format dxfId="12">
      <pivotArea collapsedLevelsAreSubtotals="1" fieldPosition="0">
        <references count="1">
          <reference field="3" count="1">
            <x v="6"/>
          </reference>
        </references>
      </pivotArea>
    </format>
    <format dxfId="11">
      <pivotArea grandRow="1" outline="0" collapsedLevelsAreSubtotals="1" fieldPosition="0"/>
    </format>
    <format dxfId="10">
      <pivotArea dataOnly="0" labelOnly="1" fieldPosition="0">
        <references count="1">
          <reference field="3" count="1">
            <x v="6"/>
          </reference>
        </references>
      </pivotArea>
    </format>
    <format dxfId="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A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M6" firstHeaderRow="0" firstDataRow="1" firstDataCol="1"/>
  <pivotFields count="7">
    <pivotField showAll="0"/>
    <pivotField showAll="0"/>
    <pivotField axis="axisRow" showAll="0">
      <items count="5">
        <item x="0"/>
        <item x="1"/>
        <item x="2"/>
        <item x="3"/>
        <item t="default"/>
      </items>
    </pivotField>
    <pivotField showAll="0"/>
    <pivotField dataField="1" numFmtId="3" showAll="0"/>
    <pivotField numFmtId="3" showAll="0"/>
    <pivotField dataField="1" numFmtId="3" showAll="0"/>
  </pivotFields>
  <rowFields count="1">
    <field x="2"/>
  </rowFields>
  <rowItems count="5">
    <i>
      <x/>
    </i>
    <i>
      <x v="1"/>
    </i>
    <i>
      <x v="2"/>
    </i>
    <i>
      <x v="3"/>
    </i>
    <i t="grand">
      <x/>
    </i>
  </rowItems>
  <colFields count="1">
    <field x="-2"/>
  </colFields>
  <colItems count="2">
    <i>
      <x/>
    </i>
    <i i="1">
      <x v="1"/>
    </i>
  </colItems>
  <dataFields count="2">
    <dataField name="Sum of Source GJ" fld="6" baseField="0" baseItem="0"/>
    <dataField name="Sum of Consumed" fld="4" baseField="0" baseItem="0"/>
  </dataFields>
  <formats count="21">
    <format dxfId="54">
      <pivotArea field="2" type="button" dataOnly="0" labelOnly="1" outline="0" axis="axisRow" fieldPosition="0"/>
    </format>
    <format dxfId="53">
      <pivotArea dataOnly="0" labelOnly="1" outline="0" fieldPosition="0">
        <references count="1">
          <reference field="4294967294" count="2">
            <x v="0"/>
            <x v="1"/>
          </reference>
        </references>
      </pivotArea>
    </format>
    <format dxfId="52">
      <pivotArea dataOnly="0" grandRow="1" axis="axisRow" fieldPosition="0"/>
    </format>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 dxfId="45">
      <pivotArea type="all" dataOnly="0" outline="0" fieldPosition="0"/>
    </format>
    <format dxfId="44">
      <pivotArea outline="0" collapsedLevelsAreSubtotals="1" fieldPosition="0"/>
    </format>
    <format dxfId="43">
      <pivotArea field="2" type="button" dataOnly="0" labelOnly="1" outline="0" axis="axisRow" fieldPosition="0"/>
    </format>
    <format dxfId="42">
      <pivotArea dataOnly="0" labelOnly="1" fieldPosition="0">
        <references count="1">
          <reference field="2" count="0"/>
        </references>
      </pivotArea>
    </format>
    <format dxfId="41">
      <pivotArea dataOnly="0" labelOnly="1" grandRow="1" outline="0" fieldPosition="0"/>
    </format>
    <format dxfId="40">
      <pivotArea dataOnly="0" labelOnly="1" outline="0" fieldPosition="0">
        <references count="1">
          <reference field="4294967294" count="2">
            <x v="0"/>
            <x v="1"/>
          </reference>
        </references>
      </pivotArea>
    </format>
    <format dxfId="39">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8" Type="http://schemas.openxmlformats.org/officeDocument/2006/relationships/control" Target="../activeX/activeX10.xml"/><Relationship Id="rId13" Type="http://schemas.openxmlformats.org/officeDocument/2006/relationships/image" Target="../media/image12.emf"/><Relationship Id="rId3" Type="http://schemas.openxmlformats.org/officeDocument/2006/relationships/vmlDrawing" Target="../drawings/vmlDrawing2.vml"/><Relationship Id="rId7" Type="http://schemas.openxmlformats.org/officeDocument/2006/relationships/image" Target="../media/image9.emf"/><Relationship Id="rId12" Type="http://schemas.openxmlformats.org/officeDocument/2006/relationships/control" Target="../activeX/activeX12.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ontrol" Target="../activeX/activeX9.xml"/><Relationship Id="rId11" Type="http://schemas.openxmlformats.org/officeDocument/2006/relationships/image" Target="../media/image11.emf"/><Relationship Id="rId5" Type="http://schemas.openxmlformats.org/officeDocument/2006/relationships/image" Target="../media/image8.emf"/><Relationship Id="rId10" Type="http://schemas.openxmlformats.org/officeDocument/2006/relationships/control" Target="../activeX/activeX11.xml"/><Relationship Id="rId4" Type="http://schemas.openxmlformats.org/officeDocument/2006/relationships/control" Target="../activeX/activeX8.xml"/><Relationship Id="rId9" Type="http://schemas.openxmlformats.org/officeDocument/2006/relationships/image" Target="../media/image10.emf"/></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15.xml"/><Relationship Id="rId3" Type="http://schemas.openxmlformats.org/officeDocument/2006/relationships/vmlDrawing" Target="../drawings/vmlDrawing3.vml"/><Relationship Id="rId7" Type="http://schemas.openxmlformats.org/officeDocument/2006/relationships/image" Target="../media/image14.emf"/><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ontrol" Target="../activeX/activeX14.xml"/><Relationship Id="rId11" Type="http://schemas.openxmlformats.org/officeDocument/2006/relationships/image" Target="../media/image16.emf"/><Relationship Id="rId5" Type="http://schemas.openxmlformats.org/officeDocument/2006/relationships/image" Target="../media/image13.emf"/><Relationship Id="rId10" Type="http://schemas.openxmlformats.org/officeDocument/2006/relationships/control" Target="../activeX/activeX16.xml"/><Relationship Id="rId4" Type="http://schemas.openxmlformats.org/officeDocument/2006/relationships/control" Target="../activeX/activeX13.xml"/><Relationship Id="rId9" Type="http://schemas.openxmlformats.org/officeDocument/2006/relationships/image" Target="../media/image15.emf"/></Relationships>
</file>

<file path=xl/worksheets/_rels/sheet11.xml.rels><?xml version="1.0" encoding="UTF-8" standalone="yes"?>
<Relationships xmlns="http://schemas.openxmlformats.org/package/2006/relationships"><Relationship Id="rId8" Type="http://schemas.openxmlformats.org/officeDocument/2006/relationships/control" Target="../activeX/activeX19.xml"/><Relationship Id="rId13" Type="http://schemas.openxmlformats.org/officeDocument/2006/relationships/image" Target="../media/image21.emf"/><Relationship Id="rId3" Type="http://schemas.openxmlformats.org/officeDocument/2006/relationships/vmlDrawing" Target="../drawings/vmlDrawing4.vml"/><Relationship Id="rId7" Type="http://schemas.openxmlformats.org/officeDocument/2006/relationships/image" Target="../media/image18.emf"/><Relationship Id="rId12" Type="http://schemas.openxmlformats.org/officeDocument/2006/relationships/control" Target="../activeX/activeX21.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control" Target="../activeX/activeX18.xml"/><Relationship Id="rId11" Type="http://schemas.openxmlformats.org/officeDocument/2006/relationships/image" Target="../media/image20.emf"/><Relationship Id="rId5" Type="http://schemas.openxmlformats.org/officeDocument/2006/relationships/image" Target="../media/image17.emf"/><Relationship Id="rId10" Type="http://schemas.openxmlformats.org/officeDocument/2006/relationships/control" Target="../activeX/activeX20.xml"/><Relationship Id="rId4" Type="http://schemas.openxmlformats.org/officeDocument/2006/relationships/control" Target="../activeX/activeX17.xml"/><Relationship Id="rId9" Type="http://schemas.openxmlformats.org/officeDocument/2006/relationships/image" Target="../media/image19.emf"/></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24.xml"/><Relationship Id="rId13" Type="http://schemas.openxmlformats.org/officeDocument/2006/relationships/image" Target="../media/image26.emf"/><Relationship Id="rId3" Type="http://schemas.openxmlformats.org/officeDocument/2006/relationships/vmlDrawing" Target="../drawings/vmlDrawing5.vml"/><Relationship Id="rId7" Type="http://schemas.openxmlformats.org/officeDocument/2006/relationships/image" Target="../media/image23.emf"/><Relationship Id="rId12" Type="http://schemas.openxmlformats.org/officeDocument/2006/relationships/control" Target="../activeX/activeX26.xml"/><Relationship Id="rId17" Type="http://schemas.openxmlformats.org/officeDocument/2006/relationships/image" Target="../media/image28.emf"/><Relationship Id="rId2" Type="http://schemas.openxmlformats.org/officeDocument/2006/relationships/drawing" Target="../drawings/drawing5.xml"/><Relationship Id="rId16" Type="http://schemas.openxmlformats.org/officeDocument/2006/relationships/control" Target="../activeX/activeX28.xml"/><Relationship Id="rId1" Type="http://schemas.openxmlformats.org/officeDocument/2006/relationships/printerSettings" Target="../printerSettings/printerSettings7.bin"/><Relationship Id="rId6" Type="http://schemas.openxmlformats.org/officeDocument/2006/relationships/control" Target="../activeX/activeX23.xml"/><Relationship Id="rId11" Type="http://schemas.openxmlformats.org/officeDocument/2006/relationships/image" Target="../media/image25.emf"/><Relationship Id="rId5" Type="http://schemas.openxmlformats.org/officeDocument/2006/relationships/image" Target="../media/image22.emf"/><Relationship Id="rId15" Type="http://schemas.openxmlformats.org/officeDocument/2006/relationships/image" Target="../media/image27.emf"/><Relationship Id="rId10" Type="http://schemas.openxmlformats.org/officeDocument/2006/relationships/control" Target="../activeX/activeX25.xml"/><Relationship Id="rId4" Type="http://schemas.openxmlformats.org/officeDocument/2006/relationships/control" Target="../activeX/activeX22.xml"/><Relationship Id="rId9" Type="http://schemas.openxmlformats.org/officeDocument/2006/relationships/image" Target="../media/image24.emf"/><Relationship Id="rId14" Type="http://schemas.openxmlformats.org/officeDocument/2006/relationships/control" Target="../activeX/activeX27.xml"/></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31.xml"/><Relationship Id="rId13" Type="http://schemas.openxmlformats.org/officeDocument/2006/relationships/image" Target="../media/image33.emf"/><Relationship Id="rId3" Type="http://schemas.openxmlformats.org/officeDocument/2006/relationships/vmlDrawing" Target="../drawings/vmlDrawing6.vml"/><Relationship Id="rId7" Type="http://schemas.openxmlformats.org/officeDocument/2006/relationships/image" Target="../media/image30.emf"/><Relationship Id="rId12" Type="http://schemas.openxmlformats.org/officeDocument/2006/relationships/control" Target="../activeX/activeX33.xml"/><Relationship Id="rId2" Type="http://schemas.openxmlformats.org/officeDocument/2006/relationships/drawing" Target="../drawings/drawing6.xml"/><Relationship Id="rId1" Type="http://schemas.openxmlformats.org/officeDocument/2006/relationships/printerSettings" Target="../printerSettings/printerSettings8.bin"/><Relationship Id="rId6" Type="http://schemas.openxmlformats.org/officeDocument/2006/relationships/control" Target="../activeX/activeX30.xml"/><Relationship Id="rId11" Type="http://schemas.openxmlformats.org/officeDocument/2006/relationships/image" Target="../media/image32.emf"/><Relationship Id="rId5" Type="http://schemas.openxmlformats.org/officeDocument/2006/relationships/image" Target="../media/image29.emf"/><Relationship Id="rId15" Type="http://schemas.openxmlformats.org/officeDocument/2006/relationships/image" Target="../media/image34.emf"/><Relationship Id="rId10" Type="http://schemas.openxmlformats.org/officeDocument/2006/relationships/control" Target="../activeX/activeX32.xml"/><Relationship Id="rId4" Type="http://schemas.openxmlformats.org/officeDocument/2006/relationships/control" Target="../activeX/activeX29.xml"/><Relationship Id="rId9" Type="http://schemas.openxmlformats.org/officeDocument/2006/relationships/image" Target="../media/image31.emf"/><Relationship Id="rId14" Type="http://schemas.openxmlformats.org/officeDocument/2006/relationships/control" Target="../activeX/activeX3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3.bin"/><Relationship Id="rId1" Type="http://schemas.openxmlformats.org/officeDocument/2006/relationships/hyperlink" Target="https://www.apta.com/resources/statistics/Documents/FactBook/2018-APTA-Fact-Book.pdf" TargetMode="External"/><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faa.gov/airports/planning_capacity/passenger_allcargo_stats/passenger/index.cfm?year=2005"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www.iwr.usace.army.mil/ndc/wcsc/statenm06.htm" TargetMode="External"/><Relationship Id="rId2" Type="http://schemas.openxmlformats.org/officeDocument/2006/relationships/hyperlink" Target="http://www.aar.org/abouttheindustry/stateinformation.asp" TargetMode="External"/><Relationship Id="rId1" Type="http://schemas.openxmlformats.org/officeDocument/2006/relationships/hyperlink" Target="http://www.bts.gov/publications/commodity_flow_survey/2002/united_states/" TargetMode="External"/><Relationship Id="rId5" Type="http://schemas.openxmlformats.org/officeDocument/2006/relationships/drawing" Target="../drawings/drawing8.xml"/><Relationship Id="rId4"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2" Type="http://schemas.openxmlformats.org/officeDocument/2006/relationships/hyperlink" Target="http://alternativefuels.about.com/od/resources/a/gge.htm" TargetMode="External"/><Relationship Id="rId1" Type="http://schemas.openxmlformats.org/officeDocument/2006/relationships/hyperlink" Target="http://www.nafa.org/Content/NavigationMenu/Resource_Center/Alternative_Fuels/Energy_Equivalents/Energy_Equivalents.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0</v>
      </c>
      <c r="B1" s="35"/>
    </row>
    <row r="4" spans="1:6" ht="17.25" customHeight="1" x14ac:dyDescent="0.2"/>
    <row r="5" spans="1:6" ht="17.25" customHeight="1" x14ac:dyDescent="0.2">
      <c r="C5" s="2"/>
    </row>
    <row r="6" spans="1:6" ht="15.75" customHeight="1" x14ac:dyDescent="0.2"/>
    <row r="7" spans="1:6" x14ac:dyDescent="0.2">
      <c r="B7" s="3" t="s">
        <v>1</v>
      </c>
      <c r="C7" s="1" t="s">
        <v>2</v>
      </c>
      <c r="D7" s="1" t="s">
        <v>3</v>
      </c>
      <c r="E7" s="1" t="s">
        <v>4</v>
      </c>
      <c r="F7" s="1" t="s">
        <v>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73"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2073" r:id="rId4" name="cmdRefreshUnits"/>
      </mc:Fallback>
    </mc:AlternateContent>
    <mc:AlternateContent xmlns:mc="http://schemas.openxmlformats.org/markup-compatibility/2006">
      <mc:Choice Requires="x14">
        <control shapeId="2063" r:id="rId6" name="cmdCommUnit">
          <controlPr defaultSize="0" autoLine="0" r:id="rId7">
            <anchor moveWithCells="1">
              <from>
                <xdr:col>3</xdr:col>
                <xdr:colOff>9525</xdr:colOff>
                <xdr:row>4</xdr:row>
                <xdr:rowOff>171450</xdr:rowOff>
              </from>
              <to>
                <xdr:col>3</xdr:col>
                <xdr:colOff>676275</xdr:colOff>
                <xdr:row>5</xdr:row>
                <xdr:rowOff>190500</xdr:rowOff>
              </to>
            </anchor>
          </controlPr>
        </control>
      </mc:Choice>
      <mc:Fallback>
        <control shapeId="2063" r:id="rId6" name="cmdCommUnit"/>
      </mc:Fallback>
    </mc:AlternateContent>
    <mc:AlternateContent xmlns:mc="http://schemas.openxmlformats.org/markup-compatibility/2006">
      <mc:Choice Requires="x14">
        <control shapeId="2061" r:id="rId8" name="cmdCheckCommoditiesSheet">
          <controlPr defaultSize="0" autoLine="0" autoPict="0" r:id="rId9">
            <anchor moveWithCells="1">
              <from>
                <xdr:col>0</xdr:col>
                <xdr:colOff>9525</xdr:colOff>
                <xdr:row>2</xdr:row>
                <xdr:rowOff>142875</xdr:rowOff>
              </from>
              <to>
                <xdr:col>0</xdr:col>
                <xdr:colOff>828675</xdr:colOff>
                <xdr:row>4</xdr:row>
                <xdr:rowOff>0</xdr:rowOff>
              </to>
            </anchor>
          </controlPr>
        </control>
      </mc:Choice>
      <mc:Fallback>
        <control shapeId="2061" r:id="rId8" name="cmdCheckCommoditiesSheet"/>
      </mc:Fallback>
    </mc:AlternateContent>
    <mc:AlternateContent xmlns:mc="http://schemas.openxmlformats.org/markup-compatibility/2006">
      <mc:Choice Requires="x14">
        <control shapeId="2053" r:id="rId10" name="cmdMaterialSets">
          <controlPr defaultSize="0" autoLine="0" r:id="rId11">
            <anchor moveWithCells="1">
              <from>
                <xdr:col>4</xdr:col>
                <xdr:colOff>1000125</xdr:colOff>
                <xdr:row>3</xdr:row>
                <xdr:rowOff>95250</xdr:rowOff>
              </from>
              <to>
                <xdr:col>4</xdr:col>
                <xdr:colOff>1971675</xdr:colOff>
                <xdr:row>4</xdr:row>
                <xdr:rowOff>114300</xdr:rowOff>
              </to>
            </anchor>
          </controlPr>
        </control>
      </mc:Choice>
      <mc:Fallback>
        <control shapeId="2053" r:id="rId10" name="cmdMaterialSets"/>
      </mc:Fallback>
    </mc:AlternateContent>
    <mc:AlternateContent xmlns:mc="http://schemas.openxmlformats.org/markup-compatibility/2006">
      <mc:Choice Requires="x14">
        <control shapeId="2052" r:id="rId12" name="cmdEmissionSets">
          <controlPr defaultSize="0" autoLine="0" r:id="rId13">
            <anchor moveWithCells="1">
              <from>
                <xdr:col>4</xdr:col>
                <xdr:colOff>1000125</xdr:colOff>
                <xdr:row>4</xdr:row>
                <xdr:rowOff>171450</xdr:rowOff>
              </from>
              <to>
                <xdr:col>4</xdr:col>
                <xdr:colOff>1971675</xdr:colOff>
                <xdr:row>5</xdr:row>
                <xdr:rowOff>190500</xdr:rowOff>
              </to>
            </anchor>
          </controlPr>
        </control>
      </mc:Choice>
      <mc:Fallback>
        <control shapeId="2052" r:id="rId12" name="cmdEmissionSets"/>
      </mc:Fallback>
    </mc:AlternateContent>
    <mc:AlternateContent xmlns:mc="http://schemas.openxmlformats.org/markup-compatibility/2006">
      <mc:Choice Requires="x14">
        <control shapeId="2051" r:id="rId14" name="cmdDemandSets">
          <controlPr defaultSize="0" autoLine="0" r:id="rId15">
            <anchor moveWithCells="1">
              <from>
                <xdr:col>4</xdr:col>
                <xdr:colOff>9525</xdr:colOff>
                <xdr:row>4</xdr:row>
                <xdr:rowOff>171450</xdr:rowOff>
              </from>
              <to>
                <xdr:col>4</xdr:col>
                <xdr:colOff>981075</xdr:colOff>
                <xdr:row>5</xdr:row>
                <xdr:rowOff>190500</xdr:rowOff>
              </to>
            </anchor>
          </controlPr>
        </control>
      </mc:Choice>
      <mc:Fallback>
        <control shapeId="2051" r:id="rId14" name="cmdDemandSets"/>
      </mc:Fallback>
    </mc:AlternateContent>
    <mc:AlternateContent xmlns:mc="http://schemas.openxmlformats.org/markup-compatibility/2006">
      <mc:Choice Requires="x14">
        <control shapeId="2049" r:id="rId16" name="cmdEnergySets">
          <controlPr defaultSize="0" autoLine="0" r:id="rId17">
            <anchor moveWithCells="1">
              <from>
                <xdr:col>4</xdr:col>
                <xdr:colOff>9525</xdr:colOff>
                <xdr:row>3</xdr:row>
                <xdr:rowOff>95250</xdr:rowOff>
              </from>
              <to>
                <xdr:col>4</xdr:col>
                <xdr:colOff>981075</xdr:colOff>
                <xdr:row>4</xdr:row>
                <xdr:rowOff>114300</xdr:rowOff>
              </to>
            </anchor>
          </controlPr>
        </control>
      </mc:Choice>
      <mc:Fallback>
        <control shapeId="2049" r:id="rId16" name="cmdEnergySets"/>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16D9-B3AF-4591-B1F6-6C4AB57D1293}">
  <sheetPr>
    <tabColor theme="8"/>
  </sheetPr>
  <dimension ref="B3:W129"/>
  <sheetViews>
    <sheetView tabSelected="1" topLeftCell="A100" zoomScale="85" zoomScaleNormal="85" workbookViewId="0">
      <selection activeCell="O61" sqref="O61"/>
    </sheetView>
  </sheetViews>
  <sheetFormatPr defaultColWidth="18.5703125" defaultRowHeight="12.75" x14ac:dyDescent="0.2"/>
  <cols>
    <col min="1" max="1" width="6" customWidth="1"/>
    <col min="2" max="2" width="22.85546875" bestFit="1" customWidth="1"/>
    <col min="3" max="3" width="8.42578125" bestFit="1" customWidth="1"/>
    <col min="4" max="4" width="12.42578125" bestFit="1" customWidth="1"/>
    <col min="5" max="5" width="7.7109375" bestFit="1" customWidth="1"/>
    <col min="6" max="6" width="8.5703125" bestFit="1" customWidth="1"/>
    <col min="7" max="7" width="8.42578125" bestFit="1" customWidth="1"/>
    <col min="8" max="8" width="13.7109375" bestFit="1" customWidth="1"/>
    <col min="9" max="9" width="8.85546875" bestFit="1" customWidth="1"/>
    <col min="10" max="10" width="8.85546875" customWidth="1"/>
    <col min="11" max="11" width="11" bestFit="1" customWidth="1"/>
    <col min="12" max="12" width="13.140625" bestFit="1" customWidth="1"/>
    <col min="13" max="13" width="5.42578125" customWidth="1"/>
    <col min="14" max="14" width="8" customWidth="1"/>
    <col min="15" max="15" width="10.140625" bestFit="1" customWidth="1"/>
    <col min="16" max="18" width="8.85546875" bestFit="1" customWidth="1"/>
    <col min="19" max="19" width="8.28515625" customWidth="1"/>
    <col min="21" max="21" width="5" bestFit="1" customWidth="1"/>
  </cols>
  <sheetData>
    <row r="3" spans="2:21" x14ac:dyDescent="0.2">
      <c r="B3" s="707" t="s">
        <v>1725</v>
      </c>
      <c r="C3" s="35"/>
      <c r="D3" s="35"/>
      <c r="E3" s="35"/>
      <c r="F3" s="35"/>
      <c r="G3" s="35"/>
      <c r="H3" s="35"/>
      <c r="I3" s="35"/>
      <c r="J3" s="35"/>
      <c r="K3" s="35"/>
      <c r="L3" s="35"/>
      <c r="M3" s="35"/>
      <c r="O3" s="423"/>
      <c r="P3" s="423"/>
      <c r="Q3" s="423"/>
      <c r="R3" s="423"/>
      <c r="S3" s="423"/>
      <c r="U3" s="35"/>
    </row>
    <row r="4" spans="2:21" x14ac:dyDescent="0.2">
      <c r="B4" s="708"/>
      <c r="C4" s="35"/>
      <c r="D4" s="35"/>
      <c r="E4" s="35"/>
      <c r="F4" s="35"/>
      <c r="G4" s="35"/>
      <c r="H4" s="35"/>
      <c r="I4" s="35"/>
      <c r="J4" s="35"/>
      <c r="K4" s="35"/>
      <c r="L4" s="35"/>
      <c r="M4" s="35"/>
      <c r="N4" s="35"/>
      <c r="O4" s="35"/>
      <c r="P4" s="35"/>
      <c r="Q4" s="35"/>
      <c r="R4" s="35"/>
      <c r="U4" s="35"/>
    </row>
    <row r="5" spans="2:21" x14ac:dyDescent="0.2">
      <c r="B5" s="35"/>
      <c r="C5" s="35"/>
      <c r="E5" s="35"/>
      <c r="F5" s="35"/>
      <c r="G5" s="35"/>
      <c r="H5" s="707" t="s">
        <v>1741</v>
      </c>
      <c r="I5" s="707"/>
      <c r="J5" s="707"/>
      <c r="K5" s="35"/>
      <c r="L5" s="35"/>
      <c r="M5" s="35"/>
      <c r="N5" s="35"/>
      <c r="O5" s="35"/>
      <c r="P5" s="35"/>
      <c r="Q5" s="35"/>
      <c r="R5" s="35"/>
      <c r="S5" s="35"/>
      <c r="U5" s="35"/>
    </row>
    <row r="6" spans="2:21" ht="13.5" thickBot="1" x14ac:dyDescent="0.25">
      <c r="B6" s="709" t="s">
        <v>1726</v>
      </c>
      <c r="C6" s="709" t="s">
        <v>1727</v>
      </c>
      <c r="D6" s="709" t="s">
        <v>1728</v>
      </c>
      <c r="E6" s="709" t="s">
        <v>1729</v>
      </c>
      <c r="F6" s="709" t="s">
        <v>1733</v>
      </c>
      <c r="G6" s="709" t="s">
        <v>1730</v>
      </c>
      <c r="H6" s="709" t="s">
        <v>1239</v>
      </c>
      <c r="I6" s="709" t="s">
        <v>1654</v>
      </c>
      <c r="J6" s="709" t="s">
        <v>1740</v>
      </c>
      <c r="K6" s="710" t="s">
        <v>1734</v>
      </c>
      <c r="L6" s="710" t="s">
        <v>1735</v>
      </c>
      <c r="M6" s="709" t="s">
        <v>1731</v>
      </c>
      <c r="N6" s="709" t="s">
        <v>1030</v>
      </c>
      <c r="O6" s="709" t="s">
        <v>182</v>
      </c>
      <c r="P6" s="709" t="s">
        <v>184</v>
      </c>
      <c r="Q6" s="709" t="s">
        <v>186</v>
      </c>
      <c r="R6" s="709" t="s">
        <v>188</v>
      </c>
      <c r="S6" s="709" t="s">
        <v>190</v>
      </c>
      <c r="U6" s="709"/>
    </row>
    <row r="7" spans="2:21" x14ac:dyDescent="0.2">
      <c r="B7" s="809"/>
      <c r="C7" s="809"/>
      <c r="D7" s="809"/>
      <c r="E7" s="809"/>
      <c r="F7" s="809"/>
      <c r="G7" s="809"/>
      <c r="H7" s="809"/>
      <c r="I7" s="809"/>
      <c r="J7" s="809"/>
      <c r="K7" s="810"/>
      <c r="L7" s="810"/>
      <c r="M7" s="809"/>
      <c r="N7" s="809"/>
      <c r="O7" s="809"/>
      <c r="P7" s="809"/>
      <c r="Q7" s="809"/>
      <c r="R7" s="809"/>
      <c r="S7" s="809"/>
      <c r="U7" s="809"/>
    </row>
    <row r="8" spans="2:21" ht="15" x14ac:dyDescent="0.25">
      <c r="B8" s="711" t="str">
        <f>"UC_"&amp;G8&amp;RIGHT(E8,3)&amp;I8</f>
        <v>UC_TBCNGUP</v>
      </c>
      <c r="C8" s="717" t="s">
        <v>1732</v>
      </c>
      <c r="D8" s="712"/>
      <c r="E8" s="713" t="s">
        <v>66</v>
      </c>
      <c r="F8" s="718" t="s">
        <v>93</v>
      </c>
      <c r="G8" s="718" t="s">
        <v>93</v>
      </c>
      <c r="H8" s="714">
        <v>2020</v>
      </c>
      <c r="I8" s="714" t="s">
        <v>493</v>
      </c>
      <c r="J8" s="714">
        <v>1</v>
      </c>
      <c r="K8" s="714">
        <v>0</v>
      </c>
      <c r="L8" s="714">
        <v>15</v>
      </c>
      <c r="M8" s="715"/>
      <c r="N8" s="715"/>
      <c r="O8" s="715">
        <v>-0.2</v>
      </c>
      <c r="P8" s="715">
        <f>O8</f>
        <v>-0.2</v>
      </c>
      <c r="Q8" s="715">
        <f t="shared" ref="Q8:S8" si="0">P8</f>
        <v>-0.2</v>
      </c>
      <c r="R8" s="715">
        <f t="shared" si="0"/>
        <v>-0.2</v>
      </c>
      <c r="S8" s="715">
        <f t="shared" si="0"/>
        <v>-0.2</v>
      </c>
      <c r="U8" s="714"/>
    </row>
    <row r="9" spans="2:21" ht="15" x14ac:dyDescent="0.25">
      <c r="B9" s="711"/>
      <c r="C9" s="717" t="s">
        <v>1732</v>
      </c>
      <c r="D9" s="712"/>
      <c r="E9" s="713" t="s">
        <v>66</v>
      </c>
      <c r="F9" s="718" t="s">
        <v>93</v>
      </c>
      <c r="G9" s="718" t="s">
        <v>93</v>
      </c>
      <c r="H9" s="714">
        <v>2025</v>
      </c>
      <c r="I9" s="714"/>
      <c r="J9" s="714">
        <v>1</v>
      </c>
      <c r="K9" s="714"/>
      <c r="L9" s="714"/>
      <c r="M9" s="715"/>
      <c r="N9" s="715"/>
      <c r="O9" s="715">
        <v>-0.23571428571428571</v>
      </c>
      <c r="P9" s="715">
        <f t="shared" ref="P9:S9" si="1">O9</f>
        <v>-0.23571428571428571</v>
      </c>
      <c r="Q9" s="715">
        <f t="shared" si="1"/>
        <v>-0.23571428571428571</v>
      </c>
      <c r="R9" s="715">
        <f t="shared" si="1"/>
        <v>-0.23571428571428571</v>
      </c>
      <c r="S9" s="715">
        <f t="shared" si="1"/>
        <v>-0.23571428571428571</v>
      </c>
      <c r="U9" s="714"/>
    </row>
    <row r="10" spans="2:21" ht="15" x14ac:dyDescent="0.25">
      <c r="B10" s="711"/>
      <c r="C10" s="717" t="s">
        <v>1732</v>
      </c>
      <c r="D10" s="712"/>
      <c r="E10" s="713" t="s">
        <v>66</v>
      </c>
      <c r="F10" s="718" t="s">
        <v>93</v>
      </c>
      <c r="G10" s="718" t="s">
        <v>93</v>
      </c>
      <c r="H10" s="714">
        <v>2030</v>
      </c>
      <c r="I10" s="714"/>
      <c r="J10" s="714">
        <v>1</v>
      </c>
      <c r="K10" s="714"/>
      <c r="L10" s="714"/>
      <c r="M10" s="715"/>
      <c r="N10" s="715"/>
      <c r="O10" s="715">
        <v>-0.27142857142857141</v>
      </c>
      <c r="P10" s="715">
        <f t="shared" ref="P10:S10" si="2">O10</f>
        <v>-0.27142857142857141</v>
      </c>
      <c r="Q10" s="715">
        <f t="shared" si="2"/>
        <v>-0.27142857142857141</v>
      </c>
      <c r="R10" s="715">
        <f t="shared" si="2"/>
        <v>-0.27142857142857141</v>
      </c>
      <c r="S10" s="715">
        <f t="shared" si="2"/>
        <v>-0.27142857142857141</v>
      </c>
      <c r="U10" s="714"/>
    </row>
    <row r="11" spans="2:21" ht="15" x14ac:dyDescent="0.25">
      <c r="B11" s="711"/>
      <c r="C11" s="717" t="s">
        <v>1732</v>
      </c>
      <c r="D11" s="712"/>
      <c r="E11" s="713" t="s">
        <v>66</v>
      </c>
      <c r="F11" s="718" t="s">
        <v>93</v>
      </c>
      <c r="G11" s="718" t="s">
        <v>93</v>
      </c>
      <c r="H11" s="714">
        <v>2035</v>
      </c>
      <c r="I11" s="714"/>
      <c r="J11" s="714">
        <v>1</v>
      </c>
      <c r="K11" s="714"/>
      <c r="L11" s="714"/>
      <c r="M11" s="715"/>
      <c r="N11" s="715"/>
      <c r="O11" s="715">
        <v>-0.30714285714285711</v>
      </c>
      <c r="P11" s="715">
        <f t="shared" ref="P11:S11" si="3">O11</f>
        <v>-0.30714285714285711</v>
      </c>
      <c r="Q11" s="715">
        <f t="shared" si="3"/>
        <v>-0.30714285714285711</v>
      </c>
      <c r="R11" s="715">
        <f t="shared" si="3"/>
        <v>-0.30714285714285711</v>
      </c>
      <c r="S11" s="715">
        <f t="shared" si="3"/>
        <v>-0.30714285714285711</v>
      </c>
      <c r="U11" s="714"/>
    </row>
    <row r="12" spans="2:21" ht="15" x14ac:dyDescent="0.25">
      <c r="B12" s="711"/>
      <c r="C12" s="717" t="s">
        <v>1732</v>
      </c>
      <c r="D12" s="712"/>
      <c r="E12" s="713" t="s">
        <v>66</v>
      </c>
      <c r="F12" s="718" t="s">
        <v>93</v>
      </c>
      <c r="G12" s="718" t="s">
        <v>93</v>
      </c>
      <c r="H12" s="714">
        <v>2040</v>
      </c>
      <c r="I12" s="714"/>
      <c r="J12" s="714">
        <v>1</v>
      </c>
      <c r="K12" s="714"/>
      <c r="L12" s="714"/>
      <c r="M12" s="715"/>
      <c r="N12" s="715"/>
      <c r="O12" s="715">
        <v>-0.3428571428571428</v>
      </c>
      <c r="P12" s="715">
        <f t="shared" ref="P12:S12" si="4">O12</f>
        <v>-0.3428571428571428</v>
      </c>
      <c r="Q12" s="715">
        <f t="shared" si="4"/>
        <v>-0.3428571428571428</v>
      </c>
      <c r="R12" s="715">
        <f t="shared" si="4"/>
        <v>-0.3428571428571428</v>
      </c>
      <c r="S12" s="715">
        <f t="shared" si="4"/>
        <v>-0.3428571428571428</v>
      </c>
      <c r="U12" s="714"/>
    </row>
    <row r="13" spans="2:21" ht="15" x14ac:dyDescent="0.25">
      <c r="B13" s="711"/>
      <c r="C13" s="717" t="s">
        <v>1732</v>
      </c>
      <c r="D13" s="712"/>
      <c r="E13" s="713" t="s">
        <v>66</v>
      </c>
      <c r="F13" s="718" t="s">
        <v>93</v>
      </c>
      <c r="G13" s="718" t="s">
        <v>93</v>
      </c>
      <c r="H13" s="714">
        <v>2045</v>
      </c>
      <c r="I13" s="714"/>
      <c r="J13" s="714">
        <v>1</v>
      </c>
      <c r="K13" s="714"/>
      <c r="L13" s="714"/>
      <c r="M13" s="715"/>
      <c r="N13" s="715"/>
      <c r="O13" s="715">
        <v>-0.38452380952380949</v>
      </c>
      <c r="P13" s="715">
        <f t="shared" ref="P13:S13" si="5">O13</f>
        <v>-0.38452380952380949</v>
      </c>
      <c r="Q13" s="715">
        <f t="shared" si="5"/>
        <v>-0.38452380952380949</v>
      </c>
      <c r="R13" s="715">
        <f t="shared" si="5"/>
        <v>-0.38452380952380949</v>
      </c>
      <c r="S13" s="715">
        <f t="shared" si="5"/>
        <v>-0.38452380952380949</v>
      </c>
      <c r="U13" s="714"/>
    </row>
    <row r="14" spans="2:21" ht="15" x14ac:dyDescent="0.25">
      <c r="B14" s="711"/>
      <c r="C14" s="717" t="s">
        <v>1732</v>
      </c>
      <c r="D14" s="712"/>
      <c r="E14" s="713" t="s">
        <v>66</v>
      </c>
      <c r="F14" s="718" t="s">
        <v>93</v>
      </c>
      <c r="G14" s="718" t="s">
        <v>93</v>
      </c>
      <c r="H14" s="714">
        <v>2050</v>
      </c>
      <c r="I14" s="714"/>
      <c r="J14" s="714">
        <v>1</v>
      </c>
      <c r="K14" s="714"/>
      <c r="L14" s="714"/>
      <c r="M14" s="715"/>
      <c r="N14" s="715"/>
      <c r="O14" s="715">
        <v>-0.42619047619047618</v>
      </c>
      <c r="P14" s="715">
        <f t="shared" ref="P14:S14" si="6">O14</f>
        <v>-0.42619047619047618</v>
      </c>
      <c r="Q14" s="715">
        <f t="shared" si="6"/>
        <v>-0.42619047619047618</v>
      </c>
      <c r="R14" s="715">
        <f t="shared" si="6"/>
        <v>-0.42619047619047618</v>
      </c>
      <c r="S14" s="715">
        <f t="shared" si="6"/>
        <v>-0.42619047619047618</v>
      </c>
      <c r="U14" s="714"/>
    </row>
    <row r="15" spans="2:21" ht="15" x14ac:dyDescent="0.25">
      <c r="B15" s="716"/>
      <c r="C15" s="717" t="s">
        <v>1732</v>
      </c>
      <c r="D15" s="712"/>
      <c r="E15" s="713" t="s">
        <v>66</v>
      </c>
      <c r="F15" s="718" t="s">
        <v>93</v>
      </c>
      <c r="G15" s="718" t="s">
        <v>93</v>
      </c>
      <c r="H15" s="714">
        <v>2055</v>
      </c>
      <c r="I15" s="714"/>
      <c r="J15" s="714">
        <v>1</v>
      </c>
      <c r="K15" s="714"/>
      <c r="L15" s="714"/>
      <c r="M15" s="715"/>
      <c r="N15" s="715"/>
      <c r="O15" s="715">
        <f>O14</f>
        <v>-0.42619047619047618</v>
      </c>
      <c r="P15" s="715">
        <f t="shared" ref="P15:S15" si="7">P14</f>
        <v>-0.42619047619047618</v>
      </c>
      <c r="Q15" s="715">
        <f t="shared" si="7"/>
        <v>-0.42619047619047618</v>
      </c>
      <c r="R15" s="715">
        <f t="shared" si="7"/>
        <v>-0.42619047619047618</v>
      </c>
      <c r="S15" s="715">
        <f t="shared" si="7"/>
        <v>-0.42619047619047618</v>
      </c>
      <c r="U15" s="714"/>
    </row>
    <row r="16" spans="2:21" ht="15" x14ac:dyDescent="0.25">
      <c r="B16" s="711" t="str">
        <f>"UC_"&amp;G16&amp;RIGHT(E16,3)&amp;I16</f>
        <v>UC_TBDSLLO</v>
      </c>
      <c r="C16" s="717" t="s">
        <v>1732</v>
      </c>
      <c r="D16" s="712"/>
      <c r="E16" s="713" t="s">
        <v>39</v>
      </c>
      <c r="F16" s="718" t="s">
        <v>93</v>
      </c>
      <c r="G16" s="718" t="s">
        <v>93</v>
      </c>
      <c r="H16" s="714">
        <v>2015</v>
      </c>
      <c r="I16" s="714" t="s">
        <v>492</v>
      </c>
      <c r="J16" s="714">
        <v>1</v>
      </c>
      <c r="K16" s="714">
        <v>0</v>
      </c>
      <c r="L16" s="714">
        <v>15</v>
      </c>
      <c r="M16" s="715"/>
      <c r="N16" s="715"/>
      <c r="O16" s="715">
        <f>-('2010 GHG'!$I$6+'2010 GHG'!$I$10)*0.95/('2010 GHG'!$I$2+'2010 GHG'!$I$6+'2010 GHG'!$I$10)</f>
        <v>-0.79953403620061103</v>
      </c>
      <c r="P16" s="715">
        <f>O16</f>
        <v>-0.79953403620061103</v>
      </c>
      <c r="Q16" s="715">
        <f t="shared" ref="Q16:S16" si="8">P16</f>
        <v>-0.79953403620061103</v>
      </c>
      <c r="R16" s="715">
        <f t="shared" si="8"/>
        <v>-0.79953403620061103</v>
      </c>
      <c r="S16" s="715">
        <f t="shared" si="8"/>
        <v>-0.79953403620061103</v>
      </c>
      <c r="U16" s="714"/>
    </row>
    <row r="17" spans="2:21" ht="15" x14ac:dyDescent="0.25">
      <c r="B17" s="711"/>
      <c r="C17" s="717" t="s">
        <v>1732</v>
      </c>
      <c r="D17" s="712"/>
      <c r="E17" s="713" t="s">
        <v>39</v>
      </c>
      <c r="F17" s="718" t="s">
        <v>93</v>
      </c>
      <c r="G17" s="718" t="s">
        <v>93</v>
      </c>
      <c r="H17" s="714">
        <v>2020</v>
      </c>
      <c r="I17" s="714"/>
      <c r="J17" s="714">
        <v>1</v>
      </c>
      <c r="K17" s="714"/>
      <c r="L17" s="714"/>
      <c r="M17" s="715"/>
      <c r="N17" s="715"/>
      <c r="O17" s="715">
        <f>O16*U17</f>
        <v>-0.63962722896048885</v>
      </c>
      <c r="P17" s="715">
        <f t="shared" ref="P17:S17" si="9">O17</f>
        <v>-0.63962722896048885</v>
      </c>
      <c r="Q17" s="715">
        <f t="shared" si="9"/>
        <v>-0.63962722896048885</v>
      </c>
      <c r="R17" s="715">
        <f t="shared" si="9"/>
        <v>-0.63962722896048885</v>
      </c>
      <c r="S17" s="715">
        <f t="shared" si="9"/>
        <v>-0.63962722896048885</v>
      </c>
      <c r="U17" s="714">
        <v>0.8</v>
      </c>
    </row>
    <row r="18" spans="2:21" ht="15" x14ac:dyDescent="0.25">
      <c r="B18" s="711"/>
      <c r="C18" s="717" t="s">
        <v>1732</v>
      </c>
      <c r="D18" s="712"/>
      <c r="E18" s="713" t="s">
        <v>39</v>
      </c>
      <c r="F18" s="718" t="s">
        <v>93</v>
      </c>
      <c r="G18" s="718" t="s">
        <v>93</v>
      </c>
      <c r="H18" s="714">
        <v>2025</v>
      </c>
      <c r="I18" s="714"/>
      <c r="J18" s="714">
        <v>1</v>
      </c>
      <c r="K18" s="714"/>
      <c r="L18" s="714"/>
      <c r="M18" s="715"/>
      <c r="N18" s="715"/>
      <c r="O18" s="715">
        <f t="shared" ref="O18:O24" si="10">O17*U18</f>
        <v>-0.5117017831683911</v>
      </c>
      <c r="P18" s="715">
        <f t="shared" ref="P18:S18" si="11">O18</f>
        <v>-0.5117017831683911</v>
      </c>
      <c r="Q18" s="715">
        <f t="shared" si="11"/>
        <v>-0.5117017831683911</v>
      </c>
      <c r="R18" s="715">
        <f t="shared" si="11"/>
        <v>-0.5117017831683911</v>
      </c>
      <c r="S18" s="715">
        <f t="shared" si="11"/>
        <v>-0.5117017831683911</v>
      </c>
      <c r="U18" s="714">
        <v>0.8</v>
      </c>
    </row>
    <row r="19" spans="2:21" ht="15" x14ac:dyDescent="0.25">
      <c r="B19" s="711"/>
      <c r="C19" s="717" t="s">
        <v>1732</v>
      </c>
      <c r="D19" s="712"/>
      <c r="E19" s="713" t="s">
        <v>39</v>
      </c>
      <c r="F19" s="718" t="s">
        <v>93</v>
      </c>
      <c r="G19" s="718" t="s">
        <v>93</v>
      </c>
      <c r="H19" s="714">
        <v>2030</v>
      </c>
      <c r="I19" s="714"/>
      <c r="J19" s="714">
        <v>1</v>
      </c>
      <c r="K19" s="714"/>
      <c r="L19" s="714"/>
      <c r="M19" s="715"/>
      <c r="N19" s="715"/>
      <c r="O19" s="715">
        <f t="shared" si="10"/>
        <v>-0.38377633737629335</v>
      </c>
      <c r="P19" s="715">
        <f t="shared" ref="P19:S19" si="12">O19</f>
        <v>-0.38377633737629335</v>
      </c>
      <c r="Q19" s="715">
        <f t="shared" si="12"/>
        <v>-0.38377633737629335</v>
      </c>
      <c r="R19" s="715">
        <f t="shared" si="12"/>
        <v>-0.38377633737629335</v>
      </c>
      <c r="S19" s="715">
        <f t="shared" si="12"/>
        <v>-0.38377633737629335</v>
      </c>
      <c r="U19" s="714">
        <v>0.75</v>
      </c>
    </row>
    <row r="20" spans="2:21" ht="15" x14ac:dyDescent="0.25">
      <c r="B20" s="711"/>
      <c r="C20" s="717" t="s">
        <v>1732</v>
      </c>
      <c r="D20" s="712"/>
      <c r="E20" s="713" t="s">
        <v>39</v>
      </c>
      <c r="F20" s="718" t="s">
        <v>93</v>
      </c>
      <c r="G20" s="718" t="s">
        <v>93</v>
      </c>
      <c r="H20" s="714">
        <v>2035</v>
      </c>
      <c r="I20" s="714"/>
      <c r="J20" s="714">
        <v>1</v>
      </c>
      <c r="K20" s="714"/>
      <c r="L20" s="714"/>
      <c r="M20" s="715"/>
      <c r="N20" s="715"/>
      <c r="O20" s="715">
        <f t="shared" si="10"/>
        <v>-0.30702106990103473</v>
      </c>
      <c r="P20" s="715">
        <f t="shared" ref="P20:S20" si="13">O20</f>
        <v>-0.30702106990103473</v>
      </c>
      <c r="Q20" s="715">
        <f t="shared" si="13"/>
        <v>-0.30702106990103473</v>
      </c>
      <c r="R20" s="715">
        <f t="shared" si="13"/>
        <v>-0.30702106990103473</v>
      </c>
      <c r="S20" s="715">
        <f t="shared" si="13"/>
        <v>-0.30702106990103473</v>
      </c>
      <c r="U20" s="714">
        <v>0.8</v>
      </c>
    </row>
    <row r="21" spans="2:21" ht="15" x14ac:dyDescent="0.25">
      <c r="B21" s="711"/>
      <c r="C21" s="717" t="s">
        <v>1732</v>
      </c>
      <c r="D21" s="712"/>
      <c r="E21" s="713" t="s">
        <v>39</v>
      </c>
      <c r="F21" s="718" t="s">
        <v>93</v>
      </c>
      <c r="G21" s="718" t="s">
        <v>93</v>
      </c>
      <c r="H21" s="714">
        <v>2040</v>
      </c>
      <c r="I21" s="714"/>
      <c r="J21" s="714">
        <v>1</v>
      </c>
      <c r="K21" s="714"/>
      <c r="L21" s="714"/>
      <c r="M21" s="715"/>
      <c r="N21" s="715"/>
      <c r="O21" s="715">
        <f t="shared" si="10"/>
        <v>-0.2456168559208278</v>
      </c>
      <c r="P21" s="715">
        <f t="shared" ref="P21:S21" si="14">O21</f>
        <v>-0.2456168559208278</v>
      </c>
      <c r="Q21" s="715">
        <f t="shared" si="14"/>
        <v>-0.2456168559208278</v>
      </c>
      <c r="R21" s="715">
        <f t="shared" si="14"/>
        <v>-0.2456168559208278</v>
      </c>
      <c r="S21" s="715">
        <f t="shared" si="14"/>
        <v>-0.2456168559208278</v>
      </c>
      <c r="U21" s="714">
        <v>0.8</v>
      </c>
    </row>
    <row r="22" spans="2:21" ht="15" x14ac:dyDescent="0.25">
      <c r="B22" s="711"/>
      <c r="C22" s="717" t="s">
        <v>1732</v>
      </c>
      <c r="D22" s="712"/>
      <c r="E22" s="713" t="s">
        <v>39</v>
      </c>
      <c r="F22" s="718" t="s">
        <v>93</v>
      </c>
      <c r="G22" s="718" t="s">
        <v>93</v>
      </c>
      <c r="H22" s="714">
        <v>2045</v>
      </c>
      <c r="I22" s="714"/>
      <c r="J22" s="714">
        <v>1</v>
      </c>
      <c r="K22" s="714"/>
      <c r="L22" s="714"/>
      <c r="M22" s="715"/>
      <c r="N22" s="715"/>
      <c r="O22" s="715">
        <f t="shared" si="10"/>
        <v>-0.19649348473666226</v>
      </c>
      <c r="P22" s="715">
        <f t="shared" ref="P22:S22" si="15">O22</f>
        <v>-0.19649348473666226</v>
      </c>
      <c r="Q22" s="715">
        <f t="shared" si="15"/>
        <v>-0.19649348473666226</v>
      </c>
      <c r="R22" s="715">
        <f t="shared" si="15"/>
        <v>-0.19649348473666226</v>
      </c>
      <c r="S22" s="715">
        <f t="shared" si="15"/>
        <v>-0.19649348473666226</v>
      </c>
      <c r="U22" s="714">
        <v>0.8</v>
      </c>
    </row>
    <row r="23" spans="2:21" ht="15" x14ac:dyDescent="0.25">
      <c r="B23" s="711"/>
      <c r="C23" s="717" t="s">
        <v>1732</v>
      </c>
      <c r="D23" s="712"/>
      <c r="E23" s="713" t="s">
        <v>39</v>
      </c>
      <c r="F23" s="718" t="s">
        <v>93</v>
      </c>
      <c r="G23" s="718" t="s">
        <v>93</v>
      </c>
      <c r="H23" s="714">
        <v>2050</v>
      </c>
      <c r="I23" s="714"/>
      <c r="J23" s="714">
        <v>1</v>
      </c>
      <c r="K23" s="714"/>
      <c r="L23" s="714"/>
      <c r="M23" s="715"/>
      <c r="N23" s="715"/>
      <c r="O23" s="715">
        <f t="shared" si="10"/>
        <v>-0.15719478778932983</v>
      </c>
      <c r="P23" s="715">
        <f t="shared" ref="P23:S23" si="16">O23</f>
        <v>-0.15719478778932983</v>
      </c>
      <c r="Q23" s="715">
        <f t="shared" si="16"/>
        <v>-0.15719478778932983</v>
      </c>
      <c r="R23" s="715">
        <f t="shared" si="16"/>
        <v>-0.15719478778932983</v>
      </c>
      <c r="S23" s="715">
        <f t="shared" si="16"/>
        <v>-0.15719478778932983</v>
      </c>
      <c r="U23" s="714">
        <v>0.8</v>
      </c>
    </row>
    <row r="24" spans="2:21" ht="15" x14ac:dyDescent="0.25">
      <c r="B24" s="716"/>
      <c r="C24" s="717" t="s">
        <v>1732</v>
      </c>
      <c r="D24" s="712"/>
      <c r="E24" s="713" t="s">
        <v>39</v>
      </c>
      <c r="F24" s="718" t="s">
        <v>93</v>
      </c>
      <c r="G24" s="718" t="s">
        <v>93</v>
      </c>
      <c r="H24" s="714">
        <v>2055</v>
      </c>
      <c r="I24" s="714"/>
      <c r="J24" s="714">
        <v>1</v>
      </c>
      <c r="K24" s="714"/>
      <c r="L24" s="714"/>
      <c r="M24" s="715"/>
      <c r="N24" s="715"/>
      <c r="O24" s="715">
        <f t="shared" si="10"/>
        <v>-0.12575583023146386</v>
      </c>
      <c r="P24" s="715">
        <f t="shared" ref="P24:S24" si="17">O24</f>
        <v>-0.12575583023146386</v>
      </c>
      <c r="Q24" s="715">
        <f t="shared" si="17"/>
        <v>-0.12575583023146386</v>
      </c>
      <c r="R24" s="715">
        <f t="shared" si="17"/>
        <v>-0.12575583023146386</v>
      </c>
      <c r="S24" s="715">
        <f t="shared" si="17"/>
        <v>-0.12575583023146386</v>
      </c>
      <c r="U24" s="714">
        <v>0.8</v>
      </c>
    </row>
    <row r="25" spans="2:21" ht="15" x14ac:dyDescent="0.25">
      <c r="B25" s="711" t="str">
        <f>"UC_"&amp;G25&amp;RIGHT(E25,3)&amp;I25</f>
        <v>UC_TBELCLO</v>
      </c>
      <c r="C25" s="717" t="s">
        <v>1732</v>
      </c>
      <c r="D25" s="712"/>
      <c r="E25" s="732" t="s">
        <v>9</v>
      </c>
      <c r="F25" s="718" t="s">
        <v>93</v>
      </c>
      <c r="G25" s="718" t="s">
        <v>93</v>
      </c>
      <c r="H25" s="714">
        <v>2015</v>
      </c>
      <c r="I25" s="714" t="s">
        <v>492</v>
      </c>
      <c r="J25" s="714">
        <v>1</v>
      </c>
      <c r="K25" s="714">
        <v>0</v>
      </c>
      <c r="L25" s="714">
        <v>15</v>
      </c>
      <c r="M25" s="715"/>
      <c r="N25" s="715"/>
      <c r="O25" s="733">
        <v>0</v>
      </c>
      <c r="P25" s="733">
        <v>0</v>
      </c>
      <c r="Q25" s="733">
        <v>0</v>
      </c>
      <c r="R25" s="733">
        <v>0</v>
      </c>
      <c r="S25" s="733">
        <v>0</v>
      </c>
      <c r="U25" s="714"/>
    </row>
    <row r="26" spans="2:21" ht="15" x14ac:dyDescent="0.25">
      <c r="B26" s="711"/>
      <c r="C26" s="717" t="s">
        <v>1732</v>
      </c>
      <c r="D26" s="712"/>
      <c r="E26" s="732" t="s">
        <v>9</v>
      </c>
      <c r="F26" s="718" t="s">
        <v>93</v>
      </c>
      <c r="G26" s="718" t="s">
        <v>93</v>
      </c>
      <c r="H26" s="714">
        <v>2020</v>
      </c>
      <c r="I26" s="714"/>
      <c r="J26" s="714">
        <v>1</v>
      </c>
      <c r="K26" s="714"/>
      <c r="L26" s="714"/>
      <c r="M26" s="715"/>
      <c r="N26" s="715"/>
      <c r="O26" s="733">
        <v>0</v>
      </c>
      <c r="P26" s="733">
        <v>0</v>
      </c>
      <c r="Q26" s="733">
        <v>0</v>
      </c>
      <c r="R26" s="733">
        <v>0</v>
      </c>
      <c r="S26" s="733">
        <v>0</v>
      </c>
      <c r="U26" s="714">
        <v>0.8</v>
      </c>
    </row>
    <row r="27" spans="2:21" ht="15" x14ac:dyDescent="0.25">
      <c r="B27" s="711"/>
      <c r="C27" s="717" t="s">
        <v>1732</v>
      </c>
      <c r="D27" s="712"/>
      <c r="E27" s="732" t="s">
        <v>9</v>
      </c>
      <c r="F27" s="718" t="s">
        <v>93</v>
      </c>
      <c r="G27" s="718" t="s">
        <v>93</v>
      </c>
      <c r="H27" s="714">
        <v>2025</v>
      </c>
      <c r="I27" s="714"/>
      <c r="J27" s="714">
        <v>1</v>
      </c>
      <c r="K27" s="714"/>
      <c r="L27" s="714"/>
      <c r="M27" s="715"/>
      <c r="N27" s="715"/>
      <c r="O27" s="733">
        <v>-3.1E-4</v>
      </c>
      <c r="P27" s="733">
        <v>-3.1E-4</v>
      </c>
      <c r="Q27" s="733">
        <v>-3.1E-4</v>
      </c>
      <c r="R27" s="733">
        <v>-3.1E-4</v>
      </c>
      <c r="S27" s="733">
        <v>-3.1E-4</v>
      </c>
      <c r="U27" s="714">
        <v>0.8</v>
      </c>
    </row>
    <row r="28" spans="2:21" ht="15" x14ac:dyDescent="0.25">
      <c r="B28" s="711"/>
      <c r="C28" s="717" t="s">
        <v>1732</v>
      </c>
      <c r="D28" s="712"/>
      <c r="E28" s="732" t="s">
        <v>9</v>
      </c>
      <c r="F28" s="718" t="s">
        <v>93</v>
      </c>
      <c r="G28" s="718" t="s">
        <v>93</v>
      </c>
      <c r="H28" s="714">
        <v>2030</v>
      </c>
      <c r="I28" s="714"/>
      <c r="J28" s="714">
        <v>1</v>
      </c>
      <c r="K28" s="714"/>
      <c r="L28" s="714"/>
      <c r="M28" s="715"/>
      <c r="N28" s="715"/>
      <c r="O28" s="733">
        <v>-3.1E-4</v>
      </c>
      <c r="P28" s="733">
        <v>-3.1E-4</v>
      </c>
      <c r="Q28" s="733">
        <v>-3.1E-4</v>
      </c>
      <c r="R28" s="733">
        <v>-3.1E-4</v>
      </c>
      <c r="S28" s="733">
        <v>-3.1E-4</v>
      </c>
      <c r="U28" s="714">
        <v>0.75</v>
      </c>
    </row>
    <row r="29" spans="2:21" ht="15" x14ac:dyDescent="0.25">
      <c r="B29" s="711"/>
      <c r="C29" s="717" t="s">
        <v>1732</v>
      </c>
      <c r="D29" s="712"/>
      <c r="E29" s="732" t="s">
        <v>9</v>
      </c>
      <c r="F29" s="718" t="s">
        <v>93</v>
      </c>
      <c r="G29" s="718" t="s">
        <v>93</v>
      </c>
      <c r="H29" s="714">
        <v>2035</v>
      </c>
      <c r="I29" s="714"/>
      <c r="J29" s="714">
        <v>1</v>
      </c>
      <c r="K29" s="714"/>
      <c r="L29" s="714"/>
      <c r="M29" s="715"/>
      <c r="N29" s="715"/>
      <c r="O29" s="733">
        <v>-3.1E-4</v>
      </c>
      <c r="P29" s="733">
        <v>-3.1E-4</v>
      </c>
      <c r="Q29" s="733">
        <v>-3.1E-4</v>
      </c>
      <c r="R29" s="733">
        <v>-3.1E-4</v>
      </c>
      <c r="S29" s="733">
        <v>-3.1E-4</v>
      </c>
      <c r="U29" s="714">
        <v>0.8</v>
      </c>
    </row>
    <row r="30" spans="2:21" ht="15" x14ac:dyDescent="0.25">
      <c r="B30" s="711"/>
      <c r="C30" s="717" t="s">
        <v>1732</v>
      </c>
      <c r="D30" s="712"/>
      <c r="E30" s="732" t="s">
        <v>9</v>
      </c>
      <c r="F30" s="718" t="s">
        <v>93</v>
      </c>
      <c r="G30" s="718" t="s">
        <v>93</v>
      </c>
      <c r="H30" s="714">
        <v>2040</v>
      </c>
      <c r="I30" s="714"/>
      <c r="J30" s="714">
        <v>1</v>
      </c>
      <c r="K30" s="714"/>
      <c r="L30" s="714"/>
      <c r="M30" s="715"/>
      <c r="N30" s="715"/>
      <c r="O30" s="733">
        <v>-3.1E-4</v>
      </c>
      <c r="P30" s="733">
        <v>-3.1E-4</v>
      </c>
      <c r="Q30" s="733">
        <v>-3.1E-4</v>
      </c>
      <c r="R30" s="733">
        <v>-3.1E-4</v>
      </c>
      <c r="S30" s="733">
        <v>-3.1E-4</v>
      </c>
      <c r="U30" s="714">
        <v>0.8</v>
      </c>
    </row>
    <row r="31" spans="2:21" ht="15" x14ac:dyDescent="0.25">
      <c r="B31" s="711"/>
      <c r="C31" s="717" t="s">
        <v>1732</v>
      </c>
      <c r="D31" s="712"/>
      <c r="E31" s="732" t="s">
        <v>9</v>
      </c>
      <c r="F31" s="718" t="s">
        <v>93</v>
      </c>
      <c r="G31" s="718" t="s">
        <v>93</v>
      </c>
      <c r="H31" s="714">
        <v>2045</v>
      </c>
      <c r="I31" s="714"/>
      <c r="J31" s="714">
        <v>1</v>
      </c>
      <c r="K31" s="714"/>
      <c r="L31" s="714"/>
      <c r="M31" s="715"/>
      <c r="N31" s="715"/>
      <c r="O31" s="733">
        <v>-3.1E-4</v>
      </c>
      <c r="P31" s="733">
        <v>-3.1E-4</v>
      </c>
      <c r="Q31" s="733">
        <v>-3.1E-4</v>
      </c>
      <c r="R31" s="733">
        <v>-3.1E-4</v>
      </c>
      <c r="S31" s="733">
        <v>-3.1E-4</v>
      </c>
      <c r="U31" s="714">
        <v>0.8</v>
      </c>
    </row>
    <row r="32" spans="2:21" ht="15" x14ac:dyDescent="0.25">
      <c r="B32" s="711"/>
      <c r="C32" s="717" t="s">
        <v>1732</v>
      </c>
      <c r="D32" s="712"/>
      <c r="E32" s="732" t="s">
        <v>9</v>
      </c>
      <c r="F32" s="718" t="s">
        <v>93</v>
      </c>
      <c r="G32" s="718" t="s">
        <v>93</v>
      </c>
      <c r="H32" s="714">
        <v>2050</v>
      </c>
      <c r="I32" s="714"/>
      <c r="J32" s="714">
        <v>1</v>
      </c>
      <c r="K32" s="714"/>
      <c r="L32" s="714"/>
      <c r="M32" s="715"/>
      <c r="N32" s="715"/>
      <c r="O32" s="733">
        <v>-3.1E-4</v>
      </c>
      <c r="P32" s="733">
        <v>-3.1E-4</v>
      </c>
      <c r="Q32" s="733">
        <v>-3.1E-4</v>
      </c>
      <c r="R32" s="733">
        <v>-3.1E-4</v>
      </c>
      <c r="S32" s="733">
        <v>-3.1E-4</v>
      </c>
      <c r="U32" s="714">
        <v>0.8</v>
      </c>
    </row>
    <row r="33" spans="2:23" ht="15" x14ac:dyDescent="0.25">
      <c r="B33" s="716"/>
      <c r="C33" s="717" t="s">
        <v>1732</v>
      </c>
      <c r="D33" s="712"/>
      <c r="E33" s="732" t="s">
        <v>9</v>
      </c>
      <c r="F33" s="718" t="s">
        <v>93</v>
      </c>
      <c r="G33" s="718" t="s">
        <v>93</v>
      </c>
      <c r="H33" s="714">
        <v>2055</v>
      </c>
      <c r="I33" s="714"/>
      <c r="J33" s="714">
        <v>1</v>
      </c>
      <c r="K33" s="714"/>
      <c r="L33" s="714"/>
      <c r="M33" s="715"/>
      <c r="N33" s="715"/>
      <c r="O33" s="733">
        <v>-3.1E-4</v>
      </c>
      <c r="P33" s="733">
        <v>-3.1E-4</v>
      </c>
      <c r="Q33" s="733">
        <v>-3.1E-4</v>
      </c>
      <c r="R33" s="733">
        <v>-3.1E-4</v>
      </c>
      <c r="S33" s="733">
        <v>-3.1E-4</v>
      </c>
      <c r="U33" s="714">
        <v>0.8</v>
      </c>
    </row>
    <row r="34" spans="2:23" ht="30" x14ac:dyDescent="0.25">
      <c r="B34" s="711" t="str">
        <f>"UC_"&amp;G34&amp;"Commuter"&amp;I34</f>
        <v>UC_TRPCommuterLO</v>
      </c>
      <c r="C34" s="719" t="s">
        <v>1737</v>
      </c>
      <c r="D34" s="720" t="s">
        <v>1736</v>
      </c>
      <c r="E34" s="720"/>
      <c r="F34" s="720" t="s">
        <v>110</v>
      </c>
      <c r="G34" s="720" t="s">
        <v>110</v>
      </c>
      <c r="H34" s="714">
        <v>2010</v>
      </c>
      <c r="I34" s="714" t="s">
        <v>492</v>
      </c>
      <c r="J34" s="714">
        <v>1</v>
      </c>
      <c r="K34" s="714">
        <v>0</v>
      </c>
      <c r="L34" s="714">
        <v>15</v>
      </c>
      <c r="M34" s="715"/>
      <c r="N34" s="715"/>
      <c r="O34" s="731">
        <v>0</v>
      </c>
      <c r="P34" s="715">
        <f>O34</f>
        <v>0</v>
      </c>
      <c r="Q34" s="715">
        <f t="shared" ref="Q34:S34" si="18">P34</f>
        <v>0</v>
      </c>
      <c r="R34" s="715">
        <f t="shared" si="18"/>
        <v>0</v>
      </c>
      <c r="S34" s="715">
        <f t="shared" si="18"/>
        <v>0</v>
      </c>
      <c r="U34" s="714">
        <v>0.5</v>
      </c>
      <c r="W34" s="729"/>
    </row>
    <row r="35" spans="2:23" ht="30" x14ac:dyDescent="0.25">
      <c r="B35" s="711"/>
      <c r="C35" s="719" t="s">
        <v>1737</v>
      </c>
      <c r="D35" s="720" t="s">
        <v>1736</v>
      </c>
      <c r="E35" s="720"/>
      <c r="F35" s="720" t="s">
        <v>110</v>
      </c>
      <c r="G35" s="720" t="s">
        <v>110</v>
      </c>
      <c r="H35" s="714">
        <v>2015</v>
      </c>
      <c r="I35" s="714"/>
      <c r="J35" s="714">
        <v>1</v>
      </c>
      <c r="K35" s="714"/>
      <c r="L35" s="714"/>
      <c r="M35" s="715"/>
      <c r="N35" s="715"/>
      <c r="O35" s="715">
        <f>-TRP!$H$6</f>
        <v>-4.2418397246717816E-3</v>
      </c>
      <c r="P35" s="715">
        <f>O35</f>
        <v>-4.2418397246717816E-3</v>
      </c>
      <c r="Q35" s="715">
        <f t="shared" ref="Q35" si="19">P35</f>
        <v>-4.2418397246717816E-3</v>
      </c>
      <c r="R35" s="715">
        <f t="shared" ref="R35" si="20">Q35</f>
        <v>-4.2418397246717816E-3</v>
      </c>
      <c r="S35" s="715">
        <f t="shared" ref="S35" si="21">R35</f>
        <v>-4.2418397246717816E-3</v>
      </c>
      <c r="T35" s="728"/>
      <c r="U35" s="714"/>
    </row>
    <row r="36" spans="2:23" ht="30" x14ac:dyDescent="0.25">
      <c r="B36" s="711"/>
      <c r="C36" s="719" t="s">
        <v>1737</v>
      </c>
      <c r="D36" s="720" t="s">
        <v>1736</v>
      </c>
      <c r="E36" s="720"/>
      <c r="F36" s="720" t="s">
        <v>110</v>
      </c>
      <c r="G36" s="720" t="s">
        <v>110</v>
      </c>
      <c r="H36" s="714">
        <v>2020</v>
      </c>
      <c r="I36" s="714"/>
      <c r="J36" s="714">
        <v>1</v>
      </c>
      <c r="K36" s="714"/>
      <c r="L36" s="714"/>
      <c r="M36" s="715"/>
      <c r="N36" s="715"/>
      <c r="O36" s="715"/>
      <c r="P36" s="715"/>
      <c r="Q36" s="715"/>
      <c r="R36" s="715"/>
      <c r="S36" s="715"/>
      <c r="U36" s="714"/>
      <c r="W36" s="730"/>
    </row>
    <row r="37" spans="2:23" ht="30" x14ac:dyDescent="0.25">
      <c r="B37" s="711"/>
      <c r="C37" s="719" t="s">
        <v>1737</v>
      </c>
      <c r="D37" s="720" t="s">
        <v>1736</v>
      </c>
      <c r="E37" s="720"/>
      <c r="F37" s="720" t="s">
        <v>110</v>
      </c>
      <c r="G37" s="720" t="s">
        <v>110</v>
      </c>
      <c r="H37" s="714">
        <v>2025</v>
      </c>
      <c r="I37" s="714"/>
      <c r="J37" s="714">
        <v>1</v>
      </c>
      <c r="K37" s="714"/>
      <c r="L37" s="714"/>
      <c r="M37" s="715"/>
      <c r="N37" s="715"/>
      <c r="O37" s="715"/>
      <c r="P37" s="715"/>
      <c r="Q37" s="715"/>
      <c r="R37" s="715"/>
      <c r="S37" s="715"/>
      <c r="U37" s="714"/>
    </row>
    <row r="38" spans="2:23" ht="30" x14ac:dyDescent="0.25">
      <c r="B38" s="711"/>
      <c r="C38" s="719" t="s">
        <v>1737</v>
      </c>
      <c r="D38" s="720" t="s">
        <v>1736</v>
      </c>
      <c r="E38" s="720"/>
      <c r="F38" s="720" t="s">
        <v>110</v>
      </c>
      <c r="G38" s="720" t="s">
        <v>110</v>
      </c>
      <c r="H38" s="714">
        <v>2030</v>
      </c>
      <c r="I38" s="714"/>
      <c r="J38" s="714">
        <v>1</v>
      </c>
      <c r="K38" s="714"/>
      <c r="L38" s="714"/>
      <c r="M38" s="715"/>
      <c r="N38" s="715"/>
      <c r="O38" s="715"/>
      <c r="P38" s="715"/>
      <c r="Q38" s="715"/>
      <c r="R38" s="715"/>
      <c r="S38" s="715"/>
      <c r="U38" s="714"/>
    </row>
    <row r="39" spans="2:23" ht="30" x14ac:dyDescent="0.25">
      <c r="B39" s="711"/>
      <c r="C39" s="719" t="s">
        <v>1737</v>
      </c>
      <c r="D39" s="720" t="s">
        <v>1736</v>
      </c>
      <c r="E39" s="720"/>
      <c r="F39" s="720" t="s">
        <v>110</v>
      </c>
      <c r="G39" s="720" t="s">
        <v>110</v>
      </c>
      <c r="H39" s="714">
        <v>2035</v>
      </c>
      <c r="I39" s="714"/>
      <c r="J39" s="714">
        <v>1</v>
      </c>
      <c r="K39" s="714"/>
      <c r="L39" s="714"/>
      <c r="M39" s="715"/>
      <c r="N39" s="715"/>
      <c r="O39" s="715"/>
      <c r="P39" s="715"/>
      <c r="Q39" s="715"/>
      <c r="R39" s="715"/>
      <c r="S39" s="715"/>
      <c r="U39" s="714"/>
    </row>
    <row r="40" spans="2:23" ht="30" x14ac:dyDescent="0.25">
      <c r="B40" s="711"/>
      <c r="C40" s="719" t="s">
        <v>1737</v>
      </c>
      <c r="D40" s="720" t="s">
        <v>1736</v>
      </c>
      <c r="E40" s="720"/>
      <c r="F40" s="720" t="s">
        <v>110</v>
      </c>
      <c r="G40" s="720" t="s">
        <v>110</v>
      </c>
      <c r="H40" s="714">
        <v>2040</v>
      </c>
      <c r="I40" s="714"/>
      <c r="J40" s="714">
        <v>1</v>
      </c>
      <c r="K40" s="714"/>
      <c r="L40" s="714"/>
      <c r="M40" s="715"/>
      <c r="N40" s="715"/>
      <c r="O40" s="715"/>
      <c r="P40" s="715"/>
      <c r="Q40" s="715"/>
      <c r="R40" s="715"/>
      <c r="S40" s="715"/>
      <c r="U40" s="714"/>
    </row>
    <row r="41" spans="2:23" ht="30" x14ac:dyDescent="0.25">
      <c r="B41" s="711"/>
      <c r="C41" s="719" t="s">
        <v>1737</v>
      </c>
      <c r="D41" s="720" t="s">
        <v>1736</v>
      </c>
      <c r="E41" s="720"/>
      <c r="F41" s="720" t="s">
        <v>110</v>
      </c>
      <c r="G41" s="720" t="s">
        <v>110</v>
      </c>
      <c r="H41" s="714">
        <v>2045</v>
      </c>
      <c r="I41" s="714"/>
      <c r="J41" s="714">
        <v>1</v>
      </c>
      <c r="K41" s="714"/>
      <c r="L41" s="714"/>
      <c r="M41" s="715"/>
      <c r="N41" s="715"/>
      <c r="O41" s="715"/>
      <c r="P41" s="715"/>
      <c r="Q41" s="715"/>
      <c r="R41" s="715"/>
      <c r="S41" s="715"/>
      <c r="U41" s="714"/>
    </row>
    <row r="42" spans="2:23" ht="30" x14ac:dyDescent="0.25">
      <c r="B42" s="711"/>
      <c r="C42" s="719" t="s">
        <v>1737</v>
      </c>
      <c r="D42" s="720" t="s">
        <v>1736</v>
      </c>
      <c r="E42" s="720"/>
      <c r="F42" s="720" t="s">
        <v>110</v>
      </c>
      <c r="G42" s="720" t="s">
        <v>110</v>
      </c>
      <c r="H42" s="714">
        <v>2050</v>
      </c>
      <c r="I42" s="714"/>
      <c r="J42" s="714">
        <v>1</v>
      </c>
      <c r="K42" s="714"/>
      <c r="L42" s="714"/>
      <c r="M42" s="715"/>
      <c r="N42" s="715"/>
      <c r="O42" s="715"/>
      <c r="P42" s="715"/>
      <c r="Q42" s="715"/>
      <c r="R42" s="715"/>
      <c r="S42" s="715"/>
      <c r="U42" s="714"/>
    </row>
    <row r="43" spans="2:23" ht="30" x14ac:dyDescent="0.25">
      <c r="B43" s="716"/>
      <c r="C43" s="719" t="s">
        <v>1737</v>
      </c>
      <c r="D43" s="720" t="s">
        <v>1736</v>
      </c>
      <c r="E43" s="720"/>
      <c r="F43" s="720" t="s">
        <v>110</v>
      </c>
      <c r="G43" s="720" t="s">
        <v>110</v>
      </c>
      <c r="H43" s="714">
        <v>2055</v>
      </c>
      <c r="I43" s="714"/>
      <c r="J43" s="714">
        <v>1</v>
      </c>
      <c r="K43" s="714"/>
      <c r="L43" s="714"/>
      <c r="M43" s="715"/>
      <c r="N43" s="715"/>
      <c r="O43" s="715">
        <f>O35</f>
        <v>-4.2418397246717816E-3</v>
      </c>
      <c r="P43" s="715">
        <f t="shared" ref="P43:S44" si="22">O43</f>
        <v>-4.2418397246717816E-3</v>
      </c>
      <c r="Q43" s="715">
        <f t="shared" si="22"/>
        <v>-4.2418397246717816E-3</v>
      </c>
      <c r="R43" s="715">
        <f t="shared" si="22"/>
        <v>-4.2418397246717816E-3</v>
      </c>
      <c r="S43" s="715">
        <f t="shared" si="22"/>
        <v>-4.2418397246717816E-3</v>
      </c>
      <c r="U43" s="714"/>
    </row>
    <row r="44" spans="2:23" ht="15" x14ac:dyDescent="0.25">
      <c r="B44" s="711" t="str">
        <f>"UC_"&amp;G44&amp;RIGHT(E44,3)&amp;I44</f>
        <v>UC_THSGSLLO</v>
      </c>
      <c r="C44" s="719" t="s">
        <v>1738</v>
      </c>
      <c r="D44" s="720"/>
      <c r="E44" s="734" t="s">
        <v>51</v>
      </c>
      <c r="F44" s="720" t="s">
        <v>98</v>
      </c>
      <c r="G44" s="720" t="s">
        <v>98</v>
      </c>
      <c r="H44" s="714">
        <v>2010</v>
      </c>
      <c r="I44" s="714" t="s">
        <v>492</v>
      </c>
      <c r="J44" s="714">
        <v>1</v>
      </c>
      <c r="K44" s="714">
        <v>0</v>
      </c>
      <c r="L44" s="714">
        <v>15</v>
      </c>
      <c r="M44" s="715"/>
      <c r="N44" s="715"/>
      <c r="O44" s="715">
        <v>0</v>
      </c>
      <c r="P44" s="715">
        <f>O44</f>
        <v>0</v>
      </c>
      <c r="Q44" s="715">
        <f t="shared" si="22"/>
        <v>0</v>
      </c>
      <c r="R44" s="715">
        <f t="shared" si="22"/>
        <v>0</v>
      </c>
      <c r="S44" s="715">
        <f t="shared" si="22"/>
        <v>0</v>
      </c>
      <c r="U44" s="714"/>
    </row>
    <row r="45" spans="2:23" ht="15" x14ac:dyDescent="0.25">
      <c r="B45" s="711"/>
      <c r="C45" s="719" t="s">
        <v>1738</v>
      </c>
      <c r="D45" s="720"/>
      <c r="E45" s="734" t="s">
        <v>51</v>
      </c>
      <c r="F45" s="720" t="s">
        <v>98</v>
      </c>
      <c r="G45" s="720" t="s">
        <v>98</v>
      </c>
      <c r="H45" s="714">
        <v>2015</v>
      </c>
      <c r="I45" s="714"/>
      <c r="J45" s="714">
        <v>1</v>
      </c>
      <c r="K45" s="714"/>
      <c r="L45" s="714"/>
      <c r="M45" s="715"/>
      <c r="N45" s="715"/>
      <c r="O45" s="715">
        <v>0</v>
      </c>
      <c r="P45" s="715">
        <v>0</v>
      </c>
      <c r="Q45" s="715">
        <v>0</v>
      </c>
      <c r="R45" s="715">
        <v>0</v>
      </c>
      <c r="S45" s="715">
        <v>0</v>
      </c>
      <c r="U45" s="714"/>
    </row>
    <row r="46" spans="2:23" ht="15" x14ac:dyDescent="0.25">
      <c r="B46" s="711"/>
      <c r="C46" s="719" t="s">
        <v>1738</v>
      </c>
      <c r="D46" s="720"/>
      <c r="E46" s="734" t="s">
        <v>51</v>
      </c>
      <c r="F46" s="720" t="s">
        <v>98</v>
      </c>
      <c r="G46" s="720" t="s">
        <v>98</v>
      </c>
      <c r="H46" s="714">
        <v>2020</v>
      </c>
      <c r="I46" s="714"/>
      <c r="J46" s="714">
        <v>1</v>
      </c>
      <c r="K46" s="714"/>
      <c r="L46" s="714"/>
      <c r="M46" s="715"/>
      <c r="N46" s="715"/>
      <c r="O46" s="715">
        <f>-1.72%</f>
        <v>-1.72E-2</v>
      </c>
      <c r="P46" s="715">
        <f>O46</f>
        <v>-1.72E-2</v>
      </c>
      <c r="Q46" s="715">
        <f t="shared" ref="Q46:Q54" si="23">P46</f>
        <v>-1.72E-2</v>
      </c>
      <c r="R46" s="715">
        <f t="shared" ref="R46:R54" si="24">Q46</f>
        <v>-1.72E-2</v>
      </c>
      <c r="S46" s="715">
        <f t="shared" ref="S46:S54" si="25">R46</f>
        <v>-1.72E-2</v>
      </c>
      <c r="U46" s="714"/>
    </row>
    <row r="47" spans="2:23" ht="15" x14ac:dyDescent="0.25">
      <c r="B47" s="711"/>
      <c r="C47" s="719" t="s">
        <v>1738</v>
      </c>
      <c r="D47" s="720"/>
      <c r="E47" s="734" t="s">
        <v>51</v>
      </c>
      <c r="F47" s="720" t="s">
        <v>98</v>
      </c>
      <c r="G47" s="720" t="s">
        <v>98</v>
      </c>
      <c r="H47" s="714">
        <v>2025</v>
      </c>
      <c r="I47" s="714"/>
      <c r="J47" s="714">
        <v>1</v>
      </c>
      <c r="K47" s="714"/>
      <c r="L47" s="714"/>
      <c r="M47" s="715"/>
      <c r="N47" s="715"/>
      <c r="O47" s="715">
        <f>O46</f>
        <v>-1.72E-2</v>
      </c>
      <c r="P47" s="715">
        <f t="shared" ref="P47:P53" si="26">O47</f>
        <v>-1.72E-2</v>
      </c>
      <c r="Q47" s="715">
        <f t="shared" si="23"/>
        <v>-1.72E-2</v>
      </c>
      <c r="R47" s="715">
        <f t="shared" si="24"/>
        <v>-1.72E-2</v>
      </c>
      <c r="S47" s="715">
        <f t="shared" si="25"/>
        <v>-1.72E-2</v>
      </c>
      <c r="U47" s="714"/>
    </row>
    <row r="48" spans="2:23" ht="15" x14ac:dyDescent="0.25">
      <c r="B48" s="711"/>
      <c r="C48" s="719" t="s">
        <v>1738</v>
      </c>
      <c r="D48" s="720"/>
      <c r="E48" s="734" t="s">
        <v>51</v>
      </c>
      <c r="F48" s="720" t="s">
        <v>98</v>
      </c>
      <c r="G48" s="720" t="s">
        <v>98</v>
      </c>
      <c r="H48" s="714">
        <v>2030</v>
      </c>
      <c r="I48" s="714"/>
      <c r="J48" s="714">
        <v>1</v>
      </c>
      <c r="K48" s="714"/>
      <c r="L48" s="714"/>
      <c r="M48" s="715"/>
      <c r="N48" s="715"/>
      <c r="O48" s="715">
        <f>O47/2</f>
        <v>-8.6E-3</v>
      </c>
      <c r="P48" s="715">
        <f t="shared" si="26"/>
        <v>-8.6E-3</v>
      </c>
      <c r="Q48" s="715">
        <f t="shared" si="23"/>
        <v>-8.6E-3</v>
      </c>
      <c r="R48" s="715">
        <f t="shared" si="24"/>
        <v>-8.6E-3</v>
      </c>
      <c r="S48" s="715">
        <f t="shared" si="25"/>
        <v>-8.6E-3</v>
      </c>
      <c r="U48" s="714"/>
    </row>
    <row r="49" spans="2:21" ht="15" x14ac:dyDescent="0.25">
      <c r="B49" s="711"/>
      <c r="C49" s="719" t="s">
        <v>1738</v>
      </c>
      <c r="D49" s="720"/>
      <c r="E49" s="734" t="s">
        <v>51</v>
      </c>
      <c r="F49" s="720" t="s">
        <v>98</v>
      </c>
      <c r="G49" s="720" t="s">
        <v>98</v>
      </c>
      <c r="H49" s="714">
        <v>2035</v>
      </c>
      <c r="I49" s="714"/>
      <c r="J49" s="714">
        <v>1</v>
      </c>
      <c r="K49" s="714"/>
      <c r="L49" s="714"/>
      <c r="M49" s="715"/>
      <c r="N49" s="715"/>
      <c r="O49" s="715">
        <f>O48/2</f>
        <v>-4.3E-3</v>
      </c>
      <c r="P49" s="715">
        <f t="shared" si="26"/>
        <v>-4.3E-3</v>
      </c>
      <c r="Q49" s="715">
        <f t="shared" si="23"/>
        <v>-4.3E-3</v>
      </c>
      <c r="R49" s="715">
        <f t="shared" si="24"/>
        <v>-4.3E-3</v>
      </c>
      <c r="S49" s="715">
        <f t="shared" si="25"/>
        <v>-4.3E-3</v>
      </c>
      <c r="U49" s="714"/>
    </row>
    <row r="50" spans="2:21" ht="15" x14ac:dyDescent="0.25">
      <c r="B50" s="711"/>
      <c r="C50" s="719" t="s">
        <v>1738</v>
      </c>
      <c r="D50" s="720"/>
      <c r="E50" s="734" t="s">
        <v>51</v>
      </c>
      <c r="F50" s="720" t="s">
        <v>98</v>
      </c>
      <c r="G50" s="720" t="s">
        <v>98</v>
      </c>
      <c r="H50" s="714">
        <v>2040</v>
      </c>
      <c r="I50" s="714"/>
      <c r="J50" s="714">
        <v>1</v>
      </c>
      <c r="K50" s="714"/>
      <c r="L50" s="714"/>
      <c r="M50" s="715"/>
      <c r="N50" s="715"/>
      <c r="O50" s="715">
        <f>O49/2</f>
        <v>-2.15E-3</v>
      </c>
      <c r="P50" s="715">
        <f t="shared" si="26"/>
        <v>-2.15E-3</v>
      </c>
      <c r="Q50" s="715">
        <f t="shared" si="23"/>
        <v>-2.15E-3</v>
      </c>
      <c r="R50" s="715">
        <f t="shared" si="24"/>
        <v>-2.15E-3</v>
      </c>
      <c r="S50" s="715">
        <f t="shared" si="25"/>
        <v>-2.15E-3</v>
      </c>
      <c r="U50" s="714"/>
    </row>
    <row r="51" spans="2:21" ht="15" x14ac:dyDescent="0.25">
      <c r="B51" s="711"/>
      <c r="C51" s="719" t="s">
        <v>1738</v>
      </c>
      <c r="D51" s="720"/>
      <c r="E51" s="734" t="s">
        <v>51</v>
      </c>
      <c r="F51" s="720" t="s">
        <v>98</v>
      </c>
      <c r="G51" s="720" t="s">
        <v>98</v>
      </c>
      <c r="H51" s="714">
        <v>2045</v>
      </c>
      <c r="I51" s="714"/>
      <c r="J51" s="714">
        <v>1</v>
      </c>
      <c r="K51" s="714"/>
      <c r="L51" s="714"/>
      <c r="M51" s="715"/>
      <c r="N51" s="715"/>
      <c r="O51" s="715">
        <f>O50/2</f>
        <v>-1.075E-3</v>
      </c>
      <c r="P51" s="715">
        <f t="shared" si="26"/>
        <v>-1.075E-3</v>
      </c>
      <c r="Q51" s="715">
        <f t="shared" si="23"/>
        <v>-1.075E-3</v>
      </c>
      <c r="R51" s="715">
        <f t="shared" si="24"/>
        <v>-1.075E-3</v>
      </c>
      <c r="S51" s="715">
        <f t="shared" si="25"/>
        <v>-1.075E-3</v>
      </c>
      <c r="U51" s="714">
        <f>(1+'AEO Data'!$J$173)^5</f>
        <v>1.0215687113445706</v>
      </c>
    </row>
    <row r="52" spans="2:21" ht="15" x14ac:dyDescent="0.25">
      <c r="B52" s="711"/>
      <c r="C52" s="719" t="s">
        <v>1738</v>
      </c>
      <c r="D52" s="720"/>
      <c r="E52" s="734" t="s">
        <v>51</v>
      </c>
      <c r="F52" s="720" t="s">
        <v>98</v>
      </c>
      <c r="G52" s="720" t="s">
        <v>98</v>
      </c>
      <c r="H52" s="714">
        <v>2050</v>
      </c>
      <c r="I52" s="714"/>
      <c r="J52" s="714">
        <v>1</v>
      </c>
      <c r="K52" s="714"/>
      <c r="L52" s="714"/>
      <c r="M52" s="715"/>
      <c r="N52" s="715"/>
      <c r="O52" s="715">
        <v>0</v>
      </c>
      <c r="P52" s="715">
        <f t="shared" si="26"/>
        <v>0</v>
      </c>
      <c r="Q52" s="715">
        <f t="shared" si="23"/>
        <v>0</v>
      </c>
      <c r="R52" s="715">
        <f t="shared" si="24"/>
        <v>0</v>
      </c>
      <c r="S52" s="715">
        <f t="shared" si="25"/>
        <v>0</v>
      </c>
      <c r="U52" s="714">
        <v>1.2</v>
      </c>
    </row>
    <row r="53" spans="2:21" ht="15" x14ac:dyDescent="0.25">
      <c r="B53" s="716"/>
      <c r="C53" s="719" t="s">
        <v>1738</v>
      </c>
      <c r="D53" s="720"/>
      <c r="E53" s="734" t="s">
        <v>51</v>
      </c>
      <c r="F53" s="720" t="s">
        <v>98</v>
      </c>
      <c r="G53" s="720" t="s">
        <v>98</v>
      </c>
      <c r="H53" s="714">
        <v>2055</v>
      </c>
      <c r="I53" s="714"/>
      <c r="J53" s="714">
        <v>1</v>
      </c>
      <c r="K53" s="714"/>
      <c r="L53" s="714"/>
      <c r="M53" s="715"/>
      <c r="N53" s="715"/>
      <c r="O53" s="715">
        <f>O52/2</f>
        <v>0</v>
      </c>
      <c r="P53" s="715">
        <f t="shared" si="26"/>
        <v>0</v>
      </c>
      <c r="Q53" s="715">
        <f t="shared" si="23"/>
        <v>0</v>
      </c>
      <c r="R53" s="715">
        <f t="shared" si="24"/>
        <v>0</v>
      </c>
      <c r="S53" s="715">
        <f t="shared" si="25"/>
        <v>0</v>
      </c>
      <c r="U53" s="714">
        <v>1</v>
      </c>
    </row>
    <row r="54" spans="2:21" ht="15" x14ac:dyDescent="0.25">
      <c r="B54" s="711" t="str">
        <f>"UC_"&amp;G54&amp;RIGHT(E54,3)&amp;I54</f>
        <v>UC_THSGSLUP</v>
      </c>
      <c r="C54" s="719" t="s">
        <v>1738</v>
      </c>
      <c r="D54" s="720"/>
      <c r="E54" s="734" t="s">
        <v>51</v>
      </c>
      <c r="F54" s="720" t="s">
        <v>98</v>
      </c>
      <c r="G54" s="720" t="s">
        <v>98</v>
      </c>
      <c r="H54" s="714">
        <v>2010</v>
      </c>
      <c r="I54" s="714" t="s">
        <v>493</v>
      </c>
      <c r="J54" s="714">
        <v>1</v>
      </c>
      <c r="K54" s="714">
        <v>0</v>
      </c>
      <c r="L54" s="714">
        <v>15</v>
      </c>
      <c r="M54" s="715"/>
      <c r="N54" s="715"/>
      <c r="O54" s="715">
        <v>0</v>
      </c>
      <c r="P54" s="715">
        <f>O54</f>
        <v>0</v>
      </c>
      <c r="Q54" s="715">
        <f t="shared" si="23"/>
        <v>0</v>
      </c>
      <c r="R54" s="715">
        <f t="shared" si="24"/>
        <v>0</v>
      </c>
      <c r="S54" s="715">
        <f t="shared" si="25"/>
        <v>0</v>
      </c>
      <c r="U54" s="714"/>
    </row>
    <row r="55" spans="2:21" ht="15" x14ac:dyDescent="0.25">
      <c r="B55" s="711"/>
      <c r="C55" s="719" t="s">
        <v>1738</v>
      </c>
      <c r="D55" s="720"/>
      <c r="E55" s="734" t="s">
        <v>51</v>
      </c>
      <c r="F55" s="720" t="s">
        <v>98</v>
      </c>
      <c r="G55" s="720" t="s">
        <v>98</v>
      </c>
      <c r="H55" s="714">
        <v>2015</v>
      </c>
      <c r="I55" s="714"/>
      <c r="J55" s="714">
        <v>1</v>
      </c>
      <c r="K55" s="714"/>
      <c r="L55" s="714"/>
      <c r="M55" s="715"/>
      <c r="N55" s="715"/>
      <c r="O55" s="715">
        <v>0</v>
      </c>
      <c r="P55" s="715">
        <v>0</v>
      </c>
      <c r="Q55" s="715">
        <v>0</v>
      </c>
      <c r="R55" s="715">
        <v>0</v>
      </c>
      <c r="S55" s="715">
        <v>0</v>
      </c>
      <c r="U55" s="714"/>
    </row>
    <row r="56" spans="2:21" ht="15" x14ac:dyDescent="0.25">
      <c r="B56" s="711"/>
      <c r="C56" s="719" t="s">
        <v>1738</v>
      </c>
      <c r="D56" s="720"/>
      <c r="E56" s="734" t="s">
        <v>51</v>
      </c>
      <c r="F56" s="720" t="s">
        <v>98</v>
      </c>
      <c r="G56" s="720" t="s">
        <v>98</v>
      </c>
      <c r="H56" s="714">
        <v>2020</v>
      </c>
      <c r="I56" s="714"/>
      <c r="J56" s="714">
        <v>1</v>
      </c>
      <c r="K56" s="714"/>
      <c r="L56" s="714"/>
      <c r="M56" s="715"/>
      <c r="N56" s="715"/>
      <c r="O56" s="715">
        <f>O46</f>
        <v>-1.72E-2</v>
      </c>
      <c r="P56" s="715">
        <f>O56</f>
        <v>-1.72E-2</v>
      </c>
      <c r="Q56" s="715">
        <f t="shared" ref="Q56:S56" si="27">P56</f>
        <v>-1.72E-2</v>
      </c>
      <c r="R56" s="715">
        <f t="shared" si="27"/>
        <v>-1.72E-2</v>
      </c>
      <c r="S56" s="715">
        <f t="shared" si="27"/>
        <v>-1.72E-2</v>
      </c>
      <c r="U56" s="714"/>
    </row>
    <row r="57" spans="2:21" ht="15" x14ac:dyDescent="0.25">
      <c r="B57" s="711"/>
      <c r="C57" s="719" t="s">
        <v>1738</v>
      </c>
      <c r="D57" s="720"/>
      <c r="E57" s="734" t="s">
        <v>51</v>
      </c>
      <c r="F57" s="720" t="s">
        <v>98</v>
      </c>
      <c r="G57" s="720" t="s">
        <v>98</v>
      </c>
      <c r="H57" s="714">
        <v>2025</v>
      </c>
      <c r="I57" s="714"/>
      <c r="J57" s="714">
        <v>1</v>
      </c>
      <c r="K57" s="714"/>
      <c r="L57" s="714"/>
      <c r="M57" s="715"/>
      <c r="N57" s="715"/>
      <c r="O57" s="715">
        <f t="shared" ref="O57" si="28">O47</f>
        <v>-1.72E-2</v>
      </c>
      <c r="P57" s="715">
        <f t="shared" ref="P57:S57" si="29">O57</f>
        <v>-1.72E-2</v>
      </c>
      <c r="Q57" s="715">
        <f t="shared" si="29"/>
        <v>-1.72E-2</v>
      </c>
      <c r="R57" s="715">
        <f t="shared" si="29"/>
        <v>-1.72E-2</v>
      </c>
      <c r="S57" s="715">
        <f t="shared" si="29"/>
        <v>-1.72E-2</v>
      </c>
      <c r="U57" s="714"/>
    </row>
    <row r="58" spans="2:21" ht="15" x14ac:dyDescent="0.25">
      <c r="B58" s="711"/>
      <c r="C58" s="719" t="s">
        <v>1738</v>
      </c>
      <c r="D58" s="720"/>
      <c r="E58" s="734" t="s">
        <v>51</v>
      </c>
      <c r="F58" s="720" t="s">
        <v>98</v>
      </c>
      <c r="G58" s="720" t="s">
        <v>98</v>
      </c>
      <c r="H58" s="714">
        <v>2030</v>
      </c>
      <c r="I58" s="714"/>
      <c r="J58" s="714">
        <v>1</v>
      </c>
      <c r="K58" s="714"/>
      <c r="L58" s="714"/>
      <c r="M58" s="715"/>
      <c r="N58" s="715"/>
      <c r="O58" s="715">
        <f>O48*1.2</f>
        <v>-1.0319999999999999E-2</v>
      </c>
      <c r="P58" s="715">
        <f t="shared" ref="P58:S58" si="30">O58</f>
        <v>-1.0319999999999999E-2</v>
      </c>
      <c r="Q58" s="715">
        <f t="shared" si="30"/>
        <v>-1.0319999999999999E-2</v>
      </c>
      <c r="R58" s="715">
        <f t="shared" si="30"/>
        <v>-1.0319999999999999E-2</v>
      </c>
      <c r="S58" s="715">
        <f t="shared" si="30"/>
        <v>-1.0319999999999999E-2</v>
      </c>
      <c r="U58" s="714"/>
    </row>
    <row r="59" spans="2:21" ht="15" x14ac:dyDescent="0.25">
      <c r="B59" s="711"/>
      <c r="C59" s="719" t="s">
        <v>1738</v>
      </c>
      <c r="D59" s="720"/>
      <c r="E59" s="734" t="s">
        <v>51</v>
      </c>
      <c r="F59" s="720" t="s">
        <v>98</v>
      </c>
      <c r="G59" s="720" t="s">
        <v>98</v>
      </c>
      <c r="H59" s="714">
        <v>2035</v>
      </c>
      <c r="I59" s="714"/>
      <c r="J59" s="714">
        <v>1</v>
      </c>
      <c r="K59" s="714"/>
      <c r="L59" s="714"/>
      <c r="M59" s="715"/>
      <c r="N59" s="715"/>
      <c r="O59" s="715">
        <f t="shared" ref="O59:O63" si="31">O49*1.2</f>
        <v>-5.1599999999999997E-3</v>
      </c>
      <c r="P59" s="715">
        <f t="shared" ref="P59:S59" si="32">O59</f>
        <v>-5.1599999999999997E-3</v>
      </c>
      <c r="Q59" s="715">
        <f t="shared" si="32"/>
        <v>-5.1599999999999997E-3</v>
      </c>
      <c r="R59" s="715">
        <f t="shared" si="32"/>
        <v>-5.1599999999999997E-3</v>
      </c>
      <c r="S59" s="715">
        <f t="shared" si="32"/>
        <v>-5.1599999999999997E-3</v>
      </c>
      <c r="U59" s="714"/>
    </row>
    <row r="60" spans="2:21" ht="15" x14ac:dyDescent="0.25">
      <c r="B60" s="711"/>
      <c r="C60" s="719" t="s">
        <v>1738</v>
      </c>
      <c r="D60" s="720"/>
      <c r="E60" s="734" t="s">
        <v>51</v>
      </c>
      <c r="F60" s="720" t="s">
        <v>98</v>
      </c>
      <c r="G60" s="720" t="s">
        <v>98</v>
      </c>
      <c r="H60" s="714">
        <v>2040</v>
      </c>
      <c r="I60" s="714"/>
      <c r="J60" s="714">
        <v>1</v>
      </c>
      <c r="K60" s="714"/>
      <c r="L60" s="714"/>
      <c r="M60" s="715"/>
      <c r="N60" s="715"/>
      <c r="O60" s="715">
        <f t="shared" si="31"/>
        <v>-2.5799999999999998E-3</v>
      </c>
      <c r="P60" s="715">
        <f t="shared" ref="P60:S60" si="33">O60</f>
        <v>-2.5799999999999998E-3</v>
      </c>
      <c r="Q60" s="715">
        <f t="shared" si="33"/>
        <v>-2.5799999999999998E-3</v>
      </c>
      <c r="R60" s="715">
        <f t="shared" si="33"/>
        <v>-2.5799999999999998E-3</v>
      </c>
      <c r="S60" s="715">
        <f t="shared" si="33"/>
        <v>-2.5799999999999998E-3</v>
      </c>
      <c r="U60" s="714"/>
    </row>
    <row r="61" spans="2:21" ht="15" x14ac:dyDescent="0.25">
      <c r="B61" s="711"/>
      <c r="C61" s="719" t="s">
        <v>1738</v>
      </c>
      <c r="D61" s="720"/>
      <c r="E61" s="734" t="s">
        <v>51</v>
      </c>
      <c r="F61" s="720" t="s">
        <v>98</v>
      </c>
      <c r="G61" s="720" t="s">
        <v>98</v>
      </c>
      <c r="H61" s="714">
        <v>2045</v>
      </c>
      <c r="I61" s="714"/>
      <c r="J61" s="714">
        <v>1</v>
      </c>
      <c r="K61" s="714"/>
      <c r="L61" s="714"/>
      <c r="M61" s="715"/>
      <c r="N61" s="715"/>
      <c r="O61" s="715">
        <f t="shared" si="31"/>
        <v>-1.2899999999999999E-3</v>
      </c>
      <c r="P61" s="715">
        <f t="shared" ref="P61:S61" si="34">O61</f>
        <v>-1.2899999999999999E-3</v>
      </c>
      <c r="Q61" s="715">
        <f t="shared" si="34"/>
        <v>-1.2899999999999999E-3</v>
      </c>
      <c r="R61" s="715">
        <f t="shared" si="34"/>
        <v>-1.2899999999999999E-3</v>
      </c>
      <c r="S61" s="715">
        <f t="shared" si="34"/>
        <v>-1.2899999999999999E-3</v>
      </c>
      <c r="U61" s="714">
        <f>(1+'AEO Data'!$J$173)^5</f>
        <v>1.0215687113445706</v>
      </c>
    </row>
    <row r="62" spans="2:21" ht="15" x14ac:dyDescent="0.25">
      <c r="B62" s="711"/>
      <c r="C62" s="719" t="s">
        <v>1738</v>
      </c>
      <c r="D62" s="720"/>
      <c r="E62" s="734" t="s">
        <v>51</v>
      </c>
      <c r="F62" s="720" t="s">
        <v>98</v>
      </c>
      <c r="G62" s="720" t="s">
        <v>98</v>
      </c>
      <c r="H62" s="714">
        <v>2050</v>
      </c>
      <c r="I62" s="714"/>
      <c r="J62" s="714">
        <v>1</v>
      </c>
      <c r="K62" s="714"/>
      <c r="L62" s="714"/>
      <c r="M62" s="715"/>
      <c r="N62" s="715"/>
      <c r="O62" s="715">
        <f t="shared" si="31"/>
        <v>0</v>
      </c>
      <c r="P62" s="715">
        <f t="shared" ref="P62:S62" si="35">O62</f>
        <v>0</v>
      </c>
      <c r="Q62" s="715">
        <f t="shared" si="35"/>
        <v>0</v>
      </c>
      <c r="R62" s="715">
        <f t="shared" si="35"/>
        <v>0</v>
      </c>
      <c r="S62" s="715">
        <f t="shared" si="35"/>
        <v>0</v>
      </c>
      <c r="U62" s="714">
        <v>1.2</v>
      </c>
    </row>
    <row r="63" spans="2:21" ht="15" x14ac:dyDescent="0.25">
      <c r="B63" s="716"/>
      <c r="C63" s="719" t="s">
        <v>1738</v>
      </c>
      <c r="D63" s="720"/>
      <c r="E63" s="734" t="s">
        <v>51</v>
      </c>
      <c r="F63" s="720" t="s">
        <v>98</v>
      </c>
      <c r="G63" s="720" t="s">
        <v>98</v>
      </c>
      <c r="H63" s="714">
        <v>2055</v>
      </c>
      <c r="I63" s="714"/>
      <c r="J63" s="714">
        <v>1</v>
      </c>
      <c r="K63" s="714"/>
      <c r="L63" s="714"/>
      <c r="M63" s="715"/>
      <c r="N63" s="715"/>
      <c r="O63" s="715">
        <f t="shared" si="31"/>
        <v>0</v>
      </c>
      <c r="P63" s="715">
        <f t="shared" ref="P63:S64" si="36">O63</f>
        <v>0</v>
      </c>
      <c r="Q63" s="715">
        <f t="shared" si="36"/>
        <v>0</v>
      </c>
      <c r="R63" s="715">
        <f t="shared" si="36"/>
        <v>0</v>
      </c>
      <c r="S63" s="715">
        <f>R63</f>
        <v>0</v>
      </c>
      <c r="U63" s="714">
        <v>1</v>
      </c>
    </row>
    <row r="64" spans="2:21" ht="15" x14ac:dyDescent="0.25">
      <c r="B64" s="711" t="str">
        <f>"UC_"&amp;G64&amp;RIGHT(E64,3)&amp;I64</f>
        <v>UC_THSCNGLO</v>
      </c>
      <c r="C64" s="719" t="s">
        <v>1738</v>
      </c>
      <c r="D64" s="720"/>
      <c r="E64" s="720" t="s">
        <v>72</v>
      </c>
      <c r="F64" s="720" t="s">
        <v>98</v>
      </c>
      <c r="G64" s="720" t="s">
        <v>98</v>
      </c>
      <c r="H64" s="714">
        <v>2010</v>
      </c>
      <c r="I64" s="714" t="s">
        <v>492</v>
      </c>
      <c r="J64" s="714">
        <v>1</v>
      </c>
      <c r="K64" s="714">
        <v>0</v>
      </c>
      <c r="L64" s="714">
        <v>15</v>
      </c>
      <c r="M64" s="715"/>
      <c r="N64" s="715"/>
      <c r="O64" s="715">
        <v>0</v>
      </c>
      <c r="P64" s="715">
        <f>O64</f>
        <v>0</v>
      </c>
      <c r="Q64" s="715">
        <f t="shared" si="36"/>
        <v>0</v>
      </c>
      <c r="R64" s="715">
        <f t="shared" si="36"/>
        <v>0</v>
      </c>
      <c r="S64" s="715">
        <f t="shared" si="36"/>
        <v>0</v>
      </c>
      <c r="U64" s="714"/>
    </row>
    <row r="65" spans="2:21" ht="15" x14ac:dyDescent="0.25">
      <c r="B65" s="711"/>
      <c r="C65" s="719" t="s">
        <v>1738</v>
      </c>
      <c r="D65" s="720"/>
      <c r="E65" s="720" t="s">
        <v>72</v>
      </c>
      <c r="F65" s="720" t="s">
        <v>98</v>
      </c>
      <c r="G65" s="720" t="s">
        <v>98</v>
      </c>
      <c r="H65" s="714">
        <v>2015</v>
      </c>
      <c r="I65" s="714"/>
      <c r="J65" s="714">
        <v>1</v>
      </c>
      <c r="K65" s="714"/>
      <c r="L65" s="714"/>
      <c r="M65" s="715"/>
      <c r="N65" s="715"/>
      <c r="O65" s="715">
        <v>0</v>
      </c>
      <c r="P65" s="715">
        <v>0</v>
      </c>
      <c r="Q65" s="715">
        <v>0</v>
      </c>
      <c r="R65" s="715">
        <v>0</v>
      </c>
      <c r="S65" s="715">
        <v>0</v>
      </c>
      <c r="U65" s="714"/>
    </row>
    <row r="66" spans="2:21" ht="15" x14ac:dyDescent="0.25">
      <c r="B66" s="711"/>
      <c r="C66" s="719" t="s">
        <v>1738</v>
      </c>
      <c r="D66" s="720"/>
      <c r="E66" s="720" t="s">
        <v>72</v>
      </c>
      <c r="F66" s="720" t="s">
        <v>98</v>
      </c>
      <c r="G66" s="720" t="s">
        <v>98</v>
      </c>
      <c r="H66" s="714">
        <v>2020</v>
      </c>
      <c r="I66" s="714"/>
      <c r="J66" s="714">
        <v>1</v>
      </c>
      <c r="K66" s="714"/>
      <c r="L66" s="714"/>
      <c r="M66" s="715"/>
      <c r="N66" s="715"/>
      <c r="O66" s="715">
        <f>-0.81%</f>
        <v>-8.1000000000000013E-3</v>
      </c>
      <c r="P66" s="715">
        <f>O66</f>
        <v>-8.1000000000000013E-3</v>
      </c>
      <c r="Q66" s="715">
        <f t="shared" ref="Q66:Q74" si="37">P66</f>
        <v>-8.1000000000000013E-3</v>
      </c>
      <c r="R66" s="715">
        <f t="shared" ref="R66:R74" si="38">Q66</f>
        <v>-8.1000000000000013E-3</v>
      </c>
      <c r="S66" s="715">
        <f t="shared" ref="S66:S74" si="39">R66</f>
        <v>-8.1000000000000013E-3</v>
      </c>
      <c r="U66" s="714"/>
    </row>
    <row r="67" spans="2:21" ht="15" x14ac:dyDescent="0.25">
      <c r="B67" s="711"/>
      <c r="C67" s="719" t="s">
        <v>1738</v>
      </c>
      <c r="D67" s="720"/>
      <c r="E67" s="720" t="s">
        <v>72</v>
      </c>
      <c r="F67" s="720" t="s">
        <v>98</v>
      </c>
      <c r="G67" s="720" t="s">
        <v>98</v>
      </c>
      <c r="H67" s="714">
        <v>2025</v>
      </c>
      <c r="I67" s="714"/>
      <c r="J67" s="714">
        <v>1</v>
      </c>
      <c r="K67" s="714"/>
      <c r="L67" s="714"/>
      <c r="M67" s="715"/>
      <c r="N67" s="715"/>
      <c r="O67" s="715">
        <f>O66</f>
        <v>-8.1000000000000013E-3</v>
      </c>
      <c r="P67" s="715">
        <f t="shared" ref="P67:P73" si="40">O67</f>
        <v>-8.1000000000000013E-3</v>
      </c>
      <c r="Q67" s="715">
        <f t="shared" si="37"/>
        <v>-8.1000000000000013E-3</v>
      </c>
      <c r="R67" s="715">
        <f t="shared" si="38"/>
        <v>-8.1000000000000013E-3</v>
      </c>
      <c r="S67" s="715">
        <f t="shared" si="39"/>
        <v>-8.1000000000000013E-3</v>
      </c>
      <c r="U67" s="714"/>
    </row>
    <row r="68" spans="2:21" ht="15" x14ac:dyDescent="0.25">
      <c r="B68" s="711"/>
      <c r="C68" s="719" t="s">
        <v>1738</v>
      </c>
      <c r="D68" s="720"/>
      <c r="E68" s="720" t="s">
        <v>72</v>
      </c>
      <c r="F68" s="720" t="s">
        <v>98</v>
      </c>
      <c r="G68" s="720" t="s">
        <v>98</v>
      </c>
      <c r="H68" s="714">
        <v>2030</v>
      </c>
      <c r="I68" s="714"/>
      <c r="J68" s="714">
        <v>1</v>
      </c>
      <c r="K68" s="714"/>
      <c r="L68" s="714"/>
      <c r="M68" s="715"/>
      <c r="N68" s="715"/>
      <c r="O68" s="715">
        <f t="shared" ref="O68:O73" si="41">O67</f>
        <v>-8.1000000000000013E-3</v>
      </c>
      <c r="P68" s="715">
        <f t="shared" si="40"/>
        <v>-8.1000000000000013E-3</v>
      </c>
      <c r="Q68" s="715">
        <f t="shared" si="37"/>
        <v>-8.1000000000000013E-3</v>
      </c>
      <c r="R68" s="715">
        <f t="shared" si="38"/>
        <v>-8.1000000000000013E-3</v>
      </c>
      <c r="S68" s="715">
        <f t="shared" si="39"/>
        <v>-8.1000000000000013E-3</v>
      </c>
      <c r="U68" s="714"/>
    </row>
    <row r="69" spans="2:21" ht="15" x14ac:dyDescent="0.25">
      <c r="B69" s="711"/>
      <c r="C69" s="719" t="s">
        <v>1738</v>
      </c>
      <c r="D69" s="720"/>
      <c r="E69" s="720" t="s">
        <v>72</v>
      </c>
      <c r="F69" s="720" t="s">
        <v>98</v>
      </c>
      <c r="G69" s="720" t="s">
        <v>98</v>
      </c>
      <c r="H69" s="714">
        <v>2035</v>
      </c>
      <c r="I69" s="714"/>
      <c r="J69" s="714">
        <v>1</v>
      </c>
      <c r="K69" s="714"/>
      <c r="L69" s="714"/>
      <c r="M69" s="715"/>
      <c r="N69" s="715"/>
      <c r="O69" s="715">
        <f t="shared" si="41"/>
        <v>-8.1000000000000013E-3</v>
      </c>
      <c r="P69" s="715">
        <f t="shared" si="40"/>
        <v>-8.1000000000000013E-3</v>
      </c>
      <c r="Q69" s="715">
        <f t="shared" si="37"/>
        <v>-8.1000000000000013E-3</v>
      </c>
      <c r="R69" s="715">
        <f t="shared" si="38"/>
        <v>-8.1000000000000013E-3</v>
      </c>
      <c r="S69" s="715">
        <f t="shared" si="39"/>
        <v>-8.1000000000000013E-3</v>
      </c>
      <c r="U69" s="714"/>
    </row>
    <row r="70" spans="2:21" ht="15" x14ac:dyDescent="0.25">
      <c r="B70" s="711"/>
      <c r="C70" s="719" t="s">
        <v>1738</v>
      </c>
      <c r="D70" s="720"/>
      <c r="E70" s="720" t="s">
        <v>72</v>
      </c>
      <c r="F70" s="720" t="s">
        <v>98</v>
      </c>
      <c r="G70" s="720" t="s">
        <v>98</v>
      </c>
      <c r="H70" s="714">
        <v>2040</v>
      </c>
      <c r="I70" s="714"/>
      <c r="J70" s="714">
        <v>1</v>
      </c>
      <c r="K70" s="714"/>
      <c r="L70" s="714"/>
      <c r="M70" s="715"/>
      <c r="N70" s="715"/>
      <c r="O70" s="715">
        <f t="shared" si="41"/>
        <v>-8.1000000000000013E-3</v>
      </c>
      <c r="P70" s="715">
        <f t="shared" si="40"/>
        <v>-8.1000000000000013E-3</v>
      </c>
      <c r="Q70" s="715">
        <f t="shared" si="37"/>
        <v>-8.1000000000000013E-3</v>
      </c>
      <c r="R70" s="715">
        <f t="shared" si="38"/>
        <v>-8.1000000000000013E-3</v>
      </c>
      <c r="S70" s="715">
        <f t="shared" si="39"/>
        <v>-8.1000000000000013E-3</v>
      </c>
      <c r="U70" s="714"/>
    </row>
    <row r="71" spans="2:21" ht="15" x14ac:dyDescent="0.25">
      <c r="B71" s="711"/>
      <c r="C71" s="719" t="s">
        <v>1738</v>
      </c>
      <c r="D71" s="720"/>
      <c r="E71" s="720" t="s">
        <v>72</v>
      </c>
      <c r="F71" s="720" t="s">
        <v>98</v>
      </c>
      <c r="G71" s="720" t="s">
        <v>98</v>
      </c>
      <c r="H71" s="714">
        <v>2045</v>
      </c>
      <c r="I71" s="714"/>
      <c r="J71" s="714">
        <v>1</v>
      </c>
      <c r="K71" s="714"/>
      <c r="L71" s="714"/>
      <c r="M71" s="715"/>
      <c r="N71" s="715"/>
      <c r="O71" s="715">
        <f t="shared" si="41"/>
        <v>-8.1000000000000013E-3</v>
      </c>
      <c r="P71" s="715">
        <f t="shared" si="40"/>
        <v>-8.1000000000000013E-3</v>
      </c>
      <c r="Q71" s="715">
        <f t="shared" si="37"/>
        <v>-8.1000000000000013E-3</v>
      </c>
      <c r="R71" s="715">
        <f t="shared" si="38"/>
        <v>-8.1000000000000013E-3</v>
      </c>
      <c r="S71" s="715">
        <f t="shared" si="39"/>
        <v>-8.1000000000000013E-3</v>
      </c>
      <c r="U71" s="714">
        <f>(1+'AEO Data'!$J$173)^5</f>
        <v>1.0215687113445706</v>
      </c>
    </row>
    <row r="72" spans="2:21" ht="15" x14ac:dyDescent="0.25">
      <c r="B72" s="711"/>
      <c r="C72" s="719" t="s">
        <v>1738</v>
      </c>
      <c r="D72" s="720"/>
      <c r="E72" s="720" t="s">
        <v>72</v>
      </c>
      <c r="F72" s="720" t="s">
        <v>98</v>
      </c>
      <c r="G72" s="720" t="s">
        <v>98</v>
      </c>
      <c r="H72" s="714">
        <v>2050</v>
      </c>
      <c r="I72" s="714"/>
      <c r="J72" s="714">
        <v>1</v>
      </c>
      <c r="K72" s="714"/>
      <c r="L72" s="714"/>
      <c r="M72" s="715"/>
      <c r="N72" s="715"/>
      <c r="O72" s="715">
        <f t="shared" si="41"/>
        <v>-8.1000000000000013E-3</v>
      </c>
      <c r="P72" s="715">
        <f t="shared" si="40"/>
        <v>-8.1000000000000013E-3</v>
      </c>
      <c r="Q72" s="715">
        <f t="shared" si="37"/>
        <v>-8.1000000000000013E-3</v>
      </c>
      <c r="R72" s="715">
        <f t="shared" si="38"/>
        <v>-8.1000000000000013E-3</v>
      </c>
      <c r="S72" s="715">
        <f t="shared" si="39"/>
        <v>-8.1000000000000013E-3</v>
      </c>
      <c r="U72" s="714">
        <v>1.2</v>
      </c>
    </row>
    <row r="73" spans="2:21" ht="15" x14ac:dyDescent="0.25">
      <c r="B73" s="716"/>
      <c r="C73" s="719" t="s">
        <v>1738</v>
      </c>
      <c r="D73" s="720"/>
      <c r="E73" s="720" t="s">
        <v>72</v>
      </c>
      <c r="F73" s="720" t="s">
        <v>98</v>
      </c>
      <c r="G73" s="720" t="s">
        <v>98</v>
      </c>
      <c r="H73" s="714">
        <v>2055</v>
      </c>
      <c r="I73" s="714"/>
      <c r="J73" s="714">
        <v>1</v>
      </c>
      <c r="K73" s="714"/>
      <c r="L73" s="714"/>
      <c r="M73" s="715"/>
      <c r="N73" s="715"/>
      <c r="O73" s="715">
        <f t="shared" si="41"/>
        <v>-8.1000000000000013E-3</v>
      </c>
      <c r="P73" s="715">
        <f t="shared" si="40"/>
        <v>-8.1000000000000013E-3</v>
      </c>
      <c r="Q73" s="715">
        <f t="shared" si="37"/>
        <v>-8.1000000000000013E-3</v>
      </c>
      <c r="R73" s="715">
        <f t="shared" si="38"/>
        <v>-8.1000000000000013E-3</v>
      </c>
      <c r="S73" s="715">
        <f t="shared" si="39"/>
        <v>-8.1000000000000013E-3</v>
      </c>
      <c r="U73" s="714">
        <v>1</v>
      </c>
    </row>
    <row r="74" spans="2:21" ht="15" x14ac:dyDescent="0.25">
      <c r="B74" s="711" t="str">
        <f>"UC_"&amp;G74&amp;RIGHT(E74,3)&amp;I74</f>
        <v>UC_THSCNGUP</v>
      </c>
      <c r="C74" s="719" t="s">
        <v>1738</v>
      </c>
      <c r="D74" s="720"/>
      <c r="E74" s="720" t="s">
        <v>72</v>
      </c>
      <c r="F74" s="720" t="s">
        <v>98</v>
      </c>
      <c r="G74" s="720" t="s">
        <v>98</v>
      </c>
      <c r="H74" s="714">
        <v>2010</v>
      </c>
      <c r="I74" s="714" t="s">
        <v>493</v>
      </c>
      <c r="J74" s="714">
        <v>1</v>
      </c>
      <c r="K74" s="714">
        <v>0</v>
      </c>
      <c r="L74" s="714">
        <v>15</v>
      </c>
      <c r="M74" s="715"/>
      <c r="N74" s="715"/>
      <c r="O74" s="715">
        <v>0</v>
      </c>
      <c r="P74" s="715">
        <f>O74</f>
        <v>0</v>
      </c>
      <c r="Q74" s="715">
        <f t="shared" si="37"/>
        <v>0</v>
      </c>
      <c r="R74" s="715">
        <f t="shared" si="38"/>
        <v>0</v>
      </c>
      <c r="S74" s="715">
        <f t="shared" si="39"/>
        <v>0</v>
      </c>
      <c r="U74" s="714"/>
    </row>
    <row r="75" spans="2:21" ht="15" x14ac:dyDescent="0.25">
      <c r="B75" s="711"/>
      <c r="C75" s="719" t="s">
        <v>1738</v>
      </c>
      <c r="D75" s="720"/>
      <c r="E75" s="720" t="s">
        <v>72</v>
      </c>
      <c r="F75" s="720" t="s">
        <v>98</v>
      </c>
      <c r="G75" s="720" t="s">
        <v>98</v>
      </c>
      <c r="H75" s="714">
        <v>2015</v>
      </c>
      <c r="I75" s="714"/>
      <c r="J75" s="714">
        <v>1</v>
      </c>
      <c r="K75" s="714"/>
      <c r="L75" s="714"/>
      <c r="M75" s="715"/>
      <c r="N75" s="715"/>
      <c r="O75" s="715">
        <v>0</v>
      </c>
      <c r="P75" s="715">
        <v>0</v>
      </c>
      <c r="Q75" s="715">
        <v>0</v>
      </c>
      <c r="R75" s="715">
        <v>0</v>
      </c>
      <c r="S75" s="715">
        <v>0</v>
      </c>
      <c r="U75" s="714"/>
    </row>
    <row r="76" spans="2:21" ht="15" x14ac:dyDescent="0.25">
      <c r="B76" s="711"/>
      <c r="C76" s="719" t="s">
        <v>1738</v>
      </c>
      <c r="D76" s="720"/>
      <c r="E76" s="720" t="s">
        <v>72</v>
      </c>
      <c r="F76" s="720" t="s">
        <v>98</v>
      </c>
      <c r="G76" s="720" t="s">
        <v>98</v>
      </c>
      <c r="H76" s="714">
        <v>2020</v>
      </c>
      <c r="I76" s="714"/>
      <c r="J76" s="714">
        <v>1</v>
      </c>
      <c r="K76" s="714"/>
      <c r="L76" s="714"/>
      <c r="M76" s="715"/>
      <c r="N76" s="715"/>
      <c r="O76" s="715">
        <f>O66</f>
        <v>-8.1000000000000013E-3</v>
      </c>
      <c r="P76" s="715">
        <f>O76</f>
        <v>-8.1000000000000013E-3</v>
      </c>
      <c r="Q76" s="715">
        <f t="shared" ref="Q76:Q83" si="42">P76</f>
        <v>-8.1000000000000013E-3</v>
      </c>
      <c r="R76" s="715">
        <f t="shared" ref="R76:R83" si="43">Q76</f>
        <v>-8.1000000000000013E-3</v>
      </c>
      <c r="S76" s="715">
        <f t="shared" ref="S76:S83" si="44">R76</f>
        <v>-8.1000000000000013E-3</v>
      </c>
      <c r="U76" s="714"/>
    </row>
    <row r="77" spans="2:21" ht="15" x14ac:dyDescent="0.25">
      <c r="B77" s="711"/>
      <c r="C77" s="719" t="s">
        <v>1738</v>
      </c>
      <c r="D77" s="720"/>
      <c r="E77" s="720" t="s">
        <v>72</v>
      </c>
      <c r="F77" s="720" t="s">
        <v>98</v>
      </c>
      <c r="G77" s="720" t="s">
        <v>98</v>
      </c>
      <c r="H77" s="714">
        <v>2025</v>
      </c>
      <c r="I77" s="714"/>
      <c r="J77" s="714">
        <v>1</v>
      </c>
      <c r="K77" s="714"/>
      <c r="L77" s="714"/>
      <c r="M77" s="715"/>
      <c r="N77" s="715"/>
      <c r="O77" s="715">
        <f t="shared" ref="O77" si="45">O78</f>
        <v>-4.9109025306920677E-2</v>
      </c>
      <c r="P77" s="715">
        <f t="shared" ref="P77:P83" si="46">O77</f>
        <v>-4.9109025306920677E-2</v>
      </c>
      <c r="Q77" s="715">
        <f t="shared" si="42"/>
        <v>-4.9109025306920677E-2</v>
      </c>
      <c r="R77" s="715">
        <f t="shared" si="43"/>
        <v>-4.9109025306920677E-2</v>
      </c>
      <c r="S77" s="715">
        <f t="shared" si="44"/>
        <v>-4.9109025306920677E-2</v>
      </c>
      <c r="U77" s="714"/>
    </row>
    <row r="78" spans="2:21" ht="15" x14ac:dyDescent="0.25">
      <c r="B78" s="711"/>
      <c r="C78" s="719" t="s">
        <v>1738</v>
      </c>
      <c r="D78" s="720"/>
      <c r="E78" s="720" t="s">
        <v>72</v>
      </c>
      <c r="F78" s="720" t="s">
        <v>98</v>
      </c>
      <c r="G78" s="720" t="s">
        <v>98</v>
      </c>
      <c r="H78" s="714">
        <v>2030</v>
      </c>
      <c r="I78" s="714"/>
      <c r="J78" s="714">
        <v>1</v>
      </c>
      <c r="K78" s="714"/>
      <c r="L78" s="714"/>
      <c r="M78" s="715"/>
      <c r="N78" s="715"/>
      <c r="O78" s="715">
        <f>O79</f>
        <v>-4.9109025306920677E-2</v>
      </c>
      <c r="P78" s="715">
        <f t="shared" si="46"/>
        <v>-4.9109025306920677E-2</v>
      </c>
      <c r="Q78" s="715">
        <f t="shared" si="42"/>
        <v>-4.9109025306920677E-2</v>
      </c>
      <c r="R78" s="715">
        <f t="shared" si="43"/>
        <v>-4.9109025306920677E-2</v>
      </c>
      <c r="S78" s="715">
        <f t="shared" si="44"/>
        <v>-4.9109025306920677E-2</v>
      </c>
      <c r="U78" s="714"/>
    </row>
    <row r="79" spans="2:21" ht="15" x14ac:dyDescent="0.25">
      <c r="B79" s="711"/>
      <c r="C79" s="719" t="s">
        <v>1738</v>
      </c>
      <c r="D79" s="720"/>
      <c r="E79" s="720" t="s">
        <v>72</v>
      </c>
      <c r="F79" s="720" t="s">
        <v>98</v>
      </c>
      <c r="G79" s="720" t="s">
        <v>98</v>
      </c>
      <c r="H79" s="714">
        <v>2035</v>
      </c>
      <c r="I79" s="714"/>
      <c r="J79" s="714">
        <v>1</v>
      </c>
      <c r="K79" s="714"/>
      <c r="L79" s="714"/>
      <c r="M79" s="715"/>
      <c r="N79" s="715"/>
      <c r="O79" s="715">
        <f>-'AEO Data'!$Q$172*1.2</f>
        <v>-4.9109025306920677E-2</v>
      </c>
      <c r="P79" s="715">
        <f t="shared" si="46"/>
        <v>-4.9109025306920677E-2</v>
      </c>
      <c r="Q79" s="715">
        <f t="shared" si="42"/>
        <v>-4.9109025306920677E-2</v>
      </c>
      <c r="R79" s="715">
        <f t="shared" si="43"/>
        <v>-4.9109025306920677E-2</v>
      </c>
      <c r="S79" s="715">
        <f t="shared" si="44"/>
        <v>-4.9109025306920677E-2</v>
      </c>
      <c r="U79" s="714"/>
    </row>
    <row r="80" spans="2:21" ht="15" x14ac:dyDescent="0.25">
      <c r="B80" s="711"/>
      <c r="C80" s="719" t="s">
        <v>1738</v>
      </c>
      <c r="D80" s="720"/>
      <c r="E80" s="720" t="s">
        <v>72</v>
      </c>
      <c r="F80" s="720" t="s">
        <v>98</v>
      </c>
      <c r="G80" s="720" t="s">
        <v>98</v>
      </c>
      <c r="H80" s="714">
        <v>2040</v>
      </c>
      <c r="I80" s="714"/>
      <c r="J80" s="714">
        <v>1</v>
      </c>
      <c r="K80" s="714"/>
      <c r="L80" s="714"/>
      <c r="M80" s="715"/>
      <c r="N80" s="715"/>
      <c r="O80" s="715">
        <f>-'AEO Data'!$R$172*1.4</f>
        <v>-0.11871548972855207</v>
      </c>
      <c r="P80" s="715">
        <f t="shared" si="46"/>
        <v>-0.11871548972855207</v>
      </c>
      <c r="Q80" s="715">
        <f t="shared" si="42"/>
        <v>-0.11871548972855207</v>
      </c>
      <c r="R80" s="715">
        <f t="shared" si="43"/>
        <v>-0.11871548972855207</v>
      </c>
      <c r="S80" s="715">
        <f t="shared" si="44"/>
        <v>-0.11871548972855207</v>
      </c>
      <c r="U80" s="714"/>
    </row>
    <row r="81" spans="2:21" ht="15" x14ac:dyDescent="0.25">
      <c r="B81" s="711"/>
      <c r="C81" s="719" t="s">
        <v>1738</v>
      </c>
      <c r="D81" s="720"/>
      <c r="E81" s="720" t="s">
        <v>72</v>
      </c>
      <c r="F81" s="720" t="s">
        <v>98</v>
      </c>
      <c r="G81" s="720" t="s">
        <v>98</v>
      </c>
      <c r="H81" s="714">
        <v>2045</v>
      </c>
      <c r="I81" s="714"/>
      <c r="J81" s="714">
        <v>1</v>
      </c>
      <c r="K81" s="714"/>
      <c r="L81" s="714"/>
      <c r="M81" s="715"/>
      <c r="N81" s="715"/>
      <c r="O81" s="715">
        <f>O80*U81</f>
        <v>-0.12127602985863654</v>
      </c>
      <c r="P81" s="715">
        <f t="shared" si="46"/>
        <v>-0.12127602985863654</v>
      </c>
      <c r="Q81" s="715">
        <f t="shared" si="42"/>
        <v>-0.12127602985863654</v>
      </c>
      <c r="R81" s="715">
        <f t="shared" si="43"/>
        <v>-0.12127602985863654</v>
      </c>
      <c r="S81" s="715">
        <f t="shared" si="44"/>
        <v>-0.12127602985863654</v>
      </c>
      <c r="U81" s="714">
        <f>(1+'AEO Data'!$J$173)^5</f>
        <v>1.0215687113445706</v>
      </c>
    </row>
    <row r="82" spans="2:21" ht="15" x14ac:dyDescent="0.25">
      <c r="B82" s="711"/>
      <c r="C82" s="719" t="s">
        <v>1738</v>
      </c>
      <c r="D82" s="720"/>
      <c r="E82" s="720" t="s">
        <v>72</v>
      </c>
      <c r="F82" s="720" t="s">
        <v>98</v>
      </c>
      <c r="G82" s="720" t="s">
        <v>98</v>
      </c>
      <c r="H82" s="714">
        <v>2050</v>
      </c>
      <c r="I82" s="714"/>
      <c r="J82" s="714">
        <v>1</v>
      </c>
      <c r="K82" s="714"/>
      <c r="L82" s="714"/>
      <c r="M82" s="715"/>
      <c r="N82" s="715"/>
      <c r="O82" s="715">
        <f>O81*U82</f>
        <v>-0.14553123583036384</v>
      </c>
      <c r="P82" s="715">
        <f t="shared" si="46"/>
        <v>-0.14553123583036384</v>
      </c>
      <c r="Q82" s="715">
        <f t="shared" si="42"/>
        <v>-0.14553123583036384</v>
      </c>
      <c r="R82" s="715">
        <f t="shared" si="43"/>
        <v>-0.14553123583036384</v>
      </c>
      <c r="S82" s="715">
        <f t="shared" si="44"/>
        <v>-0.14553123583036384</v>
      </c>
      <c r="U82" s="714">
        <v>1.2</v>
      </c>
    </row>
    <row r="83" spans="2:21" ht="15" x14ac:dyDescent="0.25">
      <c r="B83" s="716"/>
      <c r="C83" s="719" t="s">
        <v>1738</v>
      </c>
      <c r="D83" s="720"/>
      <c r="E83" s="720" t="s">
        <v>72</v>
      </c>
      <c r="F83" s="720" t="s">
        <v>98</v>
      </c>
      <c r="G83" s="720" t="s">
        <v>98</v>
      </c>
      <c r="H83" s="714">
        <v>2055</v>
      </c>
      <c r="I83" s="714"/>
      <c r="J83" s="714">
        <v>1</v>
      </c>
      <c r="K83" s="714"/>
      <c r="L83" s="714"/>
      <c r="M83" s="715"/>
      <c r="N83" s="715"/>
      <c r="O83" s="715">
        <f>O82*U83</f>
        <v>-0.14553123583036384</v>
      </c>
      <c r="P83" s="715">
        <f t="shared" si="46"/>
        <v>-0.14553123583036384</v>
      </c>
      <c r="Q83" s="715">
        <f t="shared" si="42"/>
        <v>-0.14553123583036384</v>
      </c>
      <c r="R83" s="715">
        <f t="shared" si="43"/>
        <v>-0.14553123583036384</v>
      </c>
      <c r="S83" s="715">
        <f t="shared" si="44"/>
        <v>-0.14553123583036384</v>
      </c>
      <c r="U83" s="714">
        <v>1</v>
      </c>
    </row>
    <row r="84" spans="2:21" ht="15" x14ac:dyDescent="0.25">
      <c r="B84" s="711" t="str">
        <f>"UC_"&amp;G84&amp;RIGHT(E84,3)&amp;I84</f>
        <v>UC_TMCNGLO</v>
      </c>
      <c r="C84" s="719" t="s">
        <v>1739</v>
      </c>
      <c r="D84" s="720"/>
      <c r="E84" s="720" t="s">
        <v>70</v>
      </c>
      <c r="F84" s="720" t="s">
        <v>96</v>
      </c>
      <c r="G84" s="720" t="s">
        <v>96</v>
      </c>
      <c r="H84" s="714">
        <v>2020</v>
      </c>
      <c r="I84" s="714" t="s">
        <v>492</v>
      </c>
      <c r="J84" s="714">
        <v>1</v>
      </c>
      <c r="K84" s="714">
        <v>0</v>
      </c>
      <c r="L84" s="714">
        <v>15</v>
      </c>
      <c r="M84" s="715"/>
      <c r="N84" s="715"/>
      <c r="O84" s="715">
        <f>-'AEO Data'!$AI$17*0.9</f>
        <v>-6.9313328718542122E-3</v>
      </c>
      <c r="P84" s="715">
        <f>O84</f>
        <v>-6.9313328718542122E-3</v>
      </c>
      <c r="Q84" s="715">
        <f t="shared" ref="Q84:S84" si="47">P84</f>
        <v>-6.9313328718542122E-3</v>
      </c>
      <c r="R84" s="715">
        <f t="shared" si="47"/>
        <v>-6.9313328718542122E-3</v>
      </c>
      <c r="S84" s="715">
        <f t="shared" si="47"/>
        <v>-6.9313328718542122E-3</v>
      </c>
      <c r="U84" s="714"/>
    </row>
    <row r="85" spans="2:21" ht="15" x14ac:dyDescent="0.25">
      <c r="B85" s="711"/>
      <c r="C85" s="719" t="s">
        <v>1739</v>
      </c>
      <c r="D85" s="720"/>
      <c r="E85" s="720" t="s">
        <v>70</v>
      </c>
      <c r="F85" s="720" t="s">
        <v>96</v>
      </c>
      <c r="G85" s="720" t="s">
        <v>96</v>
      </c>
      <c r="H85" s="714">
        <v>2025</v>
      </c>
      <c r="I85" s="714"/>
      <c r="J85" s="714">
        <v>1</v>
      </c>
      <c r="K85" s="714"/>
      <c r="L85" s="714"/>
      <c r="M85" s="715"/>
      <c r="N85" s="715"/>
      <c r="O85" s="715"/>
      <c r="P85" s="715"/>
      <c r="Q85" s="715"/>
      <c r="R85" s="715"/>
      <c r="S85" s="715"/>
      <c r="U85" s="714"/>
    </row>
    <row r="86" spans="2:21" ht="15" x14ac:dyDescent="0.25">
      <c r="B86" s="711"/>
      <c r="C86" s="719" t="s">
        <v>1739</v>
      </c>
      <c r="D86" s="720"/>
      <c r="E86" s="720" t="s">
        <v>70</v>
      </c>
      <c r="F86" s="720" t="s">
        <v>96</v>
      </c>
      <c r="G86" s="720" t="s">
        <v>96</v>
      </c>
      <c r="H86" s="714">
        <v>2030</v>
      </c>
      <c r="I86" s="714"/>
      <c r="J86" s="714">
        <v>1</v>
      </c>
      <c r="K86" s="714"/>
      <c r="L86" s="714"/>
      <c r="M86" s="715"/>
      <c r="N86" s="715"/>
      <c r="O86" s="715"/>
      <c r="P86" s="715"/>
      <c r="Q86" s="715"/>
      <c r="R86" s="715"/>
      <c r="S86" s="715"/>
      <c r="U86" s="714"/>
    </row>
    <row r="87" spans="2:21" ht="15" x14ac:dyDescent="0.25">
      <c r="B87" s="711"/>
      <c r="C87" s="719" t="s">
        <v>1739</v>
      </c>
      <c r="D87" s="720"/>
      <c r="E87" s="720" t="s">
        <v>70</v>
      </c>
      <c r="F87" s="720" t="s">
        <v>96</v>
      </c>
      <c r="G87" s="720" t="s">
        <v>96</v>
      </c>
      <c r="H87" s="714">
        <v>2035</v>
      </c>
      <c r="I87" s="714"/>
      <c r="J87" s="714">
        <v>1</v>
      </c>
      <c r="K87" s="714"/>
      <c r="L87" s="714"/>
      <c r="M87" s="715"/>
      <c r="N87" s="715"/>
      <c r="O87" s="715">
        <f>-'AEO Data'!$AJ$17*0.99</f>
        <v>-1.7617565889400322E-2</v>
      </c>
      <c r="P87" s="715">
        <f>O87</f>
        <v>-1.7617565889400322E-2</v>
      </c>
      <c r="Q87" s="715">
        <f t="shared" ref="Q87:S87" si="48">P87</f>
        <v>-1.7617565889400322E-2</v>
      </c>
      <c r="R87" s="715">
        <f t="shared" si="48"/>
        <v>-1.7617565889400322E-2</v>
      </c>
      <c r="S87" s="715">
        <f t="shared" si="48"/>
        <v>-1.7617565889400322E-2</v>
      </c>
      <c r="U87" s="714"/>
    </row>
    <row r="88" spans="2:21" ht="15" x14ac:dyDescent="0.25">
      <c r="B88" s="711"/>
      <c r="C88" s="719" t="s">
        <v>1739</v>
      </c>
      <c r="D88" s="720"/>
      <c r="E88" s="720" t="s">
        <v>70</v>
      </c>
      <c r="F88" s="720" t="s">
        <v>96</v>
      </c>
      <c r="G88" s="720" t="s">
        <v>96</v>
      </c>
      <c r="H88" s="714">
        <v>2040</v>
      </c>
      <c r="I88" s="714"/>
      <c r="J88" s="714">
        <v>1</v>
      </c>
      <c r="K88" s="714"/>
      <c r="L88" s="714"/>
      <c r="M88" s="715"/>
      <c r="N88" s="715"/>
      <c r="O88" s="715"/>
      <c r="P88" s="715"/>
      <c r="Q88" s="715"/>
      <c r="R88" s="715"/>
      <c r="S88" s="715"/>
      <c r="U88" s="714"/>
    </row>
    <row r="89" spans="2:21" ht="15" x14ac:dyDescent="0.25">
      <c r="B89" s="711"/>
      <c r="C89" s="719" t="s">
        <v>1739</v>
      </c>
      <c r="D89" s="720"/>
      <c r="E89" s="720" t="s">
        <v>70</v>
      </c>
      <c r="F89" s="720" t="s">
        <v>96</v>
      </c>
      <c r="G89" s="720" t="s">
        <v>96</v>
      </c>
      <c r="H89" s="714">
        <v>2045</v>
      </c>
      <c r="I89" s="714"/>
      <c r="J89" s="714">
        <v>1</v>
      </c>
      <c r="K89" s="714"/>
      <c r="L89" s="714"/>
      <c r="M89" s="715"/>
      <c r="N89" s="715"/>
      <c r="O89" s="715"/>
      <c r="P89" s="715"/>
      <c r="Q89" s="715"/>
      <c r="R89" s="715"/>
      <c r="S89" s="715"/>
      <c r="U89" s="714"/>
    </row>
    <row r="90" spans="2:21" ht="15" x14ac:dyDescent="0.25">
      <c r="B90" s="711"/>
      <c r="C90" s="719" t="s">
        <v>1739</v>
      </c>
      <c r="D90" s="720"/>
      <c r="E90" s="720" t="s">
        <v>70</v>
      </c>
      <c r="F90" s="720" t="s">
        <v>96</v>
      </c>
      <c r="G90" s="720" t="s">
        <v>96</v>
      </c>
      <c r="H90" s="714">
        <v>2050</v>
      </c>
      <c r="I90" s="714"/>
      <c r="J90" s="714">
        <v>1</v>
      </c>
      <c r="K90" s="714"/>
      <c r="L90" s="714"/>
      <c r="M90" s="715"/>
      <c r="N90" s="715"/>
      <c r="O90" s="715"/>
      <c r="P90" s="715"/>
      <c r="Q90" s="715"/>
      <c r="R90" s="715"/>
      <c r="S90" s="715"/>
      <c r="U90" s="714"/>
    </row>
    <row r="91" spans="2:21" ht="15" x14ac:dyDescent="0.25">
      <c r="B91" s="716"/>
      <c r="C91" s="719" t="s">
        <v>1739</v>
      </c>
      <c r="D91" s="720"/>
      <c r="E91" s="720" t="s">
        <v>70</v>
      </c>
      <c r="F91" s="720" t="s">
        <v>96</v>
      </c>
      <c r="G91" s="720" t="s">
        <v>96</v>
      </c>
      <c r="H91" s="714">
        <v>2055</v>
      </c>
      <c r="I91" s="714"/>
      <c r="J91" s="714">
        <v>1</v>
      </c>
      <c r="K91" s="714"/>
      <c r="L91" s="714"/>
      <c r="M91" s="715"/>
      <c r="N91" s="715"/>
      <c r="O91" s="715">
        <f>O87*U91</f>
        <v>-1.5855809300460291E-2</v>
      </c>
      <c r="P91" s="715">
        <f>O91</f>
        <v>-1.5855809300460291E-2</v>
      </c>
      <c r="Q91" s="715">
        <f t="shared" ref="Q91:S93" si="49">P91</f>
        <v>-1.5855809300460291E-2</v>
      </c>
      <c r="R91" s="715">
        <f t="shared" si="49"/>
        <v>-1.5855809300460291E-2</v>
      </c>
      <c r="S91" s="715">
        <f t="shared" si="49"/>
        <v>-1.5855809300460291E-2</v>
      </c>
      <c r="U91" s="714">
        <v>0.9</v>
      </c>
    </row>
    <row r="92" spans="2:21" ht="15" x14ac:dyDescent="0.25">
      <c r="B92" s="711" t="str">
        <f>"UC_"&amp;G92&amp;RIGHT(E92,3)&amp;I92</f>
        <v>UC_TMCNGUP</v>
      </c>
      <c r="C92" s="719" t="s">
        <v>1739</v>
      </c>
      <c r="D92" s="720"/>
      <c r="E92" s="720" t="s">
        <v>70</v>
      </c>
      <c r="F92" s="720" t="s">
        <v>96</v>
      </c>
      <c r="G92" s="720" t="s">
        <v>96</v>
      </c>
      <c r="H92" s="714">
        <v>2015</v>
      </c>
      <c r="I92" s="714" t="s">
        <v>493</v>
      </c>
      <c r="J92" s="714">
        <v>1</v>
      </c>
      <c r="K92" s="714">
        <v>0</v>
      </c>
      <c r="L92" s="714">
        <v>15</v>
      </c>
      <c r="M92" s="715"/>
      <c r="N92" s="715"/>
      <c r="O92" s="715">
        <v>-3.3659471688954399E-3</v>
      </c>
      <c r="P92" s="715">
        <f>O92</f>
        <v>-3.3659471688954399E-3</v>
      </c>
      <c r="Q92" s="715">
        <f t="shared" si="49"/>
        <v>-3.3659471688954399E-3</v>
      </c>
      <c r="R92" s="715">
        <f t="shared" si="49"/>
        <v>-3.3659471688954399E-3</v>
      </c>
      <c r="S92" s="715">
        <f t="shared" si="49"/>
        <v>-3.3659471688954399E-3</v>
      </c>
      <c r="U92" s="714"/>
    </row>
    <row r="93" spans="2:21" ht="15" x14ac:dyDescent="0.25">
      <c r="B93" s="711"/>
      <c r="C93" s="719" t="s">
        <v>1739</v>
      </c>
      <c r="D93" s="720"/>
      <c r="E93" s="720" t="s">
        <v>70</v>
      </c>
      <c r="F93" s="720" t="s">
        <v>96</v>
      </c>
      <c r="G93" s="720" t="s">
        <v>96</v>
      </c>
      <c r="H93" s="714">
        <v>2020</v>
      </c>
      <c r="I93" s="714"/>
      <c r="J93" s="714">
        <v>1</v>
      </c>
      <c r="K93" s="714"/>
      <c r="L93" s="714"/>
      <c r="M93" s="715"/>
      <c r="N93" s="715"/>
      <c r="O93" s="715">
        <f>-'AEO Data'!$O$172*1.1</f>
        <v>-7.796671074143946E-3</v>
      </c>
      <c r="P93" s="715">
        <f>O93</f>
        <v>-7.796671074143946E-3</v>
      </c>
      <c r="Q93" s="715">
        <f t="shared" si="49"/>
        <v>-7.796671074143946E-3</v>
      </c>
      <c r="R93" s="715">
        <f t="shared" si="49"/>
        <v>-7.796671074143946E-3</v>
      </c>
      <c r="S93" s="715">
        <f t="shared" si="49"/>
        <v>-7.796671074143946E-3</v>
      </c>
      <c r="U93" s="714"/>
    </row>
    <row r="94" spans="2:21" ht="15" x14ac:dyDescent="0.25">
      <c r="B94" s="711"/>
      <c r="C94" s="719" t="s">
        <v>1739</v>
      </c>
      <c r="D94" s="720"/>
      <c r="E94" s="720" t="s">
        <v>70</v>
      </c>
      <c r="F94" s="720" t="s">
        <v>96</v>
      </c>
      <c r="G94" s="720" t="s">
        <v>96</v>
      </c>
      <c r="H94" s="714">
        <v>2025</v>
      </c>
      <c r="I94" s="714"/>
      <c r="J94" s="714">
        <v>1</v>
      </c>
      <c r="K94" s="714"/>
      <c r="L94" s="714"/>
      <c r="M94" s="715"/>
      <c r="N94" s="715"/>
      <c r="O94" s="715"/>
      <c r="P94" s="715"/>
      <c r="Q94" s="715"/>
      <c r="R94" s="715"/>
      <c r="S94" s="715"/>
      <c r="U94" s="714"/>
    </row>
    <row r="95" spans="2:21" ht="15" x14ac:dyDescent="0.25">
      <c r="B95" s="711"/>
      <c r="C95" s="719" t="s">
        <v>1739</v>
      </c>
      <c r="D95" s="720"/>
      <c r="E95" s="720" t="s">
        <v>70</v>
      </c>
      <c r="F95" s="720" t="s">
        <v>96</v>
      </c>
      <c r="G95" s="720" t="s">
        <v>96</v>
      </c>
      <c r="H95" s="714">
        <v>2030</v>
      </c>
      <c r="I95" s="714"/>
      <c r="J95" s="714">
        <v>1</v>
      </c>
      <c r="K95" s="714"/>
      <c r="L95" s="714"/>
      <c r="M95" s="715"/>
      <c r="N95" s="715"/>
      <c r="O95" s="715"/>
      <c r="P95" s="715"/>
      <c r="Q95" s="715"/>
      <c r="R95" s="715"/>
      <c r="S95" s="715"/>
      <c r="U95" s="714"/>
    </row>
    <row r="96" spans="2:21" ht="15" x14ac:dyDescent="0.25">
      <c r="B96" s="711"/>
      <c r="C96" s="719" t="s">
        <v>1739</v>
      </c>
      <c r="D96" s="720"/>
      <c r="E96" s="720" t="s">
        <v>70</v>
      </c>
      <c r="F96" s="720" t="s">
        <v>96</v>
      </c>
      <c r="G96" s="720" t="s">
        <v>96</v>
      </c>
      <c r="H96" s="714">
        <v>2035</v>
      </c>
      <c r="I96" s="714"/>
      <c r="J96" s="714">
        <v>1</v>
      </c>
      <c r="K96" s="714"/>
      <c r="L96" s="714"/>
      <c r="M96" s="715"/>
      <c r="N96" s="715"/>
      <c r="O96" s="715">
        <f>-'AEO Data'!$Q$172*1.15</f>
        <v>-4.7062815919132313E-2</v>
      </c>
      <c r="P96" s="715">
        <f>O96</f>
        <v>-4.7062815919132313E-2</v>
      </c>
      <c r="Q96" s="715">
        <f t="shared" ref="Q96:S97" si="50">P96</f>
        <v>-4.7062815919132313E-2</v>
      </c>
      <c r="R96" s="715">
        <f t="shared" si="50"/>
        <v>-4.7062815919132313E-2</v>
      </c>
      <c r="S96" s="715">
        <f t="shared" si="50"/>
        <v>-4.7062815919132313E-2</v>
      </c>
      <c r="U96" s="714"/>
    </row>
    <row r="97" spans="2:21" ht="15" x14ac:dyDescent="0.25">
      <c r="B97" s="711"/>
      <c r="C97" s="719" t="s">
        <v>1739</v>
      </c>
      <c r="D97" s="720"/>
      <c r="E97" s="720" t="s">
        <v>70</v>
      </c>
      <c r="F97" s="720" t="s">
        <v>96</v>
      </c>
      <c r="G97" s="720" t="s">
        <v>96</v>
      </c>
      <c r="H97" s="714">
        <v>2040</v>
      </c>
      <c r="I97" s="714"/>
      <c r="J97" s="714">
        <v>1</v>
      </c>
      <c r="K97" s="714"/>
      <c r="L97" s="714"/>
      <c r="M97" s="715"/>
      <c r="N97" s="715"/>
      <c r="O97" s="715">
        <f>-'AEO Data'!$R$172*1.15</f>
        <v>-9.7516295134167777E-2</v>
      </c>
      <c r="P97" s="715">
        <f>O97</f>
        <v>-9.7516295134167777E-2</v>
      </c>
      <c r="Q97" s="715">
        <f t="shared" si="50"/>
        <v>-9.7516295134167777E-2</v>
      </c>
      <c r="R97" s="715">
        <f t="shared" si="50"/>
        <v>-9.7516295134167777E-2</v>
      </c>
      <c r="S97" s="715">
        <f t="shared" si="50"/>
        <v>-9.7516295134167777E-2</v>
      </c>
      <c r="U97" s="714"/>
    </row>
    <row r="98" spans="2:21" ht="15" x14ac:dyDescent="0.25">
      <c r="B98" s="711"/>
      <c r="C98" s="719" t="s">
        <v>1739</v>
      </c>
      <c r="D98" s="720"/>
      <c r="E98" s="720" t="s">
        <v>70</v>
      </c>
      <c r="F98" s="720" t="s">
        <v>96</v>
      </c>
      <c r="G98" s="720" t="s">
        <v>96</v>
      </c>
      <c r="H98" s="714">
        <v>2045</v>
      </c>
      <c r="I98" s="714"/>
      <c r="J98" s="714">
        <v>1</v>
      </c>
      <c r="K98" s="714"/>
      <c r="L98" s="714"/>
      <c r="M98" s="715"/>
      <c r="N98" s="715"/>
      <c r="O98" s="715"/>
      <c r="P98" s="715"/>
      <c r="Q98" s="715"/>
      <c r="R98" s="715"/>
      <c r="S98" s="715"/>
      <c r="U98" s="714"/>
    </row>
    <row r="99" spans="2:21" ht="15" x14ac:dyDescent="0.25">
      <c r="B99" s="711"/>
      <c r="C99" s="719" t="s">
        <v>1739</v>
      </c>
      <c r="D99" s="720"/>
      <c r="E99" s="720" t="s">
        <v>70</v>
      </c>
      <c r="F99" s="720" t="s">
        <v>96</v>
      </c>
      <c r="G99" s="720" t="s">
        <v>96</v>
      </c>
      <c r="H99" s="714">
        <v>2050</v>
      </c>
      <c r="I99" s="714"/>
      <c r="J99" s="714">
        <v>1</v>
      </c>
      <c r="K99" s="714"/>
      <c r="L99" s="714"/>
      <c r="M99" s="715"/>
      <c r="N99" s="715"/>
      <c r="O99" s="715"/>
      <c r="P99" s="715"/>
      <c r="Q99" s="715"/>
      <c r="R99" s="715"/>
      <c r="S99" s="715"/>
      <c r="U99" s="714"/>
    </row>
    <row r="100" spans="2:21" ht="15" x14ac:dyDescent="0.25">
      <c r="B100" s="716"/>
      <c r="C100" s="719" t="s">
        <v>1739</v>
      </c>
      <c r="D100" s="720"/>
      <c r="E100" s="720" t="s">
        <v>70</v>
      </c>
      <c r="F100" s="720" t="s">
        <v>96</v>
      </c>
      <c r="G100" s="720" t="s">
        <v>96</v>
      </c>
      <c r="H100" s="714">
        <v>2055</v>
      </c>
      <c r="I100" s="714"/>
      <c r="J100" s="714">
        <v>1</v>
      </c>
      <c r="K100" s="714"/>
      <c r="L100" s="714"/>
      <c r="M100" s="715"/>
      <c r="N100" s="715"/>
      <c r="O100" s="715">
        <f>O97*U100</f>
        <v>-0.11214373940429294</v>
      </c>
      <c r="P100" s="715">
        <f>O100</f>
        <v>-0.11214373940429294</v>
      </c>
      <c r="Q100" s="715">
        <f t="shared" ref="Q100:S100" si="51">P100</f>
        <v>-0.11214373940429294</v>
      </c>
      <c r="R100" s="715">
        <f t="shared" si="51"/>
        <v>-0.11214373940429294</v>
      </c>
      <c r="S100" s="715">
        <f t="shared" si="51"/>
        <v>-0.11214373940429294</v>
      </c>
      <c r="U100" s="714">
        <v>1.1499999999999999</v>
      </c>
    </row>
    <row r="101" spans="2:21" ht="15" x14ac:dyDescent="0.25">
      <c r="B101" s="711" t="str">
        <f>"UC_"&amp;G101&amp;RIGHT(E101,3)&amp;I101</f>
        <v>UC_TMELCLO</v>
      </c>
      <c r="C101" s="719" t="s">
        <v>1739</v>
      </c>
      <c r="D101" s="720"/>
      <c r="E101" s="732" t="s">
        <v>9</v>
      </c>
      <c r="F101" s="720" t="s">
        <v>96</v>
      </c>
      <c r="G101" s="720" t="s">
        <v>96</v>
      </c>
      <c r="H101" s="714">
        <v>2020</v>
      </c>
      <c r="I101" s="714" t="s">
        <v>492</v>
      </c>
      <c r="J101" s="714">
        <v>1</v>
      </c>
      <c r="K101" s="714">
        <v>0</v>
      </c>
      <c r="L101" s="714">
        <v>15</v>
      </c>
      <c r="M101" s="715"/>
      <c r="N101" s="715"/>
      <c r="O101" s="715">
        <v>0</v>
      </c>
      <c r="P101" s="715">
        <v>0</v>
      </c>
      <c r="Q101" s="715">
        <v>0</v>
      </c>
      <c r="R101" s="715">
        <v>0</v>
      </c>
      <c r="S101" s="715">
        <v>0</v>
      </c>
      <c r="U101" s="714"/>
    </row>
    <row r="102" spans="2:21" ht="15" x14ac:dyDescent="0.25">
      <c r="B102" s="711"/>
      <c r="C102" s="719" t="s">
        <v>1739</v>
      </c>
      <c r="D102" s="720"/>
      <c r="E102" s="732" t="s">
        <v>9</v>
      </c>
      <c r="F102" s="720" t="s">
        <v>96</v>
      </c>
      <c r="G102" s="720" t="s">
        <v>96</v>
      </c>
      <c r="H102" s="714">
        <v>2025</v>
      </c>
      <c r="I102" s="714"/>
      <c r="J102" s="714">
        <v>1</v>
      </c>
      <c r="K102" s="714"/>
      <c r="L102" s="714"/>
      <c r="M102" s="715"/>
      <c r="N102" s="715"/>
      <c r="O102" s="733">
        <f>-0.91%</f>
        <v>-9.1000000000000004E-3</v>
      </c>
      <c r="P102" s="733">
        <f t="shared" ref="P102:S102" si="52">-0.91%</f>
        <v>-9.1000000000000004E-3</v>
      </c>
      <c r="Q102" s="733">
        <f t="shared" si="52"/>
        <v>-9.1000000000000004E-3</v>
      </c>
      <c r="R102" s="733">
        <f t="shared" si="52"/>
        <v>-9.1000000000000004E-3</v>
      </c>
      <c r="S102" s="733">
        <f t="shared" si="52"/>
        <v>-9.1000000000000004E-3</v>
      </c>
      <c r="U102" s="714"/>
    </row>
    <row r="103" spans="2:21" ht="15" x14ac:dyDescent="0.25">
      <c r="B103" s="711"/>
      <c r="C103" s="719" t="s">
        <v>1739</v>
      </c>
      <c r="D103" s="720"/>
      <c r="E103" s="732" t="s">
        <v>9</v>
      </c>
      <c r="F103" s="720" t="s">
        <v>96</v>
      </c>
      <c r="G103" s="720" t="s">
        <v>96</v>
      </c>
      <c r="H103" s="714">
        <v>2030</v>
      </c>
      <c r="I103" s="714"/>
      <c r="J103" s="714">
        <v>1</v>
      </c>
      <c r="K103" s="714"/>
      <c r="L103" s="714"/>
      <c r="M103" s="715"/>
      <c r="N103" s="715"/>
      <c r="O103" s="733">
        <f>O102</f>
        <v>-9.1000000000000004E-3</v>
      </c>
      <c r="P103" s="733">
        <f t="shared" ref="P103:S107" si="53">P102</f>
        <v>-9.1000000000000004E-3</v>
      </c>
      <c r="Q103" s="733">
        <f t="shared" si="53"/>
        <v>-9.1000000000000004E-3</v>
      </c>
      <c r="R103" s="733">
        <f t="shared" si="53"/>
        <v>-9.1000000000000004E-3</v>
      </c>
      <c r="S103" s="733">
        <f t="shared" si="53"/>
        <v>-9.1000000000000004E-3</v>
      </c>
      <c r="U103" s="714"/>
    </row>
    <row r="104" spans="2:21" ht="15" x14ac:dyDescent="0.25">
      <c r="B104" s="711"/>
      <c r="C104" s="719" t="s">
        <v>1739</v>
      </c>
      <c r="D104" s="720"/>
      <c r="E104" s="732" t="s">
        <v>9</v>
      </c>
      <c r="F104" s="720" t="s">
        <v>96</v>
      </c>
      <c r="G104" s="720" t="s">
        <v>96</v>
      </c>
      <c r="H104" s="714">
        <v>2035</v>
      </c>
      <c r="I104" s="714"/>
      <c r="J104" s="714">
        <v>1</v>
      </c>
      <c r="K104" s="714"/>
      <c r="L104" s="714"/>
      <c r="M104" s="715"/>
      <c r="N104" s="715"/>
      <c r="O104" s="733">
        <f t="shared" ref="O104:O107" si="54">O103</f>
        <v>-9.1000000000000004E-3</v>
      </c>
      <c r="P104" s="733">
        <f t="shared" si="53"/>
        <v>-9.1000000000000004E-3</v>
      </c>
      <c r="Q104" s="733">
        <f t="shared" si="53"/>
        <v>-9.1000000000000004E-3</v>
      </c>
      <c r="R104" s="733">
        <f t="shared" si="53"/>
        <v>-9.1000000000000004E-3</v>
      </c>
      <c r="S104" s="733">
        <f t="shared" si="53"/>
        <v>-9.1000000000000004E-3</v>
      </c>
      <c r="U104" s="714"/>
    </row>
    <row r="105" spans="2:21" ht="15" x14ac:dyDescent="0.25">
      <c r="B105" s="711"/>
      <c r="C105" s="719" t="s">
        <v>1739</v>
      </c>
      <c r="D105" s="720"/>
      <c r="E105" s="732" t="s">
        <v>9</v>
      </c>
      <c r="F105" s="720" t="s">
        <v>96</v>
      </c>
      <c r="G105" s="720" t="s">
        <v>96</v>
      </c>
      <c r="H105" s="714">
        <v>2040</v>
      </c>
      <c r="I105" s="714"/>
      <c r="J105" s="714">
        <v>1</v>
      </c>
      <c r="K105" s="714"/>
      <c r="L105" s="714"/>
      <c r="M105" s="715"/>
      <c r="N105" s="715"/>
      <c r="O105" s="733">
        <f t="shared" si="54"/>
        <v>-9.1000000000000004E-3</v>
      </c>
      <c r="P105" s="733">
        <f t="shared" si="53"/>
        <v>-9.1000000000000004E-3</v>
      </c>
      <c r="Q105" s="733">
        <f t="shared" si="53"/>
        <v>-9.1000000000000004E-3</v>
      </c>
      <c r="R105" s="733">
        <f t="shared" si="53"/>
        <v>-9.1000000000000004E-3</v>
      </c>
      <c r="S105" s="733">
        <f t="shared" si="53"/>
        <v>-9.1000000000000004E-3</v>
      </c>
      <c r="U105" s="714"/>
    </row>
    <row r="106" spans="2:21" ht="15" x14ac:dyDescent="0.25">
      <c r="B106" s="711"/>
      <c r="C106" s="719" t="s">
        <v>1739</v>
      </c>
      <c r="D106" s="720"/>
      <c r="E106" s="732" t="s">
        <v>9</v>
      </c>
      <c r="F106" s="720" t="s">
        <v>96</v>
      </c>
      <c r="G106" s="720" t="s">
        <v>96</v>
      </c>
      <c r="H106" s="714">
        <v>2045</v>
      </c>
      <c r="I106" s="714"/>
      <c r="J106" s="714">
        <v>1</v>
      </c>
      <c r="K106" s="714"/>
      <c r="L106" s="714"/>
      <c r="M106" s="715"/>
      <c r="N106" s="715"/>
      <c r="O106" s="733">
        <f t="shared" si="54"/>
        <v>-9.1000000000000004E-3</v>
      </c>
      <c r="P106" s="733">
        <f t="shared" si="53"/>
        <v>-9.1000000000000004E-3</v>
      </c>
      <c r="Q106" s="733">
        <f t="shared" si="53"/>
        <v>-9.1000000000000004E-3</v>
      </c>
      <c r="R106" s="733">
        <f t="shared" si="53"/>
        <v>-9.1000000000000004E-3</v>
      </c>
      <c r="S106" s="733">
        <f t="shared" si="53"/>
        <v>-9.1000000000000004E-3</v>
      </c>
      <c r="U106" s="714"/>
    </row>
    <row r="107" spans="2:21" ht="15" x14ac:dyDescent="0.25">
      <c r="B107" s="711"/>
      <c r="C107" s="719" t="s">
        <v>1739</v>
      </c>
      <c r="D107" s="720"/>
      <c r="E107" s="732" t="s">
        <v>9</v>
      </c>
      <c r="F107" s="720" t="s">
        <v>96</v>
      </c>
      <c r="G107" s="720" t="s">
        <v>96</v>
      </c>
      <c r="H107" s="714">
        <v>2050</v>
      </c>
      <c r="I107" s="714"/>
      <c r="J107" s="714">
        <v>1</v>
      </c>
      <c r="K107" s="714"/>
      <c r="L107" s="714"/>
      <c r="M107" s="715"/>
      <c r="N107" s="715"/>
      <c r="O107" s="733">
        <f t="shared" si="54"/>
        <v>-9.1000000000000004E-3</v>
      </c>
      <c r="P107" s="733">
        <f t="shared" si="53"/>
        <v>-9.1000000000000004E-3</v>
      </c>
      <c r="Q107" s="733">
        <f t="shared" si="53"/>
        <v>-9.1000000000000004E-3</v>
      </c>
      <c r="R107" s="733">
        <f t="shared" si="53"/>
        <v>-9.1000000000000004E-3</v>
      </c>
      <c r="S107" s="733">
        <f t="shared" si="53"/>
        <v>-9.1000000000000004E-3</v>
      </c>
      <c r="U107" s="714"/>
    </row>
    <row r="108" spans="2:21" ht="15" x14ac:dyDescent="0.25">
      <c r="B108" s="716"/>
      <c r="C108" s="719" t="s">
        <v>1739</v>
      </c>
      <c r="D108" s="720"/>
      <c r="E108" s="732" t="s">
        <v>9</v>
      </c>
      <c r="F108" s="720" t="s">
        <v>96</v>
      </c>
      <c r="G108" s="720" t="s">
        <v>96</v>
      </c>
      <c r="H108" s="714">
        <v>2055</v>
      </c>
      <c r="I108" s="714"/>
      <c r="J108" s="714">
        <v>1</v>
      </c>
      <c r="K108" s="714"/>
      <c r="L108" s="714"/>
      <c r="M108" s="715"/>
      <c r="N108" s="715"/>
      <c r="O108" s="733">
        <f t="shared" ref="O108" si="55">O107</f>
        <v>-9.1000000000000004E-3</v>
      </c>
      <c r="P108" s="733">
        <f t="shared" ref="P108" si="56">P107</f>
        <v>-9.1000000000000004E-3</v>
      </c>
      <c r="Q108" s="733">
        <f t="shared" ref="Q108" si="57">Q107</f>
        <v>-9.1000000000000004E-3</v>
      </c>
      <c r="R108" s="733">
        <f t="shared" ref="R108" si="58">R107</f>
        <v>-9.1000000000000004E-3</v>
      </c>
      <c r="S108" s="733">
        <f t="shared" ref="S108" si="59">S107</f>
        <v>-9.1000000000000004E-3</v>
      </c>
      <c r="U108" s="714">
        <v>0.9</v>
      </c>
    </row>
    <row r="109" spans="2:21" ht="15" x14ac:dyDescent="0.25">
      <c r="B109" s="711" t="str">
        <f>"UC_"&amp;G109&amp;RIGHT(E109,3)&amp;I109</f>
        <v>UC_TMELCUP</v>
      </c>
      <c r="C109" s="719" t="s">
        <v>1739</v>
      </c>
      <c r="D109" s="720"/>
      <c r="E109" s="732" t="s">
        <v>9</v>
      </c>
      <c r="F109" s="720" t="s">
        <v>96</v>
      </c>
      <c r="G109" s="720" t="s">
        <v>96</v>
      </c>
      <c r="H109" s="714">
        <v>2015</v>
      </c>
      <c r="I109" s="714" t="s">
        <v>493</v>
      </c>
      <c r="J109" s="714">
        <v>1</v>
      </c>
      <c r="K109" s="714">
        <v>0</v>
      </c>
      <c r="L109" s="714">
        <v>15</v>
      </c>
      <c r="M109" s="715"/>
      <c r="N109" s="715"/>
      <c r="O109" s="715">
        <v>0</v>
      </c>
      <c r="P109" s="715">
        <f>O109</f>
        <v>0</v>
      </c>
      <c r="Q109" s="715">
        <f t="shared" ref="Q109:Q110" si="60">P109</f>
        <v>0</v>
      </c>
      <c r="R109" s="715">
        <f t="shared" ref="R109:R110" si="61">Q109</f>
        <v>0</v>
      </c>
      <c r="S109" s="715">
        <f t="shared" ref="S109:S110" si="62">R109</f>
        <v>0</v>
      </c>
      <c r="U109" s="714"/>
    </row>
    <row r="110" spans="2:21" ht="15" x14ac:dyDescent="0.25">
      <c r="B110" s="711"/>
      <c r="C110" s="719" t="s">
        <v>1739</v>
      </c>
      <c r="D110" s="720"/>
      <c r="E110" s="732" t="s">
        <v>9</v>
      </c>
      <c r="F110" s="720" t="s">
        <v>96</v>
      </c>
      <c r="G110" s="720" t="s">
        <v>96</v>
      </c>
      <c r="H110" s="714">
        <v>2020</v>
      </c>
      <c r="I110" s="714"/>
      <c r="J110" s="714">
        <v>1</v>
      </c>
      <c r="K110" s="714"/>
      <c r="L110" s="714"/>
      <c r="M110" s="715"/>
      <c r="N110" s="715"/>
      <c r="O110" s="715">
        <v>0</v>
      </c>
      <c r="P110" s="715">
        <f>O110</f>
        <v>0</v>
      </c>
      <c r="Q110" s="715">
        <f t="shared" si="60"/>
        <v>0</v>
      </c>
      <c r="R110" s="715">
        <f t="shared" si="61"/>
        <v>0</v>
      </c>
      <c r="S110" s="715">
        <f t="shared" si="62"/>
        <v>0</v>
      </c>
      <c r="U110" s="714"/>
    </row>
    <row r="111" spans="2:21" ht="15" x14ac:dyDescent="0.25">
      <c r="B111" s="711"/>
      <c r="C111" s="719" t="s">
        <v>1739</v>
      </c>
      <c r="D111" s="720"/>
      <c r="E111" s="732" t="s">
        <v>9</v>
      </c>
      <c r="F111" s="720" t="s">
        <v>96</v>
      </c>
      <c r="G111" s="720" t="s">
        <v>96</v>
      </c>
      <c r="H111" s="714">
        <v>2025</v>
      </c>
      <c r="I111" s="714"/>
      <c r="J111" s="714">
        <v>1</v>
      </c>
      <c r="K111" s="714"/>
      <c r="L111" s="714"/>
      <c r="M111" s="715"/>
      <c r="N111" s="715"/>
      <c r="O111" s="733">
        <f>O102</f>
        <v>-9.1000000000000004E-3</v>
      </c>
      <c r="P111" s="733">
        <f t="shared" ref="P111:S111" si="63">P102</f>
        <v>-9.1000000000000004E-3</v>
      </c>
      <c r="Q111" s="733">
        <f t="shared" si="63"/>
        <v>-9.1000000000000004E-3</v>
      </c>
      <c r="R111" s="733">
        <f t="shared" si="63"/>
        <v>-9.1000000000000004E-3</v>
      </c>
      <c r="S111" s="733">
        <f t="shared" si="63"/>
        <v>-9.1000000000000004E-3</v>
      </c>
      <c r="U111" s="714"/>
    </row>
    <row r="112" spans="2:21" ht="15" x14ac:dyDescent="0.25">
      <c r="B112" s="711"/>
      <c r="C112" s="719" t="s">
        <v>1739</v>
      </c>
      <c r="D112" s="720"/>
      <c r="E112" s="732" t="s">
        <v>9</v>
      </c>
      <c r="F112" s="720" t="s">
        <v>96</v>
      </c>
      <c r="G112" s="720" t="s">
        <v>96</v>
      </c>
      <c r="H112" s="714">
        <v>2030</v>
      </c>
      <c r="I112" s="714"/>
      <c r="J112" s="714">
        <v>1</v>
      </c>
      <c r="K112" s="714"/>
      <c r="L112" s="714"/>
      <c r="M112" s="715"/>
      <c r="N112" s="715"/>
      <c r="O112" s="715">
        <f t="shared" ref="O112:S112" si="64">O103*10</f>
        <v>-9.0999999999999998E-2</v>
      </c>
      <c r="P112" s="715">
        <f t="shared" si="64"/>
        <v>-9.0999999999999998E-2</v>
      </c>
      <c r="Q112" s="715">
        <f t="shared" si="64"/>
        <v>-9.0999999999999998E-2</v>
      </c>
      <c r="R112" s="715">
        <f t="shared" si="64"/>
        <v>-9.0999999999999998E-2</v>
      </c>
      <c r="S112" s="715">
        <f t="shared" si="64"/>
        <v>-9.0999999999999998E-2</v>
      </c>
      <c r="U112" s="714"/>
    </row>
    <row r="113" spans="2:21" ht="15" x14ac:dyDescent="0.25">
      <c r="B113" s="711"/>
      <c r="C113" s="719" t="s">
        <v>1739</v>
      </c>
      <c r="D113" s="720"/>
      <c r="E113" s="732" t="s">
        <v>9</v>
      </c>
      <c r="F113" s="720" t="s">
        <v>96</v>
      </c>
      <c r="G113" s="720" t="s">
        <v>96</v>
      </c>
      <c r="H113" s="714">
        <v>2035</v>
      </c>
      <c r="I113" s="714"/>
      <c r="J113" s="714">
        <v>1</v>
      </c>
      <c r="K113" s="714"/>
      <c r="L113" s="714"/>
      <c r="M113" s="715"/>
      <c r="N113" s="715"/>
      <c r="O113" s="715">
        <v>-1</v>
      </c>
      <c r="P113" s="715">
        <v>-1</v>
      </c>
      <c r="Q113" s="715">
        <v>-1</v>
      </c>
      <c r="R113" s="715">
        <v>-1</v>
      </c>
      <c r="S113" s="715">
        <v>-1</v>
      </c>
      <c r="U113" s="714"/>
    </row>
    <row r="114" spans="2:21" ht="15" x14ac:dyDescent="0.25">
      <c r="B114" s="711"/>
      <c r="C114" s="719" t="s">
        <v>1739</v>
      </c>
      <c r="D114" s="720"/>
      <c r="E114" s="732" t="s">
        <v>9</v>
      </c>
      <c r="F114" s="720" t="s">
        <v>96</v>
      </c>
      <c r="G114" s="720" t="s">
        <v>96</v>
      </c>
      <c r="H114" s="714">
        <v>2040</v>
      </c>
      <c r="I114" s="714"/>
      <c r="J114" s="714">
        <v>1</v>
      </c>
      <c r="K114" s="714"/>
      <c r="L114" s="714"/>
      <c r="M114" s="715"/>
      <c r="N114" s="715"/>
      <c r="O114" s="715">
        <v>-1</v>
      </c>
      <c r="P114" s="715">
        <v>-1</v>
      </c>
      <c r="Q114" s="715">
        <v>-1</v>
      </c>
      <c r="R114" s="715">
        <v>-1</v>
      </c>
      <c r="S114" s="715">
        <v>-1</v>
      </c>
      <c r="U114" s="714"/>
    </row>
    <row r="115" spans="2:21" ht="15" x14ac:dyDescent="0.25">
      <c r="B115" s="711"/>
      <c r="C115" s="719" t="s">
        <v>1739</v>
      </c>
      <c r="D115" s="720"/>
      <c r="E115" s="732" t="s">
        <v>9</v>
      </c>
      <c r="F115" s="720" t="s">
        <v>96</v>
      </c>
      <c r="G115" s="720" t="s">
        <v>96</v>
      </c>
      <c r="H115" s="714">
        <v>2045</v>
      </c>
      <c r="I115" s="714"/>
      <c r="J115" s="714">
        <v>1</v>
      </c>
      <c r="K115" s="714"/>
      <c r="L115" s="714"/>
      <c r="M115" s="715"/>
      <c r="N115" s="715"/>
      <c r="O115" s="715">
        <v>-1</v>
      </c>
      <c r="P115" s="715">
        <v>-1</v>
      </c>
      <c r="Q115" s="715">
        <v>-1</v>
      </c>
      <c r="R115" s="715">
        <v>-1</v>
      </c>
      <c r="S115" s="715">
        <v>-1</v>
      </c>
      <c r="U115" s="714"/>
    </row>
    <row r="116" spans="2:21" ht="15" x14ac:dyDescent="0.25">
      <c r="B116" s="711"/>
      <c r="C116" s="719" t="s">
        <v>1739</v>
      </c>
      <c r="D116" s="720"/>
      <c r="E116" s="732" t="s">
        <v>9</v>
      </c>
      <c r="F116" s="720" t="s">
        <v>96</v>
      </c>
      <c r="G116" s="720" t="s">
        <v>96</v>
      </c>
      <c r="H116" s="714">
        <v>2050</v>
      </c>
      <c r="I116" s="714"/>
      <c r="J116" s="714">
        <v>1</v>
      </c>
      <c r="K116" s="714"/>
      <c r="L116" s="714"/>
      <c r="M116" s="715"/>
      <c r="N116" s="715"/>
      <c r="O116" s="715">
        <v>-1</v>
      </c>
      <c r="P116" s="715">
        <v>-1</v>
      </c>
      <c r="Q116" s="715">
        <v>-1</v>
      </c>
      <c r="R116" s="715">
        <v>-1</v>
      </c>
      <c r="S116" s="715">
        <v>-1</v>
      </c>
      <c r="U116" s="714"/>
    </row>
    <row r="117" spans="2:21" ht="15" x14ac:dyDescent="0.25">
      <c r="B117" s="716"/>
      <c r="C117" s="719" t="s">
        <v>1739</v>
      </c>
      <c r="D117" s="720"/>
      <c r="E117" s="732" t="s">
        <v>9</v>
      </c>
      <c r="F117" s="720" t="s">
        <v>96</v>
      </c>
      <c r="G117" s="720" t="s">
        <v>96</v>
      </c>
      <c r="H117" s="714">
        <v>2055</v>
      </c>
      <c r="I117" s="714"/>
      <c r="J117" s="714">
        <v>1</v>
      </c>
      <c r="K117" s="714"/>
      <c r="L117" s="714"/>
      <c r="M117" s="715"/>
      <c r="N117" s="715"/>
      <c r="O117" s="715">
        <f>O114*U117</f>
        <v>-1.1499999999999999</v>
      </c>
      <c r="P117" s="715">
        <f>O117</f>
        <v>-1.1499999999999999</v>
      </c>
      <c r="Q117" s="715">
        <f t="shared" ref="Q117" si="65">P117</f>
        <v>-1.1499999999999999</v>
      </c>
      <c r="R117" s="715">
        <f t="shared" ref="R117" si="66">Q117</f>
        <v>-1.1499999999999999</v>
      </c>
      <c r="S117" s="715">
        <f t="shared" ref="S117" si="67">R117</f>
        <v>-1.1499999999999999</v>
      </c>
      <c r="U117" s="714">
        <v>1.1499999999999999</v>
      </c>
    </row>
    <row r="118" spans="2:21" ht="15" x14ac:dyDescent="0.25">
      <c r="B118" s="711" t="str">
        <f>"UC_"&amp;G118&amp;RIGHT(E118,3)&amp;I118</f>
        <v>UC_TMGSLLO</v>
      </c>
      <c r="C118" s="719" t="s">
        <v>1739</v>
      </c>
      <c r="D118" s="720"/>
      <c r="E118" s="720" t="s">
        <v>35</v>
      </c>
      <c r="F118" s="720" t="s">
        <v>96</v>
      </c>
      <c r="G118" s="720" t="s">
        <v>96</v>
      </c>
      <c r="H118" s="714">
        <v>2020</v>
      </c>
      <c r="I118" s="714" t="s">
        <v>492</v>
      </c>
      <c r="J118" s="714">
        <v>1</v>
      </c>
      <c r="K118" s="714">
        <v>0</v>
      </c>
      <c r="L118" s="714">
        <v>15</v>
      </c>
      <c r="M118" s="715"/>
      <c r="N118" s="715"/>
      <c r="O118" s="715">
        <f>-489/550</f>
        <v>-0.88909090909090904</v>
      </c>
      <c r="P118" s="715">
        <f>O118</f>
        <v>-0.88909090909090904</v>
      </c>
      <c r="Q118" s="715">
        <f t="shared" ref="Q118:S118" si="68">P118</f>
        <v>-0.88909090909090904</v>
      </c>
      <c r="R118" s="715">
        <f t="shared" si="68"/>
        <v>-0.88909090909090904</v>
      </c>
      <c r="S118" s="715">
        <f t="shared" si="68"/>
        <v>-0.88909090909090904</v>
      </c>
      <c r="U118" s="714"/>
    </row>
    <row r="119" spans="2:21" ht="15" x14ac:dyDescent="0.25">
      <c r="B119" s="711"/>
      <c r="C119" s="719" t="s">
        <v>1739</v>
      </c>
      <c r="D119" s="720"/>
      <c r="E119" s="720" t="s">
        <v>35</v>
      </c>
      <c r="F119" s="720" t="s">
        <v>96</v>
      </c>
      <c r="G119" s="720" t="s">
        <v>96</v>
      </c>
      <c r="H119" s="714">
        <v>2025</v>
      </c>
      <c r="I119" s="714"/>
      <c r="J119" s="714">
        <v>1</v>
      </c>
      <c r="K119" s="714"/>
      <c r="L119" s="714"/>
      <c r="M119" s="715"/>
      <c r="N119" s="715"/>
      <c r="O119" s="715"/>
      <c r="P119" s="715"/>
      <c r="Q119" s="715"/>
      <c r="R119" s="715"/>
      <c r="S119" s="715"/>
      <c r="U119" s="714"/>
    </row>
    <row r="120" spans="2:21" ht="15" x14ac:dyDescent="0.25">
      <c r="B120" s="711"/>
      <c r="C120" s="719" t="s">
        <v>1739</v>
      </c>
      <c r="D120" s="720"/>
      <c r="E120" s="720" t="s">
        <v>35</v>
      </c>
      <c r="F120" s="720" t="s">
        <v>96</v>
      </c>
      <c r="G120" s="720" t="s">
        <v>96</v>
      </c>
      <c r="H120" s="714">
        <v>2030</v>
      </c>
      <c r="I120" s="714"/>
      <c r="J120" s="714">
        <v>1</v>
      </c>
      <c r="K120" s="714"/>
      <c r="L120" s="714"/>
      <c r="M120" s="715"/>
      <c r="N120" s="715"/>
      <c r="O120" s="715"/>
      <c r="P120" s="715"/>
      <c r="Q120" s="715"/>
      <c r="R120" s="715"/>
      <c r="S120" s="715"/>
      <c r="U120" s="714"/>
    </row>
    <row r="121" spans="2:21" ht="15" x14ac:dyDescent="0.25">
      <c r="B121" s="711"/>
      <c r="C121" s="719" t="s">
        <v>1739</v>
      </c>
      <c r="D121" s="720"/>
      <c r="E121" s="720" t="s">
        <v>35</v>
      </c>
      <c r="F121" s="720" t="s">
        <v>96</v>
      </c>
      <c r="G121" s="720" t="s">
        <v>96</v>
      </c>
      <c r="H121" s="714">
        <v>2035</v>
      </c>
      <c r="I121" s="714"/>
      <c r="J121" s="714">
        <v>1</v>
      </c>
      <c r="K121" s="714"/>
      <c r="L121" s="714"/>
      <c r="M121" s="715"/>
      <c r="N121" s="715"/>
      <c r="O121" s="715">
        <f>O118*U121</f>
        <v>-0.62236363636363634</v>
      </c>
      <c r="P121" s="715">
        <f>O121</f>
        <v>-0.62236363636363634</v>
      </c>
      <c r="Q121" s="715">
        <f t="shared" ref="Q121:S121" si="69">P121</f>
        <v>-0.62236363636363634</v>
      </c>
      <c r="R121" s="715">
        <f t="shared" si="69"/>
        <v>-0.62236363636363634</v>
      </c>
      <c r="S121" s="715">
        <f t="shared" si="69"/>
        <v>-0.62236363636363634</v>
      </c>
      <c r="U121" s="714">
        <v>0.7</v>
      </c>
    </row>
    <row r="122" spans="2:21" ht="15" x14ac:dyDescent="0.25">
      <c r="B122" s="711"/>
      <c r="C122" s="719" t="s">
        <v>1739</v>
      </c>
      <c r="D122" s="720"/>
      <c r="E122" s="720" t="s">
        <v>35</v>
      </c>
      <c r="F122" s="720" t="s">
        <v>96</v>
      </c>
      <c r="G122" s="720" t="s">
        <v>96</v>
      </c>
      <c r="H122" s="714">
        <v>2040</v>
      </c>
      <c r="I122" s="714"/>
      <c r="J122" s="714">
        <v>1</v>
      </c>
      <c r="K122" s="714"/>
      <c r="L122" s="714"/>
      <c r="M122" s="715"/>
      <c r="N122" s="715"/>
      <c r="O122" s="715"/>
      <c r="P122" s="715"/>
      <c r="Q122" s="715"/>
      <c r="R122" s="715"/>
      <c r="S122" s="715"/>
      <c r="U122" s="714"/>
    </row>
    <row r="123" spans="2:21" ht="15" x14ac:dyDescent="0.25">
      <c r="B123" s="711"/>
      <c r="C123" s="719" t="s">
        <v>1739</v>
      </c>
      <c r="D123" s="720"/>
      <c r="E123" s="720" t="s">
        <v>35</v>
      </c>
      <c r="F123" s="720" t="s">
        <v>96</v>
      </c>
      <c r="G123" s="720" t="s">
        <v>96</v>
      </c>
      <c r="H123" s="714">
        <v>2045</v>
      </c>
      <c r="I123" s="714"/>
      <c r="J123" s="714">
        <v>1</v>
      </c>
      <c r="K123" s="714"/>
      <c r="L123" s="714"/>
      <c r="M123" s="715"/>
      <c r="N123" s="715"/>
      <c r="O123" s="715"/>
      <c r="P123" s="715"/>
      <c r="Q123" s="715"/>
      <c r="R123" s="715"/>
      <c r="S123" s="715"/>
      <c r="U123" s="714"/>
    </row>
    <row r="124" spans="2:21" ht="15" x14ac:dyDescent="0.25">
      <c r="B124" s="711"/>
      <c r="C124" s="719" t="s">
        <v>1739</v>
      </c>
      <c r="D124" s="720"/>
      <c r="E124" s="720" t="s">
        <v>35</v>
      </c>
      <c r="F124" s="720" t="s">
        <v>96</v>
      </c>
      <c r="G124" s="720" t="s">
        <v>96</v>
      </c>
      <c r="H124" s="714">
        <v>2050</v>
      </c>
      <c r="I124" s="714"/>
      <c r="J124" s="714">
        <v>1</v>
      </c>
      <c r="K124" s="714"/>
      <c r="L124" s="714"/>
      <c r="M124" s="715"/>
      <c r="N124" s="715"/>
      <c r="O124" s="715"/>
      <c r="P124" s="715"/>
      <c r="Q124" s="715"/>
      <c r="R124" s="715"/>
      <c r="S124" s="715"/>
      <c r="U124" s="714"/>
    </row>
    <row r="125" spans="2:21" ht="15" x14ac:dyDescent="0.25">
      <c r="B125" s="716"/>
      <c r="C125" s="719" t="s">
        <v>1739</v>
      </c>
      <c r="D125" s="720"/>
      <c r="E125" s="720" t="s">
        <v>35</v>
      </c>
      <c r="F125" s="720" t="s">
        <v>96</v>
      </c>
      <c r="G125" s="720" t="s">
        <v>96</v>
      </c>
      <c r="H125" s="714">
        <v>2055</v>
      </c>
      <c r="I125" s="714"/>
      <c r="J125" s="714">
        <v>1</v>
      </c>
      <c r="K125" s="714"/>
      <c r="L125" s="714"/>
      <c r="M125" s="715"/>
      <c r="N125" s="715"/>
      <c r="O125" s="715">
        <f>O121*U125</f>
        <v>-0.31118181818181817</v>
      </c>
      <c r="P125" s="715">
        <f>O125</f>
        <v>-0.31118181818181817</v>
      </c>
      <c r="Q125" s="715">
        <f t="shared" ref="Q125:S125" si="70">P125</f>
        <v>-0.31118181818181817</v>
      </c>
      <c r="R125" s="715">
        <f t="shared" si="70"/>
        <v>-0.31118181818181817</v>
      </c>
      <c r="S125" s="715">
        <f t="shared" si="70"/>
        <v>-0.31118181818181817</v>
      </c>
      <c r="U125" s="714">
        <v>0.5</v>
      </c>
    </row>
    <row r="129" spans="10:10" x14ac:dyDescent="0.2">
      <c r="J129" s="70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C80E1-1665-4E88-AC9E-94C45371193C}">
  <sheetPr>
    <tabColor theme="8"/>
  </sheetPr>
  <dimension ref="A1:Z128"/>
  <sheetViews>
    <sheetView topLeftCell="A108" zoomScale="85" zoomScaleNormal="85" workbookViewId="0">
      <selection activeCell="O37" sqref="O37"/>
    </sheetView>
  </sheetViews>
  <sheetFormatPr defaultColWidth="18.85546875" defaultRowHeight="12.75" x14ac:dyDescent="0.2"/>
  <cols>
    <col min="1" max="5" width="18.85546875" style="737"/>
    <col min="6" max="6" width="25.5703125" style="737" bestFit="1" customWidth="1"/>
    <col min="7" max="7" width="22.85546875" style="737" bestFit="1" customWidth="1"/>
    <col min="8" max="8" width="13.85546875" style="737" bestFit="1" customWidth="1"/>
    <col min="9" max="9" width="8.42578125" style="737" bestFit="1" customWidth="1"/>
    <col min="10" max="10" width="9.5703125" style="737" bestFit="1" customWidth="1"/>
    <col min="11" max="11" width="8.42578125" style="737" bestFit="1" customWidth="1"/>
    <col min="12" max="12" width="18" style="737" bestFit="1" customWidth="1"/>
    <col min="13" max="13" width="8.28515625" style="737" bestFit="1" customWidth="1"/>
    <col min="14" max="14" width="11.7109375" style="737" customWidth="1"/>
    <col min="15" max="15" width="8.140625" style="737" customWidth="1"/>
    <col min="16" max="16" width="6.85546875" style="737" bestFit="1" customWidth="1"/>
    <col min="17" max="16384" width="18.85546875" style="737"/>
  </cols>
  <sheetData>
    <row r="1" spans="1:26" s="736" customFormat="1" ht="18" x14ac:dyDescent="0.25">
      <c r="A1" s="735" t="s">
        <v>1842</v>
      </c>
    </row>
    <row r="4" spans="1:26" x14ac:dyDescent="0.2">
      <c r="F4" s="707"/>
    </row>
    <row r="5" spans="1:26" x14ac:dyDescent="0.2">
      <c r="F5" s="707" t="s">
        <v>1836</v>
      </c>
    </row>
    <row r="6" spans="1:26" x14ac:dyDescent="0.2">
      <c r="F6" s="738"/>
    </row>
    <row r="7" spans="1:26" x14ac:dyDescent="0.2">
      <c r="K7" s="707" t="s">
        <v>1841</v>
      </c>
    </row>
    <row r="8" spans="1:26" ht="26.25" thickBot="1" x14ac:dyDescent="0.25">
      <c r="F8" s="739" t="s">
        <v>1726</v>
      </c>
      <c r="G8" s="739" t="s">
        <v>1727</v>
      </c>
      <c r="H8" s="739" t="s">
        <v>1728</v>
      </c>
      <c r="I8" s="739" t="s">
        <v>1729</v>
      </c>
      <c r="J8" s="739" t="s">
        <v>1730</v>
      </c>
      <c r="K8" s="739" t="s">
        <v>1239</v>
      </c>
      <c r="L8" s="739" t="s">
        <v>1654</v>
      </c>
      <c r="M8" s="808" t="s">
        <v>1839</v>
      </c>
      <c r="N8" s="808" t="s">
        <v>1840</v>
      </c>
      <c r="O8" s="739" t="s">
        <v>1837</v>
      </c>
    </row>
    <row r="9" spans="1:26" ht="15.75" customHeight="1" x14ac:dyDescent="0.25">
      <c r="A9" s="737">
        <v>2015</v>
      </c>
      <c r="B9" s="737" t="str">
        <f>'ON-Road Historical share'!L21</f>
        <v>THS</v>
      </c>
      <c r="C9" s="737" t="str">
        <f>'ON-Road Historical share'!M21</f>
        <v>CNG</v>
      </c>
      <c r="F9" s="711" t="str">
        <f>"UC_"&amp;J9&amp;C9&amp;"FX"&amp;A9</f>
        <v>UC_THSCNGFX2015</v>
      </c>
      <c r="G9" s="740" t="str">
        <f>IF(D9="",B9&amp;"*"&amp;C9&amp;"*",B9&amp;"*"&amp;C9&amp;"*"&amp;",-"&amp;B9&amp;"*"&amp;D9)</f>
        <v>THS*CNG*</v>
      </c>
      <c r="H9" s="740"/>
      <c r="I9" s="741"/>
      <c r="J9" s="741" t="str">
        <f>B9</f>
        <v>THS</v>
      </c>
      <c r="K9" s="742">
        <f>A9</f>
        <v>2015</v>
      </c>
      <c r="L9" s="714" t="s">
        <v>1838</v>
      </c>
      <c r="M9" s="714">
        <v>0</v>
      </c>
      <c r="N9" s="714">
        <v>-1</v>
      </c>
      <c r="O9" s="715">
        <f>O10-1</f>
        <v>-1</v>
      </c>
    </row>
    <row r="10" spans="1:26" customFormat="1" ht="12" customHeight="1" x14ac:dyDescent="0.25">
      <c r="B10" s="35"/>
      <c r="C10" s="35"/>
      <c r="D10" s="35"/>
      <c r="F10" s="711"/>
      <c r="G10" s="712" t="str">
        <f>IF(D9="",B9&amp;"*"&amp;",-"&amp;B9&amp;"*"&amp;C9&amp;"*",B9&amp;"*"&amp;",-"&amp;B9&amp;"*"&amp;C9&amp;"*"&amp;","&amp;B9&amp;"*"&amp;D9&amp;"*")</f>
        <v>THS*,-THS*CNG*</v>
      </c>
      <c r="H10" s="712"/>
      <c r="I10" s="713"/>
      <c r="J10" s="713" t="str">
        <f>J9</f>
        <v>THS</v>
      </c>
      <c r="K10" s="714">
        <f>K9</f>
        <v>2015</v>
      </c>
      <c r="L10" s="714"/>
      <c r="M10" s="714"/>
      <c r="N10" s="714"/>
      <c r="O10" s="715">
        <f>'ON-Road Historical share'!U21</f>
        <v>0</v>
      </c>
      <c r="P10" s="737"/>
      <c r="Q10" s="737"/>
      <c r="R10" s="737"/>
      <c r="S10" s="737"/>
      <c r="T10" s="737"/>
      <c r="U10" s="737"/>
      <c r="V10" s="737"/>
      <c r="W10" s="737"/>
      <c r="X10" s="737"/>
      <c r="Y10" s="737"/>
      <c r="Z10" s="737"/>
    </row>
    <row r="11" spans="1:26" ht="15" x14ac:dyDescent="0.25">
      <c r="A11" s="737">
        <v>2020</v>
      </c>
      <c r="B11" s="737" t="str">
        <f>B9</f>
        <v>THS</v>
      </c>
      <c r="C11" s="737" t="str">
        <f>C9</f>
        <v>CNG</v>
      </c>
      <c r="F11" s="711" t="str">
        <f>"UC_"&amp;J11&amp;C11&amp;"FX"&amp;A11</f>
        <v>UC_THSCNGFX2020</v>
      </c>
      <c r="G11" s="740" t="str">
        <f t="shared" ref="G11:G55" si="0">IF(D11="",B11&amp;"*"&amp;C11&amp;"*",B11&amp;"*"&amp;C11&amp;"*"&amp;",-"&amp;B11&amp;"*"&amp;D11)</f>
        <v>THS*CNG*</v>
      </c>
      <c r="H11" s="740"/>
      <c r="I11" s="741"/>
      <c r="J11" s="741" t="str">
        <f t="shared" ref="J11:J61" si="1">B11</f>
        <v>THS</v>
      </c>
      <c r="K11" s="742">
        <f t="shared" ref="K11:K61" si="2">A11</f>
        <v>2020</v>
      </c>
      <c r="L11" s="714" t="s">
        <v>1838</v>
      </c>
      <c r="M11" s="714">
        <v>0</v>
      </c>
      <c r="N11" s="714">
        <v>-1</v>
      </c>
      <c r="O11" s="715">
        <f>O12-1</f>
        <v>-0.99326134878004446</v>
      </c>
    </row>
    <row r="12" spans="1:26" customFormat="1" ht="12" customHeight="1" x14ac:dyDescent="0.25">
      <c r="B12" s="35"/>
      <c r="C12" s="35"/>
      <c r="D12" s="35"/>
      <c r="F12" s="711"/>
      <c r="G12" s="712" t="str">
        <f>IF(D11="",B11&amp;"*"&amp;",-"&amp;B11&amp;"*"&amp;C11&amp;"*",B11&amp;"*"&amp;",-"&amp;B11&amp;"*"&amp;C11&amp;"*"&amp;","&amp;B11&amp;"*"&amp;D11&amp;"*")</f>
        <v>THS*,-THS*CNG*</v>
      </c>
      <c r="H12" s="712"/>
      <c r="I12" s="713"/>
      <c r="J12" s="713" t="str">
        <f>J11</f>
        <v>THS</v>
      </c>
      <c r="K12" s="714">
        <f>K11</f>
        <v>2020</v>
      </c>
      <c r="L12" s="714"/>
      <c r="M12" s="714"/>
      <c r="N12" s="714"/>
      <c r="O12" s="715">
        <f>'ON-Road Historical share'!V21</f>
        <v>6.7386512199555815E-3</v>
      </c>
      <c r="P12" s="737"/>
      <c r="Q12" s="737"/>
      <c r="R12" s="737"/>
      <c r="S12" s="737"/>
      <c r="T12" s="737"/>
      <c r="U12" s="737"/>
      <c r="V12" s="737"/>
      <c r="W12" s="737"/>
      <c r="X12" s="737"/>
      <c r="Y12" s="737"/>
      <c r="Z12" s="737"/>
    </row>
    <row r="13" spans="1:26" ht="15" x14ac:dyDescent="0.25">
      <c r="A13" s="737">
        <v>2025</v>
      </c>
      <c r="B13" s="737" t="str">
        <f>B11</f>
        <v>THS</v>
      </c>
      <c r="C13" s="737" t="str">
        <f>C11</f>
        <v>CNG</v>
      </c>
      <c r="F13" s="711" t="str">
        <f>"UC_"&amp;J13&amp;C13&amp;"FX"&amp;A13</f>
        <v>UC_THSCNGFX2025</v>
      </c>
      <c r="G13" s="740" t="str">
        <f t="shared" si="0"/>
        <v>THS*CNG*</v>
      </c>
      <c r="H13" s="740"/>
      <c r="I13" s="741"/>
      <c r="J13" s="741" t="str">
        <f t="shared" si="1"/>
        <v>THS</v>
      </c>
      <c r="K13" s="742">
        <f t="shared" si="2"/>
        <v>2025</v>
      </c>
      <c r="L13" s="714" t="s">
        <v>1838</v>
      </c>
      <c r="M13" s="714">
        <v>0</v>
      </c>
      <c r="N13" s="714">
        <v>-1</v>
      </c>
      <c r="O13" s="715">
        <f>O14-1</f>
        <v>-0.99057702774332157</v>
      </c>
    </row>
    <row r="14" spans="1:26" customFormat="1" ht="12" customHeight="1" x14ac:dyDescent="0.25">
      <c r="B14" s="35"/>
      <c r="C14" s="35"/>
      <c r="D14" s="35"/>
      <c r="F14" s="711"/>
      <c r="G14" s="712" t="str">
        <f>IF(D13="",B13&amp;"*"&amp;",-"&amp;B13&amp;"*"&amp;C13&amp;"*",B13&amp;"*"&amp;",-"&amp;B13&amp;"*"&amp;C13&amp;"*"&amp;","&amp;B13&amp;"*"&amp;D13&amp;"*")</f>
        <v>THS*,-THS*CNG*</v>
      </c>
      <c r="H14" s="712"/>
      <c r="I14" s="713"/>
      <c r="J14" s="713" t="str">
        <f>J13</f>
        <v>THS</v>
      </c>
      <c r="K14" s="714">
        <f>K13</f>
        <v>2025</v>
      </c>
      <c r="L14" s="714"/>
      <c r="M14" s="714"/>
      <c r="N14" s="714"/>
      <c r="O14" s="715">
        <f>'ON-Road Historical share'!W21</f>
        <v>9.4229722566784076E-3</v>
      </c>
      <c r="P14" s="737"/>
      <c r="Q14" s="737"/>
      <c r="R14" s="737"/>
      <c r="S14" s="737"/>
      <c r="T14" s="737"/>
      <c r="U14" s="737"/>
      <c r="V14" s="737"/>
      <c r="W14" s="737"/>
      <c r="X14" s="737"/>
      <c r="Y14" s="737"/>
      <c r="Z14" s="737"/>
    </row>
    <row r="15" spans="1:26" ht="15" x14ac:dyDescent="0.25">
      <c r="A15" s="737">
        <f>A9</f>
        <v>2015</v>
      </c>
      <c r="B15" s="737" t="str">
        <f>'ON-Road Historical share'!L22</f>
        <v>THS</v>
      </c>
      <c r="C15" s="737" t="str">
        <f>'ON-Road Historical share'!M22</f>
        <v>DSL</v>
      </c>
      <c r="D15" s="737" t="str">
        <f>'ON-Road Historical share'!N36</f>
        <v>DHEV</v>
      </c>
      <c r="F15" s="711" t="str">
        <f>"UC_"&amp;J15&amp;C15&amp;"FX"&amp;A15</f>
        <v>UC_THSDSLFX2015</v>
      </c>
      <c r="G15" s="740" t="str">
        <f>IF(D15="",B15&amp;"*"&amp;C15&amp;"*",B15&amp;"*"&amp;C15&amp;"*"&amp;",-"&amp;B15&amp;"*"&amp;D15&amp;"*")</f>
        <v>THS*DSL*,-THS*DHEV*</v>
      </c>
      <c r="H15" s="740"/>
      <c r="I15" s="741"/>
      <c r="J15" s="741" t="str">
        <f t="shared" si="1"/>
        <v>THS</v>
      </c>
      <c r="K15" s="742">
        <f t="shared" si="2"/>
        <v>2015</v>
      </c>
      <c r="L15" s="714" t="s">
        <v>1838</v>
      </c>
      <c r="M15" s="714">
        <v>0</v>
      </c>
      <c r="N15" s="714">
        <v>-1</v>
      </c>
      <c r="O15" s="715">
        <f>O16-1</f>
        <v>0</v>
      </c>
    </row>
    <row r="16" spans="1:26" customFormat="1" ht="12" customHeight="1" x14ac:dyDescent="0.25">
      <c r="B16" s="35"/>
      <c r="C16" s="35"/>
      <c r="D16" s="35"/>
      <c r="F16" s="711"/>
      <c r="G16" s="712" t="str">
        <f>IF(D15="",B15&amp;"*"&amp;",-"&amp;B15&amp;"*"&amp;C15&amp;"*",B15&amp;"*"&amp;",-"&amp;B15&amp;"*"&amp;C15&amp;"*"&amp;","&amp;B15&amp;"*"&amp;D15&amp;"*")</f>
        <v>THS*,-THS*DSL*,THS*DHEV*</v>
      </c>
      <c r="H16" s="712"/>
      <c r="I16" s="713"/>
      <c r="J16" s="713" t="str">
        <f>J15</f>
        <v>THS</v>
      </c>
      <c r="K16" s="714">
        <f>K15</f>
        <v>2015</v>
      </c>
      <c r="L16" s="714"/>
      <c r="M16" s="714"/>
      <c r="N16" s="714"/>
      <c r="O16" s="715">
        <f>'ON-Road Historical share'!U22</f>
        <v>1</v>
      </c>
      <c r="P16" s="737"/>
      <c r="Q16" s="737"/>
      <c r="R16" s="737"/>
      <c r="S16" s="737"/>
      <c r="T16" s="737"/>
      <c r="U16" s="737"/>
      <c r="V16" s="737"/>
      <c r="W16" s="737"/>
      <c r="X16" s="737"/>
      <c r="Y16" s="737"/>
      <c r="Z16" s="737"/>
    </row>
    <row r="17" spans="1:26" ht="15" x14ac:dyDescent="0.25">
      <c r="A17" s="737">
        <f>A11</f>
        <v>2020</v>
      </c>
      <c r="B17" s="737" t="str">
        <f>B15</f>
        <v>THS</v>
      </c>
      <c r="C17" s="737" t="str">
        <f>C15</f>
        <v>DSL</v>
      </c>
      <c r="D17" s="737" t="str">
        <f>D15</f>
        <v>DHEV</v>
      </c>
      <c r="F17" s="711" t="str">
        <f>"UC_"&amp;J17&amp;C17&amp;"FX"&amp;A17</f>
        <v>UC_THSDSLFX2020</v>
      </c>
      <c r="G17" s="740" t="str">
        <f t="shared" ref="G17:G19" si="3">IF(D17="",B17&amp;"*"&amp;C17&amp;"*",B17&amp;"*"&amp;C17&amp;"*"&amp;",-"&amp;B17&amp;"*"&amp;D17&amp;"*")</f>
        <v>THS*DSL*,-THS*DHEV*</v>
      </c>
      <c r="H17" s="740"/>
      <c r="I17" s="741"/>
      <c r="J17" s="741" t="str">
        <f t="shared" si="1"/>
        <v>THS</v>
      </c>
      <c r="K17" s="742">
        <f t="shared" si="2"/>
        <v>2020</v>
      </c>
      <c r="L17" s="714" t="s">
        <v>1838</v>
      </c>
      <c r="M17" s="714">
        <v>0</v>
      </c>
      <c r="N17" s="714">
        <v>-1</v>
      </c>
      <c r="O17" s="715">
        <f>O18-1</f>
        <v>-2.2539544825645685E-2</v>
      </c>
    </row>
    <row r="18" spans="1:26" customFormat="1" ht="12" customHeight="1" x14ac:dyDescent="0.25">
      <c r="B18" s="35"/>
      <c r="C18" s="35"/>
      <c r="D18" s="35"/>
      <c r="F18" s="711"/>
      <c r="G18" s="712" t="str">
        <f>IF(D17="",B17&amp;"*"&amp;",-"&amp;B17&amp;"*"&amp;C17&amp;"*",B17&amp;"*"&amp;",-"&amp;B17&amp;"*"&amp;C17&amp;"*"&amp;","&amp;B17&amp;"*"&amp;D17&amp;"*")</f>
        <v>THS*,-THS*DSL*,THS*DHEV*</v>
      </c>
      <c r="H18" s="712"/>
      <c r="I18" s="713"/>
      <c r="J18" s="713" t="str">
        <f>J17</f>
        <v>THS</v>
      </c>
      <c r="K18" s="714">
        <f>K17</f>
        <v>2020</v>
      </c>
      <c r="L18" s="714"/>
      <c r="M18" s="714"/>
      <c r="N18" s="714"/>
      <c r="O18" s="715">
        <f>'ON-Road Historical share'!V22</f>
        <v>0.97746045517435431</v>
      </c>
      <c r="P18" s="737"/>
      <c r="Q18" s="737"/>
      <c r="R18" s="737"/>
      <c r="S18" s="737"/>
      <c r="T18" s="737"/>
      <c r="U18" s="737"/>
      <c r="V18" s="737"/>
      <c r="W18" s="737"/>
      <c r="X18" s="737"/>
      <c r="Y18" s="737"/>
      <c r="Z18" s="737"/>
    </row>
    <row r="19" spans="1:26" ht="15" x14ac:dyDescent="0.25">
      <c r="A19" s="737">
        <f>A13</f>
        <v>2025</v>
      </c>
      <c r="B19" s="737" t="str">
        <f t="shared" ref="B19:D19" si="4">B17</f>
        <v>THS</v>
      </c>
      <c r="C19" s="737" t="str">
        <f t="shared" si="4"/>
        <v>DSL</v>
      </c>
      <c r="D19" s="737" t="str">
        <f t="shared" si="4"/>
        <v>DHEV</v>
      </c>
      <c r="F19" s="711" t="str">
        <f>"UC_"&amp;J19&amp;C19&amp;"FX"&amp;A19</f>
        <v>UC_THSDSLFX2025</v>
      </c>
      <c r="G19" s="740" t="str">
        <f t="shared" si="3"/>
        <v>THS*DSL*,-THS*DHEV*</v>
      </c>
      <c r="H19" s="740"/>
      <c r="I19" s="741"/>
      <c r="J19" s="741" t="str">
        <f t="shared" si="1"/>
        <v>THS</v>
      </c>
      <c r="K19" s="742">
        <f t="shared" si="2"/>
        <v>2025</v>
      </c>
      <c r="L19" s="714" t="s">
        <v>1838</v>
      </c>
      <c r="M19" s="714">
        <v>0</v>
      </c>
      <c r="N19" s="714">
        <v>-1</v>
      </c>
      <c r="O19" s="715">
        <f>O20-1</f>
        <v>-3.145720776220351E-2</v>
      </c>
    </row>
    <row r="20" spans="1:26" customFormat="1" ht="12" customHeight="1" x14ac:dyDescent="0.25">
      <c r="B20" s="35"/>
      <c r="C20" s="35"/>
      <c r="D20" s="35"/>
      <c r="F20" s="711"/>
      <c r="G20" s="712" t="str">
        <f>IF(D19="",B19&amp;"*"&amp;",-"&amp;B19&amp;"*"&amp;C19&amp;"*",B19&amp;"*"&amp;",-"&amp;B19&amp;"*"&amp;C19&amp;"*"&amp;","&amp;B19&amp;"*"&amp;D19&amp;"*")</f>
        <v>THS*,-THS*DSL*,THS*DHEV*</v>
      </c>
      <c r="H20" s="712"/>
      <c r="I20" s="713"/>
      <c r="J20" s="713" t="str">
        <f>J19</f>
        <v>THS</v>
      </c>
      <c r="K20" s="714">
        <f>K19</f>
        <v>2025</v>
      </c>
      <c r="L20" s="714"/>
      <c r="M20" s="714"/>
      <c r="N20" s="714"/>
      <c r="O20" s="715">
        <f>'ON-Road Historical share'!W22</f>
        <v>0.96854279223779649</v>
      </c>
      <c r="P20" s="737"/>
      <c r="Q20" s="737"/>
      <c r="R20" s="737"/>
      <c r="S20" s="737"/>
      <c r="T20" s="737"/>
      <c r="U20" s="737"/>
      <c r="V20" s="737"/>
      <c r="W20" s="737"/>
      <c r="X20" s="737"/>
      <c r="Y20" s="737"/>
      <c r="Z20" s="737"/>
    </row>
    <row r="21" spans="1:26" ht="15" x14ac:dyDescent="0.25">
      <c r="A21" s="737">
        <f>A15</f>
        <v>2015</v>
      </c>
      <c r="B21" s="737" t="str">
        <f>'ON-Road Historical share'!L23</f>
        <v>THS</v>
      </c>
      <c r="C21" s="737" t="str">
        <f>'ON-Road Historical share'!M23</f>
        <v>DSLH</v>
      </c>
      <c r="F21" s="711" t="str">
        <f>"UC_"&amp;J21&amp;C21&amp;"FX"&amp;A21</f>
        <v>UC_THSDSLHFX2015</v>
      </c>
      <c r="G21" s="740" t="str">
        <f t="shared" si="0"/>
        <v>THS*DSLH*</v>
      </c>
      <c r="H21" s="740"/>
      <c r="I21" s="741"/>
      <c r="J21" s="741" t="str">
        <f t="shared" si="1"/>
        <v>THS</v>
      </c>
      <c r="K21" s="742">
        <f t="shared" si="2"/>
        <v>2015</v>
      </c>
      <c r="L21" s="714" t="s">
        <v>1838</v>
      </c>
      <c r="M21" s="714">
        <v>0</v>
      </c>
      <c r="N21" s="714">
        <v>-1</v>
      </c>
      <c r="O21" s="715">
        <f>O22-1</f>
        <v>-1</v>
      </c>
    </row>
    <row r="22" spans="1:26" customFormat="1" ht="12" customHeight="1" x14ac:dyDescent="0.25">
      <c r="B22" s="35"/>
      <c r="C22" s="35"/>
      <c r="D22" s="35"/>
      <c r="F22" s="711"/>
      <c r="G22" s="712" t="str">
        <f>IF(D21="",B21&amp;"*"&amp;",-"&amp;B21&amp;"*"&amp;C21&amp;"*",B21&amp;"*"&amp;",-"&amp;B21&amp;"*"&amp;C21&amp;"*"&amp;","&amp;B21&amp;"*"&amp;D21&amp;"*")</f>
        <v>THS*,-THS*DSLH*</v>
      </c>
      <c r="H22" s="712"/>
      <c r="I22" s="713"/>
      <c r="J22" s="713" t="str">
        <f>J21</f>
        <v>THS</v>
      </c>
      <c r="K22" s="714">
        <f>K21</f>
        <v>2015</v>
      </c>
      <c r="L22" s="714"/>
      <c r="M22" s="714"/>
      <c r="N22" s="714"/>
      <c r="O22" s="715">
        <f>'ON-Road Historical share'!U23</f>
        <v>0</v>
      </c>
      <c r="P22" s="737"/>
      <c r="Q22" s="737"/>
      <c r="R22" s="737"/>
      <c r="S22" s="737"/>
      <c r="T22" s="737"/>
      <c r="U22" s="737"/>
      <c r="V22" s="737"/>
      <c r="W22" s="737"/>
      <c r="X22" s="737"/>
      <c r="Y22" s="737"/>
      <c r="Z22" s="737"/>
    </row>
    <row r="23" spans="1:26" ht="15" x14ac:dyDescent="0.25">
      <c r="A23" s="737">
        <f>A17</f>
        <v>2020</v>
      </c>
      <c r="B23" s="737" t="str">
        <f>B21</f>
        <v>THS</v>
      </c>
      <c r="C23" s="737" t="str">
        <f>C21</f>
        <v>DSLH</v>
      </c>
      <c r="F23" s="711" t="str">
        <f>"UC_"&amp;J23&amp;C23&amp;"FX"&amp;A23</f>
        <v>UC_THSDSLHFX2020</v>
      </c>
      <c r="G23" s="740" t="str">
        <f t="shared" si="0"/>
        <v>THS*DSLH*</v>
      </c>
      <c r="H23" s="740"/>
      <c r="I23" s="741"/>
      <c r="J23" s="741" t="str">
        <f t="shared" si="1"/>
        <v>THS</v>
      </c>
      <c r="K23" s="742">
        <f t="shared" si="2"/>
        <v>2020</v>
      </c>
      <c r="L23" s="714" t="s">
        <v>1838</v>
      </c>
      <c r="M23" s="714">
        <v>0</v>
      </c>
      <c r="N23" s="714">
        <v>-1</v>
      </c>
      <c r="O23" s="715">
        <f>O24-1</f>
        <v>-0.99855748227394592</v>
      </c>
    </row>
    <row r="24" spans="1:26" customFormat="1" ht="12" customHeight="1" x14ac:dyDescent="0.25">
      <c r="B24" s="35"/>
      <c r="C24" s="35"/>
      <c r="D24" s="35"/>
      <c r="F24" s="711"/>
      <c r="G24" s="712" t="str">
        <f>IF(D23="",B23&amp;"*"&amp;",-"&amp;B23&amp;"*"&amp;C23&amp;"*",B23&amp;"*"&amp;",-"&amp;B23&amp;"*"&amp;C23&amp;"*"&amp;","&amp;B23&amp;"*"&amp;D23&amp;"*")</f>
        <v>THS*,-THS*DSLH*</v>
      </c>
      <c r="H24" s="712"/>
      <c r="I24" s="713"/>
      <c r="J24" s="713" t="str">
        <f>J23</f>
        <v>THS</v>
      </c>
      <c r="K24" s="714">
        <f>K23</f>
        <v>2020</v>
      </c>
      <c r="L24" s="714"/>
      <c r="M24" s="714"/>
      <c r="N24" s="714"/>
      <c r="O24" s="715">
        <f>'ON-Road Historical share'!V23</f>
        <v>1.4425177260540681E-3</v>
      </c>
      <c r="P24" s="737"/>
      <c r="Q24" s="737"/>
      <c r="R24" s="737"/>
      <c r="S24" s="737"/>
      <c r="T24" s="737"/>
      <c r="U24" s="737"/>
      <c r="V24" s="737"/>
      <c r="W24" s="737"/>
      <c r="X24" s="737"/>
      <c r="Y24" s="737"/>
      <c r="Z24" s="737"/>
    </row>
    <row r="25" spans="1:26" ht="15" x14ac:dyDescent="0.25">
      <c r="A25" s="737">
        <f>A19</f>
        <v>2025</v>
      </c>
      <c r="B25" s="737" t="str">
        <f t="shared" ref="B25:C25" si="5">B23</f>
        <v>THS</v>
      </c>
      <c r="C25" s="737" t="str">
        <f t="shared" si="5"/>
        <v>DSLH</v>
      </c>
      <c r="F25" s="711" t="str">
        <f>"UC_"&amp;J25&amp;C25&amp;"FX"&amp;A25</f>
        <v>UC_THSDSLHFX2025</v>
      </c>
      <c r="G25" s="740" t="str">
        <f t="shared" si="0"/>
        <v>THS*DSLH*</v>
      </c>
      <c r="H25" s="740"/>
      <c r="I25" s="741"/>
      <c r="J25" s="741" t="str">
        <f t="shared" si="1"/>
        <v>THS</v>
      </c>
      <c r="K25" s="742">
        <f t="shared" si="2"/>
        <v>2025</v>
      </c>
      <c r="L25" s="714" t="s">
        <v>1838</v>
      </c>
      <c r="M25" s="714">
        <v>0</v>
      </c>
      <c r="N25" s="714">
        <v>-1</v>
      </c>
      <c r="O25" s="715">
        <f>O26-1</f>
        <v>-0.9979837840985859</v>
      </c>
    </row>
    <row r="26" spans="1:26" customFormat="1" ht="12" customHeight="1" x14ac:dyDescent="0.25">
      <c r="B26" s="35"/>
      <c r="C26" s="35"/>
      <c r="D26" s="35"/>
      <c r="F26" s="711"/>
      <c r="G26" s="712" t="str">
        <f>IF(D25="",B25&amp;"*"&amp;",-"&amp;B25&amp;"*"&amp;C25&amp;"*",B25&amp;"*"&amp;",-"&amp;B25&amp;"*"&amp;C25&amp;"*"&amp;","&amp;B25&amp;"*"&amp;D25&amp;"*")</f>
        <v>THS*,-THS*DSLH*</v>
      </c>
      <c r="H26" s="712"/>
      <c r="I26" s="713"/>
      <c r="J26" s="713" t="str">
        <f>J25</f>
        <v>THS</v>
      </c>
      <c r="K26" s="714">
        <f>K25</f>
        <v>2025</v>
      </c>
      <c r="L26" s="714"/>
      <c r="M26" s="714"/>
      <c r="N26" s="714"/>
      <c r="O26" s="715">
        <f>'ON-Road Historical share'!W23</f>
        <v>2.0162159014141105E-3</v>
      </c>
      <c r="P26" s="737"/>
      <c r="Q26" s="737"/>
      <c r="R26" s="737"/>
      <c r="S26" s="737"/>
      <c r="T26" s="737"/>
      <c r="U26" s="737"/>
      <c r="V26" s="737"/>
      <c r="W26" s="737"/>
      <c r="X26" s="737"/>
      <c r="Y26" s="737"/>
      <c r="Z26" s="737"/>
    </row>
    <row r="27" spans="1:26" ht="15" x14ac:dyDescent="0.25">
      <c r="A27" s="737">
        <f>A21</f>
        <v>2015</v>
      </c>
      <c r="B27" s="737" t="str">
        <f>'ON-Road Historical share'!L24</f>
        <v>THS</v>
      </c>
      <c r="C27" s="737" t="str">
        <f>'ON-Road Historical share'!M24</f>
        <v>ELC</v>
      </c>
      <c r="F27" s="711" t="str">
        <f>"UC_"&amp;J27&amp;C27&amp;"FX"&amp;A27</f>
        <v>UC_THSELCFX2015</v>
      </c>
      <c r="G27" s="740" t="str">
        <f t="shared" si="0"/>
        <v>THS*ELC*</v>
      </c>
      <c r="H27" s="740"/>
      <c r="I27" s="741"/>
      <c r="J27" s="741" t="str">
        <f t="shared" si="1"/>
        <v>THS</v>
      </c>
      <c r="K27" s="742">
        <f t="shared" si="2"/>
        <v>2015</v>
      </c>
      <c r="L27" s="714" t="s">
        <v>1838</v>
      </c>
      <c r="M27" s="714">
        <v>0</v>
      </c>
      <c r="N27" s="714">
        <v>-1</v>
      </c>
      <c r="O27" s="715">
        <f>O28-1</f>
        <v>-1</v>
      </c>
    </row>
    <row r="28" spans="1:26" customFormat="1" ht="12" customHeight="1" x14ac:dyDescent="0.25">
      <c r="B28" s="35"/>
      <c r="C28" s="35"/>
      <c r="D28" s="35"/>
      <c r="F28" s="711"/>
      <c r="G28" s="712" t="str">
        <f>IF(D27="",B27&amp;"*"&amp;",-"&amp;B27&amp;"*"&amp;C27&amp;"*",B27&amp;"*"&amp;",-"&amp;B27&amp;"*"&amp;C27&amp;"*"&amp;","&amp;B27&amp;"*"&amp;D27&amp;"*")</f>
        <v>THS*,-THS*ELC*</v>
      </c>
      <c r="H28" s="712"/>
      <c r="I28" s="713"/>
      <c r="J28" s="713" t="str">
        <f>J27</f>
        <v>THS</v>
      </c>
      <c r="K28" s="714">
        <f>K27</f>
        <v>2015</v>
      </c>
      <c r="L28" s="714"/>
      <c r="M28" s="714"/>
      <c r="N28" s="714"/>
      <c r="O28" s="715">
        <f>'ON-Road Historical share'!U24</f>
        <v>0</v>
      </c>
      <c r="P28" s="737"/>
      <c r="Q28" s="737"/>
      <c r="R28" s="737"/>
      <c r="S28" s="737"/>
      <c r="T28" s="737"/>
      <c r="U28" s="737"/>
      <c r="V28" s="737"/>
      <c r="W28" s="737"/>
      <c r="X28" s="737"/>
      <c r="Y28" s="737"/>
      <c r="Z28" s="737"/>
    </row>
    <row r="29" spans="1:26" ht="15" x14ac:dyDescent="0.25">
      <c r="A29" s="737">
        <f>A23</f>
        <v>2020</v>
      </c>
      <c r="B29" s="737" t="str">
        <f>B27</f>
        <v>THS</v>
      </c>
      <c r="C29" s="737" t="str">
        <f>C27</f>
        <v>ELC</v>
      </c>
      <c r="F29" s="711" t="str">
        <f>"UC_"&amp;J29&amp;C29&amp;"FX"&amp;A29</f>
        <v>UC_THSELCFX2020</v>
      </c>
      <c r="G29" s="740" t="str">
        <f t="shared" si="0"/>
        <v>THS*ELC*</v>
      </c>
      <c r="H29" s="740"/>
      <c r="I29" s="741"/>
      <c r="J29" s="741" t="str">
        <f t="shared" si="1"/>
        <v>THS</v>
      </c>
      <c r="K29" s="742">
        <f t="shared" si="2"/>
        <v>2020</v>
      </c>
      <c r="L29" s="714" t="s">
        <v>1838</v>
      </c>
      <c r="M29" s="714">
        <v>0</v>
      </c>
      <c r="N29" s="714">
        <v>-1</v>
      </c>
      <c r="O29" s="715">
        <f>O30-1</f>
        <v>-1</v>
      </c>
    </row>
    <row r="30" spans="1:26" customFormat="1" ht="12" customHeight="1" x14ac:dyDescent="0.25">
      <c r="B30" s="35"/>
      <c r="C30" s="35"/>
      <c r="D30" s="35"/>
      <c r="F30" s="711"/>
      <c r="G30" s="712" t="str">
        <f>IF(D29="",B29&amp;"*"&amp;",-"&amp;B29&amp;"*"&amp;C29&amp;"*",B29&amp;"*"&amp;",-"&amp;B29&amp;"*"&amp;C29&amp;"*"&amp;","&amp;B29&amp;"*"&amp;D29&amp;"*")</f>
        <v>THS*,-THS*ELC*</v>
      </c>
      <c r="H30" s="712"/>
      <c r="I30" s="713"/>
      <c r="J30" s="713" t="str">
        <f>J29</f>
        <v>THS</v>
      </c>
      <c r="K30" s="714">
        <f>K29</f>
        <v>2020</v>
      </c>
      <c r="L30" s="714"/>
      <c r="M30" s="714"/>
      <c r="N30" s="714"/>
      <c r="O30" s="715">
        <f>'ON-Road Historical share'!V24</f>
        <v>0</v>
      </c>
      <c r="P30" s="737"/>
      <c r="Q30" s="737"/>
      <c r="R30" s="737"/>
      <c r="S30" s="737"/>
      <c r="T30" s="737"/>
      <c r="U30" s="737"/>
      <c r="V30" s="737"/>
      <c r="W30" s="737"/>
      <c r="X30" s="737"/>
      <c r="Y30" s="737"/>
      <c r="Z30" s="737"/>
    </row>
    <row r="31" spans="1:26" ht="15" x14ac:dyDescent="0.25">
      <c r="A31" s="737">
        <f>A25</f>
        <v>2025</v>
      </c>
      <c r="B31" s="737" t="str">
        <f t="shared" ref="B31:C31" si="6">B29</f>
        <v>THS</v>
      </c>
      <c r="C31" s="737" t="str">
        <f t="shared" si="6"/>
        <v>ELC</v>
      </c>
      <c r="F31" s="711" t="str">
        <f>"UC_"&amp;J31&amp;C31&amp;"FX"&amp;A31</f>
        <v>UC_THSELCFX2025</v>
      </c>
      <c r="G31" s="740" t="str">
        <f t="shared" si="0"/>
        <v>THS*ELC*</v>
      </c>
      <c r="H31" s="740"/>
      <c r="I31" s="741"/>
      <c r="J31" s="741" t="str">
        <f t="shared" si="1"/>
        <v>THS</v>
      </c>
      <c r="K31" s="742">
        <f t="shared" si="2"/>
        <v>2025</v>
      </c>
      <c r="L31" s="714" t="s">
        <v>1838</v>
      </c>
      <c r="M31" s="714">
        <v>0</v>
      </c>
      <c r="N31" s="714">
        <v>-1</v>
      </c>
      <c r="O31" s="715">
        <f>O32-1</f>
        <v>-1</v>
      </c>
    </row>
    <row r="32" spans="1:26" customFormat="1" ht="12" customHeight="1" x14ac:dyDescent="0.25">
      <c r="B32" s="35"/>
      <c r="C32" s="35"/>
      <c r="D32" s="35"/>
      <c r="F32" s="711"/>
      <c r="G32" s="712" t="str">
        <f>IF(D31="",B31&amp;"*"&amp;",-"&amp;B31&amp;"*"&amp;C31&amp;"*",B31&amp;"*"&amp;",-"&amp;B31&amp;"*"&amp;C31&amp;"*"&amp;","&amp;B31&amp;"*"&amp;D31&amp;"*")</f>
        <v>THS*,-THS*ELC*</v>
      </c>
      <c r="H32" s="712"/>
      <c r="I32" s="713"/>
      <c r="J32" s="713" t="str">
        <f>J31</f>
        <v>THS</v>
      </c>
      <c r="K32" s="714">
        <f>K31</f>
        <v>2025</v>
      </c>
      <c r="L32" s="714"/>
      <c r="M32" s="714"/>
      <c r="N32" s="714"/>
      <c r="O32" s="715">
        <f>'ON-Road Historical share'!W24</f>
        <v>0</v>
      </c>
      <c r="P32" s="737"/>
      <c r="Q32" s="737"/>
      <c r="R32" s="737"/>
      <c r="S32" s="737"/>
      <c r="T32" s="737"/>
      <c r="U32" s="737"/>
      <c r="V32" s="737"/>
      <c r="W32" s="737"/>
      <c r="X32" s="737"/>
      <c r="Y32" s="737"/>
      <c r="Z32" s="737"/>
    </row>
    <row r="33" spans="1:26" ht="15" x14ac:dyDescent="0.25">
      <c r="A33" s="737">
        <f>A27</f>
        <v>2015</v>
      </c>
      <c r="B33" s="737" t="str">
        <f>'ON-Road Historical share'!L25</f>
        <v>THS</v>
      </c>
      <c r="C33" s="737" t="str">
        <f>'ON-Road Historical share'!M25</f>
        <v>GSL</v>
      </c>
      <c r="D33" s="737" t="str">
        <f>'ON-Road Historical share'!N25</f>
        <v>GSLH</v>
      </c>
      <c r="F33" s="711" t="str">
        <f>"UC_"&amp;J33&amp;C33&amp;"FX"&amp;A33</f>
        <v>UC_THSGSLFX2015</v>
      </c>
      <c r="G33" s="740" t="str">
        <f t="shared" ref="G33:G37" si="7">IF(D33="",B33&amp;"*"&amp;C33&amp;"*",B33&amp;"*"&amp;C33&amp;"*"&amp;",-"&amp;B33&amp;"*"&amp;D33&amp;"*")</f>
        <v>THS*GSL*,-THS*GSLH*</v>
      </c>
      <c r="H33" s="740"/>
      <c r="I33" s="740"/>
      <c r="J33" s="741" t="str">
        <f t="shared" si="1"/>
        <v>THS</v>
      </c>
      <c r="K33" s="742">
        <f t="shared" si="2"/>
        <v>2015</v>
      </c>
      <c r="L33" s="714" t="s">
        <v>1838</v>
      </c>
      <c r="M33" s="714">
        <v>0</v>
      </c>
      <c r="N33" s="714">
        <v>-1</v>
      </c>
      <c r="O33" s="715">
        <f>O34-1</f>
        <v>-1</v>
      </c>
    </row>
    <row r="34" spans="1:26" customFormat="1" ht="12" customHeight="1" x14ac:dyDescent="0.25">
      <c r="B34" s="35"/>
      <c r="C34" s="35"/>
      <c r="D34" s="35"/>
      <c r="F34" s="711"/>
      <c r="G34" s="712" t="str">
        <f>IF(D33="",B33&amp;"*"&amp;",-"&amp;B33&amp;"*"&amp;C33&amp;"*",B33&amp;"*"&amp;",-"&amp;B33&amp;"*"&amp;C33&amp;"*"&amp;","&amp;B33&amp;"*"&amp;D33&amp;"*")</f>
        <v>THS*,-THS*GSL*,THS*GSLH*</v>
      </c>
      <c r="H34" s="712"/>
      <c r="I34" s="713"/>
      <c r="J34" s="713" t="str">
        <f>J33</f>
        <v>THS</v>
      </c>
      <c r="K34" s="714">
        <f>K33</f>
        <v>2015</v>
      </c>
      <c r="L34" s="714"/>
      <c r="M34" s="714"/>
      <c r="N34" s="714"/>
      <c r="O34" s="715">
        <f>'ON-Road Historical share'!U25</f>
        <v>0</v>
      </c>
      <c r="P34" s="737"/>
      <c r="Q34" s="737"/>
      <c r="R34" s="737"/>
      <c r="S34" s="737"/>
      <c r="T34" s="737"/>
      <c r="U34" s="737"/>
      <c r="V34" s="737"/>
      <c r="W34" s="737"/>
      <c r="X34" s="737"/>
      <c r="Y34" s="737"/>
      <c r="Z34" s="737"/>
    </row>
    <row r="35" spans="1:26" ht="15" x14ac:dyDescent="0.25">
      <c r="A35" s="737">
        <f>A29</f>
        <v>2020</v>
      </c>
      <c r="B35" s="737" t="str">
        <f>B33</f>
        <v>THS</v>
      </c>
      <c r="C35" s="737" t="str">
        <f>C33</f>
        <v>GSL</v>
      </c>
      <c r="D35" s="737" t="str">
        <f>D33</f>
        <v>GSLH</v>
      </c>
      <c r="F35" s="711" t="str">
        <f>"UC_"&amp;J35&amp;C35&amp;"FX"&amp;A35</f>
        <v>UC_THSGSLFX2020</v>
      </c>
      <c r="G35" s="740" t="str">
        <f t="shared" si="7"/>
        <v>THS*GSL*,-THS*GSLH*</v>
      </c>
      <c r="H35" s="740"/>
      <c r="I35" s="740"/>
      <c r="J35" s="741" t="str">
        <f t="shared" si="1"/>
        <v>THS</v>
      </c>
      <c r="K35" s="742">
        <f t="shared" si="2"/>
        <v>2020</v>
      </c>
      <c r="L35" s="714" t="s">
        <v>1838</v>
      </c>
      <c r="M35" s="714">
        <v>0</v>
      </c>
      <c r="N35" s="714">
        <v>-1</v>
      </c>
      <c r="O35" s="715">
        <f>O36-1</f>
        <v>-0.98564162412036405</v>
      </c>
    </row>
    <row r="36" spans="1:26" customFormat="1" ht="12" customHeight="1" x14ac:dyDescent="0.25">
      <c r="B36" s="35"/>
      <c r="C36" s="35"/>
      <c r="D36" s="35"/>
      <c r="F36" s="711"/>
      <c r="G36" s="712" t="str">
        <f>IF(D35="",B35&amp;"*"&amp;",-"&amp;B35&amp;"*"&amp;C35&amp;"*",B35&amp;"*"&amp;",-"&amp;B35&amp;"*"&amp;C35&amp;"*"&amp;","&amp;B35&amp;"*"&amp;D35&amp;"*")</f>
        <v>THS*,-THS*GSL*,THS*GSLH*</v>
      </c>
      <c r="H36" s="712"/>
      <c r="I36" s="713"/>
      <c r="J36" s="713" t="str">
        <f>J35</f>
        <v>THS</v>
      </c>
      <c r="K36" s="714">
        <f>K35</f>
        <v>2020</v>
      </c>
      <c r="L36" s="714"/>
      <c r="M36" s="714"/>
      <c r="N36" s="714"/>
      <c r="O36" s="715">
        <f>'ON-Road Historical share'!V25</f>
        <v>1.4358375879636008E-2</v>
      </c>
      <c r="P36" s="737"/>
      <c r="Q36" s="737"/>
      <c r="R36" s="737"/>
      <c r="S36" s="737"/>
      <c r="T36" s="737"/>
      <c r="U36" s="737"/>
      <c r="V36" s="737"/>
      <c r="W36" s="737"/>
      <c r="X36" s="737"/>
      <c r="Y36" s="737"/>
      <c r="Z36" s="737"/>
    </row>
    <row r="37" spans="1:26" ht="15" x14ac:dyDescent="0.25">
      <c r="A37" s="737">
        <f>A31</f>
        <v>2025</v>
      </c>
      <c r="B37" s="737" t="str">
        <f t="shared" ref="B37:C37" si="8">B35</f>
        <v>THS</v>
      </c>
      <c r="C37" s="737" t="str">
        <f t="shared" si="8"/>
        <v>GSL</v>
      </c>
      <c r="D37" s="737" t="str">
        <f>D35</f>
        <v>GSLH</v>
      </c>
      <c r="F37" s="711" t="str">
        <f>"UC_"&amp;J37&amp;C37&amp;"FX"&amp;A37</f>
        <v>UC_THSGSLFX2025</v>
      </c>
      <c r="G37" s="740" t="str">
        <f t="shared" si="7"/>
        <v>THS*GSL*,-THS*GSLH*</v>
      </c>
      <c r="H37" s="740"/>
      <c r="I37" s="740"/>
      <c r="J37" s="741" t="str">
        <f t="shared" si="1"/>
        <v>THS</v>
      </c>
      <c r="K37" s="742">
        <f t="shared" si="2"/>
        <v>2025</v>
      </c>
      <c r="L37" s="714" t="s">
        <v>1838</v>
      </c>
      <c r="M37" s="714">
        <v>0</v>
      </c>
      <c r="N37" s="714">
        <v>-1</v>
      </c>
      <c r="O37" s="715">
        <f>O38-1</f>
        <v>-0.97998198039588902</v>
      </c>
    </row>
    <row r="38" spans="1:26" customFormat="1" ht="12" customHeight="1" x14ac:dyDescent="0.25">
      <c r="B38" s="35"/>
      <c r="C38" s="35"/>
      <c r="D38" s="35"/>
      <c r="F38" s="711"/>
      <c r="G38" s="712" t="str">
        <f>IF(D37="",B37&amp;"*"&amp;",-"&amp;B37&amp;"*"&amp;C37&amp;"*",B37&amp;"*"&amp;",-"&amp;B37&amp;"*"&amp;C37&amp;"*"&amp;","&amp;B37&amp;"*"&amp;D37&amp;"*")</f>
        <v>THS*,-THS*GSL*,THS*GSLH*</v>
      </c>
      <c r="H38" s="712"/>
      <c r="I38" s="713"/>
      <c r="J38" s="713" t="str">
        <f>J37</f>
        <v>THS</v>
      </c>
      <c r="K38" s="714">
        <f>K37</f>
        <v>2025</v>
      </c>
      <c r="L38" s="714"/>
      <c r="M38" s="714"/>
      <c r="N38" s="714"/>
      <c r="O38" s="715">
        <f>'ON-Road Historical share'!W25</f>
        <v>2.0018019604110985E-2</v>
      </c>
      <c r="P38" s="737"/>
      <c r="Q38" s="737"/>
      <c r="R38" s="737"/>
      <c r="S38" s="737"/>
      <c r="T38" s="737"/>
      <c r="U38" s="737"/>
      <c r="V38" s="737"/>
      <c r="W38" s="737"/>
      <c r="X38" s="737"/>
      <c r="Y38" s="737"/>
      <c r="Z38" s="737"/>
    </row>
    <row r="39" spans="1:26" ht="15" x14ac:dyDescent="0.25">
      <c r="A39" s="737">
        <f>A33</f>
        <v>2015</v>
      </c>
      <c r="B39" s="737" t="str">
        <f>B33</f>
        <v>THS</v>
      </c>
      <c r="C39" s="737" t="str">
        <f>D33</f>
        <v>GSLH</v>
      </c>
      <c r="F39" s="711" t="str">
        <f>"UC_"&amp;J39&amp;C39&amp;"FX"&amp;A39</f>
        <v>UC_THSGSLHFX2015</v>
      </c>
      <c r="G39" s="740" t="str">
        <f t="shared" ref="G39" si="9">IF(D39="",B39&amp;"*"&amp;C39&amp;"*",B39&amp;"*"&amp;C39&amp;"*"&amp;",-"&amp;B39&amp;"*"&amp;D39&amp;"*")</f>
        <v>THS*GSLH*</v>
      </c>
      <c r="H39" s="740"/>
      <c r="I39" s="740"/>
      <c r="J39" s="741" t="str">
        <f t="shared" ref="J39" si="10">B39</f>
        <v>THS</v>
      </c>
      <c r="K39" s="742">
        <f t="shared" ref="K39" si="11">A39</f>
        <v>2015</v>
      </c>
      <c r="L39" s="714" t="s">
        <v>1838</v>
      </c>
      <c r="M39" s="714">
        <v>0</v>
      </c>
      <c r="N39" s="714">
        <v>-1</v>
      </c>
      <c r="O39" s="715">
        <f>O40-1</f>
        <v>-1</v>
      </c>
    </row>
    <row r="40" spans="1:26" customFormat="1" ht="12" customHeight="1" x14ac:dyDescent="0.25">
      <c r="B40" s="35"/>
      <c r="C40" s="35"/>
      <c r="D40" s="35"/>
      <c r="F40" s="711"/>
      <c r="G40" s="712" t="str">
        <f>IF(D39="",B39&amp;"*"&amp;",-"&amp;B39&amp;"*"&amp;C39&amp;"*",B39&amp;"*"&amp;",-"&amp;B39&amp;"*"&amp;C39&amp;"*"&amp;","&amp;B39&amp;"*"&amp;D39&amp;"*")</f>
        <v>THS*,-THS*GSLH*</v>
      </c>
      <c r="H40" s="712"/>
      <c r="I40" s="713"/>
      <c r="J40" s="713" t="str">
        <f>J39</f>
        <v>THS</v>
      </c>
      <c r="K40" s="714">
        <f>K39</f>
        <v>2015</v>
      </c>
      <c r="L40" s="714"/>
      <c r="M40" s="714"/>
      <c r="N40" s="714"/>
      <c r="O40" s="715">
        <v>0</v>
      </c>
      <c r="P40" s="737"/>
      <c r="Q40" s="737"/>
      <c r="R40" s="737"/>
      <c r="S40" s="737"/>
      <c r="T40" s="737"/>
      <c r="U40" s="737"/>
      <c r="V40" s="737"/>
      <c r="W40" s="737"/>
      <c r="X40" s="737"/>
      <c r="Y40" s="737"/>
      <c r="Z40" s="737"/>
    </row>
    <row r="41" spans="1:26" ht="15" x14ac:dyDescent="0.25">
      <c r="A41" s="737">
        <f>A35</f>
        <v>2020</v>
      </c>
      <c r="B41" s="737" t="str">
        <f>B39</f>
        <v>THS</v>
      </c>
      <c r="C41" s="737" t="str">
        <f>C39</f>
        <v>GSLH</v>
      </c>
      <c r="F41" s="711" t="str">
        <f>"UC_"&amp;J41&amp;C41&amp;"FX"&amp;A41</f>
        <v>UC_THSGSLHFX2020</v>
      </c>
      <c r="G41" s="740" t="str">
        <f t="shared" ref="G41" si="12">IF(D41="",B41&amp;"*"&amp;C41&amp;"*",B41&amp;"*"&amp;C41&amp;"*"&amp;",-"&amp;B41&amp;"*"&amp;D41&amp;"*")</f>
        <v>THS*GSLH*</v>
      </c>
      <c r="H41" s="740"/>
      <c r="I41" s="740"/>
      <c r="J41" s="741" t="str">
        <f t="shared" ref="J41" si="13">B41</f>
        <v>THS</v>
      </c>
      <c r="K41" s="742">
        <f t="shared" ref="K41" si="14">A41</f>
        <v>2020</v>
      </c>
      <c r="L41" s="714" t="s">
        <v>1838</v>
      </c>
      <c r="M41" s="714">
        <v>0</v>
      </c>
      <c r="N41" s="714">
        <v>-1</v>
      </c>
      <c r="O41" s="715">
        <f>O42-1</f>
        <v>-1</v>
      </c>
    </row>
    <row r="42" spans="1:26" customFormat="1" ht="12" customHeight="1" x14ac:dyDescent="0.25">
      <c r="B42" s="35"/>
      <c r="C42" s="35"/>
      <c r="D42" s="35"/>
      <c r="F42" s="711"/>
      <c r="G42" s="712" t="str">
        <f>IF(D41="",B41&amp;"*"&amp;",-"&amp;B41&amp;"*"&amp;C41&amp;"*",B41&amp;"*"&amp;",-"&amp;B41&amp;"*"&amp;C41&amp;"*"&amp;","&amp;B41&amp;"*"&amp;D41&amp;"*")</f>
        <v>THS*,-THS*GSLH*</v>
      </c>
      <c r="H42" s="712"/>
      <c r="I42" s="713"/>
      <c r="J42" s="713" t="str">
        <f>J41</f>
        <v>THS</v>
      </c>
      <c r="K42" s="714">
        <f>K41</f>
        <v>2020</v>
      </c>
      <c r="L42" s="714"/>
      <c r="M42" s="714"/>
      <c r="N42" s="714"/>
      <c r="O42" s="715">
        <v>0</v>
      </c>
      <c r="P42" s="737"/>
      <c r="Q42" s="737"/>
      <c r="R42" s="737"/>
      <c r="S42" s="737"/>
      <c r="T42" s="737"/>
      <c r="U42" s="737"/>
      <c r="V42" s="737"/>
      <c r="W42" s="737"/>
      <c r="X42" s="737"/>
      <c r="Y42" s="737"/>
      <c r="Z42" s="737"/>
    </row>
    <row r="43" spans="1:26" ht="15" x14ac:dyDescent="0.25">
      <c r="A43" s="737">
        <f>A37</f>
        <v>2025</v>
      </c>
      <c r="B43" s="737" t="str">
        <f t="shared" ref="B43:C43" si="15">B41</f>
        <v>THS</v>
      </c>
      <c r="C43" s="737" t="str">
        <f t="shared" si="15"/>
        <v>GSLH</v>
      </c>
      <c r="F43" s="711" t="str">
        <f>"UC_"&amp;J43&amp;C43&amp;"FX"&amp;A43</f>
        <v>UC_THSGSLHFX2025</v>
      </c>
      <c r="G43" s="740" t="str">
        <f t="shared" ref="G43" si="16">IF(D43="",B43&amp;"*"&amp;C43&amp;"*",B43&amp;"*"&amp;C43&amp;"*"&amp;",-"&amp;B43&amp;"*"&amp;D43&amp;"*")</f>
        <v>THS*GSLH*</v>
      </c>
      <c r="H43" s="740"/>
      <c r="I43" s="740"/>
      <c r="J43" s="741" t="str">
        <f t="shared" ref="J43" si="17">B43</f>
        <v>THS</v>
      </c>
      <c r="K43" s="742">
        <f t="shared" ref="K43" si="18">A43</f>
        <v>2025</v>
      </c>
      <c r="L43" s="714" t="s">
        <v>1838</v>
      </c>
      <c r="M43" s="714">
        <v>0</v>
      </c>
      <c r="N43" s="714">
        <v>-1</v>
      </c>
      <c r="O43" s="715">
        <f>O44-1</f>
        <v>-1</v>
      </c>
    </row>
    <row r="44" spans="1:26" customFormat="1" ht="12" customHeight="1" x14ac:dyDescent="0.25">
      <c r="B44" s="35"/>
      <c r="C44" s="35"/>
      <c r="D44" s="35"/>
      <c r="F44" s="711"/>
      <c r="G44" s="712" t="str">
        <f>IF(D43="",B43&amp;"*"&amp;",-"&amp;B43&amp;"*"&amp;C43&amp;"*",B43&amp;"*"&amp;",-"&amp;B43&amp;"*"&amp;C43&amp;"*"&amp;","&amp;B43&amp;"*"&amp;D43&amp;"*")</f>
        <v>THS*,-THS*GSLH*</v>
      </c>
      <c r="H44" s="712"/>
      <c r="I44" s="713"/>
      <c r="J44" s="713" t="str">
        <f>J43</f>
        <v>THS</v>
      </c>
      <c r="K44" s="714">
        <f>K43</f>
        <v>2025</v>
      </c>
      <c r="L44" s="714"/>
      <c r="M44" s="714"/>
      <c r="N44" s="714"/>
      <c r="O44" s="715">
        <v>0</v>
      </c>
      <c r="P44" s="737"/>
      <c r="Q44" s="737"/>
      <c r="R44" s="737"/>
      <c r="S44" s="737"/>
      <c r="T44" s="737"/>
      <c r="U44" s="737"/>
      <c r="V44" s="737"/>
      <c r="W44" s="737"/>
      <c r="X44" s="737"/>
      <c r="Y44" s="737"/>
      <c r="Z44" s="737"/>
    </row>
    <row r="45" spans="1:26" ht="15" x14ac:dyDescent="0.25">
      <c r="A45" s="737">
        <f>A33</f>
        <v>2015</v>
      </c>
      <c r="B45" s="737" t="str">
        <f>B37</f>
        <v>THS</v>
      </c>
      <c r="C45" s="737" t="s">
        <v>1843</v>
      </c>
      <c r="F45" s="711" t="str">
        <f>"UC_"&amp;J45&amp;C45&amp;"FX"&amp;A45</f>
        <v>UC_THSH2GFX2015</v>
      </c>
      <c r="G45" s="740" t="str">
        <f t="shared" ref="G45" si="19">IF(D45="",B45&amp;"*"&amp;C45&amp;"*",B45&amp;"*"&amp;C45&amp;"*"&amp;",-"&amp;B45&amp;"*"&amp;D45&amp;"*")</f>
        <v>THS*H2G*</v>
      </c>
      <c r="H45" s="740"/>
      <c r="I45" s="740"/>
      <c r="J45" s="741" t="str">
        <f t="shared" ref="J45" si="20">B45</f>
        <v>THS</v>
      </c>
      <c r="K45" s="742">
        <f t="shared" ref="K45" si="21">A45</f>
        <v>2015</v>
      </c>
      <c r="L45" s="714" t="s">
        <v>1838</v>
      </c>
      <c r="M45" s="714">
        <v>0</v>
      </c>
      <c r="N45" s="714">
        <v>-1</v>
      </c>
      <c r="O45" s="715">
        <f>O46-1</f>
        <v>-1</v>
      </c>
    </row>
    <row r="46" spans="1:26" customFormat="1" ht="12" customHeight="1" x14ac:dyDescent="0.25">
      <c r="B46" s="35"/>
      <c r="C46" s="35"/>
      <c r="D46" s="35"/>
      <c r="F46" s="711"/>
      <c r="G46" s="712" t="str">
        <f>IF(D45="",B45&amp;"*"&amp;",-"&amp;B45&amp;"*"&amp;C45&amp;"*",B45&amp;"*"&amp;",-"&amp;B45&amp;"*"&amp;C45&amp;"*"&amp;","&amp;B45&amp;"*"&amp;D45&amp;"*")</f>
        <v>THS*,-THS*H2G*</v>
      </c>
      <c r="H46" s="712"/>
      <c r="I46" s="713"/>
      <c r="J46" s="713" t="str">
        <f>J45</f>
        <v>THS</v>
      </c>
      <c r="K46" s="714">
        <f>K45</f>
        <v>2015</v>
      </c>
      <c r="L46" s="714"/>
      <c r="M46" s="714"/>
      <c r="N46" s="714"/>
      <c r="O46" s="715">
        <v>0</v>
      </c>
      <c r="P46" s="737"/>
      <c r="Q46" s="737"/>
      <c r="R46" s="737"/>
      <c r="S46" s="737"/>
      <c r="T46" s="737"/>
      <c r="U46" s="737"/>
      <c r="V46" s="737"/>
      <c r="W46" s="737"/>
      <c r="X46" s="737"/>
      <c r="Y46" s="737"/>
      <c r="Z46" s="737"/>
    </row>
    <row r="47" spans="1:26" ht="15" x14ac:dyDescent="0.25">
      <c r="A47" s="737">
        <f>A35</f>
        <v>2020</v>
      </c>
      <c r="B47" s="737" t="str">
        <f>B45</f>
        <v>THS</v>
      </c>
      <c r="C47" s="737" t="str">
        <f>C45</f>
        <v>H2G</v>
      </c>
      <c r="F47" s="711" t="str">
        <f>"UC_"&amp;J47&amp;C47&amp;"FX"&amp;A47</f>
        <v>UC_THSH2GFX2020</v>
      </c>
      <c r="G47" s="740" t="str">
        <f t="shared" ref="G47" si="22">IF(D47="",B47&amp;"*"&amp;C47&amp;"*",B47&amp;"*"&amp;C47&amp;"*"&amp;",-"&amp;B47&amp;"*"&amp;D47&amp;"*")</f>
        <v>THS*H2G*</v>
      </c>
      <c r="H47" s="740"/>
      <c r="I47" s="740"/>
      <c r="J47" s="741" t="str">
        <f t="shared" ref="J47" si="23">B47</f>
        <v>THS</v>
      </c>
      <c r="K47" s="742">
        <f t="shared" ref="K47" si="24">A47</f>
        <v>2020</v>
      </c>
      <c r="L47" s="714" t="s">
        <v>1838</v>
      </c>
      <c r="M47" s="714">
        <v>0</v>
      </c>
      <c r="N47" s="714">
        <v>-1</v>
      </c>
      <c r="O47" s="715">
        <f>O48-1</f>
        <v>-1</v>
      </c>
    </row>
    <row r="48" spans="1:26" customFormat="1" ht="12" customHeight="1" x14ac:dyDescent="0.25">
      <c r="B48" s="35"/>
      <c r="C48" s="35"/>
      <c r="D48" s="35"/>
      <c r="F48" s="711"/>
      <c r="G48" s="712" t="str">
        <f>IF(D47="",B47&amp;"*"&amp;",-"&amp;B47&amp;"*"&amp;C47&amp;"*",B47&amp;"*"&amp;",-"&amp;B47&amp;"*"&amp;C47&amp;"*"&amp;","&amp;B47&amp;"*"&amp;D47&amp;"*")</f>
        <v>THS*,-THS*H2G*</v>
      </c>
      <c r="H48" s="712"/>
      <c r="I48" s="713"/>
      <c r="J48" s="713" t="str">
        <f>J47</f>
        <v>THS</v>
      </c>
      <c r="K48" s="714">
        <f>K47</f>
        <v>2020</v>
      </c>
      <c r="L48" s="714"/>
      <c r="M48" s="714"/>
      <c r="N48" s="714"/>
      <c r="O48" s="715">
        <v>0</v>
      </c>
      <c r="P48" s="737"/>
      <c r="Q48" s="737"/>
      <c r="R48" s="737"/>
      <c r="S48" s="737"/>
      <c r="T48" s="737"/>
      <c r="U48" s="737"/>
      <c r="V48" s="737"/>
      <c r="W48" s="737"/>
      <c r="X48" s="737"/>
      <c r="Y48" s="737"/>
      <c r="Z48" s="737"/>
    </row>
    <row r="49" spans="1:26" ht="15" x14ac:dyDescent="0.25">
      <c r="A49" s="737">
        <f>A37</f>
        <v>2025</v>
      </c>
      <c r="B49" s="737" t="str">
        <f t="shared" ref="B49:C49" si="25">B47</f>
        <v>THS</v>
      </c>
      <c r="C49" s="737" t="str">
        <f t="shared" si="25"/>
        <v>H2G</v>
      </c>
      <c r="F49" s="711" t="str">
        <f>"UC_"&amp;J49&amp;C49&amp;"FX"&amp;A49</f>
        <v>UC_THSH2GFX2025</v>
      </c>
      <c r="G49" s="740" t="str">
        <f t="shared" ref="G49" si="26">IF(D49="",B49&amp;"*"&amp;C49&amp;"*",B49&amp;"*"&amp;C49&amp;"*"&amp;",-"&amp;B49&amp;"*"&amp;D49&amp;"*")</f>
        <v>THS*H2G*</v>
      </c>
      <c r="H49" s="740"/>
      <c r="I49" s="740"/>
      <c r="J49" s="741" t="str">
        <f t="shared" ref="J49" si="27">B49</f>
        <v>THS</v>
      </c>
      <c r="K49" s="742">
        <f t="shared" ref="K49" si="28">A49</f>
        <v>2025</v>
      </c>
      <c r="L49" s="714" t="s">
        <v>1838</v>
      </c>
      <c r="M49" s="714">
        <v>0</v>
      </c>
      <c r="N49" s="714">
        <v>-1</v>
      </c>
      <c r="O49" s="715">
        <f>O50-1</f>
        <v>-1</v>
      </c>
    </row>
    <row r="50" spans="1:26" customFormat="1" ht="12" customHeight="1" x14ac:dyDescent="0.25">
      <c r="B50" s="35"/>
      <c r="C50" s="35"/>
      <c r="D50" s="35"/>
      <c r="F50" s="711"/>
      <c r="G50" s="712" t="str">
        <f>IF(D49="",B49&amp;"*"&amp;",-"&amp;B49&amp;"*"&amp;C49&amp;"*",B49&amp;"*"&amp;",-"&amp;B49&amp;"*"&amp;C49&amp;"*"&amp;","&amp;B49&amp;"*"&amp;D49&amp;"*")</f>
        <v>THS*,-THS*H2G*</v>
      </c>
      <c r="H50" s="712"/>
      <c r="I50" s="713"/>
      <c r="J50" s="713" t="str">
        <f>J49</f>
        <v>THS</v>
      </c>
      <c r="K50" s="714">
        <f>K49</f>
        <v>2025</v>
      </c>
      <c r="L50" s="714"/>
      <c r="M50" s="714"/>
      <c r="N50" s="714"/>
      <c r="O50" s="715">
        <v>0</v>
      </c>
      <c r="P50" s="737"/>
      <c r="Q50" s="737"/>
      <c r="R50" s="737"/>
      <c r="S50" s="737"/>
      <c r="T50" s="737"/>
      <c r="U50" s="737"/>
      <c r="V50" s="737"/>
      <c r="W50" s="737"/>
      <c r="X50" s="737"/>
      <c r="Y50" s="737"/>
      <c r="Z50" s="737"/>
    </row>
    <row r="51" spans="1:26" ht="15" x14ac:dyDescent="0.25">
      <c r="A51" s="737">
        <f>A33</f>
        <v>2015</v>
      </c>
      <c r="B51" s="737" t="str">
        <f>'ON-Road Historical share'!L26</f>
        <v>TM</v>
      </c>
      <c r="C51" s="737" t="str">
        <f>'ON-Road Historical share'!M26</f>
        <v>CNG</v>
      </c>
      <c r="F51" s="711" t="str">
        <f>"UC_"&amp;J51&amp;C51&amp;"FX"&amp;A51</f>
        <v>UC_TMCNGFX2015</v>
      </c>
      <c r="G51" s="740" t="str">
        <f t="shared" si="0"/>
        <v>TM*CNG*</v>
      </c>
      <c r="H51" s="740"/>
      <c r="I51" s="740"/>
      <c r="J51" s="741" t="str">
        <f t="shared" si="1"/>
        <v>TM</v>
      </c>
      <c r="K51" s="742">
        <f t="shared" si="2"/>
        <v>2015</v>
      </c>
      <c r="L51" s="714" t="s">
        <v>1838</v>
      </c>
      <c r="M51" s="714">
        <v>0</v>
      </c>
      <c r="N51" s="714">
        <v>-1</v>
      </c>
      <c r="O51" s="715">
        <f>O52-1</f>
        <v>-0.99595975624016908</v>
      </c>
    </row>
    <row r="52" spans="1:26" customFormat="1" ht="12" customHeight="1" x14ac:dyDescent="0.25">
      <c r="B52" s="35"/>
      <c r="C52" s="35"/>
      <c r="D52" s="35"/>
      <c r="F52" s="711"/>
      <c r="G52" s="712" t="str">
        <f>IF(D51="",B51&amp;"*"&amp;",-"&amp;B51&amp;"*"&amp;C51&amp;"*",B51&amp;"*"&amp;",-"&amp;B51&amp;"*"&amp;C51&amp;"*"&amp;","&amp;B51&amp;"*"&amp;D51&amp;"*")</f>
        <v>TM*,-TM*CNG*</v>
      </c>
      <c r="H52" s="712"/>
      <c r="I52" s="713"/>
      <c r="J52" s="713" t="str">
        <f>J51</f>
        <v>TM</v>
      </c>
      <c r="K52" s="714">
        <f>K51</f>
        <v>2015</v>
      </c>
      <c r="L52" s="714"/>
      <c r="M52" s="714"/>
      <c r="N52" s="714"/>
      <c r="O52" s="715">
        <f>'ON-Road Historical share'!U26</f>
        <v>4.0402437598308751E-3</v>
      </c>
      <c r="P52" s="737"/>
      <c r="Q52" s="737"/>
      <c r="R52" s="737"/>
      <c r="S52" s="737"/>
      <c r="T52" s="737"/>
      <c r="U52" s="737"/>
      <c r="V52" s="737"/>
      <c r="W52" s="737"/>
      <c r="X52" s="737"/>
      <c r="Y52" s="737"/>
      <c r="Z52" s="737"/>
    </row>
    <row r="53" spans="1:26" ht="15" x14ac:dyDescent="0.25">
      <c r="A53" s="737">
        <f>A35</f>
        <v>2020</v>
      </c>
      <c r="B53" s="737" t="str">
        <f>B51</f>
        <v>TM</v>
      </c>
      <c r="C53" s="737" t="str">
        <f>C51</f>
        <v>CNG</v>
      </c>
      <c r="F53" s="711" t="str">
        <f>"UC_"&amp;J53&amp;C53&amp;"FX"&amp;A53</f>
        <v>UC_TMCNGFX2020</v>
      </c>
      <c r="G53" s="740" t="str">
        <f t="shared" si="0"/>
        <v>TM*CNG*</v>
      </c>
      <c r="H53" s="740"/>
      <c r="I53" s="740"/>
      <c r="J53" s="741" t="str">
        <f t="shared" si="1"/>
        <v>TM</v>
      </c>
      <c r="K53" s="742">
        <f t="shared" si="2"/>
        <v>2020</v>
      </c>
      <c r="L53" s="714" t="s">
        <v>1838</v>
      </c>
      <c r="M53" s="714">
        <v>0</v>
      </c>
      <c r="N53" s="714">
        <v>-1</v>
      </c>
      <c r="O53" s="715">
        <f>O54-1</f>
        <v>-0.99858323411953898</v>
      </c>
    </row>
    <row r="54" spans="1:26" customFormat="1" ht="12" customHeight="1" x14ac:dyDescent="0.25">
      <c r="B54" s="35"/>
      <c r="C54" s="35"/>
      <c r="D54" s="35"/>
      <c r="F54" s="711"/>
      <c r="G54" s="712" t="str">
        <f>IF(D53="",B53&amp;"*"&amp;",-"&amp;B53&amp;"*"&amp;C53&amp;"*",B53&amp;"*"&amp;",-"&amp;B53&amp;"*"&amp;C53&amp;"*"&amp;","&amp;B53&amp;"*"&amp;D53&amp;"*")</f>
        <v>TM*,-TM*CNG*</v>
      </c>
      <c r="H54" s="712"/>
      <c r="I54" s="713"/>
      <c r="J54" s="713" t="str">
        <f>J53</f>
        <v>TM</v>
      </c>
      <c r="K54" s="714">
        <f>K53</f>
        <v>2020</v>
      </c>
      <c r="L54" s="714"/>
      <c r="M54" s="714"/>
      <c r="N54" s="714"/>
      <c r="O54" s="715">
        <f>'ON-Road Historical share'!V26</f>
        <v>1.4167658804610332E-3</v>
      </c>
      <c r="P54" s="737"/>
      <c r="Q54" s="737"/>
      <c r="R54" s="737"/>
      <c r="S54" s="737"/>
      <c r="T54" s="737"/>
      <c r="U54" s="737"/>
      <c r="V54" s="737"/>
      <c r="W54" s="737"/>
      <c r="X54" s="737"/>
      <c r="Y54" s="737"/>
      <c r="Z54" s="737"/>
    </row>
    <row r="55" spans="1:26" ht="15" x14ac:dyDescent="0.25">
      <c r="A55" s="737">
        <f>A37</f>
        <v>2025</v>
      </c>
      <c r="B55" s="737" t="str">
        <f t="shared" ref="B55:C55" si="29">B53</f>
        <v>TM</v>
      </c>
      <c r="C55" s="737" t="str">
        <f t="shared" si="29"/>
        <v>CNG</v>
      </c>
      <c r="F55" s="711" t="str">
        <f>"UC_"&amp;J55&amp;C55&amp;"FX"&amp;A55</f>
        <v>UC_TMCNGFX2025</v>
      </c>
      <c r="G55" s="740" t="str">
        <f t="shared" si="0"/>
        <v>TM*CNG*</v>
      </c>
      <c r="H55" s="740"/>
      <c r="I55" s="740"/>
      <c r="J55" s="741" t="str">
        <f t="shared" si="1"/>
        <v>TM</v>
      </c>
      <c r="K55" s="742">
        <f t="shared" si="2"/>
        <v>2025</v>
      </c>
      <c r="L55" s="714" t="s">
        <v>1838</v>
      </c>
      <c r="M55" s="714">
        <v>0</v>
      </c>
      <c r="N55" s="714">
        <v>-1</v>
      </c>
      <c r="O55" s="715">
        <f>O56-1</f>
        <v>-0.99965704883451645</v>
      </c>
    </row>
    <row r="56" spans="1:26" customFormat="1" ht="12" customHeight="1" x14ac:dyDescent="0.25">
      <c r="B56" s="35"/>
      <c r="C56" s="35"/>
      <c r="D56" s="35"/>
      <c r="F56" s="711"/>
      <c r="G56" s="712" t="str">
        <f>IF(D55="",B55&amp;"*"&amp;",-"&amp;B55&amp;"*"&amp;C55&amp;"*",B55&amp;"*"&amp;",-"&amp;B55&amp;"*"&amp;C55&amp;"*"&amp;","&amp;B55&amp;"*"&amp;D55&amp;"*")</f>
        <v>TM*,-TM*CNG*</v>
      </c>
      <c r="H56" s="712"/>
      <c r="I56" s="713"/>
      <c r="J56" s="713" t="str">
        <f>J55</f>
        <v>TM</v>
      </c>
      <c r="K56" s="714">
        <f>K55</f>
        <v>2025</v>
      </c>
      <c r="L56" s="714"/>
      <c r="M56" s="714"/>
      <c r="N56" s="714"/>
      <c r="O56" s="715">
        <f>'ON-Road Historical share'!W26</f>
        <v>3.4295116548357425E-4</v>
      </c>
      <c r="P56" s="737"/>
      <c r="Q56" s="737"/>
      <c r="R56" s="737"/>
      <c r="S56" s="737"/>
      <c r="T56" s="737"/>
      <c r="U56" s="737"/>
      <c r="V56" s="737"/>
      <c r="W56" s="737"/>
      <c r="X56" s="737"/>
      <c r="Y56" s="737"/>
      <c r="Z56" s="737"/>
    </row>
    <row r="57" spans="1:26" ht="17.25" customHeight="1" x14ac:dyDescent="0.25">
      <c r="A57" s="737">
        <f>A51</f>
        <v>2015</v>
      </c>
      <c r="B57" s="737" t="str">
        <f>'ON-Road Historical share'!L27</f>
        <v>TM</v>
      </c>
      <c r="C57" s="737" t="str">
        <f>'ON-Road Historical share'!M27</f>
        <v>DSL</v>
      </c>
      <c r="D57" s="737" t="str">
        <f>'ON-Road Historical share'!N27</f>
        <v>DSLAH</v>
      </c>
      <c r="F57" s="711" t="str">
        <f>"UC_"&amp;J57&amp;C57&amp;"FX"&amp;A57</f>
        <v>UC_TMDSLFX2015</v>
      </c>
      <c r="G57" s="740" t="str">
        <f t="shared" ref="G57:G61" si="30">IF(D57="",B57&amp;"*"&amp;C57&amp;"*",B57&amp;"*"&amp;C57&amp;"*"&amp;",-"&amp;B57&amp;"*"&amp;D57&amp;"*")</f>
        <v>TM*DSL*,-TM*DSLAH*</v>
      </c>
      <c r="H57" s="740"/>
      <c r="I57" s="740"/>
      <c r="J57" s="741" t="str">
        <f t="shared" si="1"/>
        <v>TM</v>
      </c>
      <c r="K57" s="742">
        <f t="shared" si="2"/>
        <v>2015</v>
      </c>
      <c r="L57" s="714" t="s">
        <v>1838</v>
      </c>
      <c r="M57" s="714">
        <v>0</v>
      </c>
      <c r="N57" s="714">
        <v>-1</v>
      </c>
      <c r="O57" s="715">
        <f>O58-1</f>
        <v>-0.70703805146859855</v>
      </c>
    </row>
    <row r="58" spans="1:26" customFormat="1" ht="12" customHeight="1" x14ac:dyDescent="0.25">
      <c r="B58" s="35"/>
      <c r="C58" s="35"/>
      <c r="D58" s="35"/>
      <c r="F58" s="711"/>
      <c r="G58" s="712" t="str">
        <f>IF(D57="",B57&amp;"*"&amp;",-"&amp;B57&amp;"*"&amp;C57&amp;"*",B57&amp;"*"&amp;",-"&amp;B57&amp;"*"&amp;C57&amp;"*"&amp;","&amp;B57&amp;"*"&amp;D57&amp;"*")</f>
        <v>TM*,-TM*DSL*,TM*DSLAH*</v>
      </c>
      <c r="H58" s="712"/>
      <c r="I58" s="713"/>
      <c r="J58" s="713" t="str">
        <f>J57</f>
        <v>TM</v>
      </c>
      <c r="K58" s="714">
        <f>K57</f>
        <v>2015</v>
      </c>
      <c r="L58" s="714"/>
      <c r="M58" s="714"/>
      <c r="N58" s="714"/>
      <c r="O58" s="715">
        <f>'ON-Road Historical share'!U27</f>
        <v>0.29296194853140145</v>
      </c>
      <c r="P58" s="737"/>
      <c r="Q58" s="737"/>
      <c r="R58" s="737"/>
      <c r="S58" s="737"/>
      <c r="T58" s="737"/>
      <c r="U58" s="737"/>
      <c r="V58" s="737"/>
      <c r="W58" s="737"/>
      <c r="X58" s="737"/>
      <c r="Y58" s="737"/>
      <c r="Z58" s="737"/>
    </row>
    <row r="59" spans="1:26" ht="15" x14ac:dyDescent="0.25">
      <c r="A59" s="737">
        <f>A53</f>
        <v>2020</v>
      </c>
      <c r="B59" s="737" t="str">
        <f>B57</f>
        <v>TM</v>
      </c>
      <c r="C59" s="737" t="str">
        <f>C57</f>
        <v>DSL</v>
      </c>
      <c r="D59" s="737" t="str">
        <f>D57</f>
        <v>DSLAH</v>
      </c>
      <c r="F59" s="711" t="str">
        <f>"UC_"&amp;J59&amp;C59&amp;"FX"&amp;A59</f>
        <v>UC_TMDSLFX2020</v>
      </c>
      <c r="G59" s="740" t="str">
        <f t="shared" si="30"/>
        <v>TM*DSL*,-TM*DSLAH*</v>
      </c>
      <c r="H59" s="740"/>
      <c r="I59" s="740"/>
      <c r="J59" s="741" t="str">
        <f t="shared" si="1"/>
        <v>TM</v>
      </c>
      <c r="K59" s="742">
        <f t="shared" si="2"/>
        <v>2020</v>
      </c>
      <c r="L59" s="714" t="s">
        <v>1838</v>
      </c>
      <c r="M59" s="714">
        <v>0</v>
      </c>
      <c r="N59" s="714">
        <v>-1</v>
      </c>
      <c r="O59" s="715">
        <f>O60-1</f>
        <v>-0.86653309304525761</v>
      </c>
    </row>
    <row r="60" spans="1:26" customFormat="1" ht="12" customHeight="1" x14ac:dyDescent="0.25">
      <c r="B60" s="35"/>
      <c r="C60" s="35"/>
      <c r="D60" s="35"/>
      <c r="F60" s="711"/>
      <c r="G60" s="712" t="str">
        <f>IF(D59="",B59&amp;"*"&amp;",-"&amp;B59&amp;"*"&amp;C59&amp;"*",B59&amp;"*"&amp;",-"&amp;B59&amp;"*"&amp;C59&amp;"*"&amp;","&amp;B59&amp;"*"&amp;D59&amp;"*")</f>
        <v>TM*,-TM*DSL*,TM*DSLAH*</v>
      </c>
      <c r="H60" s="712"/>
      <c r="I60" s="713"/>
      <c r="J60" s="713" t="str">
        <f>J59</f>
        <v>TM</v>
      </c>
      <c r="K60" s="714">
        <f>K59</f>
        <v>2020</v>
      </c>
      <c r="L60" s="714"/>
      <c r="M60" s="714"/>
      <c r="N60" s="714"/>
      <c r="O60" s="715">
        <f>'ON-Road Historical share'!V27</f>
        <v>0.13346690695474239</v>
      </c>
      <c r="P60" s="737"/>
      <c r="Q60" s="737"/>
      <c r="R60" s="737"/>
      <c r="S60" s="737"/>
      <c r="T60" s="737"/>
      <c r="U60" s="737"/>
      <c r="V60" s="737"/>
      <c r="W60" s="737"/>
      <c r="X60" s="737"/>
      <c r="Y60" s="737"/>
      <c r="Z60" s="737"/>
    </row>
    <row r="61" spans="1:26" ht="15" x14ac:dyDescent="0.25">
      <c r="A61" s="737">
        <f>A55</f>
        <v>2025</v>
      </c>
      <c r="B61" s="737" t="str">
        <f t="shared" ref="B61:C61" si="31">B59</f>
        <v>TM</v>
      </c>
      <c r="C61" s="737" t="str">
        <f t="shared" si="31"/>
        <v>DSL</v>
      </c>
      <c r="D61" s="737" t="str">
        <f>D59</f>
        <v>DSLAH</v>
      </c>
      <c r="F61" s="711" t="str">
        <f>"UC_"&amp;J61&amp;C61&amp;"FX"&amp;A61</f>
        <v>UC_TMDSLFX2025</v>
      </c>
      <c r="G61" s="740" t="str">
        <f t="shared" si="30"/>
        <v>TM*DSL*,-TM*DSLAH*</v>
      </c>
      <c r="H61" s="740"/>
      <c r="I61" s="740"/>
      <c r="J61" s="741" t="str">
        <f t="shared" si="1"/>
        <v>TM</v>
      </c>
      <c r="K61" s="742">
        <f t="shared" si="2"/>
        <v>2025</v>
      </c>
      <c r="L61" s="714" t="s">
        <v>1838</v>
      </c>
      <c r="M61" s="714">
        <v>0</v>
      </c>
      <c r="N61" s="714">
        <v>-1</v>
      </c>
      <c r="O61" s="715">
        <f>O62-1</f>
        <v>-0.93181957727159226</v>
      </c>
    </row>
    <row r="62" spans="1:26" customFormat="1" ht="12" customHeight="1" x14ac:dyDescent="0.25">
      <c r="B62" s="35"/>
      <c r="C62" s="35"/>
      <c r="D62" s="35"/>
      <c r="F62" s="711"/>
      <c r="G62" s="712" t="str">
        <f>IF(D61="",B61&amp;"*"&amp;",-"&amp;B61&amp;"*"&amp;C61&amp;"*",B61&amp;"*"&amp;",-"&amp;B61&amp;"*"&amp;C61&amp;"*"&amp;","&amp;B61&amp;"*"&amp;D61&amp;"*")</f>
        <v>TM*,-TM*DSL*,TM*DSLAH*</v>
      </c>
      <c r="H62" s="712"/>
      <c r="I62" s="713"/>
      <c r="J62" s="713" t="str">
        <f>J61</f>
        <v>TM</v>
      </c>
      <c r="K62" s="714">
        <f>K61</f>
        <v>2025</v>
      </c>
      <c r="L62" s="714"/>
      <c r="M62" s="714"/>
      <c r="N62" s="714"/>
      <c r="O62" s="715">
        <f>'ON-Road Historical share'!W27</f>
        <v>6.8180422728407769E-2</v>
      </c>
      <c r="P62" s="737"/>
      <c r="Q62" s="737"/>
      <c r="R62" s="737"/>
      <c r="S62" s="737"/>
      <c r="T62" s="737"/>
      <c r="U62" s="737"/>
      <c r="V62" s="737"/>
      <c r="W62" s="737"/>
      <c r="X62" s="737"/>
      <c r="Y62" s="737"/>
      <c r="Z62" s="737"/>
    </row>
    <row r="63" spans="1:26" ht="17.25" customHeight="1" x14ac:dyDescent="0.25">
      <c r="A63" s="737">
        <f>A57</f>
        <v>2015</v>
      </c>
      <c r="B63" s="737" t="str">
        <f>B57</f>
        <v>TM</v>
      </c>
      <c r="C63" s="737" t="s">
        <v>1813</v>
      </c>
      <c r="F63" s="711" t="str">
        <f>"UC_"&amp;J63&amp;C63&amp;"FX"&amp;A63</f>
        <v>UC_TMDSLAHFX2015</v>
      </c>
      <c r="G63" s="740" t="str">
        <f t="shared" ref="G63" si="32">IF(D63="",B63&amp;"*"&amp;C63&amp;"*",B63&amp;"*"&amp;C63&amp;"*"&amp;",-"&amp;B63&amp;"*"&amp;D63&amp;"*")</f>
        <v>TM*DSLAH*</v>
      </c>
      <c r="H63" s="740"/>
      <c r="I63" s="740"/>
      <c r="J63" s="741" t="str">
        <f t="shared" ref="J63" si="33">B63</f>
        <v>TM</v>
      </c>
      <c r="K63" s="742">
        <f t="shared" ref="K63" si="34">A63</f>
        <v>2015</v>
      </c>
      <c r="L63" s="714" t="s">
        <v>1838</v>
      </c>
      <c r="M63" s="714">
        <v>0</v>
      </c>
      <c r="N63" s="714">
        <v>-1</v>
      </c>
      <c r="O63" s="715">
        <f>O64-1</f>
        <v>-1</v>
      </c>
    </row>
    <row r="64" spans="1:26" customFormat="1" ht="12" customHeight="1" x14ac:dyDescent="0.25">
      <c r="B64" s="35"/>
      <c r="C64" s="35"/>
      <c r="D64" s="35"/>
      <c r="F64" s="711"/>
      <c r="G64" s="712" t="str">
        <f>IF(D63="",B63&amp;"*"&amp;",-"&amp;B63&amp;"*"&amp;C63&amp;"*",B63&amp;"*"&amp;",-"&amp;B63&amp;"*"&amp;C63&amp;"*"&amp;","&amp;B63&amp;"*"&amp;D63&amp;"*")</f>
        <v>TM*,-TM*DSLAH*</v>
      </c>
      <c r="H64" s="712"/>
      <c r="I64" s="713"/>
      <c r="J64" s="713" t="str">
        <f>J63</f>
        <v>TM</v>
      </c>
      <c r="K64" s="714">
        <f>K63</f>
        <v>2015</v>
      </c>
      <c r="L64" s="714"/>
      <c r="M64" s="714"/>
      <c r="N64" s="714"/>
      <c r="O64" s="715">
        <v>0</v>
      </c>
      <c r="P64" s="737"/>
      <c r="Q64" s="737"/>
      <c r="R64" s="737"/>
      <c r="S64" s="737"/>
      <c r="T64" s="737"/>
      <c r="U64" s="737"/>
      <c r="V64" s="737"/>
      <c r="W64" s="737"/>
      <c r="X64" s="737"/>
      <c r="Y64" s="737"/>
      <c r="Z64" s="737"/>
    </row>
    <row r="65" spans="1:26" ht="15" x14ac:dyDescent="0.25">
      <c r="A65" s="737">
        <f>A59</f>
        <v>2020</v>
      </c>
      <c r="B65" s="737" t="str">
        <f>B63</f>
        <v>TM</v>
      </c>
      <c r="C65" s="737" t="str">
        <f>C63</f>
        <v>DSLAH</v>
      </c>
      <c r="F65" s="711" t="str">
        <f>"UC_"&amp;J65&amp;C65&amp;"FX"&amp;A65</f>
        <v>UC_TMDSLAHFX2020</v>
      </c>
      <c r="G65" s="740" t="str">
        <f t="shared" ref="G65" si="35">IF(D65="",B65&amp;"*"&amp;C65&amp;"*",B65&amp;"*"&amp;C65&amp;"*"&amp;",-"&amp;B65&amp;"*"&amp;D65&amp;"*")</f>
        <v>TM*DSLAH*</v>
      </c>
      <c r="H65" s="740"/>
      <c r="I65" s="740"/>
      <c r="J65" s="741" t="str">
        <f t="shared" ref="J65" si="36">B65</f>
        <v>TM</v>
      </c>
      <c r="K65" s="742">
        <f t="shared" ref="K65" si="37">A65</f>
        <v>2020</v>
      </c>
      <c r="L65" s="714" t="s">
        <v>1838</v>
      </c>
      <c r="M65" s="714">
        <v>0</v>
      </c>
      <c r="N65" s="714">
        <v>-1</v>
      </c>
      <c r="O65" s="715">
        <f>O66-1</f>
        <v>-1</v>
      </c>
    </row>
    <row r="66" spans="1:26" customFormat="1" ht="12" customHeight="1" x14ac:dyDescent="0.25">
      <c r="B66" s="35"/>
      <c r="C66" s="35"/>
      <c r="D66" s="35"/>
      <c r="F66" s="711"/>
      <c r="G66" s="712" t="str">
        <f>IF(D65="",B65&amp;"*"&amp;",-"&amp;B65&amp;"*"&amp;C65&amp;"*",B65&amp;"*"&amp;",-"&amp;B65&amp;"*"&amp;C65&amp;"*"&amp;","&amp;B65&amp;"*"&amp;D65&amp;"*")</f>
        <v>TM*,-TM*DSLAH*</v>
      </c>
      <c r="H66" s="712"/>
      <c r="I66" s="713"/>
      <c r="J66" s="713" t="str">
        <f>J65</f>
        <v>TM</v>
      </c>
      <c r="K66" s="714">
        <f>K65</f>
        <v>2020</v>
      </c>
      <c r="L66" s="714"/>
      <c r="M66" s="714"/>
      <c r="N66" s="714"/>
      <c r="O66" s="715">
        <v>0</v>
      </c>
      <c r="P66" s="737"/>
      <c r="Q66" s="737"/>
      <c r="R66" s="737"/>
      <c r="S66" s="737"/>
      <c r="T66" s="737"/>
      <c r="U66" s="737"/>
      <c r="V66" s="737"/>
      <c r="W66" s="737"/>
      <c r="X66" s="737"/>
      <c r="Y66" s="737"/>
      <c r="Z66" s="737"/>
    </row>
    <row r="67" spans="1:26" ht="15" x14ac:dyDescent="0.25">
      <c r="A67" s="737">
        <f>A61</f>
        <v>2025</v>
      </c>
      <c r="B67" s="737" t="str">
        <f t="shared" ref="B67:C67" si="38">B65</f>
        <v>TM</v>
      </c>
      <c r="C67" s="737" t="str">
        <f t="shared" si="38"/>
        <v>DSLAH</v>
      </c>
      <c r="F67" s="711" t="str">
        <f>"UC_"&amp;J67&amp;C67&amp;"FX"&amp;A67</f>
        <v>UC_TMDSLAHFX2025</v>
      </c>
      <c r="G67" s="740" t="str">
        <f t="shared" ref="G67" si="39">IF(D67="",B67&amp;"*"&amp;C67&amp;"*",B67&amp;"*"&amp;C67&amp;"*"&amp;",-"&amp;B67&amp;"*"&amp;D67&amp;"*")</f>
        <v>TM*DSLAH*</v>
      </c>
      <c r="H67" s="740"/>
      <c r="I67" s="740"/>
      <c r="J67" s="741" t="str">
        <f t="shared" ref="J67" si="40">B67</f>
        <v>TM</v>
      </c>
      <c r="K67" s="742">
        <f t="shared" ref="K67" si="41">A67</f>
        <v>2025</v>
      </c>
      <c r="L67" s="714" t="s">
        <v>1838</v>
      </c>
      <c r="M67" s="714">
        <v>0</v>
      </c>
      <c r="N67" s="714">
        <v>-1</v>
      </c>
      <c r="O67" s="715">
        <f>O68-1</f>
        <v>-1</v>
      </c>
    </row>
    <row r="68" spans="1:26" customFormat="1" ht="12" customHeight="1" x14ac:dyDescent="0.25">
      <c r="B68" s="35"/>
      <c r="C68" s="35"/>
      <c r="D68" s="35"/>
      <c r="F68" s="711"/>
      <c r="G68" s="712" t="str">
        <f>IF(D67="",B67&amp;"*"&amp;",-"&amp;B67&amp;"*"&amp;C67&amp;"*",B67&amp;"*"&amp;",-"&amp;B67&amp;"*"&amp;C67&amp;"*"&amp;","&amp;B67&amp;"*"&amp;D67&amp;"*")</f>
        <v>TM*,-TM*DSLAH*</v>
      </c>
      <c r="H68" s="712"/>
      <c r="I68" s="713"/>
      <c r="J68" s="713" t="str">
        <f>J67</f>
        <v>TM</v>
      </c>
      <c r="K68" s="714">
        <f>K67</f>
        <v>2025</v>
      </c>
      <c r="L68" s="714"/>
      <c r="M68" s="714"/>
      <c r="N68" s="714"/>
      <c r="O68" s="715">
        <v>0</v>
      </c>
      <c r="P68" s="737"/>
      <c r="Q68" s="737"/>
      <c r="R68" s="737"/>
      <c r="S68" s="737"/>
      <c r="T68" s="737"/>
      <c r="U68" s="737"/>
      <c r="V68" s="737"/>
      <c r="W68" s="737"/>
      <c r="X68" s="737"/>
      <c r="Y68" s="737"/>
      <c r="Z68" s="737"/>
    </row>
    <row r="69" spans="1:26" ht="15" x14ac:dyDescent="0.25">
      <c r="A69" s="737">
        <f>A57</f>
        <v>2015</v>
      </c>
      <c r="B69" s="737" t="str">
        <f>'ON-Road Historical share'!L28</f>
        <v>TM</v>
      </c>
      <c r="C69" s="737" t="str">
        <f>'ON-Road Historical share'!M28</f>
        <v>ELC</v>
      </c>
      <c r="F69" s="711" t="str">
        <f>"UC_"&amp;J69&amp;C69&amp;"FX"&amp;A69</f>
        <v>UC_TMELCFX2015</v>
      </c>
      <c r="G69" s="740" t="str">
        <f t="shared" ref="G69:G103" si="42">IF(D69="",B69&amp;"*"&amp;C69&amp;"*",B69&amp;"*"&amp;C69&amp;"*"&amp;",-"&amp;B69&amp;"*"&amp;D69)</f>
        <v>TM*ELC*</v>
      </c>
      <c r="H69" s="740"/>
      <c r="I69" s="740"/>
      <c r="J69" s="741" t="str">
        <f t="shared" ref="J69:J109" si="43">B69</f>
        <v>TM</v>
      </c>
      <c r="K69" s="742">
        <f t="shared" ref="K69:K109" si="44">A69</f>
        <v>2015</v>
      </c>
      <c r="L69" s="714" t="s">
        <v>1838</v>
      </c>
      <c r="M69" s="714">
        <v>0</v>
      </c>
      <c r="N69" s="714">
        <v>-1</v>
      </c>
      <c r="O69" s="715">
        <f>O70-1</f>
        <v>-1</v>
      </c>
    </row>
    <row r="70" spans="1:26" customFormat="1" ht="12" customHeight="1" x14ac:dyDescent="0.25">
      <c r="B70" s="35"/>
      <c r="C70" s="35"/>
      <c r="D70" s="35"/>
      <c r="F70" s="711"/>
      <c r="G70" s="712" t="str">
        <f>IF(D69="",B69&amp;"*"&amp;",-"&amp;B69&amp;"*"&amp;C69&amp;"*",B69&amp;"*"&amp;",-"&amp;B69&amp;"*"&amp;C69&amp;"*"&amp;","&amp;B69&amp;"*"&amp;D69&amp;"*")</f>
        <v>TM*,-TM*ELC*</v>
      </c>
      <c r="H70" s="712"/>
      <c r="I70" s="713"/>
      <c r="J70" s="713" t="str">
        <f>J69</f>
        <v>TM</v>
      </c>
      <c r="K70" s="714">
        <f>K69</f>
        <v>2015</v>
      </c>
      <c r="L70" s="714"/>
      <c r="M70" s="714"/>
      <c r="N70" s="714"/>
      <c r="O70" s="715">
        <f>'ON-Road Historical share'!U28</f>
        <v>0</v>
      </c>
      <c r="P70" s="737"/>
      <c r="Q70" s="737"/>
      <c r="R70" s="737"/>
      <c r="S70" s="737"/>
      <c r="T70" s="737"/>
      <c r="U70" s="737"/>
      <c r="V70" s="737"/>
      <c r="W70" s="737"/>
      <c r="X70" s="737"/>
      <c r="Y70" s="737"/>
      <c r="Z70" s="737"/>
    </row>
    <row r="71" spans="1:26" ht="15" x14ac:dyDescent="0.25">
      <c r="A71" s="737">
        <f>A59</f>
        <v>2020</v>
      </c>
      <c r="B71" s="737" t="str">
        <f t="shared" ref="B71:C71" si="45">B69</f>
        <v>TM</v>
      </c>
      <c r="C71" s="737" t="str">
        <f t="shared" si="45"/>
        <v>ELC</v>
      </c>
      <c r="F71" s="711" t="str">
        <f>"UC_"&amp;J71&amp;C71&amp;"FX"&amp;A71</f>
        <v>UC_TMELCFX2020</v>
      </c>
      <c r="G71" s="740" t="str">
        <f t="shared" si="42"/>
        <v>TM*ELC*</v>
      </c>
      <c r="H71" s="740"/>
      <c r="I71" s="740"/>
      <c r="J71" s="741" t="str">
        <f t="shared" si="43"/>
        <v>TM</v>
      </c>
      <c r="K71" s="742">
        <f t="shared" si="44"/>
        <v>2020</v>
      </c>
      <c r="L71" s="714" t="s">
        <v>1838</v>
      </c>
      <c r="M71" s="714">
        <v>0</v>
      </c>
      <c r="N71" s="714">
        <v>-1</v>
      </c>
      <c r="O71" s="715">
        <f>O72-1</f>
        <v>-0.99249297346329535</v>
      </c>
    </row>
    <row r="72" spans="1:26" customFormat="1" ht="12" customHeight="1" x14ac:dyDescent="0.25">
      <c r="B72" s="35"/>
      <c r="C72" s="35"/>
      <c r="D72" s="35"/>
      <c r="F72" s="711"/>
      <c r="G72" s="712" t="str">
        <f>IF(D71="",B71&amp;"*"&amp;",-"&amp;B71&amp;"*"&amp;C71&amp;"*",B71&amp;"*"&amp;",-"&amp;B71&amp;"*"&amp;C71&amp;"*"&amp;","&amp;B71&amp;"*"&amp;D71&amp;"*")</f>
        <v>TM*,-TM*ELC*</v>
      </c>
      <c r="H72" s="712"/>
      <c r="I72" s="713"/>
      <c r="J72" s="713" t="str">
        <f>J71</f>
        <v>TM</v>
      </c>
      <c r="K72" s="714">
        <f>K71</f>
        <v>2020</v>
      </c>
      <c r="L72" s="714"/>
      <c r="M72" s="714"/>
      <c r="N72" s="714"/>
      <c r="O72" s="715">
        <f>'ON-Road Historical share'!V28</f>
        <v>7.507026536704646E-3</v>
      </c>
      <c r="P72" s="737"/>
      <c r="Q72" s="737"/>
      <c r="R72" s="737"/>
      <c r="S72" s="737"/>
      <c r="T72" s="737"/>
      <c r="U72" s="737"/>
      <c r="V72" s="737"/>
      <c r="W72" s="737"/>
      <c r="X72" s="737"/>
      <c r="Y72" s="737"/>
      <c r="Z72" s="737"/>
    </row>
    <row r="73" spans="1:26" ht="15" x14ac:dyDescent="0.25">
      <c r="A73" s="737">
        <f>A61</f>
        <v>2025</v>
      </c>
      <c r="B73" s="737" t="str">
        <f t="shared" ref="B73:C73" si="46">B71</f>
        <v>TM</v>
      </c>
      <c r="C73" s="737" t="str">
        <f t="shared" si="46"/>
        <v>ELC</v>
      </c>
      <c r="F73" s="711" t="str">
        <f>"UC_"&amp;J73&amp;C73&amp;"FX"&amp;A73</f>
        <v>UC_TMELCFX2025</v>
      </c>
      <c r="G73" s="740" t="str">
        <f t="shared" si="42"/>
        <v>TM*ELC*</v>
      </c>
      <c r="H73" s="740"/>
      <c r="I73" s="740"/>
      <c r="J73" s="741" t="str">
        <f t="shared" si="43"/>
        <v>TM</v>
      </c>
      <c r="K73" s="742">
        <f t="shared" si="44"/>
        <v>2025</v>
      </c>
      <c r="L73" s="714" t="s">
        <v>1838</v>
      </c>
      <c r="M73" s="714">
        <v>0</v>
      </c>
      <c r="N73" s="714">
        <v>-1</v>
      </c>
      <c r="O73" s="715">
        <f>O74-1</f>
        <v>-0.98934446250082486</v>
      </c>
    </row>
    <row r="74" spans="1:26" customFormat="1" ht="12" customHeight="1" x14ac:dyDescent="0.25">
      <c r="B74" s="35"/>
      <c r="C74" s="35"/>
      <c r="D74" s="35"/>
      <c r="F74" s="711"/>
      <c r="G74" s="712" t="str">
        <f>IF(D73="",B73&amp;"*"&amp;",-"&amp;B73&amp;"*"&amp;C73&amp;"*",B73&amp;"*"&amp;",-"&amp;B73&amp;"*"&amp;C73&amp;"*"&amp;","&amp;B73&amp;"*"&amp;D73&amp;"*")</f>
        <v>TM*,-TM*ELC*</v>
      </c>
      <c r="H74" s="712"/>
      <c r="I74" s="713"/>
      <c r="J74" s="713" t="str">
        <f>J73</f>
        <v>TM</v>
      </c>
      <c r="K74" s="714">
        <f>K73</f>
        <v>2025</v>
      </c>
      <c r="L74" s="714"/>
      <c r="M74" s="714"/>
      <c r="N74" s="714"/>
      <c r="O74" s="715">
        <f>'ON-Road Historical share'!W28</f>
        <v>1.0655537499175098E-2</v>
      </c>
      <c r="P74" s="737"/>
      <c r="Q74" s="737"/>
      <c r="R74" s="737"/>
      <c r="S74" s="737"/>
      <c r="T74" s="737"/>
      <c r="U74" s="737"/>
      <c r="V74" s="737"/>
      <c r="W74" s="737"/>
      <c r="X74" s="737"/>
      <c r="Y74" s="737"/>
      <c r="Z74" s="737"/>
    </row>
    <row r="75" spans="1:26" ht="15" x14ac:dyDescent="0.25">
      <c r="A75" s="737">
        <f>A69</f>
        <v>2015</v>
      </c>
      <c r="B75" s="737" t="str">
        <f>'ON-Road Historical share'!L29</f>
        <v>TM</v>
      </c>
      <c r="C75" s="737" t="str">
        <f>'ON-Road Historical share'!M29</f>
        <v>GSL</v>
      </c>
      <c r="D75" s="737" t="str">
        <f>'ON-Road Historical share'!N29</f>
        <v>GSLAH</v>
      </c>
      <c r="F75" s="711" t="str">
        <f>"UC_"&amp;J75&amp;C75&amp;"FX"&amp;A75</f>
        <v>UC_TMGSLFX2015</v>
      </c>
      <c r="G75" s="740" t="str">
        <f t="shared" ref="G75:G79" si="47">IF(D75="",B75&amp;"*"&amp;C75&amp;"*",B75&amp;"*"&amp;C75&amp;"*"&amp;",-"&amp;B75&amp;"*"&amp;D75&amp;"*")</f>
        <v>TM*GSL*,-TM*GSLAH*</v>
      </c>
      <c r="H75" s="740"/>
      <c r="I75" s="740"/>
      <c r="J75" s="741" t="str">
        <f t="shared" si="43"/>
        <v>TM</v>
      </c>
      <c r="K75" s="742">
        <f t="shared" si="44"/>
        <v>2015</v>
      </c>
      <c r="L75" s="714" t="s">
        <v>1838</v>
      </c>
      <c r="M75" s="714">
        <v>0</v>
      </c>
      <c r="N75" s="714">
        <v>-1</v>
      </c>
      <c r="O75" s="715">
        <f>O76-1</f>
        <v>-0.29700219229123237</v>
      </c>
    </row>
    <row r="76" spans="1:26" customFormat="1" ht="12" customHeight="1" x14ac:dyDescent="0.25">
      <c r="B76" s="35"/>
      <c r="C76" s="35"/>
      <c r="D76" s="35"/>
      <c r="F76" s="711"/>
      <c r="G76" s="712" t="str">
        <f>IF(D75="",B75&amp;"*"&amp;",-"&amp;B75&amp;"*"&amp;C75&amp;"*",B75&amp;"*"&amp;",-"&amp;B75&amp;"*"&amp;C75&amp;"*"&amp;","&amp;B75&amp;"*"&amp;D75&amp;"*")</f>
        <v>TM*,-TM*GSL*,TM*GSLAH*</v>
      </c>
      <c r="H76" s="712"/>
      <c r="I76" s="713"/>
      <c r="J76" s="713" t="str">
        <f>J75</f>
        <v>TM</v>
      </c>
      <c r="K76" s="714">
        <f>K75</f>
        <v>2015</v>
      </c>
      <c r="L76" s="714"/>
      <c r="M76" s="714"/>
      <c r="N76" s="714"/>
      <c r="O76" s="715">
        <f>'ON-Road Historical share'!U29</f>
        <v>0.70299780770876763</v>
      </c>
      <c r="P76" s="737"/>
      <c r="Q76" s="737"/>
      <c r="R76" s="737"/>
      <c r="S76" s="737"/>
      <c r="T76" s="737"/>
      <c r="U76" s="737"/>
      <c r="V76" s="737"/>
      <c r="W76" s="737"/>
      <c r="X76" s="737"/>
      <c r="Y76" s="737"/>
      <c r="Z76" s="737"/>
    </row>
    <row r="77" spans="1:26" ht="15" x14ac:dyDescent="0.25">
      <c r="A77" s="737">
        <f>A71</f>
        <v>2020</v>
      </c>
      <c r="B77" s="737" t="str">
        <f t="shared" ref="B77:C77" si="48">B75</f>
        <v>TM</v>
      </c>
      <c r="C77" s="737" t="str">
        <f t="shared" si="48"/>
        <v>GSL</v>
      </c>
      <c r="D77" s="737" t="str">
        <f>D75</f>
        <v>GSLAH</v>
      </c>
      <c r="F77" s="711" t="str">
        <f>"UC_"&amp;J77&amp;C77&amp;"FX"&amp;A77</f>
        <v>UC_TMGSLFX2020</v>
      </c>
      <c r="G77" s="740" t="str">
        <f t="shared" si="47"/>
        <v>TM*GSL*,-TM*GSLAH*</v>
      </c>
      <c r="H77" s="740"/>
      <c r="I77" s="740"/>
      <c r="J77" s="741" t="str">
        <f t="shared" si="43"/>
        <v>TM</v>
      </c>
      <c r="K77" s="742">
        <f t="shared" si="44"/>
        <v>2020</v>
      </c>
      <c r="L77" s="714" t="s">
        <v>1838</v>
      </c>
      <c r="M77" s="714">
        <v>0</v>
      </c>
      <c r="N77" s="714">
        <v>-1</v>
      </c>
      <c r="O77" s="715">
        <f>O78-1</f>
        <v>-0.14458100530613927</v>
      </c>
    </row>
    <row r="78" spans="1:26" customFormat="1" ht="12" customHeight="1" x14ac:dyDescent="0.25">
      <c r="B78" s="35"/>
      <c r="C78" s="35"/>
      <c r="D78" s="35"/>
      <c r="F78" s="711"/>
      <c r="G78" s="712" t="str">
        <f>IF(D77="",B77&amp;"*"&amp;",-"&amp;B77&amp;"*"&amp;C77&amp;"*",B77&amp;"*"&amp;",-"&amp;B77&amp;"*"&amp;C77&amp;"*"&amp;","&amp;B77&amp;"*"&amp;D77&amp;"*")</f>
        <v>TM*,-TM*GSL*,TM*GSLAH*</v>
      </c>
      <c r="H78" s="712"/>
      <c r="I78" s="713"/>
      <c r="J78" s="713" t="str">
        <f>J77</f>
        <v>TM</v>
      </c>
      <c r="K78" s="714">
        <f>K77</f>
        <v>2020</v>
      </c>
      <c r="L78" s="714"/>
      <c r="M78" s="714"/>
      <c r="N78" s="714"/>
      <c r="O78" s="715">
        <f>'ON-Road Historical share'!V29</f>
        <v>0.85541899469386073</v>
      </c>
      <c r="P78" s="737"/>
      <c r="Q78" s="737"/>
      <c r="R78" s="737"/>
      <c r="S78" s="737"/>
      <c r="T78" s="737"/>
      <c r="U78" s="737"/>
      <c r="V78" s="737"/>
      <c r="W78" s="737"/>
      <c r="X78" s="737"/>
      <c r="Y78" s="737"/>
      <c r="Z78" s="737"/>
    </row>
    <row r="79" spans="1:26" ht="15" x14ac:dyDescent="0.25">
      <c r="A79" s="737">
        <f>A73</f>
        <v>2025</v>
      </c>
      <c r="B79" s="737" t="str">
        <f t="shared" ref="B79:C79" si="49">B77</f>
        <v>TM</v>
      </c>
      <c r="C79" s="737" t="str">
        <f t="shared" si="49"/>
        <v>GSL</v>
      </c>
      <c r="D79" s="737" t="str">
        <f>D77</f>
        <v>GSLAH</v>
      </c>
      <c r="F79" s="711" t="str">
        <f>"UC_"&amp;J79&amp;C79&amp;"FX"&amp;A79</f>
        <v>UC_TMGSLFX2025</v>
      </c>
      <c r="G79" s="740" t="str">
        <f t="shared" si="47"/>
        <v>TM*GSL*,-TM*GSLAH*</v>
      </c>
      <c r="H79" s="740"/>
      <c r="I79" s="740"/>
      <c r="J79" s="741" t="str">
        <f t="shared" si="43"/>
        <v>TM</v>
      </c>
      <c r="K79" s="742">
        <f t="shared" si="44"/>
        <v>2025</v>
      </c>
      <c r="L79" s="714" t="s">
        <v>1838</v>
      </c>
      <c r="M79" s="714">
        <v>0</v>
      </c>
      <c r="N79" s="714">
        <v>-1</v>
      </c>
      <c r="O79" s="715">
        <f>O80-1</f>
        <v>-8.2265471882418506E-2</v>
      </c>
    </row>
    <row r="80" spans="1:26" customFormat="1" ht="12" customHeight="1" x14ac:dyDescent="0.25">
      <c r="B80" s="35"/>
      <c r="C80" s="35"/>
      <c r="D80" s="35"/>
      <c r="F80" s="711"/>
      <c r="G80" s="712" t="str">
        <f>IF(D79="",B79&amp;"*"&amp;",-"&amp;B79&amp;"*"&amp;C79&amp;"*",B79&amp;"*"&amp;",-"&amp;B79&amp;"*"&amp;C79&amp;"*"&amp;","&amp;B79&amp;"*"&amp;D79&amp;"*")</f>
        <v>TM*,-TM*GSL*,TM*GSLAH*</v>
      </c>
      <c r="H80" s="712"/>
      <c r="I80" s="713"/>
      <c r="J80" s="713" t="str">
        <f>J79</f>
        <v>TM</v>
      </c>
      <c r="K80" s="714">
        <f>K79</f>
        <v>2025</v>
      </c>
      <c r="L80" s="714"/>
      <c r="M80" s="714"/>
      <c r="N80" s="714"/>
      <c r="O80" s="715">
        <f>'ON-Road Historical share'!W29</f>
        <v>0.91773452811758149</v>
      </c>
      <c r="P80" s="737"/>
      <c r="Q80" s="737"/>
      <c r="R80" s="737"/>
      <c r="S80" s="737"/>
      <c r="T80" s="737"/>
      <c r="U80" s="737"/>
      <c r="V80" s="737"/>
      <c r="W80" s="737"/>
      <c r="X80" s="737"/>
      <c r="Y80" s="737"/>
      <c r="Z80" s="737"/>
    </row>
    <row r="81" spans="1:26" ht="15" x14ac:dyDescent="0.25">
      <c r="A81" s="737">
        <f>A75</f>
        <v>2015</v>
      </c>
      <c r="B81" s="737" t="str">
        <f>'ON-Road Historical share'!L30</f>
        <v>TM</v>
      </c>
      <c r="C81" s="737" t="str">
        <f>'ON-Road Historical share'!M30</f>
        <v>GSLAH</v>
      </c>
      <c r="F81" s="711" t="str">
        <f>"UC_"&amp;J81&amp;C81&amp;"FX"&amp;A81</f>
        <v>UC_TMGSLAHFX2015</v>
      </c>
      <c r="G81" s="740" t="str">
        <f t="shared" si="42"/>
        <v>TM*GSLAH*</v>
      </c>
      <c r="H81" s="740"/>
      <c r="I81" s="740"/>
      <c r="J81" s="741" t="str">
        <f t="shared" si="43"/>
        <v>TM</v>
      </c>
      <c r="K81" s="742">
        <f t="shared" si="44"/>
        <v>2015</v>
      </c>
      <c r="L81" s="714" t="s">
        <v>1838</v>
      </c>
      <c r="M81" s="714">
        <v>0</v>
      </c>
      <c r="N81" s="714">
        <v>-1</v>
      </c>
      <c r="O81" s="715">
        <f>O82-1</f>
        <v>-1</v>
      </c>
    </row>
    <row r="82" spans="1:26" customFormat="1" ht="12" customHeight="1" x14ac:dyDescent="0.25">
      <c r="B82" s="35"/>
      <c r="C82" s="35"/>
      <c r="D82" s="35"/>
      <c r="F82" s="711"/>
      <c r="G82" s="712" t="str">
        <f>IF(D81="",B81&amp;"*"&amp;",-"&amp;B81&amp;"*"&amp;C81&amp;"*",B81&amp;"*"&amp;",-"&amp;B81&amp;"*"&amp;C81&amp;"*"&amp;","&amp;B81&amp;"*"&amp;D81&amp;"*")</f>
        <v>TM*,-TM*GSLAH*</v>
      </c>
      <c r="H82" s="712"/>
      <c r="I82" s="713"/>
      <c r="J82" s="713" t="str">
        <f>J81</f>
        <v>TM</v>
      </c>
      <c r="K82" s="714">
        <f>K81</f>
        <v>2015</v>
      </c>
      <c r="L82" s="714"/>
      <c r="M82" s="714"/>
      <c r="N82" s="714"/>
      <c r="O82" s="715">
        <f>'ON-Road Historical share'!U30</f>
        <v>0</v>
      </c>
      <c r="P82" s="737"/>
      <c r="Q82" s="737"/>
      <c r="R82" s="737"/>
      <c r="S82" s="737"/>
      <c r="T82" s="737"/>
      <c r="U82" s="737"/>
      <c r="V82" s="737"/>
      <c r="W82" s="737"/>
      <c r="X82" s="737"/>
      <c r="Y82" s="737"/>
      <c r="Z82" s="737"/>
    </row>
    <row r="83" spans="1:26" ht="15" x14ac:dyDescent="0.25">
      <c r="A83" s="737">
        <f>A77</f>
        <v>2020</v>
      </c>
      <c r="B83" s="737" t="str">
        <f t="shared" ref="B83:C83" si="50">B81</f>
        <v>TM</v>
      </c>
      <c r="C83" s="737" t="str">
        <f t="shared" si="50"/>
        <v>GSLAH</v>
      </c>
      <c r="F83" s="711" t="str">
        <f>"UC_"&amp;J83&amp;C83&amp;"FX"&amp;A83</f>
        <v>UC_TMGSLAHFX2020</v>
      </c>
      <c r="G83" s="740" t="str">
        <f t="shared" si="42"/>
        <v>TM*GSLAH*</v>
      </c>
      <c r="H83" s="740"/>
      <c r="I83" s="740"/>
      <c r="J83" s="741" t="str">
        <f t="shared" si="43"/>
        <v>TM</v>
      </c>
      <c r="K83" s="742">
        <f t="shared" si="44"/>
        <v>2020</v>
      </c>
      <c r="L83" s="714" t="s">
        <v>1838</v>
      </c>
      <c r="M83" s="714">
        <v>0</v>
      </c>
      <c r="N83" s="714">
        <v>-1</v>
      </c>
      <c r="O83" s="715">
        <f>O84-1</f>
        <v>-0.99780969406576869</v>
      </c>
    </row>
    <row r="84" spans="1:26" customFormat="1" ht="12" customHeight="1" x14ac:dyDescent="0.25">
      <c r="B84" s="35"/>
      <c r="C84" s="35"/>
      <c r="D84" s="35"/>
      <c r="F84" s="711"/>
      <c r="G84" s="712" t="str">
        <f>IF(D83="",B83&amp;"*"&amp;",-"&amp;B83&amp;"*"&amp;C83&amp;"*",B83&amp;"*"&amp;",-"&amp;B83&amp;"*"&amp;C83&amp;"*"&amp;","&amp;B83&amp;"*"&amp;D83&amp;"*")</f>
        <v>TM*,-TM*GSLAH*</v>
      </c>
      <c r="H84" s="712"/>
      <c r="I84" s="713"/>
      <c r="J84" s="713" t="str">
        <f>J83</f>
        <v>TM</v>
      </c>
      <c r="K84" s="714">
        <f>K83</f>
        <v>2020</v>
      </c>
      <c r="L84" s="714"/>
      <c r="M84" s="714"/>
      <c r="N84" s="714"/>
      <c r="O84" s="715">
        <f>'ON-Road Historical share'!V30</f>
        <v>2.1903059342312631E-3</v>
      </c>
      <c r="P84" s="737"/>
      <c r="Q84" s="737"/>
      <c r="R84" s="737"/>
      <c r="S84" s="737"/>
      <c r="T84" s="737"/>
      <c r="U84" s="737"/>
      <c r="V84" s="737"/>
      <c r="W84" s="737"/>
      <c r="X84" s="737"/>
      <c r="Y84" s="737"/>
      <c r="Z84" s="737"/>
    </row>
    <row r="85" spans="1:26" ht="15" x14ac:dyDescent="0.25">
      <c r="A85" s="737">
        <f>A79</f>
        <v>2025</v>
      </c>
      <c r="B85" s="737" t="str">
        <f t="shared" ref="B85:C85" si="51">B83</f>
        <v>TM</v>
      </c>
      <c r="C85" s="737" t="str">
        <f t="shared" si="51"/>
        <v>GSLAH</v>
      </c>
      <c r="F85" s="711" t="str">
        <f>"UC_"&amp;J85&amp;C85&amp;"FX"&amp;A85</f>
        <v>UC_TMGSLAHFX2025</v>
      </c>
      <c r="G85" s="740" t="str">
        <f t="shared" si="42"/>
        <v>TM*GSLAH*</v>
      </c>
      <c r="H85" s="740"/>
      <c r="I85" s="740"/>
      <c r="J85" s="741" t="str">
        <f t="shared" si="43"/>
        <v>TM</v>
      </c>
      <c r="K85" s="742">
        <f t="shared" si="44"/>
        <v>2025</v>
      </c>
      <c r="L85" s="714" t="s">
        <v>1838</v>
      </c>
      <c r="M85" s="714">
        <v>0</v>
      </c>
      <c r="N85" s="714">
        <v>-1</v>
      </c>
      <c r="O85" s="715">
        <f>O86-1</f>
        <v>-0.99691343951064781</v>
      </c>
    </row>
    <row r="86" spans="1:26" customFormat="1" ht="12" customHeight="1" x14ac:dyDescent="0.25">
      <c r="B86" s="35"/>
      <c r="C86" s="35"/>
      <c r="D86" s="35"/>
      <c r="F86" s="711"/>
      <c r="G86" s="712" t="str">
        <f>IF(D85="",B85&amp;"*"&amp;",-"&amp;B85&amp;"*"&amp;C85&amp;"*",B85&amp;"*"&amp;",-"&amp;B85&amp;"*"&amp;C85&amp;"*"&amp;","&amp;B85&amp;"*"&amp;D85&amp;"*")</f>
        <v>TM*,-TM*GSLAH*</v>
      </c>
      <c r="H86" s="712"/>
      <c r="I86" s="713"/>
      <c r="J86" s="713" t="str">
        <f>J85</f>
        <v>TM</v>
      </c>
      <c r="K86" s="714">
        <f>K85</f>
        <v>2025</v>
      </c>
      <c r="L86" s="714"/>
      <c r="M86" s="714"/>
      <c r="N86" s="714"/>
      <c r="O86" s="715">
        <f>'ON-Road Historical share'!W30</f>
        <v>3.0865604893521689E-3</v>
      </c>
      <c r="P86" s="737"/>
      <c r="Q86" s="737"/>
      <c r="R86" s="737"/>
      <c r="S86" s="737"/>
      <c r="T86" s="737"/>
      <c r="U86" s="737"/>
      <c r="V86" s="737"/>
      <c r="W86" s="737"/>
      <c r="X86" s="737"/>
      <c r="Y86" s="737"/>
      <c r="Z86" s="737"/>
    </row>
    <row r="87" spans="1:26" ht="15" x14ac:dyDescent="0.25">
      <c r="A87" s="737">
        <f>A81</f>
        <v>2015</v>
      </c>
      <c r="B87" s="737" t="str">
        <f t="shared" ref="B87" si="52">B85</f>
        <v>TM</v>
      </c>
      <c r="C87" s="737" t="s">
        <v>1843</v>
      </c>
      <c r="F87" s="711" t="str">
        <f>"UC_"&amp;J87&amp;C87&amp;"FX"&amp;A87</f>
        <v>UC_TMH2GFX2015</v>
      </c>
      <c r="G87" s="740" t="str">
        <f t="shared" ref="G87" si="53">IF(D87="",B87&amp;"*"&amp;C87&amp;"*",B87&amp;"*"&amp;C87&amp;"*"&amp;",-"&amp;B87&amp;"*"&amp;D87&amp;"*")</f>
        <v>TM*H2G*</v>
      </c>
      <c r="H87" s="740"/>
      <c r="I87" s="740"/>
      <c r="J87" s="741" t="str">
        <f t="shared" ref="J87" si="54">B87</f>
        <v>TM</v>
      </c>
      <c r="K87" s="742">
        <f t="shared" ref="K87" si="55">A87</f>
        <v>2015</v>
      </c>
      <c r="L87" s="714" t="s">
        <v>1838</v>
      </c>
      <c r="M87" s="714">
        <v>0</v>
      </c>
      <c r="N87" s="714">
        <v>-1</v>
      </c>
      <c r="O87" s="715">
        <f>O88-1</f>
        <v>-1</v>
      </c>
    </row>
    <row r="88" spans="1:26" customFormat="1" ht="12" customHeight="1" x14ac:dyDescent="0.25">
      <c r="B88" s="35"/>
      <c r="C88" s="35"/>
      <c r="D88" s="35"/>
      <c r="F88" s="711"/>
      <c r="G88" s="712" t="str">
        <f>IF(D87="",B87&amp;"*"&amp;",-"&amp;B87&amp;"*"&amp;C87&amp;"*",B87&amp;"*"&amp;",-"&amp;B87&amp;"*"&amp;C87&amp;"*"&amp;","&amp;B87&amp;"*"&amp;D87&amp;"*")</f>
        <v>TM*,-TM*H2G*</v>
      </c>
      <c r="H88" s="712"/>
      <c r="I88" s="713"/>
      <c r="J88" s="713" t="str">
        <f>J87</f>
        <v>TM</v>
      </c>
      <c r="K88" s="714">
        <f>K87</f>
        <v>2015</v>
      </c>
      <c r="L88" s="714"/>
      <c r="M88" s="714"/>
      <c r="N88" s="714"/>
      <c r="O88" s="715">
        <v>0</v>
      </c>
      <c r="P88" s="737"/>
      <c r="Q88" s="737"/>
      <c r="R88" s="737"/>
      <c r="S88" s="737"/>
      <c r="T88" s="737"/>
      <c r="U88" s="737"/>
      <c r="V88" s="737"/>
      <c r="W88" s="737"/>
      <c r="X88" s="737"/>
      <c r="Y88" s="737"/>
      <c r="Z88" s="737"/>
    </row>
    <row r="89" spans="1:26" ht="15" x14ac:dyDescent="0.25">
      <c r="A89" s="737">
        <f>A83</f>
        <v>2020</v>
      </c>
      <c r="B89" s="737" t="str">
        <f>B87</f>
        <v>TM</v>
      </c>
      <c r="C89" s="737" t="str">
        <f>C87</f>
        <v>H2G</v>
      </c>
      <c r="F89" s="711" t="str">
        <f>"UC_"&amp;J89&amp;C89&amp;"FX"&amp;A89</f>
        <v>UC_TMH2GFX2020</v>
      </c>
      <c r="G89" s="740" t="str">
        <f t="shared" ref="G89" si="56">IF(D89="",B89&amp;"*"&amp;C89&amp;"*",B89&amp;"*"&amp;C89&amp;"*"&amp;",-"&amp;B89&amp;"*"&amp;D89&amp;"*")</f>
        <v>TM*H2G*</v>
      </c>
      <c r="H89" s="740"/>
      <c r="I89" s="740"/>
      <c r="J89" s="741" t="str">
        <f t="shared" ref="J89" si="57">B89</f>
        <v>TM</v>
      </c>
      <c r="K89" s="742">
        <f t="shared" ref="K89" si="58">A89</f>
        <v>2020</v>
      </c>
      <c r="L89" s="714" t="s">
        <v>1838</v>
      </c>
      <c r="M89" s="714">
        <v>0</v>
      </c>
      <c r="N89" s="714">
        <v>-1</v>
      </c>
      <c r="O89" s="715">
        <f>O90-1</f>
        <v>-1</v>
      </c>
    </row>
    <row r="90" spans="1:26" customFormat="1" ht="12" customHeight="1" x14ac:dyDescent="0.25">
      <c r="B90" s="35"/>
      <c r="C90" s="35"/>
      <c r="D90" s="35"/>
      <c r="F90" s="711"/>
      <c r="G90" s="712" t="str">
        <f>IF(D89="",B89&amp;"*"&amp;",-"&amp;B89&amp;"*"&amp;C89&amp;"*",B89&amp;"*"&amp;",-"&amp;B89&amp;"*"&amp;C89&amp;"*"&amp;","&amp;B89&amp;"*"&amp;D89&amp;"*")</f>
        <v>TM*,-TM*H2G*</v>
      </c>
      <c r="H90" s="712"/>
      <c r="I90" s="713"/>
      <c r="J90" s="713" t="str">
        <f>J89</f>
        <v>TM</v>
      </c>
      <c r="K90" s="714">
        <f>K89</f>
        <v>2020</v>
      </c>
      <c r="L90" s="714"/>
      <c r="M90" s="714"/>
      <c r="N90" s="714"/>
      <c r="O90" s="715">
        <v>0</v>
      </c>
      <c r="P90" s="737"/>
      <c r="Q90" s="737"/>
      <c r="R90" s="737"/>
      <c r="S90" s="737"/>
      <c r="T90" s="737"/>
      <c r="U90" s="737"/>
      <c r="V90" s="737"/>
      <c r="W90" s="737"/>
      <c r="X90" s="737"/>
      <c r="Y90" s="737"/>
      <c r="Z90" s="737"/>
    </row>
    <row r="91" spans="1:26" ht="15" x14ac:dyDescent="0.25">
      <c r="A91" s="737">
        <f>A85</f>
        <v>2025</v>
      </c>
      <c r="B91" s="737" t="str">
        <f t="shared" ref="B91:C91" si="59">B89</f>
        <v>TM</v>
      </c>
      <c r="C91" s="737" t="str">
        <f t="shared" si="59"/>
        <v>H2G</v>
      </c>
      <c r="F91" s="711" t="str">
        <f>"UC_"&amp;J91&amp;C91&amp;"FX"&amp;A91</f>
        <v>UC_TMH2GFX2025</v>
      </c>
      <c r="G91" s="740" t="str">
        <f t="shared" ref="G91" si="60">IF(D91="",B91&amp;"*"&amp;C91&amp;"*",B91&amp;"*"&amp;C91&amp;"*"&amp;",-"&amp;B91&amp;"*"&amp;D91&amp;"*")</f>
        <v>TM*H2G*</v>
      </c>
      <c r="H91" s="740"/>
      <c r="I91" s="740"/>
      <c r="J91" s="741" t="str">
        <f t="shared" ref="J91" si="61">B91</f>
        <v>TM</v>
      </c>
      <c r="K91" s="742">
        <f t="shared" ref="K91" si="62">A91</f>
        <v>2025</v>
      </c>
      <c r="L91" s="714" t="s">
        <v>1838</v>
      </c>
      <c r="M91" s="714">
        <v>0</v>
      </c>
      <c r="N91" s="714">
        <v>-1</v>
      </c>
      <c r="O91" s="715">
        <f>O92-1</f>
        <v>-1</v>
      </c>
    </row>
    <row r="92" spans="1:26" customFormat="1" ht="12" customHeight="1" x14ac:dyDescent="0.25">
      <c r="B92" s="35"/>
      <c r="C92" s="35"/>
      <c r="D92" s="35"/>
      <c r="F92" s="711"/>
      <c r="G92" s="712" t="str">
        <f>IF(D91="",B91&amp;"*"&amp;",-"&amp;B91&amp;"*"&amp;C91&amp;"*",B91&amp;"*"&amp;",-"&amp;B91&amp;"*"&amp;C91&amp;"*"&amp;","&amp;B91&amp;"*"&amp;D91&amp;"*")</f>
        <v>TM*,-TM*H2G*</v>
      </c>
      <c r="H92" s="712"/>
      <c r="I92" s="713"/>
      <c r="J92" s="713" t="str">
        <f>J91</f>
        <v>TM</v>
      </c>
      <c r="K92" s="714">
        <f>K91</f>
        <v>2025</v>
      </c>
      <c r="L92" s="714"/>
      <c r="M92" s="714"/>
      <c r="N92" s="714"/>
      <c r="O92" s="715">
        <v>0</v>
      </c>
      <c r="P92" s="737"/>
      <c r="Q92" s="737"/>
      <c r="R92" s="737"/>
      <c r="S92" s="737"/>
      <c r="T92" s="737"/>
      <c r="U92" s="737"/>
      <c r="V92" s="737"/>
      <c r="W92" s="737"/>
      <c r="X92" s="737"/>
      <c r="Y92" s="737"/>
      <c r="Z92" s="737"/>
    </row>
    <row r="93" spans="1:26" ht="15" x14ac:dyDescent="0.25">
      <c r="A93" s="737">
        <f>A81</f>
        <v>2015</v>
      </c>
      <c r="B93" s="737" t="str">
        <f>'ON-Road Historical share'!L31</f>
        <v>TB</v>
      </c>
      <c r="C93" s="737" t="str">
        <f>'ON-Road Historical share'!M31</f>
        <v>DSL</v>
      </c>
      <c r="D93" s="737" t="str">
        <f>'ON-Road Historical share'!N31</f>
        <v>DSLAH</v>
      </c>
      <c r="F93" s="711" t="str">
        <f>"UC_"&amp;J93&amp;C93&amp;"FX"&amp;A93</f>
        <v>UC_TBDSLFX2015</v>
      </c>
      <c r="G93" s="740" t="str">
        <f t="shared" ref="G93:G97" si="63">IF(D93="",B93&amp;"*"&amp;C93&amp;"*",B93&amp;"*"&amp;C93&amp;"*"&amp;",-"&amp;B93&amp;"*"&amp;D93&amp;"*")</f>
        <v>TB*DSL*,-TB*DSLAH*</v>
      </c>
      <c r="H93" s="740"/>
      <c r="I93" s="740"/>
      <c r="J93" s="741" t="str">
        <f t="shared" si="43"/>
        <v>TB</v>
      </c>
      <c r="K93" s="742">
        <f t="shared" si="44"/>
        <v>2015</v>
      </c>
      <c r="L93" s="714" t="s">
        <v>1838</v>
      </c>
      <c r="M93" s="714">
        <v>0</v>
      </c>
      <c r="N93" s="714">
        <v>-1</v>
      </c>
      <c r="O93" s="715">
        <f>O94-1</f>
        <v>-0.11287979919104107</v>
      </c>
    </row>
    <row r="94" spans="1:26" customFormat="1" ht="12" customHeight="1" x14ac:dyDescent="0.25">
      <c r="B94" s="35"/>
      <c r="C94" s="35"/>
      <c r="D94" s="35"/>
      <c r="F94" s="711"/>
      <c r="G94" s="712" t="str">
        <f>IF(D93="",B93&amp;"*"&amp;",-"&amp;B93&amp;"*"&amp;C93&amp;"*",B93&amp;"*"&amp;",-"&amp;B93&amp;"*"&amp;C93&amp;"*"&amp;","&amp;B93&amp;"*"&amp;D93&amp;"*")</f>
        <v>TB*,-TB*DSL*,TB*DSLAH*</v>
      </c>
      <c r="H94" s="712"/>
      <c r="I94" s="713"/>
      <c r="J94" s="713" t="str">
        <f>J93</f>
        <v>TB</v>
      </c>
      <c r="K94" s="714">
        <f>K93</f>
        <v>2015</v>
      </c>
      <c r="L94" s="714"/>
      <c r="M94" s="714"/>
      <c r="N94" s="714"/>
      <c r="O94" s="715">
        <f>'ON-Road Historical share'!U31</f>
        <v>0.88712020080895893</v>
      </c>
      <c r="P94" s="737"/>
      <c r="Q94" s="737"/>
      <c r="R94" s="737"/>
      <c r="S94" s="737"/>
      <c r="T94" s="737"/>
      <c r="U94" s="737"/>
      <c r="V94" s="737"/>
      <c r="W94" s="737"/>
      <c r="X94" s="737"/>
      <c r="Y94" s="737"/>
      <c r="Z94" s="737"/>
    </row>
    <row r="95" spans="1:26" ht="15" x14ac:dyDescent="0.25">
      <c r="A95" s="737">
        <f>A83</f>
        <v>2020</v>
      </c>
      <c r="B95" s="737" t="str">
        <f t="shared" ref="B95:C95" si="64">B93</f>
        <v>TB</v>
      </c>
      <c r="C95" s="737" t="str">
        <f t="shared" si="64"/>
        <v>DSL</v>
      </c>
      <c r="D95" s="737" t="str">
        <f>D93</f>
        <v>DSLAH</v>
      </c>
      <c r="F95" s="711" t="str">
        <f>"UC_"&amp;J95&amp;C95&amp;"FX"&amp;A95</f>
        <v>UC_TBDSLFX2020</v>
      </c>
      <c r="G95" s="740" t="str">
        <f t="shared" si="63"/>
        <v>TB*DSL*,-TB*DSLAH*</v>
      </c>
      <c r="H95" s="740"/>
      <c r="I95" s="740"/>
      <c r="J95" s="741" t="str">
        <f t="shared" si="43"/>
        <v>TB</v>
      </c>
      <c r="K95" s="742">
        <f t="shared" si="44"/>
        <v>2020</v>
      </c>
      <c r="L95" s="714" t="s">
        <v>1838</v>
      </c>
      <c r="M95" s="714">
        <v>0</v>
      </c>
      <c r="N95" s="714">
        <v>-1</v>
      </c>
      <c r="O95" s="715">
        <f>O96-1</f>
        <v>-0.2091335686331417</v>
      </c>
    </row>
    <row r="96" spans="1:26" customFormat="1" ht="12" customHeight="1" x14ac:dyDescent="0.25">
      <c r="B96" s="35"/>
      <c r="C96" s="35"/>
      <c r="D96" s="35"/>
      <c r="F96" s="711"/>
      <c r="G96" s="712" t="str">
        <f>IF(D95="",B95&amp;"*"&amp;",-"&amp;B95&amp;"*"&amp;C95&amp;"*",B95&amp;"*"&amp;",-"&amp;B95&amp;"*"&amp;C95&amp;"*"&amp;","&amp;B95&amp;"*"&amp;D95&amp;"*")</f>
        <v>TB*,-TB*DSL*,TB*DSLAH*</v>
      </c>
      <c r="H96" s="712"/>
      <c r="I96" s="713"/>
      <c r="J96" s="713" t="str">
        <f>J95</f>
        <v>TB</v>
      </c>
      <c r="K96" s="714">
        <f>K95</f>
        <v>2020</v>
      </c>
      <c r="L96" s="714"/>
      <c r="M96" s="714"/>
      <c r="N96" s="714"/>
      <c r="O96" s="715">
        <f>'ON-Road Historical share'!V31</f>
        <v>0.7908664313668583</v>
      </c>
      <c r="P96" s="737"/>
      <c r="Q96" s="737"/>
      <c r="R96" s="737"/>
      <c r="S96" s="737"/>
      <c r="T96" s="737"/>
      <c r="U96" s="737"/>
      <c r="V96" s="737"/>
      <c r="W96" s="737"/>
      <c r="X96" s="737"/>
      <c r="Y96" s="737"/>
      <c r="Z96" s="737"/>
    </row>
    <row r="97" spans="1:26" ht="15" x14ac:dyDescent="0.25">
      <c r="A97" s="737">
        <f>A85</f>
        <v>2025</v>
      </c>
      <c r="B97" s="737" t="str">
        <f t="shared" ref="B97:C97" si="65">B95</f>
        <v>TB</v>
      </c>
      <c r="C97" s="737" t="str">
        <f t="shared" si="65"/>
        <v>DSL</v>
      </c>
      <c r="D97" s="737" t="str">
        <f>D95</f>
        <v>DSLAH</v>
      </c>
      <c r="F97" s="711" t="str">
        <f>"UC_"&amp;J97&amp;C97&amp;"FX"&amp;A97</f>
        <v>UC_TBDSLFX2025</v>
      </c>
      <c r="G97" s="740" t="str">
        <f t="shared" si="63"/>
        <v>TB*DSL*,-TB*DSLAH*</v>
      </c>
      <c r="H97" s="740"/>
      <c r="I97" s="740"/>
      <c r="J97" s="741" t="str">
        <f t="shared" si="43"/>
        <v>TB</v>
      </c>
      <c r="K97" s="742">
        <f t="shared" si="44"/>
        <v>2025</v>
      </c>
      <c r="L97" s="714" t="s">
        <v>1838</v>
      </c>
      <c r="M97" s="714">
        <v>0</v>
      </c>
      <c r="N97" s="714">
        <v>-1</v>
      </c>
      <c r="O97" s="715">
        <f>O98-1</f>
        <v>-0.28591239641957256</v>
      </c>
    </row>
    <row r="98" spans="1:26" customFormat="1" ht="12" customHeight="1" x14ac:dyDescent="0.25">
      <c r="B98" s="35"/>
      <c r="C98" s="35"/>
      <c r="D98" s="35"/>
      <c r="F98" s="711"/>
      <c r="G98" s="712" t="str">
        <f>IF(D97="",B97&amp;"*"&amp;",-"&amp;B97&amp;"*"&amp;C97&amp;"*",B97&amp;"*"&amp;",-"&amp;B97&amp;"*"&amp;C97&amp;"*"&amp;","&amp;B97&amp;"*"&amp;D97&amp;"*")</f>
        <v>TB*,-TB*DSL*,TB*DSLAH*</v>
      </c>
      <c r="H98" s="712"/>
      <c r="I98" s="713"/>
      <c r="J98" s="713" t="str">
        <f>J97</f>
        <v>TB</v>
      </c>
      <c r="K98" s="714">
        <f>K97</f>
        <v>2025</v>
      </c>
      <c r="L98" s="714"/>
      <c r="M98" s="714"/>
      <c r="N98" s="714"/>
      <c r="O98" s="715">
        <f>'ON-Road Historical share'!W31</f>
        <v>0.71408760358042744</v>
      </c>
      <c r="P98" s="737"/>
      <c r="Q98" s="737"/>
      <c r="R98" s="737"/>
      <c r="S98" s="737"/>
      <c r="T98" s="737"/>
      <c r="U98" s="737"/>
      <c r="V98" s="737"/>
      <c r="W98" s="737"/>
      <c r="X98" s="737"/>
      <c r="Y98" s="737"/>
      <c r="Z98" s="737"/>
    </row>
    <row r="99" spans="1:26" ht="15" x14ac:dyDescent="0.25">
      <c r="A99" s="737">
        <f>A93</f>
        <v>2015</v>
      </c>
      <c r="B99" s="737" t="str">
        <f>'ON-Road Historical share'!L32</f>
        <v>TB</v>
      </c>
      <c r="C99" s="737" t="str">
        <f>'ON-Road Historical share'!M32</f>
        <v>ELC</v>
      </c>
      <c r="F99" s="711" t="str">
        <f>"UC_"&amp;J99&amp;C99&amp;"FX"&amp;A99</f>
        <v>UC_TBELCFX2015</v>
      </c>
      <c r="G99" s="740" t="str">
        <f t="shared" si="42"/>
        <v>TB*ELC*</v>
      </c>
      <c r="H99" s="740"/>
      <c r="I99" s="740"/>
      <c r="J99" s="741" t="str">
        <f t="shared" si="43"/>
        <v>TB</v>
      </c>
      <c r="K99" s="742">
        <f t="shared" si="44"/>
        <v>2015</v>
      </c>
      <c r="L99" s="714" t="s">
        <v>1838</v>
      </c>
      <c r="M99" s="714">
        <v>0</v>
      </c>
      <c r="N99" s="714">
        <v>-1</v>
      </c>
      <c r="O99" s="715">
        <f>O100-1</f>
        <v>-1</v>
      </c>
    </row>
    <row r="100" spans="1:26" customFormat="1" ht="12" customHeight="1" x14ac:dyDescent="0.25">
      <c r="B100" s="35"/>
      <c r="C100" s="35"/>
      <c r="D100" s="35"/>
      <c r="F100" s="711"/>
      <c r="G100" s="712" t="str">
        <f>IF(D99="",B99&amp;"*"&amp;",-"&amp;B99&amp;"*"&amp;C99&amp;"*",B99&amp;"*"&amp;",-"&amp;B99&amp;"*"&amp;C99&amp;"*"&amp;","&amp;B99&amp;"*"&amp;D99&amp;"*")</f>
        <v>TB*,-TB*ELC*</v>
      </c>
      <c r="H100" s="712"/>
      <c r="I100" s="713"/>
      <c r="J100" s="713" t="str">
        <f>J99</f>
        <v>TB</v>
      </c>
      <c r="K100" s="714">
        <f>K99</f>
        <v>2015</v>
      </c>
      <c r="L100" s="714"/>
      <c r="M100" s="714"/>
      <c r="N100" s="714"/>
      <c r="O100" s="715">
        <f>'ON-Road Historical share'!U32</f>
        <v>0</v>
      </c>
      <c r="P100" s="737"/>
      <c r="Q100" s="737"/>
      <c r="R100" s="737"/>
      <c r="S100" s="737"/>
      <c r="T100" s="737"/>
      <c r="U100" s="737"/>
      <c r="V100" s="737"/>
      <c r="W100" s="737"/>
      <c r="X100" s="737"/>
      <c r="Y100" s="737"/>
      <c r="Z100" s="737"/>
    </row>
    <row r="101" spans="1:26" ht="15" x14ac:dyDescent="0.25">
      <c r="A101" s="737">
        <f>A95</f>
        <v>2020</v>
      </c>
      <c r="B101" s="737" t="str">
        <f t="shared" ref="B101:C101" si="66">B99</f>
        <v>TB</v>
      </c>
      <c r="C101" s="737" t="str">
        <f t="shared" si="66"/>
        <v>ELC</v>
      </c>
      <c r="F101" s="711" t="str">
        <f>"UC_"&amp;J101&amp;C101&amp;"FX"&amp;A101</f>
        <v>UC_TBELCFX2020</v>
      </c>
      <c r="G101" s="740" t="str">
        <f t="shared" si="42"/>
        <v>TB*ELC*</v>
      </c>
      <c r="H101" s="740"/>
      <c r="I101" s="740"/>
      <c r="J101" s="741" t="str">
        <f t="shared" si="43"/>
        <v>TB</v>
      </c>
      <c r="K101" s="742">
        <f t="shared" si="44"/>
        <v>2020</v>
      </c>
      <c r="L101" s="714" t="s">
        <v>1838</v>
      </c>
      <c r="M101" s="714">
        <v>0</v>
      </c>
      <c r="N101" s="714">
        <v>-1</v>
      </c>
      <c r="O101" s="715">
        <f>O102-1</f>
        <v>-1</v>
      </c>
    </row>
    <row r="102" spans="1:26" customFormat="1" ht="12" customHeight="1" x14ac:dyDescent="0.25">
      <c r="B102" s="35"/>
      <c r="C102" s="35"/>
      <c r="D102" s="35"/>
      <c r="F102" s="711"/>
      <c r="G102" s="712" t="str">
        <f>IF(D101="",B101&amp;"*"&amp;",-"&amp;B101&amp;"*"&amp;C101&amp;"*",B101&amp;"*"&amp;",-"&amp;B101&amp;"*"&amp;C101&amp;"*"&amp;","&amp;B101&amp;"*"&amp;D101&amp;"*")</f>
        <v>TB*,-TB*ELC*</v>
      </c>
      <c r="H102" s="712"/>
      <c r="I102" s="713"/>
      <c r="J102" s="713" t="str">
        <f>J101</f>
        <v>TB</v>
      </c>
      <c r="K102" s="714">
        <f>K101</f>
        <v>2020</v>
      </c>
      <c r="L102" s="714"/>
      <c r="M102" s="714"/>
      <c r="N102" s="714"/>
      <c r="O102" s="715">
        <f>'ON-Road Historical share'!V32</f>
        <v>0</v>
      </c>
      <c r="P102" s="737"/>
      <c r="Q102" s="737"/>
      <c r="R102" s="737"/>
      <c r="S102" s="737"/>
      <c r="T102" s="737"/>
      <c r="U102" s="737"/>
      <c r="V102" s="737"/>
      <c r="W102" s="737"/>
      <c r="X102" s="737"/>
      <c r="Y102" s="737"/>
      <c r="Z102" s="737"/>
    </row>
    <row r="103" spans="1:26" ht="15" x14ac:dyDescent="0.25">
      <c r="A103" s="737">
        <f>A97</f>
        <v>2025</v>
      </c>
      <c r="B103" s="737" t="str">
        <f t="shared" ref="B103:C103" si="67">B101</f>
        <v>TB</v>
      </c>
      <c r="C103" s="737" t="str">
        <f t="shared" si="67"/>
        <v>ELC</v>
      </c>
      <c r="F103" s="711" t="str">
        <f>"UC_"&amp;J103&amp;C103&amp;"FX"&amp;A103</f>
        <v>UC_TBELCFX2025</v>
      </c>
      <c r="G103" s="740" t="str">
        <f t="shared" si="42"/>
        <v>TB*ELC*</v>
      </c>
      <c r="H103" s="740"/>
      <c r="I103" s="740"/>
      <c r="J103" s="741" t="str">
        <f t="shared" si="43"/>
        <v>TB</v>
      </c>
      <c r="K103" s="742">
        <f t="shared" si="44"/>
        <v>2025</v>
      </c>
      <c r="L103" s="714" t="s">
        <v>1838</v>
      </c>
      <c r="M103" s="714">
        <v>0</v>
      </c>
      <c r="N103" s="714">
        <v>-1</v>
      </c>
      <c r="O103" s="715">
        <f>O104-1</f>
        <v>-0.99992932666206491</v>
      </c>
    </row>
    <row r="104" spans="1:26" customFormat="1" ht="12" customHeight="1" x14ac:dyDescent="0.25">
      <c r="B104" s="35"/>
      <c r="C104" s="35"/>
      <c r="D104" s="35"/>
      <c r="F104" s="711"/>
      <c r="G104" s="712" t="str">
        <f>IF(D103="",B103&amp;"*"&amp;",-"&amp;B103&amp;"*"&amp;C103&amp;"*",B103&amp;"*"&amp;",-"&amp;B103&amp;"*"&amp;C103&amp;"*"&amp;","&amp;B103&amp;"*"&amp;D103&amp;"*")</f>
        <v>TB*,-TB*ELC*</v>
      </c>
      <c r="H104" s="712"/>
      <c r="I104" s="713"/>
      <c r="J104" s="713" t="str">
        <f>J103</f>
        <v>TB</v>
      </c>
      <c r="K104" s="714">
        <f>K103</f>
        <v>2025</v>
      </c>
      <c r="L104" s="714"/>
      <c r="M104" s="714"/>
      <c r="N104" s="714"/>
      <c r="O104" s="715">
        <f>'ON-Road Historical share'!W32</f>
        <v>7.0673337935110904E-5</v>
      </c>
      <c r="P104" s="737"/>
      <c r="Q104" s="737"/>
      <c r="R104" s="737"/>
      <c r="S104" s="737"/>
      <c r="T104" s="737"/>
      <c r="U104" s="737"/>
      <c r="V104" s="737"/>
      <c r="W104" s="737"/>
      <c r="X104" s="737"/>
      <c r="Y104" s="737"/>
      <c r="Z104" s="737"/>
    </row>
    <row r="105" spans="1:26" ht="15" x14ac:dyDescent="0.25">
      <c r="A105" s="737">
        <f>A99</f>
        <v>2015</v>
      </c>
      <c r="B105" s="737" t="str">
        <f>'ON-Road Historical share'!L33</f>
        <v>TB</v>
      </c>
      <c r="C105" s="737" t="str">
        <f>'ON-Road Historical share'!M33</f>
        <v>GSL</v>
      </c>
      <c r="D105" s="737" t="str">
        <f>'ON-Road Historical share'!N33</f>
        <v>GSLAH</v>
      </c>
      <c r="F105" s="711" t="str">
        <f>"UC_"&amp;J105&amp;C105&amp;"FX"&amp;A105</f>
        <v>UC_TBGSLFX2015</v>
      </c>
      <c r="G105" s="740" t="str">
        <f t="shared" ref="G105:G109" si="68">IF(D105="",B105&amp;"*"&amp;C105&amp;"*",B105&amp;"*"&amp;C105&amp;"*"&amp;",-"&amp;B105&amp;"*"&amp;D105&amp;"*")</f>
        <v>TB*GSL*,-TB*GSLAH*</v>
      </c>
      <c r="H105" s="740"/>
      <c r="I105" s="740"/>
      <c r="J105" s="741" t="str">
        <f t="shared" si="43"/>
        <v>TB</v>
      </c>
      <c r="K105" s="742">
        <f t="shared" si="44"/>
        <v>2015</v>
      </c>
      <c r="L105" s="714" t="s">
        <v>1838</v>
      </c>
      <c r="M105" s="714">
        <v>0</v>
      </c>
      <c r="N105" s="714">
        <v>-1</v>
      </c>
      <c r="O105" s="715">
        <f>O106-1</f>
        <v>-1</v>
      </c>
    </row>
    <row r="106" spans="1:26" customFormat="1" ht="12" customHeight="1" x14ac:dyDescent="0.25">
      <c r="B106" s="35"/>
      <c r="C106" s="35"/>
      <c r="D106" s="35"/>
      <c r="F106" s="711"/>
      <c r="G106" s="712" t="str">
        <f>IF(D105="",B105&amp;"*"&amp;",-"&amp;B105&amp;"*"&amp;C105&amp;"*",B105&amp;"*"&amp;",-"&amp;B105&amp;"*"&amp;C105&amp;"*"&amp;","&amp;B105&amp;"*"&amp;D105&amp;"*")</f>
        <v>TB*,-TB*GSL*,TB*GSLAH*</v>
      </c>
      <c r="H106" s="712"/>
      <c r="I106" s="713"/>
      <c r="J106" s="713" t="str">
        <f>J105</f>
        <v>TB</v>
      </c>
      <c r="K106" s="714">
        <f>K105</f>
        <v>2015</v>
      </c>
      <c r="L106" s="714"/>
      <c r="M106" s="714"/>
      <c r="N106" s="714"/>
      <c r="O106" s="715">
        <f>'ON-Road Historical share'!U33</f>
        <v>0</v>
      </c>
      <c r="P106" s="737"/>
      <c r="Q106" s="737"/>
      <c r="R106" s="737"/>
      <c r="S106" s="737"/>
      <c r="T106" s="737"/>
      <c r="U106" s="737"/>
      <c r="V106" s="737"/>
      <c r="W106" s="737"/>
      <c r="X106" s="737"/>
      <c r="Y106" s="737"/>
      <c r="Z106" s="737"/>
    </row>
    <row r="107" spans="1:26" ht="15" x14ac:dyDescent="0.25">
      <c r="A107" s="737">
        <f>A101</f>
        <v>2020</v>
      </c>
      <c r="B107" s="737" t="str">
        <f t="shared" ref="B107:C107" si="69">B105</f>
        <v>TB</v>
      </c>
      <c r="C107" s="737" t="str">
        <f t="shared" si="69"/>
        <v>GSL</v>
      </c>
      <c r="D107" s="737" t="str">
        <f>D105</f>
        <v>GSLAH</v>
      </c>
      <c r="F107" s="711" t="str">
        <f>"UC_"&amp;J107&amp;C107&amp;"FX"&amp;A107</f>
        <v>UC_TBGSLFX2020</v>
      </c>
      <c r="G107" s="740" t="str">
        <f t="shared" si="68"/>
        <v>TB*GSL*,-TB*GSLAH*</v>
      </c>
      <c r="H107" s="740"/>
      <c r="I107" s="740"/>
      <c r="J107" s="741" t="str">
        <f t="shared" si="43"/>
        <v>TB</v>
      </c>
      <c r="K107" s="742">
        <f t="shared" si="44"/>
        <v>2020</v>
      </c>
      <c r="L107" s="714" t="s">
        <v>1838</v>
      </c>
      <c r="M107" s="714">
        <v>0</v>
      </c>
      <c r="N107" s="714">
        <v>-1</v>
      </c>
      <c r="O107" s="715">
        <f>O108-1</f>
        <v>-0.89109546848254328</v>
      </c>
    </row>
    <row r="108" spans="1:26" customFormat="1" ht="12" customHeight="1" x14ac:dyDescent="0.25">
      <c r="B108" s="35"/>
      <c r="C108" s="35"/>
      <c r="D108" s="35"/>
      <c r="F108" s="711"/>
      <c r="G108" s="712" t="str">
        <f>IF(D107="",B107&amp;"*"&amp;",-"&amp;B107&amp;"*"&amp;C107&amp;"*",B107&amp;"*"&amp;",-"&amp;B107&amp;"*"&amp;C107&amp;"*"&amp;","&amp;B107&amp;"*"&amp;D107&amp;"*")</f>
        <v>TB*,-TB*GSL*,TB*GSLAH*</v>
      </c>
      <c r="H108" s="712"/>
      <c r="I108" s="713"/>
      <c r="J108" s="713" t="str">
        <f>J107</f>
        <v>TB</v>
      </c>
      <c r="K108" s="714">
        <f>K107</f>
        <v>2020</v>
      </c>
      <c r="L108" s="714"/>
      <c r="M108" s="714"/>
      <c r="N108" s="714"/>
      <c r="O108" s="715">
        <f>'ON-Road Historical share'!V33</f>
        <v>0.10890453151745669</v>
      </c>
      <c r="P108" s="737"/>
      <c r="Q108" s="737"/>
      <c r="R108" s="737"/>
      <c r="S108" s="737"/>
      <c r="T108" s="737"/>
      <c r="U108" s="737"/>
      <c r="V108" s="737"/>
      <c r="W108" s="737"/>
      <c r="X108" s="737"/>
      <c r="Y108" s="737"/>
      <c r="Z108" s="737"/>
    </row>
    <row r="109" spans="1:26" ht="15" x14ac:dyDescent="0.25">
      <c r="A109" s="737">
        <f t="shared" ref="A109" si="70">A103</f>
        <v>2025</v>
      </c>
      <c r="B109" s="737" t="str">
        <f t="shared" ref="B109:C109" si="71">B107</f>
        <v>TB</v>
      </c>
      <c r="C109" s="737" t="str">
        <f t="shared" si="71"/>
        <v>GSL</v>
      </c>
      <c r="D109" s="737" t="str">
        <f>D107</f>
        <v>GSLAH</v>
      </c>
      <c r="F109" s="711" t="str">
        <f>"UC_"&amp;J109&amp;C109&amp;"FX"&amp;A109</f>
        <v>UC_TBGSLFX2025</v>
      </c>
      <c r="G109" s="740" t="str">
        <f t="shared" si="68"/>
        <v>TB*GSL*,-TB*GSLAH*</v>
      </c>
      <c r="H109" s="740"/>
      <c r="I109" s="740"/>
      <c r="J109" s="741" t="str">
        <f t="shared" si="43"/>
        <v>TB</v>
      </c>
      <c r="K109" s="742">
        <f t="shared" si="44"/>
        <v>2025</v>
      </c>
      <c r="L109" s="714" t="s">
        <v>1838</v>
      </c>
      <c r="M109" s="714">
        <v>0</v>
      </c>
      <c r="N109" s="714">
        <v>-1</v>
      </c>
      <c r="O109" s="715">
        <f>O110-1</f>
        <v>-0.846430841489487</v>
      </c>
    </row>
    <row r="110" spans="1:26" customFormat="1" ht="12" customHeight="1" x14ac:dyDescent="0.25">
      <c r="B110" s="35"/>
      <c r="C110" s="35"/>
      <c r="D110" s="35"/>
      <c r="F110" s="711"/>
      <c r="G110" s="712" t="str">
        <f>IF(D109="",B109&amp;"*"&amp;",-"&amp;B109&amp;"*"&amp;C109&amp;"*",B109&amp;"*"&amp;",-"&amp;B109&amp;"*"&amp;C109&amp;"*"&amp;","&amp;B109&amp;"*"&amp;D109&amp;"*")</f>
        <v>TB*,-TB*GSL*,TB*GSLAH*</v>
      </c>
      <c r="H110" s="712"/>
      <c r="I110" s="713"/>
      <c r="J110" s="713" t="str">
        <f>J109</f>
        <v>TB</v>
      </c>
      <c r="K110" s="714">
        <f>K109</f>
        <v>2025</v>
      </c>
      <c r="L110" s="714"/>
      <c r="M110" s="714"/>
      <c r="N110" s="714"/>
      <c r="O110" s="715">
        <f>'ON-Road Historical share'!W33</f>
        <v>0.153569158510513</v>
      </c>
      <c r="P110" s="737"/>
      <c r="Q110" s="737"/>
      <c r="R110" s="737"/>
      <c r="S110" s="737"/>
      <c r="T110" s="737"/>
      <c r="U110" s="737"/>
      <c r="V110" s="737"/>
      <c r="W110" s="737"/>
      <c r="X110" s="737"/>
      <c r="Y110" s="737"/>
      <c r="Z110" s="737"/>
    </row>
    <row r="111" spans="1:26" ht="15" x14ac:dyDescent="0.25">
      <c r="A111" s="737">
        <f>A105</f>
        <v>2015</v>
      </c>
      <c r="B111" s="737" t="str">
        <f>'ON-Road Historical share'!L34</f>
        <v>TB</v>
      </c>
      <c r="C111" s="737" t="str">
        <f>'ON-Road Historical share'!M34</f>
        <v>CNG</v>
      </c>
      <c r="F111" s="711" t="str">
        <f>"UC_"&amp;J111&amp;C111&amp;"FX"&amp;A111</f>
        <v>UC_TBCNGFX2015</v>
      </c>
      <c r="G111" s="740" t="str">
        <f>IF(D111="",B111&amp;"*"&amp;C111&amp;"*",B111&amp;"*"&amp;C111&amp;"*"&amp;",-"&amp;B111&amp;"*"&amp;D111&amp;"*")</f>
        <v>TB*CNG*</v>
      </c>
      <c r="H111" s="740"/>
      <c r="I111" s="740"/>
      <c r="J111" s="741" t="str">
        <f>B111</f>
        <v>TB</v>
      </c>
      <c r="K111" s="742">
        <f t="shared" ref="K111" si="72">A111</f>
        <v>2015</v>
      </c>
      <c r="L111" s="714" t="s">
        <v>1838</v>
      </c>
      <c r="M111" s="714">
        <v>0</v>
      </c>
      <c r="N111" s="714">
        <v>-1</v>
      </c>
      <c r="O111" s="715">
        <f>O112-1</f>
        <v>-0.88712020080895893</v>
      </c>
    </row>
    <row r="112" spans="1:26" customFormat="1" ht="12" customHeight="1" x14ac:dyDescent="0.25">
      <c r="B112" s="35"/>
      <c r="C112" s="35"/>
      <c r="D112" s="35"/>
      <c r="F112" s="711"/>
      <c r="G112" s="712" t="str">
        <f>IF(D111="",B111&amp;"*"&amp;",-"&amp;B111&amp;"*"&amp;C111&amp;"*",B111&amp;"*"&amp;",-"&amp;B111&amp;"*"&amp;C111&amp;"*"&amp;","&amp;B111&amp;"*"&amp;D111&amp;"*")</f>
        <v>TB*,-TB*CNG*</v>
      </c>
      <c r="H112" s="712"/>
      <c r="I112" s="713"/>
      <c r="J112" s="713" t="str">
        <f>J111</f>
        <v>TB</v>
      </c>
      <c r="K112" s="714">
        <f>K111</f>
        <v>2015</v>
      </c>
      <c r="L112" s="714"/>
      <c r="M112" s="714"/>
      <c r="N112" s="714"/>
      <c r="O112" s="715">
        <f>'ON-Road Historical share'!U34</f>
        <v>0.11287979919104107</v>
      </c>
      <c r="P112" s="737"/>
      <c r="Q112" s="737"/>
      <c r="R112" s="737"/>
      <c r="S112" s="737"/>
      <c r="T112" s="737"/>
      <c r="U112" s="737"/>
      <c r="V112" s="737"/>
      <c r="W112" s="737"/>
      <c r="X112" s="737"/>
      <c r="Y112" s="737"/>
      <c r="Z112" s="737"/>
    </row>
    <row r="113" spans="1:26" ht="15" x14ac:dyDescent="0.25">
      <c r="A113" s="737">
        <f>A107</f>
        <v>2020</v>
      </c>
      <c r="B113" s="737" t="str">
        <f>B111</f>
        <v>TB</v>
      </c>
      <c r="C113" s="737" t="str">
        <f t="shared" ref="C113" si="73">C111</f>
        <v>CNG</v>
      </c>
      <c r="F113" s="711" t="str">
        <f>"UC_"&amp;J113&amp;C113&amp;"FX"&amp;A113</f>
        <v>UC_TBCNGFX2020</v>
      </c>
      <c r="G113" s="740" t="str">
        <f t="shared" ref="G113" si="74">IF(D113="",B113&amp;"*"&amp;C113&amp;"*",B113&amp;"*"&amp;C113&amp;"*"&amp;",-"&amp;B113&amp;"*"&amp;D113&amp;"*")</f>
        <v>TB*CNG*</v>
      </c>
      <c r="H113" s="740"/>
      <c r="I113" s="740"/>
      <c r="J113" s="741" t="str">
        <f t="shared" ref="J113" si="75">B113</f>
        <v>TB</v>
      </c>
      <c r="K113" s="742">
        <f t="shared" ref="K113" si="76">A113</f>
        <v>2020</v>
      </c>
      <c r="L113" s="714" t="s">
        <v>1838</v>
      </c>
      <c r="M113" s="714">
        <v>0</v>
      </c>
      <c r="N113" s="714">
        <v>-1</v>
      </c>
      <c r="O113" s="715">
        <f>O114-1</f>
        <v>-0.89977096288431513</v>
      </c>
    </row>
    <row r="114" spans="1:26" customFormat="1" ht="12" customHeight="1" x14ac:dyDescent="0.25">
      <c r="B114" s="35"/>
      <c r="C114" s="35"/>
      <c r="D114" s="35"/>
      <c r="F114" s="711"/>
      <c r="G114" s="712" t="str">
        <f>IF(D113="",B113&amp;"*"&amp;",-"&amp;B113&amp;"*"&amp;C113&amp;"*",B113&amp;"*"&amp;",-"&amp;B113&amp;"*"&amp;C113&amp;"*"&amp;","&amp;B113&amp;"*"&amp;D113&amp;"*")</f>
        <v>TB*,-TB*CNG*</v>
      </c>
      <c r="H114" s="712"/>
      <c r="I114" s="713"/>
      <c r="J114" s="713" t="str">
        <f>J113</f>
        <v>TB</v>
      </c>
      <c r="K114" s="714">
        <f>K113</f>
        <v>2020</v>
      </c>
      <c r="L114" s="714"/>
      <c r="M114" s="714"/>
      <c r="N114" s="714"/>
      <c r="O114" s="715">
        <f>'ON-Road Historical share'!V34</f>
        <v>0.10022903711568493</v>
      </c>
      <c r="P114" s="737"/>
      <c r="Q114" s="737"/>
      <c r="R114" s="737"/>
      <c r="S114" s="737"/>
      <c r="T114" s="737"/>
      <c r="U114" s="737"/>
      <c r="V114" s="737"/>
      <c r="W114" s="737"/>
      <c r="X114" s="737"/>
      <c r="Y114" s="737"/>
      <c r="Z114" s="737"/>
    </row>
    <row r="115" spans="1:26" ht="15" x14ac:dyDescent="0.25">
      <c r="A115" s="737">
        <f t="shared" ref="A115" si="77">A109</f>
        <v>2025</v>
      </c>
      <c r="B115" s="737" t="str">
        <f t="shared" ref="B115:C115" si="78">B113</f>
        <v>TB</v>
      </c>
      <c r="C115" s="737" t="str">
        <f t="shared" si="78"/>
        <v>CNG</v>
      </c>
      <c r="F115" s="711" t="str">
        <f>"UC_"&amp;J115&amp;C115&amp;"FX"&amp;A115</f>
        <v>UC_TBCNGFX2025</v>
      </c>
      <c r="G115" s="740" t="str">
        <f t="shared" ref="G115" si="79">IF(D115="",B115&amp;"*"&amp;C115&amp;"*",B115&amp;"*"&amp;C115&amp;"*"&amp;",-"&amp;B115&amp;"*"&amp;D115&amp;"*")</f>
        <v>TB*CNG*</v>
      </c>
      <c r="H115" s="740"/>
      <c r="I115" s="740"/>
      <c r="J115" s="741" t="str">
        <f t="shared" ref="J115" si="80">B115</f>
        <v>TB</v>
      </c>
      <c r="K115" s="742">
        <f t="shared" ref="K115" si="81">A115</f>
        <v>2025</v>
      </c>
      <c r="L115" s="714" t="s">
        <v>1838</v>
      </c>
      <c r="M115" s="714">
        <v>0</v>
      </c>
      <c r="N115" s="714">
        <v>-1</v>
      </c>
      <c r="O115" s="715">
        <f>O116-1</f>
        <v>-0.86772743542887576</v>
      </c>
    </row>
    <row r="116" spans="1:26" customFormat="1" ht="12" customHeight="1" x14ac:dyDescent="0.25">
      <c r="B116" s="35"/>
      <c r="C116" s="35"/>
      <c r="D116" s="35"/>
      <c r="F116" s="711"/>
      <c r="G116" s="712" t="str">
        <f>IF(D115="",B115&amp;"*"&amp;",-"&amp;B115&amp;"*"&amp;C115&amp;"*",B115&amp;"*"&amp;",-"&amp;B115&amp;"*"&amp;C115&amp;"*"&amp;","&amp;B115&amp;"*"&amp;D115&amp;"*")</f>
        <v>TB*,-TB*CNG*</v>
      </c>
      <c r="H116" s="712"/>
      <c r="I116" s="713"/>
      <c r="J116" s="713" t="str">
        <f>J115</f>
        <v>TB</v>
      </c>
      <c r="K116" s="714">
        <f>K115</f>
        <v>2025</v>
      </c>
      <c r="L116" s="714"/>
      <c r="M116" s="714"/>
      <c r="N116" s="714"/>
      <c r="O116" s="715">
        <f>'ON-Road Historical share'!W34</f>
        <v>0.1322725645711243</v>
      </c>
      <c r="P116" s="737"/>
      <c r="Q116" s="737"/>
      <c r="R116" s="737"/>
      <c r="S116" s="737"/>
      <c r="T116" s="737"/>
      <c r="U116" s="737"/>
      <c r="V116" s="737"/>
      <c r="W116" s="737"/>
      <c r="X116" s="737"/>
      <c r="Y116" s="737"/>
      <c r="Z116" s="737"/>
    </row>
    <row r="117" spans="1:26" ht="15" x14ac:dyDescent="0.25">
      <c r="A117" s="737">
        <f>A105</f>
        <v>2015</v>
      </c>
      <c r="B117" s="737" t="s">
        <v>1846</v>
      </c>
      <c r="C117" s="737" t="str">
        <f>'ON-Road Historical share'!M42</f>
        <v>ELC</v>
      </c>
      <c r="F117" s="711" t="str">
        <f>"UC_"&amp;J117&amp;C117&amp;"FX"&amp;A117</f>
        <v>UC_TRPELCFX2015</v>
      </c>
      <c r="G117" s="740" t="str">
        <f t="shared" ref="G117" si="82">IF(D117="",B117&amp;"*"&amp;C117&amp;"*",B117&amp;"*"&amp;C117&amp;"*"&amp;",-"&amp;B117&amp;"*"&amp;D117&amp;"*")</f>
        <v>TP*ELC*</v>
      </c>
      <c r="H117" s="740"/>
      <c r="I117" s="740"/>
      <c r="J117" s="827" t="s">
        <v>110</v>
      </c>
      <c r="K117" s="742">
        <f t="shared" ref="K117" si="83">A117</f>
        <v>2015</v>
      </c>
      <c r="L117" s="714" t="s">
        <v>1838</v>
      </c>
      <c r="M117" s="714">
        <v>0</v>
      </c>
      <c r="N117" s="714">
        <v>-1</v>
      </c>
      <c r="O117" s="715">
        <f>O118-1</f>
        <v>-1.3404894497108688E-2</v>
      </c>
    </row>
    <row r="118" spans="1:26" customFormat="1" ht="12" customHeight="1" x14ac:dyDescent="0.25">
      <c r="B118" s="35"/>
      <c r="C118" s="35"/>
      <c r="D118" s="35"/>
      <c r="F118" s="711"/>
      <c r="G118" s="712" t="str">
        <f>IF(D117="",B117&amp;"*"&amp;",-"&amp;B117&amp;"*"&amp;C117&amp;"*",B117&amp;"*"&amp;",-"&amp;B117&amp;"*"&amp;C117&amp;"*"&amp;","&amp;B117&amp;"*"&amp;D117&amp;"*")</f>
        <v>TP*,-TP*ELC*</v>
      </c>
      <c r="H118" s="712"/>
      <c r="I118" s="713"/>
      <c r="J118" s="713" t="str">
        <f>J117</f>
        <v>TRP</v>
      </c>
      <c r="K118" s="714">
        <f>K117</f>
        <v>2015</v>
      </c>
      <c r="L118" s="714"/>
      <c r="M118" s="714"/>
      <c r="N118" s="714"/>
      <c r="O118" s="715">
        <f>'ON-Road Historical share'!U42</f>
        <v>0.98659510550289131</v>
      </c>
      <c r="P118" s="737"/>
      <c r="Q118" s="737"/>
      <c r="R118" s="737"/>
      <c r="S118" s="737"/>
      <c r="T118" s="737"/>
      <c r="U118" s="737"/>
      <c r="V118" s="737"/>
      <c r="W118" s="737"/>
      <c r="X118" s="737"/>
      <c r="Y118" s="737"/>
      <c r="Z118" s="737"/>
    </row>
    <row r="119" spans="1:26" ht="15" x14ac:dyDescent="0.25">
      <c r="A119" s="737">
        <f>A107</f>
        <v>2020</v>
      </c>
      <c r="B119" s="737" t="str">
        <f t="shared" ref="B119:C119" si="84">B117</f>
        <v>TP</v>
      </c>
      <c r="C119" s="737" t="str">
        <f t="shared" si="84"/>
        <v>ELC</v>
      </c>
      <c r="F119" s="711" t="str">
        <f>"UC_"&amp;J119&amp;C119&amp;"FX"&amp;A119</f>
        <v>UC_TRPELCFX2020</v>
      </c>
      <c r="G119" s="740" t="str">
        <f t="shared" ref="G119" si="85">IF(D119="",B119&amp;"*"&amp;C119&amp;"*",B119&amp;"*"&amp;C119&amp;"*"&amp;",-"&amp;B119&amp;"*"&amp;D119&amp;"*")</f>
        <v>TP*ELC*</v>
      </c>
      <c r="H119" s="740"/>
      <c r="I119" s="740"/>
      <c r="J119" s="713" t="str">
        <f t="shared" ref="J119:J128" si="86">J118</f>
        <v>TRP</v>
      </c>
      <c r="K119" s="742">
        <f t="shared" ref="K119" si="87">A119</f>
        <v>2020</v>
      </c>
      <c r="L119" s="714" t="s">
        <v>1838</v>
      </c>
      <c r="M119" s="714">
        <v>0</v>
      </c>
      <c r="N119" s="714">
        <v>-1</v>
      </c>
      <c r="O119" s="715">
        <f>O120-1</f>
        <v>-1.5047386952228514E-2</v>
      </c>
    </row>
    <row r="120" spans="1:26" customFormat="1" ht="12" customHeight="1" x14ac:dyDescent="0.25">
      <c r="B120" s="35"/>
      <c r="C120" s="35"/>
      <c r="D120" s="35"/>
      <c r="F120" s="711"/>
      <c r="G120" s="712" t="str">
        <f>IF(D119="",B119&amp;"*"&amp;",-"&amp;B119&amp;"*"&amp;C119&amp;"*",B119&amp;"*"&amp;",-"&amp;B119&amp;"*"&amp;C119&amp;"*"&amp;","&amp;B119&amp;"*"&amp;D119&amp;"*")</f>
        <v>TP*,-TP*ELC*</v>
      </c>
      <c r="H120" s="712"/>
      <c r="I120" s="713"/>
      <c r="J120" s="713" t="str">
        <f t="shared" si="86"/>
        <v>TRP</v>
      </c>
      <c r="K120" s="714">
        <f>K119</f>
        <v>2020</v>
      </c>
      <c r="L120" s="714"/>
      <c r="M120" s="714"/>
      <c r="N120" s="714"/>
      <c r="O120" s="715">
        <f>'ON-Road Historical share'!V42</f>
        <v>0.98495261304777149</v>
      </c>
      <c r="P120" s="737"/>
      <c r="Q120" s="737"/>
      <c r="R120" s="737"/>
      <c r="S120" s="737"/>
      <c r="T120" s="737"/>
      <c r="U120" s="737"/>
      <c r="V120" s="737"/>
      <c r="W120" s="737"/>
      <c r="X120" s="737"/>
      <c r="Y120" s="737"/>
      <c r="Z120" s="737"/>
    </row>
    <row r="121" spans="1:26" ht="15" x14ac:dyDescent="0.25">
      <c r="A121" s="737">
        <f>A109</f>
        <v>2025</v>
      </c>
      <c r="B121" s="737" t="str">
        <f t="shared" ref="B121:C121" si="88">B119</f>
        <v>TP</v>
      </c>
      <c r="C121" s="737" t="str">
        <f t="shared" si="88"/>
        <v>ELC</v>
      </c>
      <c r="F121" s="711" t="str">
        <f>"UC_"&amp;J121&amp;C121&amp;"FX"&amp;A121</f>
        <v>UC_TRPELCFX2025</v>
      </c>
      <c r="G121" s="740" t="str">
        <f t="shared" ref="G121" si="89">IF(D121="",B121&amp;"*"&amp;C121&amp;"*",B121&amp;"*"&amp;C121&amp;"*"&amp;",-"&amp;B121&amp;"*"&amp;D121&amp;"*")</f>
        <v>TP*ELC*</v>
      </c>
      <c r="H121" s="740"/>
      <c r="I121" s="740"/>
      <c r="J121" s="713" t="str">
        <f t="shared" si="86"/>
        <v>TRP</v>
      </c>
      <c r="K121" s="742">
        <f t="shared" ref="K121" si="90">A121</f>
        <v>2025</v>
      </c>
      <c r="L121" s="714" t="s">
        <v>1838</v>
      </c>
      <c r="M121" s="714">
        <v>0</v>
      </c>
      <c r="N121" s="714">
        <v>-1</v>
      </c>
      <c r="O121" s="715">
        <f>O122-1</f>
        <v>-1.5100512033758839E-2</v>
      </c>
    </row>
    <row r="122" spans="1:26" customFormat="1" ht="12" customHeight="1" x14ac:dyDescent="0.25">
      <c r="B122" s="35"/>
      <c r="C122" s="35"/>
      <c r="D122" s="35"/>
      <c r="F122" s="711"/>
      <c r="G122" s="712" t="str">
        <f>IF(D121="",B121&amp;"*"&amp;",-"&amp;B121&amp;"*"&amp;C121&amp;"*",B121&amp;"*"&amp;",-"&amp;B121&amp;"*"&amp;C121&amp;"*"&amp;","&amp;B121&amp;"*"&amp;D121&amp;"*")</f>
        <v>TP*,-TP*ELC*</v>
      </c>
      <c r="H122" s="712"/>
      <c r="I122" s="713"/>
      <c r="J122" s="713" t="str">
        <f t="shared" si="86"/>
        <v>TRP</v>
      </c>
      <c r="K122" s="714">
        <f>K121</f>
        <v>2025</v>
      </c>
      <c r="L122" s="714"/>
      <c r="M122" s="714"/>
      <c r="N122" s="714"/>
      <c r="O122" s="715">
        <f>'ON-Road Historical share'!W42</f>
        <v>0.98489948796624116</v>
      </c>
      <c r="P122" s="737"/>
      <c r="Q122" s="737"/>
      <c r="R122" s="737"/>
      <c r="S122" s="737"/>
      <c r="T122" s="737"/>
      <c r="U122" s="737"/>
      <c r="V122" s="737"/>
      <c r="W122" s="737"/>
      <c r="X122" s="737"/>
      <c r="Y122" s="737"/>
      <c r="Z122" s="737"/>
    </row>
    <row r="123" spans="1:26" ht="15" x14ac:dyDescent="0.25">
      <c r="A123" s="737">
        <f>A117</f>
        <v>2015</v>
      </c>
      <c r="B123" s="737" t="s">
        <v>1846</v>
      </c>
      <c r="C123" s="737" t="str">
        <f>'ON-Road Historical share'!M43</f>
        <v>DSL</v>
      </c>
      <c r="F123" s="711" t="str">
        <f>"UC_"&amp;J123&amp;C123&amp;"FX"&amp;A123</f>
        <v>UC_TRPDSLFX2015</v>
      </c>
      <c r="G123" s="740" t="str">
        <f t="shared" ref="G123" si="91">IF(D123="",B123&amp;"*"&amp;C123&amp;"*",B123&amp;"*"&amp;C123&amp;"*"&amp;",-"&amp;B123&amp;"*"&amp;D123)</f>
        <v>TP*DSL*</v>
      </c>
      <c r="H123" s="740"/>
      <c r="I123" s="740"/>
      <c r="J123" s="713" t="str">
        <f t="shared" si="86"/>
        <v>TRP</v>
      </c>
      <c r="K123" s="742">
        <f t="shared" ref="K123" si="92">A123</f>
        <v>2015</v>
      </c>
      <c r="L123" s="714" t="s">
        <v>1838</v>
      </c>
      <c r="M123" s="714">
        <v>0</v>
      </c>
      <c r="N123" s="714">
        <v>-1</v>
      </c>
      <c r="O123" s="715">
        <f>O124-1</f>
        <v>-0.98659510550289131</v>
      </c>
    </row>
    <row r="124" spans="1:26" customFormat="1" ht="12" customHeight="1" x14ac:dyDescent="0.25">
      <c r="B124" s="35"/>
      <c r="C124" s="35"/>
      <c r="D124" s="35"/>
      <c r="F124" s="711"/>
      <c r="G124" s="712" t="str">
        <f>IF(D123="",B123&amp;"*"&amp;",-"&amp;B123&amp;"*"&amp;C123&amp;"*",B123&amp;"*"&amp;",-"&amp;B123&amp;"*"&amp;C123&amp;"*"&amp;","&amp;B123&amp;"*"&amp;D123&amp;"*")</f>
        <v>TP*,-TP*DSL*</v>
      </c>
      <c r="H124" s="712"/>
      <c r="I124" s="713"/>
      <c r="J124" s="713" t="str">
        <f t="shared" si="86"/>
        <v>TRP</v>
      </c>
      <c r="K124" s="714">
        <f>K123</f>
        <v>2015</v>
      </c>
      <c r="L124" s="714"/>
      <c r="M124" s="714"/>
      <c r="N124" s="714"/>
      <c r="O124" s="715">
        <f>'ON-Road Historical share'!U43</f>
        <v>1.3404894497108671E-2</v>
      </c>
      <c r="P124" s="737"/>
      <c r="Q124" s="737"/>
      <c r="R124" s="737"/>
      <c r="S124" s="737"/>
      <c r="T124" s="737"/>
      <c r="U124" s="737"/>
      <c r="V124" s="737"/>
      <c r="W124" s="737"/>
      <c r="X124" s="737"/>
      <c r="Y124" s="737"/>
      <c r="Z124" s="737"/>
    </row>
    <row r="125" spans="1:26" ht="15" x14ac:dyDescent="0.25">
      <c r="A125" s="737">
        <f>A119</f>
        <v>2020</v>
      </c>
      <c r="B125" s="737" t="str">
        <f t="shared" ref="B125:C125" si="93">B123</f>
        <v>TP</v>
      </c>
      <c r="C125" s="737" t="str">
        <f t="shared" si="93"/>
        <v>DSL</v>
      </c>
      <c r="F125" s="711" t="str">
        <f>"UC_"&amp;J125&amp;C125&amp;"FX"&amp;A125</f>
        <v>UC_TRPDSLFX2020</v>
      </c>
      <c r="G125" s="740" t="str">
        <f t="shared" ref="G125" si="94">IF(D125="",B125&amp;"*"&amp;C125&amp;"*",B125&amp;"*"&amp;C125&amp;"*"&amp;",-"&amp;B125&amp;"*"&amp;D125)</f>
        <v>TP*DSL*</v>
      </c>
      <c r="H125" s="740"/>
      <c r="I125" s="740"/>
      <c r="J125" s="713" t="str">
        <f t="shared" si="86"/>
        <v>TRP</v>
      </c>
      <c r="K125" s="742">
        <f t="shared" ref="K125" si="95">A125</f>
        <v>2020</v>
      </c>
      <c r="L125" s="714" t="s">
        <v>1838</v>
      </c>
      <c r="M125" s="714">
        <v>0</v>
      </c>
      <c r="N125" s="714">
        <v>-1</v>
      </c>
      <c r="O125" s="715">
        <f>O126-1</f>
        <v>-0.9849526130477716</v>
      </c>
    </row>
    <row r="126" spans="1:26" customFormat="1" ht="12" customHeight="1" x14ac:dyDescent="0.25">
      <c r="B126" s="35"/>
      <c r="C126" s="35"/>
      <c r="D126" s="35"/>
      <c r="F126" s="711"/>
      <c r="G126" s="712" t="str">
        <f>IF(D125="",B125&amp;"*"&amp;",-"&amp;B125&amp;"*"&amp;C125&amp;"*",B125&amp;"*"&amp;",-"&amp;B125&amp;"*"&amp;C125&amp;"*"&amp;","&amp;B125&amp;"*"&amp;D125&amp;"*")</f>
        <v>TP*,-TP*DSL*</v>
      </c>
      <c r="H126" s="712"/>
      <c r="I126" s="713"/>
      <c r="J126" s="713" t="str">
        <f t="shared" si="86"/>
        <v>TRP</v>
      </c>
      <c r="K126" s="714">
        <f>K125</f>
        <v>2020</v>
      </c>
      <c r="L126" s="714"/>
      <c r="M126" s="714"/>
      <c r="N126" s="714"/>
      <c r="O126" s="715">
        <f>'ON-Road Historical share'!V43</f>
        <v>1.5047386952228368E-2</v>
      </c>
      <c r="P126" s="737"/>
      <c r="Q126" s="737"/>
      <c r="R126" s="737"/>
      <c r="S126" s="737"/>
      <c r="T126" s="737"/>
      <c r="U126" s="737"/>
      <c r="V126" s="737"/>
      <c r="W126" s="737"/>
      <c r="X126" s="737"/>
      <c r="Y126" s="737"/>
      <c r="Z126" s="737"/>
    </row>
    <row r="127" spans="1:26" ht="15" x14ac:dyDescent="0.25">
      <c r="A127" s="737">
        <f>A121</f>
        <v>2025</v>
      </c>
      <c r="B127" s="737" t="str">
        <f t="shared" ref="B127:C127" si="96">B125</f>
        <v>TP</v>
      </c>
      <c r="C127" s="737" t="str">
        <f t="shared" si="96"/>
        <v>DSL</v>
      </c>
      <c r="F127" s="711" t="str">
        <f>"UC_"&amp;J127&amp;C127&amp;"FX"&amp;A127</f>
        <v>UC_TRPDSLFX2025</v>
      </c>
      <c r="G127" s="740" t="str">
        <f t="shared" ref="G127" si="97">IF(D127="",B127&amp;"*"&amp;C127&amp;"*",B127&amp;"*"&amp;C127&amp;"*"&amp;",-"&amp;B127&amp;"*"&amp;D127)</f>
        <v>TP*DSL*</v>
      </c>
      <c r="H127" s="740"/>
      <c r="I127" s="740"/>
      <c r="J127" s="713" t="str">
        <f t="shared" si="86"/>
        <v>TRP</v>
      </c>
      <c r="K127" s="742">
        <f t="shared" ref="K127" si="98">A127</f>
        <v>2025</v>
      </c>
      <c r="L127" s="714" t="s">
        <v>1838</v>
      </c>
      <c r="M127" s="714">
        <v>0</v>
      </c>
      <c r="N127" s="714">
        <v>-1</v>
      </c>
      <c r="O127" s="715">
        <f>O128-1</f>
        <v>-0.98489948796624105</v>
      </c>
    </row>
    <row r="128" spans="1:26" customFormat="1" ht="12" customHeight="1" x14ac:dyDescent="0.25">
      <c r="B128" s="35"/>
      <c r="C128" s="35"/>
      <c r="D128" s="35"/>
      <c r="F128" s="711"/>
      <c r="G128" s="712" t="str">
        <f>IF(D127="",B127&amp;"*"&amp;",-"&amp;B127&amp;"*"&amp;C127&amp;"*",B127&amp;"*"&amp;",-"&amp;B127&amp;"*"&amp;C127&amp;"*"&amp;","&amp;B127&amp;"*"&amp;D127&amp;"*")</f>
        <v>TP*,-TP*DSL*</v>
      </c>
      <c r="H128" s="712"/>
      <c r="I128" s="713"/>
      <c r="J128" s="713" t="str">
        <f t="shared" si="86"/>
        <v>TRP</v>
      </c>
      <c r="K128" s="714">
        <f>K127</f>
        <v>2025</v>
      </c>
      <c r="L128" s="714"/>
      <c r="M128" s="714"/>
      <c r="N128" s="714"/>
      <c r="O128" s="715">
        <f>'ON-Road Historical share'!W43</f>
        <v>1.5100512033758973E-2</v>
      </c>
      <c r="P128" s="737"/>
      <c r="Q128" s="737"/>
      <c r="R128" s="737"/>
      <c r="S128" s="737"/>
      <c r="T128" s="737"/>
      <c r="U128" s="737"/>
      <c r="V128" s="737"/>
      <c r="W128" s="737"/>
      <c r="X128" s="737"/>
      <c r="Y128" s="737"/>
      <c r="Z128" s="7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22F6E-568D-4EC2-8BA5-1D2C2487E21F}">
  <sheetPr>
    <tabColor rgb="FF00B050"/>
  </sheetPr>
  <dimension ref="A2:AY64"/>
  <sheetViews>
    <sheetView showFormulas="1" topLeftCell="A18" zoomScale="70" zoomScaleNormal="70" workbookViewId="0">
      <selection activeCell="W25" sqref="W25"/>
    </sheetView>
  </sheetViews>
  <sheetFormatPr defaultColWidth="8.85546875" defaultRowHeight="15" x14ac:dyDescent="0.25"/>
  <cols>
    <col min="1" max="1" width="21.85546875" style="743" customWidth="1"/>
    <col min="2" max="2" width="24.7109375" style="743" bestFit="1" customWidth="1"/>
    <col min="3" max="6" width="16.85546875" style="743" bestFit="1" customWidth="1"/>
    <col min="7" max="7" width="17.28515625" style="743" bestFit="1" customWidth="1"/>
    <col min="8" max="9" width="15" style="743" customWidth="1"/>
    <col min="10" max="10" width="21.85546875" style="743" customWidth="1"/>
    <col min="11" max="11" width="30.140625" style="743" bestFit="1" customWidth="1"/>
    <col min="12" max="24" width="21.85546875" style="743" customWidth="1"/>
    <col min="25" max="25" width="43.140625" style="743" customWidth="1"/>
    <col min="26" max="27" width="23.7109375" style="743" customWidth="1"/>
    <col min="28" max="28" width="16.28515625" style="743" customWidth="1"/>
    <col min="29" max="30" width="23" style="743" customWidth="1"/>
    <col min="31" max="31" width="15.85546875" style="743" customWidth="1"/>
    <col min="32" max="32" width="19.28515625" style="743" customWidth="1"/>
    <col min="33" max="33" width="17.42578125" style="743" customWidth="1"/>
    <col min="34" max="34" width="22.7109375" style="743" customWidth="1"/>
    <col min="35" max="35" width="31.140625" style="743" customWidth="1"/>
    <col min="36" max="36" width="27.5703125" style="743" customWidth="1"/>
    <col min="37" max="37" width="27.42578125" style="743" customWidth="1"/>
    <col min="38" max="38" width="26.85546875" style="743" bestFit="1" customWidth="1"/>
    <col min="39" max="40" width="27.42578125" style="743" bestFit="1" customWidth="1"/>
    <col min="41" max="41" width="26.42578125" style="743" bestFit="1" customWidth="1"/>
    <col min="42" max="42" width="25.85546875" style="743" bestFit="1" customWidth="1"/>
    <col min="43" max="43" width="26.42578125" style="743" bestFit="1" customWidth="1"/>
    <col min="44" max="44" width="28" style="743" bestFit="1" customWidth="1"/>
    <col min="45" max="45" width="26.85546875" style="743" bestFit="1" customWidth="1"/>
    <col min="46" max="46" width="27.42578125" style="743" bestFit="1" customWidth="1"/>
    <col min="47" max="48" width="28" style="743" bestFit="1" customWidth="1"/>
    <col min="49" max="49" width="27.42578125" style="743" bestFit="1" customWidth="1"/>
    <col min="50" max="50" width="26.85546875" style="743" bestFit="1" customWidth="1"/>
    <col min="51" max="51" width="28" style="743" bestFit="1" customWidth="1"/>
    <col min="52" max="52" width="8.85546875" style="743"/>
    <col min="53" max="53" width="16.28515625" style="743" bestFit="1" customWidth="1"/>
    <col min="54" max="54" width="12.85546875" style="743" bestFit="1" customWidth="1"/>
    <col min="55" max="55" width="11.140625" style="743" customWidth="1"/>
    <col min="56" max="64" width="12.140625" style="743" customWidth="1"/>
    <col min="65" max="65" width="12.140625" style="743" bestFit="1" customWidth="1"/>
    <col min="66" max="66" width="10.7109375" style="743" bestFit="1" customWidth="1"/>
    <col min="67" max="67" width="11.140625" style="743" bestFit="1" customWidth="1"/>
    <col min="68" max="16384" width="8.85546875" style="743"/>
  </cols>
  <sheetData>
    <row r="2" spans="1:51" ht="23.25" x14ac:dyDescent="0.35">
      <c r="Z2" s="744" t="s">
        <v>1742</v>
      </c>
    </row>
    <row r="3" spans="1:51" ht="21" x14ac:dyDescent="0.35">
      <c r="A3" s="745"/>
      <c r="B3" s="745"/>
      <c r="C3" s="745"/>
      <c r="D3" s="745"/>
      <c r="E3" s="745"/>
      <c r="F3" s="745"/>
      <c r="G3" s="745"/>
      <c r="H3" s="745"/>
      <c r="I3" s="745"/>
      <c r="J3" s="745"/>
      <c r="K3" s="745"/>
      <c r="L3" s="745"/>
      <c r="M3" s="745"/>
      <c r="N3" s="745"/>
      <c r="O3" s="745"/>
      <c r="P3" s="745"/>
      <c r="Q3" s="745"/>
      <c r="R3" s="745"/>
      <c r="S3" s="745"/>
      <c r="T3" s="745"/>
      <c r="U3" s="745"/>
      <c r="V3" s="745"/>
      <c r="W3" s="745"/>
      <c r="X3" s="745"/>
      <c r="Y3" s="745"/>
      <c r="Z3" s="745"/>
      <c r="AA3" s="745"/>
      <c r="AX3" s="746"/>
      <c r="AY3" s="747"/>
    </row>
    <row r="4" spans="1:51" ht="18.75" x14ac:dyDescent="0.3">
      <c r="A4" s="748"/>
      <c r="B4" s="748"/>
      <c r="C4" s="748"/>
      <c r="D4" s="748"/>
      <c r="E4" s="748"/>
      <c r="F4" s="748"/>
      <c r="G4" s="748"/>
      <c r="H4" s="748"/>
      <c r="I4" s="748"/>
      <c r="J4" s="748"/>
      <c r="K4" s="748"/>
      <c r="L4" s="748"/>
      <c r="M4" s="748"/>
      <c r="N4" s="748"/>
      <c r="O4" s="748"/>
      <c r="P4" s="748"/>
      <c r="Q4" s="748"/>
      <c r="R4" s="748"/>
      <c r="S4" s="748"/>
      <c r="T4" s="748"/>
      <c r="U4" s="748"/>
      <c r="V4" s="748"/>
      <c r="W4" s="748"/>
      <c r="X4" s="748"/>
      <c r="Y4" s="748"/>
      <c r="Z4" s="749" t="s">
        <v>1743</v>
      </c>
      <c r="AA4" s="750"/>
      <c r="AB4" s="748"/>
      <c r="AC4" s="743" t="s">
        <v>1006</v>
      </c>
    </row>
    <row r="5" spans="1:51" ht="18.75" x14ac:dyDescent="0.25">
      <c r="A5" s="751"/>
      <c r="B5" s="751"/>
      <c r="C5" s="751"/>
      <c r="D5" s="751"/>
      <c r="E5" s="751"/>
      <c r="F5" s="751"/>
      <c r="G5" s="751"/>
      <c r="H5" s="751"/>
      <c r="I5" s="751"/>
      <c r="J5" s="751"/>
      <c r="K5" s="751"/>
      <c r="L5" s="751"/>
      <c r="M5" s="751"/>
      <c r="N5" s="751"/>
      <c r="O5" s="751"/>
      <c r="P5" s="751"/>
      <c r="Q5" s="751"/>
      <c r="R5" s="751"/>
      <c r="S5" s="751"/>
      <c r="T5" s="751"/>
      <c r="U5" s="751"/>
      <c r="V5" s="751"/>
      <c r="W5" s="751"/>
      <c r="X5" s="751"/>
      <c r="Y5" s="751"/>
      <c r="Z5" s="752" t="s">
        <v>1744</v>
      </c>
      <c r="AA5" s="753" t="s">
        <v>1745</v>
      </c>
      <c r="AC5" s="743" t="s">
        <v>1746</v>
      </c>
    </row>
    <row r="6" spans="1:51" x14ac:dyDescent="0.25">
      <c r="Z6" s="754" t="s">
        <v>1744</v>
      </c>
      <c r="AA6" s="753" t="s">
        <v>1747</v>
      </c>
    </row>
    <row r="7" spans="1:51" x14ac:dyDescent="0.25">
      <c r="Y7" s="755"/>
      <c r="Z7" s="756" t="s">
        <v>1744</v>
      </c>
      <c r="AA7" s="753" t="s">
        <v>1748</v>
      </c>
      <c r="AW7" s="757"/>
    </row>
    <row r="9" spans="1:51" x14ac:dyDescent="0.25">
      <c r="AC9" s="758">
        <v>1000</v>
      </c>
      <c r="AD9" s="758"/>
      <c r="AE9" s="758"/>
      <c r="AF9" s="743" t="s">
        <v>1749</v>
      </c>
    </row>
    <row r="10" spans="1:51" x14ac:dyDescent="0.25">
      <c r="AC10" s="759">
        <v>1E-3</v>
      </c>
      <c r="AD10" s="759"/>
      <c r="AE10" s="760"/>
      <c r="AF10" s="761" t="s">
        <v>1750</v>
      </c>
    </row>
    <row r="11" spans="1:51" ht="18.75" x14ac:dyDescent="0.25">
      <c r="A11" s="751"/>
      <c r="B11" s="751"/>
      <c r="C11" s="751"/>
      <c r="D11" s="751"/>
      <c r="E11" s="751"/>
      <c r="F11" s="751"/>
      <c r="G11" s="751"/>
      <c r="H11" s="751"/>
      <c r="I11" s="751"/>
      <c r="J11" s="751"/>
      <c r="K11" s="751"/>
      <c r="L11" s="751"/>
      <c r="M11" s="751"/>
      <c r="N11" s="751"/>
      <c r="O11" s="751"/>
      <c r="P11" s="751"/>
      <c r="Q11" s="751"/>
      <c r="R11" s="751"/>
      <c r="S11" s="751"/>
      <c r="T11" s="751"/>
      <c r="U11" s="751"/>
      <c r="V11" s="751"/>
      <c r="W11" s="751"/>
      <c r="X11" s="751"/>
      <c r="Z11" s="762" t="s">
        <v>1052</v>
      </c>
      <c r="AC11" s="763"/>
      <c r="AD11" s="763"/>
      <c r="AE11" s="763"/>
      <c r="AF11" s="764"/>
      <c r="AG11" s="763"/>
      <c r="AH11" s="763"/>
      <c r="AI11" s="763"/>
      <c r="AJ11" s="763"/>
      <c r="AK11" s="763"/>
      <c r="AL11" s="763"/>
      <c r="AM11" s="763"/>
      <c r="AN11" s="764"/>
      <c r="AO11" s="763"/>
      <c r="AP11" s="763"/>
      <c r="AQ11" s="764"/>
      <c r="AR11" s="763"/>
      <c r="AS11" s="763"/>
      <c r="AT11" s="764"/>
      <c r="AU11" s="763"/>
      <c r="AV11" s="763"/>
      <c r="AW11" s="764"/>
      <c r="AX11" s="763"/>
      <c r="AY11" s="763"/>
    </row>
    <row r="12" spans="1:51" ht="18.75" x14ac:dyDescent="0.25">
      <c r="A12" s="751"/>
      <c r="B12" s="737"/>
      <c r="C12" s="737"/>
      <c r="D12" s="751"/>
      <c r="E12" s="751"/>
      <c r="F12" s="751"/>
      <c r="G12" s="751"/>
      <c r="H12" s="751"/>
      <c r="I12" s="751"/>
      <c r="J12" s="751"/>
      <c r="K12" s="751"/>
      <c r="L12" s="751"/>
      <c r="M12" s="751"/>
      <c r="N12" s="751"/>
      <c r="O12" s="751"/>
      <c r="P12" s="751"/>
      <c r="Q12" s="751"/>
      <c r="R12" s="751"/>
      <c r="S12" s="751"/>
      <c r="T12" s="751"/>
      <c r="U12" s="751"/>
      <c r="V12" s="751"/>
      <c r="W12" s="751"/>
      <c r="X12" s="751"/>
      <c r="Y12" s="765" t="s">
        <v>1751</v>
      </c>
      <c r="Z12" s="766" t="s">
        <v>1752</v>
      </c>
      <c r="AA12" s="767" t="s">
        <v>1753</v>
      </c>
      <c r="AB12" s="767" t="s">
        <v>1754</v>
      </c>
      <c r="AC12" s="767" t="s">
        <v>1755</v>
      </c>
      <c r="AD12" s="767" t="s">
        <v>1756</v>
      </c>
      <c r="AE12" s="767" t="s">
        <v>1757</v>
      </c>
      <c r="AF12" s="767" t="s">
        <v>1758</v>
      </c>
      <c r="AG12" s="767" t="s">
        <v>1759</v>
      </c>
      <c r="AH12" s="768" t="s">
        <v>1760</v>
      </c>
      <c r="AI12" s="768" t="s">
        <v>1761</v>
      </c>
      <c r="AJ12" s="768" t="s">
        <v>1762</v>
      </c>
      <c r="AK12" s="768" t="s">
        <v>1763</v>
      </c>
      <c r="AL12" s="768" t="s">
        <v>1764</v>
      </c>
      <c r="AM12" s="768" t="s">
        <v>1765</v>
      </c>
      <c r="AN12" s="768" t="s">
        <v>1766</v>
      </c>
      <c r="AO12" s="768" t="s">
        <v>1767</v>
      </c>
      <c r="AP12" s="768" t="s">
        <v>1768</v>
      </c>
      <c r="AQ12" s="768" t="s">
        <v>1769</v>
      </c>
      <c r="AR12" s="768" t="s">
        <v>1770</v>
      </c>
      <c r="AS12" s="768" t="s">
        <v>1771</v>
      </c>
      <c r="AT12" s="768" t="s">
        <v>1772</v>
      </c>
      <c r="AU12" s="768" t="s">
        <v>1773</v>
      </c>
      <c r="AV12" s="768" t="s">
        <v>1774</v>
      </c>
      <c r="AW12" s="768" t="s">
        <v>1775</v>
      </c>
      <c r="AX12" s="768" t="s">
        <v>1776</v>
      </c>
      <c r="AY12" s="769" t="s">
        <v>1777</v>
      </c>
    </row>
    <row r="13" spans="1:51" ht="18.75" x14ac:dyDescent="0.25">
      <c r="A13" s="751"/>
      <c r="B13" s="751"/>
      <c r="C13" s="751"/>
      <c r="D13" s="751"/>
      <c r="E13" s="751"/>
      <c r="F13" s="751"/>
      <c r="G13" s="751"/>
      <c r="H13" s="751"/>
      <c r="I13" s="751"/>
      <c r="J13" s="751"/>
      <c r="K13" s="751"/>
      <c r="L13" s="751"/>
      <c r="M13" s="751"/>
      <c r="N13" s="751"/>
      <c r="O13" s="751"/>
      <c r="P13" s="751"/>
      <c r="Q13" s="751"/>
      <c r="R13" s="751"/>
      <c r="S13" s="751"/>
      <c r="T13" s="751"/>
      <c r="U13" s="751"/>
      <c r="V13" s="751"/>
      <c r="W13" s="751"/>
      <c r="X13" s="751"/>
      <c r="Y13" s="770" t="s">
        <v>1778</v>
      </c>
      <c r="Z13" s="743" t="s">
        <v>1779</v>
      </c>
      <c r="AA13" s="771" t="s">
        <v>693</v>
      </c>
      <c r="AB13" s="771" t="s">
        <v>1780</v>
      </c>
      <c r="AC13" s="772" t="s">
        <v>1170</v>
      </c>
      <c r="AD13" s="772" t="s">
        <v>1170</v>
      </c>
      <c r="AE13" s="772" t="s">
        <v>1781</v>
      </c>
      <c r="AF13" s="772" t="s">
        <v>498</v>
      </c>
      <c r="AG13" s="773" t="s">
        <v>1066</v>
      </c>
      <c r="AH13" s="774">
        <v>6398791.5082985815</v>
      </c>
      <c r="AI13" s="774">
        <v>5317833.7706844471</v>
      </c>
      <c r="AJ13" s="774">
        <v>4068498.6942784912</v>
      </c>
      <c r="AK13" s="774">
        <v>3481673.6742869718</v>
      </c>
      <c r="AL13" s="774">
        <v>2552442.8854823965</v>
      </c>
      <c r="AM13" s="774">
        <v>1633232.7674664152</v>
      </c>
      <c r="AN13" s="774">
        <v>805661.85476631252</v>
      </c>
      <c r="AO13" s="774">
        <v>0</v>
      </c>
      <c r="AP13" s="774">
        <v>0</v>
      </c>
      <c r="AQ13" s="774">
        <v>0</v>
      </c>
      <c r="AR13" s="774">
        <v>0</v>
      </c>
      <c r="AS13" s="774">
        <v>0</v>
      </c>
      <c r="AT13" s="774">
        <v>0</v>
      </c>
      <c r="AU13" s="774">
        <v>0</v>
      </c>
      <c r="AV13" s="774">
        <v>0</v>
      </c>
      <c r="AW13" s="774">
        <v>0</v>
      </c>
      <c r="AX13" s="774">
        <v>0</v>
      </c>
      <c r="AY13" s="775">
        <v>0</v>
      </c>
    </row>
    <row r="14" spans="1:51" ht="18.75" x14ac:dyDescent="0.25">
      <c r="A14" s="751"/>
      <c r="H14" s="737"/>
      <c r="I14" s="737"/>
      <c r="J14" s="751"/>
      <c r="K14" s="751"/>
      <c r="L14" s="751"/>
      <c r="M14" s="751"/>
      <c r="N14" s="751"/>
      <c r="O14" s="751"/>
      <c r="P14" s="751"/>
      <c r="Q14" s="751"/>
      <c r="R14" s="751"/>
      <c r="S14" s="751"/>
      <c r="T14" s="751"/>
      <c r="U14" s="751"/>
      <c r="V14" s="751"/>
      <c r="W14" s="751"/>
      <c r="X14" s="751"/>
      <c r="Y14" s="776" t="s">
        <v>1787</v>
      </c>
      <c r="Z14" s="743" t="s">
        <v>1779</v>
      </c>
      <c r="AA14" s="743" t="s">
        <v>693</v>
      </c>
      <c r="AB14" s="743" t="s">
        <v>1780</v>
      </c>
      <c r="AC14" s="753" t="s">
        <v>1170</v>
      </c>
      <c r="AD14" s="753" t="s">
        <v>1170</v>
      </c>
      <c r="AE14" s="753" t="s">
        <v>1781</v>
      </c>
      <c r="AF14" s="753" t="s">
        <v>758</v>
      </c>
      <c r="AG14" s="777" t="s">
        <v>1066</v>
      </c>
      <c r="AH14" s="774">
        <v>550157467.73155105</v>
      </c>
      <c r="AI14" s="774">
        <v>535970547.29218686</v>
      </c>
      <c r="AJ14" s="774">
        <v>494403715.31603754</v>
      </c>
      <c r="AK14" s="774">
        <v>531367979.76104367</v>
      </c>
      <c r="AL14" s="774">
        <v>521844282.5381366</v>
      </c>
      <c r="AM14" s="774">
        <v>503211266.42482841</v>
      </c>
      <c r="AN14" s="774">
        <v>498757032.40200406</v>
      </c>
      <c r="AO14" s="774">
        <v>491885550.3203702</v>
      </c>
      <c r="AP14" s="774">
        <v>480193962.2196762</v>
      </c>
      <c r="AQ14" s="774">
        <v>493952732.95324385</v>
      </c>
      <c r="AR14" s="774">
        <v>492043155.70142436</v>
      </c>
      <c r="AS14" s="774">
        <v>500937964.87540305</v>
      </c>
      <c r="AT14" s="774">
        <v>502436220.30535114</v>
      </c>
      <c r="AU14" s="774">
        <v>450585081.3971684</v>
      </c>
      <c r="AV14" s="774">
        <v>492226733.11696744</v>
      </c>
      <c r="AW14" s="774">
        <v>514591976.82215136</v>
      </c>
      <c r="AX14" s="774">
        <v>504520445.04982251</v>
      </c>
      <c r="AY14" s="778">
        <v>493402660.93015885</v>
      </c>
    </row>
    <row r="15" spans="1:51" ht="18.75" x14ac:dyDescent="0.25">
      <c r="A15" s="751"/>
      <c r="H15" s="737"/>
      <c r="I15" s="737"/>
      <c r="J15" s="751"/>
      <c r="K15" s="751"/>
      <c r="L15" s="751"/>
      <c r="M15" s="751"/>
      <c r="N15" s="751"/>
      <c r="O15" s="751"/>
      <c r="P15" s="751"/>
      <c r="Q15" s="751"/>
      <c r="R15" s="751"/>
      <c r="S15" s="751"/>
      <c r="T15" s="751"/>
      <c r="U15" s="751"/>
      <c r="V15" s="751"/>
      <c r="W15" s="751"/>
      <c r="X15" s="751"/>
      <c r="Y15" s="776" t="s">
        <v>1788</v>
      </c>
      <c r="Z15" s="743" t="s">
        <v>1779</v>
      </c>
      <c r="AA15" s="743" t="s">
        <v>693</v>
      </c>
      <c r="AB15" s="743" t="s">
        <v>1780</v>
      </c>
      <c r="AC15" s="753" t="s">
        <v>1170</v>
      </c>
      <c r="AD15" s="753" t="s">
        <v>1170</v>
      </c>
      <c r="AE15" s="753" t="s">
        <v>1781</v>
      </c>
      <c r="AF15" s="753" t="s">
        <v>1156</v>
      </c>
      <c r="AG15" s="777" t="s">
        <v>1066</v>
      </c>
      <c r="AH15" s="774">
        <v>0</v>
      </c>
      <c r="AI15" s="774">
        <v>0</v>
      </c>
      <c r="AJ15" s="774">
        <v>0</v>
      </c>
      <c r="AK15" s="774">
        <v>0</v>
      </c>
      <c r="AL15" s="774">
        <v>0</v>
      </c>
      <c r="AM15" s="774">
        <v>0</v>
      </c>
      <c r="AN15" s="774">
        <v>0</v>
      </c>
      <c r="AO15" s="774">
        <v>0</v>
      </c>
      <c r="AP15" s="774">
        <v>0</v>
      </c>
      <c r="AQ15" s="774">
        <v>0</v>
      </c>
      <c r="AR15" s="774">
        <v>0</v>
      </c>
      <c r="AS15" s="774">
        <v>0</v>
      </c>
      <c r="AT15" s="774">
        <v>0</v>
      </c>
      <c r="AU15" s="774">
        <v>0</v>
      </c>
      <c r="AV15" s="774">
        <v>0</v>
      </c>
      <c r="AW15" s="774">
        <v>0</v>
      </c>
      <c r="AX15" s="774">
        <v>0</v>
      </c>
      <c r="AY15" s="778">
        <v>0</v>
      </c>
    </row>
    <row r="16" spans="1:51" ht="18.75" x14ac:dyDescent="0.25">
      <c r="A16" s="751"/>
      <c r="H16" s="737"/>
      <c r="I16" s="737"/>
      <c r="J16" s="751"/>
      <c r="K16" s="751"/>
      <c r="L16" s="751"/>
      <c r="M16" s="751"/>
      <c r="N16" s="751"/>
      <c r="O16" s="751"/>
      <c r="P16" s="751"/>
      <c r="Q16" s="751">
        <v>2019</v>
      </c>
      <c r="R16" s="751"/>
      <c r="S16" s="751"/>
      <c r="T16" s="751"/>
      <c r="U16" s="751"/>
      <c r="V16" s="751"/>
      <c r="W16" s="751"/>
      <c r="X16" s="751"/>
      <c r="Y16" s="776" t="s">
        <v>1789</v>
      </c>
      <c r="Z16" s="743" t="s">
        <v>1779</v>
      </c>
      <c r="AA16" s="743" t="s">
        <v>693</v>
      </c>
      <c r="AB16" s="743" t="s">
        <v>1780</v>
      </c>
      <c r="AC16" s="753" t="s">
        <v>1170</v>
      </c>
      <c r="AD16" s="753" t="s">
        <v>1170</v>
      </c>
      <c r="AE16" s="753" t="s">
        <v>1781</v>
      </c>
      <c r="AF16" s="753" t="s">
        <v>1133</v>
      </c>
      <c r="AG16" s="777" t="s">
        <v>1066</v>
      </c>
      <c r="AH16" s="774">
        <v>11503964.516724583</v>
      </c>
      <c r="AI16" s="774">
        <v>9560569.4310341086</v>
      </c>
      <c r="AJ16" s="774">
        <v>7314461.9133830667</v>
      </c>
      <c r="AK16" s="774">
        <v>6259434.0111422874</v>
      </c>
      <c r="AL16" s="774">
        <v>4588820.1221223949</v>
      </c>
      <c r="AM16" s="774">
        <v>2936223.3282055035</v>
      </c>
      <c r="AN16" s="774">
        <v>1448377.6008272388</v>
      </c>
      <c r="AO16" s="774">
        <v>0</v>
      </c>
      <c r="AP16" s="774">
        <v>0</v>
      </c>
      <c r="AQ16" s="774">
        <v>0</v>
      </c>
      <c r="AR16" s="774">
        <v>0</v>
      </c>
      <c r="AS16" s="774">
        <v>0</v>
      </c>
      <c r="AT16" s="774">
        <v>0</v>
      </c>
      <c r="AU16" s="774">
        <v>0</v>
      </c>
      <c r="AV16" s="774">
        <v>0</v>
      </c>
      <c r="AW16" s="774">
        <v>0</v>
      </c>
      <c r="AX16" s="774">
        <v>0</v>
      </c>
      <c r="AY16" s="778">
        <v>0</v>
      </c>
    </row>
    <row r="17" spans="1:51" ht="18.75" x14ac:dyDescent="0.25">
      <c r="A17" s="751"/>
      <c r="H17" s="737"/>
      <c r="I17" s="737"/>
      <c r="J17" s="751"/>
      <c r="K17" s="751"/>
      <c r="L17" s="751"/>
      <c r="M17" s="751"/>
      <c r="N17" s="751"/>
      <c r="O17" s="751">
        <v>2010</v>
      </c>
      <c r="P17" s="751">
        <v>2015</v>
      </c>
      <c r="Q17" s="751">
        <v>2021</v>
      </c>
      <c r="R17" s="751">
        <v>2022</v>
      </c>
      <c r="S17" s="751"/>
      <c r="T17" s="751"/>
      <c r="U17" s="751"/>
      <c r="V17" s="751"/>
      <c r="W17" s="751"/>
      <c r="X17" s="751"/>
      <c r="Y17" s="780" t="s">
        <v>1790</v>
      </c>
      <c r="Z17" s="781" t="s">
        <v>1779</v>
      </c>
      <c r="AA17" s="781" t="s">
        <v>693</v>
      </c>
      <c r="AB17" s="781" t="s">
        <v>1780</v>
      </c>
      <c r="AC17" s="782" t="s">
        <v>1170</v>
      </c>
      <c r="AD17" s="782" t="s">
        <v>1170</v>
      </c>
      <c r="AE17" s="782" t="s">
        <v>1791</v>
      </c>
      <c r="AF17" s="782" t="s">
        <v>758</v>
      </c>
      <c r="AG17" s="783" t="s">
        <v>1066</v>
      </c>
      <c r="AH17" s="784">
        <v>101490737.48891042</v>
      </c>
      <c r="AI17" s="784">
        <v>98705424.914493799</v>
      </c>
      <c r="AJ17" s="784">
        <v>90896734.958219707</v>
      </c>
      <c r="AK17" s="784">
        <v>97529071.384398967</v>
      </c>
      <c r="AL17" s="784">
        <v>95621909.786303684</v>
      </c>
      <c r="AM17" s="784">
        <v>92055591.396256</v>
      </c>
      <c r="AN17" s="784">
        <v>91091462.391398102</v>
      </c>
      <c r="AO17" s="784">
        <v>89690606.712007299</v>
      </c>
      <c r="AP17" s="784">
        <v>87558751.130154893</v>
      </c>
      <c r="AQ17" s="784">
        <v>90067523.704193354</v>
      </c>
      <c r="AR17" s="784">
        <v>89719323.754654601</v>
      </c>
      <c r="AS17" s="784">
        <v>91341199.364705473</v>
      </c>
      <c r="AT17" s="784">
        <v>91614384.696067631</v>
      </c>
      <c r="AU17" s="784">
        <v>91587215.911270365</v>
      </c>
      <c r="AV17" s="784">
        <v>100051409.74077001</v>
      </c>
      <c r="AW17" s="784">
        <v>104597424.89086135</v>
      </c>
      <c r="AX17" s="784">
        <v>102550248.85487439</v>
      </c>
      <c r="AY17" s="785">
        <v>100290408.94801094</v>
      </c>
    </row>
    <row r="18" spans="1:51" ht="18.75" x14ac:dyDescent="0.25">
      <c r="A18" s="751"/>
      <c r="H18" s="737"/>
      <c r="I18" s="737"/>
      <c r="J18" s="751"/>
      <c r="K18" s="751"/>
      <c r="L18" s="751"/>
      <c r="M18" s="751"/>
      <c r="N18" s="751"/>
      <c r="O18" s="751"/>
      <c r="P18" s="751"/>
      <c r="X18" s="751"/>
      <c r="Y18" s="780" t="s">
        <v>1792</v>
      </c>
      <c r="Z18" s="781" t="s">
        <v>1779</v>
      </c>
      <c r="AA18" s="781" t="s">
        <v>693</v>
      </c>
      <c r="AB18" s="781" t="s">
        <v>1780</v>
      </c>
      <c r="AC18" s="782" t="s">
        <v>1170</v>
      </c>
      <c r="AD18" s="782" t="s">
        <v>1170</v>
      </c>
      <c r="AE18" s="782" t="s">
        <v>1791</v>
      </c>
      <c r="AF18" s="782" t="s">
        <v>1203</v>
      </c>
      <c r="AG18" s="783" t="s">
        <v>1066</v>
      </c>
      <c r="AH18" s="784">
        <v>1348977.7461387624</v>
      </c>
      <c r="AI18" s="784">
        <v>1121090.5118065106</v>
      </c>
      <c r="AJ18" s="784">
        <v>857706.75748764165</v>
      </c>
      <c r="AK18" s="784">
        <v>733991.12989199604</v>
      </c>
      <c r="AL18" s="784">
        <v>538090.85281931912</v>
      </c>
      <c r="AM18" s="784">
        <v>344303.40547524387</v>
      </c>
      <c r="AN18" s="784">
        <v>169834.92659067427</v>
      </c>
      <c r="AO18" s="784">
        <v>0</v>
      </c>
      <c r="AP18" s="784">
        <v>0</v>
      </c>
      <c r="AQ18" s="784">
        <v>0</v>
      </c>
      <c r="AR18" s="784">
        <v>0</v>
      </c>
      <c r="AS18" s="784">
        <v>0</v>
      </c>
      <c r="AT18" s="784">
        <v>0</v>
      </c>
      <c r="AU18" s="784">
        <v>0</v>
      </c>
      <c r="AV18" s="784">
        <v>0</v>
      </c>
      <c r="AW18" s="784">
        <v>0</v>
      </c>
      <c r="AX18" s="784">
        <v>0</v>
      </c>
      <c r="AY18" s="785">
        <v>0</v>
      </c>
    </row>
    <row r="19" spans="1:51" ht="18.75" x14ac:dyDescent="0.25">
      <c r="A19" s="751"/>
      <c r="H19" s="737"/>
      <c r="I19" s="737"/>
      <c r="J19" s="751"/>
      <c r="K19" s="751"/>
      <c r="L19" s="737"/>
      <c r="N19" s="737"/>
      <c r="O19" s="737" t="s">
        <v>1793</v>
      </c>
      <c r="P19" s="737" t="s">
        <v>1793</v>
      </c>
      <c r="Q19" s="737" t="s">
        <v>1793</v>
      </c>
      <c r="R19" s="737" t="s">
        <v>1793</v>
      </c>
      <c r="S19" s="737" t="s">
        <v>1793</v>
      </c>
      <c r="T19" s="737"/>
      <c r="U19" s="737"/>
      <c r="V19" s="737"/>
      <c r="W19" s="737"/>
      <c r="X19" s="751"/>
      <c r="Y19" s="780" t="s">
        <v>1794</v>
      </c>
      <c r="Z19" s="781" t="s">
        <v>1779</v>
      </c>
      <c r="AA19" s="781" t="s">
        <v>693</v>
      </c>
      <c r="AB19" s="781" t="s">
        <v>1780</v>
      </c>
      <c r="AC19" s="782" t="s">
        <v>1170</v>
      </c>
      <c r="AD19" s="782" t="s">
        <v>1170</v>
      </c>
      <c r="AE19" s="782" t="s">
        <v>1791</v>
      </c>
      <c r="AF19" s="782" t="s">
        <v>1133</v>
      </c>
      <c r="AG19" s="783" t="s">
        <v>1066</v>
      </c>
      <c r="AH19" s="784">
        <v>793516.32125809556</v>
      </c>
      <c r="AI19" s="784">
        <v>659465.00694500632</v>
      </c>
      <c r="AJ19" s="784">
        <v>504533.38675743632</v>
      </c>
      <c r="AK19" s="784">
        <v>431759.48817176238</v>
      </c>
      <c r="AL19" s="784">
        <v>316524.03107018769</v>
      </c>
      <c r="AM19" s="784">
        <v>202531.41498543756</v>
      </c>
      <c r="AN19" s="784">
        <v>99902.897994514278</v>
      </c>
      <c r="AO19" s="784">
        <v>0</v>
      </c>
      <c r="AP19" s="784">
        <v>0</v>
      </c>
      <c r="AQ19" s="784">
        <v>0</v>
      </c>
      <c r="AR19" s="784">
        <v>0</v>
      </c>
      <c r="AS19" s="784">
        <v>0</v>
      </c>
      <c r="AT19" s="784">
        <v>0</v>
      </c>
      <c r="AU19" s="784">
        <v>0</v>
      </c>
      <c r="AV19" s="784">
        <v>0</v>
      </c>
      <c r="AW19" s="784">
        <v>0</v>
      </c>
      <c r="AX19" s="784">
        <v>0</v>
      </c>
      <c r="AY19" s="785">
        <v>0</v>
      </c>
    </row>
    <row r="20" spans="1:51" s="789" customFormat="1" ht="18.75" x14ac:dyDescent="0.25">
      <c r="A20" s="751"/>
      <c r="B20" s="424" t="s">
        <v>1194</v>
      </c>
      <c r="C20" t="s">
        <v>1782</v>
      </c>
      <c r="D20" t="s">
        <v>1783</v>
      </c>
      <c r="E20" t="s">
        <v>1784</v>
      </c>
      <c r="F20" t="s">
        <v>1785</v>
      </c>
      <c r="G20" t="s">
        <v>1786</v>
      </c>
      <c r="H20" s="737"/>
      <c r="I20" s="737"/>
      <c r="J20" s="751"/>
      <c r="K20" s="751"/>
      <c r="L20" s="751"/>
      <c r="M20" s="751"/>
      <c r="N20" s="751"/>
      <c r="O20" s="787">
        <v>2010</v>
      </c>
      <c r="P20" s="787">
        <v>2015</v>
      </c>
      <c r="Q20" s="787">
        <v>2020</v>
      </c>
      <c r="R20" s="787">
        <v>2022</v>
      </c>
      <c r="S20" s="787">
        <v>2025</v>
      </c>
      <c r="T20" s="787" t="s">
        <v>1795</v>
      </c>
      <c r="U20" s="787" t="s">
        <v>1796</v>
      </c>
      <c r="V20" s="787" t="s">
        <v>1797</v>
      </c>
      <c r="W20" s="787" t="s">
        <v>1798</v>
      </c>
      <c r="X20" s="751"/>
      <c r="Y20" s="788" t="s">
        <v>1799</v>
      </c>
      <c r="Z20" s="789" t="s">
        <v>1779</v>
      </c>
      <c r="AA20" s="789" t="s">
        <v>693</v>
      </c>
      <c r="AB20" s="789" t="s">
        <v>1780</v>
      </c>
      <c r="AC20" s="790" t="s">
        <v>1169</v>
      </c>
      <c r="AD20" s="790" t="s">
        <v>1169</v>
      </c>
      <c r="AE20" s="790" t="s">
        <v>1781</v>
      </c>
      <c r="AF20" s="790" t="s">
        <v>498</v>
      </c>
      <c r="AG20" s="791" t="s">
        <v>1066</v>
      </c>
      <c r="AH20" s="792">
        <v>0</v>
      </c>
      <c r="AI20" s="792">
        <v>0</v>
      </c>
      <c r="AJ20" s="792">
        <v>0</v>
      </c>
      <c r="AK20" s="792">
        <v>0</v>
      </c>
      <c r="AL20" s="792">
        <v>0</v>
      </c>
      <c r="AM20" s="792">
        <v>0</v>
      </c>
      <c r="AN20" s="792">
        <v>0</v>
      </c>
      <c r="AO20" s="792">
        <v>0</v>
      </c>
      <c r="AP20" s="792">
        <v>0</v>
      </c>
      <c r="AQ20" s="792">
        <v>0</v>
      </c>
      <c r="AR20" s="792">
        <v>0</v>
      </c>
      <c r="AS20" s="792">
        <v>0</v>
      </c>
      <c r="AT20" s="792">
        <v>0</v>
      </c>
      <c r="AU20" s="792">
        <v>0</v>
      </c>
      <c r="AV20" s="792">
        <v>0</v>
      </c>
      <c r="AW20" s="792">
        <v>0</v>
      </c>
      <c r="AX20" s="792">
        <v>0</v>
      </c>
      <c r="AY20" s="793">
        <v>0</v>
      </c>
    </row>
    <row r="21" spans="1:51" s="789" customFormat="1" ht="18.75" x14ac:dyDescent="0.25">
      <c r="A21" s="751"/>
      <c r="B21" s="371" t="s">
        <v>693</v>
      </c>
      <c r="C21">
        <v>21148664332.907169</v>
      </c>
      <c r="D21">
        <v>21182701368.221455</v>
      </c>
      <c r="E21">
        <v>23114014599.667862</v>
      </c>
      <c r="F21">
        <v>21741183621.1138</v>
      </c>
      <c r="G21">
        <v>22959328396.808838</v>
      </c>
      <c r="H21" s="737"/>
      <c r="I21" s="737"/>
      <c r="J21" s="779" t="s">
        <v>1170</v>
      </c>
      <c r="K21" s="786" t="s">
        <v>498</v>
      </c>
      <c r="L21" s="737" t="s">
        <v>98</v>
      </c>
      <c r="M21" s="737" t="s">
        <v>498</v>
      </c>
      <c r="N21" s="737"/>
      <c r="O21" s="794">
        <f t="shared" ref="O21:O27" si="0">(GETPIVOTDATA("Sum of CY"&amp;$O$17,$B$20,"GPC Sector","Transportation","GPC Sub-sector","On-road","GPC Sub-sector class agg",$J21,"Fuel type",$K21))/10^6</f>
        <v>0</v>
      </c>
      <c r="P21" s="794">
        <f t="shared" ref="P21:P27" si="1">(GETPIVOTDATA("Sum of CY"&amp;$P$17,$B$20,"GPC Sector","Transportation","GPC Sub-sector","On-road","GPC Sub-sector class agg",$J21,"Fuel type",$K21))/10^6</f>
        <v>0</v>
      </c>
      <c r="Q21" s="794">
        <f t="shared" ref="Q21:Q27" si="2">(GETPIVOTDATA("Sum of CY"&amp;$Q$17,$B$20,"GPC Sector","Transportation","GPC Sub-sector","On-road","GPC Sub-sector class agg",$J21,"Fuel type",$K21)+GETPIVOTDATA("Sum of CY"&amp;$Q$16,$B$20,"GPC Sector","Transportation","GPC Sub-sector","On-road","GPC Sub-sector class agg",$J21,"Fuel type",$K21))/2/10^6</f>
        <v>4.6241466469645758</v>
      </c>
      <c r="R21" s="794">
        <f t="shared" ref="R21:R27" si="3">(GETPIVOTDATA("Sum of CY"&amp;$R$17,$B$20,"GPC Sector","Transportation","GPC Sub-sector","On-road","GPC Sub-sector class agg",$J21,"Fuel type",$K21))/10^6</f>
        <v>6.7146952812153682</v>
      </c>
      <c r="S21" s="794">
        <f>IF(Q21+(R21-Q21)*5/2&lt;0,0,Q21+(R21-Q21)*5/2)</f>
        <v>9.8505182325915577</v>
      </c>
      <c r="T21" s="795">
        <f t="shared" ref="T21:T33" si="4">O21/SUMIFS(O:O,$L:$L,$L21)</f>
        <v>0</v>
      </c>
      <c r="U21" s="807">
        <f t="shared" ref="U21:U33" si="5">P21/SUMIFS(P:P,$L:$L,$L21)</f>
        <v>0</v>
      </c>
      <c r="V21" s="807">
        <f t="shared" ref="V21:V33" si="6">Q21/SUMIFS(Q:Q,$L:$L,$L21)</f>
        <v>6.7386512199555815E-3</v>
      </c>
      <c r="W21" s="807">
        <f t="shared" ref="W21:W33" si="7">R21/SUMIFS(R:R,$L:$L,$L21)</f>
        <v>9.4229722566784076E-3</v>
      </c>
      <c r="X21" s="751"/>
      <c r="Y21" s="788" t="s">
        <v>1800</v>
      </c>
      <c r="Z21" s="789" t="s">
        <v>1779</v>
      </c>
      <c r="AA21" s="789" t="s">
        <v>693</v>
      </c>
      <c r="AB21" s="789" t="s">
        <v>1780</v>
      </c>
      <c r="AC21" s="790" t="s">
        <v>1169</v>
      </c>
      <c r="AD21" s="790" t="s">
        <v>1169</v>
      </c>
      <c r="AE21" s="790" t="s">
        <v>1781</v>
      </c>
      <c r="AF21" s="790" t="s">
        <v>758</v>
      </c>
      <c r="AG21" s="791" t="s">
        <v>1066</v>
      </c>
      <c r="AH21" s="792">
        <v>11279306.501100672</v>
      </c>
      <c r="AI21" s="792">
        <v>27518399.32316548</v>
      </c>
      <c r="AJ21" s="792">
        <v>40144152.850659974</v>
      </c>
      <c r="AK21" s="792">
        <v>65719095.652302049</v>
      </c>
      <c r="AL21" s="792">
        <v>82839476.72831358</v>
      </c>
      <c r="AM21" s="792">
        <v>97508881.781650409</v>
      </c>
      <c r="AN21" s="792">
        <v>112357749.48273887</v>
      </c>
      <c r="AO21" s="792">
        <v>127588894.34823449</v>
      </c>
      <c r="AP21" s="792">
        <v>120487925.67305024</v>
      </c>
      <c r="AQ21" s="792">
        <v>114115858.28635602</v>
      </c>
      <c r="AR21" s="792">
        <v>108109077.55182287</v>
      </c>
      <c r="AS21" s="792">
        <v>106050268.11699355</v>
      </c>
      <c r="AT21" s="792">
        <v>105452598.6251785</v>
      </c>
      <c r="AU21" s="792">
        <v>101805141.437767</v>
      </c>
      <c r="AV21" s="792">
        <v>104638981.67139532</v>
      </c>
      <c r="AW21" s="792">
        <v>103180427.25800413</v>
      </c>
      <c r="AX21" s="792">
        <v>98103288.9197907</v>
      </c>
      <c r="AY21" s="793">
        <v>92375248.395058021</v>
      </c>
    </row>
    <row r="22" spans="1:51" s="789" customFormat="1" ht="18.75" x14ac:dyDescent="0.25">
      <c r="A22" s="751"/>
      <c r="B22" s="811" t="s">
        <v>1780</v>
      </c>
      <c r="C22">
        <v>21148664331.907169</v>
      </c>
      <c r="D22">
        <v>21182701367.220219</v>
      </c>
      <c r="E22">
        <v>23114014598.664799</v>
      </c>
      <c r="F22">
        <v>21741183620.11105</v>
      </c>
      <c r="G22">
        <v>22959328395.805878</v>
      </c>
      <c r="H22" s="737"/>
      <c r="I22" s="737"/>
      <c r="J22" s="779" t="s">
        <v>1170</v>
      </c>
      <c r="K22" s="786" t="s">
        <v>758</v>
      </c>
      <c r="L22" s="737" t="s">
        <v>98</v>
      </c>
      <c r="M22" s="737" t="s">
        <v>496</v>
      </c>
      <c r="N22" s="737" t="s">
        <v>1801</v>
      </c>
      <c r="O22" s="794">
        <f t="shared" si="0"/>
        <v>633.35833900141881</v>
      </c>
      <c r="P22" s="794">
        <f t="shared" si="1"/>
        <v>621.59705969416677</v>
      </c>
      <c r="Q22" s="794">
        <f t="shared" si="2"/>
        <v>670.74557486368201</v>
      </c>
      <c r="R22" s="794">
        <f t="shared" si="3"/>
        <v>690.17179925209268</v>
      </c>
      <c r="S22" s="794">
        <f t="shared" ref="S22:S27" si="8">IF(Q22+(R22-Q22)*5/2&lt;0,0,Q22+(R22-Q22)*5/2)</f>
        <v>719.31113583470869</v>
      </c>
      <c r="T22" s="795">
        <f t="shared" si="4"/>
        <v>1</v>
      </c>
      <c r="U22" s="807">
        <f t="shared" si="5"/>
        <v>1</v>
      </c>
      <c r="V22" s="807">
        <f t="shared" si="6"/>
        <v>0.97746045517435431</v>
      </c>
      <c r="W22" s="807">
        <f t="shared" si="7"/>
        <v>0.96854279223779649</v>
      </c>
      <c r="X22" s="751"/>
      <c r="Y22" s="788" t="s">
        <v>1802</v>
      </c>
      <c r="Z22" s="789" t="s">
        <v>1779</v>
      </c>
      <c r="AA22" s="789" t="s">
        <v>693</v>
      </c>
      <c r="AB22" s="789" t="s">
        <v>1780</v>
      </c>
      <c r="AC22" s="790" t="s">
        <v>1169</v>
      </c>
      <c r="AD22" s="790" t="s">
        <v>1169</v>
      </c>
      <c r="AE22" s="790" t="s">
        <v>1781</v>
      </c>
      <c r="AF22" s="790" t="s">
        <v>1156</v>
      </c>
      <c r="AG22" s="791" t="s">
        <v>1066</v>
      </c>
      <c r="AH22" s="792">
        <v>6205269.6451339955</v>
      </c>
      <c r="AI22" s="792">
        <v>4937836.332506327</v>
      </c>
      <c r="AJ22" s="792">
        <v>3706644.4324507955</v>
      </c>
      <c r="AK22" s="792">
        <v>3511328.1529879486</v>
      </c>
      <c r="AL22" s="792">
        <v>2600150.8543641581</v>
      </c>
      <c r="AM22" s="792">
        <v>1676984.2428304008</v>
      </c>
      <c r="AN22" s="792">
        <v>820134.06643057277</v>
      </c>
      <c r="AO22" s="792">
        <v>0</v>
      </c>
      <c r="AP22" s="792">
        <v>0</v>
      </c>
      <c r="AQ22" s="792">
        <v>0</v>
      </c>
      <c r="AR22" s="792">
        <v>0</v>
      </c>
      <c r="AS22" s="792">
        <v>0</v>
      </c>
      <c r="AT22" s="792">
        <v>0</v>
      </c>
      <c r="AU22" s="792">
        <v>0</v>
      </c>
      <c r="AV22" s="792">
        <v>0</v>
      </c>
      <c r="AW22" s="792">
        <v>0</v>
      </c>
      <c r="AX22" s="792">
        <v>0</v>
      </c>
      <c r="AY22" s="793">
        <v>0</v>
      </c>
    </row>
    <row r="23" spans="1:51" s="789" customFormat="1" ht="18.75" x14ac:dyDescent="0.25">
      <c r="A23" s="751"/>
      <c r="B23" s="812" t="s">
        <v>1040</v>
      </c>
      <c r="C23">
        <v>362822211.375</v>
      </c>
      <c r="D23">
        <v>357179382.75</v>
      </c>
      <c r="E23">
        <v>322874646.72124827</v>
      </c>
      <c r="F23">
        <v>310666189.62050825</v>
      </c>
      <c r="G23">
        <v>330526846.22661501</v>
      </c>
      <c r="H23" s="737"/>
      <c r="I23" s="737"/>
      <c r="J23" s="779" t="s">
        <v>1170</v>
      </c>
      <c r="K23" s="786" t="s">
        <v>1203</v>
      </c>
      <c r="L23" s="737" t="s">
        <v>98</v>
      </c>
      <c r="M23" s="737" t="s">
        <v>1801</v>
      </c>
      <c r="N23" s="737"/>
      <c r="O23" s="794">
        <f t="shared" si="0"/>
        <v>0</v>
      </c>
      <c r="P23" s="794">
        <f t="shared" si="1"/>
        <v>0</v>
      </c>
      <c r="Q23" s="794">
        <f t="shared" si="2"/>
        <v>0.98987368367817863</v>
      </c>
      <c r="R23" s="794">
        <f t="shared" si="3"/>
        <v>1.4367308987396883</v>
      </c>
      <c r="S23" s="794">
        <f t="shared" si="8"/>
        <v>2.1070167213319526</v>
      </c>
      <c r="T23" s="795">
        <f t="shared" si="4"/>
        <v>0</v>
      </c>
      <c r="U23" s="807">
        <f t="shared" si="5"/>
        <v>0</v>
      </c>
      <c r="V23" s="807">
        <f t="shared" si="6"/>
        <v>1.4425177260540681E-3</v>
      </c>
      <c r="W23" s="807">
        <f t="shared" si="7"/>
        <v>2.0162159014141105E-3</v>
      </c>
      <c r="X23" s="751"/>
      <c r="Y23" s="788" t="s">
        <v>1803</v>
      </c>
      <c r="Z23" s="789" t="s">
        <v>1779</v>
      </c>
      <c r="AA23" s="789" t="s">
        <v>693</v>
      </c>
      <c r="AB23" s="789" t="s">
        <v>1780</v>
      </c>
      <c r="AC23" s="790" t="s">
        <v>1169</v>
      </c>
      <c r="AD23" s="790" t="s">
        <v>1169</v>
      </c>
      <c r="AE23" s="790" t="s">
        <v>1781</v>
      </c>
      <c r="AF23" s="790" t="s">
        <v>1133</v>
      </c>
      <c r="AG23" s="791" t="s">
        <v>1066</v>
      </c>
      <c r="AH23" s="792">
        <v>505504205.15258175</v>
      </c>
      <c r="AI23" s="792">
        <v>453106356.57721841</v>
      </c>
      <c r="AJ23" s="792">
        <v>393571008.41517633</v>
      </c>
      <c r="AK23" s="792">
        <v>448770021.86549371</v>
      </c>
      <c r="AL23" s="792">
        <v>426035064.1798259</v>
      </c>
      <c r="AM23" s="792">
        <v>395661634.8440975</v>
      </c>
      <c r="AN23" s="792">
        <v>370852167.68571413</v>
      </c>
      <c r="AO23" s="792">
        <v>349903529.65055144</v>
      </c>
      <c r="AP23" s="792">
        <v>339392818.51568449</v>
      </c>
      <c r="AQ23" s="792">
        <v>330277354.78087687</v>
      </c>
      <c r="AR23" s="792">
        <v>321607356.38231379</v>
      </c>
      <c r="AS23" s="792">
        <v>324393176.27147388</v>
      </c>
      <c r="AT23" s="792">
        <v>331807888.89695334</v>
      </c>
      <c r="AU23" s="792">
        <v>329648214.98453367</v>
      </c>
      <c r="AV23" s="792">
        <v>348832991.12083042</v>
      </c>
      <c r="AW23" s="792">
        <v>354295608.42519772</v>
      </c>
      <c r="AX23" s="792">
        <v>347142982.33415836</v>
      </c>
      <c r="AY23" s="793">
        <v>337023462.61716706</v>
      </c>
    </row>
    <row r="24" spans="1:51" ht="18.75" x14ac:dyDescent="0.25">
      <c r="A24" s="751"/>
      <c r="B24" s="813" t="s">
        <v>498</v>
      </c>
      <c r="C24">
        <v>37590232</v>
      </c>
      <c r="D24">
        <v>40318337</v>
      </c>
      <c r="E24">
        <v>30250532</v>
      </c>
      <c r="F24">
        <v>33248656</v>
      </c>
      <c r="G24">
        <v>43719633.609999999</v>
      </c>
      <c r="H24" s="737"/>
      <c r="I24" s="737"/>
      <c r="J24" s="779" t="s">
        <v>1170</v>
      </c>
      <c r="K24" s="786" t="s">
        <v>1156</v>
      </c>
      <c r="L24" s="737" t="s">
        <v>98</v>
      </c>
      <c r="M24" s="737" t="s">
        <v>1652</v>
      </c>
      <c r="N24" s="737"/>
      <c r="O24" s="794">
        <f t="shared" si="0"/>
        <v>0</v>
      </c>
      <c r="P24" s="794">
        <f t="shared" si="1"/>
        <v>0</v>
      </c>
      <c r="Q24" s="794">
        <f t="shared" si="2"/>
        <v>0</v>
      </c>
      <c r="R24" s="794">
        <f t="shared" si="3"/>
        <v>0</v>
      </c>
      <c r="S24" s="794">
        <f t="shared" si="8"/>
        <v>0</v>
      </c>
      <c r="T24" s="795">
        <f t="shared" si="4"/>
        <v>0</v>
      </c>
      <c r="U24" s="807">
        <f t="shared" si="5"/>
        <v>0</v>
      </c>
      <c r="V24" s="807">
        <f t="shared" si="6"/>
        <v>0</v>
      </c>
      <c r="W24" s="807">
        <f t="shared" si="7"/>
        <v>0</v>
      </c>
      <c r="X24" s="751"/>
      <c r="Y24" s="788" t="s">
        <v>1804</v>
      </c>
      <c r="Z24" s="789" t="s">
        <v>1779</v>
      </c>
      <c r="AA24" s="789" t="s">
        <v>693</v>
      </c>
      <c r="AB24" s="789" t="s">
        <v>1780</v>
      </c>
      <c r="AC24" s="790" t="s">
        <v>1169</v>
      </c>
      <c r="AD24" s="790" t="s">
        <v>1169</v>
      </c>
      <c r="AE24" s="790" t="s">
        <v>1791</v>
      </c>
      <c r="AF24" s="790" t="s">
        <v>498</v>
      </c>
      <c r="AG24" s="791" t="s">
        <v>1066</v>
      </c>
      <c r="AH24" s="792">
        <v>203240.43319435013</v>
      </c>
      <c r="AI24" s="792">
        <v>479415.07273665356</v>
      </c>
      <c r="AJ24" s="792">
        <v>693742.48314754153</v>
      </c>
      <c r="AK24" s="792">
        <v>1131591.099927373</v>
      </c>
      <c r="AL24" s="792">
        <v>1423438.4031479838</v>
      </c>
      <c r="AM24" s="792">
        <v>1673274.9870592062</v>
      </c>
      <c r="AN24" s="792">
        <v>1926293.0628704189</v>
      </c>
      <c r="AO24" s="792">
        <v>2185919.7593063484</v>
      </c>
      <c r="AP24" s="792">
        <v>1892491.381971922</v>
      </c>
      <c r="AQ24" s="792">
        <v>1625562.0649770314</v>
      </c>
      <c r="AR24" s="792">
        <v>1375390.8468369064</v>
      </c>
      <c r="AS24" s="792">
        <v>1180900.8921370679</v>
      </c>
      <c r="AT24" s="792">
        <v>999669.21232221345</v>
      </c>
      <c r="AU24" s="792">
        <v>804110.86536835332</v>
      </c>
      <c r="AV24" s="792">
        <v>633860.61531633826</v>
      </c>
      <c r="AW24" s="792">
        <v>426304.95756827615</v>
      </c>
      <c r="AX24" s="792">
        <v>207454.23509131093</v>
      </c>
      <c r="AY24" s="793">
        <v>0</v>
      </c>
    </row>
    <row r="25" spans="1:51" ht="18.75" x14ac:dyDescent="0.25">
      <c r="A25" s="751"/>
      <c r="B25" s="813" t="s">
        <v>758</v>
      </c>
      <c r="C25">
        <v>325231979.375</v>
      </c>
      <c r="D25">
        <v>316861045.75</v>
      </c>
      <c r="E25">
        <v>265695822.85783243</v>
      </c>
      <c r="F25">
        <v>235350357.50494742</v>
      </c>
      <c r="G25">
        <v>236025123.54095998</v>
      </c>
      <c r="H25" s="737"/>
      <c r="I25" s="737"/>
      <c r="J25" s="779" t="s">
        <v>1170</v>
      </c>
      <c r="K25" s="786" t="s">
        <v>1133</v>
      </c>
      <c r="L25" s="737" t="s">
        <v>98</v>
      </c>
      <c r="M25" s="737" t="s">
        <v>497</v>
      </c>
      <c r="N25" s="737" t="s">
        <v>1805</v>
      </c>
      <c r="O25" s="794">
        <f t="shared" si="0"/>
        <v>0</v>
      </c>
      <c r="P25" s="794">
        <f t="shared" si="1"/>
        <v>0</v>
      </c>
      <c r="Q25" s="794">
        <f t="shared" si="2"/>
        <v>9.852896894716201</v>
      </c>
      <c r="R25" s="794">
        <f t="shared" si="3"/>
        <v>14.264596999077014</v>
      </c>
      <c r="S25" s="794">
        <f t="shared" si="8"/>
        <v>20.882147155618235</v>
      </c>
      <c r="T25" s="795">
        <f t="shared" si="4"/>
        <v>0</v>
      </c>
      <c r="U25" s="807">
        <f t="shared" si="5"/>
        <v>0</v>
      </c>
      <c r="V25" s="807">
        <f t="shared" si="6"/>
        <v>1.4358375879636008E-2</v>
      </c>
      <c r="W25" s="807">
        <f t="shared" si="7"/>
        <v>2.0018019604110985E-2</v>
      </c>
      <c r="X25" s="751"/>
      <c r="Y25" s="788" t="s">
        <v>1806</v>
      </c>
      <c r="Z25" s="789" t="s">
        <v>1779</v>
      </c>
      <c r="AA25" s="789" t="s">
        <v>693</v>
      </c>
      <c r="AB25" s="789" t="s">
        <v>1780</v>
      </c>
      <c r="AC25" s="790" t="s">
        <v>1169</v>
      </c>
      <c r="AD25" s="790" t="s">
        <v>1169</v>
      </c>
      <c r="AE25" s="790" t="s">
        <v>1791</v>
      </c>
      <c r="AF25" s="790" t="s">
        <v>758</v>
      </c>
      <c r="AG25" s="791" t="s">
        <v>1066</v>
      </c>
      <c r="AH25" s="792">
        <v>29125917.464698024</v>
      </c>
      <c r="AI25" s="792">
        <v>27669746.166062884</v>
      </c>
      <c r="AJ25" s="792">
        <v>25492231.664958369</v>
      </c>
      <c r="AK25" s="792">
        <v>30858137.962952547</v>
      </c>
      <c r="AL25" s="792">
        <v>31130768.967980113</v>
      </c>
      <c r="AM25" s="792">
        <v>30758549.333157994</v>
      </c>
      <c r="AN25" s="792">
        <v>30711877.55253011</v>
      </c>
      <c r="AO25" s="792">
        <v>30914243.107631937</v>
      </c>
      <c r="AP25" s="792">
        <v>29858652.543390006</v>
      </c>
      <c r="AQ25" s="792">
        <v>28932713.889126267</v>
      </c>
      <c r="AR25" s="792">
        <v>28054155.764045727</v>
      </c>
      <c r="AS25" s="792">
        <v>28178738.974876728</v>
      </c>
      <c r="AT25" s="792">
        <v>28703354.380625769</v>
      </c>
      <c r="AU25" s="792">
        <v>28939167.308614086</v>
      </c>
      <c r="AV25" s="792">
        <v>30498827.111598898</v>
      </c>
      <c r="AW25" s="792">
        <v>30851646.424120888</v>
      </c>
      <c r="AX25" s="792">
        <v>30108173.724063024</v>
      </c>
      <c r="AY25" s="793">
        <v>29114934.563511766</v>
      </c>
    </row>
    <row r="26" spans="1:51" ht="18.75" x14ac:dyDescent="0.25">
      <c r="A26" s="751"/>
      <c r="B26" s="813" t="s">
        <v>1156</v>
      </c>
      <c r="C26">
        <v>0</v>
      </c>
      <c r="D26">
        <v>0</v>
      </c>
      <c r="E26">
        <v>0</v>
      </c>
      <c r="F26">
        <v>0</v>
      </c>
      <c r="G26">
        <v>23359.4355</v>
      </c>
      <c r="H26" s="737"/>
      <c r="I26" s="737"/>
      <c r="J26" s="779" t="s">
        <v>1169</v>
      </c>
      <c r="K26" s="786" t="s">
        <v>498</v>
      </c>
      <c r="L26" s="737" t="s">
        <v>96</v>
      </c>
      <c r="M26" s="737" t="s">
        <v>498</v>
      </c>
      <c r="N26" s="737"/>
      <c r="O26" s="794">
        <f t="shared" si="0"/>
        <v>0.99966921232221351</v>
      </c>
      <c r="P26" s="794">
        <f t="shared" si="1"/>
        <v>2.1859197593063482</v>
      </c>
      <c r="Q26" s="794">
        <f t="shared" si="2"/>
        <v>0.80550308633201329</v>
      </c>
      <c r="R26" s="794">
        <f t="shared" si="3"/>
        <v>0.20324043319435012</v>
      </c>
      <c r="S26" s="794">
        <f t="shared" si="8"/>
        <v>0</v>
      </c>
      <c r="T26" s="795">
        <f t="shared" si="4"/>
        <v>2.0176969935631877E-3</v>
      </c>
      <c r="U26" s="807">
        <f t="shared" si="5"/>
        <v>4.0402437598308751E-3</v>
      </c>
      <c r="V26" s="807">
        <f t="shared" si="6"/>
        <v>1.4167658804610332E-3</v>
      </c>
      <c r="W26" s="807">
        <f t="shared" si="7"/>
        <v>3.4295116548357425E-4</v>
      </c>
      <c r="X26" s="751"/>
      <c r="Y26" s="788" t="s">
        <v>1807</v>
      </c>
      <c r="Z26" s="789" t="s">
        <v>1779</v>
      </c>
      <c r="AA26" s="789" t="s">
        <v>693</v>
      </c>
      <c r="AB26" s="789" t="s">
        <v>1780</v>
      </c>
      <c r="AC26" s="790" t="s">
        <v>1169</v>
      </c>
      <c r="AD26" s="790" t="s">
        <v>1169</v>
      </c>
      <c r="AE26" s="790" t="s">
        <v>1791</v>
      </c>
      <c r="AF26" s="790" t="s">
        <v>1156</v>
      </c>
      <c r="AG26" s="791" t="s">
        <v>1066</v>
      </c>
      <c r="AH26" s="792">
        <v>109437.15633541931</v>
      </c>
      <c r="AI26" s="792">
        <v>87084.344162985275</v>
      </c>
      <c r="AJ26" s="792">
        <v>65370.721219108913</v>
      </c>
      <c r="AK26" s="792">
        <v>0</v>
      </c>
      <c r="AL26" s="792">
        <v>0</v>
      </c>
      <c r="AM26" s="792">
        <v>0</v>
      </c>
      <c r="AN26" s="792">
        <v>0</v>
      </c>
      <c r="AO26" s="792">
        <v>0</v>
      </c>
      <c r="AP26" s="792">
        <v>0</v>
      </c>
      <c r="AQ26" s="792">
        <v>0</v>
      </c>
      <c r="AR26" s="792">
        <v>0</v>
      </c>
      <c r="AS26" s="792">
        <v>0</v>
      </c>
      <c r="AT26" s="792">
        <v>0</v>
      </c>
      <c r="AU26" s="792">
        <v>0</v>
      </c>
      <c r="AV26" s="792">
        <v>0</v>
      </c>
      <c r="AW26" s="792">
        <v>0</v>
      </c>
      <c r="AX26" s="792">
        <v>0</v>
      </c>
      <c r="AY26" s="793">
        <v>0</v>
      </c>
    </row>
    <row r="27" spans="1:51" ht="18.75" x14ac:dyDescent="0.25">
      <c r="A27" s="751"/>
      <c r="B27" s="813" t="s">
        <v>1133</v>
      </c>
      <c r="C27">
        <v>0</v>
      </c>
      <c r="D27">
        <v>0</v>
      </c>
      <c r="E27">
        <v>26928291.863415856</v>
      </c>
      <c r="F27">
        <v>42067176.115560852</v>
      </c>
      <c r="G27">
        <v>50758729.640155002</v>
      </c>
      <c r="H27" s="737"/>
      <c r="I27" s="737"/>
      <c r="J27" s="779" t="s">
        <v>1169</v>
      </c>
      <c r="K27" s="786" t="s">
        <v>758</v>
      </c>
      <c r="L27" s="737" t="s">
        <v>96</v>
      </c>
      <c r="M27" s="737" t="s">
        <v>496</v>
      </c>
      <c r="N27" s="737" t="s">
        <v>1813</v>
      </c>
      <c r="O27" s="794">
        <f t="shared" si="0"/>
        <v>134.15595300580426</v>
      </c>
      <c r="P27" s="794">
        <f t="shared" si="1"/>
        <v>158.50313745586644</v>
      </c>
      <c r="Q27" s="794">
        <f t="shared" si="2"/>
        <v>75.882689552241473</v>
      </c>
      <c r="R27" s="794">
        <f t="shared" si="3"/>
        <v>40.405223965798697</v>
      </c>
      <c r="S27" s="794">
        <f t="shared" si="8"/>
        <v>0</v>
      </c>
      <c r="T27" s="795">
        <f t="shared" si="4"/>
        <v>0.27077563229102225</v>
      </c>
      <c r="U27" s="807">
        <f t="shared" si="5"/>
        <v>0.29296194853140145</v>
      </c>
      <c r="V27" s="807">
        <f t="shared" si="6"/>
        <v>0.13346690695474239</v>
      </c>
      <c r="W27" s="807">
        <f t="shared" si="7"/>
        <v>6.8180422728407769E-2</v>
      </c>
      <c r="X27" s="751"/>
      <c r="Y27" s="788" t="s">
        <v>1808</v>
      </c>
      <c r="Z27" s="789" t="s">
        <v>1779</v>
      </c>
      <c r="AA27" s="789" t="s">
        <v>693</v>
      </c>
      <c r="AB27" s="789" t="s">
        <v>1780</v>
      </c>
      <c r="AC27" s="790" t="s">
        <v>1169</v>
      </c>
      <c r="AD27" s="790" t="s">
        <v>1169</v>
      </c>
      <c r="AE27" s="790" t="s">
        <v>1791</v>
      </c>
      <c r="AF27" s="790" t="s">
        <v>1133</v>
      </c>
      <c r="AG27" s="791" t="s">
        <v>1066</v>
      </c>
      <c r="AH27" s="792">
        <v>38365540.235302716</v>
      </c>
      <c r="AI27" s="792">
        <v>34953813.291112214</v>
      </c>
      <c r="AJ27" s="792">
        <v>30888268.680852097</v>
      </c>
      <c r="AK27" s="792">
        <v>35867767.520685479</v>
      </c>
      <c r="AL27" s="792">
        <v>34714445.182165928</v>
      </c>
      <c r="AM27" s="792">
        <v>32907374.543723743</v>
      </c>
      <c r="AN27" s="792">
        <v>31524379.490892936</v>
      </c>
      <c r="AO27" s="792">
        <v>30444016.182664875</v>
      </c>
      <c r="AP27" s="792">
        <v>29449261.149572559</v>
      </c>
      <c r="AQ27" s="792">
        <v>28581065.725305144</v>
      </c>
      <c r="AR27" s="792">
        <v>27756625.650464114</v>
      </c>
      <c r="AS27" s="792">
        <v>27923281.715309963</v>
      </c>
      <c r="AT27" s="792">
        <v>28487101.891400401</v>
      </c>
      <c r="AU27" s="792">
        <v>28765218.792339262</v>
      </c>
      <c r="AV27" s="792">
        <v>30361707.81834222</v>
      </c>
      <c r="AW27" s="792">
        <v>30759426.410633527</v>
      </c>
      <c r="AX27" s="792">
        <v>30063296.38445323</v>
      </c>
      <c r="AY27" s="793">
        <v>29114934.563511766</v>
      </c>
    </row>
    <row r="28" spans="1:51" ht="18.75" x14ac:dyDescent="0.25">
      <c r="A28" s="751"/>
      <c r="B28" s="812" t="s">
        <v>1170</v>
      </c>
      <c r="C28">
        <v>633358339.00141883</v>
      </c>
      <c r="D28">
        <v>621597059.69416678</v>
      </c>
      <c r="E28">
        <v>680321624.31831205</v>
      </c>
      <c r="F28">
        <v>692103359.85977006</v>
      </c>
      <c r="G28">
        <v>712587822.43112469</v>
      </c>
      <c r="H28" s="737"/>
      <c r="I28" s="737"/>
      <c r="J28" s="779" t="s">
        <v>1169</v>
      </c>
      <c r="K28" s="786" t="s">
        <v>1156</v>
      </c>
      <c r="L28" s="737" t="s">
        <v>96</v>
      </c>
      <c r="M28" s="737" t="s">
        <v>1652</v>
      </c>
      <c r="N28" s="737"/>
      <c r="O28" s="794">
        <f t="shared" ref="O28:O34" si="9">(GETPIVOTDATA("Sum of CY"&amp;$O$17,$B$20,"GPC Sector","Transportation","GPC Sub-sector","On-road","GPC Sub-sector class agg",$J28,"Fuel type",$K28))/10^6</f>
        <v>0</v>
      </c>
      <c r="P28" s="794">
        <f t="shared" ref="P28:P33" si="10">(GETPIVOTDATA("Sum of CY"&amp;$P$17,$B$20,"GPC Sector","Transportation","GPC Sub-sector","On-road","GPC Sub-sector class agg",$J28,"Fuel type",$K28))/10^6</f>
        <v>0</v>
      </c>
      <c r="Q28" s="794">
        <f t="shared" ref="Q28:Q34" si="11">(GETPIVOTDATA("Sum of CY"&amp;$Q$17,$B$20,"GPC Sector","Transportation","GPC Sub-sector","On-road","GPC Sub-sector class agg",$J28,"Fuel type",$K28)+GETPIVOTDATA("Sum of CY"&amp;$Q$16,$B$20,"GPC Sector","Transportation","GPC Sub-sector","On-road","GPC Sub-sector class agg",$J28,"Fuel type",$K28))/2/10^6</f>
        <v>4.2681244148286304</v>
      </c>
      <c r="R28" s="794">
        <f t="shared" ref="R28:R34" si="12">(GETPIVOTDATA("Sum of CY"&amp;$R$17,$B$20,"GPC Sector","Transportation","GPC Sub-sector","On-road","GPC Sub-sector class agg",$J28,"Fuel type",$K28))/10^6</f>
        <v>6.3147068014694145</v>
      </c>
      <c r="S28" s="794">
        <f t="shared" ref="S28:S33" si="13">IF(Q28+(R28-Q28)*5/2&lt;0,0,Q28+(R28-Q28)*5/2)</f>
        <v>9.3845803814305917</v>
      </c>
      <c r="T28" s="795">
        <f t="shared" si="4"/>
        <v>0</v>
      </c>
      <c r="U28" s="807">
        <f t="shared" si="5"/>
        <v>0</v>
      </c>
      <c r="V28" s="807">
        <f t="shared" si="6"/>
        <v>7.507026536704646E-3</v>
      </c>
      <c r="W28" s="807">
        <f t="shared" si="7"/>
        <v>1.0655537499175098E-2</v>
      </c>
      <c r="X28" s="751"/>
      <c r="Y28" s="788"/>
      <c r="Z28" s="789"/>
      <c r="AA28" s="789"/>
      <c r="AB28" s="789"/>
      <c r="AC28" s="790"/>
      <c r="AD28" s="790"/>
      <c r="AE28" s="790"/>
      <c r="AF28" s="790"/>
      <c r="AG28" s="791"/>
      <c r="AH28" s="792"/>
      <c r="AI28" s="792"/>
      <c r="AJ28" s="792"/>
      <c r="AK28" s="792"/>
      <c r="AL28" s="792"/>
      <c r="AM28" s="792"/>
      <c r="AN28" s="792"/>
      <c r="AO28" s="792"/>
      <c r="AP28" s="792"/>
      <c r="AQ28" s="792"/>
      <c r="AR28" s="792"/>
      <c r="AS28" s="792"/>
      <c r="AT28" s="792"/>
      <c r="AU28" s="792"/>
      <c r="AV28" s="792"/>
      <c r="AW28" s="792"/>
      <c r="AX28" s="792"/>
      <c r="AY28" s="793"/>
    </row>
    <row r="29" spans="1:51" ht="15.6" customHeight="1" x14ac:dyDescent="0.25">
      <c r="A29" s="751"/>
      <c r="B29" s="813" t="s">
        <v>498</v>
      </c>
      <c r="C29">
        <v>0</v>
      </c>
      <c r="D29">
        <v>0</v>
      </c>
      <c r="E29">
        <v>3660521.6680955649</v>
      </c>
      <c r="F29">
        <v>5587771.6258335877</v>
      </c>
      <c r="G29">
        <v>6714695.2812153678</v>
      </c>
      <c r="H29" s="737"/>
      <c r="I29" s="737"/>
      <c r="J29" s="779" t="s">
        <v>1169</v>
      </c>
      <c r="K29" s="786" t="s">
        <v>1133</v>
      </c>
      <c r="L29" s="737" t="s">
        <v>96</v>
      </c>
      <c r="M29" s="737" t="s">
        <v>497</v>
      </c>
      <c r="N29" s="737" t="s">
        <v>1810</v>
      </c>
      <c r="O29" s="794">
        <f t="shared" si="9"/>
        <v>360.29499078835374</v>
      </c>
      <c r="P29" s="794">
        <f t="shared" si="10"/>
        <v>380.34754583321632</v>
      </c>
      <c r="Q29" s="794">
        <f t="shared" si="11"/>
        <v>486.34897962725489</v>
      </c>
      <c r="R29" s="794">
        <f t="shared" si="12"/>
        <v>543.86974538788445</v>
      </c>
      <c r="S29" s="794">
        <f t="shared" si="13"/>
        <v>630.15089402882882</v>
      </c>
      <c r="T29" s="795">
        <f t="shared" si="4"/>
        <v>0.72720667071541456</v>
      </c>
      <c r="U29" s="807">
        <f t="shared" si="5"/>
        <v>0.70299780770876763</v>
      </c>
      <c r="V29" s="807">
        <f t="shared" si="6"/>
        <v>0.85541899469386073</v>
      </c>
      <c r="W29" s="807">
        <f t="shared" si="7"/>
        <v>0.91773452811758149</v>
      </c>
      <c r="X29" s="751"/>
      <c r="Y29" s="788" t="s">
        <v>1809</v>
      </c>
      <c r="Z29" s="789" t="s">
        <v>1779</v>
      </c>
      <c r="AA29" s="789" t="s">
        <v>693</v>
      </c>
      <c r="AB29" s="789" t="s">
        <v>1780</v>
      </c>
      <c r="AC29" s="790" t="s">
        <v>1169</v>
      </c>
      <c r="AD29" s="790" t="s">
        <v>1169</v>
      </c>
      <c r="AE29" s="790" t="s">
        <v>1791</v>
      </c>
      <c r="AF29" s="790" t="s">
        <v>1211</v>
      </c>
      <c r="AG29" s="791" t="s">
        <v>1066</v>
      </c>
      <c r="AH29" s="792">
        <v>1829163.8987491515</v>
      </c>
      <c r="AI29" s="792">
        <v>1455552.6095813254</v>
      </c>
      <c r="AJ29" s="792">
        <v>1092624.9118051063</v>
      </c>
      <c r="AK29" s="792">
        <v>1035046.8809435047</v>
      </c>
      <c r="AL29" s="792">
        <v>766451.24476420844</v>
      </c>
      <c r="AM29" s="792">
        <v>494321.77608025161</v>
      </c>
      <c r="AN29" s="792">
        <v>241740.78580654139</v>
      </c>
      <c r="AO29" s="792">
        <v>0</v>
      </c>
      <c r="AP29" s="792">
        <v>0</v>
      </c>
      <c r="AQ29" s="792">
        <v>0</v>
      </c>
      <c r="AR29" s="792">
        <v>0</v>
      </c>
      <c r="AS29" s="792">
        <v>0</v>
      </c>
      <c r="AT29" s="792">
        <v>0</v>
      </c>
      <c r="AU29" s="792">
        <v>0</v>
      </c>
      <c r="AV29" s="792">
        <v>0</v>
      </c>
      <c r="AW29" s="792">
        <v>0</v>
      </c>
      <c r="AX29" s="792">
        <v>0</v>
      </c>
      <c r="AY29" s="793">
        <v>0</v>
      </c>
    </row>
    <row r="30" spans="1:51" ht="18.75" x14ac:dyDescent="0.25">
      <c r="A30" s="751"/>
      <c r="B30" s="813" t="s">
        <v>758</v>
      </c>
      <c r="C30">
        <v>633358339.00141883</v>
      </c>
      <c r="D30">
        <v>621597059.69416678</v>
      </c>
      <c r="E30">
        <v>668072559.79043281</v>
      </c>
      <c r="F30">
        <v>673418589.93693125</v>
      </c>
      <c r="G30">
        <v>690171799.25209272</v>
      </c>
      <c r="H30" s="737"/>
      <c r="I30" s="737"/>
      <c r="J30" s="779" t="s">
        <v>1169</v>
      </c>
      <c r="K30" s="786" t="s">
        <v>1211</v>
      </c>
      <c r="L30" s="737" t="s">
        <v>96</v>
      </c>
      <c r="M30" s="737" t="s">
        <v>1810</v>
      </c>
      <c r="N30" s="737"/>
      <c r="O30" s="794">
        <f t="shared" si="9"/>
        <v>0</v>
      </c>
      <c r="P30" s="794">
        <f t="shared" si="10"/>
        <v>0</v>
      </c>
      <c r="Q30" s="794">
        <f t="shared" si="11"/>
        <v>1.245299745262415</v>
      </c>
      <c r="R30" s="794">
        <f t="shared" si="12"/>
        <v>1.8291638987491514</v>
      </c>
      <c r="S30" s="794">
        <f t="shared" si="13"/>
        <v>2.704960128979256</v>
      </c>
      <c r="T30" s="795">
        <f t="shared" si="4"/>
        <v>0</v>
      </c>
      <c r="U30" s="807">
        <f t="shared" si="5"/>
        <v>0</v>
      </c>
      <c r="V30" s="807">
        <f t="shared" si="6"/>
        <v>2.1903059342312631E-3</v>
      </c>
      <c r="W30" s="807">
        <f t="shared" si="7"/>
        <v>3.0865604893521689E-3</v>
      </c>
      <c r="X30" s="751"/>
      <c r="Y30" s="776" t="s">
        <v>1811</v>
      </c>
      <c r="Z30" s="743" t="s">
        <v>1779</v>
      </c>
      <c r="AA30" s="743" t="s">
        <v>693</v>
      </c>
      <c r="AB30" s="743" t="s">
        <v>1780</v>
      </c>
      <c r="AC30" s="753" t="s">
        <v>1168</v>
      </c>
      <c r="AD30" s="753" t="s">
        <v>1168</v>
      </c>
      <c r="AE30" s="753" t="s">
        <v>1781</v>
      </c>
      <c r="AF30" s="753" t="s">
        <v>498</v>
      </c>
      <c r="AG30" s="777" t="s">
        <v>1066</v>
      </c>
      <c r="AH30" s="774">
        <v>0</v>
      </c>
      <c r="AI30" s="774">
        <v>0</v>
      </c>
      <c r="AJ30" s="774">
        <v>0</v>
      </c>
      <c r="AK30" s="774">
        <v>0</v>
      </c>
      <c r="AL30" s="774">
        <v>0</v>
      </c>
      <c r="AM30" s="774">
        <v>0</v>
      </c>
      <c r="AN30" s="774">
        <v>0</v>
      </c>
      <c r="AO30" s="774">
        <v>0</v>
      </c>
      <c r="AP30" s="774">
        <v>0</v>
      </c>
      <c r="AQ30" s="774">
        <v>0</v>
      </c>
      <c r="AR30" s="774">
        <v>0</v>
      </c>
      <c r="AS30" s="774">
        <v>0</v>
      </c>
      <c r="AT30" s="774">
        <v>0</v>
      </c>
      <c r="AU30" s="774">
        <v>0</v>
      </c>
      <c r="AV30" s="774">
        <v>0</v>
      </c>
      <c r="AW30" s="774">
        <v>0</v>
      </c>
      <c r="AX30" s="774">
        <v>0</v>
      </c>
      <c r="AY30" s="778">
        <v>0</v>
      </c>
    </row>
    <row r="31" spans="1:51" ht="18.75" x14ac:dyDescent="0.25">
      <c r="A31" s="751"/>
      <c r="B31" s="813" t="s">
        <v>1203</v>
      </c>
      <c r="C31">
        <v>0</v>
      </c>
      <c r="D31">
        <v>0</v>
      </c>
      <c r="E31">
        <v>783672.31966743141</v>
      </c>
      <c r="F31">
        <v>1196075.0476889259</v>
      </c>
      <c r="G31">
        <v>1436730.8987396883</v>
      </c>
      <c r="H31" s="737"/>
      <c r="I31" s="737"/>
      <c r="J31" s="779" t="s">
        <v>1040</v>
      </c>
      <c r="K31" s="786" t="s">
        <v>758</v>
      </c>
      <c r="L31" s="737" t="s">
        <v>93</v>
      </c>
      <c r="M31" s="737" t="s">
        <v>496</v>
      </c>
      <c r="N31" s="737" t="s">
        <v>1813</v>
      </c>
      <c r="O31" s="794">
        <f t="shared" si="9"/>
        <v>325.23197937499998</v>
      </c>
      <c r="P31" s="794">
        <f t="shared" si="10"/>
        <v>316.86104575000002</v>
      </c>
      <c r="Q31" s="794">
        <f t="shared" si="11"/>
        <v>250.52309018138993</v>
      </c>
      <c r="R31" s="794">
        <f t="shared" si="12"/>
        <v>236.02512354095998</v>
      </c>
      <c r="S31" s="794">
        <f t="shared" si="13"/>
        <v>214.27817358031507</v>
      </c>
      <c r="T31" s="795">
        <f t="shared" si="4"/>
        <v>0.89639489859911547</v>
      </c>
      <c r="U31" s="807">
        <f t="shared" si="5"/>
        <v>0.88712020080895893</v>
      </c>
      <c r="V31" s="807">
        <f t="shared" si="6"/>
        <v>0.7908664313668583</v>
      </c>
      <c r="W31" s="807">
        <f t="shared" si="7"/>
        <v>0.71408760358042744</v>
      </c>
      <c r="X31" s="751"/>
      <c r="Y31" s="776" t="s">
        <v>1812</v>
      </c>
      <c r="Z31" s="743" t="s">
        <v>1779</v>
      </c>
      <c r="AA31" s="743" t="s">
        <v>693</v>
      </c>
      <c r="AB31" s="796" t="s">
        <v>1780</v>
      </c>
      <c r="AC31" s="753" t="s">
        <v>1168</v>
      </c>
      <c r="AD31" s="753" t="s">
        <v>1168</v>
      </c>
      <c r="AE31" s="753" t="s">
        <v>1781</v>
      </c>
      <c r="AF31" s="753" t="s">
        <v>758</v>
      </c>
      <c r="AG31" s="777" t="s">
        <v>1066</v>
      </c>
      <c r="AH31" s="774">
        <v>135695002.44297975</v>
      </c>
      <c r="AI31" s="774">
        <v>144370440.59139225</v>
      </c>
      <c r="AJ31" s="774">
        <v>131730310.94514021</v>
      </c>
      <c r="AK31" s="774">
        <v>187827739.21854678</v>
      </c>
      <c r="AL31" s="774">
        <v>200564013.76268339</v>
      </c>
      <c r="AM31" s="774">
        <v>210559937.1522114</v>
      </c>
      <c r="AN31" s="774">
        <v>224496864.81549126</v>
      </c>
      <c r="AO31" s="774">
        <v>233735207.27606833</v>
      </c>
      <c r="AP31" s="774">
        <v>213389125.75360289</v>
      </c>
      <c r="AQ31" s="774">
        <v>200718655.41790351</v>
      </c>
      <c r="AR31" s="774">
        <v>187342379.14000723</v>
      </c>
      <c r="AS31" s="774">
        <v>176815038.94447309</v>
      </c>
      <c r="AT31" s="774">
        <v>168467152.73383325</v>
      </c>
      <c r="AU31" s="774">
        <v>147748296.79095906</v>
      </c>
      <c r="AV31" s="774">
        <v>136708161.32987881</v>
      </c>
      <c r="AW31" s="774">
        <v>128283661.98485114</v>
      </c>
      <c r="AX31" s="774">
        <v>114874122.3101624</v>
      </c>
      <c r="AY31" s="778">
        <v>101510478.71653253</v>
      </c>
    </row>
    <row r="32" spans="1:51" ht="18.75" x14ac:dyDescent="0.25">
      <c r="A32" s="751"/>
      <c r="B32" s="813" t="s">
        <v>1156</v>
      </c>
      <c r="C32">
        <v>0</v>
      </c>
      <c r="D32">
        <v>0</v>
      </c>
      <c r="E32">
        <v>0</v>
      </c>
      <c r="F32">
        <v>0</v>
      </c>
      <c r="G32">
        <v>0</v>
      </c>
      <c r="H32" s="737"/>
      <c r="I32" s="737"/>
      <c r="J32" s="779" t="s">
        <v>1040</v>
      </c>
      <c r="K32" s="786" t="s">
        <v>1156</v>
      </c>
      <c r="L32" s="737" t="s">
        <v>93</v>
      </c>
      <c r="M32" s="737" t="s">
        <v>1652</v>
      </c>
      <c r="N32" s="737"/>
      <c r="O32" s="794">
        <f t="shared" si="9"/>
        <v>0</v>
      </c>
      <c r="P32" s="794">
        <f t="shared" si="10"/>
        <v>0</v>
      </c>
      <c r="Q32" s="794">
        <f t="shared" si="11"/>
        <v>0</v>
      </c>
      <c r="R32" s="794">
        <f t="shared" si="12"/>
        <v>2.3359435500000001E-2</v>
      </c>
      <c r="S32" s="794">
        <f t="shared" si="13"/>
        <v>5.8398588750000001E-2</v>
      </c>
      <c r="T32" s="795">
        <f t="shared" si="4"/>
        <v>0</v>
      </c>
      <c r="U32" s="807">
        <f t="shared" si="5"/>
        <v>0</v>
      </c>
      <c r="V32" s="807">
        <f t="shared" si="6"/>
        <v>0</v>
      </c>
      <c r="W32" s="807">
        <f t="shared" si="7"/>
        <v>7.0673337935110904E-5</v>
      </c>
      <c r="X32" s="751"/>
      <c r="Y32" s="776" t="s">
        <v>1814</v>
      </c>
      <c r="Z32" s="743" t="s">
        <v>1779</v>
      </c>
      <c r="AA32" s="743" t="s">
        <v>693</v>
      </c>
      <c r="AB32" s="796" t="s">
        <v>1780</v>
      </c>
      <c r="AC32" s="753" t="s">
        <v>1168</v>
      </c>
      <c r="AD32" s="753" t="s">
        <v>1168</v>
      </c>
      <c r="AE32" s="753" t="s">
        <v>1781</v>
      </c>
      <c r="AF32" s="753" t="s">
        <v>1203</v>
      </c>
      <c r="AG32" s="777" t="s">
        <v>1066</v>
      </c>
      <c r="AH32" s="774">
        <v>0</v>
      </c>
      <c r="AI32" s="774">
        <v>0</v>
      </c>
      <c r="AJ32" s="774">
        <v>0</v>
      </c>
      <c r="AK32" s="774">
        <v>0</v>
      </c>
      <c r="AL32" s="774">
        <v>0</v>
      </c>
      <c r="AM32" s="774">
        <v>0</v>
      </c>
      <c r="AN32" s="774">
        <v>0</v>
      </c>
      <c r="AO32" s="774">
        <v>0</v>
      </c>
      <c r="AP32" s="774">
        <v>0</v>
      </c>
      <c r="AQ32" s="774">
        <v>0</v>
      </c>
      <c r="AR32" s="774">
        <v>0</v>
      </c>
      <c r="AS32" s="774">
        <v>0</v>
      </c>
      <c r="AT32" s="774">
        <v>0</v>
      </c>
      <c r="AU32" s="774">
        <v>0</v>
      </c>
      <c r="AV32" s="774">
        <v>0</v>
      </c>
      <c r="AW32" s="774">
        <v>0</v>
      </c>
      <c r="AX32" s="774">
        <v>0</v>
      </c>
      <c r="AY32" s="778">
        <v>0</v>
      </c>
    </row>
    <row r="33" spans="1:51" s="789" customFormat="1" ht="18.75" x14ac:dyDescent="0.25">
      <c r="A33" s="751"/>
      <c r="B33" s="813" t="s">
        <v>1133</v>
      </c>
      <c r="C33">
        <v>0</v>
      </c>
      <c r="D33">
        <v>0</v>
      </c>
      <c r="E33">
        <v>7804870.5401161434</v>
      </c>
      <c r="F33">
        <v>11900923.249316258</v>
      </c>
      <c r="G33">
        <v>14264596.999077015</v>
      </c>
      <c r="H33" s="737"/>
      <c r="I33" s="737"/>
      <c r="J33" s="779" t="s">
        <v>1040</v>
      </c>
      <c r="K33" s="786" t="s">
        <v>1133</v>
      </c>
      <c r="L33" s="737" t="s">
        <v>93</v>
      </c>
      <c r="M33" s="737" t="s">
        <v>497</v>
      </c>
      <c r="N33" s="737" t="s">
        <v>1810</v>
      </c>
      <c r="O33" s="794">
        <f t="shared" si="9"/>
        <v>0</v>
      </c>
      <c r="P33" s="794">
        <f t="shared" si="10"/>
        <v>0</v>
      </c>
      <c r="Q33" s="794">
        <f t="shared" si="11"/>
        <v>34.497733989488353</v>
      </c>
      <c r="R33" s="794">
        <f t="shared" si="12"/>
        <v>50.758729640155003</v>
      </c>
      <c r="S33" s="794">
        <f t="shared" si="13"/>
        <v>75.150223116154976</v>
      </c>
      <c r="T33" s="795">
        <f t="shared" si="4"/>
        <v>0</v>
      </c>
      <c r="U33" s="807">
        <f t="shared" si="5"/>
        <v>0</v>
      </c>
      <c r="V33" s="807">
        <f t="shared" si="6"/>
        <v>0.10890453151745669</v>
      </c>
      <c r="W33" s="807">
        <f t="shared" si="7"/>
        <v>0.153569158510513</v>
      </c>
      <c r="X33" s="751"/>
      <c r="Y33" s="776" t="s">
        <v>1815</v>
      </c>
      <c r="Z33" s="743" t="s">
        <v>1779</v>
      </c>
      <c r="AA33" s="743" t="s">
        <v>693</v>
      </c>
      <c r="AB33" s="743" t="s">
        <v>1780</v>
      </c>
      <c r="AC33" s="753" t="s">
        <v>1168</v>
      </c>
      <c r="AD33" s="753" t="s">
        <v>1168</v>
      </c>
      <c r="AE33" s="753" t="s">
        <v>1781</v>
      </c>
      <c r="AF33" s="753" t="s">
        <v>1156</v>
      </c>
      <c r="AG33" s="777" t="s">
        <v>1066</v>
      </c>
      <c r="AH33" s="774">
        <v>516052206.26042241</v>
      </c>
      <c r="AI33" s="774">
        <v>421249905.07271683</v>
      </c>
      <c r="AJ33" s="774">
        <v>290898837.02035594</v>
      </c>
      <c r="AK33" s="774">
        <v>305562616.46085668</v>
      </c>
      <c r="AL33" s="774">
        <v>228969762.41710162</v>
      </c>
      <c r="AM33" s="774">
        <v>153840592.39229095</v>
      </c>
      <c r="AN33" s="774">
        <v>84861122.108948901</v>
      </c>
      <c r="AO33" s="774">
        <v>0</v>
      </c>
      <c r="AP33" s="774">
        <v>0</v>
      </c>
      <c r="AQ33" s="774">
        <v>0</v>
      </c>
      <c r="AR33" s="774">
        <v>0</v>
      </c>
      <c r="AS33" s="774">
        <v>0</v>
      </c>
      <c r="AT33" s="774">
        <v>0</v>
      </c>
      <c r="AU33" s="774">
        <v>0</v>
      </c>
      <c r="AV33" s="774">
        <v>0</v>
      </c>
      <c r="AW33" s="774">
        <v>0</v>
      </c>
      <c r="AX33" s="774">
        <v>0</v>
      </c>
      <c r="AY33" s="778">
        <v>0</v>
      </c>
    </row>
    <row r="34" spans="1:51" s="789" customFormat="1" ht="18.75" x14ac:dyDescent="0.25">
      <c r="A34" s="751"/>
      <c r="B34" s="812" t="s">
        <v>1169</v>
      </c>
      <c r="C34">
        <v>495450613.00648022</v>
      </c>
      <c r="D34">
        <v>541036603.04838908</v>
      </c>
      <c r="E34">
        <v>586892989.13529265</v>
      </c>
      <c r="F34">
        <v>550208203.7165463</v>
      </c>
      <c r="G34">
        <v>592622080.48709607</v>
      </c>
      <c r="H34" s="737"/>
      <c r="I34" s="737"/>
      <c r="J34" s="779" t="s">
        <v>1040</v>
      </c>
      <c r="K34" s="786" t="s">
        <v>498</v>
      </c>
      <c r="L34" s="737" t="s">
        <v>93</v>
      </c>
      <c r="M34" s="737" t="s">
        <v>498</v>
      </c>
      <c r="N34" s="737"/>
      <c r="O34" s="794">
        <f t="shared" si="9"/>
        <v>37.590232</v>
      </c>
      <c r="P34" s="794">
        <f t="shared" ref="P34:P41" si="14">(GETPIVOTDATA("Sum of CY"&amp;$P$17,$B$20,"GPC Sector","Transportation","GPC Sub-sector","On-road","GPC Sub-sector class agg",$J34,"Fuel type",$K34))/10^6</f>
        <v>40.318337</v>
      </c>
      <c r="Q34" s="794">
        <f t="shared" si="11"/>
        <v>31.749593999999998</v>
      </c>
      <c r="R34" s="794">
        <f t="shared" si="12"/>
        <v>43.719633610000002</v>
      </c>
      <c r="S34" s="794">
        <f t="shared" ref="S34" si="15">IF(Q34+(R34-Q34)*5/2&lt;0,0,Q34+(R34-Q34)*5/2)</f>
        <v>61.67469302500001</v>
      </c>
      <c r="T34" s="795">
        <f t="shared" ref="T34" si="16">O34/SUMIFS(O:O,$L:$L,$L34)</f>
        <v>0.10360510140088443</v>
      </c>
      <c r="U34" s="807">
        <f t="shared" ref="U34" si="17">P34/SUMIFS(P:P,$L:$L,$L34)</f>
        <v>0.11287979919104107</v>
      </c>
      <c r="V34" s="807">
        <f t="shared" ref="V34" si="18">Q34/SUMIFS(Q:Q,$L:$L,$L34)</f>
        <v>0.10022903711568493</v>
      </c>
      <c r="W34" s="807">
        <f t="shared" ref="W34" si="19">R34/SUMIFS(R:R,$L:$L,$L34)</f>
        <v>0.1322725645711243</v>
      </c>
      <c r="X34" s="751"/>
      <c r="Y34" s="776" t="s">
        <v>1816</v>
      </c>
      <c r="Z34" s="743" t="s">
        <v>1779</v>
      </c>
      <c r="AA34" s="743" t="s">
        <v>693</v>
      </c>
      <c r="AB34" s="743" t="s">
        <v>1780</v>
      </c>
      <c r="AC34" s="753" t="s">
        <v>1168</v>
      </c>
      <c r="AD34" s="753" t="s">
        <v>1168</v>
      </c>
      <c r="AE34" s="753" t="s">
        <v>1781</v>
      </c>
      <c r="AF34" s="753" t="s">
        <v>1208</v>
      </c>
      <c r="AG34" s="777" t="s">
        <v>1066</v>
      </c>
      <c r="AH34" s="774">
        <v>0</v>
      </c>
      <c r="AI34" s="774">
        <v>0</v>
      </c>
      <c r="AJ34" s="774">
        <v>0</v>
      </c>
      <c r="AK34" s="774">
        <v>0</v>
      </c>
      <c r="AL34" s="774">
        <v>0</v>
      </c>
      <c r="AM34" s="774">
        <v>0</v>
      </c>
      <c r="AN34" s="774">
        <v>0</v>
      </c>
      <c r="AO34" s="774">
        <v>0</v>
      </c>
      <c r="AP34" s="774">
        <v>0</v>
      </c>
      <c r="AQ34" s="774">
        <v>0</v>
      </c>
      <c r="AR34" s="774">
        <v>0</v>
      </c>
      <c r="AS34" s="774">
        <v>0</v>
      </c>
      <c r="AT34" s="774">
        <v>0</v>
      </c>
      <c r="AU34" s="774">
        <v>0</v>
      </c>
      <c r="AV34" s="774">
        <v>0</v>
      </c>
      <c r="AW34" s="774">
        <v>0</v>
      </c>
      <c r="AX34" s="774">
        <v>0</v>
      </c>
      <c r="AY34" s="778">
        <v>0</v>
      </c>
    </row>
    <row r="35" spans="1:51" s="789" customFormat="1" ht="18.75" x14ac:dyDescent="0.25">
      <c r="A35" s="751"/>
      <c r="B35" s="813" t="s">
        <v>498</v>
      </c>
      <c r="C35">
        <v>999669.21232221345</v>
      </c>
      <c r="D35">
        <v>2185919.7593063484</v>
      </c>
      <c r="E35">
        <v>1131591.099927373</v>
      </c>
      <c r="F35">
        <v>479415.07273665356</v>
      </c>
      <c r="G35">
        <v>203240.43319435013</v>
      </c>
      <c r="H35" s="737"/>
      <c r="I35" s="737"/>
      <c r="J35" s="779" t="s">
        <v>1168</v>
      </c>
      <c r="K35" s="786" t="s">
        <v>498</v>
      </c>
      <c r="L35" s="737" t="s">
        <v>1205</v>
      </c>
      <c r="M35" s="737" t="s">
        <v>498</v>
      </c>
      <c r="N35" s="737"/>
      <c r="O35" s="794">
        <f t="shared" ref="O35:O41" si="20">(GETPIVOTDATA("Sum of CY"&amp;$O$17,$B$20,"GPC Sector","Transportation","GPC Sub-sector","On-road","GPC Sub-sector class agg",$J35,"Fuel type",$K35))/10^6</f>
        <v>0</v>
      </c>
      <c r="P35" s="794">
        <f t="shared" si="14"/>
        <v>0</v>
      </c>
      <c r="Q35" s="794">
        <f t="shared" ref="Q35:Q41" si="21">(GETPIVOTDATA("Sum of CY"&amp;$Q$17,$B$20,"GPC Sector","Transportation","GPC Sub-sector","On-road","GPC Sub-sector class agg",$J35,"Fuel type",$K35)+GETPIVOTDATA("Sum of CY"&amp;$Q$16,$B$20,"GPC Sector","Transportation","GPC Sub-sector","On-road","GPC Sub-sector class agg",$J35,"Fuel type",$K35))/2/10^6</f>
        <v>0</v>
      </c>
      <c r="R35" s="794">
        <f t="shared" ref="R35:R41" si="22">(GETPIVOTDATA("Sum of CY"&amp;$R$17,$B$20,"GPC Sector","Transportation","GPC Sub-sector","On-road","GPC Sub-sector class agg",$J35,"Fuel type",$K35))/10^6</f>
        <v>0</v>
      </c>
      <c r="S35" s="794">
        <f t="shared" ref="S35:S41" si="23">IF(Q35+(R35-Q35)*5/2&lt;0,0,Q35+(R35-Q35)*5/2)</f>
        <v>0</v>
      </c>
      <c r="T35" s="795">
        <f t="shared" ref="T35:T43" si="24">O35/SUMIFS(O:O,$L:$L,$L35)</f>
        <v>0</v>
      </c>
      <c r="U35" s="807">
        <f t="shared" ref="U35:U43" si="25">P35/SUMIFS(P:P,$L:$L,$L35)</f>
        <v>0</v>
      </c>
      <c r="V35" s="807">
        <f t="shared" ref="V35:V43" si="26">Q35/SUMIFS(Q:Q,$L:$L,$L35)</f>
        <v>0</v>
      </c>
      <c r="W35" s="807">
        <f t="shared" ref="W35:W43" si="27">R35/SUMIFS(R:R,$L:$L,$L35)</f>
        <v>0</v>
      </c>
      <c r="X35" s="751"/>
      <c r="Y35" s="776" t="s">
        <v>1817</v>
      </c>
      <c r="Z35" s="743" t="s">
        <v>1779</v>
      </c>
      <c r="AA35" s="743" t="s">
        <v>693</v>
      </c>
      <c r="AB35" s="796" t="s">
        <v>1780</v>
      </c>
      <c r="AC35" s="753" t="s">
        <v>1168</v>
      </c>
      <c r="AD35" s="753" t="s">
        <v>1168</v>
      </c>
      <c r="AE35" s="753" t="s">
        <v>1781</v>
      </c>
      <c r="AF35" s="753" t="s">
        <v>1133</v>
      </c>
      <c r="AG35" s="777" t="s">
        <v>1066</v>
      </c>
      <c r="AH35" s="774">
        <v>19416549926.585327</v>
      </c>
      <c r="AI35" s="774">
        <v>18575339163.754768</v>
      </c>
      <c r="AJ35" s="774">
        <v>15425812292.703026</v>
      </c>
      <c r="AK35" s="774">
        <v>20215103866.158669</v>
      </c>
      <c r="AL35" s="774">
        <v>20000031418.792645</v>
      </c>
      <c r="AM35" s="774">
        <v>19586528602.364891</v>
      </c>
      <c r="AN35" s="774">
        <v>19592915980.390472</v>
      </c>
      <c r="AO35" s="774">
        <v>19234200482.675129</v>
      </c>
      <c r="AP35" s="774">
        <v>18617847739.964611</v>
      </c>
      <c r="AQ35" s="774">
        <v>18632352658.980202</v>
      </c>
      <c r="AR35" s="774">
        <v>18575945525.737743</v>
      </c>
      <c r="AS35" s="774">
        <v>18811295822.828991</v>
      </c>
      <c r="AT35" s="774">
        <v>19330346471.372349</v>
      </c>
      <c r="AU35" s="774">
        <v>18393859855.70919</v>
      </c>
      <c r="AV35" s="774">
        <v>18596344347.752155</v>
      </c>
      <c r="AW35" s="774">
        <v>19227860011.250507</v>
      </c>
      <c r="AX35" s="774">
        <v>19165762678.406345</v>
      </c>
      <c r="AY35" s="778">
        <v>19090939606.358875</v>
      </c>
    </row>
    <row r="36" spans="1:51" s="789" customFormat="1" ht="18.75" x14ac:dyDescent="0.25">
      <c r="A36" s="751"/>
      <c r="B36" s="813" t="s">
        <v>758</v>
      </c>
      <c r="C36">
        <v>134155953.00580427</v>
      </c>
      <c r="D36">
        <v>158503137.45586643</v>
      </c>
      <c r="E36">
        <v>96577233.615254596</v>
      </c>
      <c r="F36">
        <v>55188145.489228368</v>
      </c>
      <c r="G36">
        <v>40405223.965798698</v>
      </c>
      <c r="H36" s="737"/>
      <c r="I36" s="737"/>
      <c r="J36" s="779" t="s">
        <v>1168</v>
      </c>
      <c r="K36" s="786" t="s">
        <v>758</v>
      </c>
      <c r="L36" s="737" t="s">
        <v>1205</v>
      </c>
      <c r="M36" s="737" t="s">
        <v>496</v>
      </c>
      <c r="N36" s="737" t="s">
        <v>1818</v>
      </c>
      <c r="O36" s="794">
        <f t="shared" si="20"/>
        <v>168.46715273383325</v>
      </c>
      <c r="P36" s="794">
        <f t="shared" si="14"/>
        <v>233.73520727606834</v>
      </c>
      <c r="Q36" s="794">
        <f t="shared" si="21"/>
        <v>166.58710515412716</v>
      </c>
      <c r="R36" s="794">
        <f t="shared" si="22"/>
        <v>136.39804183722472</v>
      </c>
      <c r="S36" s="794">
        <f t="shared" si="23"/>
        <v>91.114446861871073</v>
      </c>
      <c r="T36" s="795">
        <f t="shared" si="24"/>
        <v>8.5703244884172275E-3</v>
      </c>
      <c r="U36" s="807">
        <f t="shared" si="25"/>
        <v>1.1887124793247638E-2</v>
      </c>
      <c r="V36" s="807">
        <f t="shared" si="26"/>
        <v>7.9874655329308306E-3</v>
      </c>
      <c r="W36" s="807">
        <f t="shared" si="27"/>
        <v>6.3965791550215992E-3</v>
      </c>
      <c r="X36" s="751"/>
      <c r="Y36" s="776" t="s">
        <v>1819</v>
      </c>
      <c r="Z36" s="743" t="s">
        <v>1779</v>
      </c>
      <c r="AA36" s="743" t="s">
        <v>693</v>
      </c>
      <c r="AB36" s="796" t="s">
        <v>1780</v>
      </c>
      <c r="AC36" s="753" t="s">
        <v>1168</v>
      </c>
      <c r="AD36" s="753" t="s">
        <v>1168</v>
      </c>
      <c r="AE36" s="753" t="s">
        <v>1781</v>
      </c>
      <c r="AF36" s="753" t="s">
        <v>1211</v>
      </c>
      <c r="AG36" s="777" t="s">
        <v>1066</v>
      </c>
      <c r="AH36" s="774">
        <v>1123424407.8517919</v>
      </c>
      <c r="AI36" s="774">
        <v>922399512.96754491</v>
      </c>
      <c r="AJ36" s="774">
        <v>642078914.22929823</v>
      </c>
      <c r="AK36" s="774">
        <v>682327752.37371874</v>
      </c>
      <c r="AL36" s="774">
        <v>520828154.63053977</v>
      </c>
      <c r="AM36" s="774">
        <v>362016830.98571759</v>
      </c>
      <c r="AN36" s="774">
        <v>216963547.52024707</v>
      </c>
      <c r="AO36" s="774">
        <v>73260465.670201734</v>
      </c>
      <c r="AP36" s="774">
        <v>63748539.12213771</v>
      </c>
      <c r="AQ36" s="774">
        <v>56644696.437776148</v>
      </c>
      <c r="AR36" s="774">
        <v>49357649.739185631</v>
      </c>
      <c r="AS36" s="774">
        <v>42793719.29804574</v>
      </c>
      <c r="AT36" s="774">
        <v>36603697.327306986</v>
      </c>
      <c r="AU36" s="774">
        <v>27832625.591237482</v>
      </c>
      <c r="AV36" s="774">
        <v>21080314.990358599</v>
      </c>
      <c r="AW36" s="774">
        <v>0</v>
      </c>
      <c r="AX36" s="774">
        <v>0</v>
      </c>
      <c r="AY36" s="778">
        <v>0</v>
      </c>
    </row>
    <row r="37" spans="1:51" s="789" customFormat="1" ht="18.75" x14ac:dyDescent="0.25">
      <c r="A37" s="751"/>
      <c r="B37" s="813" t="s">
        <v>1156</v>
      </c>
      <c r="C37">
        <v>0</v>
      </c>
      <c r="D37">
        <v>0</v>
      </c>
      <c r="E37">
        <v>3511328.1529879486</v>
      </c>
      <c r="F37">
        <v>5024920.6766693126</v>
      </c>
      <c r="G37">
        <v>6314706.8014694145</v>
      </c>
      <c r="H37" s="737"/>
      <c r="I37" s="737"/>
      <c r="J37" s="779" t="s">
        <v>1168</v>
      </c>
      <c r="K37" s="786" t="s">
        <v>1203</v>
      </c>
      <c r="L37" s="737" t="s">
        <v>1205</v>
      </c>
      <c r="M37" s="737" t="s">
        <v>1818</v>
      </c>
      <c r="N37" s="737"/>
      <c r="O37" s="794">
        <f t="shared" si="20"/>
        <v>0</v>
      </c>
      <c r="P37" s="794">
        <f t="shared" si="14"/>
        <v>0</v>
      </c>
      <c r="Q37" s="794">
        <f t="shared" si="21"/>
        <v>0</v>
      </c>
      <c r="R37" s="794">
        <f t="shared" si="22"/>
        <v>0</v>
      </c>
      <c r="S37" s="794">
        <f t="shared" si="23"/>
        <v>0</v>
      </c>
      <c r="T37" s="795">
        <f t="shared" si="24"/>
        <v>0</v>
      </c>
      <c r="U37" s="807">
        <f t="shared" si="25"/>
        <v>0</v>
      </c>
      <c r="V37" s="807">
        <f t="shared" si="26"/>
        <v>0</v>
      </c>
      <c r="W37" s="807">
        <f t="shared" si="27"/>
        <v>0</v>
      </c>
      <c r="X37" s="751"/>
      <c r="Y37" s="776" t="s">
        <v>1820</v>
      </c>
      <c r="Z37" s="743" t="s">
        <v>1779</v>
      </c>
      <c r="AA37" s="743" t="s">
        <v>693</v>
      </c>
      <c r="AB37" s="743" t="s">
        <v>1780</v>
      </c>
      <c r="AC37" s="753" t="s">
        <v>1168</v>
      </c>
      <c r="AD37" s="753" t="s">
        <v>1168</v>
      </c>
      <c r="AE37" s="753" t="s">
        <v>1791</v>
      </c>
      <c r="AF37" s="753" t="s">
        <v>758</v>
      </c>
      <c r="AG37" s="777" t="s">
        <v>1066</v>
      </c>
      <c r="AH37" s="774">
        <v>703039.3942449739</v>
      </c>
      <c r="AI37" s="774">
        <v>570519.24484220229</v>
      </c>
      <c r="AJ37" s="774">
        <v>390768.71723817301</v>
      </c>
      <c r="AK37" s="774">
        <v>405511.25347308465</v>
      </c>
      <c r="AL37" s="774">
        <v>297871.46664370387</v>
      </c>
      <c r="AM37" s="774">
        <v>192538.86079942097</v>
      </c>
      <c r="AN37" s="774">
        <v>0</v>
      </c>
      <c r="AO37" s="774">
        <v>0</v>
      </c>
      <c r="AP37" s="774">
        <v>0</v>
      </c>
      <c r="AQ37" s="774">
        <v>0</v>
      </c>
      <c r="AR37" s="774">
        <v>0</v>
      </c>
      <c r="AS37" s="774">
        <v>0</v>
      </c>
      <c r="AT37" s="774">
        <v>0</v>
      </c>
      <c r="AU37" s="774">
        <v>0</v>
      </c>
      <c r="AV37" s="774">
        <v>0</v>
      </c>
      <c r="AW37" s="774">
        <v>0</v>
      </c>
      <c r="AX37" s="774">
        <v>0</v>
      </c>
      <c r="AY37" s="778">
        <v>0</v>
      </c>
    </row>
    <row r="38" spans="1:51" s="781" customFormat="1" ht="18.75" x14ac:dyDescent="0.25">
      <c r="A38" s="751"/>
      <c r="B38" s="813" t="s">
        <v>1133</v>
      </c>
      <c r="C38">
        <v>360294990.78835374</v>
      </c>
      <c r="D38">
        <v>380347545.83321631</v>
      </c>
      <c r="E38">
        <v>484637789.38617921</v>
      </c>
      <c r="F38">
        <v>488060169.8683306</v>
      </c>
      <c r="G38">
        <v>543869745.3878845</v>
      </c>
      <c r="H38" s="737"/>
      <c r="I38" s="737"/>
      <c r="J38" s="779" t="s">
        <v>1168</v>
      </c>
      <c r="K38" s="786" t="s">
        <v>1156</v>
      </c>
      <c r="L38" s="737" t="s">
        <v>1205</v>
      </c>
      <c r="M38" s="737" t="s">
        <v>1652</v>
      </c>
      <c r="N38" s="737"/>
      <c r="O38" s="794">
        <f t="shared" si="20"/>
        <v>0.90905831131246562</v>
      </c>
      <c r="P38" s="794">
        <f t="shared" si="14"/>
        <v>1.8133946144447946</v>
      </c>
      <c r="Q38" s="794">
        <f t="shared" si="21"/>
        <v>381.6721155176902</v>
      </c>
      <c r="R38" s="794">
        <f t="shared" si="22"/>
        <v>541.5624928515972</v>
      </c>
      <c r="S38" s="794">
        <f t="shared" si="23"/>
        <v>781.39805885245778</v>
      </c>
      <c r="T38" s="795">
        <f t="shared" si="24"/>
        <v>4.6245957033235858E-5</v>
      </c>
      <c r="U38" s="807">
        <f t="shared" si="25"/>
        <v>9.2224223866489531E-5</v>
      </c>
      <c r="V38" s="807">
        <f t="shared" si="26"/>
        <v>1.8300293199511285E-2</v>
      </c>
      <c r="W38" s="807">
        <f t="shared" si="27"/>
        <v>2.5397339333141741E-2</v>
      </c>
      <c r="X38" s="751"/>
      <c r="Y38" s="776" t="s">
        <v>1821</v>
      </c>
      <c r="Z38" s="743" t="s">
        <v>1779</v>
      </c>
      <c r="AA38" s="743" t="s">
        <v>693</v>
      </c>
      <c r="AB38" s="743" t="s">
        <v>1780</v>
      </c>
      <c r="AC38" s="753" t="s">
        <v>1168</v>
      </c>
      <c r="AD38" s="753" t="s">
        <v>1168</v>
      </c>
      <c r="AE38" s="753" t="s">
        <v>1791</v>
      </c>
      <c r="AF38" s="753" t="s">
        <v>1156</v>
      </c>
      <c r="AG38" s="777" t="s">
        <v>1066</v>
      </c>
      <c r="AH38" s="774">
        <v>25510286.591174766</v>
      </c>
      <c r="AI38" s="774">
        <v>20967447.535472274</v>
      </c>
      <c r="AJ38" s="774">
        <v>14616172.422838418</v>
      </c>
      <c r="AK38" s="774">
        <v>15564261.966334576</v>
      </c>
      <c r="AL38" s="774">
        <v>11918472.839543432</v>
      </c>
      <c r="AM38" s="774">
        <v>8331685.9886581441</v>
      </c>
      <c r="AN38" s="774">
        <v>5058829.8514060853</v>
      </c>
      <c r="AO38" s="774">
        <v>1813394.6144447946</v>
      </c>
      <c r="AP38" s="774">
        <v>1583208.2842541197</v>
      </c>
      <c r="AQ38" s="774">
        <v>1406782.3457929706</v>
      </c>
      <c r="AR38" s="774">
        <v>1225806.5017187092</v>
      </c>
      <c r="AS38" s="774">
        <v>1062789.3808192408</v>
      </c>
      <c r="AT38" s="774">
        <v>909058.31131246558</v>
      </c>
      <c r="AU38" s="774">
        <v>726947.07883634267</v>
      </c>
      <c r="AV38" s="774">
        <v>550585.47246928851</v>
      </c>
      <c r="AW38" s="774">
        <v>379090.94009809394</v>
      </c>
      <c r="AX38" s="774">
        <v>188719.01816915098</v>
      </c>
      <c r="AY38" s="778">
        <v>0</v>
      </c>
    </row>
    <row r="39" spans="1:51" s="781" customFormat="1" ht="18.75" x14ac:dyDescent="0.25">
      <c r="A39" s="751"/>
      <c r="B39" s="813" t="s">
        <v>1211</v>
      </c>
      <c r="C39">
        <v>0</v>
      </c>
      <c r="D39">
        <v>0</v>
      </c>
      <c r="E39">
        <v>1035046.8809435047</v>
      </c>
      <c r="F39">
        <v>1455552.6095813254</v>
      </c>
      <c r="G39">
        <v>1829163.8987491515</v>
      </c>
      <c r="H39" s="737"/>
      <c r="I39" s="737"/>
      <c r="J39" s="779" t="s">
        <v>1168</v>
      </c>
      <c r="K39" s="786" t="s">
        <v>1208</v>
      </c>
      <c r="L39" s="737" t="s">
        <v>1205</v>
      </c>
      <c r="M39" s="737" t="s">
        <v>1822</v>
      </c>
      <c r="N39" s="737"/>
      <c r="O39" s="794">
        <f t="shared" si="20"/>
        <v>0</v>
      </c>
      <c r="P39" s="794">
        <f t="shared" si="14"/>
        <v>0</v>
      </c>
      <c r="Q39" s="794">
        <f t="shared" si="21"/>
        <v>0</v>
      </c>
      <c r="R39" s="794">
        <f t="shared" si="22"/>
        <v>0</v>
      </c>
      <c r="S39" s="794">
        <f t="shared" si="23"/>
        <v>0</v>
      </c>
      <c r="T39" s="795">
        <f t="shared" si="24"/>
        <v>0</v>
      </c>
      <c r="U39" s="807">
        <f t="shared" si="25"/>
        <v>0</v>
      </c>
      <c r="V39" s="807">
        <f t="shared" si="26"/>
        <v>0</v>
      </c>
      <c r="W39" s="807">
        <f t="shared" si="27"/>
        <v>0</v>
      </c>
      <c r="X39" s="751"/>
      <c r="Y39" s="776" t="s">
        <v>1823</v>
      </c>
      <c r="Z39" s="743" t="s">
        <v>1779</v>
      </c>
      <c r="AA39" s="743" t="s">
        <v>693</v>
      </c>
      <c r="AB39" s="743" t="s">
        <v>1780</v>
      </c>
      <c r="AC39" s="753" t="s">
        <v>1168</v>
      </c>
      <c r="AD39" s="753" t="s">
        <v>1168</v>
      </c>
      <c r="AE39" s="753" t="s">
        <v>1791</v>
      </c>
      <c r="AF39" s="753" t="s">
        <v>1133</v>
      </c>
      <c r="AG39" s="777" t="s">
        <v>1066</v>
      </c>
      <c r="AH39" s="774">
        <v>60193563.373926811</v>
      </c>
      <c r="AI39" s="774">
        <v>64760163.816391975</v>
      </c>
      <c r="AJ39" s="774">
        <v>59615495.376085073</v>
      </c>
      <c r="AK39" s="774">
        <v>85616592.172367245</v>
      </c>
      <c r="AL39" s="774">
        <v>91969012.485852376</v>
      </c>
      <c r="AM39" s="774">
        <v>97039031.147618726</v>
      </c>
      <c r="AN39" s="774">
        <v>103906928.68373246</v>
      </c>
      <c r="AO39" s="774">
        <v>108584609.06091581</v>
      </c>
      <c r="AP39" s="774">
        <v>106258470.39643957</v>
      </c>
      <c r="AQ39" s="774">
        <v>107487098.89925833</v>
      </c>
      <c r="AR39" s="774">
        <v>108301460.76278643</v>
      </c>
      <c r="AS39" s="774">
        <v>110825172.6158096</v>
      </c>
      <c r="AT39" s="774">
        <v>115063766.78373487</v>
      </c>
      <c r="AU39" s="774">
        <v>116326245.60188769</v>
      </c>
      <c r="AV39" s="774">
        <v>118795882.40658739</v>
      </c>
      <c r="AW39" s="774">
        <v>124056761.79214382</v>
      </c>
      <c r="AX39" s="774">
        <v>124876053.50806956</v>
      </c>
      <c r="AY39" s="778">
        <v>125600960.79437032</v>
      </c>
    </row>
    <row r="40" spans="1:51" s="781" customFormat="1" ht="18.75" x14ac:dyDescent="0.25">
      <c r="A40" s="751"/>
      <c r="B40" s="812" t="s">
        <v>1168</v>
      </c>
      <c r="C40">
        <v>19657033168.524273</v>
      </c>
      <c r="D40">
        <v>19662888321.727665</v>
      </c>
      <c r="E40">
        <v>21523925338.489948</v>
      </c>
      <c r="F40">
        <v>20188205866.914227</v>
      </c>
      <c r="G40">
        <v>21323591646.661045</v>
      </c>
      <c r="H40" s="737"/>
      <c r="I40" s="737"/>
      <c r="J40" s="779" t="s">
        <v>1168</v>
      </c>
      <c r="K40" s="786" t="s">
        <v>1133</v>
      </c>
      <c r="L40" s="737" t="s">
        <v>1205</v>
      </c>
      <c r="M40" s="823" t="s">
        <v>497</v>
      </c>
      <c r="N40" s="737" t="s">
        <v>1824</v>
      </c>
      <c r="O40" s="794">
        <f t="shared" si="20"/>
        <v>19445.410238156081</v>
      </c>
      <c r="P40" s="794">
        <f t="shared" si="14"/>
        <v>19342.785091736045</v>
      </c>
      <c r="Q40" s="794">
        <f t="shared" si="21"/>
        <v>19470.409892951095</v>
      </c>
      <c r="R40" s="794">
        <f t="shared" si="22"/>
        <v>19476.743489959255</v>
      </c>
      <c r="S40" s="794">
        <f t="shared" si="23"/>
        <v>19486.243885471496</v>
      </c>
      <c r="T40" s="795">
        <f t="shared" si="24"/>
        <v>0.98923423852654169</v>
      </c>
      <c r="U40" s="807">
        <f t="shared" si="25"/>
        <v>0.98372043695951317</v>
      </c>
      <c r="V40" s="807">
        <f t="shared" si="26"/>
        <v>0.93356102075304814</v>
      </c>
      <c r="W40" s="807">
        <f t="shared" si="27"/>
        <v>0.91338944267435473</v>
      </c>
      <c r="X40" s="751"/>
      <c r="Y40" s="776" t="s">
        <v>1825</v>
      </c>
      <c r="Z40" s="743" t="s">
        <v>1779</v>
      </c>
      <c r="AA40" s="743" t="s">
        <v>693</v>
      </c>
      <c r="AB40" s="743" t="s">
        <v>1780</v>
      </c>
      <c r="AC40" s="753" t="s">
        <v>1168</v>
      </c>
      <c r="AD40" s="753" t="s">
        <v>1168</v>
      </c>
      <c r="AE40" s="753" t="s">
        <v>1791</v>
      </c>
      <c r="AF40" s="753" t="s">
        <v>1211</v>
      </c>
      <c r="AG40" s="777" t="s">
        <v>1066</v>
      </c>
      <c r="AH40" s="774">
        <v>45463214.161174975</v>
      </c>
      <c r="AI40" s="774">
        <v>38548713.93109908</v>
      </c>
      <c r="AJ40" s="774">
        <v>27990496.748721235</v>
      </c>
      <c r="AK40" s="774">
        <v>31516998.885981433</v>
      </c>
      <c r="AL40" s="774">
        <v>26175605.485484347</v>
      </c>
      <c r="AM40" s="774">
        <v>20829477.420449659</v>
      </c>
      <c r="AN40" s="774">
        <v>16124533.916025104</v>
      </c>
      <c r="AO40" s="774">
        <v>11294162.430904491</v>
      </c>
      <c r="AP40" s="774">
        <v>9827839.4913739283</v>
      </c>
      <c r="AQ40" s="774">
        <v>8732667.2246825304</v>
      </c>
      <c r="AR40" s="774">
        <v>7609251.2060405547</v>
      </c>
      <c r="AS40" s="774">
        <v>6597314.8016648917</v>
      </c>
      <c r="AT40" s="774">
        <v>5643021.9957365645</v>
      </c>
      <c r="AU40" s="774">
        <v>4512558.0004734201</v>
      </c>
      <c r="AV40" s="774">
        <v>3417785.0782657475</v>
      </c>
      <c r="AW40" s="774">
        <v>2353224.7455825685</v>
      </c>
      <c r="AX40" s="774">
        <v>1171482.1340831229</v>
      </c>
      <c r="AY40" s="778">
        <v>0</v>
      </c>
    </row>
    <row r="41" spans="1:51" s="781" customFormat="1" ht="18.75" x14ac:dyDescent="0.25">
      <c r="A41" s="751"/>
      <c r="B41" s="813" t="s">
        <v>498</v>
      </c>
      <c r="C41">
        <v>0</v>
      </c>
      <c r="D41">
        <v>0</v>
      </c>
      <c r="E41">
        <v>0</v>
      </c>
      <c r="F41">
        <v>0</v>
      </c>
      <c r="G41">
        <v>0</v>
      </c>
      <c r="H41" s="737"/>
      <c r="I41" s="737"/>
      <c r="J41" s="779" t="s">
        <v>1168</v>
      </c>
      <c r="K41" s="786" t="s">
        <v>1211</v>
      </c>
      <c r="L41" s="737" t="s">
        <v>1205</v>
      </c>
      <c r="M41" s="823" t="s">
        <v>1824</v>
      </c>
      <c r="N41" s="737"/>
      <c r="O41" s="794">
        <f t="shared" si="20"/>
        <v>42.24671932304355</v>
      </c>
      <c r="P41" s="794">
        <f t="shared" si="14"/>
        <v>84.554628101106232</v>
      </c>
      <c r="Q41" s="794">
        <f t="shared" si="21"/>
        <v>837.39648907917217</v>
      </c>
      <c r="R41" s="794">
        <f t="shared" si="22"/>
        <v>1168.8876220129669</v>
      </c>
      <c r="S41" s="794">
        <f t="shared" si="23"/>
        <v>1666.1243214136589</v>
      </c>
      <c r="T41" s="795">
        <f t="shared" si="24"/>
        <v>2.1491910280077718E-3</v>
      </c>
      <c r="U41" s="807">
        <f t="shared" si="25"/>
        <v>4.300214023372783E-3</v>
      </c>
      <c r="V41" s="807">
        <f t="shared" si="26"/>
        <v>4.0151220514509707E-2</v>
      </c>
      <c r="W41" s="807">
        <f t="shared" si="27"/>
        <v>5.4816638837482015E-2</v>
      </c>
      <c r="X41" s="751"/>
      <c r="Y41" s="776" t="s">
        <v>1826</v>
      </c>
      <c r="Z41" s="743" t="s">
        <v>1779</v>
      </c>
      <c r="AA41" s="743" t="s">
        <v>693</v>
      </c>
      <c r="AB41" s="743" t="s">
        <v>1780</v>
      </c>
      <c r="AC41" s="753" t="s">
        <v>1064</v>
      </c>
      <c r="AD41" s="753" t="s">
        <v>1040</v>
      </c>
      <c r="AE41" s="753" t="s">
        <v>1781</v>
      </c>
      <c r="AF41" s="753" t="s">
        <v>758</v>
      </c>
      <c r="AG41" s="777" t="s">
        <v>1066</v>
      </c>
      <c r="AH41" s="797">
        <v>27085732.650959998</v>
      </c>
      <c r="AI41" s="797">
        <v>33218125.504947431</v>
      </c>
      <c r="AJ41" s="797">
        <v>39431287.077003576</v>
      </c>
      <c r="AK41" s="797">
        <v>45357984.857832432</v>
      </c>
      <c r="AL41" s="797">
        <v>51012826.676171504</v>
      </c>
      <c r="AM41" s="797">
        <v>56388433.686208285</v>
      </c>
      <c r="AN41" s="797">
        <v>61478026.493680283</v>
      </c>
      <c r="AO41" s="797">
        <v>66295313.75</v>
      </c>
      <c r="AP41" s="797">
        <v>64796684.875</v>
      </c>
      <c r="AQ41" s="797">
        <v>63298056</v>
      </c>
      <c r="AR41" s="797">
        <v>61799427.125</v>
      </c>
      <c r="AS41" s="797">
        <v>60300798.25</v>
      </c>
      <c r="AT41" s="797">
        <v>58802169.375</v>
      </c>
      <c r="AU41" s="797">
        <v>57303540.5</v>
      </c>
      <c r="AV41" s="797">
        <v>55804911.625</v>
      </c>
      <c r="AW41" s="797">
        <v>54306282.75</v>
      </c>
      <c r="AX41" s="797">
        <v>52807653.875</v>
      </c>
      <c r="AY41" s="778">
        <v>51309025</v>
      </c>
    </row>
    <row r="42" spans="1:51" s="781" customFormat="1" ht="18.75" x14ac:dyDescent="0.25">
      <c r="A42" s="751"/>
      <c r="B42" s="813" t="s">
        <v>758</v>
      </c>
      <c r="C42">
        <v>168467152.73383325</v>
      </c>
      <c r="D42">
        <v>233735207.27606833</v>
      </c>
      <c r="E42">
        <v>188233250.47201985</v>
      </c>
      <c r="F42">
        <v>144940959.83623445</v>
      </c>
      <c r="G42">
        <v>136398041.83722472</v>
      </c>
      <c r="H42" s="737"/>
      <c r="I42" s="737"/>
      <c r="J42" s="779" t="s">
        <v>697</v>
      </c>
      <c r="K42" s="786" t="s">
        <v>1156</v>
      </c>
      <c r="L42" s="737" t="s">
        <v>110</v>
      </c>
      <c r="M42" s="823" t="s">
        <v>1652</v>
      </c>
      <c r="N42" s="751"/>
      <c r="O42" s="794">
        <f>(GETPIVOTDATA("Sum of CY"&amp;$O$17,$B$20,"GPC Sector","Transportation","GPC Sub-sector","Rail","GPC Sub-sector class agg",$J42,"Fuel type",$K42))/10^6</f>
        <v>9.8781725888324871E-7</v>
      </c>
      <c r="P42" s="794">
        <f>(GETPIVOTDATA("Sum of CY"&amp;$P$17,$B$20,"GPC Sector","Transportation","GPC Sub-sector","Rail","GPC Sub-sector class agg",$J42,"Fuel type",$K42))/10^6</f>
        <v>9.8781725888324871E-7</v>
      </c>
      <c r="Q42" s="794">
        <f>(GETPIVOTDATA("Sum of CY"&amp;$Q$17,$B$20,"GPC Sector","Transportation","GPC Sub-sector","Rail","GPC Sub-sector class agg",$J42,"Fuel type",$K42)+GETPIVOTDATA("Sum of CY"&amp;$Q$16,$B$20,"GPC Sector","Transportation","GPC Sub-sector","Rail","GPC Sub-sector class agg",$J42,"Fuel type",$K42))/2/10^6</f>
        <v>9.8781725888324871E-7</v>
      </c>
      <c r="R42" s="794">
        <f>(GETPIVOTDATA("Sum of CY"&amp;$R$17,$B$20,"GPC Sector","Transportation","GPC Sub-sector","Rail","GPC Sub-sector class agg",$J42,"Fuel type",$K42))/10^6</f>
        <v>9.8781725888324871E-7</v>
      </c>
      <c r="S42" s="794">
        <f t="shared" ref="S42:S43" si="28">IF(Q42+(R42-Q42)*5/2&lt;0,0,Q42+(R42-Q42)*5/2)</f>
        <v>9.8781725888324871E-7</v>
      </c>
      <c r="T42" s="795">
        <f t="shared" si="24"/>
        <v>0.98781725888324878</v>
      </c>
      <c r="U42" s="807">
        <f t="shared" si="25"/>
        <v>0.98659510550289131</v>
      </c>
      <c r="V42" s="807">
        <f t="shared" si="26"/>
        <v>0.98495261304777149</v>
      </c>
      <c r="W42" s="807">
        <f t="shared" si="27"/>
        <v>0.98489948796624116</v>
      </c>
      <c r="X42" s="751"/>
      <c r="Y42" s="776" t="s">
        <v>1827</v>
      </c>
      <c r="Z42" s="743" t="s">
        <v>1779</v>
      </c>
      <c r="AA42" s="743" t="s">
        <v>693</v>
      </c>
      <c r="AB42" s="743" t="s">
        <v>1780</v>
      </c>
      <c r="AC42" s="753" t="s">
        <v>1064</v>
      </c>
      <c r="AD42" s="753" t="s">
        <v>1040</v>
      </c>
      <c r="AE42" s="753" t="s">
        <v>1781</v>
      </c>
      <c r="AF42" s="753" t="s">
        <v>1156</v>
      </c>
      <c r="AG42" s="777" t="s">
        <v>1066</v>
      </c>
      <c r="AH42" s="798">
        <v>23359.4355</v>
      </c>
      <c r="AI42" s="797">
        <v>0</v>
      </c>
      <c r="AJ42" s="797">
        <v>0</v>
      </c>
      <c r="AK42" s="797">
        <v>0</v>
      </c>
      <c r="AL42" s="797">
        <v>0</v>
      </c>
      <c r="AM42" s="797">
        <v>0</v>
      </c>
      <c r="AN42" s="797">
        <v>0</v>
      </c>
      <c r="AO42" s="797">
        <v>0</v>
      </c>
      <c r="AP42" s="797">
        <v>0</v>
      </c>
      <c r="AQ42" s="797">
        <v>0</v>
      </c>
      <c r="AR42" s="797">
        <v>0</v>
      </c>
      <c r="AS42" s="797">
        <v>0</v>
      </c>
      <c r="AT42" s="797">
        <v>0</v>
      </c>
      <c r="AU42" s="797">
        <v>0</v>
      </c>
      <c r="AV42" s="797">
        <v>0</v>
      </c>
      <c r="AW42" s="797">
        <v>0</v>
      </c>
      <c r="AX42" s="797">
        <v>0</v>
      </c>
      <c r="AY42" s="778">
        <v>0</v>
      </c>
    </row>
    <row r="43" spans="1:51" s="781" customFormat="1" ht="18.75" x14ac:dyDescent="0.25">
      <c r="A43" s="751"/>
      <c r="B43" s="813" t="s">
        <v>1203</v>
      </c>
      <c r="C43">
        <v>0</v>
      </c>
      <c r="D43">
        <v>0</v>
      </c>
      <c r="E43">
        <v>0</v>
      </c>
      <c r="F43">
        <v>0</v>
      </c>
      <c r="G43">
        <v>0</v>
      </c>
      <c r="H43" s="737"/>
      <c r="I43" s="737"/>
      <c r="J43" s="779" t="s">
        <v>697</v>
      </c>
      <c r="K43" s="786" t="s">
        <v>758</v>
      </c>
      <c r="L43" s="737" t="s">
        <v>110</v>
      </c>
      <c r="M43" s="823" t="s">
        <v>496</v>
      </c>
      <c r="N43" s="737"/>
      <c r="O43" s="794">
        <f>(GETPIVOTDATA("Sum of CY"&amp;$O$17,$B$20,"GPC Sector","Transportation","GPC Sub-sector","Rail","GPC Sub-sector class agg",$J43,"Fuel type",$K43))/10^6</f>
        <v>1.2182741116751268E-8</v>
      </c>
      <c r="P43" s="794">
        <f>(GETPIVOTDATA("Sum of CY"&amp;$P$17,$B$20,"GPC Sector","Transportation","GPC Sub-sector","Rail","GPC Sub-sector class agg",$J43,"Fuel type",$K43))/10^6</f>
        <v>1.3421499928284639E-8</v>
      </c>
      <c r="Q43" s="794">
        <f>(GETPIVOTDATA("Sum of CY"&amp;$Q$17,$B$20,"GPC Sector","Transportation","GPC Sub-sector","Rail","GPC Sub-sector class agg",$J43,"Fuel type",$K43)+GETPIVOTDATA("Sum of CY"&amp;$Q$16,$B$20,"GPC Sector","Transportation","GPC Sub-sector","Rail","GPC Sub-sector class agg",$J43,"Fuel type",$K43))/2/10^6</f>
        <v>1.5091150919952797E-8</v>
      </c>
      <c r="R43" s="794">
        <f>(GETPIVOTDATA("Sum of CY"&amp;$R$17,$B$20,"GPC Sector","Transportation","GPC Sub-sector","Rail","GPC Sub-sector class agg",$J43,"Fuel type",$K43))/10^6</f>
        <v>1.5145247395470862E-8</v>
      </c>
      <c r="S43" s="794">
        <f t="shared" si="28"/>
        <v>1.5226392108747959E-8</v>
      </c>
      <c r="T43" s="828">
        <f t="shared" si="24"/>
        <v>1.2182741116751269E-2</v>
      </c>
      <c r="U43" s="828">
        <f t="shared" si="25"/>
        <v>1.3404894497108671E-2</v>
      </c>
      <c r="V43" s="828">
        <f t="shared" si="26"/>
        <v>1.5047386952228368E-2</v>
      </c>
      <c r="W43" s="828">
        <f t="shared" si="27"/>
        <v>1.5100512033758973E-2</v>
      </c>
      <c r="X43" s="751"/>
      <c r="Y43" s="776" t="s">
        <v>1828</v>
      </c>
      <c r="Z43" s="743" t="s">
        <v>1779</v>
      </c>
      <c r="AA43" s="743" t="s">
        <v>693</v>
      </c>
      <c r="AB43" s="743" t="s">
        <v>1780</v>
      </c>
      <c r="AC43" s="753" t="s">
        <v>1064</v>
      </c>
      <c r="AD43" s="753" t="s">
        <v>1040</v>
      </c>
      <c r="AE43" s="753" t="s">
        <v>1781</v>
      </c>
      <c r="AF43" s="753" t="s">
        <v>1133</v>
      </c>
      <c r="AG43" s="777" t="s">
        <v>1066</v>
      </c>
      <c r="AH43" s="797">
        <v>50758729.640155002</v>
      </c>
      <c r="AI43" s="797">
        <v>42067176.115560852</v>
      </c>
      <c r="AJ43" s="797">
        <v>34358172.462785266</v>
      </c>
      <c r="AK43" s="797">
        <v>26928291.863415856</v>
      </c>
      <c r="AL43" s="797">
        <v>19777534.317452624</v>
      </c>
      <c r="AM43" s="797">
        <v>12905899.82489557</v>
      </c>
      <c r="AN43" s="797">
        <v>6313388.3857446965</v>
      </c>
      <c r="AO43" s="797">
        <v>0</v>
      </c>
      <c r="AP43" s="797">
        <v>0</v>
      </c>
      <c r="AQ43" s="797">
        <v>0</v>
      </c>
      <c r="AR43" s="797">
        <v>0</v>
      </c>
      <c r="AS43" s="797">
        <v>0</v>
      </c>
      <c r="AT43" s="797">
        <v>0</v>
      </c>
      <c r="AU43" s="797">
        <v>0</v>
      </c>
      <c r="AV43" s="797">
        <v>0</v>
      </c>
      <c r="AW43" s="797">
        <v>0</v>
      </c>
      <c r="AX43" s="797">
        <v>0</v>
      </c>
      <c r="AY43" s="778">
        <v>0</v>
      </c>
    </row>
    <row r="44" spans="1:51" s="781" customFormat="1" ht="18.75" x14ac:dyDescent="0.25">
      <c r="A44" s="751"/>
      <c r="B44" s="813" t="s">
        <v>1156</v>
      </c>
      <c r="C44">
        <v>909058.31131246558</v>
      </c>
      <c r="D44">
        <v>1813394.6144447946</v>
      </c>
      <c r="E44">
        <v>321126878.42719126</v>
      </c>
      <c r="F44">
        <v>442217352.60818911</v>
      </c>
      <c r="G44">
        <v>541562492.85159719</v>
      </c>
      <c r="H44" s="751"/>
      <c r="I44" s="751"/>
      <c r="J44" s="779"/>
      <c r="K44" s="786"/>
      <c r="L44" s="737"/>
      <c r="M44" s="823"/>
      <c r="N44" s="743"/>
      <c r="O44" s="794"/>
      <c r="P44" s="794"/>
      <c r="Q44" s="794"/>
      <c r="R44" s="794"/>
      <c r="S44" s="794"/>
      <c r="T44" s="795"/>
      <c r="U44" s="807"/>
      <c r="V44" s="807"/>
      <c r="W44" s="807"/>
      <c r="X44" s="751"/>
      <c r="Y44" s="780" t="s">
        <v>1829</v>
      </c>
      <c r="Z44" s="781" t="s">
        <v>1779</v>
      </c>
      <c r="AA44" s="781" t="s">
        <v>693</v>
      </c>
      <c r="AB44" s="781" t="s">
        <v>1780</v>
      </c>
      <c r="AC44" s="782" t="s">
        <v>1830</v>
      </c>
      <c r="AD44" s="782" t="s">
        <v>1170</v>
      </c>
      <c r="AE44" s="782" t="s">
        <v>1781</v>
      </c>
      <c r="AF44" s="782" t="s">
        <v>498</v>
      </c>
      <c r="AG44" s="783" t="s">
        <v>1066</v>
      </c>
      <c r="AH44" s="799">
        <v>74582.603264240301</v>
      </c>
      <c r="AI44" s="799">
        <v>63730.38147249836</v>
      </c>
      <c r="AJ44" s="799">
        <v>52944.523205146004</v>
      </c>
      <c r="AK44" s="799">
        <v>42224.72192614575</v>
      </c>
      <c r="AL44" s="799">
        <v>31570.672360292403</v>
      </c>
      <c r="AM44" s="799">
        <v>0</v>
      </c>
      <c r="AN44" s="799">
        <v>0</v>
      </c>
      <c r="AO44" s="799">
        <v>0</v>
      </c>
      <c r="AP44" s="799">
        <v>0</v>
      </c>
      <c r="AQ44" s="799">
        <v>0</v>
      </c>
      <c r="AR44" s="799">
        <v>0</v>
      </c>
      <c r="AS44" s="799">
        <v>0</v>
      </c>
      <c r="AT44" s="799">
        <v>0</v>
      </c>
      <c r="AU44" s="799">
        <v>0</v>
      </c>
      <c r="AV44" s="799">
        <v>0</v>
      </c>
      <c r="AW44" s="799">
        <v>0</v>
      </c>
      <c r="AX44" s="799">
        <v>0</v>
      </c>
      <c r="AY44" s="785">
        <v>0</v>
      </c>
    </row>
    <row r="45" spans="1:51" s="781" customFormat="1" ht="18.75" x14ac:dyDescent="0.25">
      <c r="A45" s="751"/>
      <c r="B45" s="813" t="s">
        <v>1208</v>
      </c>
      <c r="C45">
        <v>0</v>
      </c>
      <c r="D45">
        <v>0</v>
      </c>
      <c r="E45">
        <v>0</v>
      </c>
      <c r="F45">
        <v>0</v>
      </c>
      <c r="G45">
        <v>0</v>
      </c>
      <c r="H45" s="751"/>
      <c r="I45" s="751"/>
      <c r="J45" s="743"/>
      <c r="K45" s="743"/>
      <c r="L45" s="743"/>
      <c r="M45" s="743"/>
      <c r="N45" s="743"/>
      <c r="O45" s="743"/>
      <c r="P45" s="743"/>
      <c r="Q45" s="737"/>
      <c r="R45" s="737"/>
      <c r="S45" s="737"/>
      <c r="T45" s="737"/>
      <c r="U45" s="737"/>
      <c r="V45" s="737"/>
      <c r="W45" s="737"/>
      <c r="X45" s="751"/>
      <c r="Y45" s="780" t="s">
        <v>1831</v>
      </c>
      <c r="Z45" s="781" t="s">
        <v>1779</v>
      </c>
      <c r="AA45" s="781" t="s">
        <v>693</v>
      </c>
      <c r="AB45" s="781" t="s">
        <v>1780</v>
      </c>
      <c r="AC45" s="782" t="s">
        <v>1830</v>
      </c>
      <c r="AD45" s="782" t="s">
        <v>1170</v>
      </c>
      <c r="AE45" s="782" t="s">
        <v>1781</v>
      </c>
      <c r="AF45" s="782" t="s">
        <v>758</v>
      </c>
      <c r="AG45" s="783" t="s">
        <v>1066</v>
      </c>
      <c r="AH45" s="784">
        <v>21989437.529073495</v>
      </c>
      <c r="AI45" s="784">
        <v>22212693.37572702</v>
      </c>
      <c r="AJ45" s="784">
        <v>22434359.299460519</v>
      </c>
      <c r="AK45" s="784">
        <v>22654442.995083969</v>
      </c>
      <c r="AL45" s="784">
        <v>22872952.125031825</v>
      </c>
      <c r="AM45" s="784">
        <v>23089894.319489632</v>
      </c>
      <c r="AN45" s="784">
        <v>23305277.17652018</v>
      </c>
      <c r="AO45" s="784">
        <v>23519108.262189183</v>
      </c>
      <c r="AP45" s="784">
        <v>23433919.231933162</v>
      </c>
      <c r="AQ45" s="784">
        <v>23351480.631094594</v>
      </c>
      <c r="AR45" s="784">
        <v>23267666.815547302</v>
      </c>
      <c r="AS45" s="784">
        <v>23183853</v>
      </c>
      <c r="AT45" s="784">
        <v>23100000</v>
      </c>
      <c r="AU45" s="784">
        <v>23016328.948381927</v>
      </c>
      <c r="AV45" s="784">
        <v>22932960.963641729</v>
      </c>
      <c r="AW45" s="784">
        <v>22849894.948033761</v>
      </c>
      <c r="AX45" s="784">
        <v>22767129.807788547</v>
      </c>
      <c r="AY45" s="785">
        <v>22684664.453098383</v>
      </c>
    </row>
    <row r="46" spans="1:51" s="781" customFormat="1" ht="18.75" x14ac:dyDescent="0.25">
      <c r="A46" s="751"/>
      <c r="B46" s="813" t="s">
        <v>1133</v>
      </c>
      <c r="C46">
        <v>19445410238.156082</v>
      </c>
      <c r="D46">
        <v>19342785091.736046</v>
      </c>
      <c r="E46">
        <v>20300720458.331036</v>
      </c>
      <c r="F46">
        <v>18640099327.571159</v>
      </c>
      <c r="G46">
        <v>19476743489.959255</v>
      </c>
      <c r="H46" s="751"/>
      <c r="I46" s="751"/>
      <c r="J46" s="743"/>
      <c r="K46" s="743"/>
      <c r="L46" s="743"/>
      <c r="M46" s="743"/>
      <c r="N46" s="743"/>
      <c r="O46" s="743"/>
      <c r="P46" s="743"/>
      <c r="Q46" s="737"/>
      <c r="R46" s="737"/>
      <c r="S46" s="737"/>
      <c r="T46" s="737"/>
      <c r="U46" s="737"/>
      <c r="V46" s="737"/>
      <c r="W46" s="737"/>
      <c r="X46" s="751"/>
      <c r="Y46" s="780" t="s">
        <v>1832</v>
      </c>
      <c r="Z46" s="781" t="s">
        <v>1779</v>
      </c>
      <c r="AA46" s="781" t="s">
        <v>693</v>
      </c>
      <c r="AB46" s="781" t="s">
        <v>1780</v>
      </c>
      <c r="AC46" s="782" t="s">
        <v>1830</v>
      </c>
      <c r="AD46" s="782" t="s">
        <v>1170</v>
      </c>
      <c r="AE46" s="782" t="s">
        <v>1781</v>
      </c>
      <c r="AF46" s="782" t="s">
        <v>1133</v>
      </c>
      <c r="AG46" s="783" t="s">
        <v>1066</v>
      </c>
      <c r="AH46" s="784">
        <v>1967116.1610943358</v>
      </c>
      <c r="AI46" s="784">
        <v>1680888.8113371427</v>
      </c>
      <c r="AJ46" s="784">
        <v>1396411.7995357246</v>
      </c>
      <c r="AK46" s="784">
        <v>1113677.040802093</v>
      </c>
      <c r="AL46" s="784">
        <v>832676.4835027114</v>
      </c>
      <c r="AM46" s="784">
        <v>553402.10913017066</v>
      </c>
      <c r="AN46" s="784">
        <v>275845.93217534176</v>
      </c>
      <c r="AO46" s="784">
        <v>0</v>
      </c>
      <c r="AP46" s="784">
        <v>0</v>
      </c>
      <c r="AQ46" s="784">
        <v>0</v>
      </c>
      <c r="AR46" s="784">
        <v>0</v>
      </c>
      <c r="AS46" s="784">
        <v>0</v>
      </c>
      <c r="AT46" s="784">
        <v>0</v>
      </c>
      <c r="AU46" s="784">
        <v>0</v>
      </c>
      <c r="AV46" s="784">
        <v>0</v>
      </c>
      <c r="AW46" s="784">
        <v>0</v>
      </c>
      <c r="AX46" s="784">
        <v>0</v>
      </c>
      <c r="AY46" s="785">
        <v>0</v>
      </c>
    </row>
    <row r="47" spans="1:51" ht="18.75" x14ac:dyDescent="0.25">
      <c r="A47" s="751"/>
      <c r="B47" s="813" t="s">
        <v>1211</v>
      </c>
      <c r="C47">
        <v>42246719.323043548</v>
      </c>
      <c r="D47">
        <v>84554628.101106226</v>
      </c>
      <c r="E47">
        <v>713844751.25970018</v>
      </c>
      <c r="F47">
        <v>960948226.89864397</v>
      </c>
      <c r="G47">
        <v>1168887622.0129669</v>
      </c>
      <c r="H47" s="751"/>
      <c r="I47" s="751"/>
      <c r="Q47" s="751"/>
      <c r="R47" s="751"/>
      <c r="S47" s="751"/>
      <c r="T47" s="751"/>
      <c r="U47" s="751"/>
      <c r="V47" s="751"/>
      <c r="W47" s="751"/>
      <c r="X47" s="751"/>
      <c r="Y47" s="800" t="s">
        <v>1833</v>
      </c>
      <c r="Z47" s="781" t="s">
        <v>1779</v>
      </c>
      <c r="AA47" s="781" t="s">
        <v>693</v>
      </c>
      <c r="AB47" s="781" t="s">
        <v>1780</v>
      </c>
      <c r="AC47" s="782" t="s">
        <v>1830</v>
      </c>
      <c r="AD47" s="782" t="s">
        <v>1170</v>
      </c>
      <c r="AE47" s="782" t="s">
        <v>1791</v>
      </c>
      <c r="AF47" s="782" t="s">
        <v>498</v>
      </c>
      <c r="AG47" s="783" t="s">
        <v>1066</v>
      </c>
      <c r="AH47" s="784">
        <v>241321.16965254617</v>
      </c>
      <c r="AI47" s="784">
        <v>206207.47367664197</v>
      </c>
      <c r="AJ47" s="784">
        <v>171308.50503160365</v>
      </c>
      <c r="AK47" s="784">
        <v>136623.2718824473</v>
      </c>
      <c r="AL47" s="784">
        <v>102150.78647376678</v>
      </c>
      <c r="AM47" s="784">
        <v>67890.06511399115</v>
      </c>
      <c r="AN47" s="784">
        <v>33840.1281597005</v>
      </c>
      <c r="AO47" s="784">
        <v>0</v>
      </c>
      <c r="AP47" s="784">
        <v>0</v>
      </c>
      <c r="AQ47" s="784">
        <v>0</v>
      </c>
      <c r="AR47" s="784">
        <v>0</v>
      </c>
      <c r="AS47" s="784">
        <v>0</v>
      </c>
      <c r="AT47" s="784">
        <v>0</v>
      </c>
      <c r="AU47" s="784">
        <v>0</v>
      </c>
      <c r="AV47" s="784">
        <v>0</v>
      </c>
      <c r="AW47" s="784">
        <v>0</v>
      </c>
      <c r="AX47" s="784">
        <v>0</v>
      </c>
      <c r="AY47" s="785">
        <v>0</v>
      </c>
    </row>
    <row r="48" spans="1:51" ht="18.75" x14ac:dyDescent="0.25">
      <c r="A48" s="751"/>
      <c r="B48" s="811" t="s">
        <v>697</v>
      </c>
      <c r="C48">
        <v>1</v>
      </c>
      <c r="D48">
        <v>1.0012387588115335</v>
      </c>
      <c r="E48">
        <v>1.0030634446773639</v>
      </c>
      <c r="F48">
        <v>1.0027533749290394</v>
      </c>
      <c r="G48">
        <v>1.0029625062787197</v>
      </c>
      <c r="H48" s="751"/>
      <c r="I48" s="751"/>
      <c r="Q48" s="751"/>
      <c r="R48" s="751"/>
      <c r="S48" s="751"/>
      <c r="T48" s="751"/>
      <c r="U48" s="751"/>
      <c r="V48" s="751"/>
      <c r="W48" s="751"/>
      <c r="X48" s="751"/>
      <c r="Y48" s="800" t="s">
        <v>1834</v>
      </c>
      <c r="Z48" s="781" t="s">
        <v>1779</v>
      </c>
      <c r="AA48" s="781" t="s">
        <v>693</v>
      </c>
      <c r="AB48" s="781" t="s">
        <v>1780</v>
      </c>
      <c r="AC48" s="782" t="s">
        <v>1830</v>
      </c>
      <c r="AD48" s="782" t="s">
        <v>1170</v>
      </c>
      <c r="AE48" s="782" t="s">
        <v>1791</v>
      </c>
      <c r="AF48" s="782" t="s">
        <v>758</v>
      </c>
      <c r="AG48" s="783" t="s">
        <v>1066</v>
      </c>
      <c r="AH48" s="784">
        <v>16534156.502557784</v>
      </c>
      <c r="AI48" s="784">
        <v>16529924.35452354</v>
      </c>
      <c r="AJ48" s="784">
        <v>16525560.452048697</v>
      </c>
      <c r="AK48" s="784">
        <v>16521065.64990624</v>
      </c>
      <c r="AL48" s="784">
        <v>16516440.798844293</v>
      </c>
      <c r="AM48" s="784">
        <v>16511686.745602818</v>
      </c>
      <c r="AN48" s="784">
        <v>16506804.332930272</v>
      </c>
      <c r="AO48" s="784">
        <v>16501794.399600195</v>
      </c>
      <c r="AP48" s="784">
        <v>16442022.92158688</v>
      </c>
      <c r="AQ48" s="784">
        <v>16384181.237010097</v>
      </c>
      <c r="AR48" s="784">
        <v>16325374.655715052</v>
      </c>
      <c r="AS48" s="784">
        <v>16266568.074419999</v>
      </c>
      <c r="AT48" s="784">
        <v>16207734</v>
      </c>
      <c r="AU48" s="784">
        <v>16149027.586661212</v>
      </c>
      <c r="AV48" s="784">
        <v>16090533.815198649</v>
      </c>
      <c r="AW48" s="784">
        <v>16032251.915397184</v>
      </c>
      <c r="AX48" s="784">
        <v>15974181.119831508</v>
      </c>
      <c r="AY48" s="785">
        <v>15916320.663856016</v>
      </c>
    </row>
    <row r="49" spans="1:51" ht="18.75" x14ac:dyDescent="0.25">
      <c r="A49" s="751"/>
      <c r="B49" s="812" t="s">
        <v>697</v>
      </c>
      <c r="C49">
        <v>1</v>
      </c>
      <c r="D49">
        <v>1.0012387588115335</v>
      </c>
      <c r="E49">
        <v>1.0030634446773639</v>
      </c>
      <c r="F49">
        <v>1.0027533749290394</v>
      </c>
      <c r="G49">
        <v>1.0029625062787197</v>
      </c>
      <c r="H49" s="751"/>
      <c r="I49" s="751"/>
      <c r="Q49" s="751"/>
      <c r="R49" s="751"/>
      <c r="S49" s="751"/>
      <c r="T49" s="751"/>
      <c r="U49" s="751"/>
      <c r="V49" s="751"/>
      <c r="W49" s="751"/>
      <c r="X49" s="751"/>
      <c r="Y49" s="801" t="s">
        <v>1835</v>
      </c>
      <c r="Z49" s="802" t="s">
        <v>1779</v>
      </c>
      <c r="AA49" s="802" t="s">
        <v>693</v>
      </c>
      <c r="AB49" s="802" t="s">
        <v>1780</v>
      </c>
      <c r="AC49" s="803" t="s">
        <v>1830</v>
      </c>
      <c r="AD49" s="782" t="s">
        <v>1170</v>
      </c>
      <c r="AE49" s="803" t="s">
        <v>1791</v>
      </c>
      <c r="AF49" s="803" t="s">
        <v>1203</v>
      </c>
      <c r="AG49" s="804" t="s">
        <v>1066</v>
      </c>
      <c r="AH49" s="805">
        <v>87753.152600925881</v>
      </c>
      <c r="AI49" s="805">
        <v>74984.535882415264</v>
      </c>
      <c r="AJ49" s="805">
        <v>62294.00182967406</v>
      </c>
      <c r="AK49" s="805">
        <v>49681.189775435392</v>
      </c>
      <c r="AL49" s="805">
        <v>37145.740535915204</v>
      </c>
      <c r="AM49" s="805">
        <v>24687.296405087694</v>
      </c>
      <c r="AN49" s="805">
        <v>0</v>
      </c>
      <c r="AO49" s="805">
        <v>0</v>
      </c>
      <c r="AP49" s="805">
        <v>0</v>
      </c>
      <c r="AQ49" s="805">
        <v>0</v>
      </c>
      <c r="AR49" s="805">
        <v>0</v>
      </c>
      <c r="AS49" s="805">
        <v>0</v>
      </c>
      <c r="AT49" s="805">
        <v>0</v>
      </c>
      <c r="AU49" s="805">
        <v>0</v>
      </c>
      <c r="AV49" s="805">
        <v>0</v>
      </c>
      <c r="AW49" s="805">
        <v>0</v>
      </c>
      <c r="AX49" s="805">
        <v>0</v>
      </c>
      <c r="AY49" s="806">
        <v>0</v>
      </c>
    </row>
    <row r="50" spans="1:51" x14ac:dyDescent="0.25">
      <c r="B50" s="813" t="s">
        <v>758</v>
      </c>
      <c r="C50">
        <v>1.2182741116751269E-2</v>
      </c>
      <c r="D50">
        <v>1.3421499928284638E-2</v>
      </c>
      <c r="E50">
        <v>1.5246185794115052E-2</v>
      </c>
      <c r="F50">
        <v>1.4936116045790541E-2</v>
      </c>
      <c r="G50">
        <v>1.5145247395470863E-2</v>
      </c>
      <c r="AA50" s="743" t="s">
        <v>693</v>
      </c>
      <c r="AB50" s="743" t="s">
        <v>1780</v>
      </c>
      <c r="AC50" s="743" t="s">
        <v>1132</v>
      </c>
      <c r="AD50" s="743" t="s">
        <v>1040</v>
      </c>
      <c r="AE50" s="743" t="s">
        <v>1791</v>
      </c>
      <c r="AF50" s="743" t="s">
        <v>758</v>
      </c>
      <c r="AG50" s="743" t="s">
        <v>1066</v>
      </c>
      <c r="AH50" s="824">
        <v>208939390.88999999</v>
      </c>
      <c r="AI50" s="814">
        <v>202132232</v>
      </c>
      <c r="AJ50" s="814">
        <v>173681282</v>
      </c>
      <c r="AK50" s="814">
        <v>220337838</v>
      </c>
      <c r="AL50" s="814">
        <v>240132445</v>
      </c>
      <c r="AM50" s="814">
        <v>238732893</v>
      </c>
      <c r="AN50" s="814">
        <v>243438549</v>
      </c>
      <c r="AO50" s="815">
        <v>250565732</v>
      </c>
      <c r="AP50" s="814">
        <v>259790075</v>
      </c>
      <c r="AQ50" s="814">
        <v>253820640</v>
      </c>
      <c r="AR50" s="816">
        <v>253623587</v>
      </c>
      <c r="AS50" s="817">
        <v>252812611</v>
      </c>
      <c r="AT50" s="817">
        <v>266429810</v>
      </c>
      <c r="AU50" s="817">
        <v>267982573</v>
      </c>
      <c r="AV50" s="817">
        <v>270725155</v>
      </c>
      <c r="AW50" s="817">
        <v>323209653</v>
      </c>
      <c r="AX50" s="817">
        <v>322626656</v>
      </c>
      <c r="AY50" s="818">
        <v>339477974</v>
      </c>
    </row>
    <row r="51" spans="1:51" x14ac:dyDescent="0.25">
      <c r="B51" s="813" t="s">
        <v>1156</v>
      </c>
      <c r="C51">
        <v>0.98781725888324878</v>
      </c>
      <c r="D51">
        <v>0.98781725888324878</v>
      </c>
      <c r="E51">
        <v>0.98781725888324878</v>
      </c>
      <c r="F51">
        <v>0.98781725888324878</v>
      </c>
      <c r="G51">
        <v>0.98781725888324878</v>
      </c>
      <c r="AA51" s="743" t="s">
        <v>693</v>
      </c>
      <c r="AB51" s="743" t="s">
        <v>1780</v>
      </c>
      <c r="AC51" s="743" t="s">
        <v>1132</v>
      </c>
      <c r="AD51" s="743" t="s">
        <v>1040</v>
      </c>
      <c r="AE51" s="743" t="s">
        <v>1791</v>
      </c>
      <c r="AF51" s="743" t="s">
        <v>498</v>
      </c>
      <c r="AG51" s="743" t="s">
        <v>1066</v>
      </c>
      <c r="AH51" s="819">
        <v>43719633.609999999</v>
      </c>
      <c r="AI51" s="815">
        <v>33248656</v>
      </c>
      <c r="AJ51" s="815">
        <v>21419168</v>
      </c>
      <c r="AK51" s="815">
        <v>30250532</v>
      </c>
      <c r="AL51" s="815">
        <v>39251095</v>
      </c>
      <c r="AM51" s="815">
        <v>36798317</v>
      </c>
      <c r="AN51" s="815">
        <v>40655650</v>
      </c>
      <c r="AO51" s="815">
        <v>40318337</v>
      </c>
      <c r="AP51" s="815">
        <v>39662226</v>
      </c>
      <c r="AQ51" s="815">
        <v>38351609</v>
      </c>
      <c r="AR51" s="820">
        <v>37340822</v>
      </c>
      <c r="AS51" s="821">
        <v>36192538</v>
      </c>
      <c r="AT51" s="821">
        <v>37590232</v>
      </c>
      <c r="AU51" s="821">
        <v>40570785</v>
      </c>
      <c r="AV51" s="821">
        <v>42055202</v>
      </c>
      <c r="AW51" s="821">
        <v>40484747</v>
      </c>
      <c r="AX51" s="821">
        <v>6537035</v>
      </c>
      <c r="AY51" s="822">
        <v>6523813</v>
      </c>
    </row>
    <row r="52" spans="1:51" x14ac:dyDescent="0.25">
      <c r="B52" s="371" t="s">
        <v>1207</v>
      </c>
      <c r="C52">
        <v>21148664332.907169</v>
      </c>
      <c r="D52">
        <v>21182701368.221455</v>
      </c>
      <c r="E52">
        <v>23114014599.667862</v>
      </c>
      <c r="F52">
        <v>21741183621.1138</v>
      </c>
      <c r="G52">
        <v>22959328396.808838</v>
      </c>
      <c r="AA52" s="743" t="s">
        <v>693</v>
      </c>
      <c r="AB52" s="823" t="s">
        <v>697</v>
      </c>
      <c r="AC52" s="743" t="s">
        <v>762</v>
      </c>
      <c r="AD52" s="823" t="s">
        <v>697</v>
      </c>
      <c r="AF52" s="743" t="s">
        <v>758</v>
      </c>
      <c r="AG52" s="823" t="s">
        <v>1845</v>
      </c>
      <c r="AH52" s="819">
        <f t="shared" ref="AH52:AR52" si="29">AI52*AH55/AI55</f>
        <v>1.5145247395470863E-2</v>
      </c>
      <c r="AI52" s="819">
        <f t="shared" si="29"/>
        <v>1.4936116045790541E-2</v>
      </c>
      <c r="AJ52" s="819">
        <f t="shared" si="29"/>
        <v>1.4047505210541327E-2</v>
      </c>
      <c r="AK52" s="819">
        <f t="shared" si="29"/>
        <v>1.5246185794115052E-2</v>
      </c>
      <c r="AL52" s="819">
        <f t="shared" si="29"/>
        <v>1.3417953951186697E-2</v>
      </c>
      <c r="AM52" s="819">
        <f t="shared" si="29"/>
        <v>1.3661005957415075E-2</v>
      </c>
      <c r="AN52" s="819">
        <f t="shared" si="29"/>
        <v>1.2600129572386447E-2</v>
      </c>
      <c r="AO52" s="819">
        <f t="shared" si="29"/>
        <v>1.3421499928284638E-2</v>
      </c>
      <c r="AP52" s="819">
        <f t="shared" si="29"/>
        <v>1.3523064218615079E-2</v>
      </c>
      <c r="AQ52" s="819">
        <f t="shared" si="29"/>
        <v>1.3145742854076799E-2</v>
      </c>
      <c r="AR52" s="819">
        <f t="shared" si="29"/>
        <v>1.1656415767648604E-2</v>
      </c>
      <c r="AS52" s="819">
        <f>AT52*AS55/AT55</f>
        <v>1.3077177088059142E-2</v>
      </c>
      <c r="AT52" s="819">
        <f>0.12/(9.73+0.12)</f>
        <v>1.2182741116751269E-2</v>
      </c>
      <c r="AU52" s="819"/>
      <c r="AV52" s="819"/>
      <c r="AW52" s="819"/>
      <c r="AX52" s="819"/>
    </row>
    <row r="53" spans="1:51" x14ac:dyDescent="0.25">
      <c r="B53" s="737"/>
      <c r="C53" s="737"/>
      <c r="D53" s="737"/>
      <c r="E53" s="737"/>
      <c r="AA53" s="743" t="s">
        <v>693</v>
      </c>
      <c r="AB53" s="823" t="s">
        <v>697</v>
      </c>
      <c r="AC53" s="823" t="s">
        <v>1844</v>
      </c>
      <c r="AD53" s="823" t="s">
        <v>697</v>
      </c>
      <c r="AF53" s="753" t="s">
        <v>1156</v>
      </c>
      <c r="AG53" s="823" t="s">
        <v>1845</v>
      </c>
      <c r="AH53" s="819">
        <f t="shared" ref="AH53:AR53" si="30">AI53</f>
        <v>0.98781725888324878</v>
      </c>
      <c r="AI53" s="819">
        <f t="shared" si="30"/>
        <v>0.98781725888324878</v>
      </c>
      <c r="AJ53" s="819">
        <f t="shared" si="30"/>
        <v>0.98781725888324878</v>
      </c>
      <c r="AK53" s="819">
        <f t="shared" si="30"/>
        <v>0.98781725888324878</v>
      </c>
      <c r="AL53" s="819">
        <f t="shared" si="30"/>
        <v>0.98781725888324878</v>
      </c>
      <c r="AM53" s="819">
        <f t="shared" si="30"/>
        <v>0.98781725888324878</v>
      </c>
      <c r="AN53" s="819">
        <f t="shared" si="30"/>
        <v>0.98781725888324878</v>
      </c>
      <c r="AO53" s="819">
        <f t="shared" si="30"/>
        <v>0.98781725888324878</v>
      </c>
      <c r="AP53" s="819">
        <f t="shared" si="30"/>
        <v>0.98781725888324878</v>
      </c>
      <c r="AQ53" s="819">
        <f t="shared" si="30"/>
        <v>0.98781725888324878</v>
      </c>
      <c r="AR53" s="819">
        <f t="shared" si="30"/>
        <v>0.98781725888324878</v>
      </c>
      <c r="AS53" s="819">
        <f>AT53</f>
        <v>0.98781725888324878</v>
      </c>
      <c r="AT53" s="819">
        <f>1-AT52</f>
        <v>0.98781725888324878</v>
      </c>
      <c r="AU53" s="819"/>
      <c r="AV53" s="819"/>
      <c r="AW53" s="819"/>
      <c r="AX53" s="819"/>
    </row>
    <row r="54" spans="1:51" x14ac:dyDescent="0.25">
      <c r="B54" s="737"/>
      <c r="C54" s="737"/>
      <c r="D54" s="737"/>
      <c r="E54" s="737"/>
      <c r="AT54" s="826"/>
    </row>
    <row r="55" spans="1:51" x14ac:dyDescent="0.25">
      <c r="B55" s="737"/>
      <c r="C55" s="737"/>
      <c r="D55" s="737"/>
      <c r="E55" s="737"/>
      <c r="AH55" s="825">
        <v>2.7198409E-2</v>
      </c>
      <c r="AI55" s="825">
        <v>2.6822842999999999E-2</v>
      </c>
      <c r="AJ55" s="825">
        <v>2.5227042000000002E-2</v>
      </c>
      <c r="AK55" s="825">
        <v>2.7379678000000001E-2</v>
      </c>
      <c r="AL55" s="825">
        <v>2.4096469999999998E-2</v>
      </c>
      <c r="AM55" s="825">
        <v>2.4532952E-2</v>
      </c>
      <c r="AN55" s="825">
        <v>2.2627789999999998E-2</v>
      </c>
      <c r="AO55" s="825">
        <v>2.4102838000000001E-2</v>
      </c>
      <c r="AP55" s="825">
        <v>2.4285231000000001E-2</v>
      </c>
      <c r="AQ55" s="825">
        <v>2.3607623000000001E-2</v>
      </c>
      <c r="AR55" s="825">
        <v>2.0933033E-2</v>
      </c>
      <c r="AS55" s="825">
        <v>2.348449E-2</v>
      </c>
      <c r="AT55" s="825">
        <v>2.1878228E-2</v>
      </c>
    </row>
    <row r="56" spans="1:51" x14ac:dyDescent="0.25">
      <c r="B56" s="737"/>
      <c r="C56" s="737"/>
      <c r="D56" s="737"/>
      <c r="E56" s="737"/>
    </row>
    <row r="57" spans="1:51" x14ac:dyDescent="0.25">
      <c r="B57" s="737"/>
      <c r="C57" s="737"/>
      <c r="D57" s="737"/>
      <c r="E57" s="737"/>
    </row>
    <row r="58" spans="1:51" x14ac:dyDescent="0.25">
      <c r="B58" s="737"/>
      <c r="C58" s="737"/>
      <c r="D58" s="737"/>
      <c r="E58" s="737"/>
    </row>
    <row r="59" spans="1:51" x14ac:dyDescent="0.25">
      <c r="B59" s="737"/>
      <c r="C59" s="737"/>
      <c r="D59" s="737"/>
      <c r="E59" s="737"/>
    </row>
    <row r="60" spans="1:51" x14ac:dyDescent="0.25">
      <c r="B60" s="737"/>
      <c r="C60" s="737"/>
      <c r="D60" s="737"/>
      <c r="E60" s="737"/>
    </row>
    <row r="61" spans="1:51" x14ac:dyDescent="0.25">
      <c r="B61" s="737"/>
      <c r="C61" s="737"/>
      <c r="D61" s="737"/>
      <c r="E61" s="737"/>
    </row>
    <row r="62" spans="1:51" x14ac:dyDescent="0.25">
      <c r="B62" s="737"/>
      <c r="C62" s="737"/>
      <c r="D62" s="737"/>
      <c r="E62" s="737"/>
    </row>
    <row r="63" spans="1:51" x14ac:dyDescent="0.25">
      <c r="B63" s="737"/>
      <c r="C63" s="737"/>
      <c r="D63" s="737"/>
      <c r="E63" s="737"/>
    </row>
    <row r="64" spans="1:51" x14ac:dyDescent="0.25">
      <c r="B64" s="737"/>
      <c r="C64" s="737"/>
      <c r="D64" s="737"/>
      <c r="E64" s="737"/>
    </row>
  </sheetData>
  <autoFilter ref="A12:AY12" xr:uid="{36D6FAF9-66B5-477F-A749-2F7BB711ED8E}">
    <sortState xmlns:xlrd2="http://schemas.microsoft.com/office/spreadsheetml/2017/richdata2" ref="A13:AY49">
      <sortCondition ref="Y12"/>
    </sortState>
  </autoFilter>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2"/>
  <sheetViews>
    <sheetView showFormulas="1" topLeftCell="B1" workbookViewId="0">
      <selection activeCell="E6" sqref="E6"/>
    </sheetView>
  </sheetViews>
  <sheetFormatPr defaultColWidth="9.140625" defaultRowHeight="12" x14ac:dyDescent="0.2"/>
  <cols>
    <col min="1" max="1" width="24.7109375" style="226" customWidth="1"/>
    <col min="2" max="2" width="36.85546875" style="213" customWidth="1"/>
    <col min="3" max="3" width="18.28515625" style="213" customWidth="1"/>
    <col min="4" max="4" width="13.85546875" style="213" customWidth="1"/>
    <col min="5" max="5" width="9.7109375" style="213" customWidth="1"/>
    <col min="6" max="6" width="9.28515625" style="213" bestFit="1" customWidth="1"/>
    <col min="7" max="7" width="12" style="213" customWidth="1"/>
    <col min="8" max="8" width="9.28515625" style="213" bestFit="1" customWidth="1"/>
    <col min="9" max="9" width="10.140625" style="213" bestFit="1" customWidth="1"/>
    <col min="10" max="12" width="9.28515625" style="213" bestFit="1" customWidth="1"/>
    <col min="13" max="16384" width="9.140625" style="226"/>
  </cols>
  <sheetData>
    <row r="1" spans="1:12" s="225" customFormat="1" x14ac:dyDescent="0.2">
      <c r="A1" s="224" t="str">
        <f>'2010 GHG'!A1</f>
        <v>GHG Emissions 2010</v>
      </c>
      <c r="B1" s="211" t="str">
        <f>'2010 GHG'!B1</f>
        <v>Exp.</v>
      </c>
      <c r="C1" s="211" t="str">
        <f>'2010 GHG'!C1</f>
        <v>Nom.</v>
      </c>
      <c r="D1" s="211" t="str">
        <f>'2010 GHG'!D1</f>
        <v>Sector</v>
      </c>
      <c r="E1" s="211" t="str">
        <f>'2010 GHG'!E1</f>
        <v>Fuel Type</v>
      </c>
      <c r="F1" s="211" t="str">
        <f>'2010 GHG'!F1</f>
        <v>Units</v>
      </c>
      <c r="G1" s="211" t="str">
        <f>'2010 GHG'!G1</f>
        <v>Consumed</v>
      </c>
      <c r="H1" s="211" t="str">
        <f>'2010 GHG'!H1</f>
        <v>MgCO2e</v>
      </c>
      <c r="I1" s="211" t="str">
        <f>'2010 GHG'!I1</f>
        <v>Source GJ</v>
      </c>
      <c r="J1" s="211" t="s">
        <v>1147</v>
      </c>
      <c r="K1" s="212"/>
      <c r="L1" s="212"/>
    </row>
    <row r="2" spans="1:12" x14ac:dyDescent="0.2">
      <c r="A2" s="226" t="str">
        <f>'2010 GHG'!A3</f>
        <v>commuter rail</v>
      </c>
      <c r="B2" s="213" t="str">
        <f>'2010 GHG'!B3</f>
        <v>commuter rail</v>
      </c>
      <c r="C2" s="213" t="str">
        <f>'2010 GHG'!C3</f>
        <v>TRP</v>
      </c>
      <c r="D2" s="213" t="str">
        <f>'2010 GHG'!D3</f>
        <v>transportation</v>
      </c>
      <c r="E2" s="213" t="str">
        <f>'2010 GHG'!E3</f>
        <v>Diesel</v>
      </c>
      <c r="F2" s="213" t="str">
        <f>'2010 GHG'!F3</f>
        <v>liters</v>
      </c>
      <c r="G2" s="214">
        <f>'2010 GHG'!G3</f>
        <v>5064028</v>
      </c>
      <c r="H2" s="214">
        <f>'2010 GHG'!H3</f>
        <v>13789</v>
      </c>
      <c r="I2" s="214">
        <f>'2010 GHG'!I3</f>
        <v>195751</v>
      </c>
      <c r="J2" s="215">
        <f>I2*0.000001</f>
        <v>0.19575099999999998</v>
      </c>
    </row>
    <row r="3" spans="1:12" x14ac:dyDescent="0.2">
      <c r="A3" s="226" t="str">
        <f>'2010 GHG'!A11</f>
        <v>subway and commuter rail</v>
      </c>
      <c r="B3" s="213" t="str">
        <f>'2010 GHG'!B11</f>
        <v>subway and commuter rail</v>
      </c>
      <c r="C3" s="213" t="str">
        <f>'2010 GHG'!C11</f>
        <v>TRP</v>
      </c>
      <c r="D3" s="213" t="str">
        <f>'2010 GHG'!D11</f>
        <v>transportation</v>
      </c>
      <c r="E3" s="213" t="str">
        <f>'2010 GHG'!E11</f>
        <v>Electricity</v>
      </c>
      <c r="F3" s="213" t="str">
        <f>'2010 GHG'!F11</f>
        <v>GJ</v>
      </c>
      <c r="G3" s="214">
        <f>'2010 GHG'!G11</f>
        <v>10118346</v>
      </c>
      <c r="H3" s="214">
        <f>'2010 GHG'!H11</f>
        <v>889291</v>
      </c>
      <c r="I3" s="214">
        <f>'2010 GHG'!I11</f>
        <v>25432916</v>
      </c>
      <c r="J3" s="215">
        <f>I3*0.000001</f>
        <v>25.432915999999999</v>
      </c>
    </row>
    <row r="4" spans="1:12" x14ac:dyDescent="0.2">
      <c r="J4" s="215"/>
    </row>
    <row r="5" spans="1:12" x14ac:dyDescent="0.2">
      <c r="F5" s="213" t="s">
        <v>1224</v>
      </c>
      <c r="G5" s="213" t="s">
        <v>1225</v>
      </c>
    </row>
    <row r="6" spans="1:12" x14ac:dyDescent="0.2">
      <c r="A6" s="226" t="str">
        <f>TechData!B28</f>
        <v>TPDSLCR</v>
      </c>
      <c r="B6" s="213" t="str">
        <f>TechData!C28</f>
        <v>Commuter Rail, Diesel</v>
      </c>
      <c r="C6" s="213" t="s">
        <v>478</v>
      </c>
      <c r="D6" s="213" t="str">
        <f>TechData!E28</f>
        <v>TRNDSL</v>
      </c>
      <c r="E6" s="213" t="str">
        <f>NewTech!F137</f>
        <v>THL</v>
      </c>
      <c r="F6" s="213">
        <f>TechData!L28</f>
        <v>0.63495881767725038</v>
      </c>
      <c r="G6" s="213">
        <f>F6*J2</f>
        <v>0.12429382351913942</v>
      </c>
      <c r="H6" s="216">
        <f>G6/(G6+G7)</f>
        <v>4.2418397246717816E-3</v>
      </c>
    </row>
    <row r="7" spans="1:12" x14ac:dyDescent="0.2">
      <c r="A7" s="226" t="str">
        <f>TechData!B29</f>
        <v>TPELCSUB</v>
      </c>
      <c r="B7" s="213" t="str">
        <f>TechData!C29</f>
        <v>Subways and Streetcars, Electricity</v>
      </c>
      <c r="C7" s="213" t="s">
        <v>478</v>
      </c>
      <c r="D7" s="213" t="str">
        <f>TechData!E29</f>
        <v>TRNELC</v>
      </c>
      <c r="E7" s="213" t="str">
        <f>NewTech!F139</f>
        <v>THL</v>
      </c>
      <c r="F7" s="213">
        <f>TechData!L29</f>
        <v>1.147236643778262</v>
      </c>
      <c r="G7" s="213">
        <f>F7*J3</f>
        <v>29.177573193334457</v>
      </c>
      <c r="H7" s="216">
        <f>1-H6</f>
        <v>0.99575816027532826</v>
      </c>
      <c r="I7" s="216"/>
    </row>
    <row r="9" spans="1:12" x14ac:dyDescent="0.2">
      <c r="G9" s="213">
        <f>G6+G7</f>
        <v>29.301867016853596</v>
      </c>
    </row>
    <row r="11" spans="1:12" s="228" customFormat="1" x14ac:dyDescent="0.2">
      <c r="A11" s="227" t="s">
        <v>1129</v>
      </c>
      <c r="B11" s="217">
        <v>2010</v>
      </c>
      <c r="C11" s="217">
        <v>2015</v>
      </c>
      <c r="D11" s="217">
        <v>2020</v>
      </c>
      <c r="E11" s="217">
        <v>2025</v>
      </c>
      <c r="F11" s="217">
        <v>2030</v>
      </c>
      <c r="G11" s="217">
        <v>2035</v>
      </c>
      <c r="H11" s="217">
        <v>2040</v>
      </c>
      <c r="I11" s="217">
        <v>2045</v>
      </c>
      <c r="J11" s="217">
        <v>2050</v>
      </c>
      <c r="K11" s="217">
        <v>2055</v>
      </c>
      <c r="L11" s="218"/>
    </row>
    <row r="12" spans="1:12" x14ac:dyDescent="0.2">
      <c r="A12" s="226" t="s">
        <v>701</v>
      </c>
      <c r="B12" s="213">
        <v>1385108</v>
      </c>
      <c r="C12" s="213">
        <v>1455444</v>
      </c>
      <c r="D12" s="213">
        <v>1446788</v>
      </c>
      <c r="E12" s="213">
        <v>1482893</v>
      </c>
      <c r="F12" s="213">
        <v>1518998</v>
      </c>
      <c r="G12" s="213">
        <v>1549121.5</v>
      </c>
      <c r="H12" s="213">
        <v>1579245</v>
      </c>
      <c r="I12" s="213">
        <v>1625954.9772727266</v>
      </c>
      <c r="J12" s="213">
        <v>1660587.6071428563</v>
      </c>
      <c r="K12" s="213">
        <v>1695220.2370129861</v>
      </c>
    </row>
    <row r="13" spans="1:12" x14ac:dyDescent="0.2">
      <c r="A13" s="226" t="s">
        <v>705</v>
      </c>
      <c r="B13" s="213">
        <v>2552911</v>
      </c>
      <c r="C13" s="213">
        <v>2636735</v>
      </c>
      <c r="D13" s="213">
        <v>2648452</v>
      </c>
      <c r="E13" s="213">
        <v>2701230.5</v>
      </c>
      <c r="F13" s="213">
        <v>2754009</v>
      </c>
      <c r="G13" s="213">
        <v>2797267</v>
      </c>
      <c r="H13" s="213">
        <v>2840525</v>
      </c>
      <c r="I13" s="213">
        <v>2908244.5075757541</v>
      </c>
      <c r="J13" s="213">
        <v>2959463.6785714254</v>
      </c>
      <c r="K13" s="213">
        <v>3010682.8495670967</v>
      </c>
    </row>
    <row r="14" spans="1:12" x14ac:dyDescent="0.2">
      <c r="A14" s="226" t="s">
        <v>702</v>
      </c>
      <c r="B14" s="213">
        <v>1585873</v>
      </c>
      <c r="C14" s="213">
        <v>1644518</v>
      </c>
      <c r="D14" s="213">
        <v>1638281</v>
      </c>
      <c r="E14" s="213">
        <v>1657500.5</v>
      </c>
      <c r="F14" s="213">
        <v>1676720</v>
      </c>
      <c r="G14" s="213">
        <v>1684168.5</v>
      </c>
      <c r="H14" s="213">
        <v>1691617</v>
      </c>
      <c r="I14" s="213">
        <v>1733166.166666667</v>
      </c>
      <c r="J14" s="213">
        <v>1753311.5714285718</v>
      </c>
      <c r="K14" s="213">
        <v>1773456.9761904767</v>
      </c>
    </row>
    <row r="15" spans="1:12" x14ac:dyDescent="0.2">
      <c r="A15" s="226" t="s">
        <v>704</v>
      </c>
      <c r="B15" s="213">
        <v>2250002</v>
      </c>
      <c r="C15" s="213">
        <v>2339150</v>
      </c>
      <c r="D15" s="213">
        <v>2330295</v>
      </c>
      <c r="E15" s="213">
        <v>2351923</v>
      </c>
      <c r="F15" s="213">
        <v>2373551</v>
      </c>
      <c r="G15" s="213">
        <v>2393100</v>
      </c>
      <c r="H15" s="213">
        <v>2412649</v>
      </c>
      <c r="I15" s="213">
        <v>2496538.7575757559</v>
      </c>
      <c r="J15" s="213">
        <v>2533665.5714285709</v>
      </c>
      <c r="K15" s="213">
        <v>2570792.385281384</v>
      </c>
    </row>
    <row r="16" spans="1:12" x14ac:dyDescent="0.2">
      <c r="A16" s="226" t="s">
        <v>703</v>
      </c>
      <c r="B16" s="213">
        <v>468730</v>
      </c>
      <c r="C16" s="213">
        <v>474558</v>
      </c>
      <c r="D16" s="213">
        <v>487155</v>
      </c>
      <c r="E16" s="213">
        <v>492452</v>
      </c>
      <c r="F16" s="213">
        <v>497749</v>
      </c>
      <c r="G16" s="213">
        <v>499429</v>
      </c>
      <c r="H16" s="213">
        <v>501109</v>
      </c>
      <c r="I16" s="213">
        <v>528935.80303030275</v>
      </c>
      <c r="J16" s="213">
        <v>539243.35714285728</v>
      </c>
      <c r="K16" s="213">
        <v>549550.9112554118</v>
      </c>
    </row>
    <row r="17" spans="1:12" x14ac:dyDescent="0.2">
      <c r="A17" s="226" t="s">
        <v>696</v>
      </c>
      <c r="B17" s="213">
        <f>SUM(B12:B16)</f>
        <v>8242624</v>
      </c>
      <c r="C17" s="213">
        <f t="shared" ref="C17:K17" si="0">SUM(C12:C16)</f>
        <v>8550405</v>
      </c>
      <c r="D17" s="213">
        <f t="shared" si="0"/>
        <v>8550971</v>
      </c>
      <c r="E17" s="213">
        <f t="shared" si="0"/>
        <v>8685999</v>
      </c>
      <c r="F17" s="213">
        <f t="shared" si="0"/>
        <v>8821027</v>
      </c>
      <c r="G17" s="213">
        <f t="shared" si="0"/>
        <v>8923086</v>
      </c>
      <c r="H17" s="213">
        <f t="shared" si="0"/>
        <v>9025145</v>
      </c>
      <c r="I17" s="213">
        <f t="shared" si="0"/>
        <v>9292840.2121212054</v>
      </c>
      <c r="J17" s="213">
        <f t="shared" si="0"/>
        <v>9446271.7857142836</v>
      </c>
      <c r="K17" s="213">
        <f t="shared" si="0"/>
        <v>9599703.3593073562</v>
      </c>
    </row>
    <row r="18" spans="1:12" x14ac:dyDescent="0.2">
      <c r="A18" s="226" t="s">
        <v>1226</v>
      </c>
      <c r="B18" s="219">
        <f>G9</f>
        <v>29.301867016853596</v>
      </c>
      <c r="C18" s="219">
        <f>B18*C17/B17</f>
        <v>30.396003778680193</v>
      </c>
      <c r="D18" s="219">
        <f t="shared" ref="D18:K18" si="1">C18*D17/C17</f>
        <v>30.398015863270189</v>
      </c>
      <c r="E18" s="219">
        <f t="shared" si="1"/>
        <v>30.878029570015968</v>
      </c>
      <c r="F18" s="219">
        <f t="shared" si="1"/>
        <v>31.358043276761748</v>
      </c>
      <c r="G18" s="219">
        <f t="shared" si="1"/>
        <v>31.72085483360009</v>
      </c>
      <c r="H18" s="219">
        <f t="shared" si="1"/>
        <v>32.083666390438431</v>
      </c>
      <c r="I18" s="219">
        <f t="shared" si="1"/>
        <v>33.035301392426142</v>
      </c>
      <c r="J18" s="219">
        <f t="shared" si="1"/>
        <v>33.580738326782352</v>
      </c>
      <c r="K18" s="219">
        <f t="shared" si="1"/>
        <v>34.126175261138549</v>
      </c>
      <c r="L18" s="219"/>
    </row>
    <row r="20" spans="1:12" s="228" customFormat="1" x14ac:dyDescent="0.2">
      <c r="A20" s="228" t="s">
        <v>1227</v>
      </c>
      <c r="B20" s="217">
        <v>2010</v>
      </c>
      <c r="C20" s="217">
        <v>2015</v>
      </c>
      <c r="D20" s="217">
        <v>2020</v>
      </c>
      <c r="E20" s="217">
        <v>2025</v>
      </c>
      <c r="F20" s="217">
        <v>2030</v>
      </c>
      <c r="G20" s="217">
        <v>2035</v>
      </c>
      <c r="H20" s="217">
        <v>2040</v>
      </c>
      <c r="I20" s="217">
        <v>2045</v>
      </c>
      <c r="J20" s="217">
        <v>2050</v>
      </c>
      <c r="K20" s="217">
        <v>2055</v>
      </c>
      <c r="L20" s="218"/>
    </row>
    <row r="21" spans="1:12" x14ac:dyDescent="0.2">
      <c r="A21" s="226" t="s">
        <v>701</v>
      </c>
      <c r="B21" s="219">
        <f>$B$18*B12/$B$17</f>
        <v>4.9239478132182235</v>
      </c>
      <c r="C21" s="219">
        <f>$C$18*C12/$C$17</f>
        <v>5.1739866501829344</v>
      </c>
      <c r="D21" s="219">
        <f>$D$18*D12/$D$17</f>
        <v>5.1432152646511078</v>
      </c>
      <c r="E21" s="219">
        <f>$E$18*E12/$E$17</f>
        <v>5.2715656429582474</v>
      </c>
      <c r="F21" s="219">
        <f>$F$18*F12/$F$17</f>
        <v>5.3999160212653852</v>
      </c>
      <c r="G21" s="219">
        <f>$G$18*G12/$G$17</f>
        <v>5.5070026469663995</v>
      </c>
      <c r="H21" s="219">
        <f>$H$18*H12/$H$17</f>
        <v>5.614089272667413</v>
      </c>
      <c r="I21" s="219">
        <f>$I$18*I12/$I$17</f>
        <v>5.7801394943450832</v>
      </c>
      <c r="J21" s="219">
        <f>$J$18*J12/$J$17</f>
        <v>5.9032557149683278</v>
      </c>
      <c r="K21" s="219">
        <f>$K$18*K12/$K$17</f>
        <v>6.0263719355915724</v>
      </c>
    </row>
    <row r="22" spans="1:12" x14ac:dyDescent="0.2">
      <c r="A22" s="226" t="s">
        <v>705</v>
      </c>
      <c r="B22" s="219">
        <f>$B$18*B13/$B$17</f>
        <v>9.0753937857486573</v>
      </c>
      <c r="C22" s="219">
        <f>$C$18*C13/$C$17</f>
        <v>9.3733813805753421</v>
      </c>
      <c r="D22" s="219">
        <f>$D$18*D13/$D$17</f>
        <v>9.4150343755240957</v>
      </c>
      <c r="E22" s="219">
        <f>$E$18*E13/$E$17</f>
        <v>9.6026577086215426</v>
      </c>
      <c r="F22" s="219">
        <f>$F$18*F13/$F$17</f>
        <v>9.7902810417189912</v>
      </c>
      <c r="G22" s="219">
        <f>$G$18*G13/$G$17</f>
        <v>9.9440597611431762</v>
      </c>
      <c r="H22" s="219">
        <f>$H$18*H13/$H$17</f>
        <v>10.097838480567361</v>
      </c>
      <c r="I22" s="219">
        <f>$I$18*I13/$I$17</f>
        <v>10.338575896884247</v>
      </c>
      <c r="J22" s="219">
        <f>$J$18*J13/$J$17</f>
        <v>10.520655940475782</v>
      </c>
      <c r="K22" s="219">
        <f>$K$18*K13/$K$17</f>
        <v>10.702735984067319</v>
      </c>
    </row>
    <row r="23" spans="1:12" x14ac:dyDescent="0.2">
      <c r="A23" s="226" t="s">
        <v>702</v>
      </c>
      <c r="B23" s="219">
        <f>$B$18*B14/$B$17</f>
        <v>5.6376512809050441</v>
      </c>
      <c r="C23" s="219">
        <f>$C$18*C14/$C$17</f>
        <v>5.8461295508350295</v>
      </c>
      <c r="D23" s="219">
        <f>$D$18*D14/$D$17</f>
        <v>5.8239575162275896</v>
      </c>
      <c r="E23" s="219">
        <f>$E$18*E14/$E$17</f>
        <v>5.8922812967531142</v>
      </c>
      <c r="F23" s="219">
        <f>$F$18*F14/$F$17</f>
        <v>5.9606050772786388</v>
      </c>
      <c r="G23" s="219">
        <f>$G$18*G14/$G$17</f>
        <v>5.9870838971878131</v>
      </c>
      <c r="H23" s="219">
        <f>$H$18*H14/$H$17</f>
        <v>6.0135627170969874</v>
      </c>
      <c r="I23" s="219">
        <f>$I$18*I14/$I$17</f>
        <v>6.1612666711203365</v>
      </c>
      <c r="J23" s="219">
        <f>$J$18*J14/$J$17</f>
        <v>6.2328819687893819</v>
      </c>
      <c r="K23" s="219">
        <f>$K$18*K14/$K$17</f>
        <v>6.3044972664584282</v>
      </c>
    </row>
    <row r="24" spans="1:12" x14ac:dyDescent="0.2">
      <c r="A24" s="226" t="s">
        <v>704</v>
      </c>
      <c r="B24" s="219">
        <f>$B$18*B15/$B$17</f>
        <v>7.9985765930430199</v>
      </c>
      <c r="C24" s="219">
        <f>$C$18*C15/$C$17</f>
        <v>8.3154905807268502</v>
      </c>
      <c r="D24" s="219">
        <f>$D$18*D15/$D$17</f>
        <v>8.2840117661607326</v>
      </c>
      <c r="E24" s="219">
        <f>$E$18*E15/$E$17</f>
        <v>8.3608975709530551</v>
      </c>
      <c r="F24" s="219">
        <f>$F$18*F15/$F$17</f>
        <v>8.4377833757453775</v>
      </c>
      <c r="G24" s="219">
        <f>$G$18*G15/$G$17</f>
        <v>8.50727850233522</v>
      </c>
      <c r="H24" s="219">
        <f>$H$18*H15/$H$17</f>
        <v>8.5767736289250625</v>
      </c>
      <c r="I24" s="219">
        <f>$I$18*I15/$I$17</f>
        <v>8.8749949866578532</v>
      </c>
      <c r="J24" s="219">
        <f>$J$18*J15/$J$17</f>
        <v>9.0069778312319428</v>
      </c>
      <c r="K24" s="219">
        <f>$K$18*K15/$K$17</f>
        <v>9.1389606758060253</v>
      </c>
    </row>
    <row r="25" spans="1:12" x14ac:dyDescent="0.2">
      <c r="A25" s="226" t="s">
        <v>703</v>
      </c>
      <c r="B25" s="219">
        <f>$B$18*B16/$B$17</f>
        <v>1.6662975439386518</v>
      </c>
      <c r="C25" s="219">
        <f>$C$18*C16/$C$17</f>
        <v>1.6870156163600338</v>
      </c>
      <c r="D25" s="219">
        <f>$D$18*D16/$D$17</f>
        <v>1.7317969407066625</v>
      </c>
      <c r="E25" s="219">
        <f>$E$18*E16/$E$17</f>
        <v>1.7506273507300085</v>
      </c>
      <c r="F25" s="219">
        <f>$F$18*F16/$F$17</f>
        <v>1.7694577607533548</v>
      </c>
      <c r="G25" s="219">
        <f>$G$18*G16/$G$17</f>
        <v>1.7754300259674802</v>
      </c>
      <c r="H25" s="219">
        <f>$H$18*H16/$H$17</f>
        <v>1.7814022911816056</v>
      </c>
      <c r="I25" s="219">
        <f>$I$18*I16/$I$17</f>
        <v>1.8803243434186248</v>
      </c>
      <c r="J25" s="219">
        <f>$J$18*J16/$J$17</f>
        <v>1.9169668713169121</v>
      </c>
      <c r="K25" s="219">
        <f>$K$18*K16/$K$17</f>
        <v>1.9536093992151997</v>
      </c>
    </row>
    <row r="26" spans="1:12" x14ac:dyDescent="0.2">
      <c r="B26" s="220">
        <f t="shared" ref="B26:K26" si="2">SUM(B21:B25)-B18</f>
        <v>0</v>
      </c>
      <c r="C26" s="220">
        <f t="shared" si="2"/>
        <v>0</v>
      </c>
      <c r="D26" s="220">
        <f t="shared" si="2"/>
        <v>0</v>
      </c>
      <c r="E26" s="220">
        <f t="shared" si="2"/>
        <v>0</v>
      </c>
      <c r="F26" s="220">
        <f t="shared" si="2"/>
        <v>0</v>
      </c>
      <c r="G26" s="220">
        <f t="shared" si="2"/>
        <v>0</v>
      </c>
      <c r="H26" s="220">
        <f t="shared" si="2"/>
        <v>0</v>
      </c>
      <c r="I26" s="220">
        <f t="shared" si="2"/>
        <v>0</v>
      </c>
      <c r="J26" s="220">
        <f t="shared" si="2"/>
        <v>0</v>
      </c>
      <c r="K26" s="220">
        <f t="shared" si="2"/>
        <v>0</v>
      </c>
    </row>
    <row r="28" spans="1:12" s="225" customFormat="1" x14ac:dyDescent="0.2">
      <c r="A28" s="224" t="str">
        <f>A6</f>
        <v>TPDSLCR</v>
      </c>
      <c r="B28" s="211"/>
      <c r="C28" s="230">
        <v>2010</v>
      </c>
      <c r="D28" s="230">
        <v>2015</v>
      </c>
      <c r="E28" s="230">
        <v>2020</v>
      </c>
      <c r="F28" s="230">
        <v>2025</v>
      </c>
      <c r="G28" s="230">
        <v>2030</v>
      </c>
      <c r="H28" s="230">
        <v>2035</v>
      </c>
      <c r="I28" s="230">
        <v>2040</v>
      </c>
      <c r="J28" s="230">
        <v>2045</v>
      </c>
      <c r="K28" s="230">
        <v>2050</v>
      </c>
      <c r="L28" s="230">
        <v>2055</v>
      </c>
    </row>
    <row r="29" spans="1:12" x14ac:dyDescent="0.2">
      <c r="A29" s="229"/>
      <c r="B29" s="221"/>
      <c r="C29" s="222">
        <f>SUM(C30:C34)</f>
        <v>0.12429382351913942</v>
      </c>
      <c r="D29" s="222">
        <f t="shared" ref="D29:L29" si="3">SUM(D30:D34)</f>
        <v>0.12893497629967923</v>
      </c>
      <c r="E29" s="222">
        <f t="shared" si="3"/>
        <v>0.12894351124002246</v>
      </c>
      <c r="F29" s="222">
        <f t="shared" si="3"/>
        <v>0.13097965244968368</v>
      </c>
      <c r="G29" s="222">
        <f t="shared" si="3"/>
        <v>0.13301579365934488</v>
      </c>
      <c r="H29" s="222">
        <f t="shared" si="3"/>
        <v>0.13455478213371175</v>
      </c>
      <c r="I29" s="222">
        <f t="shared" si="3"/>
        <v>0.13609377060807867</v>
      </c>
      <c r="J29" s="222">
        <f t="shared" si="3"/>
        <v>0.14013045376289823</v>
      </c>
      <c r="K29" s="222">
        <f t="shared" si="3"/>
        <v>0.14244410981835356</v>
      </c>
      <c r="L29" s="222">
        <f t="shared" si="3"/>
        <v>0.14475776587380887</v>
      </c>
    </row>
    <row r="30" spans="1:12" x14ac:dyDescent="0.2">
      <c r="A30" s="229" t="s">
        <v>701</v>
      </c>
      <c r="B30" s="221"/>
      <c r="C30" s="223">
        <f>B21*$H$6</f>
        <v>2.088659743631981E-2</v>
      </c>
      <c r="D30" s="223">
        <f t="shared" ref="D30:L30" si="4">C21*$H$6</f>
        <v>2.1947222107667454E-2</v>
      </c>
      <c r="E30" s="223">
        <f t="shared" si="4"/>
        <v>2.1816694822135361E-2</v>
      </c>
      <c r="F30" s="223">
        <f t="shared" si="4"/>
        <v>2.2361136555515235E-2</v>
      </c>
      <c r="G30" s="223">
        <f t="shared" si="4"/>
        <v>2.2905578288895105E-2</v>
      </c>
      <c r="H30" s="223">
        <f t="shared" si="4"/>
        <v>2.3359822591774725E-2</v>
      </c>
      <c r="I30" s="223">
        <f t="shared" si="4"/>
        <v>2.3814066894654342E-2</v>
      </c>
      <c r="J30" s="223">
        <f t="shared" si="4"/>
        <v>2.451842532125724E-2</v>
      </c>
      <c r="K30" s="223">
        <f t="shared" si="4"/>
        <v>2.5040664596648374E-2</v>
      </c>
      <c r="L30" s="223">
        <f t="shared" si="4"/>
        <v>2.5562903872039508E-2</v>
      </c>
    </row>
    <row r="31" spans="1:12" x14ac:dyDescent="0.2">
      <c r="A31" s="229" t="s">
        <v>705</v>
      </c>
      <c r="B31" s="221"/>
      <c r="C31" s="223">
        <f>B22*$H$6</f>
        <v>3.8496365877428079E-2</v>
      </c>
      <c r="D31" s="223">
        <f t="shared" ref="C31:L34" si="5">C22*$H$6</f>
        <v>3.9760381494623312E-2</v>
      </c>
      <c r="E31" s="223">
        <f t="shared" si="5"/>
        <v>3.993706682324849E-2</v>
      </c>
      <c r="F31" s="223">
        <f t="shared" si="5"/>
        <v>4.0732934930856564E-2</v>
      </c>
      <c r="G31" s="223">
        <f t="shared" si="5"/>
        <v>4.1528803038464651E-2</v>
      </c>
      <c r="H31" s="223">
        <f t="shared" si="5"/>
        <v>4.2181107719327315E-2</v>
      </c>
      <c r="I31" s="223">
        <f t="shared" si="5"/>
        <v>4.283341240018998E-2</v>
      </c>
      <c r="J31" s="223">
        <f t="shared" si="5"/>
        <v>4.3854581935937796E-2</v>
      </c>
      <c r="K31" s="223">
        <f t="shared" si="5"/>
        <v>4.4626936297914338E-2</v>
      </c>
      <c r="L31" s="223">
        <f t="shared" si="5"/>
        <v>4.5399290659890887E-2</v>
      </c>
    </row>
    <row r="32" spans="1:12" x14ac:dyDescent="0.2">
      <c r="A32" s="229" t="s">
        <v>702</v>
      </c>
      <c r="B32" s="221"/>
      <c r="C32" s="223">
        <f>B23*$H$6</f>
        <v>2.3914013157189769E-2</v>
      </c>
      <c r="D32" s="223">
        <f t="shared" si="5"/>
        <v>2.4798344564309627E-2</v>
      </c>
      <c r="E32" s="223">
        <f t="shared" si="5"/>
        <v>2.4704294347134993E-2</v>
      </c>
      <c r="F32" s="223">
        <f t="shared" si="5"/>
        <v>2.4994112873507918E-2</v>
      </c>
      <c r="G32" s="223">
        <f t="shared" si="5"/>
        <v>2.5283931399880846E-2</v>
      </c>
      <c r="H32" s="223">
        <f t="shared" si="5"/>
        <v>2.5396250310034011E-2</v>
      </c>
      <c r="I32" s="223">
        <f t="shared" si="5"/>
        <v>2.5508569220187176E-2</v>
      </c>
      <c r="J32" s="223">
        <f t="shared" si="5"/>
        <v>2.6135105719854512E-2</v>
      </c>
      <c r="K32" s="223">
        <f t="shared" si="5"/>
        <v>2.6438886334401265E-2</v>
      </c>
      <c r="L32" s="223">
        <f t="shared" si="5"/>
        <v>2.6742666948948019E-2</v>
      </c>
    </row>
    <row r="33" spans="1:12" x14ac:dyDescent="0.2">
      <c r="A33" s="229" t="s">
        <v>704</v>
      </c>
      <c r="B33" s="221"/>
      <c r="C33" s="223">
        <f t="shared" si="5"/>
        <v>3.3928679933199764E-2</v>
      </c>
      <c r="D33" s="223">
        <f t="shared" si="5"/>
        <v>3.5272978275461178E-2</v>
      </c>
      <c r="E33" s="223">
        <f t="shared" si="5"/>
        <v>3.5139450189349039E-2</v>
      </c>
      <c r="F33" s="223">
        <f t="shared" si="5"/>
        <v>3.5465587450380476E-2</v>
      </c>
      <c r="G33" s="223">
        <f t="shared" si="5"/>
        <v>3.5791724711411906E-2</v>
      </c>
      <c r="H33" s="223">
        <f t="shared" si="5"/>
        <v>3.6086511900051799E-2</v>
      </c>
      <c r="I33" s="223">
        <f t="shared" si="5"/>
        <v>3.6381299088691685E-2</v>
      </c>
      <c r="J33" s="223">
        <f t="shared" si="5"/>
        <v>3.7646306290668188E-2</v>
      </c>
      <c r="K33" s="223">
        <f t="shared" si="5"/>
        <v>3.8206156363757744E-2</v>
      </c>
      <c r="L33" s="223">
        <f t="shared" si="5"/>
        <v>3.8766006436847272E-2</v>
      </c>
    </row>
    <row r="34" spans="1:12" x14ac:dyDescent="0.2">
      <c r="A34" s="229" t="s">
        <v>703</v>
      </c>
      <c r="B34" s="221"/>
      <c r="C34" s="223">
        <f t="shared" si="5"/>
        <v>7.0681671150019968E-3</v>
      </c>
      <c r="D34" s="223">
        <f t="shared" si="5"/>
        <v>7.1560498576176421E-3</v>
      </c>
      <c r="E34" s="223">
        <f t="shared" si="5"/>
        <v>7.3460050581545828E-3</v>
      </c>
      <c r="F34" s="223">
        <f t="shared" si="5"/>
        <v>7.4258806394234701E-3</v>
      </c>
      <c r="G34" s="223">
        <f t="shared" si="5"/>
        <v>7.5057562206923582E-3</v>
      </c>
      <c r="H34" s="223">
        <f t="shared" si="5"/>
        <v>7.5310896125239104E-3</v>
      </c>
      <c r="I34" s="223">
        <f t="shared" si="5"/>
        <v>7.5564230043554627E-3</v>
      </c>
      <c r="J34" s="223">
        <f t="shared" si="5"/>
        <v>7.9760344951805076E-3</v>
      </c>
      <c r="K34" s="223">
        <f t="shared" si="5"/>
        <v>8.1314662256318573E-3</v>
      </c>
      <c r="L34" s="223">
        <f t="shared" si="5"/>
        <v>8.2868979560832071E-3</v>
      </c>
    </row>
    <row r="36" spans="1:12" s="225" customFormat="1" x14ac:dyDescent="0.2">
      <c r="A36" s="224" t="str">
        <f>A7</f>
        <v>TPELCSUB</v>
      </c>
      <c r="B36" s="211"/>
      <c r="C36" s="230">
        <v>2010</v>
      </c>
      <c r="D36" s="230">
        <v>2015</v>
      </c>
      <c r="E36" s="230">
        <v>2020</v>
      </c>
      <c r="F36" s="230">
        <v>2025</v>
      </c>
      <c r="G36" s="230">
        <v>2030</v>
      </c>
      <c r="H36" s="230">
        <v>2035</v>
      </c>
      <c r="I36" s="230">
        <v>2040</v>
      </c>
      <c r="J36" s="230">
        <v>2045</v>
      </c>
      <c r="K36" s="230">
        <v>2050</v>
      </c>
      <c r="L36" s="230">
        <v>2055</v>
      </c>
    </row>
    <row r="37" spans="1:12" x14ac:dyDescent="0.2">
      <c r="A37" s="229"/>
      <c r="B37" s="221"/>
      <c r="C37" s="222">
        <f>SUM(C38:C41)</f>
        <v>27.518343816510807</v>
      </c>
      <c r="D37" s="222">
        <f t="shared" ref="D37:L37" si="6">SUM(D38:D41)</f>
        <v>28.587209235878092</v>
      </c>
      <c r="E37" s="222">
        <f t="shared" si="6"/>
        <v>28.544621416381659</v>
      </c>
      <c r="F37" s="222">
        <f t="shared" si="6"/>
        <v>29.003848447475701</v>
      </c>
      <c r="G37" s="222">
        <f t="shared" si="6"/>
        <v>29.463075478569742</v>
      </c>
      <c r="H37" s="222">
        <f t="shared" si="6"/>
        <v>29.818401115111421</v>
      </c>
      <c r="I37" s="222">
        <f t="shared" si="6"/>
        <v>30.173726751653099</v>
      </c>
      <c r="J37" s="222">
        <f t="shared" si="6"/>
        <v>31.022822629739803</v>
      </c>
      <c r="K37" s="222">
        <f t="shared" si="6"/>
        <v>31.529458811872715</v>
      </c>
      <c r="L37" s="222">
        <f t="shared" si="6"/>
        <v>32.036094994005623</v>
      </c>
    </row>
    <row r="38" spans="1:12" x14ac:dyDescent="0.2">
      <c r="A38" s="229" t="s">
        <v>701</v>
      </c>
      <c r="B38" s="221"/>
      <c r="C38" s="223">
        <f>B21*$H$7</f>
        <v>4.9030612157819036</v>
      </c>
      <c r="D38" s="223">
        <f t="shared" ref="D38:L38" si="7">C21*$H$7</f>
        <v>5.152039428075267</v>
      </c>
      <c r="E38" s="223">
        <f t="shared" si="7"/>
        <v>5.1213985698289726</v>
      </c>
      <c r="F38" s="223">
        <f t="shared" si="7"/>
        <v>5.249204506402732</v>
      </c>
      <c r="G38" s="223">
        <f t="shared" si="7"/>
        <v>5.3770104429764904</v>
      </c>
      <c r="H38" s="223">
        <f t="shared" si="7"/>
        <v>5.4836428243746251</v>
      </c>
      <c r="I38" s="223">
        <f t="shared" si="7"/>
        <v>5.5902752057727589</v>
      </c>
      <c r="J38" s="223">
        <f t="shared" si="7"/>
        <v>5.7556210690238263</v>
      </c>
      <c r="K38" s="223">
        <f t="shared" si="7"/>
        <v>5.8782150503716801</v>
      </c>
      <c r="L38" s="223">
        <f t="shared" si="7"/>
        <v>6.0008090317195331</v>
      </c>
    </row>
    <row r="39" spans="1:12" x14ac:dyDescent="0.2">
      <c r="A39" s="229" t="s">
        <v>705</v>
      </c>
      <c r="B39" s="221"/>
      <c r="C39" s="223">
        <f>B22*$H$7</f>
        <v>9.0368974198712291</v>
      </c>
      <c r="D39" s="223">
        <f t="shared" ref="D39:L42" si="8">C22*$H$7</f>
        <v>9.3336209990807184</v>
      </c>
      <c r="E39" s="223">
        <f t="shared" si="8"/>
        <v>9.3750973087008482</v>
      </c>
      <c r="F39" s="223">
        <f t="shared" si="8"/>
        <v>9.5619247736906861</v>
      </c>
      <c r="G39" s="223">
        <f t="shared" si="8"/>
        <v>9.7487522386805274</v>
      </c>
      <c r="H39" s="223">
        <f t="shared" si="8"/>
        <v>9.9018786534238501</v>
      </c>
      <c r="I39" s="223">
        <f t="shared" si="8"/>
        <v>10.055005068167171</v>
      </c>
      <c r="J39" s="223">
        <f t="shared" si="8"/>
        <v>10.29472131494831</v>
      </c>
      <c r="K39" s="223">
        <f t="shared" si="8"/>
        <v>10.476029004177869</v>
      </c>
      <c r="L39" s="223">
        <f t="shared" si="8"/>
        <v>10.657336693407428</v>
      </c>
    </row>
    <row r="40" spans="1:12" x14ac:dyDescent="0.2">
      <c r="A40" s="229" t="s">
        <v>702</v>
      </c>
      <c r="B40" s="221"/>
      <c r="C40" s="223">
        <f>B23*$H$7</f>
        <v>5.6137372677478545</v>
      </c>
      <c r="D40" s="223">
        <f t="shared" si="8"/>
        <v>5.8213312062707203</v>
      </c>
      <c r="E40" s="223">
        <f t="shared" si="8"/>
        <v>5.7992532218804547</v>
      </c>
      <c r="F40" s="223">
        <f t="shared" si="8"/>
        <v>5.8672871838796068</v>
      </c>
      <c r="G40" s="223">
        <f t="shared" si="8"/>
        <v>5.935321145878758</v>
      </c>
      <c r="H40" s="223">
        <f t="shared" si="8"/>
        <v>5.9616876468777793</v>
      </c>
      <c r="I40" s="223">
        <f t="shared" si="8"/>
        <v>5.9880541478768006</v>
      </c>
      <c r="J40" s="223">
        <f t="shared" si="8"/>
        <v>6.1351315654004823</v>
      </c>
      <c r="K40" s="223">
        <f t="shared" si="8"/>
        <v>6.2064430824549808</v>
      </c>
      <c r="L40" s="223">
        <f t="shared" si="8"/>
        <v>6.2777545995094801</v>
      </c>
    </row>
    <row r="41" spans="1:12" x14ac:dyDescent="0.2">
      <c r="A41" s="229" t="s">
        <v>704</v>
      </c>
      <c r="B41" s="221"/>
      <c r="C41" s="223">
        <f>B24*$H$7</f>
        <v>7.9646479131098209</v>
      </c>
      <c r="D41" s="223">
        <f t="shared" si="8"/>
        <v>8.2802176024513887</v>
      </c>
      <c r="E41" s="223">
        <f t="shared" si="8"/>
        <v>8.2488723159713846</v>
      </c>
      <c r="F41" s="223">
        <f t="shared" si="8"/>
        <v>8.3254319835026749</v>
      </c>
      <c r="G41" s="223">
        <f t="shared" si="8"/>
        <v>8.4019916510339652</v>
      </c>
      <c r="H41" s="223">
        <f t="shared" si="8"/>
        <v>8.4711919904351678</v>
      </c>
      <c r="I41" s="223">
        <f t="shared" si="8"/>
        <v>8.5403923298363704</v>
      </c>
      <c r="J41" s="223">
        <f t="shared" si="8"/>
        <v>8.8373486803671852</v>
      </c>
      <c r="K41" s="223">
        <f t="shared" si="8"/>
        <v>8.9687716748681847</v>
      </c>
      <c r="L41" s="223">
        <f t="shared" si="8"/>
        <v>9.1001946693691789</v>
      </c>
    </row>
    <row r="42" spans="1:12" x14ac:dyDescent="0.2">
      <c r="A42" s="229" t="s">
        <v>703</v>
      </c>
      <c r="B42" s="221"/>
      <c r="C42" s="223">
        <f>B25*$H$7</f>
        <v>1.6592293768236499</v>
      </c>
      <c r="D42" s="223">
        <f t="shared" si="8"/>
        <v>1.6798595665024163</v>
      </c>
      <c r="E42" s="223">
        <f t="shared" si="8"/>
        <v>1.724450935648508</v>
      </c>
      <c r="F42" s="223">
        <f t="shared" si="8"/>
        <v>1.7432014700905851</v>
      </c>
      <c r="G42" s="223">
        <f t="shared" si="8"/>
        <v>1.7619520045326624</v>
      </c>
      <c r="H42" s="223">
        <f t="shared" si="8"/>
        <v>1.7678989363549564</v>
      </c>
      <c r="I42" s="223">
        <f t="shared" si="8"/>
        <v>1.7738458681772502</v>
      </c>
      <c r="J42" s="223">
        <f t="shared" si="8"/>
        <v>1.8723483089234443</v>
      </c>
      <c r="K42" s="223">
        <f t="shared" si="8"/>
        <v>1.9088354050912804</v>
      </c>
      <c r="L42" s="223">
        <f t="shared" si="8"/>
        <v>1.9453225012591167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602FF-1F6A-4386-A5E2-74574EAAA110}">
  <dimension ref="A1"/>
  <sheetViews>
    <sheetView workbookViewId="0"/>
  </sheetViews>
  <sheetFormatPr defaultRowHeight="12.7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6736-6783-4E89-82E6-64AD29052253}">
  <sheetPr>
    <tabColor rgb="FFFFC000"/>
  </sheetPr>
  <dimension ref="A1:AZ162"/>
  <sheetViews>
    <sheetView showFormulas="1" topLeftCell="A124" workbookViewId="0">
      <selection activeCell="F137" sqref="F137"/>
    </sheetView>
  </sheetViews>
  <sheetFormatPr defaultRowHeight="12.75" x14ac:dyDescent="0.2"/>
  <cols>
    <col min="1" max="1" width="20.28515625" bestFit="1" customWidth="1"/>
    <col min="2" max="2" width="17.85546875" bestFit="1" customWidth="1"/>
    <col min="3" max="3" width="44.5703125" bestFit="1" customWidth="1"/>
    <col min="5" max="5" width="9.28515625" bestFit="1" customWidth="1"/>
  </cols>
  <sheetData>
    <row r="1" spans="1:52" s="685" customFormat="1" ht="12" customHeight="1" x14ac:dyDescent="0.2">
      <c r="A1" s="684" t="s">
        <v>473</v>
      </c>
      <c r="B1" s="685" t="s">
        <v>7</v>
      </c>
      <c r="D1" s="686"/>
      <c r="E1" s="686"/>
      <c r="F1" s="686"/>
      <c r="AJ1" s="684"/>
      <c r="AK1" s="684"/>
      <c r="AL1" s="684"/>
      <c r="AM1" s="684"/>
      <c r="AN1" s="684"/>
    </row>
    <row r="2" spans="1:52" s="685" customFormat="1" ht="12" customHeight="1" x14ac:dyDescent="0.2">
      <c r="D2" s="686"/>
      <c r="E2" s="686"/>
      <c r="F2" s="686"/>
    </row>
    <row r="3" spans="1:52" s="685" customFormat="1" ht="12" customHeight="1" x14ac:dyDescent="0.2">
      <c r="D3" s="686"/>
      <c r="E3" s="686"/>
      <c r="F3" s="686"/>
    </row>
    <row r="4" spans="1:52" s="685" customFormat="1" ht="19.5" customHeight="1" x14ac:dyDescent="0.2">
      <c r="D4" s="686"/>
      <c r="E4" s="686"/>
      <c r="F4" s="686"/>
    </row>
    <row r="5" spans="1:52" s="685" customFormat="1" ht="12" customHeight="1" x14ac:dyDescent="0.2">
      <c r="D5" s="686"/>
      <c r="E5" s="686"/>
      <c r="F5" s="681"/>
    </row>
    <row r="6" spans="1:52" s="685" customFormat="1" ht="12" customHeight="1" x14ac:dyDescent="0.2">
      <c r="A6" s="691" t="s">
        <v>683</v>
      </c>
      <c r="B6" s="691" t="s">
        <v>158</v>
      </c>
      <c r="C6" s="691" t="s">
        <v>1721</v>
      </c>
      <c r="D6" s="691" t="s">
        <v>1678</v>
      </c>
      <c r="E6" s="691" t="s">
        <v>168</v>
      </c>
      <c r="F6" s="691" t="s">
        <v>169</v>
      </c>
      <c r="G6" s="691" t="s">
        <v>1719</v>
      </c>
      <c r="H6" s="691" t="s">
        <v>1679</v>
      </c>
      <c r="I6" s="691" t="s">
        <v>1680</v>
      </c>
      <c r="J6" s="691" t="s">
        <v>1681</v>
      </c>
      <c r="K6" s="691" t="s">
        <v>475</v>
      </c>
      <c r="L6" s="691" t="s">
        <v>1682</v>
      </c>
      <c r="M6" s="691" t="s">
        <v>1683</v>
      </c>
      <c r="N6" s="691" t="s">
        <v>1684</v>
      </c>
      <c r="O6" s="691" t="s">
        <v>1685</v>
      </c>
      <c r="P6" s="691" t="s">
        <v>1686</v>
      </c>
      <c r="Q6" s="691" t="s">
        <v>1687</v>
      </c>
      <c r="R6" s="691" t="s">
        <v>1688</v>
      </c>
      <c r="S6" s="691" t="s">
        <v>1689</v>
      </c>
      <c r="T6" s="691" t="s">
        <v>1690</v>
      </c>
      <c r="U6" s="691" t="s">
        <v>1691</v>
      </c>
      <c r="V6" s="691" t="s">
        <v>1692</v>
      </c>
      <c r="W6" s="691" t="s">
        <v>1693</v>
      </c>
      <c r="X6" s="691" t="s">
        <v>1694</v>
      </c>
      <c r="Y6" s="691" t="s">
        <v>1695</v>
      </c>
      <c r="Z6" s="691" t="s">
        <v>1696</v>
      </c>
      <c r="AA6" s="691" t="s">
        <v>1697</v>
      </c>
      <c r="AB6" s="691" t="s">
        <v>1698</v>
      </c>
      <c r="AC6" s="691" t="s">
        <v>1699</v>
      </c>
      <c r="AD6" s="691" t="s">
        <v>1700</v>
      </c>
      <c r="AE6" s="691" t="s">
        <v>1701</v>
      </c>
      <c r="AF6" s="691" t="s">
        <v>1702</v>
      </c>
      <c r="AG6" s="691" t="s">
        <v>1703</v>
      </c>
      <c r="AH6" s="691" t="s">
        <v>1704</v>
      </c>
      <c r="AI6" s="691" t="s">
        <v>1705</v>
      </c>
      <c r="AJ6" s="691" t="s">
        <v>1706</v>
      </c>
      <c r="AK6" s="691" t="s">
        <v>1707</v>
      </c>
      <c r="AL6" s="691" t="s">
        <v>1708</v>
      </c>
      <c r="AM6" s="691" t="s">
        <v>1709</v>
      </c>
      <c r="AN6" s="691" t="s">
        <v>1710</v>
      </c>
      <c r="AO6" s="691" t="s">
        <v>1711</v>
      </c>
      <c r="AP6" s="691" t="s">
        <v>1712</v>
      </c>
      <c r="AQ6" s="691" t="s">
        <v>1713</v>
      </c>
      <c r="AR6" s="691" t="s">
        <v>1714</v>
      </c>
      <c r="AS6" s="691" t="s">
        <v>1715</v>
      </c>
      <c r="AT6" s="691" t="s">
        <v>1716</v>
      </c>
      <c r="AU6" s="691" t="s">
        <v>1717</v>
      </c>
      <c r="AV6" s="691" t="s">
        <v>1718</v>
      </c>
      <c r="AZ6" s="691" t="s">
        <v>1680</v>
      </c>
    </row>
    <row r="7" spans="1:52" s="685" customFormat="1" ht="12" customHeight="1" x14ac:dyDescent="0.2">
      <c r="A7" s="699" t="s">
        <v>1720</v>
      </c>
      <c r="B7" s="668"/>
      <c r="C7" s="668"/>
      <c r="D7" s="668"/>
      <c r="E7" s="668"/>
      <c r="F7" s="668"/>
      <c r="G7" s="700"/>
      <c r="H7" s="701"/>
      <c r="I7" s="701"/>
      <c r="J7" s="701"/>
      <c r="K7" s="701"/>
      <c r="L7" s="701"/>
      <c r="M7" s="701"/>
      <c r="N7" s="701"/>
      <c r="O7" s="701"/>
      <c r="P7" s="701"/>
      <c r="Q7" s="701"/>
      <c r="R7" s="701"/>
      <c r="S7" s="701"/>
      <c r="T7" s="701"/>
      <c r="U7" s="701"/>
      <c r="V7" s="701"/>
      <c r="W7" s="701"/>
      <c r="X7" s="701"/>
      <c r="Y7" s="701"/>
      <c r="Z7" s="701"/>
      <c r="AA7" s="701"/>
      <c r="AB7" s="701"/>
      <c r="AC7" s="701"/>
      <c r="AD7" s="701"/>
      <c r="AE7" s="701"/>
      <c r="AF7" s="701"/>
      <c r="AG7" s="701"/>
      <c r="AH7" s="701"/>
      <c r="AI7" s="701"/>
      <c r="AJ7" s="701"/>
      <c r="AK7" s="701"/>
      <c r="AL7" s="701"/>
      <c r="AM7" s="702"/>
      <c r="AN7" s="702"/>
      <c r="AO7" s="702"/>
      <c r="AP7" s="702"/>
      <c r="AQ7" s="702"/>
      <c r="AR7" s="702"/>
      <c r="AS7" s="702"/>
      <c r="AT7" s="702"/>
      <c r="AU7" s="702"/>
      <c r="AV7" s="702"/>
    </row>
    <row r="8" spans="1:52" s="685" customFormat="1" ht="12" customHeight="1" x14ac:dyDescent="0.2">
      <c r="A8" s="666" t="str">
        <f>Technologies!B49</f>
        <v>R2,R3,R4,R5,R6</v>
      </c>
      <c r="B8" s="666" t="str">
        <f>Technologies!C49</f>
        <v>TAJ10</v>
      </c>
      <c r="C8" s="666" t="str">
        <f>Technologies!D49</f>
        <v>Air Jet, Passenger 2010</v>
      </c>
      <c r="D8" s="666" t="s">
        <v>478</v>
      </c>
      <c r="E8" s="666" t="str">
        <f>Commodities!C31</f>
        <v>TRNJTF1</v>
      </c>
      <c r="F8" s="666" t="s">
        <v>89</v>
      </c>
      <c r="G8" s="692">
        <v>1</v>
      </c>
      <c r="H8" s="695">
        <f>'Air&amp;Marine'!F7</f>
        <v>2010</v>
      </c>
      <c r="I8" s="692">
        <f t="shared" ref="I8:I15" si="0">AZ8+5</f>
        <v>30</v>
      </c>
      <c r="J8" s="692">
        <v>0.18</v>
      </c>
      <c r="K8" s="693">
        <f>'Air&amp;Marine'!J7</f>
        <v>0.451476368560703</v>
      </c>
      <c r="L8" s="693"/>
      <c r="M8" s="693"/>
      <c r="N8" s="693"/>
      <c r="O8" s="693"/>
      <c r="P8" s="693"/>
      <c r="Q8" s="693"/>
      <c r="R8" s="693"/>
      <c r="S8" s="693"/>
      <c r="T8" s="693"/>
      <c r="U8" s="693"/>
      <c r="V8" s="694">
        <f>'Air&amp;Marine'!H7</f>
        <v>814.53238577880768</v>
      </c>
      <c r="W8" s="694">
        <f t="shared" ref="W8:AE8" si="1">V8</f>
        <v>814.53238577880768</v>
      </c>
      <c r="X8" s="694">
        <f t="shared" si="1"/>
        <v>814.53238577880768</v>
      </c>
      <c r="Y8" s="694">
        <f t="shared" si="1"/>
        <v>814.53238577880768</v>
      </c>
      <c r="Z8" s="694">
        <f t="shared" si="1"/>
        <v>814.53238577880768</v>
      </c>
      <c r="AA8" s="694">
        <f t="shared" si="1"/>
        <v>814.53238577880768</v>
      </c>
      <c r="AB8" s="694">
        <f t="shared" si="1"/>
        <v>814.53238577880768</v>
      </c>
      <c r="AC8" s="694">
        <f t="shared" si="1"/>
        <v>814.53238577880768</v>
      </c>
      <c r="AD8" s="694">
        <f t="shared" si="1"/>
        <v>814.53238577880768</v>
      </c>
      <c r="AE8" s="694">
        <f t="shared" si="1"/>
        <v>814.53238577880768</v>
      </c>
      <c r="AF8" s="694">
        <f>'Air&amp;Marine'!I7</f>
        <v>7.4625760131172711</v>
      </c>
      <c r="AG8" s="692"/>
      <c r="AH8" s="692"/>
      <c r="AI8" s="692"/>
      <c r="AJ8" s="692"/>
      <c r="AK8" s="692"/>
      <c r="AL8" s="692">
        <v>1</v>
      </c>
      <c r="AM8" s="695">
        <v>0</v>
      </c>
      <c r="AN8" s="695">
        <v>0</v>
      </c>
      <c r="AO8" s="695"/>
      <c r="AP8" s="695"/>
      <c r="AQ8" s="695"/>
      <c r="AR8" s="695"/>
      <c r="AS8" s="695"/>
      <c r="AT8" s="695"/>
      <c r="AU8" s="695"/>
      <c r="AV8" s="695"/>
      <c r="AZ8" s="689">
        <f>'Air&amp;Marine'!G7</f>
        <v>25</v>
      </c>
    </row>
    <row r="9" spans="1:52" s="685" customFormat="1" ht="12" customHeight="1" x14ac:dyDescent="0.2">
      <c r="A9" s="666" t="str">
        <f>Technologies!B50</f>
        <v>R2,R3,R4,R5,R6</v>
      </c>
      <c r="B9" s="666" t="str">
        <f>Technologies!C50</f>
        <v>TAJSYN10</v>
      </c>
      <c r="C9" s="666" t="str">
        <f>Technologies!D50</f>
        <v>Air Jet, Passenger, Syn fuel, 2010</v>
      </c>
      <c r="D9" s="666" t="s">
        <v>478</v>
      </c>
      <c r="E9" s="666" t="str">
        <f>Commodities!C31</f>
        <v>TRNJTF1</v>
      </c>
      <c r="F9" s="666" t="s">
        <v>89</v>
      </c>
      <c r="G9" s="692">
        <v>1</v>
      </c>
      <c r="H9" s="695">
        <f>'Air&amp;Marine'!F8</f>
        <v>2010</v>
      </c>
      <c r="I9" s="692">
        <f t="shared" si="0"/>
        <v>30</v>
      </c>
      <c r="J9" s="692"/>
      <c r="K9" s="693">
        <f>'Air&amp;Marine'!J8</f>
        <v>0.42712996079536708</v>
      </c>
      <c r="L9" s="693"/>
      <c r="M9" s="693"/>
      <c r="N9" s="693"/>
      <c r="O9" s="693"/>
      <c r="P9" s="693"/>
      <c r="Q9" s="693"/>
      <c r="R9" s="693"/>
      <c r="S9" s="693"/>
      <c r="T9" s="693"/>
      <c r="U9" s="693"/>
      <c r="V9" s="694">
        <f>'Air&amp;Marine'!H8</f>
        <v>814.53238577880768</v>
      </c>
      <c r="W9" s="694">
        <f t="shared" ref="W9:AE9" si="2">V9</f>
        <v>814.53238577880768</v>
      </c>
      <c r="X9" s="694">
        <f t="shared" si="2"/>
        <v>814.53238577880768</v>
      </c>
      <c r="Y9" s="694">
        <f t="shared" si="2"/>
        <v>814.53238577880768</v>
      </c>
      <c r="Z9" s="694">
        <f t="shared" si="2"/>
        <v>814.53238577880768</v>
      </c>
      <c r="AA9" s="694">
        <f t="shared" si="2"/>
        <v>814.53238577880768</v>
      </c>
      <c r="AB9" s="694">
        <f t="shared" si="2"/>
        <v>814.53238577880768</v>
      </c>
      <c r="AC9" s="694">
        <f t="shared" si="2"/>
        <v>814.53238577880768</v>
      </c>
      <c r="AD9" s="694">
        <f t="shared" si="2"/>
        <v>814.53238577880768</v>
      </c>
      <c r="AE9" s="694">
        <f t="shared" si="2"/>
        <v>814.53238577880768</v>
      </c>
      <c r="AF9" s="694">
        <f>'Air&amp;Marine'!I8</f>
        <v>7.4625760131172711</v>
      </c>
      <c r="AG9" s="692"/>
      <c r="AH9" s="692"/>
      <c r="AI9" s="692"/>
      <c r="AJ9" s="692"/>
      <c r="AK9" s="692"/>
      <c r="AL9" s="692">
        <v>1</v>
      </c>
      <c r="AM9" s="695">
        <v>0</v>
      </c>
      <c r="AN9" s="695">
        <v>0</v>
      </c>
      <c r="AO9" s="695"/>
      <c r="AP9" s="695"/>
      <c r="AQ9" s="695"/>
      <c r="AR9" s="695"/>
      <c r="AS9" s="695"/>
      <c r="AT9" s="695"/>
      <c r="AU9" s="695"/>
      <c r="AV9" s="695"/>
      <c r="AZ9" s="689">
        <f>'Air&amp;Marine'!G8</f>
        <v>25</v>
      </c>
    </row>
    <row r="10" spans="1:52" s="685" customFormat="1" ht="12" customHeight="1" x14ac:dyDescent="0.2">
      <c r="A10" s="666" t="str">
        <f>Technologies!B51</f>
        <v>R2,R3,R4,R5,R6</v>
      </c>
      <c r="B10" s="666" t="str">
        <f>Technologies!C51</f>
        <v>TAJWT10</v>
      </c>
      <c r="C10" s="666" t="str">
        <f>Technologies!D51</f>
        <v>Air Jet, Passenger (Wing tips),2010</v>
      </c>
      <c r="D10" s="666" t="s">
        <v>478</v>
      </c>
      <c r="E10" s="666" t="str">
        <f>Commodities!C$31</f>
        <v>TRNJTF1</v>
      </c>
      <c r="F10" s="666" t="s">
        <v>89</v>
      </c>
      <c r="G10" s="692">
        <v>1</v>
      </c>
      <c r="H10" s="695">
        <f>'Air&amp;Marine'!F9</f>
        <v>2010</v>
      </c>
      <c r="I10" s="692">
        <f t="shared" si="0"/>
        <v>30</v>
      </c>
      <c r="J10" s="692">
        <v>0.2</v>
      </c>
      <c r="K10" s="693">
        <f>'Air&amp;Marine'!J9</f>
        <v>0.47275012414733303</v>
      </c>
      <c r="L10" s="693"/>
      <c r="M10" s="693"/>
      <c r="N10" s="693"/>
      <c r="O10" s="693"/>
      <c r="P10" s="693"/>
      <c r="Q10" s="693"/>
      <c r="R10" s="693"/>
      <c r="S10" s="693"/>
      <c r="T10" s="693"/>
      <c r="U10" s="693"/>
      <c r="V10" s="694">
        <f>'Air&amp;Marine'!H9</f>
        <v>820.68444307320954</v>
      </c>
      <c r="W10" s="694">
        <f t="shared" ref="W10:AE10" si="3">V10</f>
        <v>820.68444307320954</v>
      </c>
      <c r="X10" s="694">
        <f t="shared" si="3"/>
        <v>820.68444307320954</v>
      </c>
      <c r="Y10" s="694">
        <f t="shared" si="3"/>
        <v>820.68444307320954</v>
      </c>
      <c r="Z10" s="694">
        <f t="shared" si="3"/>
        <v>820.68444307320954</v>
      </c>
      <c r="AA10" s="694">
        <f t="shared" si="3"/>
        <v>820.68444307320954</v>
      </c>
      <c r="AB10" s="694">
        <f t="shared" si="3"/>
        <v>820.68444307320954</v>
      </c>
      <c r="AC10" s="694">
        <f t="shared" si="3"/>
        <v>820.68444307320954</v>
      </c>
      <c r="AD10" s="694">
        <f t="shared" si="3"/>
        <v>820.68444307320954</v>
      </c>
      <c r="AE10" s="694">
        <f t="shared" si="3"/>
        <v>820.68444307320954</v>
      </c>
      <c r="AF10" s="694">
        <f>'Air&amp;Marine'!I9</f>
        <v>7.4625760131172711</v>
      </c>
      <c r="AG10" s="692"/>
      <c r="AH10" s="692"/>
      <c r="AI10" s="692"/>
      <c r="AJ10" s="692"/>
      <c r="AK10" s="692"/>
      <c r="AL10" s="692">
        <v>1</v>
      </c>
      <c r="AM10" s="695">
        <v>0</v>
      </c>
      <c r="AN10" s="695">
        <v>0</v>
      </c>
      <c r="AO10" s="695"/>
      <c r="AP10" s="695"/>
      <c r="AQ10" s="695"/>
      <c r="AR10" s="695"/>
      <c r="AS10" s="695"/>
      <c r="AT10" s="695"/>
      <c r="AU10" s="695"/>
      <c r="AV10" s="695"/>
      <c r="AZ10" s="689">
        <f>'Air&amp;Marine'!G9</f>
        <v>25</v>
      </c>
    </row>
    <row r="11" spans="1:52" s="685" customFormat="1" ht="12" customHeight="1" x14ac:dyDescent="0.2">
      <c r="A11" s="666" t="str">
        <f>Technologies!B52</f>
        <v>R2,R3,R4,R5,R6</v>
      </c>
      <c r="B11" s="666" t="str">
        <f>Technologies!C52</f>
        <v>TAJAPU15</v>
      </c>
      <c r="C11" s="666" t="str">
        <f>Technologies!D52</f>
        <v>Air Jet Passeneger (APU) 2015</v>
      </c>
      <c r="D11" s="666" t="s">
        <v>478</v>
      </c>
      <c r="E11" s="666" t="str">
        <f>Commodities!C$31</f>
        <v>TRNJTF1</v>
      </c>
      <c r="F11" s="666" t="s">
        <v>89</v>
      </c>
      <c r="G11" s="692">
        <v>1</v>
      </c>
      <c r="H11" s="695">
        <f>'Air&amp;Marine'!F11</f>
        <v>2015</v>
      </c>
      <c r="I11" s="692">
        <f t="shared" si="0"/>
        <v>30</v>
      </c>
      <c r="J11" s="692">
        <v>0.2</v>
      </c>
      <c r="K11" s="693">
        <f>'Air&amp;Marine'!J11</f>
        <v>0.45358554132787771</v>
      </c>
      <c r="L11" s="693"/>
      <c r="M11" s="693"/>
      <c r="N11" s="693"/>
      <c r="O11" s="693"/>
      <c r="P11" s="693"/>
      <c r="Q11" s="693"/>
      <c r="R11" s="693"/>
      <c r="S11" s="693"/>
      <c r="T11" s="693"/>
      <c r="U11" s="693"/>
      <c r="V11" s="694">
        <f>'Air&amp;Marine'!H11</f>
        <v>815.46191019484638</v>
      </c>
      <c r="W11" s="694">
        <f t="shared" ref="W11:AE11" si="4">V11</f>
        <v>815.46191019484638</v>
      </c>
      <c r="X11" s="694">
        <f t="shared" si="4"/>
        <v>815.46191019484638</v>
      </c>
      <c r="Y11" s="694">
        <f t="shared" si="4"/>
        <v>815.46191019484638</v>
      </c>
      <c r="Z11" s="694">
        <f t="shared" si="4"/>
        <v>815.46191019484638</v>
      </c>
      <c r="AA11" s="694">
        <f t="shared" si="4"/>
        <v>815.46191019484638</v>
      </c>
      <c r="AB11" s="694">
        <f t="shared" si="4"/>
        <v>815.46191019484638</v>
      </c>
      <c r="AC11" s="694">
        <f t="shared" si="4"/>
        <v>815.46191019484638</v>
      </c>
      <c r="AD11" s="694">
        <f t="shared" si="4"/>
        <v>815.46191019484638</v>
      </c>
      <c r="AE11" s="694">
        <f t="shared" si="4"/>
        <v>815.46191019484638</v>
      </c>
      <c r="AF11" s="694">
        <f>'Air&amp;Marine'!I11</f>
        <v>7.5083155288151495</v>
      </c>
      <c r="AG11" s="692"/>
      <c r="AH11" s="692"/>
      <c r="AI11" s="692"/>
      <c r="AJ11" s="692"/>
      <c r="AK11" s="692"/>
      <c r="AL11" s="692">
        <v>1</v>
      </c>
      <c r="AM11" s="695">
        <v>0</v>
      </c>
      <c r="AN11" s="695">
        <v>0</v>
      </c>
      <c r="AO11" s="695"/>
      <c r="AP11" s="695"/>
      <c r="AQ11" s="695"/>
      <c r="AR11" s="695"/>
      <c r="AS11" s="695"/>
      <c r="AT11" s="695"/>
      <c r="AU11" s="695"/>
      <c r="AV11" s="695"/>
      <c r="AZ11" s="689">
        <f>'Air&amp;Marine'!G10</f>
        <v>25</v>
      </c>
    </row>
    <row r="12" spans="1:52" s="685" customFormat="1" ht="12" customHeight="1" x14ac:dyDescent="0.2">
      <c r="A12" s="666" t="str">
        <f>Technologies!B53</f>
        <v>R2,R3,R4,R5,R6</v>
      </c>
      <c r="B12" s="666" t="str">
        <f>Technologies!C53</f>
        <v>TAJBW30</v>
      </c>
      <c r="C12" s="666" t="str">
        <f>Technologies!D53</f>
        <v>Air Jet, Passenger(blended wing), 2030</v>
      </c>
      <c r="D12" s="666" t="s">
        <v>478</v>
      </c>
      <c r="E12" s="666" t="str">
        <f>Commodities!C$31</f>
        <v>TRNJTF1</v>
      </c>
      <c r="F12" s="666" t="s">
        <v>89</v>
      </c>
      <c r="G12" s="692">
        <v>1</v>
      </c>
      <c r="H12" s="695">
        <f>'Air&amp;Marine'!F12</f>
        <v>2030</v>
      </c>
      <c r="I12" s="692">
        <f t="shared" si="0"/>
        <v>30</v>
      </c>
      <c r="J12" s="692">
        <v>0.24</v>
      </c>
      <c r="K12" s="693">
        <f>'Air&amp;Marine'!J12</f>
        <v>0.6449662408010044</v>
      </c>
      <c r="L12" s="693"/>
      <c r="M12" s="693"/>
      <c r="N12" s="693"/>
      <c r="O12" s="693"/>
      <c r="P12" s="693"/>
      <c r="Q12" s="693"/>
      <c r="R12" s="693"/>
      <c r="S12" s="693"/>
      <c r="T12" s="693"/>
      <c r="U12" s="693"/>
      <c r="V12" s="694">
        <f>'Air&amp;Marine'!H12</f>
        <v>1127.6930582784942</v>
      </c>
      <c r="W12" s="694">
        <f t="shared" ref="W12:AE12" si="5">V12</f>
        <v>1127.6930582784942</v>
      </c>
      <c r="X12" s="694">
        <f t="shared" si="5"/>
        <v>1127.6930582784942</v>
      </c>
      <c r="Y12" s="694">
        <f t="shared" si="5"/>
        <v>1127.6930582784942</v>
      </c>
      <c r="Z12" s="694">
        <f t="shared" si="5"/>
        <v>1127.6930582784942</v>
      </c>
      <c r="AA12" s="694">
        <f t="shared" si="5"/>
        <v>1127.6930582784942</v>
      </c>
      <c r="AB12" s="694">
        <f t="shared" si="5"/>
        <v>1127.6930582784942</v>
      </c>
      <c r="AC12" s="694">
        <f t="shared" si="5"/>
        <v>1127.6930582784942</v>
      </c>
      <c r="AD12" s="694">
        <f t="shared" si="5"/>
        <v>1127.6930582784942</v>
      </c>
      <c r="AE12" s="694">
        <f t="shared" si="5"/>
        <v>1127.6930582784942</v>
      </c>
      <c r="AF12" s="694">
        <f>'Air&amp;Marine'!I12</f>
        <v>7.4625760131172711</v>
      </c>
      <c r="AG12" s="692"/>
      <c r="AH12" s="692"/>
      <c r="AI12" s="692"/>
      <c r="AJ12" s="692"/>
      <c r="AK12" s="692"/>
      <c r="AL12" s="692">
        <v>1</v>
      </c>
      <c r="AM12" s="695">
        <v>0</v>
      </c>
      <c r="AN12" s="695">
        <v>0</v>
      </c>
      <c r="AO12" s="695"/>
      <c r="AP12" s="695"/>
      <c r="AQ12" s="695"/>
      <c r="AR12" s="695"/>
      <c r="AS12" s="695"/>
      <c r="AT12" s="695"/>
      <c r="AU12" s="695"/>
      <c r="AV12" s="695"/>
      <c r="AZ12" s="689">
        <f>'Air&amp;Marine'!G12</f>
        <v>25</v>
      </c>
    </row>
    <row r="13" spans="1:52" s="685" customFormat="1" ht="12" customHeight="1" x14ac:dyDescent="0.2">
      <c r="A13" s="666" t="str">
        <f>Technologies!B54</f>
        <v>R2,R3,R4,R5,R6</v>
      </c>
      <c r="B13" s="666" t="str">
        <f>Technologies!C54</f>
        <v>TAJAE30</v>
      </c>
      <c r="C13" s="666" t="str">
        <f>Technologies!D54</f>
        <v>Air Jet, Passenger (improved aero), 2030</v>
      </c>
      <c r="D13" s="666" t="s">
        <v>478</v>
      </c>
      <c r="E13" s="666" t="str">
        <f>Commodities!C$31</f>
        <v>TRNJTF1</v>
      </c>
      <c r="F13" s="666" t="s">
        <v>89</v>
      </c>
      <c r="G13" s="692">
        <v>1</v>
      </c>
      <c r="H13" s="695">
        <f>'Air&amp;Marine'!F13</f>
        <v>2030</v>
      </c>
      <c r="I13" s="692">
        <f t="shared" si="0"/>
        <v>30</v>
      </c>
      <c r="J13" s="692">
        <v>0.24</v>
      </c>
      <c r="K13" s="693">
        <f>'Air&amp;Marine'!J13</f>
        <v>0.50164040951189226</v>
      </c>
      <c r="L13" s="693"/>
      <c r="M13" s="693"/>
      <c r="N13" s="693"/>
      <c r="O13" s="693"/>
      <c r="P13" s="693"/>
      <c r="Q13" s="693"/>
      <c r="R13" s="693"/>
      <c r="S13" s="693"/>
      <c r="T13" s="693"/>
      <c r="U13" s="693"/>
      <c r="V13" s="694">
        <f>'Air&amp;Marine'!H13</f>
        <v>895.98562435668828</v>
      </c>
      <c r="W13" s="694">
        <f t="shared" ref="W13:AE13" si="6">V13</f>
        <v>895.98562435668828</v>
      </c>
      <c r="X13" s="694">
        <f t="shared" si="6"/>
        <v>895.98562435668828</v>
      </c>
      <c r="Y13" s="694">
        <f t="shared" si="6"/>
        <v>895.98562435668828</v>
      </c>
      <c r="Z13" s="694">
        <f t="shared" si="6"/>
        <v>895.98562435668828</v>
      </c>
      <c r="AA13" s="694">
        <f t="shared" si="6"/>
        <v>895.98562435668828</v>
      </c>
      <c r="AB13" s="694">
        <f t="shared" si="6"/>
        <v>895.98562435668828</v>
      </c>
      <c r="AC13" s="694">
        <f t="shared" si="6"/>
        <v>895.98562435668828</v>
      </c>
      <c r="AD13" s="694">
        <f t="shared" si="6"/>
        <v>895.98562435668828</v>
      </c>
      <c r="AE13" s="694">
        <f t="shared" si="6"/>
        <v>895.98562435668828</v>
      </c>
      <c r="AF13" s="694">
        <f>'Air&amp;Marine'!I13</f>
        <v>7.4625760131172711</v>
      </c>
      <c r="AG13" s="692"/>
      <c r="AH13" s="692"/>
      <c r="AI13" s="692"/>
      <c r="AJ13" s="692"/>
      <c r="AK13" s="692"/>
      <c r="AL13" s="692">
        <v>1</v>
      </c>
      <c r="AM13" s="695">
        <v>0</v>
      </c>
      <c r="AN13" s="695">
        <v>0</v>
      </c>
      <c r="AO13" s="695"/>
      <c r="AP13" s="695"/>
      <c r="AQ13" s="695"/>
      <c r="AR13" s="695"/>
      <c r="AS13" s="695"/>
      <c r="AT13" s="695"/>
      <c r="AU13" s="695"/>
      <c r="AV13" s="695"/>
      <c r="AZ13" s="689">
        <f>'Air&amp;Marine'!G13</f>
        <v>25</v>
      </c>
    </row>
    <row r="14" spans="1:52" s="685" customFormat="1" ht="12" customHeight="1" x14ac:dyDescent="0.2">
      <c r="A14" s="666" t="str">
        <f>Technologies!B55</f>
        <v>R2,R3,R4,R5,R6</v>
      </c>
      <c r="B14" s="666" t="str">
        <f>Technologies!C55</f>
        <v>TAJGE15</v>
      </c>
      <c r="C14" s="666" t="str">
        <f>Technologies!D55</f>
        <v>Air Jet Passenger, (geared engine), 2015</v>
      </c>
      <c r="D14" s="666" t="s">
        <v>478</v>
      </c>
      <c r="E14" s="666" t="str">
        <f>Commodities!C$31</f>
        <v>TRNJTF1</v>
      </c>
      <c r="F14" s="666" t="s">
        <v>89</v>
      </c>
      <c r="G14" s="692">
        <v>1</v>
      </c>
      <c r="H14" s="695">
        <f>'Air&amp;Marine'!F15</f>
        <v>2015</v>
      </c>
      <c r="I14" s="692">
        <f t="shared" si="0"/>
        <v>30</v>
      </c>
      <c r="J14" s="692">
        <v>0.2</v>
      </c>
      <c r="K14" s="693">
        <f>'Air&amp;Marine'!J15</f>
        <v>0.51597299264080343</v>
      </c>
      <c r="L14" s="693"/>
      <c r="M14" s="693"/>
      <c r="N14" s="693"/>
      <c r="O14" s="693"/>
      <c r="P14" s="693"/>
      <c r="Q14" s="693"/>
      <c r="R14" s="693"/>
      <c r="S14" s="693"/>
      <c r="T14" s="693"/>
      <c r="U14" s="693"/>
      <c r="V14" s="694">
        <f>'Air&amp;Marine'!H15</f>
        <v>929.61720101077276</v>
      </c>
      <c r="W14" s="694">
        <f t="shared" ref="W14:AE14" si="7">V14</f>
        <v>929.61720101077276</v>
      </c>
      <c r="X14" s="694">
        <f t="shared" si="7"/>
        <v>929.61720101077276</v>
      </c>
      <c r="Y14" s="694">
        <f t="shared" si="7"/>
        <v>929.61720101077276</v>
      </c>
      <c r="Z14" s="694">
        <f t="shared" si="7"/>
        <v>929.61720101077276</v>
      </c>
      <c r="AA14" s="694">
        <f t="shared" si="7"/>
        <v>929.61720101077276</v>
      </c>
      <c r="AB14" s="694">
        <f t="shared" si="7"/>
        <v>929.61720101077276</v>
      </c>
      <c r="AC14" s="694">
        <f t="shared" si="7"/>
        <v>929.61720101077276</v>
      </c>
      <c r="AD14" s="694">
        <f t="shared" si="7"/>
        <v>929.61720101077276</v>
      </c>
      <c r="AE14" s="694">
        <f t="shared" si="7"/>
        <v>929.61720101077276</v>
      </c>
      <c r="AF14" s="694">
        <f>'Air&amp;Marine'!I15</f>
        <v>8.516959112695238</v>
      </c>
      <c r="AG14" s="692"/>
      <c r="AH14" s="692"/>
      <c r="AI14" s="692"/>
      <c r="AJ14" s="692"/>
      <c r="AK14" s="692"/>
      <c r="AL14" s="692">
        <v>1</v>
      </c>
      <c r="AM14" s="695">
        <v>0</v>
      </c>
      <c r="AN14" s="695">
        <v>0</v>
      </c>
      <c r="AO14" s="695"/>
      <c r="AP14" s="695"/>
      <c r="AQ14" s="695"/>
      <c r="AR14" s="695"/>
      <c r="AS14" s="695"/>
      <c r="AT14" s="695"/>
      <c r="AU14" s="695"/>
      <c r="AV14" s="695"/>
      <c r="AZ14" s="689">
        <f>'Air&amp;Marine'!G15</f>
        <v>25</v>
      </c>
    </row>
    <row r="15" spans="1:52" s="685" customFormat="1" ht="12" customHeight="1" x14ac:dyDescent="0.2">
      <c r="A15" s="666" t="s">
        <v>115</v>
      </c>
      <c r="B15" s="666" t="str">
        <f>Technologies!C56</f>
        <v>TAP10</v>
      </c>
      <c r="C15" s="666" t="str">
        <f>Technologies!D56</f>
        <v>Airplane, General Aviation - 2010</v>
      </c>
      <c r="D15" s="666" t="s">
        <v>478</v>
      </c>
      <c r="E15" s="666" t="s">
        <v>55</v>
      </c>
      <c r="F15" s="666" t="s">
        <v>89</v>
      </c>
      <c r="G15" s="692">
        <v>1</v>
      </c>
      <c r="H15" s="692">
        <v>2010</v>
      </c>
      <c r="I15" s="692">
        <f t="shared" si="0"/>
        <v>25</v>
      </c>
      <c r="J15" s="692">
        <v>0.18</v>
      </c>
      <c r="K15" s="693"/>
      <c r="L15" s="693"/>
      <c r="M15" s="693"/>
      <c r="N15" s="693"/>
      <c r="O15" s="693"/>
      <c r="P15" s="693"/>
      <c r="Q15" s="693"/>
      <c r="R15" s="693"/>
      <c r="S15" s="693"/>
      <c r="T15" s="693"/>
      <c r="U15" s="693"/>
      <c r="V15" s="693">
        <f>'Air&amp;Marine'!H18</f>
        <v>17.510999999999999</v>
      </c>
      <c r="W15" s="694">
        <f t="shared" ref="W15:AE15" si="8">V15</f>
        <v>17.510999999999999</v>
      </c>
      <c r="X15" s="694">
        <f t="shared" si="8"/>
        <v>17.510999999999999</v>
      </c>
      <c r="Y15" s="694">
        <f t="shared" si="8"/>
        <v>17.510999999999999</v>
      </c>
      <c r="Z15" s="694">
        <f t="shared" si="8"/>
        <v>17.510999999999999</v>
      </c>
      <c r="AA15" s="694">
        <f t="shared" si="8"/>
        <v>17.510999999999999</v>
      </c>
      <c r="AB15" s="694">
        <f t="shared" si="8"/>
        <v>17.510999999999999</v>
      </c>
      <c r="AC15" s="694">
        <f t="shared" si="8"/>
        <v>17.510999999999999</v>
      </c>
      <c r="AD15" s="694">
        <f t="shared" si="8"/>
        <v>17.510999999999999</v>
      </c>
      <c r="AE15" s="694">
        <f t="shared" si="8"/>
        <v>17.510999999999999</v>
      </c>
      <c r="AF15" s="694">
        <f>'Air&amp;Marine'!I18</f>
        <v>1.7511000000000001</v>
      </c>
      <c r="AG15" s="692"/>
      <c r="AH15" s="692"/>
      <c r="AI15" s="692"/>
      <c r="AJ15" s="692"/>
      <c r="AK15" s="692"/>
      <c r="AL15" s="692">
        <v>1</v>
      </c>
      <c r="AM15" s="695"/>
      <c r="AN15" s="695"/>
      <c r="AO15" s="695"/>
      <c r="AP15" s="695"/>
      <c r="AQ15" s="695"/>
      <c r="AR15" s="695"/>
      <c r="AS15" s="695"/>
      <c r="AT15" s="695"/>
      <c r="AU15" s="695"/>
      <c r="AV15" s="695"/>
      <c r="AZ15" s="685">
        <v>20</v>
      </c>
    </row>
    <row r="16" spans="1:52" s="685" customFormat="1" ht="12" customHeight="1" x14ac:dyDescent="0.2">
      <c r="A16" s="699" t="s">
        <v>479</v>
      </c>
      <c r="B16" s="668"/>
      <c r="C16" s="668"/>
      <c r="D16" s="668"/>
      <c r="E16" s="668"/>
      <c r="F16" s="668"/>
      <c r="G16" s="700"/>
      <c r="H16" s="701"/>
      <c r="I16" s="701"/>
      <c r="J16" s="701"/>
      <c r="K16" s="701"/>
      <c r="L16" s="701"/>
      <c r="M16" s="701"/>
      <c r="N16" s="701"/>
      <c r="O16" s="701"/>
      <c r="P16" s="701"/>
      <c r="Q16" s="701"/>
      <c r="R16" s="701"/>
      <c r="S16" s="701"/>
      <c r="T16" s="701"/>
      <c r="U16" s="701"/>
      <c r="V16" s="701"/>
      <c r="W16" s="701"/>
      <c r="X16" s="701"/>
      <c r="Y16" s="701"/>
      <c r="Z16" s="701"/>
      <c r="AA16" s="701"/>
      <c r="AB16" s="701"/>
      <c r="AC16" s="701"/>
      <c r="AD16" s="701"/>
      <c r="AE16" s="701"/>
      <c r="AF16" s="701"/>
      <c r="AG16" s="701"/>
      <c r="AH16" s="701"/>
      <c r="AI16" s="701"/>
      <c r="AJ16" s="701"/>
      <c r="AK16" s="701"/>
      <c r="AL16" s="701"/>
      <c r="AM16" s="702"/>
      <c r="AN16" s="702"/>
      <c r="AO16" s="702"/>
      <c r="AP16" s="702"/>
      <c r="AQ16" s="702"/>
      <c r="AR16" s="702"/>
      <c r="AS16" s="702"/>
      <c r="AT16" s="702"/>
      <c r="AU16" s="702"/>
      <c r="AV16" s="702"/>
    </row>
    <row r="17" spans="1:52" s="685" customFormat="1" ht="12" customHeight="1" x14ac:dyDescent="0.2">
      <c r="A17" s="666" t="str">
        <f>Technologies!B60</f>
        <v>R2,R3,R4,R5,R6</v>
      </c>
      <c r="B17" s="666" t="str">
        <f>Technologies!C60</f>
        <v>TBDSLC10</v>
      </c>
      <c r="C17" s="666" t="str">
        <f>Technologies!D60</f>
        <v>Bus, Conventional Diesel, 2010</v>
      </c>
      <c r="D17" s="666" t="s">
        <v>480</v>
      </c>
      <c r="E17" s="666" t="str">
        <f>Commodities!C$41</f>
        <v>TBDSL</v>
      </c>
      <c r="F17" s="666" t="s">
        <v>93</v>
      </c>
      <c r="G17" s="692">
        <v>1</v>
      </c>
      <c r="H17" s="692">
        <v>2010</v>
      </c>
      <c r="I17" s="692">
        <f t="shared" ref="I17:I33" si="9">AZ17+5</f>
        <v>17</v>
      </c>
      <c r="J17" s="692">
        <v>0.18</v>
      </c>
      <c r="K17" s="693">
        <f>'Rail&amp;Bus2'!$L7</f>
        <v>3.1791784441245516E-2</v>
      </c>
      <c r="L17" s="693"/>
      <c r="M17" s="693"/>
      <c r="N17" s="693"/>
      <c r="O17" s="693"/>
      <c r="P17" s="693"/>
      <c r="Q17" s="693"/>
      <c r="R17" s="693"/>
      <c r="S17" s="693"/>
      <c r="T17" s="693"/>
      <c r="U17" s="693"/>
      <c r="V17" s="695">
        <f>'Rail&amp;Bus2'!T7</f>
        <v>10426.65660557352</v>
      </c>
      <c r="W17" s="695"/>
      <c r="X17" s="695"/>
      <c r="Y17" s="695"/>
      <c r="Z17" s="695"/>
      <c r="AA17" s="695"/>
      <c r="AB17" s="695"/>
      <c r="AC17" s="695"/>
      <c r="AD17" s="695"/>
      <c r="AE17" s="695"/>
      <c r="AF17" s="695">
        <f>'Rail&amp;Bus2'!H11</f>
        <v>555.05381199668852</v>
      </c>
      <c r="AG17" s="692"/>
      <c r="AH17" s="692"/>
      <c r="AI17" s="692"/>
      <c r="AJ17" s="692"/>
      <c r="AK17" s="692"/>
      <c r="AL17" s="692">
        <v>1</v>
      </c>
      <c r="AM17" s="695">
        <v>0</v>
      </c>
      <c r="AN17" s="695">
        <v>0</v>
      </c>
      <c r="AO17" s="695">
        <v>0</v>
      </c>
      <c r="AP17" s="695">
        <v>0</v>
      </c>
      <c r="AQ17" s="695">
        <v>0</v>
      </c>
      <c r="AR17" s="695">
        <v>0</v>
      </c>
      <c r="AS17" s="695">
        <v>0</v>
      </c>
      <c r="AT17" s="695">
        <v>0</v>
      </c>
      <c r="AU17" s="695">
        <v>0</v>
      </c>
      <c r="AV17" s="695">
        <v>0</v>
      </c>
      <c r="AZ17" s="685">
        <v>12</v>
      </c>
    </row>
    <row r="18" spans="1:52" s="685" customFormat="1" ht="12" customHeight="1" x14ac:dyDescent="0.2">
      <c r="A18" s="666" t="str">
        <f>Technologies!B61</f>
        <v>R2,R3,R4,R5,R6</v>
      </c>
      <c r="B18" s="666" t="str">
        <f>Technologies!C61</f>
        <v>TBDSLC</v>
      </c>
      <c r="C18" s="666" t="str">
        <f>'Rail&amp;Bus2'!B11</f>
        <v>Bus, Conventional Diesel</v>
      </c>
      <c r="D18" s="666" t="s">
        <v>480</v>
      </c>
      <c r="E18" s="666" t="str">
        <f>Commodities!C$41</f>
        <v>TBDSL</v>
      </c>
      <c r="F18" s="666" t="s">
        <v>93</v>
      </c>
      <c r="G18" s="692">
        <v>1</v>
      </c>
      <c r="H18" s="695">
        <v>2015</v>
      </c>
      <c r="I18" s="692">
        <f t="shared" si="9"/>
        <v>17</v>
      </c>
      <c r="J18" s="692">
        <v>0.18</v>
      </c>
      <c r="K18" s="692"/>
      <c r="L18" s="692"/>
      <c r="M18" s="693">
        <f>'Rail&amp;Bus2'!$I11</f>
        <v>3.348888211310911E-2</v>
      </c>
      <c r="N18" s="693">
        <f>'Rail&amp;Bus2'!$I12</f>
        <v>3.4986321235341691E-2</v>
      </c>
      <c r="O18" s="693">
        <f t="shared" ref="O18:U18" si="10">N18</f>
        <v>3.4986321235341691E-2</v>
      </c>
      <c r="P18" s="693">
        <f t="shared" si="10"/>
        <v>3.4986321235341691E-2</v>
      </c>
      <c r="Q18" s="693">
        <f t="shared" si="10"/>
        <v>3.4986321235341691E-2</v>
      </c>
      <c r="R18" s="693">
        <f t="shared" si="10"/>
        <v>3.4986321235341691E-2</v>
      </c>
      <c r="S18" s="693">
        <f t="shared" si="10"/>
        <v>3.4986321235341691E-2</v>
      </c>
      <c r="T18" s="693">
        <f t="shared" si="10"/>
        <v>3.4986321235341691E-2</v>
      </c>
      <c r="U18" s="693">
        <f t="shared" si="10"/>
        <v>3.4986321235341691E-2</v>
      </c>
      <c r="V18" s="692"/>
      <c r="W18" s="695">
        <f>'Rail&amp;Bus2'!G11</f>
        <v>10488.438715335413</v>
      </c>
      <c r="X18" s="695">
        <f>'Rail&amp;Bus2'!G12</f>
        <v>10598.809880170465</v>
      </c>
      <c r="Y18" s="695">
        <f t="shared" ref="Y18:AE18" si="11">X18</f>
        <v>10598.809880170465</v>
      </c>
      <c r="Z18" s="695">
        <f t="shared" si="11"/>
        <v>10598.809880170465</v>
      </c>
      <c r="AA18" s="695">
        <f t="shared" si="11"/>
        <v>10598.809880170465</v>
      </c>
      <c r="AB18" s="695">
        <f t="shared" si="11"/>
        <v>10598.809880170465</v>
      </c>
      <c r="AC18" s="695">
        <f t="shared" si="11"/>
        <v>10598.809880170465</v>
      </c>
      <c r="AD18" s="695">
        <f t="shared" si="11"/>
        <v>10598.809880170465</v>
      </c>
      <c r="AE18" s="695">
        <f t="shared" si="11"/>
        <v>10598.809880170465</v>
      </c>
      <c r="AF18" s="696">
        <f>'Rail&amp;Bus2'!H11</f>
        <v>555.05381199668852</v>
      </c>
      <c r="AG18" s="694"/>
      <c r="AH18" s="694"/>
      <c r="AI18" s="694"/>
      <c r="AJ18" s="694"/>
      <c r="AK18" s="694"/>
      <c r="AL18" s="692">
        <v>1</v>
      </c>
      <c r="AM18" s="695">
        <v>0</v>
      </c>
      <c r="AN18" s="695"/>
      <c r="AO18" s="695"/>
      <c r="AP18" s="695"/>
      <c r="AQ18" s="695"/>
      <c r="AR18" s="695"/>
      <c r="AS18" s="695"/>
      <c r="AT18" s="695"/>
      <c r="AU18" s="695"/>
      <c r="AV18" s="695"/>
      <c r="AZ18" s="685">
        <f>'Rail&amp;Bus2'!F11</f>
        <v>12</v>
      </c>
    </row>
    <row r="19" spans="1:52" s="685" customFormat="1" ht="12" customHeight="1" x14ac:dyDescent="0.2">
      <c r="A19" s="666" t="str">
        <f>Technologies!B62</f>
        <v>R2,R3,R4,R5,R6</v>
      </c>
      <c r="B19" s="666" t="str">
        <f>Technologies!C62</f>
        <v>TBDSLIM</v>
      </c>
      <c r="C19" s="666" t="str">
        <f>Technologies!D62</f>
        <v>Bus, Improved Diesel</v>
      </c>
      <c r="D19" s="666" t="s">
        <v>480</v>
      </c>
      <c r="E19" s="666" t="str">
        <f>Commodities!C$41</f>
        <v>TBDSL</v>
      </c>
      <c r="F19" s="666" t="s">
        <v>93</v>
      </c>
      <c r="G19" s="692">
        <v>1</v>
      </c>
      <c r="H19" s="692">
        <v>2025</v>
      </c>
      <c r="I19" s="692">
        <f t="shared" si="9"/>
        <v>17</v>
      </c>
      <c r="J19" s="692">
        <v>0.24</v>
      </c>
      <c r="K19" s="693">
        <f>'Rail&amp;Bus2'!I13</f>
        <v>3.9094679852749017E-2</v>
      </c>
      <c r="L19" s="693"/>
      <c r="M19" s="693"/>
      <c r="N19" s="693"/>
      <c r="O19" s="693"/>
      <c r="P19" s="693"/>
      <c r="Q19" s="693"/>
      <c r="R19" s="693"/>
      <c r="S19" s="693"/>
      <c r="T19" s="693"/>
      <c r="U19" s="693"/>
      <c r="V19" s="695"/>
      <c r="W19" s="695">
        <f>X19</f>
        <v>10598.809880170465</v>
      </c>
      <c r="X19" s="695">
        <f>Y19</f>
        <v>10598.809880170465</v>
      </c>
      <c r="Y19" s="695">
        <f>'Rail&amp;Bus2'!V7</f>
        <v>10598.809880170465</v>
      </c>
      <c r="Z19" s="695">
        <f t="shared" ref="Z19:AE19" si="12">Y19</f>
        <v>10598.809880170465</v>
      </c>
      <c r="AA19" s="695">
        <f t="shared" si="12"/>
        <v>10598.809880170465</v>
      </c>
      <c r="AB19" s="695">
        <f t="shared" si="12"/>
        <v>10598.809880170465</v>
      </c>
      <c r="AC19" s="695">
        <f t="shared" si="12"/>
        <v>10598.809880170465</v>
      </c>
      <c r="AD19" s="695">
        <f t="shared" si="12"/>
        <v>10598.809880170465</v>
      </c>
      <c r="AE19" s="695">
        <f t="shared" si="12"/>
        <v>10598.809880170465</v>
      </c>
      <c r="AF19" s="696">
        <f>'Rail&amp;Bus2'!H12</f>
        <v>555.05381199668852</v>
      </c>
      <c r="AG19" s="694"/>
      <c r="AH19" s="694"/>
      <c r="AI19" s="694"/>
      <c r="AJ19" s="694"/>
      <c r="AK19" s="694"/>
      <c r="AL19" s="692">
        <v>1</v>
      </c>
      <c r="AM19" s="695">
        <v>0</v>
      </c>
      <c r="AN19" s="695"/>
      <c r="AO19" s="695"/>
      <c r="AP19" s="695"/>
      <c r="AQ19" s="695"/>
      <c r="AR19" s="695"/>
      <c r="AS19" s="695"/>
      <c r="AT19" s="695"/>
      <c r="AU19" s="695"/>
      <c r="AV19" s="695"/>
      <c r="AZ19" s="685">
        <v>12</v>
      </c>
    </row>
    <row r="20" spans="1:52" s="685" customFormat="1" ht="12" customHeight="1" x14ac:dyDescent="0.2">
      <c r="A20" s="666" t="str">
        <f>Technologies!B63</f>
        <v>R2,R3,R4,R5,R6</v>
      </c>
      <c r="B20" s="666" t="str">
        <f>Technologies!C63</f>
        <v>TBDSLADV</v>
      </c>
      <c r="C20" s="666" t="str">
        <f>'Rail&amp;Bus2'!B14</f>
        <v>Bus, Advanced Tech Diesel</v>
      </c>
      <c r="D20" s="666" t="s">
        <v>480</v>
      </c>
      <c r="E20" s="666" t="str">
        <f>Commodities!C$41</f>
        <v>TBDSL</v>
      </c>
      <c r="F20" s="666" t="s">
        <v>93</v>
      </c>
      <c r="G20" s="692">
        <v>1</v>
      </c>
      <c r="H20" s="695">
        <f>'Rail&amp;Bus2'!E14</f>
        <v>2015</v>
      </c>
      <c r="I20" s="692">
        <f t="shared" si="9"/>
        <v>17</v>
      </c>
      <c r="J20" s="692">
        <v>0.28000000000000003</v>
      </c>
      <c r="K20" s="693"/>
      <c r="L20" s="693"/>
      <c r="M20" s="693">
        <f>'Rail&amp;Bus2'!I14</f>
        <v>3.7727786705275178E-2</v>
      </c>
      <c r="N20" s="693">
        <f>M20</f>
        <v>3.7727786705275178E-2</v>
      </c>
      <c r="O20" s="693">
        <f>'Rail&amp;Bus2'!$I15</f>
        <v>3.9094679852749017E-2</v>
      </c>
      <c r="P20" s="693">
        <f>O20</f>
        <v>3.9094679852749017E-2</v>
      </c>
      <c r="Q20" s="693">
        <f>P20</f>
        <v>3.9094679852749017E-2</v>
      </c>
      <c r="R20" s="693">
        <f>'Rail&amp;Bus2'!I16</f>
        <v>3.9355771802266494E-2</v>
      </c>
      <c r="S20" s="693">
        <f t="shared" ref="S20:U21" si="13">R20</f>
        <v>3.9355771802266494E-2</v>
      </c>
      <c r="T20" s="693">
        <f t="shared" si="13"/>
        <v>3.9355771802266494E-2</v>
      </c>
      <c r="U20" s="693">
        <f t="shared" si="13"/>
        <v>3.9355771802266494E-2</v>
      </c>
      <c r="V20" s="695"/>
      <c r="W20" s="695">
        <f>'Rail&amp;Bus2'!G14</f>
        <v>10807.968064260209</v>
      </c>
      <c r="X20" s="695">
        <f>W20</f>
        <v>10807.968064260209</v>
      </c>
      <c r="Y20" s="695">
        <f>'Rail&amp;Bus2'!G15</f>
        <v>10912.547156305081</v>
      </c>
      <c r="Z20" s="695">
        <f>Y20</f>
        <v>10912.547156305081</v>
      </c>
      <c r="AA20" s="695">
        <f>Z20</f>
        <v>10912.547156305081</v>
      </c>
      <c r="AB20" s="695">
        <f>'Rail&amp;Bus2'!G16</f>
        <v>11236.002243454332</v>
      </c>
      <c r="AC20" s="695">
        <f t="shared" ref="AC20:AE21" si="14">AB20</f>
        <v>11236.002243454332</v>
      </c>
      <c r="AD20" s="695">
        <f t="shared" si="14"/>
        <v>11236.002243454332</v>
      </c>
      <c r="AE20" s="695">
        <f t="shared" si="14"/>
        <v>11236.002243454332</v>
      </c>
      <c r="AF20" s="695">
        <f>'Rail&amp;Bus2'!H14</f>
        <v>555.05381199668852</v>
      </c>
      <c r="AG20" s="694"/>
      <c r="AH20" s="694"/>
      <c r="AI20" s="694"/>
      <c r="AJ20" s="694"/>
      <c r="AK20" s="694"/>
      <c r="AL20" s="692">
        <v>1</v>
      </c>
      <c r="AM20" s="695">
        <v>0</v>
      </c>
      <c r="AN20" s="695"/>
      <c r="AO20" s="695"/>
      <c r="AP20" s="695"/>
      <c r="AQ20" s="695"/>
      <c r="AR20" s="695"/>
      <c r="AS20" s="695"/>
      <c r="AT20" s="695"/>
      <c r="AU20" s="695"/>
      <c r="AV20" s="695"/>
      <c r="AZ20" s="689">
        <f>'Rail&amp;Bus2'!F14</f>
        <v>12</v>
      </c>
    </row>
    <row r="21" spans="1:52" s="685" customFormat="1" ht="12" customHeight="1" x14ac:dyDescent="0.2">
      <c r="A21" s="666" t="str">
        <f>Technologies!B64</f>
        <v>R2,R3,R4,R5,R6</v>
      </c>
      <c r="B21" s="666" t="str">
        <f>Technologies!C64</f>
        <v>TBDSLAH</v>
      </c>
      <c r="C21" s="666" t="str">
        <f>'Rail&amp;Bus2'!B17</f>
        <v>Bus, Advanced Hybrid Diesel</v>
      </c>
      <c r="D21" s="666" t="s">
        <v>480</v>
      </c>
      <c r="E21" s="666" t="str">
        <f>Commodities!C$41</f>
        <v>TBDSL</v>
      </c>
      <c r="F21" s="666" t="s">
        <v>93</v>
      </c>
      <c r="G21" s="692">
        <v>1</v>
      </c>
      <c r="H21" s="695">
        <f>'Rail&amp;Bus2'!$E$17</f>
        <v>2015</v>
      </c>
      <c r="I21" s="692">
        <f t="shared" si="9"/>
        <v>17</v>
      </c>
      <c r="J21" s="692">
        <v>0.28000000000000003</v>
      </c>
      <c r="K21" s="693"/>
      <c r="L21" s="693"/>
      <c r="M21" s="693">
        <f>'Rail&amp;Bus2'!I17</f>
        <v>5.3892450050401219E-2</v>
      </c>
      <c r="N21" s="693">
        <f>M21</f>
        <v>5.3892450050401219E-2</v>
      </c>
      <c r="O21" s="693">
        <f>'Rail&amp;Bus2'!$I18</f>
        <v>5.5850639671782283E-2</v>
      </c>
      <c r="P21" s="693">
        <f>O21</f>
        <v>5.5850639671782283E-2</v>
      </c>
      <c r="Q21" s="693">
        <f>P21</f>
        <v>5.5850639671782283E-2</v>
      </c>
      <c r="R21" s="693">
        <f>'Rail&amp;Bus2'!I19</f>
        <v>5.6557123770476642E-2</v>
      </c>
      <c r="S21" s="693">
        <f t="shared" si="13"/>
        <v>5.6557123770476642E-2</v>
      </c>
      <c r="T21" s="693">
        <f t="shared" si="13"/>
        <v>5.6557123770476642E-2</v>
      </c>
      <c r="U21" s="693">
        <f t="shared" si="13"/>
        <v>5.6557123770476642E-2</v>
      </c>
      <c r="V21" s="695"/>
      <c r="W21" s="695">
        <f>'Rail&amp;Bus2'!G17</f>
        <v>17887.168141143909</v>
      </c>
      <c r="X21" s="695">
        <f>W21</f>
        <v>17887.168141143909</v>
      </c>
      <c r="Y21" s="695">
        <f>'Rail&amp;Bus2'!G18</f>
        <v>15563.581606817675</v>
      </c>
      <c r="Z21" s="695">
        <f>Y21</f>
        <v>15563.581606817675</v>
      </c>
      <c r="AA21" s="695">
        <f>Z21</f>
        <v>15563.581606817675</v>
      </c>
      <c r="AB21" s="695">
        <f>'Rail&amp;Bus2'!G19</f>
        <v>15887.036693966924</v>
      </c>
      <c r="AC21" s="695">
        <f t="shared" si="14"/>
        <v>15887.036693966924</v>
      </c>
      <c r="AD21" s="695">
        <f t="shared" si="14"/>
        <v>15887.036693966924</v>
      </c>
      <c r="AE21" s="695">
        <f t="shared" si="14"/>
        <v>15887.036693966924</v>
      </c>
      <c r="AF21" s="695">
        <f>'Rail&amp;Bus2'!H17</f>
        <v>564.46150372544582</v>
      </c>
      <c r="AG21" s="694"/>
      <c r="AH21" s="694"/>
      <c r="AI21" s="694"/>
      <c r="AJ21" s="694"/>
      <c r="AK21" s="694"/>
      <c r="AL21" s="692">
        <v>1</v>
      </c>
      <c r="AM21" s="695">
        <v>0</v>
      </c>
      <c r="AN21" s="695"/>
      <c r="AO21" s="695"/>
      <c r="AP21" s="695"/>
      <c r="AQ21" s="695"/>
      <c r="AR21" s="695"/>
      <c r="AS21" s="695"/>
      <c r="AT21" s="695"/>
      <c r="AU21" s="695"/>
      <c r="AV21" s="695"/>
      <c r="AZ21" s="689">
        <f>'Rail&amp;Bus2'!F17</f>
        <v>12</v>
      </c>
    </row>
    <row r="22" spans="1:52" s="685" customFormat="1" ht="12" customHeight="1" x14ac:dyDescent="0.2">
      <c r="A22" s="666" t="s">
        <v>115</v>
      </c>
      <c r="B22" s="666" t="str">
        <f>Technologies!C65</f>
        <v>TBB20C10</v>
      </c>
      <c r="C22" s="666" t="str">
        <f>Technologies!D65</f>
        <v>Bus, Conventional Biodiesel, 2010</v>
      </c>
      <c r="D22" s="666" t="s">
        <v>480</v>
      </c>
      <c r="E22" s="666" t="s">
        <v>76</v>
      </c>
      <c r="F22" s="666" t="s">
        <v>93</v>
      </c>
      <c r="G22" s="692">
        <v>1</v>
      </c>
      <c r="H22" s="695">
        <v>2010</v>
      </c>
      <c r="I22" s="692">
        <f t="shared" si="9"/>
        <v>17</v>
      </c>
      <c r="J22" s="692">
        <v>0.18</v>
      </c>
      <c r="K22" s="693">
        <f>'Rail&amp;Bus2'!$L9</f>
        <v>3.1770686560191462E-2</v>
      </c>
      <c r="L22" s="693"/>
      <c r="M22" s="693"/>
      <c r="N22" s="693"/>
      <c r="O22" s="693"/>
      <c r="P22" s="693"/>
      <c r="Q22" s="693"/>
      <c r="R22" s="693"/>
      <c r="S22" s="693"/>
      <c r="T22" s="693"/>
      <c r="U22" s="693"/>
      <c r="V22" s="695">
        <f>'Rail&amp;Bus2'!T9</f>
        <v>10426.65660557352</v>
      </c>
      <c r="W22" s="695"/>
      <c r="X22" s="695"/>
      <c r="Y22" s="695"/>
      <c r="Z22" s="695"/>
      <c r="AA22" s="695"/>
      <c r="AB22" s="695"/>
      <c r="AC22" s="695"/>
      <c r="AD22" s="695"/>
      <c r="AE22" s="695"/>
      <c r="AF22" s="695">
        <f>'Rail&amp;Bus2'!H20</f>
        <v>524.22213355219355</v>
      </c>
      <c r="AG22" s="694"/>
      <c r="AH22" s="694"/>
      <c r="AI22" s="694"/>
      <c r="AJ22" s="694"/>
      <c r="AK22" s="694"/>
      <c r="AL22" s="692">
        <v>1</v>
      </c>
      <c r="AM22" s="695"/>
      <c r="AN22" s="695">
        <v>0</v>
      </c>
      <c r="AO22" s="695">
        <v>0</v>
      </c>
      <c r="AP22" s="695">
        <v>0</v>
      </c>
      <c r="AQ22" s="695">
        <v>0</v>
      </c>
      <c r="AR22" s="695">
        <v>0</v>
      </c>
      <c r="AS22" s="695">
        <v>0</v>
      </c>
      <c r="AT22" s="695">
        <v>0</v>
      </c>
      <c r="AU22" s="695">
        <v>0</v>
      </c>
      <c r="AV22" s="695">
        <v>0</v>
      </c>
      <c r="AZ22" s="689">
        <v>12</v>
      </c>
    </row>
    <row r="23" spans="1:52" s="685" customFormat="1" ht="12" customHeight="1" x14ac:dyDescent="0.2">
      <c r="A23" s="666" t="s">
        <v>115</v>
      </c>
      <c r="B23" s="666" t="str">
        <f>Technologies!C66</f>
        <v>TBB20C</v>
      </c>
      <c r="C23" s="666" t="str">
        <f>'Rail&amp;Bus2'!B21</f>
        <v>Bus, Conventional B20</v>
      </c>
      <c r="D23" s="666" t="s">
        <v>480</v>
      </c>
      <c r="E23" s="666" t="s">
        <v>76</v>
      </c>
      <c r="F23" s="666" t="s">
        <v>93</v>
      </c>
      <c r="G23" s="692">
        <v>1</v>
      </c>
      <c r="H23" s="695">
        <v>2015</v>
      </c>
      <c r="I23" s="692">
        <f t="shared" si="9"/>
        <v>17</v>
      </c>
      <c r="J23" s="692">
        <v>0.18</v>
      </c>
      <c r="K23" s="692"/>
      <c r="L23" s="692"/>
      <c r="M23" s="693">
        <f>'Rail&amp;Bus2'!I11</f>
        <v>3.348888211310911E-2</v>
      </c>
      <c r="N23" s="693">
        <f>'Rail&amp;Bus2'!$I22</f>
        <v>3.496310337396915E-2</v>
      </c>
      <c r="O23" s="693">
        <f t="shared" ref="O23:U23" si="15">N23</f>
        <v>3.496310337396915E-2</v>
      </c>
      <c r="P23" s="693">
        <f t="shared" si="15"/>
        <v>3.496310337396915E-2</v>
      </c>
      <c r="Q23" s="693">
        <f t="shared" si="15"/>
        <v>3.496310337396915E-2</v>
      </c>
      <c r="R23" s="693">
        <f t="shared" si="15"/>
        <v>3.496310337396915E-2</v>
      </c>
      <c r="S23" s="693">
        <f t="shared" si="15"/>
        <v>3.496310337396915E-2</v>
      </c>
      <c r="T23" s="693">
        <f t="shared" si="15"/>
        <v>3.496310337396915E-2</v>
      </c>
      <c r="U23" s="693">
        <f t="shared" si="15"/>
        <v>3.496310337396915E-2</v>
      </c>
      <c r="V23" s="692"/>
      <c r="W23" s="695">
        <f>'Rail&amp;Bus2'!G21</f>
        <v>10488.438715335413</v>
      </c>
      <c r="X23" s="695">
        <f>'Rail&amp;Bus2'!G22</f>
        <v>10749.403772715079</v>
      </c>
      <c r="Y23" s="695">
        <f t="shared" ref="Y23:AE23" si="16">X23</f>
        <v>10749.403772715079</v>
      </c>
      <c r="Z23" s="695">
        <f t="shared" si="16"/>
        <v>10749.403772715079</v>
      </c>
      <c r="AA23" s="695">
        <f t="shared" si="16"/>
        <v>10749.403772715079</v>
      </c>
      <c r="AB23" s="695">
        <f t="shared" si="16"/>
        <v>10749.403772715079</v>
      </c>
      <c r="AC23" s="695">
        <f t="shared" si="16"/>
        <v>10749.403772715079</v>
      </c>
      <c r="AD23" s="695">
        <f t="shared" si="16"/>
        <v>10749.403772715079</v>
      </c>
      <c r="AE23" s="695">
        <f t="shared" si="16"/>
        <v>10749.403772715079</v>
      </c>
      <c r="AF23" s="695">
        <f>'Rail&amp;Bus2'!H21</f>
        <v>524.22213355219355</v>
      </c>
      <c r="AG23" s="694"/>
      <c r="AH23" s="694"/>
      <c r="AI23" s="694"/>
      <c r="AJ23" s="694"/>
      <c r="AK23" s="694"/>
      <c r="AL23" s="692">
        <v>1</v>
      </c>
      <c r="AM23" s="695"/>
      <c r="AN23" s="695"/>
      <c r="AO23" s="695"/>
      <c r="AP23" s="695"/>
      <c r="AQ23" s="695"/>
      <c r="AR23" s="695"/>
      <c r="AS23" s="695"/>
      <c r="AT23" s="695"/>
      <c r="AU23" s="695"/>
      <c r="AV23" s="695"/>
      <c r="AZ23" s="689">
        <f>'Rail&amp;Bus2'!F21</f>
        <v>12</v>
      </c>
    </row>
    <row r="24" spans="1:52" s="685" customFormat="1" ht="12" customHeight="1" x14ac:dyDescent="0.2">
      <c r="A24" s="666" t="s">
        <v>115</v>
      </c>
      <c r="B24" s="666" t="str">
        <f>Technologies!C67</f>
        <v>TBB20IM</v>
      </c>
      <c r="C24" s="666" t="str">
        <f>Technologies!D67</f>
        <v>Bus, B20, Improved Biodiesel</v>
      </c>
      <c r="D24" s="666" t="s">
        <v>480</v>
      </c>
      <c r="E24" s="666" t="s">
        <v>76</v>
      </c>
      <c r="F24" s="666" t="s">
        <v>93</v>
      </c>
      <c r="G24" s="692">
        <v>1</v>
      </c>
      <c r="H24" s="695">
        <v>2025</v>
      </c>
      <c r="I24" s="692">
        <f t="shared" si="9"/>
        <v>17</v>
      </c>
      <c r="J24" s="692">
        <v>0.24</v>
      </c>
      <c r="K24" s="693">
        <f>'Rail&amp;Bus2'!I23</f>
        <v>3.906873557438037E-2</v>
      </c>
      <c r="L24" s="692"/>
      <c r="M24" s="693"/>
      <c r="N24" s="693"/>
      <c r="O24" s="693"/>
      <c r="P24" s="693"/>
      <c r="Q24" s="693"/>
      <c r="R24" s="693"/>
      <c r="S24" s="693"/>
      <c r="T24" s="693"/>
      <c r="U24" s="693"/>
      <c r="V24" s="695"/>
      <c r="W24" s="695"/>
      <c r="X24" s="695"/>
      <c r="Y24" s="695">
        <f>'Rail&amp;Bus2'!G23</f>
        <v>11404.873343470175</v>
      </c>
      <c r="Z24" s="695">
        <f t="shared" ref="Z24:AE24" si="17">Y24</f>
        <v>11404.873343470175</v>
      </c>
      <c r="AA24" s="695">
        <f t="shared" si="17"/>
        <v>11404.873343470175</v>
      </c>
      <c r="AB24" s="695">
        <f t="shared" si="17"/>
        <v>11404.873343470175</v>
      </c>
      <c r="AC24" s="695">
        <f t="shared" si="17"/>
        <v>11404.873343470175</v>
      </c>
      <c r="AD24" s="695">
        <f t="shared" si="17"/>
        <v>11404.873343470175</v>
      </c>
      <c r="AE24" s="695">
        <f t="shared" si="17"/>
        <v>11404.873343470175</v>
      </c>
      <c r="AF24" s="695">
        <f>'Rail&amp;Bus2'!H22</f>
        <v>524.22213355219355</v>
      </c>
      <c r="AG24" s="694"/>
      <c r="AH24" s="694"/>
      <c r="AI24" s="694"/>
      <c r="AJ24" s="694"/>
      <c r="AK24" s="694"/>
      <c r="AL24" s="692">
        <v>1</v>
      </c>
      <c r="AM24" s="695"/>
      <c r="AN24" s="695"/>
      <c r="AO24" s="695"/>
      <c r="AP24" s="695"/>
      <c r="AQ24" s="695"/>
      <c r="AR24" s="695"/>
      <c r="AS24" s="695"/>
      <c r="AT24" s="695"/>
      <c r="AU24" s="695"/>
      <c r="AV24" s="695"/>
      <c r="AZ24" s="689">
        <v>12</v>
      </c>
    </row>
    <row r="25" spans="1:52" s="685" customFormat="1" ht="12" customHeight="1" x14ac:dyDescent="0.2">
      <c r="A25" s="666" t="s">
        <v>115</v>
      </c>
      <c r="B25" s="666" t="str">
        <f>Technologies!C68</f>
        <v>TBB20ADV</v>
      </c>
      <c r="C25" s="666" t="str">
        <f>'Rail&amp;Bus2'!B24</f>
        <v>Bus, Advanced Tech B20</v>
      </c>
      <c r="D25" s="666" t="s">
        <v>480</v>
      </c>
      <c r="E25" s="666" t="s">
        <v>76</v>
      </c>
      <c r="F25" s="666" t="s">
        <v>93</v>
      </c>
      <c r="G25" s="692">
        <v>1</v>
      </c>
      <c r="H25" s="695">
        <v>2015</v>
      </c>
      <c r="I25" s="692">
        <f t="shared" si="9"/>
        <v>17</v>
      </c>
      <c r="J25" s="692">
        <v>0.28000000000000003</v>
      </c>
      <c r="K25" s="693"/>
      <c r="L25" s="692"/>
      <c r="M25" s="693">
        <f>'Rail&amp;Bus2'!I24</f>
        <v>3.7700577129058895E-2</v>
      </c>
      <c r="N25" s="693">
        <f>M25</f>
        <v>3.7700577129058895E-2</v>
      </c>
      <c r="O25" s="693">
        <f>'Rail&amp;Bus2'!I25</f>
        <v>3.9067955574154302E-2</v>
      </c>
      <c r="P25" s="693">
        <f>O25</f>
        <v>3.9067955574154302E-2</v>
      </c>
      <c r="Q25" s="693">
        <f>P25</f>
        <v>3.9067955574154302E-2</v>
      </c>
      <c r="R25" s="693">
        <f>'Rail&amp;Bus2'!I26</f>
        <v>3.956248665737145E-2</v>
      </c>
      <c r="S25" s="693">
        <f t="shared" ref="S25:U26" si="18">R25</f>
        <v>3.956248665737145E-2</v>
      </c>
      <c r="T25" s="693">
        <f t="shared" si="18"/>
        <v>3.956248665737145E-2</v>
      </c>
      <c r="U25" s="693">
        <f t="shared" si="18"/>
        <v>3.956248665737145E-2</v>
      </c>
      <c r="V25" s="695"/>
      <c r="W25" s="695">
        <f>'Rail&amp;Bus2'!G24</f>
        <v>10807.968064260209</v>
      </c>
      <c r="X25" s="695">
        <f>W25</f>
        <v>10807.968064260209</v>
      </c>
      <c r="Y25" s="695">
        <f>'Rail&amp;Bus2'!G25</f>
        <v>10912.547156305081</v>
      </c>
      <c r="Z25" s="695">
        <f>Y25</f>
        <v>10912.547156305081</v>
      </c>
      <c r="AA25" s="695">
        <f>Z25</f>
        <v>10912.547156305081</v>
      </c>
      <c r="AB25" s="695">
        <f>'Rail&amp;Bus2'!G26</f>
        <v>11236.005461272549</v>
      </c>
      <c r="AC25" s="695">
        <f t="shared" ref="AC25:AE26" si="19">AB25</f>
        <v>11236.005461272549</v>
      </c>
      <c r="AD25" s="695">
        <f t="shared" si="19"/>
        <v>11236.005461272549</v>
      </c>
      <c r="AE25" s="695">
        <f t="shared" si="19"/>
        <v>11236.005461272549</v>
      </c>
      <c r="AF25" s="695">
        <f>'Rail&amp;Bus2'!H23</f>
        <v>524.22213355219355</v>
      </c>
      <c r="AG25" s="694"/>
      <c r="AH25" s="694"/>
      <c r="AI25" s="694"/>
      <c r="AJ25" s="694"/>
      <c r="AK25" s="694"/>
      <c r="AL25" s="692">
        <v>1</v>
      </c>
      <c r="AM25" s="695"/>
      <c r="AN25" s="695"/>
      <c r="AO25" s="695"/>
      <c r="AP25" s="695"/>
      <c r="AQ25" s="695"/>
      <c r="AR25" s="695"/>
      <c r="AS25" s="695"/>
      <c r="AT25" s="695"/>
      <c r="AU25" s="695"/>
      <c r="AV25" s="695"/>
      <c r="AZ25" s="689">
        <v>12</v>
      </c>
    </row>
    <row r="26" spans="1:52" s="685" customFormat="1" ht="12" customHeight="1" x14ac:dyDescent="0.2">
      <c r="A26" s="666" t="s">
        <v>115</v>
      </c>
      <c r="B26" s="666" t="str">
        <f>Technologies!C69</f>
        <v>TBB20AH</v>
      </c>
      <c r="C26" s="666" t="str">
        <f>'Rail&amp;Bus2'!B27</f>
        <v>Bus, Advanced Hybrid B20</v>
      </c>
      <c r="D26" s="666" t="s">
        <v>480</v>
      </c>
      <c r="E26" s="666" t="s">
        <v>76</v>
      </c>
      <c r="F26" s="666" t="s">
        <v>93</v>
      </c>
      <c r="G26" s="692">
        <v>1</v>
      </c>
      <c r="H26" s="695">
        <v>2015</v>
      </c>
      <c r="I26" s="692">
        <f t="shared" si="9"/>
        <v>17</v>
      </c>
      <c r="J26" s="692">
        <v>0.28000000000000003</v>
      </c>
      <c r="K26" s="693"/>
      <c r="L26" s="692"/>
      <c r="M26" s="693">
        <f>'Rail&amp;Bus2'!I27</f>
        <v>5.3857967327227002E-2</v>
      </c>
      <c r="N26" s="693">
        <f>M26</f>
        <v>5.3857967327227002E-2</v>
      </c>
      <c r="O26" s="693">
        <f>'Rail&amp;Bus2'!I28</f>
        <v>5.5811365105934721E-2</v>
      </c>
      <c r="P26" s="693">
        <f>O26</f>
        <v>5.5811365105934721E-2</v>
      </c>
      <c r="Q26" s="693">
        <f>P26</f>
        <v>5.5811365105934721E-2</v>
      </c>
      <c r="R26" s="693">
        <f>'Rail&amp;Bus2'!I29</f>
        <v>5.6517838081959204E-2</v>
      </c>
      <c r="S26" s="693">
        <f t="shared" si="18"/>
        <v>5.6517838081959204E-2</v>
      </c>
      <c r="T26" s="693">
        <f t="shared" si="18"/>
        <v>5.6517838081959204E-2</v>
      </c>
      <c r="U26" s="693">
        <f t="shared" si="18"/>
        <v>5.6517838081959204E-2</v>
      </c>
      <c r="V26" s="695"/>
      <c r="W26" s="695">
        <f>'Rail&amp;Bus2'!G27</f>
        <v>17887.168141143909</v>
      </c>
      <c r="X26" s="695">
        <f>W26</f>
        <v>17887.168141143909</v>
      </c>
      <c r="Y26" s="695">
        <f>'Rail&amp;Bus2'!G28</f>
        <v>15563.581606817675</v>
      </c>
      <c r="Z26" s="695">
        <f>Y26</f>
        <v>15563.581606817675</v>
      </c>
      <c r="AA26" s="695">
        <f>Z26</f>
        <v>15563.581606817675</v>
      </c>
      <c r="AB26" s="695">
        <f>'Rail&amp;Bus2'!G29</f>
        <v>15887.039911785143</v>
      </c>
      <c r="AC26" s="695">
        <f t="shared" si="19"/>
        <v>15887.039911785143</v>
      </c>
      <c r="AD26" s="695">
        <f t="shared" si="19"/>
        <v>15887.039911785143</v>
      </c>
      <c r="AE26" s="695">
        <f t="shared" si="19"/>
        <v>15887.039911785143</v>
      </c>
      <c r="AF26" s="695">
        <f>'Rail&amp;Bus2'!H27</f>
        <v>564.46150372544582</v>
      </c>
      <c r="AG26" s="694"/>
      <c r="AH26" s="694"/>
      <c r="AI26" s="694"/>
      <c r="AJ26" s="694"/>
      <c r="AK26" s="694"/>
      <c r="AL26" s="692">
        <v>1</v>
      </c>
      <c r="AM26" s="695"/>
      <c r="AN26" s="695"/>
      <c r="AO26" s="695"/>
      <c r="AP26" s="695"/>
      <c r="AQ26" s="695"/>
      <c r="AR26" s="695"/>
      <c r="AS26" s="695"/>
      <c r="AT26" s="695"/>
      <c r="AU26" s="695"/>
      <c r="AV26" s="695"/>
      <c r="AZ26" s="689">
        <v>12</v>
      </c>
    </row>
    <row r="27" spans="1:52" s="685" customFormat="1" ht="12" customHeight="1" x14ac:dyDescent="0.2">
      <c r="A27" s="666" t="str">
        <f>Technologies!B70</f>
        <v>R2,R3,R4,R5,R6</v>
      </c>
      <c r="B27" s="666" t="str">
        <f>Technologies!C70</f>
        <v>TBCNGC10</v>
      </c>
      <c r="C27" s="666" t="str">
        <f>Technologies!D70</f>
        <v>Bus, Conventional CNG, 2010</v>
      </c>
      <c r="D27" s="666" t="s">
        <v>480</v>
      </c>
      <c r="E27" s="666" t="str">
        <f>Commodities!C$55</f>
        <v>TBCNG</v>
      </c>
      <c r="F27" s="666" t="s">
        <v>93</v>
      </c>
      <c r="G27" s="692">
        <v>1</v>
      </c>
      <c r="H27" s="695">
        <v>2010</v>
      </c>
      <c r="I27" s="692">
        <f t="shared" si="9"/>
        <v>17</v>
      </c>
      <c r="J27" s="692">
        <v>0.18</v>
      </c>
      <c r="K27" s="693">
        <f>'Rail&amp;Bus2'!$L10</f>
        <v>2.7030695950044502E-2</v>
      </c>
      <c r="L27" s="692"/>
      <c r="M27" s="693"/>
      <c r="N27" s="693"/>
      <c r="O27" s="693"/>
      <c r="P27" s="693"/>
      <c r="Q27" s="693"/>
      <c r="R27" s="693"/>
      <c r="S27" s="693"/>
      <c r="T27" s="693"/>
      <c r="U27" s="693"/>
      <c r="V27" s="695">
        <f>'Rail&amp;Bus2'!T10</f>
        <v>12020.946606425739</v>
      </c>
      <c r="W27" s="695"/>
      <c r="X27" s="695"/>
      <c r="Y27" s="695"/>
      <c r="Z27" s="695"/>
      <c r="AA27" s="695"/>
      <c r="AB27" s="695"/>
      <c r="AC27" s="695"/>
      <c r="AD27" s="695"/>
      <c r="AE27" s="695"/>
      <c r="AF27" s="695">
        <f>'Rail&amp;Bus2'!H30</f>
        <v>639.72303755550536</v>
      </c>
      <c r="AG27" s="694"/>
      <c r="AH27" s="694"/>
      <c r="AI27" s="694"/>
      <c r="AJ27" s="694"/>
      <c r="AK27" s="694"/>
      <c r="AL27" s="692">
        <v>1</v>
      </c>
      <c r="AM27" s="695">
        <v>0</v>
      </c>
      <c r="AN27" s="695">
        <v>0</v>
      </c>
      <c r="AO27" s="695">
        <v>0</v>
      </c>
      <c r="AP27" s="695">
        <v>0</v>
      </c>
      <c r="AQ27" s="695">
        <v>0</v>
      </c>
      <c r="AR27" s="695">
        <v>0</v>
      </c>
      <c r="AS27" s="695">
        <v>0</v>
      </c>
      <c r="AT27" s="695">
        <v>0</v>
      </c>
      <c r="AU27" s="695">
        <v>0</v>
      </c>
      <c r="AV27" s="695">
        <v>0</v>
      </c>
      <c r="AZ27" s="689">
        <v>12</v>
      </c>
    </row>
    <row r="28" spans="1:52" s="685" customFormat="1" ht="12" customHeight="1" x14ac:dyDescent="0.2">
      <c r="A28" s="666" t="str">
        <f>Technologies!B71</f>
        <v>R2,R3,R4,R5,R6</v>
      </c>
      <c r="B28" s="666" t="str">
        <f>Technologies!C71</f>
        <v>TBCNGC</v>
      </c>
      <c r="C28" s="666" t="str">
        <f>'Rail&amp;Bus2'!B31</f>
        <v>Bus, Conventional CNG</v>
      </c>
      <c r="D28" s="666" t="s">
        <v>480</v>
      </c>
      <c r="E28" s="666" t="str">
        <f>Commodities!C$55</f>
        <v>TBCNG</v>
      </c>
      <c r="F28" s="666" t="s">
        <v>93</v>
      </c>
      <c r="G28" s="692">
        <v>1</v>
      </c>
      <c r="H28" s="695">
        <v>2015</v>
      </c>
      <c r="I28" s="692">
        <f t="shared" si="9"/>
        <v>17</v>
      </c>
      <c r="J28" s="692">
        <v>0.18</v>
      </c>
      <c r="K28" s="692"/>
      <c r="L28" s="692"/>
      <c r="M28" s="697">
        <f>'Rail&amp;Bus2'!$I31</f>
        <v>2.8412947447489963E-2</v>
      </c>
      <c r="N28" s="697">
        <f>'Rail&amp;Bus2'!$I32</f>
        <v>2.9718407195077338E-2</v>
      </c>
      <c r="O28" s="697">
        <f t="shared" ref="O28:U28" si="20">N28</f>
        <v>2.9718407195077338E-2</v>
      </c>
      <c r="P28" s="697">
        <f t="shared" si="20"/>
        <v>2.9718407195077338E-2</v>
      </c>
      <c r="Q28" s="697">
        <f t="shared" si="20"/>
        <v>2.9718407195077338E-2</v>
      </c>
      <c r="R28" s="697">
        <f t="shared" si="20"/>
        <v>2.9718407195077338E-2</v>
      </c>
      <c r="S28" s="697">
        <f t="shared" si="20"/>
        <v>2.9718407195077338E-2</v>
      </c>
      <c r="T28" s="697">
        <f t="shared" si="20"/>
        <v>2.9718407195077338E-2</v>
      </c>
      <c r="U28" s="697">
        <f t="shared" si="20"/>
        <v>2.9718407195077338E-2</v>
      </c>
      <c r="V28" s="692"/>
      <c r="W28" s="695">
        <f>'Rail&amp;Bus2'!G31</f>
        <v>12033.045602920778</v>
      </c>
      <c r="X28" s="695">
        <f>'Rail&amp;Bus2'!G32</f>
        <v>12046.850043070701</v>
      </c>
      <c r="Y28" s="695">
        <f t="shared" ref="Y28:AE28" si="21">X28</f>
        <v>12046.850043070701</v>
      </c>
      <c r="Z28" s="695">
        <f t="shared" si="21"/>
        <v>12046.850043070701</v>
      </c>
      <c r="AA28" s="695">
        <f t="shared" si="21"/>
        <v>12046.850043070701</v>
      </c>
      <c r="AB28" s="695">
        <f t="shared" si="21"/>
        <v>12046.850043070701</v>
      </c>
      <c r="AC28" s="695">
        <f t="shared" si="21"/>
        <v>12046.850043070701</v>
      </c>
      <c r="AD28" s="695">
        <f t="shared" si="21"/>
        <v>12046.850043070701</v>
      </c>
      <c r="AE28" s="695">
        <f t="shared" si="21"/>
        <v>12046.850043070701</v>
      </c>
      <c r="AF28" s="695">
        <f>'Rail&amp;Bus2'!H31</f>
        <v>639.72303755550536</v>
      </c>
      <c r="AG28" s="694"/>
      <c r="AH28" s="694"/>
      <c r="AI28" s="694"/>
      <c r="AJ28" s="694"/>
      <c r="AK28" s="694"/>
      <c r="AL28" s="692">
        <v>1</v>
      </c>
      <c r="AM28" s="695">
        <v>0</v>
      </c>
      <c r="AN28" s="695"/>
      <c r="AO28" s="695"/>
      <c r="AP28" s="695"/>
      <c r="AQ28" s="695"/>
      <c r="AR28" s="695"/>
      <c r="AS28" s="695"/>
      <c r="AT28" s="695"/>
      <c r="AU28" s="695"/>
      <c r="AV28" s="695"/>
      <c r="AZ28" s="689">
        <f>'Rail&amp;Bus2'!F31</f>
        <v>12</v>
      </c>
    </row>
    <row r="29" spans="1:52" s="685" customFormat="1" ht="12" customHeight="1" x14ac:dyDescent="0.2">
      <c r="A29" s="666" t="str">
        <f>Technologies!B72</f>
        <v>R2,R3,R4,R5,R6</v>
      </c>
      <c r="B29" s="666" t="str">
        <f>Technologies!C72</f>
        <v>TBCNGIM</v>
      </c>
      <c r="C29" s="666" t="str">
        <f>Technologies!D72</f>
        <v>Bus, Improved CNG</v>
      </c>
      <c r="D29" s="666" t="s">
        <v>480</v>
      </c>
      <c r="E29" s="666" t="str">
        <f>Commodities!C$55</f>
        <v>TBCNG</v>
      </c>
      <c r="F29" s="666" t="s">
        <v>93</v>
      </c>
      <c r="G29" s="692">
        <v>1</v>
      </c>
      <c r="H29" s="695">
        <v>2025</v>
      </c>
      <c r="I29" s="692">
        <f t="shared" si="9"/>
        <v>17</v>
      </c>
      <c r="J29" s="692">
        <v>0.24</v>
      </c>
      <c r="K29" s="693">
        <f>'Rail&amp;Bus2'!I33</f>
        <v>3.1231204667281531E-2</v>
      </c>
      <c r="L29" s="693"/>
      <c r="M29" s="697"/>
      <c r="N29" s="697"/>
      <c r="O29" s="693"/>
      <c r="P29" s="693"/>
      <c r="Q29" s="693"/>
      <c r="R29" s="693"/>
      <c r="S29" s="693"/>
      <c r="T29" s="693"/>
      <c r="U29" s="693"/>
      <c r="V29" s="695"/>
      <c r="W29" s="695"/>
      <c r="X29" s="695"/>
      <c r="Y29" s="695">
        <f>'Rail&amp;Bus2'!G33</f>
        <v>12573.413816062179</v>
      </c>
      <c r="Z29" s="695">
        <f t="shared" ref="Z29:AE29" si="22">Y29</f>
        <v>12573.413816062179</v>
      </c>
      <c r="AA29" s="695">
        <f t="shared" si="22"/>
        <v>12573.413816062179</v>
      </c>
      <c r="AB29" s="695">
        <f t="shared" si="22"/>
        <v>12573.413816062179</v>
      </c>
      <c r="AC29" s="695">
        <f t="shared" si="22"/>
        <v>12573.413816062179</v>
      </c>
      <c r="AD29" s="695">
        <f t="shared" si="22"/>
        <v>12573.413816062179</v>
      </c>
      <c r="AE29" s="695">
        <f t="shared" si="22"/>
        <v>12573.413816062179</v>
      </c>
      <c r="AF29" s="695">
        <f>'Rail&amp;Bus2'!H32</f>
        <v>639.72303755550536</v>
      </c>
      <c r="AG29" s="694"/>
      <c r="AH29" s="694"/>
      <c r="AI29" s="694"/>
      <c r="AJ29" s="694"/>
      <c r="AK29" s="694"/>
      <c r="AL29" s="692">
        <v>1</v>
      </c>
      <c r="AM29" s="695">
        <v>0</v>
      </c>
      <c r="AN29" s="695"/>
      <c r="AO29" s="695"/>
      <c r="AP29" s="695"/>
      <c r="AQ29" s="695"/>
      <c r="AR29" s="695"/>
      <c r="AS29" s="695"/>
      <c r="AT29" s="695"/>
      <c r="AU29" s="695"/>
      <c r="AV29" s="695"/>
      <c r="AZ29" s="689">
        <v>12</v>
      </c>
    </row>
    <row r="30" spans="1:52" s="685" customFormat="1" ht="12" customHeight="1" x14ac:dyDescent="0.2">
      <c r="A30" s="666" t="str">
        <f>Technologies!B73</f>
        <v>R2,R3,R4,R5,R6</v>
      </c>
      <c r="B30" s="666" t="str">
        <f>Technologies!C73</f>
        <v>TBCNGADV</v>
      </c>
      <c r="C30" s="666" t="str">
        <f>'Rail&amp;Bus2'!B34</f>
        <v>Bus, Advanced Tech CNG</v>
      </c>
      <c r="D30" s="666" t="s">
        <v>480</v>
      </c>
      <c r="E30" s="666" t="str">
        <f>Commodities!C$55</f>
        <v>TBCNG</v>
      </c>
      <c r="F30" s="666" t="s">
        <v>93</v>
      </c>
      <c r="G30" s="692">
        <v>1</v>
      </c>
      <c r="H30" s="695">
        <f>'Rail&amp;Bus2'!E34</f>
        <v>2015</v>
      </c>
      <c r="I30" s="692">
        <f t="shared" si="9"/>
        <v>17</v>
      </c>
      <c r="J30" s="692">
        <v>0.28000000000000003</v>
      </c>
      <c r="K30" s="693"/>
      <c r="L30" s="693"/>
      <c r="M30" s="693">
        <f>'Rail&amp;Bus2'!I34</f>
        <v>3.022523274414067E-2</v>
      </c>
      <c r="N30" s="693">
        <f>M30</f>
        <v>3.022523274414067E-2</v>
      </c>
      <c r="O30" s="693">
        <f>'Rail&amp;Bus2'!$I35</f>
        <v>3.0839566743005316E-2</v>
      </c>
      <c r="P30" s="693">
        <f>O30</f>
        <v>3.0839566743005316E-2</v>
      </c>
      <c r="Q30" s="693">
        <f>P30</f>
        <v>3.0839566743005316E-2</v>
      </c>
      <c r="R30" s="693">
        <f>'Rail&amp;Bus2'!$I36</f>
        <v>3.1231204667281531E-2</v>
      </c>
      <c r="S30" s="693">
        <f t="shared" ref="S30:U31" si="23">R30</f>
        <v>3.1231204667281531E-2</v>
      </c>
      <c r="T30" s="693">
        <f t="shared" si="23"/>
        <v>3.1231204667281531E-2</v>
      </c>
      <c r="U30" s="693">
        <f t="shared" si="23"/>
        <v>3.1231204667281531E-2</v>
      </c>
      <c r="V30" s="695"/>
      <c r="W30" s="695">
        <f>'Rail&amp;Bus2'!G34</f>
        <v>12097.884639988599</v>
      </c>
      <c r="X30" s="695">
        <f>W30</f>
        <v>12097.884639988599</v>
      </c>
      <c r="Y30" s="695">
        <f>'Rail&amp;Bus2'!G35</f>
        <v>12081.087628897085</v>
      </c>
      <c r="Z30" s="695">
        <f t="shared" ref="Z30:AA33" si="24">Y30</f>
        <v>12081.087628897085</v>
      </c>
      <c r="AA30" s="695">
        <f t="shared" si="24"/>
        <v>12081.087628897085</v>
      </c>
      <c r="AB30" s="695">
        <f>'Rail&amp;Bus2'!G36</f>
        <v>12404.542716046335</v>
      </c>
      <c r="AC30" s="695">
        <f t="shared" ref="AC30:AE33" si="25">AB30</f>
        <v>12404.542716046335</v>
      </c>
      <c r="AD30" s="695">
        <f t="shared" si="25"/>
        <v>12404.542716046335</v>
      </c>
      <c r="AE30" s="695">
        <f t="shared" si="25"/>
        <v>12404.542716046335</v>
      </c>
      <c r="AF30" s="695">
        <f>'Rail&amp;Bus2'!H34</f>
        <v>639.72303755550536</v>
      </c>
      <c r="AG30" s="694"/>
      <c r="AH30" s="694"/>
      <c r="AI30" s="694"/>
      <c r="AJ30" s="694"/>
      <c r="AK30" s="694"/>
      <c r="AL30" s="692">
        <v>1</v>
      </c>
      <c r="AM30" s="695">
        <v>0</v>
      </c>
      <c r="AN30" s="695"/>
      <c r="AO30" s="695"/>
      <c r="AP30" s="695"/>
      <c r="AQ30" s="695"/>
      <c r="AR30" s="695"/>
      <c r="AS30" s="695"/>
      <c r="AT30" s="695"/>
      <c r="AU30" s="695"/>
      <c r="AV30" s="695"/>
      <c r="AZ30" s="689">
        <f>'Rail&amp;Bus2'!F34</f>
        <v>12</v>
      </c>
    </row>
    <row r="31" spans="1:52" s="685" customFormat="1" ht="12" customHeight="1" x14ac:dyDescent="0.2">
      <c r="A31" s="666" t="str">
        <f>Technologies!B74</f>
        <v>R2,R3,R4,R5,R6</v>
      </c>
      <c r="B31" s="666" t="str">
        <f>Technologies!C74</f>
        <v>TBCNGAH</v>
      </c>
      <c r="C31" s="666" t="str">
        <f>'Rail&amp;Bus2'!B37</f>
        <v>Bus, Advanced Hybird CNG</v>
      </c>
      <c r="D31" s="666" t="s">
        <v>480</v>
      </c>
      <c r="E31" s="666" t="str">
        <f>Commodities!C$55</f>
        <v>TBCNG</v>
      </c>
      <c r="F31" s="666" t="s">
        <v>93</v>
      </c>
      <c r="G31" s="692">
        <v>1</v>
      </c>
      <c r="H31" s="695">
        <v>2015</v>
      </c>
      <c r="I31" s="692">
        <f t="shared" si="9"/>
        <v>17</v>
      </c>
      <c r="J31" s="692">
        <v>0.28000000000000003</v>
      </c>
      <c r="K31" s="693"/>
      <c r="L31" s="693"/>
      <c r="M31" s="693">
        <f>'Rail&amp;Bus2'!I37</f>
        <v>4.0300310325520894E-2</v>
      </c>
      <c r="N31" s="693">
        <f>M31</f>
        <v>4.0300310325520894E-2</v>
      </c>
      <c r="O31" s="693">
        <f>'Rail&amp;Bus2'!$I38</f>
        <v>4.1121982049002359E-2</v>
      </c>
      <c r="P31" s="693">
        <f>O31</f>
        <v>4.1121982049002359E-2</v>
      </c>
      <c r="Q31" s="693">
        <f>P31</f>
        <v>4.1121982049002359E-2</v>
      </c>
      <c r="R31" s="693">
        <f>'Rail&amp;Bus2'!$I39</f>
        <v>4.1644165948037312E-2</v>
      </c>
      <c r="S31" s="693">
        <f t="shared" si="23"/>
        <v>4.1644165948037312E-2</v>
      </c>
      <c r="T31" s="693">
        <f t="shared" si="23"/>
        <v>4.1644165948037312E-2</v>
      </c>
      <c r="U31" s="693">
        <f t="shared" si="23"/>
        <v>4.1644165948037312E-2</v>
      </c>
      <c r="V31" s="695"/>
      <c r="W31" s="695">
        <f>'Rail&amp;Bus2'!G37</f>
        <v>18533.521073519238</v>
      </c>
      <c r="X31" s="695">
        <f>W31</f>
        <v>18533.521073519238</v>
      </c>
      <c r="Y31" s="695">
        <f>'Rail&amp;Bus2'!G38</f>
        <v>16309.300765726714</v>
      </c>
      <c r="Z31" s="695">
        <f t="shared" si="24"/>
        <v>16309.300765726714</v>
      </c>
      <c r="AA31" s="695">
        <f t="shared" si="24"/>
        <v>16309.300765726714</v>
      </c>
      <c r="AB31" s="695">
        <f>'Rail&amp;Bus2'!G39</f>
        <v>16632.755852875962</v>
      </c>
      <c r="AC31" s="695">
        <f t="shared" si="25"/>
        <v>16632.755852875962</v>
      </c>
      <c r="AD31" s="695">
        <f t="shared" si="25"/>
        <v>16632.755852875962</v>
      </c>
      <c r="AE31" s="695">
        <f t="shared" si="25"/>
        <v>16632.755852875962</v>
      </c>
      <c r="AF31" s="695">
        <f>'Rail&amp;Bus2'!H37</f>
        <v>649.13072928426288</v>
      </c>
      <c r="AG31" s="694"/>
      <c r="AH31" s="694"/>
      <c r="AI31" s="694"/>
      <c r="AJ31" s="694"/>
      <c r="AK31" s="694"/>
      <c r="AL31" s="692">
        <v>1</v>
      </c>
      <c r="AM31" s="695">
        <v>0</v>
      </c>
      <c r="AN31" s="695"/>
      <c r="AO31" s="695"/>
      <c r="AP31" s="695"/>
      <c r="AQ31" s="695"/>
      <c r="AR31" s="695"/>
      <c r="AS31" s="695"/>
      <c r="AT31" s="695"/>
      <c r="AU31" s="695"/>
      <c r="AV31" s="695"/>
      <c r="AZ31" s="689">
        <f>'Rail&amp;Bus2'!F35</f>
        <v>12</v>
      </c>
    </row>
    <row r="32" spans="1:52" s="685" customFormat="1" ht="12" customHeight="1" x14ac:dyDescent="0.2">
      <c r="A32" s="666" t="str">
        <f>Technologies!B75</f>
        <v>R2,R3,R4,R5,R6</v>
      </c>
      <c r="B32" s="666" t="str">
        <f>Technologies!C75</f>
        <v>TBH2FC</v>
      </c>
      <c r="C32" s="666" t="str">
        <f>'Rail&amp;Bus2'!B40</f>
        <v>Bus, Hydrogen Fuel Cell</v>
      </c>
      <c r="D32" s="666" t="s">
        <v>480</v>
      </c>
      <c r="E32" s="666" t="str">
        <f>Commodities!C$53</f>
        <v>TRNH2</v>
      </c>
      <c r="F32" s="666" t="s">
        <v>93</v>
      </c>
      <c r="G32" s="692">
        <v>1</v>
      </c>
      <c r="H32" s="695">
        <f>'Rail&amp;Bus2'!E40</f>
        <v>2010</v>
      </c>
      <c r="I32" s="692">
        <f t="shared" si="9"/>
        <v>17</v>
      </c>
      <c r="J32" s="692">
        <v>0.24</v>
      </c>
      <c r="K32" s="693">
        <f>'Rail&amp;Bus2'!I40</f>
        <v>2.7477593548993765E-2</v>
      </c>
      <c r="L32" s="693"/>
      <c r="M32" s="693"/>
      <c r="N32" s="693"/>
      <c r="O32" s="693"/>
      <c r="P32" s="693"/>
      <c r="Q32" s="693"/>
      <c r="R32" s="693"/>
      <c r="S32" s="693"/>
      <c r="T32" s="693"/>
      <c r="U32" s="693"/>
      <c r="V32" s="695">
        <f>'Rail&amp;Bus2'!T12</f>
        <v>63771.600034088806</v>
      </c>
      <c r="W32" s="695">
        <f>'Rail&amp;Bus2'!U12</f>
        <v>51017.280027271045</v>
      </c>
      <c r="X32" s="695">
        <f>W32</f>
        <v>51017.280027271045</v>
      </c>
      <c r="Y32" s="695">
        <f>'Rail&amp;Bus2'!V12</f>
        <v>31885.800017044403</v>
      </c>
      <c r="Z32" s="695">
        <f t="shared" si="24"/>
        <v>31885.800017044403</v>
      </c>
      <c r="AA32" s="695">
        <f t="shared" si="24"/>
        <v>31885.800017044403</v>
      </c>
      <c r="AB32" s="695">
        <f>'Rail&amp;Bus2'!W12</f>
        <v>19131.480010226642</v>
      </c>
      <c r="AC32" s="695">
        <f t="shared" si="25"/>
        <v>19131.480010226642</v>
      </c>
      <c r="AD32" s="695">
        <f t="shared" si="25"/>
        <v>19131.480010226642</v>
      </c>
      <c r="AE32" s="695">
        <f t="shared" si="25"/>
        <v>19131.480010226642</v>
      </c>
      <c r="AF32" s="695">
        <f>'Rail&amp;Bus2'!H43</f>
        <v>1317.0768420260404</v>
      </c>
      <c r="AG32" s="694"/>
      <c r="AH32" s="694"/>
      <c r="AI32" s="694"/>
      <c r="AJ32" s="694"/>
      <c r="AK32" s="694"/>
      <c r="AL32" s="692">
        <v>1</v>
      </c>
      <c r="AM32" s="695">
        <v>0</v>
      </c>
      <c r="AN32" s="695"/>
      <c r="AO32" s="695"/>
      <c r="AP32" s="695"/>
      <c r="AQ32" s="695"/>
      <c r="AR32" s="695"/>
      <c r="AS32" s="695"/>
      <c r="AT32" s="695"/>
      <c r="AU32" s="695"/>
      <c r="AV32" s="695"/>
      <c r="AZ32" s="689">
        <f>'Rail&amp;Bus2'!F40</f>
        <v>12</v>
      </c>
    </row>
    <row r="33" spans="1:52" s="685" customFormat="1" ht="12" customHeight="1" x14ac:dyDescent="0.2">
      <c r="A33" s="666" t="str">
        <f>Technologies!B76</f>
        <v>R2,R3,R4,R5,R6</v>
      </c>
      <c r="B33" s="666" t="str">
        <f>Technologies!C76</f>
        <v>TBH2HYB</v>
      </c>
      <c r="C33" s="666" t="str">
        <f>'Rail&amp;Bus2'!B44</f>
        <v>Bus, Hydrogen Fuel Cell Hybrid</v>
      </c>
      <c r="D33" s="666" t="s">
        <v>480</v>
      </c>
      <c r="E33" s="666" t="str">
        <f>Commodities!C$53</f>
        <v>TRNH2</v>
      </c>
      <c r="F33" s="666" t="s">
        <v>93</v>
      </c>
      <c r="G33" s="692">
        <v>1</v>
      </c>
      <c r="H33" s="695">
        <f>'Rail&amp;Bus2'!E44</f>
        <v>2010</v>
      </c>
      <c r="I33" s="692">
        <f t="shared" si="9"/>
        <v>17</v>
      </c>
      <c r="J33" s="692">
        <v>0.24</v>
      </c>
      <c r="K33" s="693">
        <f>'Rail&amp;Bus2'!I44</f>
        <v>4.9930712849028683E-2</v>
      </c>
      <c r="L33" s="693"/>
      <c r="M33" s="693"/>
      <c r="N33" s="693"/>
      <c r="O33" s="693"/>
      <c r="P33" s="693"/>
      <c r="Q33" s="693"/>
      <c r="R33" s="693"/>
      <c r="S33" s="693"/>
      <c r="T33" s="693"/>
      <c r="U33" s="693"/>
      <c r="V33" s="695">
        <f>V32</f>
        <v>63771.600034088806</v>
      </c>
      <c r="W33" s="695">
        <f>'Rail&amp;Bus2'!U13</f>
        <v>51017.280027271045</v>
      </c>
      <c r="X33" s="695">
        <f>W33</f>
        <v>51017.280027271045</v>
      </c>
      <c r="Y33" s="695">
        <f>'Rail&amp;Bus2'!V13</f>
        <v>31885.800017044403</v>
      </c>
      <c r="Z33" s="695">
        <f t="shared" si="24"/>
        <v>31885.800017044403</v>
      </c>
      <c r="AA33" s="695">
        <f t="shared" si="24"/>
        <v>31885.800017044403</v>
      </c>
      <c r="AB33" s="695">
        <f>'Rail&amp;Bus2'!W13</f>
        <v>19131.480010226642</v>
      </c>
      <c r="AC33" s="695">
        <f t="shared" si="25"/>
        <v>19131.480010226642</v>
      </c>
      <c r="AD33" s="695">
        <f t="shared" si="25"/>
        <v>19131.480010226642</v>
      </c>
      <c r="AE33" s="695">
        <f t="shared" si="25"/>
        <v>19131.480010226642</v>
      </c>
      <c r="AF33" s="695">
        <f>'Rail&amp;Bus2'!H44</f>
        <v>1317.0768420260404</v>
      </c>
      <c r="AG33" s="694"/>
      <c r="AH33" s="694"/>
      <c r="AI33" s="694"/>
      <c r="AJ33" s="694"/>
      <c r="AK33" s="694"/>
      <c r="AL33" s="692">
        <v>1</v>
      </c>
      <c r="AM33" s="695"/>
      <c r="AN33" s="695"/>
      <c r="AO33" s="695"/>
      <c r="AP33" s="695"/>
      <c r="AQ33" s="695"/>
      <c r="AR33" s="695"/>
      <c r="AS33" s="695"/>
      <c r="AT33" s="695"/>
      <c r="AU33" s="695"/>
      <c r="AV33" s="695"/>
      <c r="AZ33" s="689">
        <f>'Rail&amp;Bus2'!F44</f>
        <v>12</v>
      </c>
    </row>
    <row r="34" spans="1:52" s="685" customFormat="1" ht="12" customHeight="1" x14ac:dyDescent="0.2">
      <c r="A34" s="666" t="str">
        <f>Technologies!B77</f>
        <v>R2,R3,R4,R5,R6</v>
      </c>
      <c r="B34" s="666" t="str">
        <f>Technologies!C77</f>
        <v>TBELC</v>
      </c>
      <c r="C34" s="666" t="str">
        <f>Technologies!D77</f>
        <v>Bus, Conventional ELC</v>
      </c>
      <c r="D34" s="666" t="s">
        <v>480</v>
      </c>
      <c r="E34" s="666" t="s">
        <v>9</v>
      </c>
      <c r="F34" s="666" t="s">
        <v>93</v>
      </c>
      <c r="G34" s="692">
        <v>1</v>
      </c>
      <c r="H34" s="695">
        <v>2020</v>
      </c>
      <c r="I34" s="692">
        <v>17</v>
      </c>
      <c r="J34" s="692">
        <v>0.28000000000000003</v>
      </c>
      <c r="K34" s="693">
        <v>8.1100000000000005E-2</v>
      </c>
      <c r="L34" s="693"/>
      <c r="M34" s="693"/>
      <c r="N34" s="693"/>
      <c r="O34" s="693"/>
      <c r="P34" s="693"/>
      <c r="Q34" s="693"/>
      <c r="R34" s="693"/>
      <c r="S34" s="693"/>
      <c r="T34" s="693"/>
      <c r="U34" s="693"/>
      <c r="V34" s="695"/>
      <c r="W34" s="695">
        <v>16379.9789</v>
      </c>
      <c r="X34" s="695">
        <v>16379.9789</v>
      </c>
      <c r="Y34" s="695">
        <v>16379.9789</v>
      </c>
      <c r="Z34" s="695">
        <v>16379.9789</v>
      </c>
      <c r="AA34" s="695">
        <v>16379.9789</v>
      </c>
      <c r="AB34" s="695">
        <v>16379.9789</v>
      </c>
      <c r="AC34" s="695">
        <v>16379.9789</v>
      </c>
      <c r="AD34" s="695">
        <v>16379.9789</v>
      </c>
      <c r="AE34" s="695">
        <v>16379.9789</v>
      </c>
      <c r="AF34" s="695">
        <v>333.03230000000002</v>
      </c>
      <c r="AG34" s="694"/>
      <c r="AH34" s="694"/>
      <c r="AI34" s="694"/>
      <c r="AJ34" s="694"/>
      <c r="AK34" s="694"/>
      <c r="AL34" s="692">
        <v>1</v>
      </c>
      <c r="AM34" s="695"/>
      <c r="AN34" s="695"/>
      <c r="AO34" s="695"/>
      <c r="AP34" s="695"/>
      <c r="AQ34" s="695"/>
      <c r="AR34" s="695"/>
      <c r="AS34" s="695"/>
      <c r="AT34" s="695"/>
      <c r="AU34" s="695"/>
      <c r="AV34" s="695"/>
      <c r="AZ34" s="689">
        <v>12</v>
      </c>
    </row>
    <row r="35" spans="1:52" s="685" customFormat="1" ht="12" customHeight="1" x14ac:dyDescent="0.2">
      <c r="A35" s="666" t="str">
        <f>Technologies!B78</f>
        <v>R2,R3,R4,R5,R6</v>
      </c>
      <c r="B35" s="666" t="str">
        <f>Technologies!C78</f>
        <v>TBELCIM</v>
      </c>
      <c r="C35" s="666" t="str">
        <f>Technologies!D78</f>
        <v>Bus, Improved ELC</v>
      </c>
      <c r="D35" s="666" t="s">
        <v>480</v>
      </c>
      <c r="E35" s="666" t="s">
        <v>9</v>
      </c>
      <c r="F35" s="666" t="s">
        <v>93</v>
      </c>
      <c r="G35" s="692">
        <v>1</v>
      </c>
      <c r="H35" s="695">
        <v>2025</v>
      </c>
      <c r="I35" s="692">
        <v>17</v>
      </c>
      <c r="J35" s="692">
        <v>0.28000000000000003</v>
      </c>
      <c r="K35" s="693"/>
      <c r="L35" s="693">
        <v>8.9200000000000002E-2</v>
      </c>
      <c r="M35" s="693">
        <v>8.9200000000000002E-2</v>
      </c>
      <c r="N35" s="693">
        <v>8.9200000000000002E-2</v>
      </c>
      <c r="O35" s="693">
        <v>8.9200000000000002E-2</v>
      </c>
      <c r="P35" s="693">
        <v>8.9200000000000002E-2</v>
      </c>
      <c r="Q35" s="693">
        <v>8.9200000000000002E-2</v>
      </c>
      <c r="R35" s="693">
        <v>8.9200000000000002E-2</v>
      </c>
      <c r="S35" s="693">
        <v>9.3700000000000006E-2</v>
      </c>
      <c r="T35" s="693">
        <v>9.3700000000000006E-2</v>
      </c>
      <c r="U35" s="693">
        <v>9.8400000000000001E-2</v>
      </c>
      <c r="V35" s="695"/>
      <c r="W35" s="695">
        <v>16379.9789</v>
      </c>
      <c r="X35" s="695">
        <v>16379.9789</v>
      </c>
      <c r="Y35" s="695">
        <v>16379.9789</v>
      </c>
      <c r="Z35" s="695">
        <v>16379.9789</v>
      </c>
      <c r="AA35" s="695">
        <v>16379.9789</v>
      </c>
      <c r="AB35" s="695">
        <v>16379.9789</v>
      </c>
      <c r="AC35" s="695">
        <v>16379.9789</v>
      </c>
      <c r="AD35" s="695">
        <v>16379.9789</v>
      </c>
      <c r="AE35" s="695">
        <v>16379.9789</v>
      </c>
      <c r="AF35" s="695">
        <v>333.03230000000002</v>
      </c>
      <c r="AG35" s="694"/>
      <c r="AH35" s="694"/>
      <c r="AI35" s="694"/>
      <c r="AJ35" s="694"/>
      <c r="AK35" s="694"/>
      <c r="AL35" s="692">
        <v>1</v>
      </c>
      <c r="AM35" s="695"/>
      <c r="AN35" s="695"/>
      <c r="AO35" s="695"/>
      <c r="AP35" s="695"/>
      <c r="AQ35" s="695"/>
      <c r="AR35" s="695"/>
      <c r="AS35" s="695"/>
      <c r="AT35" s="695"/>
      <c r="AU35" s="695"/>
      <c r="AV35" s="695"/>
      <c r="AZ35" s="689">
        <v>12</v>
      </c>
    </row>
    <row r="36" spans="1:52" s="685" customFormat="1" ht="12" customHeight="1" x14ac:dyDescent="0.2">
      <c r="A36" s="699" t="s">
        <v>482</v>
      </c>
      <c r="B36" s="668"/>
      <c r="C36" s="668"/>
      <c r="D36" s="668"/>
      <c r="E36" s="668"/>
      <c r="F36" s="668"/>
      <c r="G36" s="700"/>
      <c r="H36" s="701"/>
      <c r="I36" s="701"/>
      <c r="J36" s="701"/>
      <c r="K36" s="701"/>
      <c r="L36" s="701"/>
      <c r="M36" s="701"/>
      <c r="N36" s="701"/>
      <c r="O36" s="701"/>
      <c r="P36" s="701"/>
      <c r="Q36" s="701"/>
      <c r="R36" s="701"/>
      <c r="S36" s="701"/>
      <c r="T36" s="701"/>
      <c r="U36" s="701"/>
      <c r="V36" s="701"/>
      <c r="W36" s="701"/>
      <c r="X36" s="701"/>
      <c r="Y36" s="701"/>
      <c r="Z36" s="701"/>
      <c r="AA36" s="701"/>
      <c r="AB36" s="701"/>
      <c r="AC36" s="701"/>
      <c r="AD36" s="701"/>
      <c r="AE36" s="701"/>
      <c r="AF36" s="701"/>
      <c r="AG36" s="701"/>
      <c r="AH36" s="701"/>
      <c r="AI36" s="701"/>
      <c r="AJ36" s="701"/>
      <c r="AK36" s="701"/>
      <c r="AL36" s="701"/>
      <c r="AM36" s="702">
        <v>0</v>
      </c>
      <c r="AN36" s="702"/>
      <c r="AO36" s="702"/>
      <c r="AP36" s="702"/>
      <c r="AQ36" s="702"/>
      <c r="AR36" s="702"/>
      <c r="AS36" s="702"/>
      <c r="AT36" s="702"/>
      <c r="AU36" s="702"/>
      <c r="AV36" s="702"/>
      <c r="AZ36" s="689"/>
    </row>
    <row r="37" spans="1:52" s="685" customFormat="1" ht="12" customHeight="1" x14ac:dyDescent="0.2">
      <c r="A37" s="666" t="s">
        <v>115</v>
      </c>
      <c r="B37" s="666" t="str">
        <f>Technologies!C81</f>
        <v>TCGSLC10</v>
      </c>
      <c r="C37" s="666" t="str">
        <f>Technologies!D81</f>
        <v>Commercial Truck, Gasoline 2010</v>
      </c>
      <c r="D37" s="666" t="s">
        <v>480</v>
      </c>
      <c r="E37" s="666" t="s">
        <v>33</v>
      </c>
      <c r="F37" s="666" t="str">
        <f>Commodities!C$18</f>
        <v>TC</v>
      </c>
      <c r="G37" s="692">
        <v>1</v>
      </c>
      <c r="H37" s="692">
        <v>2010</v>
      </c>
      <c r="I37" s="692">
        <f t="shared" ref="I37:I65" si="26">AZ37+5</f>
        <v>20.5</v>
      </c>
      <c r="J37" s="692">
        <v>0.18</v>
      </c>
      <c r="K37" s="693">
        <f>Trucks!H7</f>
        <v>0.11893076184220376</v>
      </c>
      <c r="L37" s="693"/>
      <c r="M37" s="693"/>
      <c r="N37" s="693"/>
      <c r="O37" s="693"/>
      <c r="P37" s="693"/>
      <c r="Q37" s="693"/>
      <c r="R37" s="693"/>
      <c r="S37" s="693"/>
      <c r="T37" s="693"/>
      <c r="U37" s="693"/>
      <c r="V37" s="694">
        <f>Trucks!F7</f>
        <v>1113.4942710231383</v>
      </c>
      <c r="W37" s="694">
        <f>V37</f>
        <v>1113.4942710231383</v>
      </c>
      <c r="X37" s="692"/>
      <c r="Y37" s="692"/>
      <c r="Z37" s="692"/>
      <c r="AA37" s="692"/>
      <c r="AB37" s="692"/>
      <c r="AC37" s="692"/>
      <c r="AD37" s="692"/>
      <c r="AE37" s="692"/>
      <c r="AF37" s="695">
        <f>Trucks!G8</f>
        <v>56.323060573857596</v>
      </c>
      <c r="AG37" s="694"/>
      <c r="AH37" s="694"/>
      <c r="AI37" s="694"/>
      <c r="AJ37" s="694"/>
      <c r="AK37" s="694"/>
      <c r="AL37" s="692">
        <v>1</v>
      </c>
      <c r="AM37" s="695"/>
      <c r="AN37" s="695">
        <v>0</v>
      </c>
      <c r="AO37" s="695">
        <v>0</v>
      </c>
      <c r="AP37" s="695">
        <v>0</v>
      </c>
      <c r="AQ37" s="695">
        <v>0</v>
      </c>
      <c r="AR37" s="695">
        <v>0</v>
      </c>
      <c r="AS37" s="695">
        <v>0</v>
      </c>
      <c r="AT37" s="695">
        <v>0</v>
      </c>
      <c r="AU37" s="695">
        <v>0</v>
      </c>
      <c r="AV37" s="695">
        <v>0</v>
      </c>
      <c r="AZ37" s="690">
        <f>Trucks!E67</f>
        <v>15.5</v>
      </c>
    </row>
    <row r="38" spans="1:52" s="685" customFormat="1" ht="12" customHeight="1" x14ac:dyDescent="0.2">
      <c r="A38" s="666" t="s">
        <v>115</v>
      </c>
      <c r="B38" s="666" t="str">
        <f>Technologies!C82</f>
        <v>TCGSLC</v>
      </c>
      <c r="C38" s="666" t="str">
        <f>Technologies!D82</f>
        <v>Commercial Truck, Conventional Gasoline</v>
      </c>
      <c r="D38" s="666" t="s">
        <v>480</v>
      </c>
      <c r="E38" s="666" t="s">
        <v>33</v>
      </c>
      <c r="F38" s="666" t="str">
        <f>Commodities!C$18</f>
        <v>TC</v>
      </c>
      <c r="G38" s="692">
        <v>1</v>
      </c>
      <c r="H38" s="695">
        <v>2015</v>
      </c>
      <c r="I38" s="692">
        <f t="shared" si="26"/>
        <v>20.5</v>
      </c>
      <c r="J38" s="692">
        <v>0.18</v>
      </c>
      <c r="K38" s="692"/>
      <c r="L38" s="692"/>
      <c r="M38" s="693">
        <f>Trucks!H8</f>
        <v>0.12946583429191386</v>
      </c>
      <c r="N38" s="693">
        <f>Trucks!H9</f>
        <v>0.13360732394187996</v>
      </c>
      <c r="O38" s="693">
        <f t="shared" ref="O38:U38" si="27">N38</f>
        <v>0.13360732394187996</v>
      </c>
      <c r="P38" s="693">
        <f t="shared" si="27"/>
        <v>0.13360732394187996</v>
      </c>
      <c r="Q38" s="693">
        <f t="shared" si="27"/>
        <v>0.13360732394187996</v>
      </c>
      <c r="R38" s="693">
        <f t="shared" si="27"/>
        <v>0.13360732394187996</v>
      </c>
      <c r="S38" s="693">
        <f t="shared" si="27"/>
        <v>0.13360732394187996</v>
      </c>
      <c r="T38" s="693">
        <f t="shared" si="27"/>
        <v>0.13360732394187996</v>
      </c>
      <c r="U38" s="693">
        <f t="shared" si="27"/>
        <v>0.13360732394187996</v>
      </c>
      <c r="V38" s="692"/>
      <c r="W38" s="694">
        <f>Trucks!F8</f>
        <v>1122.3649389096922</v>
      </c>
      <c r="X38" s="694">
        <f>Trucks!F9</f>
        <v>1130.9319679636928</v>
      </c>
      <c r="Y38" s="694">
        <f t="shared" ref="Y38:AE38" si="28">X38</f>
        <v>1130.9319679636928</v>
      </c>
      <c r="Z38" s="694">
        <f t="shared" si="28"/>
        <v>1130.9319679636928</v>
      </c>
      <c r="AA38" s="694">
        <f t="shared" si="28"/>
        <v>1130.9319679636928</v>
      </c>
      <c r="AB38" s="694">
        <f t="shared" si="28"/>
        <v>1130.9319679636928</v>
      </c>
      <c r="AC38" s="694">
        <f t="shared" si="28"/>
        <v>1130.9319679636928</v>
      </c>
      <c r="AD38" s="694">
        <f t="shared" si="28"/>
        <v>1130.9319679636928</v>
      </c>
      <c r="AE38" s="694">
        <f t="shared" si="28"/>
        <v>1130.9319679636928</v>
      </c>
      <c r="AF38" s="695">
        <f>Trucks!G8</f>
        <v>56.323060573857596</v>
      </c>
      <c r="AG38" s="694"/>
      <c r="AH38" s="694"/>
      <c r="AI38" s="694"/>
      <c r="AJ38" s="694"/>
      <c r="AK38" s="694"/>
      <c r="AL38" s="692">
        <v>1</v>
      </c>
      <c r="AM38" s="695"/>
      <c r="AN38" s="695"/>
      <c r="AO38" s="695"/>
      <c r="AP38" s="695"/>
      <c r="AQ38" s="695"/>
      <c r="AR38" s="695"/>
      <c r="AS38" s="695"/>
      <c r="AT38" s="695"/>
      <c r="AU38" s="695"/>
      <c r="AV38" s="695"/>
      <c r="AZ38" s="690">
        <f>Trucks!E8</f>
        <v>15.5</v>
      </c>
    </row>
    <row r="39" spans="1:52" s="685" customFormat="1" ht="12" customHeight="1" x14ac:dyDescent="0.2">
      <c r="A39" s="666" t="s">
        <v>115</v>
      </c>
      <c r="B39" s="666" t="str">
        <f>Technologies!C83</f>
        <v>TCGSLIM</v>
      </c>
      <c r="C39" s="666" t="str">
        <f>Technologies!D83</f>
        <v>Commercial Truck, Improved Gasoline</v>
      </c>
      <c r="D39" s="666" t="s">
        <v>480</v>
      </c>
      <c r="E39" s="666" t="s">
        <v>33</v>
      </c>
      <c r="F39" s="666" t="str">
        <f>Commodities!C$18</f>
        <v>TC</v>
      </c>
      <c r="G39" s="692">
        <v>1</v>
      </c>
      <c r="H39" s="695">
        <v>2025</v>
      </c>
      <c r="I39" s="692">
        <f t="shared" si="26"/>
        <v>20.5</v>
      </c>
      <c r="J39" s="692">
        <v>0.24</v>
      </c>
      <c r="K39" s="692"/>
      <c r="L39" s="693"/>
      <c r="M39" s="693"/>
      <c r="N39" s="693"/>
      <c r="O39" s="693">
        <f>Trucks!H10</f>
        <v>0.1437290909071739</v>
      </c>
      <c r="P39" s="693">
        <f t="shared" ref="P39:Q41" si="29">O39</f>
        <v>0.1437290909071739</v>
      </c>
      <c r="Q39" s="693">
        <f t="shared" si="29"/>
        <v>0.1437290909071739</v>
      </c>
      <c r="R39" s="693">
        <f>Trucks!H11</f>
        <v>0.15823695689076192</v>
      </c>
      <c r="S39" s="693">
        <f t="shared" ref="S39:U41" si="30">R39</f>
        <v>0.15823695689076192</v>
      </c>
      <c r="T39" s="693">
        <f t="shared" si="30"/>
        <v>0.15823695689076192</v>
      </c>
      <c r="U39" s="693">
        <f t="shared" si="30"/>
        <v>0.15823695689076192</v>
      </c>
      <c r="V39" s="694"/>
      <c r="W39" s="694"/>
      <c r="X39" s="694"/>
      <c r="Y39" s="694">
        <f>Trucks!F10</f>
        <v>1170.8328130291713</v>
      </c>
      <c r="Z39" s="694">
        <f t="shared" ref="Z39:AA41" si="31">Y39</f>
        <v>1170.8328130291713</v>
      </c>
      <c r="AA39" s="694">
        <f t="shared" si="31"/>
        <v>1170.8328130291713</v>
      </c>
      <c r="AB39" s="694">
        <f>Trucks!F11</f>
        <v>1207.5097080019957</v>
      </c>
      <c r="AC39" s="694">
        <f t="shared" ref="AC39:AE41" si="32">AB39</f>
        <v>1207.5097080019957</v>
      </c>
      <c r="AD39" s="694">
        <f t="shared" si="32"/>
        <v>1207.5097080019957</v>
      </c>
      <c r="AE39" s="694">
        <f t="shared" si="32"/>
        <v>1207.5097080019957</v>
      </c>
      <c r="AF39" s="695">
        <f>AF38</f>
        <v>56.323060573857596</v>
      </c>
      <c r="AG39" s="694"/>
      <c r="AH39" s="694"/>
      <c r="AI39" s="694"/>
      <c r="AJ39" s="694"/>
      <c r="AK39" s="694"/>
      <c r="AL39" s="692">
        <v>1</v>
      </c>
      <c r="AM39" s="695"/>
      <c r="AN39" s="695"/>
      <c r="AO39" s="695"/>
      <c r="AP39" s="695"/>
      <c r="AQ39" s="695"/>
      <c r="AR39" s="695"/>
      <c r="AS39" s="695"/>
      <c r="AT39" s="695"/>
      <c r="AU39" s="695"/>
      <c r="AV39" s="695"/>
      <c r="AZ39" s="690">
        <v>15.5</v>
      </c>
    </row>
    <row r="40" spans="1:52" s="685" customFormat="1" ht="12" customHeight="1" x14ac:dyDescent="0.2">
      <c r="A40" s="666" t="s">
        <v>115</v>
      </c>
      <c r="B40" s="666" t="str">
        <f>Technologies!C84</f>
        <v>TCGSLADV</v>
      </c>
      <c r="C40" s="666" t="str">
        <f>Technologies!D84</f>
        <v>Commercial Truck, Advanced Tech Gasoline</v>
      </c>
      <c r="D40" s="666" t="s">
        <v>480</v>
      </c>
      <c r="E40" s="666" t="s">
        <v>33</v>
      </c>
      <c r="F40" s="666" t="str">
        <f>Commodities!C$18</f>
        <v>TC</v>
      </c>
      <c r="G40" s="692">
        <v>1</v>
      </c>
      <c r="H40" s="695">
        <f>Trucks!D12</f>
        <v>2015</v>
      </c>
      <c r="I40" s="692">
        <f t="shared" si="26"/>
        <v>20.5</v>
      </c>
      <c r="J40" s="692">
        <v>0.28000000000000003</v>
      </c>
      <c r="K40" s="692"/>
      <c r="L40" s="693"/>
      <c r="M40" s="693">
        <f>Trucks!H12</f>
        <v>0.18885530196077607</v>
      </c>
      <c r="N40" s="693">
        <f>M40</f>
        <v>0.18885530196077607</v>
      </c>
      <c r="O40" s="693">
        <f>Trucks!H13</f>
        <v>0.23592151834939284</v>
      </c>
      <c r="P40" s="693">
        <f t="shared" si="29"/>
        <v>0.23592151834939284</v>
      </c>
      <c r="Q40" s="693">
        <f t="shared" si="29"/>
        <v>0.23592151834939284</v>
      </c>
      <c r="R40" s="693">
        <f>Q40</f>
        <v>0.23592151834939284</v>
      </c>
      <c r="S40" s="693">
        <f t="shared" si="30"/>
        <v>0.23592151834939284</v>
      </c>
      <c r="T40" s="693">
        <f t="shared" si="30"/>
        <v>0.23592151834939284</v>
      </c>
      <c r="U40" s="693">
        <f t="shared" si="30"/>
        <v>0.23592151834939284</v>
      </c>
      <c r="V40" s="694"/>
      <c r="W40" s="694">
        <f>Trucks!F12</f>
        <v>1215.2079015640816</v>
      </c>
      <c r="X40" s="694">
        <f>W40</f>
        <v>1215.2079015640816</v>
      </c>
      <c r="Y40" s="694">
        <f>Trucks!F13</f>
        <v>1256.5737052392271</v>
      </c>
      <c r="Z40" s="694">
        <f t="shared" si="31"/>
        <v>1256.5737052392271</v>
      </c>
      <c r="AA40" s="694">
        <f t="shared" si="31"/>
        <v>1256.5737052392271</v>
      </c>
      <c r="AB40" s="694">
        <f>AA40</f>
        <v>1256.5737052392271</v>
      </c>
      <c r="AC40" s="694">
        <f t="shared" si="32"/>
        <v>1256.5737052392271</v>
      </c>
      <c r="AD40" s="694">
        <f t="shared" si="32"/>
        <v>1256.5737052392271</v>
      </c>
      <c r="AE40" s="694">
        <f t="shared" si="32"/>
        <v>1256.5737052392271</v>
      </c>
      <c r="AF40" s="695">
        <f>Trucks!G12</f>
        <v>56.323060573857596</v>
      </c>
      <c r="AG40" s="694"/>
      <c r="AH40" s="694"/>
      <c r="AI40" s="694"/>
      <c r="AJ40" s="694"/>
      <c r="AK40" s="694"/>
      <c r="AL40" s="692">
        <v>1</v>
      </c>
      <c r="AM40" s="695"/>
      <c r="AN40" s="695"/>
      <c r="AO40" s="695"/>
      <c r="AP40" s="695"/>
      <c r="AQ40" s="695"/>
      <c r="AR40" s="695"/>
      <c r="AS40" s="695"/>
      <c r="AT40" s="695"/>
      <c r="AU40" s="695"/>
      <c r="AV40" s="695"/>
      <c r="AZ40" s="690">
        <f>Trucks!E12</f>
        <v>15.5</v>
      </c>
    </row>
    <row r="41" spans="1:52" s="685" customFormat="1" ht="12" customHeight="1" x14ac:dyDescent="0.2">
      <c r="A41" s="666" t="s">
        <v>115</v>
      </c>
      <c r="B41" s="666" t="str">
        <f>Technologies!C85</f>
        <v>TCGSLAH</v>
      </c>
      <c r="C41" s="666" t="str">
        <f>Technologies!D85</f>
        <v>Commercial Truck, Advanced Hybrid Tech Gasoline</v>
      </c>
      <c r="D41" s="666" t="s">
        <v>480</v>
      </c>
      <c r="E41" s="666" t="s">
        <v>33</v>
      </c>
      <c r="F41" s="666" t="str">
        <f>Commodities!C$18</f>
        <v>TC</v>
      </c>
      <c r="G41" s="692">
        <v>1</v>
      </c>
      <c r="H41" s="695">
        <f>Trucks!D14</f>
        <v>2015</v>
      </c>
      <c r="I41" s="692">
        <f t="shared" si="26"/>
        <v>20.5</v>
      </c>
      <c r="J41" s="692">
        <v>0.28000000000000003</v>
      </c>
      <c r="K41" s="692"/>
      <c r="L41" s="693"/>
      <c r="M41" s="693">
        <f>Trucks!H14</f>
        <v>0.23111367904087821</v>
      </c>
      <c r="N41" s="693">
        <f>M41</f>
        <v>0.23111367904087821</v>
      </c>
      <c r="O41" s="693">
        <f>Trucks!H15</f>
        <v>0.28872340268500951</v>
      </c>
      <c r="P41" s="693">
        <f t="shared" si="29"/>
        <v>0.28872340268500951</v>
      </c>
      <c r="Q41" s="693">
        <f t="shared" si="29"/>
        <v>0.28872340268500951</v>
      </c>
      <c r="R41" s="693">
        <f>Trucks!H16</f>
        <v>0.29184428083264186</v>
      </c>
      <c r="S41" s="693">
        <f t="shared" si="30"/>
        <v>0.29184428083264186</v>
      </c>
      <c r="T41" s="693">
        <f t="shared" si="30"/>
        <v>0.29184428083264186</v>
      </c>
      <c r="U41" s="693">
        <f t="shared" si="30"/>
        <v>0.29184428083264186</v>
      </c>
      <c r="V41" s="692"/>
      <c r="W41" s="694">
        <f>Trucks!F14</f>
        <v>1476.4571278768453</v>
      </c>
      <c r="X41" s="694">
        <f>W41</f>
        <v>1476.4571278768453</v>
      </c>
      <c r="Y41" s="694">
        <f>Trucks!F15</f>
        <v>1517.8298517208536</v>
      </c>
      <c r="Z41" s="694">
        <f t="shared" si="31"/>
        <v>1517.8298517208536</v>
      </c>
      <c r="AA41" s="694">
        <f t="shared" si="31"/>
        <v>1517.8298517208536</v>
      </c>
      <c r="AB41" s="694">
        <f>Trucks!F16</f>
        <v>1524.4040121405108</v>
      </c>
      <c r="AC41" s="694">
        <f t="shared" si="32"/>
        <v>1524.4040121405108</v>
      </c>
      <c r="AD41" s="694">
        <f t="shared" si="32"/>
        <v>1524.4040121405108</v>
      </c>
      <c r="AE41" s="694">
        <f t="shared" si="32"/>
        <v>1524.4040121405108</v>
      </c>
      <c r="AF41" s="695">
        <f>Trucks!G14</f>
        <v>56.323060573857596</v>
      </c>
      <c r="AG41" s="694"/>
      <c r="AH41" s="694"/>
      <c r="AI41" s="694"/>
      <c r="AJ41" s="694"/>
      <c r="AK41" s="694"/>
      <c r="AL41" s="692">
        <v>1</v>
      </c>
      <c r="AM41" s="695"/>
      <c r="AN41" s="695"/>
      <c r="AO41" s="695"/>
      <c r="AP41" s="695"/>
      <c r="AQ41" s="695"/>
      <c r="AR41" s="695"/>
      <c r="AS41" s="695"/>
      <c r="AT41" s="695"/>
      <c r="AU41" s="695"/>
      <c r="AV41" s="695"/>
      <c r="AZ41" s="690">
        <f>Trucks!E14</f>
        <v>15.5</v>
      </c>
    </row>
    <row r="42" spans="1:52" s="685" customFormat="1" ht="12" customHeight="1" x14ac:dyDescent="0.2">
      <c r="A42" s="666" t="s">
        <v>115</v>
      </c>
      <c r="B42" s="666" t="str">
        <f>Technologies!C86</f>
        <v>TCDSLC10</v>
      </c>
      <c r="C42" s="666" t="str">
        <f>Technologies!D86</f>
        <v>Commercial Truck, Diesel 2010</v>
      </c>
      <c r="D42" s="666" t="s">
        <v>480</v>
      </c>
      <c r="E42" s="666" t="s">
        <v>37</v>
      </c>
      <c r="F42" s="666" t="str">
        <f>Commodities!C$18</f>
        <v>TC</v>
      </c>
      <c r="G42" s="692">
        <v>1</v>
      </c>
      <c r="H42" s="695">
        <v>2010</v>
      </c>
      <c r="I42" s="692">
        <f t="shared" si="26"/>
        <v>20.5</v>
      </c>
      <c r="J42" s="692">
        <v>0.18</v>
      </c>
      <c r="K42" s="693">
        <f>Trucks!H17</f>
        <v>0.13584460549894523</v>
      </c>
      <c r="L42" s="692"/>
      <c r="M42" s="693"/>
      <c r="N42" s="693"/>
      <c r="O42" s="693"/>
      <c r="P42" s="693"/>
      <c r="Q42" s="693"/>
      <c r="R42" s="693"/>
      <c r="S42" s="693"/>
      <c r="T42" s="693"/>
      <c r="U42" s="693"/>
      <c r="V42" s="694">
        <f>Trucks!F17</f>
        <v>1393.1309012934623</v>
      </c>
      <c r="W42" s="694"/>
      <c r="X42" s="694"/>
      <c r="Y42" s="694"/>
      <c r="Z42" s="694"/>
      <c r="AA42" s="694"/>
      <c r="AB42" s="694"/>
      <c r="AC42" s="694"/>
      <c r="AD42" s="694"/>
      <c r="AE42" s="694"/>
      <c r="AF42" s="695">
        <f>Trucks!G17</f>
        <v>30.977683315621682</v>
      </c>
      <c r="AG42" s="694"/>
      <c r="AH42" s="694"/>
      <c r="AI42" s="694"/>
      <c r="AJ42" s="694"/>
      <c r="AK42" s="694"/>
      <c r="AL42" s="692">
        <v>1</v>
      </c>
      <c r="AM42" s="695"/>
      <c r="AN42" s="695">
        <v>0</v>
      </c>
      <c r="AO42" s="695">
        <v>0</v>
      </c>
      <c r="AP42" s="695">
        <v>0</v>
      </c>
      <c r="AQ42" s="695">
        <v>0</v>
      </c>
      <c r="AR42" s="695">
        <v>0</v>
      </c>
      <c r="AS42" s="695">
        <v>0</v>
      </c>
      <c r="AT42" s="695">
        <v>0</v>
      </c>
      <c r="AU42" s="695">
        <v>0</v>
      </c>
      <c r="AV42" s="695">
        <v>0</v>
      </c>
      <c r="AZ42" s="690">
        <v>15.5</v>
      </c>
    </row>
    <row r="43" spans="1:52" s="685" customFormat="1" ht="12" customHeight="1" x14ac:dyDescent="0.2">
      <c r="A43" s="666" t="s">
        <v>115</v>
      </c>
      <c r="B43" s="666" t="str">
        <f>Technologies!C87</f>
        <v>TCDSLC</v>
      </c>
      <c r="C43" s="666" t="str">
        <f>Technologies!D87</f>
        <v>Commercial Truck, Conventional Diesel</v>
      </c>
      <c r="D43" s="666" t="s">
        <v>480</v>
      </c>
      <c r="E43" s="666" t="s">
        <v>37</v>
      </c>
      <c r="F43" s="666" t="str">
        <f>Commodities!C$18</f>
        <v>TC</v>
      </c>
      <c r="G43" s="692">
        <v>1</v>
      </c>
      <c r="H43" s="695">
        <v>2015</v>
      </c>
      <c r="I43" s="692">
        <f t="shared" si="26"/>
        <v>20.5</v>
      </c>
      <c r="J43" s="692">
        <v>0.18</v>
      </c>
      <c r="K43" s="692"/>
      <c r="L43" s="692"/>
      <c r="M43" s="693">
        <f>Trucks!H18</f>
        <v>0.14846916917561373</v>
      </c>
      <c r="N43" s="693">
        <f>Trucks!H19</f>
        <v>0.15596404396176247</v>
      </c>
      <c r="O43" s="693">
        <f t="shared" ref="O43:U43" si="33">N43</f>
        <v>0.15596404396176247</v>
      </c>
      <c r="P43" s="693">
        <f t="shared" si="33"/>
        <v>0.15596404396176247</v>
      </c>
      <c r="Q43" s="693">
        <f t="shared" si="33"/>
        <v>0.15596404396176247</v>
      </c>
      <c r="R43" s="693">
        <f t="shared" si="33"/>
        <v>0.15596404396176247</v>
      </c>
      <c r="S43" s="693">
        <f t="shared" si="33"/>
        <v>0.15596404396176247</v>
      </c>
      <c r="T43" s="693">
        <f t="shared" si="33"/>
        <v>0.15596404396176247</v>
      </c>
      <c r="U43" s="693">
        <f t="shared" si="33"/>
        <v>0.15596404396176247</v>
      </c>
      <c r="V43" s="692"/>
      <c r="W43" s="694">
        <f>Trucks!F18</f>
        <v>1403.6762500448133</v>
      </c>
      <c r="X43" s="694">
        <f>Trucks!F19</f>
        <v>1413.3892013415248</v>
      </c>
      <c r="Y43" s="694">
        <f t="shared" ref="Y43:AE43" si="34">X43</f>
        <v>1413.3892013415248</v>
      </c>
      <c r="Z43" s="694">
        <f t="shared" si="34"/>
        <v>1413.3892013415248</v>
      </c>
      <c r="AA43" s="694">
        <f t="shared" si="34"/>
        <v>1413.3892013415248</v>
      </c>
      <c r="AB43" s="694">
        <f t="shared" si="34"/>
        <v>1413.3892013415248</v>
      </c>
      <c r="AC43" s="694">
        <f t="shared" si="34"/>
        <v>1413.3892013415248</v>
      </c>
      <c r="AD43" s="694">
        <f t="shared" si="34"/>
        <v>1413.3892013415248</v>
      </c>
      <c r="AE43" s="694">
        <f t="shared" si="34"/>
        <v>1413.3892013415248</v>
      </c>
      <c r="AF43" s="695">
        <f>Trucks!G18</f>
        <v>30.977683315621682</v>
      </c>
      <c r="AG43" s="694"/>
      <c r="AH43" s="694"/>
      <c r="AI43" s="694"/>
      <c r="AJ43" s="694"/>
      <c r="AK43" s="694"/>
      <c r="AL43" s="692">
        <v>1</v>
      </c>
      <c r="AM43" s="695"/>
      <c r="AN43" s="695"/>
      <c r="AO43" s="695"/>
      <c r="AP43" s="695"/>
      <c r="AQ43" s="695"/>
      <c r="AR43" s="695"/>
      <c r="AS43" s="695"/>
      <c r="AT43" s="695"/>
      <c r="AU43" s="695"/>
      <c r="AV43" s="695"/>
      <c r="AZ43" s="690">
        <f>Trucks!E18</f>
        <v>15.5</v>
      </c>
    </row>
    <row r="44" spans="1:52" s="685" customFormat="1" ht="12" customHeight="1" x14ac:dyDescent="0.2">
      <c r="A44" s="666" t="s">
        <v>115</v>
      </c>
      <c r="B44" s="666" t="str">
        <f>Technologies!C88</f>
        <v>TCDSLIM</v>
      </c>
      <c r="C44" s="666" t="str">
        <f>Technologies!D88</f>
        <v>Commercial Truck, Improved Diesel</v>
      </c>
      <c r="D44" s="666" t="s">
        <v>480</v>
      </c>
      <c r="E44" s="666" t="s">
        <v>37</v>
      </c>
      <c r="F44" s="666" t="str">
        <f>Commodities!C$18</f>
        <v>TC</v>
      </c>
      <c r="G44" s="692">
        <v>1</v>
      </c>
      <c r="H44" s="695">
        <v>2025</v>
      </c>
      <c r="I44" s="692">
        <f t="shared" si="26"/>
        <v>20.5</v>
      </c>
      <c r="J44" s="692">
        <v>0.24</v>
      </c>
      <c r="K44" s="693">
        <f>Trucks!H20</f>
        <v>0.17744269639706767</v>
      </c>
      <c r="L44" s="693"/>
      <c r="M44" s="693"/>
      <c r="N44" s="693"/>
      <c r="O44" s="692"/>
      <c r="P44" s="693"/>
      <c r="Q44" s="693"/>
      <c r="R44" s="693"/>
      <c r="S44" s="693"/>
      <c r="T44" s="693"/>
      <c r="U44" s="693"/>
      <c r="V44" s="694"/>
      <c r="W44" s="694"/>
      <c r="X44" s="694"/>
      <c r="Y44" s="694">
        <f>Trucks!F20</f>
        <v>1460.5130798082935</v>
      </c>
      <c r="Z44" s="694">
        <f t="shared" ref="Z44:AE44" si="35">Y44</f>
        <v>1460.5130798082935</v>
      </c>
      <c r="AA44" s="694">
        <f t="shared" si="35"/>
        <v>1460.5130798082935</v>
      </c>
      <c r="AB44" s="694">
        <f t="shared" si="35"/>
        <v>1460.5130798082935</v>
      </c>
      <c r="AC44" s="694">
        <f t="shared" si="35"/>
        <v>1460.5130798082935</v>
      </c>
      <c r="AD44" s="694">
        <f t="shared" si="35"/>
        <v>1460.5130798082935</v>
      </c>
      <c r="AE44" s="694">
        <f t="shared" si="35"/>
        <v>1460.5130798082935</v>
      </c>
      <c r="AF44" s="695">
        <f>AF43</f>
        <v>30.977683315621682</v>
      </c>
      <c r="AG44" s="694"/>
      <c r="AH44" s="694"/>
      <c r="AI44" s="694"/>
      <c r="AJ44" s="694"/>
      <c r="AK44" s="694"/>
      <c r="AL44" s="692">
        <v>1</v>
      </c>
      <c r="AM44" s="695"/>
      <c r="AN44" s="695"/>
      <c r="AO44" s="695"/>
      <c r="AP44" s="695"/>
      <c r="AQ44" s="695"/>
      <c r="AR44" s="695"/>
      <c r="AS44" s="695"/>
      <c r="AT44" s="695"/>
      <c r="AU44" s="695"/>
      <c r="AV44" s="695"/>
      <c r="AZ44" s="690">
        <v>15.5</v>
      </c>
    </row>
    <row r="45" spans="1:52" s="685" customFormat="1" ht="12" customHeight="1" x14ac:dyDescent="0.2">
      <c r="A45" s="666" t="s">
        <v>115</v>
      </c>
      <c r="B45" s="666" t="str">
        <f>Technologies!C89</f>
        <v>TCDSLAH</v>
      </c>
      <c r="C45" s="666" t="str">
        <f>Technologies!D89</f>
        <v>Commercial Truck, Advanced Hybrid Diesel</v>
      </c>
      <c r="D45" s="666" t="s">
        <v>480</v>
      </c>
      <c r="E45" s="666" t="s">
        <v>37</v>
      </c>
      <c r="F45" s="666" t="str">
        <f>Commodities!C$18</f>
        <v>TC</v>
      </c>
      <c r="G45" s="692">
        <v>1</v>
      </c>
      <c r="H45" s="695">
        <f>Trucks!D21</f>
        <v>2015</v>
      </c>
      <c r="I45" s="692">
        <f t="shared" si="26"/>
        <v>20.5</v>
      </c>
      <c r="J45" s="692">
        <v>0.28000000000000003</v>
      </c>
      <c r="K45" s="692"/>
      <c r="L45" s="693"/>
      <c r="M45" s="693">
        <f>Trucks!H21</f>
        <v>0.21639147192508634</v>
      </c>
      <c r="N45" s="693">
        <f>M45</f>
        <v>0.21639147192508634</v>
      </c>
      <c r="O45" s="693">
        <f>Trucks!H22</f>
        <v>0.25348956628152525</v>
      </c>
      <c r="P45" s="693">
        <f>O45</f>
        <v>0.25348956628152525</v>
      </c>
      <c r="Q45" s="693">
        <f>P45</f>
        <v>0.25348956628152525</v>
      </c>
      <c r="R45" s="693">
        <f>Trucks!H23</f>
        <v>0.25348956628152525</v>
      </c>
      <c r="S45" s="693">
        <f>R45</f>
        <v>0.25348956628152525</v>
      </c>
      <c r="T45" s="693">
        <f>S45</f>
        <v>0.25348956628152525</v>
      </c>
      <c r="U45" s="693">
        <f>T45</f>
        <v>0.25348956628152525</v>
      </c>
      <c r="V45" s="694"/>
      <c r="W45" s="694">
        <f>Trucks!F21</f>
        <v>1905.381078130963</v>
      </c>
      <c r="X45" s="694">
        <f>W45</f>
        <v>1905.381078130963</v>
      </c>
      <c r="Y45" s="694">
        <f>Trucks!F22</f>
        <v>1905.381078130963</v>
      </c>
      <c r="Z45" s="694">
        <f>Y45</f>
        <v>1905.381078130963</v>
      </c>
      <c r="AA45" s="694">
        <f>Z45</f>
        <v>1905.381078130963</v>
      </c>
      <c r="AB45" s="694">
        <f>Trucks!F23</f>
        <v>1905.381078130963</v>
      </c>
      <c r="AC45" s="694">
        <f>AB45</f>
        <v>1905.381078130963</v>
      </c>
      <c r="AD45" s="694">
        <f>AC45</f>
        <v>1905.381078130963</v>
      </c>
      <c r="AE45" s="694">
        <f>AD45</f>
        <v>1905.381078130963</v>
      </c>
      <c r="AF45" s="695">
        <f>Trucks!G21</f>
        <v>30.977683315621682</v>
      </c>
      <c r="AG45" s="694"/>
      <c r="AH45" s="694"/>
      <c r="AI45" s="694"/>
      <c r="AJ45" s="694"/>
      <c r="AK45" s="694"/>
      <c r="AL45" s="692">
        <v>1</v>
      </c>
      <c r="AM45" s="695"/>
      <c r="AN45" s="695"/>
      <c r="AO45" s="695"/>
      <c r="AP45" s="695"/>
      <c r="AQ45" s="695"/>
      <c r="AR45" s="695"/>
      <c r="AS45" s="695"/>
      <c r="AT45" s="695"/>
      <c r="AU45" s="695"/>
      <c r="AV45" s="695"/>
      <c r="AZ45" s="690">
        <f>Trucks!E21</f>
        <v>15.5</v>
      </c>
    </row>
    <row r="46" spans="1:52" s="685" customFormat="1" ht="12" customHeight="1" x14ac:dyDescent="0.2">
      <c r="A46" s="666" t="s">
        <v>115</v>
      </c>
      <c r="B46" s="666" t="str">
        <f>Technologies!C90</f>
        <v>TCB20C10</v>
      </c>
      <c r="C46" s="666" t="str">
        <f>Technologies!D90</f>
        <v>Commercial Truck, B20 2010</v>
      </c>
      <c r="D46" s="666" t="s">
        <v>480</v>
      </c>
      <c r="E46" s="666" t="s">
        <v>78</v>
      </c>
      <c r="F46" s="666" t="str">
        <f>Commodities!C$18</f>
        <v>TC</v>
      </c>
      <c r="G46" s="692">
        <v>1</v>
      </c>
      <c r="H46" s="695">
        <v>2010</v>
      </c>
      <c r="I46" s="692">
        <f t="shared" si="26"/>
        <v>20.5</v>
      </c>
      <c r="J46" s="692">
        <v>0.18</v>
      </c>
      <c r="K46" s="693">
        <f>Trucks!H24</f>
        <v>0.13574870146367959</v>
      </c>
      <c r="L46" s="692"/>
      <c r="M46" s="693"/>
      <c r="N46" s="693"/>
      <c r="O46" s="693"/>
      <c r="P46" s="693"/>
      <c r="Q46" s="693"/>
      <c r="R46" s="693"/>
      <c r="S46" s="693"/>
      <c r="T46" s="693"/>
      <c r="U46" s="693"/>
      <c r="V46" s="694">
        <f>Trucks!F24</f>
        <v>1393.1309012934623</v>
      </c>
      <c r="W46" s="694"/>
      <c r="X46" s="694"/>
      <c r="Y46" s="694"/>
      <c r="Z46" s="694"/>
      <c r="AA46" s="694"/>
      <c r="AB46" s="694"/>
      <c r="AC46" s="694"/>
      <c r="AD46" s="694"/>
      <c r="AE46" s="694"/>
      <c r="AF46" s="695">
        <f>Trucks!G24</f>
        <v>30.977683315621682</v>
      </c>
      <c r="AG46" s="694"/>
      <c r="AH46" s="694"/>
      <c r="AI46" s="694"/>
      <c r="AJ46" s="694"/>
      <c r="AK46" s="694"/>
      <c r="AL46" s="692">
        <v>1</v>
      </c>
      <c r="AM46" s="695"/>
      <c r="AN46" s="695">
        <v>0</v>
      </c>
      <c r="AO46" s="695">
        <v>0</v>
      </c>
      <c r="AP46" s="695">
        <v>0</v>
      </c>
      <c r="AQ46" s="695">
        <v>0</v>
      </c>
      <c r="AR46" s="695">
        <v>0</v>
      </c>
      <c r="AS46" s="695">
        <v>0</v>
      </c>
      <c r="AT46" s="695">
        <v>0</v>
      </c>
      <c r="AU46" s="695">
        <v>0</v>
      </c>
      <c r="AV46" s="695">
        <v>0</v>
      </c>
      <c r="AZ46" s="690">
        <v>15.5</v>
      </c>
    </row>
    <row r="47" spans="1:52" s="685" customFormat="1" ht="12" customHeight="1" x14ac:dyDescent="0.2">
      <c r="A47" s="666" t="s">
        <v>115</v>
      </c>
      <c r="B47" s="666" t="str">
        <f>Technologies!C91</f>
        <v>TCB20C</v>
      </c>
      <c r="C47" s="666" t="str">
        <f>Technologies!D91</f>
        <v>Commercial Truck, Conventional B20</v>
      </c>
      <c r="D47" s="666" t="s">
        <v>480</v>
      </c>
      <c r="E47" s="666" t="s">
        <v>78</v>
      </c>
      <c r="F47" s="666" t="str">
        <f>Commodities!C$18</f>
        <v>TC</v>
      </c>
      <c r="G47" s="692">
        <v>1</v>
      </c>
      <c r="H47" s="695">
        <v>2015</v>
      </c>
      <c r="I47" s="692">
        <f t="shared" si="26"/>
        <v>20.5</v>
      </c>
      <c r="J47" s="692">
        <v>0.18</v>
      </c>
      <c r="K47" s="693"/>
      <c r="L47" s="692"/>
      <c r="M47" s="693">
        <f>Trucks!H25</f>
        <v>0.14836435240807125</v>
      </c>
      <c r="N47" s="693">
        <f>Trucks!H26</f>
        <v>0.15585393593710184</v>
      </c>
      <c r="O47" s="693">
        <f t="shared" ref="O47:U47" si="36">N47</f>
        <v>0.15585393593710184</v>
      </c>
      <c r="P47" s="693">
        <f t="shared" si="36"/>
        <v>0.15585393593710184</v>
      </c>
      <c r="Q47" s="693">
        <f t="shared" si="36"/>
        <v>0.15585393593710184</v>
      </c>
      <c r="R47" s="693">
        <f t="shared" si="36"/>
        <v>0.15585393593710184</v>
      </c>
      <c r="S47" s="693">
        <f t="shared" si="36"/>
        <v>0.15585393593710184</v>
      </c>
      <c r="T47" s="693">
        <f t="shared" si="36"/>
        <v>0.15585393593710184</v>
      </c>
      <c r="U47" s="693">
        <f t="shared" si="36"/>
        <v>0.15585393593710184</v>
      </c>
      <c r="V47" s="692"/>
      <c r="W47" s="694">
        <f>Trucks!F25</f>
        <v>1403.6762500448133</v>
      </c>
      <c r="X47" s="694">
        <f>Trucks!F26</f>
        <v>1413.3892013415248</v>
      </c>
      <c r="Y47" s="694">
        <f t="shared" ref="Y47:AE47" si="37">X47</f>
        <v>1413.3892013415248</v>
      </c>
      <c r="Z47" s="694">
        <f t="shared" si="37"/>
        <v>1413.3892013415248</v>
      </c>
      <c r="AA47" s="694">
        <f t="shared" si="37"/>
        <v>1413.3892013415248</v>
      </c>
      <c r="AB47" s="694">
        <f t="shared" si="37"/>
        <v>1413.3892013415248</v>
      </c>
      <c r="AC47" s="694">
        <f t="shared" si="37"/>
        <v>1413.3892013415248</v>
      </c>
      <c r="AD47" s="694">
        <f t="shared" si="37"/>
        <v>1413.3892013415248</v>
      </c>
      <c r="AE47" s="694">
        <f t="shared" si="37"/>
        <v>1413.3892013415248</v>
      </c>
      <c r="AF47" s="695">
        <f>Trucks!G25</f>
        <v>30.977683315621682</v>
      </c>
      <c r="AG47" s="694"/>
      <c r="AH47" s="694"/>
      <c r="AI47" s="694"/>
      <c r="AJ47" s="694"/>
      <c r="AK47" s="694"/>
      <c r="AL47" s="692">
        <v>1</v>
      </c>
      <c r="AM47" s="695"/>
      <c r="AN47" s="695"/>
      <c r="AO47" s="695"/>
      <c r="AP47" s="695"/>
      <c r="AQ47" s="695"/>
      <c r="AR47" s="695"/>
      <c r="AS47" s="695"/>
      <c r="AT47" s="695"/>
      <c r="AU47" s="695"/>
      <c r="AV47" s="695"/>
      <c r="AZ47" s="690">
        <f>Trucks!E25</f>
        <v>15.5</v>
      </c>
    </row>
    <row r="48" spans="1:52" s="685" customFormat="1" ht="12" customHeight="1" x14ac:dyDescent="0.2">
      <c r="A48" s="666" t="s">
        <v>115</v>
      </c>
      <c r="B48" s="666" t="str">
        <f>Technologies!C92</f>
        <v>TCB20IM</v>
      </c>
      <c r="C48" s="666" t="str">
        <f>Technologies!D92</f>
        <v>Commercial Truck, Improved B20</v>
      </c>
      <c r="D48" s="666" t="s">
        <v>480</v>
      </c>
      <c r="E48" s="666" t="s">
        <v>78</v>
      </c>
      <c r="F48" s="666" t="str">
        <f>Commodities!C$18</f>
        <v>TC</v>
      </c>
      <c r="G48" s="692">
        <v>1</v>
      </c>
      <c r="H48" s="695">
        <v>2025</v>
      </c>
      <c r="I48" s="692">
        <f t="shared" si="26"/>
        <v>20.5</v>
      </c>
      <c r="J48" s="692">
        <v>0.24</v>
      </c>
      <c r="K48" s="693">
        <f>Trucks!H27</f>
        <v>0.1774483830167711</v>
      </c>
      <c r="L48" s="693"/>
      <c r="M48" s="693"/>
      <c r="N48" s="693"/>
      <c r="O48" s="692"/>
      <c r="P48" s="693"/>
      <c r="Q48" s="693"/>
      <c r="R48" s="693"/>
      <c r="S48" s="693"/>
      <c r="T48" s="693"/>
      <c r="U48" s="693"/>
      <c r="V48" s="694"/>
      <c r="W48" s="694"/>
      <c r="X48" s="694"/>
      <c r="Y48" s="694">
        <f>Trucks!F27</f>
        <v>1460.5130798082935</v>
      </c>
      <c r="Z48" s="694">
        <f t="shared" ref="Z48:AE48" si="38">Y48</f>
        <v>1460.5130798082935</v>
      </c>
      <c r="AA48" s="694">
        <f t="shared" si="38"/>
        <v>1460.5130798082935</v>
      </c>
      <c r="AB48" s="694">
        <f t="shared" si="38"/>
        <v>1460.5130798082935</v>
      </c>
      <c r="AC48" s="694">
        <f t="shared" si="38"/>
        <v>1460.5130798082935</v>
      </c>
      <c r="AD48" s="694">
        <f t="shared" si="38"/>
        <v>1460.5130798082935</v>
      </c>
      <c r="AE48" s="694">
        <f t="shared" si="38"/>
        <v>1460.5130798082935</v>
      </c>
      <c r="AF48" s="695">
        <f>Trucks!G27</f>
        <v>30.977683315621682</v>
      </c>
      <c r="AG48" s="694"/>
      <c r="AH48" s="694"/>
      <c r="AI48" s="694"/>
      <c r="AJ48" s="694"/>
      <c r="AK48" s="694"/>
      <c r="AL48" s="692">
        <v>1</v>
      </c>
      <c r="AM48" s="695"/>
      <c r="AN48" s="695"/>
      <c r="AO48" s="695"/>
      <c r="AP48" s="695"/>
      <c r="AQ48" s="695"/>
      <c r="AR48" s="695"/>
      <c r="AS48" s="695"/>
      <c r="AT48" s="695"/>
      <c r="AU48" s="695"/>
      <c r="AV48" s="695"/>
      <c r="AZ48" s="690">
        <v>15.5</v>
      </c>
    </row>
    <row r="49" spans="1:52" s="685" customFormat="1" ht="12" customHeight="1" x14ac:dyDescent="0.2">
      <c r="A49" s="666" t="s">
        <v>115</v>
      </c>
      <c r="B49" s="666" t="str">
        <f>Technologies!C93</f>
        <v>TCB20AH</v>
      </c>
      <c r="C49" s="666" t="str">
        <f>Technologies!D93</f>
        <v>Commerical Truck, Advanced Hybrid B20</v>
      </c>
      <c r="D49" s="666" t="s">
        <v>480</v>
      </c>
      <c r="E49" s="666" t="s">
        <v>78</v>
      </c>
      <c r="F49" s="666" t="str">
        <f>Commodities!C$18</f>
        <v>TC</v>
      </c>
      <c r="G49" s="692">
        <v>1</v>
      </c>
      <c r="H49" s="695">
        <v>2015</v>
      </c>
      <c r="I49" s="692">
        <f t="shared" si="26"/>
        <v>20.5</v>
      </c>
      <c r="J49" s="692">
        <v>0.28000000000000003</v>
      </c>
      <c r="K49" s="693"/>
      <c r="L49" s="693"/>
      <c r="M49" s="693">
        <f>Trucks!H28</f>
        <v>0.21639840676113697</v>
      </c>
      <c r="N49" s="693">
        <f>M49</f>
        <v>0.21639840676113697</v>
      </c>
      <c r="O49" s="693">
        <f>Trucks!H29</f>
        <v>0.25349769002395872</v>
      </c>
      <c r="P49" s="693">
        <f>O49</f>
        <v>0.25349769002395872</v>
      </c>
      <c r="Q49" s="693">
        <f>P49</f>
        <v>0.25349769002395872</v>
      </c>
      <c r="R49" s="693">
        <f>Trucks!H30</f>
        <v>0.25349769002395872</v>
      </c>
      <c r="S49" s="693">
        <f>R49</f>
        <v>0.25349769002395872</v>
      </c>
      <c r="T49" s="693">
        <f>S49</f>
        <v>0.25349769002395872</v>
      </c>
      <c r="U49" s="693">
        <f>T49</f>
        <v>0.25349769002395872</v>
      </c>
      <c r="V49" s="694"/>
      <c r="W49" s="694">
        <f>Trucks!F28</f>
        <v>1905.381078130963</v>
      </c>
      <c r="X49" s="694">
        <f>W49</f>
        <v>1905.381078130963</v>
      </c>
      <c r="Y49" s="698">
        <f>Trucks!F29</f>
        <v>1905.381078130963</v>
      </c>
      <c r="Z49" s="698">
        <f>Y49</f>
        <v>1905.381078130963</v>
      </c>
      <c r="AA49" s="698">
        <f>Z49</f>
        <v>1905.381078130963</v>
      </c>
      <c r="AB49" s="694">
        <f>Trucks!F30</f>
        <v>1905.381078130963</v>
      </c>
      <c r="AC49" s="694">
        <f>AB49</f>
        <v>1905.381078130963</v>
      </c>
      <c r="AD49" s="694">
        <f>AC49</f>
        <v>1905.381078130963</v>
      </c>
      <c r="AE49" s="694">
        <f>AD49</f>
        <v>1905.381078130963</v>
      </c>
      <c r="AF49" s="695">
        <f>Trucks!G28</f>
        <v>30.977683315621682</v>
      </c>
      <c r="AG49" s="694"/>
      <c r="AH49" s="694"/>
      <c r="AI49" s="694"/>
      <c r="AJ49" s="694"/>
      <c r="AK49" s="694"/>
      <c r="AL49" s="692">
        <v>1</v>
      </c>
      <c r="AM49" s="695"/>
      <c r="AN49" s="695"/>
      <c r="AO49" s="695"/>
      <c r="AP49" s="695"/>
      <c r="AQ49" s="695"/>
      <c r="AR49" s="695"/>
      <c r="AS49" s="695"/>
      <c r="AT49" s="695"/>
      <c r="AU49" s="695"/>
      <c r="AV49" s="695"/>
      <c r="AZ49" s="690">
        <v>15.5</v>
      </c>
    </row>
    <row r="50" spans="1:52" s="685" customFormat="1" ht="12" customHeight="1" x14ac:dyDescent="0.2">
      <c r="A50" s="666" t="s">
        <v>115</v>
      </c>
      <c r="B50" s="666" t="str">
        <f>Technologies!C94</f>
        <v>TCCNGC10</v>
      </c>
      <c r="C50" s="666" t="str">
        <f>Technologies!D94</f>
        <v>Commercial Truck, CNG 2010</v>
      </c>
      <c r="D50" s="666" t="s">
        <v>480</v>
      </c>
      <c r="E50" s="666" t="str">
        <f>Commodities!C$56</f>
        <v>TCCNG</v>
      </c>
      <c r="F50" s="666" t="str">
        <f>Commodities!C$18</f>
        <v>TC</v>
      </c>
      <c r="G50" s="692">
        <v>1</v>
      </c>
      <c r="H50" s="695">
        <v>2010</v>
      </c>
      <c r="I50" s="692">
        <f t="shared" si="26"/>
        <v>20.5</v>
      </c>
      <c r="J50" s="692">
        <v>0.18</v>
      </c>
      <c r="K50" s="693">
        <f>Trucks!H31</f>
        <v>0.12808843050405344</v>
      </c>
      <c r="L50" s="692"/>
      <c r="M50" s="693"/>
      <c r="N50" s="693"/>
      <c r="O50" s="693"/>
      <c r="P50" s="693"/>
      <c r="Q50" s="693"/>
      <c r="R50" s="693"/>
      <c r="S50" s="693"/>
      <c r="T50" s="693"/>
      <c r="U50" s="693"/>
      <c r="V50" s="694">
        <f>Trucks!F31</f>
        <v>1441.6321043366597</v>
      </c>
      <c r="W50" s="694"/>
      <c r="X50" s="694"/>
      <c r="Y50" s="698"/>
      <c r="Z50" s="698"/>
      <c r="AA50" s="698"/>
      <c r="AB50" s="694"/>
      <c r="AC50" s="694"/>
      <c r="AD50" s="694"/>
      <c r="AE50" s="694"/>
      <c r="AF50" s="695">
        <f>Trucks!G31</f>
        <v>56.323060573857596</v>
      </c>
      <c r="AG50" s="694"/>
      <c r="AH50" s="694"/>
      <c r="AI50" s="694"/>
      <c r="AJ50" s="694"/>
      <c r="AK50" s="694"/>
      <c r="AL50" s="692">
        <v>1</v>
      </c>
      <c r="AM50" s="695"/>
      <c r="AN50" s="695">
        <v>0</v>
      </c>
      <c r="AO50" s="695">
        <v>0</v>
      </c>
      <c r="AP50" s="695">
        <v>0</v>
      </c>
      <c r="AQ50" s="695">
        <v>0</v>
      </c>
      <c r="AR50" s="695">
        <v>0</v>
      </c>
      <c r="AS50" s="695">
        <v>0</v>
      </c>
      <c r="AT50" s="695">
        <v>0</v>
      </c>
      <c r="AU50" s="695">
        <v>0</v>
      </c>
      <c r="AV50" s="695">
        <v>0</v>
      </c>
      <c r="AZ50" s="690">
        <v>15.5</v>
      </c>
    </row>
    <row r="51" spans="1:52" s="685" customFormat="1" ht="12" customHeight="1" x14ac:dyDescent="0.2">
      <c r="A51" s="666" t="s">
        <v>115</v>
      </c>
      <c r="B51" s="666" t="str">
        <f>Technologies!C95</f>
        <v>TCCNGC</v>
      </c>
      <c r="C51" s="666" t="str">
        <f>Technologies!D95</f>
        <v>Commercial Truck, Conventional CNG</v>
      </c>
      <c r="D51" s="666" t="s">
        <v>480</v>
      </c>
      <c r="E51" s="666" t="str">
        <f>Commodities!C$56</f>
        <v>TCCNG</v>
      </c>
      <c r="F51" s="666" t="str">
        <f>Commodities!C$18</f>
        <v>TC</v>
      </c>
      <c r="G51" s="692">
        <v>1</v>
      </c>
      <c r="H51" s="695">
        <v>2015</v>
      </c>
      <c r="I51" s="692">
        <f t="shared" si="26"/>
        <v>20.5</v>
      </c>
      <c r="J51" s="692">
        <v>0.18</v>
      </c>
      <c r="K51" s="693"/>
      <c r="L51" s="692"/>
      <c r="M51" s="693">
        <f>Trucks!H32</f>
        <v>0.13943470353239121</v>
      </c>
      <c r="N51" s="693">
        <f>Trucks!H33</f>
        <v>0.14271413072472905</v>
      </c>
      <c r="O51" s="693">
        <f t="shared" ref="O51:U51" si="39">N51</f>
        <v>0.14271413072472905</v>
      </c>
      <c r="P51" s="693">
        <f t="shared" si="39"/>
        <v>0.14271413072472905</v>
      </c>
      <c r="Q51" s="693">
        <f t="shared" si="39"/>
        <v>0.14271413072472905</v>
      </c>
      <c r="R51" s="693">
        <f t="shared" si="39"/>
        <v>0.14271413072472905</v>
      </c>
      <c r="S51" s="693">
        <f t="shared" si="39"/>
        <v>0.14271413072472905</v>
      </c>
      <c r="T51" s="693">
        <f t="shared" si="39"/>
        <v>0.14271413072472905</v>
      </c>
      <c r="U51" s="693">
        <f t="shared" si="39"/>
        <v>0.14271413072472905</v>
      </c>
      <c r="V51" s="692"/>
      <c r="W51" s="694">
        <f>Trucks!F32</f>
        <v>1453.1168869214987</v>
      </c>
      <c r="X51" s="694">
        <f>Trucks!F33</f>
        <v>1464.2085507445051</v>
      </c>
      <c r="Y51" s="694">
        <f t="shared" ref="Y51:AE51" si="40">X51</f>
        <v>1464.2085507445051</v>
      </c>
      <c r="Z51" s="694">
        <f t="shared" si="40"/>
        <v>1464.2085507445051</v>
      </c>
      <c r="AA51" s="694">
        <f t="shared" si="40"/>
        <v>1464.2085507445051</v>
      </c>
      <c r="AB51" s="694">
        <f t="shared" si="40"/>
        <v>1464.2085507445051</v>
      </c>
      <c r="AC51" s="694">
        <f t="shared" si="40"/>
        <v>1464.2085507445051</v>
      </c>
      <c r="AD51" s="694">
        <f t="shared" si="40"/>
        <v>1464.2085507445051</v>
      </c>
      <c r="AE51" s="694">
        <f t="shared" si="40"/>
        <v>1464.2085507445051</v>
      </c>
      <c r="AF51" s="695">
        <f>Trucks!G32</f>
        <v>56.323060573857596</v>
      </c>
      <c r="AG51" s="694"/>
      <c r="AH51" s="694"/>
      <c r="AI51" s="694"/>
      <c r="AJ51" s="694"/>
      <c r="AK51" s="694"/>
      <c r="AL51" s="692">
        <v>1</v>
      </c>
      <c r="AM51" s="695"/>
      <c r="AN51" s="695"/>
      <c r="AO51" s="695"/>
      <c r="AP51" s="695"/>
      <c r="AQ51" s="695"/>
      <c r="AR51" s="695"/>
      <c r="AS51" s="695"/>
      <c r="AT51" s="695"/>
      <c r="AU51" s="695"/>
      <c r="AV51" s="695"/>
      <c r="AZ51" s="690">
        <f>Trucks!E32</f>
        <v>15.5</v>
      </c>
    </row>
    <row r="52" spans="1:52" s="685" customFormat="1" ht="12" customHeight="1" x14ac:dyDescent="0.2">
      <c r="A52" s="666" t="s">
        <v>115</v>
      </c>
      <c r="B52" s="666" t="str">
        <f>Technologies!C96</f>
        <v>TCCNGIM</v>
      </c>
      <c r="C52" s="666" t="str">
        <f>Technologies!D96</f>
        <v>Commercial Truck, Improved CNG</v>
      </c>
      <c r="D52" s="666" t="s">
        <v>480</v>
      </c>
      <c r="E52" s="666" t="str">
        <f>Commodities!C$56</f>
        <v>TCCNG</v>
      </c>
      <c r="F52" s="666" t="str">
        <f>Commodities!C$18</f>
        <v>TC</v>
      </c>
      <c r="G52" s="692">
        <v>1</v>
      </c>
      <c r="H52" s="695">
        <v>2025</v>
      </c>
      <c r="I52" s="692">
        <f t="shared" si="26"/>
        <v>20.5</v>
      </c>
      <c r="J52" s="692">
        <v>0.24</v>
      </c>
      <c r="K52" s="692"/>
      <c r="L52" s="693"/>
      <c r="M52" s="693"/>
      <c r="N52" s="693"/>
      <c r="O52" s="693">
        <f>Trucks!H34</f>
        <v>0.18738156425582345</v>
      </c>
      <c r="P52" s="693">
        <f t="shared" ref="P52:Q54" si="41">O52</f>
        <v>0.18738156425582345</v>
      </c>
      <c r="Q52" s="693">
        <f t="shared" si="41"/>
        <v>0.18738156425582345</v>
      </c>
      <c r="R52" s="693">
        <f>Trucks!H35</f>
        <v>0.2132990317897287</v>
      </c>
      <c r="S52" s="693">
        <f t="shared" ref="S52:U54" si="42">R52</f>
        <v>0.2132990317897287</v>
      </c>
      <c r="T52" s="693">
        <f t="shared" si="42"/>
        <v>0.2132990317897287</v>
      </c>
      <c r="U52" s="693">
        <f t="shared" si="42"/>
        <v>0.2132990317897287</v>
      </c>
      <c r="V52" s="694"/>
      <c r="W52" s="694"/>
      <c r="X52" s="694"/>
      <c r="Y52" s="694">
        <f>Trucks!F34</f>
        <v>1503.8621421472997</v>
      </c>
      <c r="Z52" s="694">
        <f t="shared" ref="Z52:AA54" si="43">Y52</f>
        <v>1503.8621421472997</v>
      </c>
      <c r="AA52" s="694">
        <f t="shared" si="43"/>
        <v>1503.8621421472997</v>
      </c>
      <c r="AB52" s="694">
        <f>Trucks!F35</f>
        <v>1581.2055548338762</v>
      </c>
      <c r="AC52" s="694">
        <f t="shared" ref="AC52:AE54" si="44">AB52</f>
        <v>1581.2055548338762</v>
      </c>
      <c r="AD52" s="694">
        <f t="shared" si="44"/>
        <v>1581.2055548338762</v>
      </c>
      <c r="AE52" s="694">
        <f t="shared" si="44"/>
        <v>1581.2055548338762</v>
      </c>
      <c r="AF52" s="695">
        <f>AF51</f>
        <v>56.323060573857596</v>
      </c>
      <c r="AG52" s="694"/>
      <c r="AH52" s="694"/>
      <c r="AI52" s="694"/>
      <c r="AJ52" s="694"/>
      <c r="AK52" s="694"/>
      <c r="AL52" s="692">
        <v>1</v>
      </c>
      <c r="AM52" s="695"/>
      <c r="AN52" s="695"/>
      <c r="AO52" s="695"/>
      <c r="AP52" s="695"/>
      <c r="AQ52" s="695"/>
      <c r="AR52" s="695"/>
      <c r="AS52" s="695"/>
      <c r="AT52" s="695"/>
      <c r="AU52" s="695"/>
      <c r="AV52" s="695"/>
      <c r="AZ52" s="690">
        <v>15.5</v>
      </c>
    </row>
    <row r="53" spans="1:52" s="685" customFormat="1" ht="12" customHeight="1" x14ac:dyDescent="0.2">
      <c r="A53" s="666" t="s">
        <v>115</v>
      </c>
      <c r="B53" s="666" t="str">
        <f>Technologies!C97</f>
        <v>TCCNGADV</v>
      </c>
      <c r="C53" s="666" t="str">
        <f>Technologies!D97</f>
        <v>Commerical Truck, Advanced CNG</v>
      </c>
      <c r="D53" s="666" t="s">
        <v>480</v>
      </c>
      <c r="E53" s="666" t="str">
        <f>Commodities!C$56</f>
        <v>TCCNG</v>
      </c>
      <c r="F53" s="666" t="str">
        <f>Commodities!C$18</f>
        <v>TC</v>
      </c>
      <c r="G53" s="692">
        <v>1</v>
      </c>
      <c r="H53" s="695">
        <v>2015</v>
      </c>
      <c r="I53" s="692">
        <f t="shared" si="26"/>
        <v>20.5</v>
      </c>
      <c r="J53" s="692">
        <v>0.28000000000000003</v>
      </c>
      <c r="K53" s="693"/>
      <c r="L53" s="693"/>
      <c r="M53" s="693">
        <f>Trucks!H36</f>
        <v>0.22501753094629065</v>
      </c>
      <c r="N53" s="693">
        <f>M53</f>
        <v>0.22501753094629065</v>
      </c>
      <c r="O53" s="693">
        <f>Trucks!H37</f>
        <v>0.28110086598032419</v>
      </c>
      <c r="P53" s="693">
        <f t="shared" si="41"/>
        <v>0.28110086598032419</v>
      </c>
      <c r="Q53" s="693">
        <f t="shared" si="41"/>
        <v>0.28110086598032419</v>
      </c>
      <c r="R53" s="693">
        <f>Trucks!H38</f>
        <v>0.28415430914129758</v>
      </c>
      <c r="S53" s="693">
        <f t="shared" si="42"/>
        <v>0.28415430914129758</v>
      </c>
      <c r="T53" s="693">
        <f t="shared" si="42"/>
        <v>0.28415430914129758</v>
      </c>
      <c r="U53" s="693">
        <f t="shared" si="42"/>
        <v>0.28415430914129758</v>
      </c>
      <c r="V53" s="694"/>
      <c r="W53" s="694">
        <f>Trucks!F36</f>
        <v>1508.0082519534519</v>
      </c>
      <c r="X53" s="694">
        <f>W53</f>
        <v>1508.0082519534519</v>
      </c>
      <c r="Y53" s="694">
        <f>Trucks!F37</f>
        <v>1549.3742860803538</v>
      </c>
      <c r="Z53" s="694">
        <f t="shared" si="43"/>
        <v>1549.3742860803538</v>
      </c>
      <c r="AA53" s="694">
        <f t="shared" si="43"/>
        <v>1549.3742860803538</v>
      </c>
      <c r="AB53" s="694">
        <f>Trucks!F38</f>
        <v>1555.9665294317299</v>
      </c>
      <c r="AC53" s="694">
        <f t="shared" si="44"/>
        <v>1555.9665294317299</v>
      </c>
      <c r="AD53" s="694">
        <f t="shared" si="44"/>
        <v>1555.9665294317299</v>
      </c>
      <c r="AE53" s="694">
        <f t="shared" si="44"/>
        <v>1555.9665294317299</v>
      </c>
      <c r="AF53" s="695">
        <f>Trucks!G36</f>
        <v>56.323060573857596</v>
      </c>
      <c r="AG53" s="694"/>
      <c r="AH53" s="694"/>
      <c r="AI53" s="694"/>
      <c r="AJ53" s="694"/>
      <c r="AK53" s="694"/>
      <c r="AL53" s="692">
        <v>1</v>
      </c>
      <c r="AM53" s="695"/>
      <c r="AN53" s="695"/>
      <c r="AO53" s="695"/>
      <c r="AP53" s="695"/>
      <c r="AQ53" s="695"/>
      <c r="AR53" s="695"/>
      <c r="AS53" s="695"/>
      <c r="AT53" s="695"/>
      <c r="AU53" s="695"/>
      <c r="AV53" s="695"/>
      <c r="AZ53" s="690">
        <v>15.5</v>
      </c>
    </row>
    <row r="54" spans="1:52" s="685" customFormat="1" ht="12" customHeight="1" x14ac:dyDescent="0.2">
      <c r="A54" s="666" t="s">
        <v>115</v>
      </c>
      <c r="B54" s="666" t="str">
        <f>Technologies!C98</f>
        <v>TCCNGAH</v>
      </c>
      <c r="C54" s="666" t="str">
        <f>Technologies!D98</f>
        <v>Commerical Truck, Advanced Hybrid CNG</v>
      </c>
      <c r="D54" s="666" t="s">
        <v>480</v>
      </c>
      <c r="E54" s="666" t="str">
        <f>Commodities!C$56</f>
        <v>TCCNG</v>
      </c>
      <c r="F54" s="666" t="str">
        <f>Commodities!C$18</f>
        <v>TC</v>
      </c>
      <c r="G54" s="692">
        <v>1</v>
      </c>
      <c r="H54" s="695">
        <v>2015</v>
      </c>
      <c r="I54" s="692">
        <f t="shared" si="26"/>
        <v>20.5</v>
      </c>
      <c r="J54" s="692">
        <v>0.28000000000000003</v>
      </c>
      <c r="K54" s="693"/>
      <c r="L54" s="693"/>
      <c r="M54" s="693">
        <f>Trucks!H39</f>
        <v>0.31614963097953835</v>
      </c>
      <c r="N54" s="693">
        <f>M54</f>
        <v>0.31614963097953835</v>
      </c>
      <c r="O54" s="693">
        <f>Trucks!H40</f>
        <v>0.39494671670235554</v>
      </c>
      <c r="P54" s="693">
        <f t="shared" si="41"/>
        <v>0.39494671670235554</v>
      </c>
      <c r="Q54" s="693">
        <f t="shared" si="41"/>
        <v>0.39494671670235554</v>
      </c>
      <c r="R54" s="693">
        <f>Trucks!H41</f>
        <v>0.39923680434352293</v>
      </c>
      <c r="S54" s="693">
        <f t="shared" si="42"/>
        <v>0.39923680434352293</v>
      </c>
      <c r="T54" s="693">
        <f t="shared" si="42"/>
        <v>0.39923680434352293</v>
      </c>
      <c r="U54" s="693">
        <f t="shared" si="42"/>
        <v>0.39923680434352293</v>
      </c>
      <c r="V54" s="694"/>
      <c r="W54" s="694">
        <f>Trucks!F39</f>
        <v>1804.5869175018988</v>
      </c>
      <c r="X54" s="694">
        <f>W54</f>
        <v>1804.5869175018988</v>
      </c>
      <c r="Y54" s="694">
        <f>Trucks!F40</f>
        <v>1845.9529516287998</v>
      </c>
      <c r="Z54" s="694">
        <f t="shared" si="43"/>
        <v>1845.9529516287998</v>
      </c>
      <c r="AA54" s="694">
        <f t="shared" si="43"/>
        <v>1845.9529516287998</v>
      </c>
      <c r="AB54" s="694">
        <f>Trucks!F41</f>
        <v>1852.5451949801766</v>
      </c>
      <c r="AC54" s="694">
        <f t="shared" si="44"/>
        <v>1852.5451949801766</v>
      </c>
      <c r="AD54" s="694">
        <f t="shared" si="44"/>
        <v>1852.5451949801766</v>
      </c>
      <c r="AE54" s="694">
        <f t="shared" si="44"/>
        <v>1852.5451949801766</v>
      </c>
      <c r="AF54" s="695">
        <f>Trucks!G39</f>
        <v>56.323060573857596</v>
      </c>
      <c r="AG54" s="694"/>
      <c r="AH54" s="694"/>
      <c r="AI54" s="694"/>
      <c r="AJ54" s="694"/>
      <c r="AK54" s="694"/>
      <c r="AL54" s="692">
        <v>1</v>
      </c>
      <c r="AM54" s="695"/>
      <c r="AN54" s="695"/>
      <c r="AO54" s="695"/>
      <c r="AP54" s="695"/>
      <c r="AQ54" s="695"/>
      <c r="AR54" s="695"/>
      <c r="AS54" s="695"/>
      <c r="AT54" s="695"/>
      <c r="AU54" s="695"/>
      <c r="AV54" s="695"/>
      <c r="AZ54" s="690">
        <v>15.5</v>
      </c>
    </row>
    <row r="55" spans="1:52" s="685" customFormat="1" ht="12" customHeight="1" x14ac:dyDescent="0.2">
      <c r="A55" s="666" t="s">
        <v>115</v>
      </c>
      <c r="B55" s="666" t="str">
        <f>Technologies!C99</f>
        <v>TCE85C10</v>
      </c>
      <c r="C55" s="666" t="str">
        <f>Technologies!D99</f>
        <v>Commercial Truck, E85 2010</v>
      </c>
      <c r="D55" s="666" t="s">
        <v>480</v>
      </c>
      <c r="E55" s="666" t="s">
        <v>60</v>
      </c>
      <c r="F55" s="666" t="str">
        <f>Commodities!C$18</f>
        <v>TC</v>
      </c>
      <c r="G55" s="692">
        <v>1</v>
      </c>
      <c r="H55" s="695">
        <v>2010</v>
      </c>
      <c r="I55" s="692">
        <f t="shared" si="26"/>
        <v>20.5</v>
      </c>
      <c r="J55" s="692">
        <v>0.18</v>
      </c>
      <c r="K55" s="693">
        <f>Trucks!H42</f>
        <v>0.10181147998156995</v>
      </c>
      <c r="L55" s="692"/>
      <c r="M55" s="693"/>
      <c r="N55" s="693"/>
      <c r="O55" s="693"/>
      <c r="P55" s="693"/>
      <c r="Q55" s="693"/>
      <c r="R55" s="693"/>
      <c r="S55" s="693"/>
      <c r="T55" s="693"/>
      <c r="U55" s="693"/>
      <c r="V55" s="694">
        <f>Trucks!F42</f>
        <v>1154.5363837997265</v>
      </c>
      <c r="W55" s="694"/>
      <c r="X55" s="694"/>
      <c r="Y55" s="694"/>
      <c r="Z55" s="694"/>
      <c r="AA55" s="694"/>
      <c r="AB55" s="694"/>
      <c r="AC55" s="694"/>
      <c r="AD55" s="694"/>
      <c r="AE55" s="694"/>
      <c r="AF55" s="695">
        <f>Trucks!G42</f>
        <v>56.323060573857596</v>
      </c>
      <c r="AG55" s="694"/>
      <c r="AH55" s="694"/>
      <c r="AI55" s="694"/>
      <c r="AJ55" s="694"/>
      <c r="AK55" s="694"/>
      <c r="AL55" s="692">
        <v>1</v>
      </c>
      <c r="AM55" s="695"/>
      <c r="AN55" s="695">
        <v>0</v>
      </c>
      <c r="AO55" s="695">
        <v>0</v>
      </c>
      <c r="AP55" s="695">
        <v>0</v>
      </c>
      <c r="AQ55" s="695">
        <v>0</v>
      </c>
      <c r="AR55" s="695">
        <v>0</v>
      </c>
      <c r="AS55" s="695">
        <v>0</v>
      </c>
      <c r="AT55" s="695">
        <v>0</v>
      </c>
      <c r="AU55" s="695">
        <v>0</v>
      </c>
      <c r="AV55" s="695">
        <v>0</v>
      </c>
      <c r="AZ55" s="690">
        <v>15.5</v>
      </c>
    </row>
    <row r="56" spans="1:52" s="685" customFormat="1" ht="12" customHeight="1" x14ac:dyDescent="0.2">
      <c r="A56" s="666" t="s">
        <v>115</v>
      </c>
      <c r="B56" s="666" t="str">
        <f>Technologies!C100</f>
        <v>TCE85C</v>
      </c>
      <c r="C56" s="666" t="str">
        <f>Technologies!D100</f>
        <v>Commercial Truck, Conventional E85</v>
      </c>
      <c r="D56" s="666" t="s">
        <v>480</v>
      </c>
      <c r="E56" s="666" t="s">
        <v>60</v>
      </c>
      <c r="F56" s="666" t="str">
        <f>Commodities!C$18</f>
        <v>TC</v>
      </c>
      <c r="G56" s="692">
        <v>1</v>
      </c>
      <c r="H56" s="695">
        <v>2015</v>
      </c>
      <c r="I56" s="692">
        <f t="shared" si="26"/>
        <v>20.5</v>
      </c>
      <c r="J56" s="692">
        <v>0.18</v>
      </c>
      <c r="K56" s="693"/>
      <c r="L56" s="692"/>
      <c r="M56" s="693">
        <f>Trucks!H43</f>
        <v>0.11083009973312889</v>
      </c>
      <c r="N56" s="693">
        <f>Trucks!H44</f>
        <v>0.11437544985163602</v>
      </c>
      <c r="O56" s="693">
        <f t="shared" ref="O56:U56" si="45">N56</f>
        <v>0.11437544985163602</v>
      </c>
      <c r="P56" s="693">
        <f t="shared" si="45"/>
        <v>0.11437544985163602</v>
      </c>
      <c r="Q56" s="693">
        <f t="shared" si="45"/>
        <v>0.11437544985163602</v>
      </c>
      <c r="R56" s="693">
        <f t="shared" si="45"/>
        <v>0.11437544985163602</v>
      </c>
      <c r="S56" s="693">
        <f t="shared" si="45"/>
        <v>0.11437544985163602</v>
      </c>
      <c r="T56" s="693">
        <f t="shared" si="45"/>
        <v>0.11437544985163602</v>
      </c>
      <c r="U56" s="693">
        <f t="shared" si="45"/>
        <v>0.11437544985163602</v>
      </c>
      <c r="V56" s="692"/>
      <c r="W56" s="694">
        <f>Trucks!F43</f>
        <v>1163.4070516862803</v>
      </c>
      <c r="X56" s="694">
        <f>Trucks!F44</f>
        <v>1136.2852870215088</v>
      </c>
      <c r="Y56" s="694">
        <f t="shared" ref="Y56:AE56" si="46">X56</f>
        <v>1136.2852870215088</v>
      </c>
      <c r="Z56" s="694">
        <f t="shared" si="46"/>
        <v>1136.2852870215088</v>
      </c>
      <c r="AA56" s="694">
        <f t="shared" si="46"/>
        <v>1136.2852870215088</v>
      </c>
      <c r="AB56" s="694">
        <f t="shared" si="46"/>
        <v>1136.2852870215088</v>
      </c>
      <c r="AC56" s="694">
        <f t="shared" si="46"/>
        <v>1136.2852870215088</v>
      </c>
      <c r="AD56" s="694">
        <f t="shared" si="46"/>
        <v>1136.2852870215088</v>
      </c>
      <c r="AE56" s="694">
        <f t="shared" si="46"/>
        <v>1136.2852870215088</v>
      </c>
      <c r="AF56" s="695">
        <f>Trucks!G43</f>
        <v>56.323060573857596</v>
      </c>
      <c r="AG56" s="694"/>
      <c r="AH56" s="694"/>
      <c r="AI56" s="694"/>
      <c r="AJ56" s="694"/>
      <c r="AK56" s="694"/>
      <c r="AL56" s="692">
        <v>1</v>
      </c>
      <c r="AM56" s="695"/>
      <c r="AN56" s="695"/>
      <c r="AO56" s="695"/>
      <c r="AP56" s="695"/>
      <c r="AQ56" s="695"/>
      <c r="AR56" s="695"/>
      <c r="AS56" s="695"/>
      <c r="AT56" s="695"/>
      <c r="AU56" s="695"/>
      <c r="AV56" s="695"/>
      <c r="AZ56" s="690">
        <f>Trucks!E43</f>
        <v>15.5</v>
      </c>
    </row>
    <row r="57" spans="1:52" s="685" customFormat="1" ht="12" customHeight="1" x14ac:dyDescent="0.2">
      <c r="A57" s="666" t="s">
        <v>115</v>
      </c>
      <c r="B57" s="666" t="str">
        <f>Technologies!C101</f>
        <v>TCE85IM</v>
      </c>
      <c r="C57" s="666" t="str">
        <f>Technologies!D101</f>
        <v>Commercial Truck, Improved E85</v>
      </c>
      <c r="D57" s="666" t="s">
        <v>480</v>
      </c>
      <c r="E57" s="666" t="s">
        <v>60</v>
      </c>
      <c r="F57" s="666" t="str">
        <f>Commodities!C$18</f>
        <v>TC</v>
      </c>
      <c r="G57" s="692">
        <v>1</v>
      </c>
      <c r="H57" s="695">
        <v>2025</v>
      </c>
      <c r="I57" s="692">
        <f t="shared" si="26"/>
        <v>20.5</v>
      </c>
      <c r="J57" s="692">
        <v>0.24</v>
      </c>
      <c r="K57" s="692"/>
      <c r="L57" s="693"/>
      <c r="M57" s="693"/>
      <c r="N57" s="693"/>
      <c r="O57" s="693">
        <f>Trucks!H45</f>
        <v>0.12304025665857815</v>
      </c>
      <c r="P57" s="693">
        <f t="shared" ref="P57:Q59" si="47">O57</f>
        <v>0.12304025665857815</v>
      </c>
      <c r="Q57" s="693">
        <f t="shared" si="47"/>
        <v>0.12304025665857815</v>
      </c>
      <c r="R57" s="693">
        <f>Trucks!H46</f>
        <v>0.13545981308186189</v>
      </c>
      <c r="S57" s="693">
        <f t="shared" ref="S57:U59" si="48">R57</f>
        <v>0.13545981308186189</v>
      </c>
      <c r="T57" s="693">
        <f t="shared" si="48"/>
        <v>0.13545981308186189</v>
      </c>
      <c r="U57" s="693">
        <f t="shared" si="48"/>
        <v>0.13545981308186189</v>
      </c>
      <c r="V57" s="694"/>
      <c r="W57" s="694"/>
      <c r="X57" s="694"/>
      <c r="Y57" s="694">
        <f>Trucks!F45</f>
        <v>1176.1861320869871</v>
      </c>
      <c r="Z57" s="694">
        <f t="shared" ref="Z57:AA59" si="49">Y57</f>
        <v>1176.1861320869871</v>
      </c>
      <c r="AA57" s="694">
        <f t="shared" si="49"/>
        <v>1176.1861320869871</v>
      </c>
      <c r="AB57" s="694">
        <f>Trucks!F46</f>
        <v>1212.8630270598117</v>
      </c>
      <c r="AC57" s="694">
        <f t="shared" ref="AC57:AE59" si="50">AB57</f>
        <v>1212.8630270598117</v>
      </c>
      <c r="AD57" s="694">
        <f t="shared" si="50"/>
        <v>1212.8630270598117</v>
      </c>
      <c r="AE57" s="694">
        <f t="shared" si="50"/>
        <v>1212.8630270598117</v>
      </c>
      <c r="AF57" s="695">
        <f>AF56</f>
        <v>56.323060573857596</v>
      </c>
      <c r="AG57" s="694"/>
      <c r="AH57" s="694"/>
      <c r="AI57" s="694"/>
      <c r="AJ57" s="694"/>
      <c r="AK57" s="694"/>
      <c r="AL57" s="692">
        <v>1</v>
      </c>
      <c r="AM57" s="695"/>
      <c r="AN57" s="695"/>
      <c r="AO57" s="695"/>
      <c r="AP57" s="695"/>
      <c r="AQ57" s="695"/>
      <c r="AR57" s="695"/>
      <c r="AS57" s="695"/>
      <c r="AT57" s="695"/>
      <c r="AU57" s="695"/>
      <c r="AV57" s="695"/>
      <c r="AZ57" s="690">
        <v>15.5</v>
      </c>
    </row>
    <row r="58" spans="1:52" s="685" customFormat="1" ht="12" customHeight="1" x14ac:dyDescent="0.2">
      <c r="A58" s="666" t="s">
        <v>115</v>
      </c>
      <c r="B58" s="666" t="str">
        <f>Technologies!C102</f>
        <v>TCE85ADV</v>
      </c>
      <c r="C58" s="666" t="str">
        <f>Technologies!D102</f>
        <v>Commercial Truck, Advanced E85</v>
      </c>
      <c r="D58" s="666" t="s">
        <v>480</v>
      </c>
      <c r="E58" s="666" t="s">
        <v>60</v>
      </c>
      <c r="F58" s="666" t="str">
        <f>Commodities!C$18</f>
        <v>TC</v>
      </c>
      <c r="G58" s="692">
        <v>1</v>
      </c>
      <c r="H58" s="695">
        <v>2015</v>
      </c>
      <c r="I58" s="692">
        <f t="shared" si="26"/>
        <v>20.5</v>
      </c>
      <c r="J58" s="692">
        <v>0.28000000000000003</v>
      </c>
      <c r="K58" s="693"/>
      <c r="L58" s="693"/>
      <c r="M58" s="693">
        <f>Trucks!H47</f>
        <v>0.17885587134831493</v>
      </c>
      <c r="N58" s="693">
        <f>M58</f>
        <v>0.17885587134831493</v>
      </c>
      <c r="O58" s="693">
        <f>Trucks!H48</f>
        <v>0.22343388139690007</v>
      </c>
      <c r="P58" s="693">
        <f t="shared" si="47"/>
        <v>0.22343388139690007</v>
      </c>
      <c r="Q58" s="693">
        <f t="shared" si="47"/>
        <v>0.22343388139690007</v>
      </c>
      <c r="R58" s="693">
        <f>Trucks!H49</f>
        <v>0.22586092001416583</v>
      </c>
      <c r="S58" s="693">
        <f t="shared" si="48"/>
        <v>0.22586092001416583</v>
      </c>
      <c r="T58" s="693">
        <f t="shared" si="48"/>
        <v>0.22586092001416583</v>
      </c>
      <c r="U58" s="693">
        <f t="shared" si="48"/>
        <v>0.22586092001416583</v>
      </c>
      <c r="V58" s="694"/>
      <c r="W58" s="694">
        <f>Trucks!F47</f>
        <v>1184.7541654426634</v>
      </c>
      <c r="X58" s="694">
        <f>W58</f>
        <v>1184.7541654426634</v>
      </c>
      <c r="Y58" s="694">
        <f>Trucks!F48</f>
        <v>1226.1201995695651</v>
      </c>
      <c r="Z58" s="694">
        <f t="shared" si="49"/>
        <v>1226.1201995695651</v>
      </c>
      <c r="AA58" s="694">
        <f t="shared" si="49"/>
        <v>1226.1201995695651</v>
      </c>
      <c r="AB58" s="694">
        <f>Trucks!F49</f>
        <v>1232.7124429209412</v>
      </c>
      <c r="AC58" s="694">
        <f t="shared" si="50"/>
        <v>1232.7124429209412</v>
      </c>
      <c r="AD58" s="694">
        <f t="shared" si="50"/>
        <v>1232.7124429209412</v>
      </c>
      <c r="AE58" s="694">
        <f t="shared" si="50"/>
        <v>1232.7124429209412</v>
      </c>
      <c r="AF58" s="695">
        <f>AF57</f>
        <v>56.323060573857596</v>
      </c>
      <c r="AG58" s="694"/>
      <c r="AH58" s="694"/>
      <c r="AI58" s="694"/>
      <c r="AJ58" s="694"/>
      <c r="AK58" s="694"/>
      <c r="AL58" s="692">
        <v>1</v>
      </c>
      <c r="AM58" s="695"/>
      <c r="AN58" s="695"/>
      <c r="AO58" s="695"/>
      <c r="AP58" s="695"/>
      <c r="AQ58" s="695"/>
      <c r="AR58" s="695"/>
      <c r="AS58" s="695"/>
      <c r="AT58" s="695"/>
      <c r="AU58" s="695"/>
      <c r="AV58" s="695"/>
      <c r="AZ58" s="690">
        <v>15.5</v>
      </c>
    </row>
    <row r="59" spans="1:52" s="685" customFormat="1" ht="12" customHeight="1" x14ac:dyDescent="0.2">
      <c r="A59" s="666" t="s">
        <v>115</v>
      </c>
      <c r="B59" s="666" t="str">
        <f>Technologies!C103</f>
        <v>TCE85AH</v>
      </c>
      <c r="C59" s="666" t="str">
        <f>Technologies!D103</f>
        <v>Commerical Truck, Hybrid E85</v>
      </c>
      <c r="D59" s="666" t="s">
        <v>480</v>
      </c>
      <c r="E59" s="666" t="s">
        <v>60</v>
      </c>
      <c r="F59" s="666" t="str">
        <f>Commodities!C$18</f>
        <v>TC</v>
      </c>
      <c r="G59" s="692">
        <v>1</v>
      </c>
      <c r="H59" s="695">
        <v>2015</v>
      </c>
      <c r="I59" s="692">
        <f t="shared" si="26"/>
        <v>20.5</v>
      </c>
      <c r="J59" s="692">
        <v>0.28000000000000003</v>
      </c>
      <c r="K59" s="693"/>
      <c r="L59" s="693"/>
      <c r="M59" s="693">
        <f>Trucks!H50</f>
        <v>0.25129249924438246</v>
      </c>
      <c r="N59" s="693">
        <f>M59</f>
        <v>0.25129249924438246</v>
      </c>
      <c r="O59" s="693">
        <f>Trucks!H51</f>
        <v>0.31392460336264466</v>
      </c>
      <c r="P59" s="693">
        <f t="shared" si="47"/>
        <v>0.31392460336264466</v>
      </c>
      <c r="Q59" s="693">
        <f t="shared" si="47"/>
        <v>0.31392460336264466</v>
      </c>
      <c r="R59" s="693">
        <f>Trucks!H52</f>
        <v>0.31733459261990316</v>
      </c>
      <c r="S59" s="693">
        <f t="shared" si="48"/>
        <v>0.31733459261990316</v>
      </c>
      <c r="T59" s="693">
        <f t="shared" si="48"/>
        <v>0.31733459261990316</v>
      </c>
      <c r="U59" s="693">
        <f t="shared" si="48"/>
        <v>0.31733459261990316</v>
      </c>
      <c r="V59" s="694"/>
      <c r="W59" s="694">
        <f>Trucks!F50</f>
        <v>1481.3328309911099</v>
      </c>
      <c r="X59" s="694">
        <f>W59</f>
        <v>1481.3328309911099</v>
      </c>
      <c r="Y59" s="694">
        <f>Trucks!F51</f>
        <v>1522.6988651180116</v>
      </c>
      <c r="Z59" s="694">
        <f t="shared" si="49"/>
        <v>1522.6988651180116</v>
      </c>
      <c r="AA59" s="694">
        <f t="shared" si="49"/>
        <v>1522.6988651180116</v>
      </c>
      <c r="AB59" s="694">
        <f>Trucks!F52</f>
        <v>1529.2911084693878</v>
      </c>
      <c r="AC59" s="694">
        <f t="shared" si="50"/>
        <v>1529.2911084693878</v>
      </c>
      <c r="AD59" s="694">
        <f t="shared" si="50"/>
        <v>1529.2911084693878</v>
      </c>
      <c r="AE59" s="694">
        <f t="shared" si="50"/>
        <v>1529.2911084693878</v>
      </c>
      <c r="AF59" s="695">
        <f>AF58</f>
        <v>56.323060573857596</v>
      </c>
      <c r="AG59" s="694"/>
      <c r="AH59" s="694"/>
      <c r="AI59" s="694"/>
      <c r="AJ59" s="694"/>
      <c r="AK59" s="694"/>
      <c r="AL59" s="692">
        <v>1</v>
      </c>
      <c r="AM59" s="695"/>
      <c r="AN59" s="695"/>
      <c r="AO59" s="695"/>
      <c r="AP59" s="695"/>
      <c r="AQ59" s="695"/>
      <c r="AR59" s="695"/>
      <c r="AS59" s="695"/>
      <c r="AT59" s="695"/>
      <c r="AU59" s="695"/>
      <c r="AV59" s="695"/>
      <c r="AZ59" s="690">
        <v>15.5</v>
      </c>
    </row>
    <row r="60" spans="1:52" s="685" customFormat="1" ht="12" customHeight="1" x14ac:dyDescent="0.2">
      <c r="A60" s="666" t="s">
        <v>115</v>
      </c>
      <c r="B60" s="666" t="str">
        <f>Technologies!C104</f>
        <v>TCLPGC10</v>
      </c>
      <c r="C60" s="666" t="str">
        <f>Technologies!D104</f>
        <v>Commercial Truck, LPG 2010</v>
      </c>
      <c r="D60" s="666" t="s">
        <v>480</v>
      </c>
      <c r="E60" s="666" t="str">
        <f>Commodities!C29</f>
        <v>TRNLPG1</v>
      </c>
      <c r="F60" s="666" t="str">
        <f>Commodities!C$18</f>
        <v>TC</v>
      </c>
      <c r="G60" s="692">
        <v>1</v>
      </c>
      <c r="H60" s="695">
        <v>2010</v>
      </c>
      <c r="I60" s="692">
        <f t="shared" si="26"/>
        <v>20.5</v>
      </c>
      <c r="J60" s="692">
        <v>0.18</v>
      </c>
      <c r="K60" s="693">
        <f>Trucks!H53</f>
        <v>0.11401158309707092</v>
      </c>
      <c r="L60" s="692"/>
      <c r="M60" s="693"/>
      <c r="N60" s="693"/>
      <c r="O60" s="693"/>
      <c r="P60" s="693"/>
      <c r="Q60" s="693"/>
      <c r="R60" s="693"/>
      <c r="S60" s="693"/>
      <c r="T60" s="693"/>
      <c r="U60" s="693"/>
      <c r="V60" s="694">
        <f>Trucks!F53</f>
        <v>1397.7832628029082</v>
      </c>
      <c r="W60" s="694"/>
      <c r="X60" s="694"/>
      <c r="Y60" s="694"/>
      <c r="Z60" s="694"/>
      <c r="AA60" s="694"/>
      <c r="AB60" s="694"/>
      <c r="AC60" s="694"/>
      <c r="AD60" s="694"/>
      <c r="AE60" s="694"/>
      <c r="AF60" s="695">
        <f>Trucks!G53</f>
        <v>56.323060573857596</v>
      </c>
      <c r="AG60" s="694"/>
      <c r="AH60" s="694"/>
      <c r="AI60" s="694"/>
      <c r="AJ60" s="694"/>
      <c r="AK60" s="694"/>
      <c r="AL60" s="692">
        <v>1</v>
      </c>
      <c r="AM60" s="695"/>
      <c r="AN60" s="695">
        <v>0</v>
      </c>
      <c r="AO60" s="695">
        <v>0</v>
      </c>
      <c r="AP60" s="695">
        <v>0</v>
      </c>
      <c r="AQ60" s="695">
        <v>0</v>
      </c>
      <c r="AR60" s="695">
        <v>0</v>
      </c>
      <c r="AS60" s="695">
        <v>0</v>
      </c>
      <c r="AT60" s="695">
        <v>0</v>
      </c>
      <c r="AU60" s="695">
        <v>0</v>
      </c>
      <c r="AV60" s="695">
        <v>0</v>
      </c>
      <c r="AZ60" s="690">
        <v>15.5</v>
      </c>
    </row>
    <row r="61" spans="1:52" s="685" customFormat="1" ht="12" customHeight="1" x14ac:dyDescent="0.2">
      <c r="A61" s="666" t="s">
        <v>115</v>
      </c>
      <c r="B61" s="666" t="str">
        <f>Technologies!C105</f>
        <v>TCLPGC</v>
      </c>
      <c r="C61" s="666" t="str">
        <f>Technologies!D105</f>
        <v>Commercial Truck, Conventional LPG</v>
      </c>
      <c r="D61" s="666" t="s">
        <v>480</v>
      </c>
      <c r="E61" s="666" t="str">
        <f>Commodities!C29</f>
        <v>TRNLPG1</v>
      </c>
      <c r="F61" s="666" t="str">
        <f>Commodities!C$18</f>
        <v>TC</v>
      </c>
      <c r="G61" s="692">
        <v>1</v>
      </c>
      <c r="H61" s="695">
        <v>2015</v>
      </c>
      <c r="I61" s="692">
        <f t="shared" si="26"/>
        <v>20.5</v>
      </c>
      <c r="J61" s="692">
        <v>0.18</v>
      </c>
      <c r="K61" s="693"/>
      <c r="L61" s="692"/>
      <c r="M61" s="693">
        <f>Trucks!H54</f>
        <v>0.1241109070182228</v>
      </c>
      <c r="N61" s="693">
        <f>Trucks!H55</f>
        <v>0.12808109760692224</v>
      </c>
      <c r="O61" s="693">
        <f t="shared" ref="O61:U61" si="51">N61</f>
        <v>0.12808109760692224</v>
      </c>
      <c r="P61" s="693">
        <f t="shared" si="51"/>
        <v>0.12808109760692224</v>
      </c>
      <c r="Q61" s="693">
        <f t="shared" si="51"/>
        <v>0.12808109760692224</v>
      </c>
      <c r="R61" s="693">
        <f t="shared" si="51"/>
        <v>0.12808109760692224</v>
      </c>
      <c r="S61" s="693">
        <f t="shared" si="51"/>
        <v>0.12808109760692224</v>
      </c>
      <c r="T61" s="693">
        <f t="shared" si="51"/>
        <v>0.12808109760692224</v>
      </c>
      <c r="U61" s="693">
        <f t="shared" si="51"/>
        <v>0.12808109760692224</v>
      </c>
      <c r="V61" s="692"/>
      <c r="W61" s="694">
        <f>Trucks!F54</f>
        <v>1408.9187229704</v>
      </c>
      <c r="X61" s="694">
        <f>Trucks!F55</f>
        <v>1419.6730215197992</v>
      </c>
      <c r="Y61" s="694">
        <f t="shared" ref="Y61:AE61" si="52">X61</f>
        <v>1419.6730215197992</v>
      </c>
      <c r="Z61" s="694">
        <f t="shared" si="52"/>
        <v>1419.6730215197992</v>
      </c>
      <c r="AA61" s="694">
        <f t="shared" si="52"/>
        <v>1419.6730215197992</v>
      </c>
      <c r="AB61" s="694">
        <f t="shared" si="52"/>
        <v>1419.6730215197992</v>
      </c>
      <c r="AC61" s="694">
        <f t="shared" si="52"/>
        <v>1419.6730215197992</v>
      </c>
      <c r="AD61" s="694">
        <f t="shared" si="52"/>
        <v>1419.6730215197992</v>
      </c>
      <c r="AE61" s="694">
        <f t="shared" si="52"/>
        <v>1419.6730215197992</v>
      </c>
      <c r="AF61" s="695">
        <f>Trucks!G54</f>
        <v>56.323060573857596</v>
      </c>
      <c r="AG61" s="694"/>
      <c r="AH61" s="694"/>
      <c r="AI61" s="694"/>
      <c r="AJ61" s="694"/>
      <c r="AK61" s="694"/>
      <c r="AL61" s="692">
        <v>1</v>
      </c>
      <c r="AM61" s="695"/>
      <c r="AN61" s="695"/>
      <c r="AO61" s="695"/>
      <c r="AP61" s="695"/>
      <c r="AQ61" s="695"/>
      <c r="AR61" s="695"/>
      <c r="AS61" s="695"/>
      <c r="AT61" s="695"/>
      <c r="AU61" s="695"/>
      <c r="AV61" s="695"/>
      <c r="AZ61" s="690">
        <f>Trucks!E54</f>
        <v>15.5</v>
      </c>
    </row>
    <row r="62" spans="1:52" s="685" customFormat="1" ht="12" customHeight="1" x14ac:dyDescent="0.2">
      <c r="A62" s="666" t="s">
        <v>115</v>
      </c>
      <c r="B62" s="666" t="str">
        <f>Technologies!C106</f>
        <v>TCLPGIM</v>
      </c>
      <c r="C62" s="666" t="str">
        <f>Technologies!D106</f>
        <v>Commercial Truck, Improved LPG</v>
      </c>
      <c r="D62" s="666" t="s">
        <v>480</v>
      </c>
      <c r="E62" s="666" t="str">
        <f>Commodities!C29</f>
        <v>TRNLPG1</v>
      </c>
      <c r="F62" s="666" t="str">
        <f>Commodities!C$18</f>
        <v>TC</v>
      </c>
      <c r="G62" s="692">
        <v>1</v>
      </c>
      <c r="H62" s="695">
        <v>2025</v>
      </c>
      <c r="I62" s="692">
        <f t="shared" si="26"/>
        <v>20.5</v>
      </c>
      <c r="J62" s="692">
        <v>0.24</v>
      </c>
      <c r="K62" s="693"/>
      <c r="L62" s="693"/>
      <c r="M62" s="693"/>
      <c r="N62" s="693"/>
      <c r="O62" s="693">
        <f>Trucks!H56</f>
        <v>0.16678843436477175</v>
      </c>
      <c r="P62" s="693">
        <f t="shared" ref="P62:Q65" si="53">O62</f>
        <v>0.16678843436477175</v>
      </c>
      <c r="Q62" s="693">
        <f t="shared" si="53"/>
        <v>0.16678843436477175</v>
      </c>
      <c r="R62" s="693">
        <f>Trucks!H57</f>
        <v>0.18985758660420035</v>
      </c>
      <c r="S62" s="693">
        <f t="shared" ref="S62:U65" si="54">R62</f>
        <v>0.18985758660420035</v>
      </c>
      <c r="T62" s="693">
        <f t="shared" si="54"/>
        <v>0.18985758660420035</v>
      </c>
      <c r="U62" s="693">
        <f t="shared" si="54"/>
        <v>0.18985758660420035</v>
      </c>
      <c r="V62" s="694"/>
      <c r="W62" s="694"/>
      <c r="X62" s="694"/>
      <c r="Y62" s="694">
        <f>Trucks!F56</f>
        <v>1458.1205049006962</v>
      </c>
      <c r="Z62" s="694">
        <f t="shared" ref="Z62:AA65" si="55">Y62</f>
        <v>1458.1205049006962</v>
      </c>
      <c r="AA62" s="694">
        <f t="shared" si="55"/>
        <v>1458.1205049006962</v>
      </c>
      <c r="AB62" s="694">
        <f>Trucks!F57</f>
        <v>1533.111431792616</v>
      </c>
      <c r="AC62" s="694">
        <f t="shared" ref="AC62:AE65" si="56">AB62</f>
        <v>1533.111431792616</v>
      </c>
      <c r="AD62" s="694">
        <f t="shared" si="56"/>
        <v>1533.111431792616</v>
      </c>
      <c r="AE62" s="694">
        <f t="shared" si="56"/>
        <v>1533.111431792616</v>
      </c>
      <c r="AF62" s="695">
        <f>AF61</f>
        <v>56.323060573857596</v>
      </c>
      <c r="AG62" s="694"/>
      <c r="AH62" s="694"/>
      <c r="AI62" s="694"/>
      <c r="AJ62" s="694"/>
      <c r="AK62" s="694"/>
      <c r="AL62" s="692">
        <v>1</v>
      </c>
      <c r="AM62" s="695"/>
      <c r="AN62" s="695"/>
      <c r="AO62" s="695"/>
      <c r="AP62" s="695"/>
      <c r="AQ62" s="695"/>
      <c r="AR62" s="695"/>
      <c r="AS62" s="695"/>
      <c r="AT62" s="695"/>
      <c r="AU62" s="695"/>
      <c r="AV62" s="695"/>
      <c r="AZ62" s="690">
        <v>15.5</v>
      </c>
    </row>
    <row r="63" spans="1:52" s="685" customFormat="1" ht="12" customHeight="1" x14ac:dyDescent="0.2">
      <c r="A63" s="666" t="s">
        <v>115</v>
      </c>
      <c r="B63" s="666" t="str">
        <f>Technologies!C107</f>
        <v>TCLPGADV</v>
      </c>
      <c r="C63" s="666" t="str">
        <f>Technologies!D107</f>
        <v>Commercial Truck, Advanced LPG</v>
      </c>
      <c r="D63" s="666" t="s">
        <v>480</v>
      </c>
      <c r="E63" s="666" t="str">
        <f>Commodities!C29</f>
        <v>TRNLPG1</v>
      </c>
      <c r="F63" s="666" t="str">
        <f>Commodities!C$18</f>
        <v>TC</v>
      </c>
      <c r="G63" s="692">
        <v>1</v>
      </c>
      <c r="H63" s="695">
        <v>2015</v>
      </c>
      <c r="I63" s="692">
        <f t="shared" si="26"/>
        <v>20.5</v>
      </c>
      <c r="J63" s="692">
        <v>0.28000000000000003</v>
      </c>
      <c r="K63" s="693"/>
      <c r="L63" s="693"/>
      <c r="M63" s="693">
        <f>Trucks!H58</f>
        <v>0.20028822920871756</v>
      </c>
      <c r="N63" s="693">
        <f>M63</f>
        <v>0.20028822920871756</v>
      </c>
      <c r="O63" s="693">
        <f>Trucks!H59</f>
        <v>0.25020803685591358</v>
      </c>
      <c r="P63" s="693">
        <f t="shared" si="53"/>
        <v>0.25020803685591358</v>
      </c>
      <c r="Q63" s="693">
        <f t="shared" si="53"/>
        <v>0.25020803685591358</v>
      </c>
      <c r="R63" s="693">
        <f>Trucks!H60</f>
        <v>0.25292590830854622</v>
      </c>
      <c r="S63" s="693">
        <f t="shared" si="54"/>
        <v>0.25292590830854622</v>
      </c>
      <c r="T63" s="693">
        <f t="shared" si="54"/>
        <v>0.25292590830854622</v>
      </c>
      <c r="U63" s="693">
        <f t="shared" si="54"/>
        <v>0.25292590830854622</v>
      </c>
      <c r="V63" s="694"/>
      <c r="W63" s="694">
        <f>Trucks!F58</f>
        <v>1464.1594104197002</v>
      </c>
      <c r="X63" s="694">
        <f>W63</f>
        <v>1464.1594104197002</v>
      </c>
      <c r="Y63" s="694">
        <f>Trucks!F60</f>
        <v>1512.1176878979782</v>
      </c>
      <c r="Z63" s="694">
        <f t="shared" si="55"/>
        <v>1512.1176878979782</v>
      </c>
      <c r="AA63" s="694">
        <f t="shared" si="55"/>
        <v>1512.1176878979782</v>
      </c>
      <c r="AB63" s="694">
        <f>Trucks!F60</f>
        <v>1512.1176878979782</v>
      </c>
      <c r="AC63" s="694">
        <f t="shared" si="56"/>
        <v>1512.1176878979782</v>
      </c>
      <c r="AD63" s="694">
        <f t="shared" si="56"/>
        <v>1512.1176878979782</v>
      </c>
      <c r="AE63" s="694">
        <f t="shared" si="56"/>
        <v>1512.1176878979782</v>
      </c>
      <c r="AF63" s="695">
        <f>AF62</f>
        <v>56.323060573857596</v>
      </c>
      <c r="AG63" s="694"/>
      <c r="AH63" s="694"/>
      <c r="AI63" s="694"/>
      <c r="AJ63" s="694"/>
      <c r="AK63" s="694"/>
      <c r="AL63" s="692">
        <v>1</v>
      </c>
      <c r="AM63" s="695"/>
      <c r="AN63" s="695"/>
      <c r="AO63" s="695"/>
      <c r="AP63" s="695"/>
      <c r="AQ63" s="695"/>
      <c r="AR63" s="695"/>
      <c r="AS63" s="695"/>
      <c r="AT63" s="695"/>
      <c r="AU63" s="695"/>
      <c r="AV63" s="695"/>
      <c r="AZ63" s="690">
        <v>15.5</v>
      </c>
    </row>
    <row r="64" spans="1:52" s="685" customFormat="1" ht="12" customHeight="1" x14ac:dyDescent="0.2">
      <c r="A64" s="666" t="s">
        <v>115</v>
      </c>
      <c r="B64" s="666" t="str">
        <f>Technologies!C108</f>
        <v>TCLPGAH</v>
      </c>
      <c r="C64" s="666" t="str">
        <f>Technologies!D108</f>
        <v>Commercial Truck, Hybrid LPG</v>
      </c>
      <c r="D64" s="666" t="s">
        <v>480</v>
      </c>
      <c r="E64" s="666" t="str">
        <f>Commodities!C29</f>
        <v>TRNLPG1</v>
      </c>
      <c r="F64" s="666" t="str">
        <f>Commodities!C$18</f>
        <v>TC</v>
      </c>
      <c r="G64" s="692">
        <v>1</v>
      </c>
      <c r="H64" s="695">
        <v>2015</v>
      </c>
      <c r="I64" s="692">
        <f t="shared" si="26"/>
        <v>20.5</v>
      </c>
      <c r="J64" s="692">
        <v>0.28000000000000003</v>
      </c>
      <c r="K64" s="693"/>
      <c r="L64" s="693"/>
      <c r="M64" s="693">
        <f>Trucks!H61</f>
        <v>0.28140496203824811</v>
      </c>
      <c r="N64" s="693">
        <f>M64</f>
        <v>0.28140496203824811</v>
      </c>
      <c r="O64" s="693">
        <f>Trucks!H62</f>
        <v>0.35154229178255858</v>
      </c>
      <c r="P64" s="693">
        <f t="shared" si="53"/>
        <v>0.35154229178255858</v>
      </c>
      <c r="Q64" s="693">
        <f t="shared" si="53"/>
        <v>0.35154229178255858</v>
      </c>
      <c r="R64" s="693">
        <f>Trucks!H63</f>
        <v>0.35536090117350749</v>
      </c>
      <c r="S64" s="693">
        <f t="shared" si="54"/>
        <v>0.35536090117350749</v>
      </c>
      <c r="T64" s="693">
        <f t="shared" si="54"/>
        <v>0.35536090117350749</v>
      </c>
      <c r="U64" s="693">
        <f t="shared" si="54"/>
        <v>0.35536090117350749</v>
      </c>
      <c r="V64" s="694"/>
      <c r="W64" s="694">
        <f>Trucks!F61</f>
        <v>1760.7380759681469</v>
      </c>
      <c r="X64" s="694">
        <f>W64</f>
        <v>1760.7380759681469</v>
      </c>
      <c r="Y64" s="694">
        <f>Trucks!F62</f>
        <v>1802.1041100950483</v>
      </c>
      <c r="Z64" s="694">
        <f t="shared" si="55"/>
        <v>1802.1041100950483</v>
      </c>
      <c r="AA64" s="694">
        <f t="shared" si="55"/>
        <v>1802.1041100950483</v>
      </c>
      <c r="AB64" s="694">
        <f>Trucks!F63</f>
        <v>1808.6963534464248</v>
      </c>
      <c r="AC64" s="694">
        <f t="shared" si="56"/>
        <v>1808.6963534464248</v>
      </c>
      <c r="AD64" s="694">
        <f t="shared" si="56"/>
        <v>1808.6963534464248</v>
      </c>
      <c r="AE64" s="694">
        <f t="shared" si="56"/>
        <v>1808.6963534464248</v>
      </c>
      <c r="AF64" s="695">
        <f>AF63</f>
        <v>56.323060573857596</v>
      </c>
      <c r="AG64" s="694"/>
      <c r="AH64" s="694"/>
      <c r="AI64" s="694"/>
      <c r="AJ64" s="694"/>
      <c r="AK64" s="694"/>
      <c r="AL64" s="692">
        <v>1</v>
      </c>
      <c r="AM64" s="695"/>
      <c r="AN64" s="695"/>
      <c r="AO64" s="695"/>
      <c r="AP64" s="695"/>
      <c r="AQ64" s="695"/>
      <c r="AR64" s="695"/>
      <c r="AS64" s="695"/>
      <c r="AT64" s="695"/>
      <c r="AU64" s="695"/>
      <c r="AV64" s="695"/>
      <c r="AZ64" s="690">
        <v>15.5</v>
      </c>
    </row>
    <row r="65" spans="1:52" s="685" customFormat="1" ht="12" customHeight="1" x14ac:dyDescent="0.2">
      <c r="A65" s="666" t="s">
        <v>115</v>
      </c>
      <c r="B65" s="666" t="str">
        <f>Technologies!C109</f>
        <v>TCH2FC</v>
      </c>
      <c r="C65" s="666" t="str">
        <f>Technologies!D109</f>
        <v>Commercial Truck, Hydrogen Fuel Cell</v>
      </c>
      <c r="D65" s="666" t="s">
        <v>480</v>
      </c>
      <c r="E65" s="666" t="str">
        <f>Commodities!C53</f>
        <v>TRNH2</v>
      </c>
      <c r="F65" s="666" t="str">
        <f>Commodities!C$18</f>
        <v>TC</v>
      </c>
      <c r="G65" s="692">
        <v>1</v>
      </c>
      <c r="H65" s="695">
        <f>Trucks!D64</f>
        <v>2025</v>
      </c>
      <c r="I65" s="692">
        <f t="shared" si="26"/>
        <v>20.5</v>
      </c>
      <c r="J65" s="692">
        <v>0.24</v>
      </c>
      <c r="K65" s="693"/>
      <c r="L65" s="693"/>
      <c r="M65" s="693"/>
      <c r="N65" s="693"/>
      <c r="O65" s="693">
        <f>Trucks!H64</f>
        <v>0.34109858000744459</v>
      </c>
      <c r="P65" s="693">
        <f t="shared" si="53"/>
        <v>0.34109858000744459</v>
      </c>
      <c r="Q65" s="693">
        <f t="shared" si="53"/>
        <v>0.34109858000744459</v>
      </c>
      <c r="R65" s="693">
        <f>Trucks!H65</f>
        <v>0.34109858000744459</v>
      </c>
      <c r="S65" s="693">
        <f t="shared" si="54"/>
        <v>0.34109858000744459</v>
      </c>
      <c r="T65" s="693">
        <f t="shared" si="54"/>
        <v>0.34109858000744459</v>
      </c>
      <c r="U65" s="693">
        <f t="shared" si="54"/>
        <v>0.34109858000744459</v>
      </c>
      <c r="V65" s="694"/>
      <c r="W65" s="694"/>
      <c r="X65" s="694"/>
      <c r="Y65" s="694">
        <f>Trucks!F64</f>
        <v>2696.3939005076909</v>
      </c>
      <c r="Z65" s="694">
        <f t="shared" si="55"/>
        <v>2696.3939005076909</v>
      </c>
      <c r="AA65" s="694">
        <f t="shared" si="55"/>
        <v>2696.3939005076909</v>
      </c>
      <c r="AB65" s="694">
        <f>Trucks!F65</f>
        <v>2696.3939005076909</v>
      </c>
      <c r="AC65" s="694">
        <f t="shared" si="56"/>
        <v>2696.3939005076909</v>
      </c>
      <c r="AD65" s="694">
        <f t="shared" si="56"/>
        <v>2696.3939005076909</v>
      </c>
      <c r="AE65" s="694">
        <f t="shared" si="56"/>
        <v>2696.3939005076909</v>
      </c>
      <c r="AF65" s="695">
        <f>Trucks!G64</f>
        <v>15.488841657810841</v>
      </c>
      <c r="AG65" s="694"/>
      <c r="AH65" s="694"/>
      <c r="AI65" s="694"/>
      <c r="AJ65" s="694"/>
      <c r="AK65" s="694"/>
      <c r="AL65" s="692">
        <v>1</v>
      </c>
      <c r="AM65" s="695"/>
      <c r="AN65" s="695"/>
      <c r="AO65" s="695"/>
      <c r="AP65" s="695"/>
      <c r="AQ65" s="695"/>
      <c r="AR65" s="695"/>
      <c r="AS65" s="695"/>
      <c r="AT65" s="695"/>
      <c r="AU65" s="695"/>
      <c r="AV65" s="695"/>
      <c r="AZ65" s="690">
        <f>Trucks!E64</f>
        <v>15.5</v>
      </c>
    </row>
    <row r="66" spans="1:52" s="685" customFormat="1" ht="12" customHeight="1" x14ac:dyDescent="0.2">
      <c r="A66" s="699" t="s">
        <v>483</v>
      </c>
      <c r="B66" s="668"/>
      <c r="C66" s="668"/>
      <c r="D66" s="668"/>
      <c r="E66" s="668"/>
      <c r="F66" s="668"/>
      <c r="G66" s="700"/>
      <c r="H66" s="701"/>
      <c r="I66" s="701"/>
      <c r="J66" s="701"/>
      <c r="K66" s="701"/>
      <c r="L66" s="701"/>
      <c r="M66" s="701"/>
      <c r="N66" s="701"/>
      <c r="O66" s="701"/>
      <c r="P66" s="701"/>
      <c r="Q66" s="701"/>
      <c r="R66" s="701"/>
      <c r="S66" s="701"/>
      <c r="T66" s="701"/>
      <c r="U66" s="701"/>
      <c r="V66" s="701"/>
      <c r="W66" s="701"/>
      <c r="X66" s="701"/>
      <c r="Y66" s="701"/>
      <c r="Z66" s="701"/>
      <c r="AA66" s="701"/>
      <c r="AB66" s="701"/>
      <c r="AC66" s="701"/>
      <c r="AD66" s="701"/>
      <c r="AE66" s="701"/>
      <c r="AF66" s="701"/>
      <c r="AG66" s="701"/>
      <c r="AH66" s="701"/>
      <c r="AI66" s="701"/>
      <c r="AJ66" s="701"/>
      <c r="AK66" s="701"/>
      <c r="AL66" s="701"/>
      <c r="AM66" s="702"/>
      <c r="AN66" s="702"/>
      <c r="AO66" s="702"/>
      <c r="AP66" s="702"/>
      <c r="AQ66" s="702"/>
      <c r="AR66" s="702"/>
      <c r="AS66" s="702"/>
      <c r="AT66" s="702"/>
      <c r="AU66" s="702"/>
      <c r="AV66" s="702"/>
    </row>
    <row r="67" spans="1:52" s="685" customFormat="1" ht="12" customHeight="1" x14ac:dyDescent="0.2">
      <c r="A67" s="666" t="str">
        <f>Technologies!B114</f>
        <v>R2,R3,R4,R5,R6</v>
      </c>
      <c r="B67" s="666" t="str">
        <f>Technologies!C114</f>
        <v>TMGSLC10</v>
      </c>
      <c r="C67" s="666" t="str">
        <f>Technologies!D114</f>
        <v>Medium Duty Truck, Gasoline, 2010</v>
      </c>
      <c r="D67" s="666" t="s">
        <v>480</v>
      </c>
      <c r="E67" s="666" t="str">
        <f>Commodities!C$39</f>
        <v>TMGSL</v>
      </c>
      <c r="F67" s="666" t="str">
        <f>Commodities!C$11</f>
        <v>TM</v>
      </c>
      <c r="G67" s="692">
        <v>1</v>
      </c>
      <c r="H67" s="695">
        <v>2010</v>
      </c>
      <c r="I67" s="692">
        <f t="shared" ref="I67:I88" si="57">AZ67+5</f>
        <v>24</v>
      </c>
      <c r="J67" s="692">
        <v>0.18</v>
      </c>
      <c r="K67" s="693">
        <f>Trucks!H88</f>
        <v>6.2417562952645951E-2</v>
      </c>
      <c r="L67" s="693"/>
      <c r="M67" s="693"/>
      <c r="N67" s="693"/>
      <c r="O67" s="693"/>
      <c r="P67" s="693"/>
      <c r="Q67" s="693"/>
      <c r="R67" s="693"/>
      <c r="S67" s="693"/>
      <c r="T67" s="693"/>
      <c r="U67" s="693"/>
      <c r="V67" s="695">
        <f>Trucks!F88</f>
        <v>5812.2033972904501</v>
      </c>
      <c r="W67" s="695"/>
      <c r="X67" s="695"/>
      <c r="Y67" s="695"/>
      <c r="Z67" s="695"/>
      <c r="AA67" s="695"/>
      <c r="AB67" s="695"/>
      <c r="AC67" s="695"/>
      <c r="AD67" s="695"/>
      <c r="AE67" s="695"/>
      <c r="AF67" s="695">
        <f>Trucks!G88</f>
        <v>248.80470075014617</v>
      </c>
      <c r="AG67" s="694"/>
      <c r="AH67" s="694"/>
      <c r="AI67" s="694"/>
      <c r="AJ67" s="694"/>
      <c r="AK67" s="694"/>
      <c r="AL67" s="695">
        <v>1</v>
      </c>
      <c r="AM67" s="695">
        <v>0</v>
      </c>
      <c r="AN67" s="695">
        <v>0</v>
      </c>
      <c r="AO67" s="695">
        <v>0</v>
      </c>
      <c r="AP67" s="695">
        <v>0</v>
      </c>
      <c r="AQ67" s="695">
        <v>0</v>
      </c>
      <c r="AR67" s="695">
        <v>0</v>
      </c>
      <c r="AS67" s="695">
        <v>0</v>
      </c>
      <c r="AT67" s="695">
        <v>0</v>
      </c>
      <c r="AU67" s="695">
        <v>0</v>
      </c>
      <c r="AV67" s="695">
        <v>0</v>
      </c>
      <c r="AZ67" s="689">
        <v>19</v>
      </c>
    </row>
    <row r="68" spans="1:52" s="685" customFormat="1" ht="12" customHeight="1" x14ac:dyDescent="0.2">
      <c r="A68" s="666" t="str">
        <f>Technologies!B115</f>
        <v>R2,R3,R4,R5,R6</v>
      </c>
      <c r="B68" s="666" t="str">
        <f>Technologies!C115</f>
        <v>TMGSLC</v>
      </c>
      <c r="C68" s="666" t="str">
        <f>Technologies!D115</f>
        <v>Medium Duty Truck, Conventional Gasoline</v>
      </c>
      <c r="D68" s="666" t="s">
        <v>480</v>
      </c>
      <c r="E68" s="666" t="str">
        <f>Commodities!C$39</f>
        <v>TMGSL</v>
      </c>
      <c r="F68" s="666" t="str">
        <f>Commodities!C$11</f>
        <v>TM</v>
      </c>
      <c r="G68" s="692">
        <v>1</v>
      </c>
      <c r="H68" s="695">
        <v>2015</v>
      </c>
      <c r="I68" s="692">
        <f t="shared" si="57"/>
        <v>24</v>
      </c>
      <c r="J68" s="692">
        <v>0.18</v>
      </c>
      <c r="K68" s="693"/>
      <c r="L68" s="692"/>
      <c r="M68" s="693">
        <f>Trucks!H89</f>
        <v>6.4948004693969427E-2</v>
      </c>
      <c r="N68" s="693">
        <f>Trucks!H90</f>
        <v>6.9730539585070805E-2</v>
      </c>
      <c r="O68" s="693">
        <f t="shared" ref="O68:U68" si="58">N68</f>
        <v>6.9730539585070805E-2</v>
      </c>
      <c r="P68" s="693">
        <f t="shared" si="58"/>
        <v>6.9730539585070805E-2</v>
      </c>
      <c r="Q68" s="693">
        <f t="shared" si="58"/>
        <v>6.9730539585070805E-2</v>
      </c>
      <c r="R68" s="693">
        <f t="shared" si="58"/>
        <v>6.9730539585070805E-2</v>
      </c>
      <c r="S68" s="693">
        <f t="shared" si="58"/>
        <v>6.9730539585070805E-2</v>
      </c>
      <c r="T68" s="693">
        <f t="shared" si="58"/>
        <v>6.9730539585070805E-2</v>
      </c>
      <c r="U68" s="693">
        <f t="shared" si="58"/>
        <v>6.9730539585070805E-2</v>
      </c>
      <c r="V68" s="692"/>
      <c r="W68" s="695">
        <f>Trucks!F89</f>
        <v>5834.9327443156681</v>
      </c>
      <c r="X68" s="695">
        <f>Trucks!F90</f>
        <v>5908.666433634593</v>
      </c>
      <c r="Y68" s="696">
        <f>Trucks!F90</f>
        <v>5908.666433634593</v>
      </c>
      <c r="Z68" s="696">
        <f t="shared" ref="Z68:AE69" si="59">Y68</f>
        <v>5908.666433634593</v>
      </c>
      <c r="AA68" s="696">
        <f t="shared" si="59"/>
        <v>5908.666433634593</v>
      </c>
      <c r="AB68" s="696">
        <f t="shared" si="59"/>
        <v>5908.666433634593</v>
      </c>
      <c r="AC68" s="696">
        <f t="shared" si="59"/>
        <v>5908.666433634593</v>
      </c>
      <c r="AD68" s="696">
        <f t="shared" si="59"/>
        <v>5908.666433634593</v>
      </c>
      <c r="AE68" s="696">
        <f t="shared" si="59"/>
        <v>5908.666433634593</v>
      </c>
      <c r="AF68" s="695">
        <f>Trucks!G88</f>
        <v>248.80470075014617</v>
      </c>
      <c r="AG68" s="694">
        <v>0</v>
      </c>
      <c r="AH68" s="694">
        <v>0</v>
      </c>
      <c r="AI68" s="694">
        <v>0</v>
      </c>
      <c r="AJ68" s="694">
        <v>0</v>
      </c>
      <c r="AK68" s="694">
        <v>0</v>
      </c>
      <c r="AL68" s="695">
        <v>1</v>
      </c>
      <c r="AM68" s="695">
        <v>0</v>
      </c>
      <c r="AN68" s="695"/>
      <c r="AO68" s="695">
        <v>0</v>
      </c>
      <c r="AP68" s="695">
        <v>0</v>
      </c>
      <c r="AQ68" s="695">
        <v>0</v>
      </c>
      <c r="AR68" s="695">
        <v>0</v>
      </c>
      <c r="AS68" s="695">
        <v>0</v>
      </c>
      <c r="AT68" s="695">
        <v>0</v>
      </c>
      <c r="AU68" s="695">
        <v>0</v>
      </c>
      <c r="AV68" s="695">
        <v>0</v>
      </c>
      <c r="AZ68" s="689">
        <v>19</v>
      </c>
    </row>
    <row r="69" spans="1:52" s="685" customFormat="1" ht="12" customHeight="1" x14ac:dyDescent="0.2">
      <c r="A69" s="666" t="str">
        <f>Technologies!B116</f>
        <v>R2,R3,R4,R5,R6</v>
      </c>
      <c r="B69" s="666" t="str">
        <f>Technologies!C116</f>
        <v>TMGSLIM</v>
      </c>
      <c r="C69" s="666" t="str">
        <f>Technologies!D116</f>
        <v>Medium Duty Truck, Improved Gasoline</v>
      </c>
      <c r="D69" s="666" t="s">
        <v>480</v>
      </c>
      <c r="E69" s="666" t="str">
        <f>Commodities!C$39</f>
        <v>TMGSL</v>
      </c>
      <c r="F69" s="666" t="str">
        <f>Commodities!C$11</f>
        <v>TM</v>
      </c>
      <c r="G69" s="692">
        <v>1</v>
      </c>
      <c r="H69" s="695">
        <v>2025</v>
      </c>
      <c r="I69" s="692">
        <f t="shared" si="57"/>
        <v>24</v>
      </c>
      <c r="J69" s="692">
        <v>0.24</v>
      </c>
      <c r="K69" s="693">
        <f>Trucks!H91</f>
        <v>7.5246902581156003E-2</v>
      </c>
      <c r="L69" s="693"/>
      <c r="M69" s="693"/>
      <c r="N69" s="693"/>
      <c r="O69" s="692"/>
      <c r="P69" s="693"/>
      <c r="Q69" s="693"/>
      <c r="R69" s="693"/>
      <c r="S69" s="693"/>
      <c r="T69" s="693"/>
      <c r="U69" s="693"/>
      <c r="V69" s="695"/>
      <c r="W69" s="695"/>
      <c r="X69" s="695"/>
      <c r="Y69" s="695">
        <f>Trucks!F91</f>
        <v>6443.5418634659982</v>
      </c>
      <c r="Z69" s="696">
        <f t="shared" si="59"/>
        <v>6443.5418634659982</v>
      </c>
      <c r="AA69" s="696">
        <f t="shared" si="59"/>
        <v>6443.5418634659982</v>
      </c>
      <c r="AB69" s="696">
        <f t="shared" si="59"/>
        <v>6443.5418634659982</v>
      </c>
      <c r="AC69" s="696">
        <f t="shared" si="59"/>
        <v>6443.5418634659982</v>
      </c>
      <c r="AD69" s="695">
        <f t="shared" si="59"/>
        <v>6443.5418634659982</v>
      </c>
      <c r="AE69" s="695">
        <f t="shared" si="59"/>
        <v>6443.5418634659982</v>
      </c>
      <c r="AF69" s="695">
        <f>Trucks!G89</f>
        <v>248.80470075014617</v>
      </c>
      <c r="AG69" s="694">
        <v>0</v>
      </c>
      <c r="AH69" s="694">
        <v>0</v>
      </c>
      <c r="AI69" s="694">
        <v>0</v>
      </c>
      <c r="AJ69" s="694">
        <v>0</v>
      </c>
      <c r="AK69" s="694">
        <v>0</v>
      </c>
      <c r="AL69" s="695">
        <v>1</v>
      </c>
      <c r="AM69" s="695">
        <v>0</v>
      </c>
      <c r="AN69" s="695">
        <v>0</v>
      </c>
      <c r="AO69" s="695"/>
      <c r="AP69" s="695"/>
      <c r="AQ69" s="695"/>
      <c r="AR69" s="695"/>
      <c r="AS69" s="695"/>
      <c r="AT69" s="695"/>
      <c r="AU69" s="695"/>
      <c r="AV69" s="695"/>
      <c r="AZ69" s="689">
        <v>19</v>
      </c>
    </row>
    <row r="70" spans="1:52" s="685" customFormat="1" ht="12" customHeight="1" x14ac:dyDescent="0.2">
      <c r="A70" s="666" t="str">
        <f>Technologies!B117</f>
        <v>R2,R3,R4,R5,R6</v>
      </c>
      <c r="B70" s="666" t="str">
        <f>Technologies!C117</f>
        <v>TMGSLAH</v>
      </c>
      <c r="C70" s="666" t="str">
        <f>Technologies!D117</f>
        <v>Medium Duty Truck, Advanced Hybrid Gasoline</v>
      </c>
      <c r="D70" s="666" t="s">
        <v>480</v>
      </c>
      <c r="E70" s="666" t="str">
        <f>Commodities!C$39</f>
        <v>TMGSL</v>
      </c>
      <c r="F70" s="666" t="str">
        <f>Commodities!C$11</f>
        <v>TM</v>
      </c>
      <c r="G70" s="692">
        <v>1</v>
      </c>
      <c r="H70" s="695">
        <f>Trucks!D92</f>
        <v>2015</v>
      </c>
      <c r="I70" s="692">
        <f t="shared" si="57"/>
        <v>24</v>
      </c>
      <c r="J70" s="692">
        <v>0.28000000000000003</v>
      </c>
      <c r="K70" s="693"/>
      <c r="L70" s="693"/>
      <c r="M70" s="693">
        <f>Trucks!H92</f>
        <v>7.8865434271248591E-2</v>
      </c>
      <c r="N70" s="693">
        <f>M70</f>
        <v>7.8865434271248591E-2</v>
      </c>
      <c r="O70" s="693">
        <f>Trucks!H93</f>
        <v>9.961505655010118E-2</v>
      </c>
      <c r="P70" s="693">
        <f>O70</f>
        <v>9.961505655010118E-2</v>
      </c>
      <c r="Q70" s="693">
        <f>P70</f>
        <v>9.961505655010118E-2</v>
      </c>
      <c r="R70" s="693">
        <f>Trucks!H94</f>
        <v>0.10749316517142161</v>
      </c>
      <c r="S70" s="693">
        <f>R70</f>
        <v>0.10749316517142161</v>
      </c>
      <c r="T70" s="693">
        <f>S70</f>
        <v>0.10749316517142161</v>
      </c>
      <c r="U70" s="693">
        <f>T70</f>
        <v>0.10749316517142161</v>
      </c>
      <c r="V70" s="695"/>
      <c r="W70" s="695">
        <f>Trucks!F92</f>
        <v>6616.0099616771531</v>
      </c>
      <c r="X70" s="695">
        <f>W70</f>
        <v>6616.0099616771531</v>
      </c>
      <c r="Y70" s="695">
        <f>Trucks!F93</f>
        <v>6935.0018972475837</v>
      </c>
      <c r="Z70" s="695">
        <f>Y70</f>
        <v>6935.0018972475837</v>
      </c>
      <c r="AA70" s="695">
        <f>Z70</f>
        <v>6935.0018972475837</v>
      </c>
      <c r="AB70" s="695">
        <f>Trucks!F94</f>
        <v>7469.8773270789898</v>
      </c>
      <c r="AC70" s="695">
        <f>AB70</f>
        <v>7469.8773270789898</v>
      </c>
      <c r="AD70" s="695">
        <f>AC70</f>
        <v>7469.8773270789898</v>
      </c>
      <c r="AE70" s="695">
        <f>AD70</f>
        <v>7469.8773270789898</v>
      </c>
      <c r="AF70" s="695">
        <f>Trucks!G92</f>
        <v>237.85729391713974</v>
      </c>
      <c r="AG70" s="694">
        <v>0</v>
      </c>
      <c r="AH70" s="694">
        <v>0</v>
      </c>
      <c r="AI70" s="694">
        <v>0</v>
      </c>
      <c r="AJ70" s="694">
        <v>0</v>
      </c>
      <c r="AK70" s="694">
        <v>0</v>
      </c>
      <c r="AL70" s="695">
        <v>1</v>
      </c>
      <c r="AM70" s="695">
        <v>0</v>
      </c>
      <c r="AN70" s="695">
        <v>0</v>
      </c>
      <c r="AO70" s="695"/>
      <c r="AP70" s="695"/>
      <c r="AQ70" s="695"/>
      <c r="AR70" s="695"/>
      <c r="AS70" s="695"/>
      <c r="AT70" s="695"/>
      <c r="AU70" s="695"/>
      <c r="AV70" s="695"/>
      <c r="AZ70" s="689">
        <f>Trucks!E92</f>
        <v>19</v>
      </c>
    </row>
    <row r="71" spans="1:52" s="685" customFormat="1" ht="12" customHeight="1" x14ac:dyDescent="0.2">
      <c r="A71" s="666" t="str">
        <f>Technologies!B118</f>
        <v>R2,R3,R4,R5,R6</v>
      </c>
      <c r="B71" s="666" t="str">
        <f>Technologies!C118</f>
        <v>TMDSLC10</v>
      </c>
      <c r="C71" s="666" t="str">
        <f>Technologies!D118</f>
        <v>Medium Duty Truck, Diesel, 2010</v>
      </c>
      <c r="D71" s="666" t="s">
        <v>480</v>
      </c>
      <c r="E71" s="666" t="str">
        <f>Commodities!C$42</f>
        <v>TMDSL</v>
      </c>
      <c r="F71" s="666" t="str">
        <f>Commodities!C$11</f>
        <v>TM</v>
      </c>
      <c r="G71" s="692">
        <v>1</v>
      </c>
      <c r="H71" s="695">
        <v>2010</v>
      </c>
      <c r="I71" s="692">
        <f t="shared" si="57"/>
        <v>24</v>
      </c>
      <c r="J71" s="692">
        <v>0.18</v>
      </c>
      <c r="K71" s="693">
        <f>TechData!K19</f>
        <v>6.0890110280658251E-2</v>
      </c>
      <c r="L71" s="693"/>
      <c r="M71" s="693"/>
      <c r="N71" s="693"/>
      <c r="O71" s="693"/>
      <c r="P71" s="693"/>
      <c r="Q71" s="693"/>
      <c r="R71" s="693"/>
      <c r="S71" s="693"/>
      <c r="T71" s="693"/>
      <c r="U71" s="693"/>
      <c r="V71" s="695">
        <f>Trucks!F78</f>
        <v>6276.5914442142484</v>
      </c>
      <c r="W71" s="695"/>
      <c r="X71" s="695"/>
      <c r="Y71" s="695"/>
      <c r="Z71" s="695"/>
      <c r="AA71" s="695"/>
      <c r="AB71" s="695"/>
      <c r="AC71" s="695"/>
      <c r="AD71" s="695"/>
      <c r="AE71" s="695"/>
      <c r="AF71" s="695">
        <f>Trucks!G78</f>
        <v>136.84258541258041</v>
      </c>
      <c r="AG71" s="694">
        <v>0</v>
      </c>
      <c r="AH71" s="694">
        <v>0</v>
      </c>
      <c r="AI71" s="694">
        <v>0</v>
      </c>
      <c r="AJ71" s="694">
        <v>0</v>
      </c>
      <c r="AK71" s="694">
        <v>0</v>
      </c>
      <c r="AL71" s="695">
        <v>1</v>
      </c>
      <c r="AM71" s="695">
        <v>0</v>
      </c>
      <c r="AN71" s="695">
        <v>0</v>
      </c>
      <c r="AO71" s="695">
        <v>0</v>
      </c>
      <c r="AP71" s="695">
        <v>0</v>
      </c>
      <c r="AQ71" s="695">
        <v>0</v>
      </c>
      <c r="AR71" s="695">
        <v>0</v>
      </c>
      <c r="AS71" s="695">
        <v>0</v>
      </c>
      <c r="AT71" s="695">
        <v>0</v>
      </c>
      <c r="AU71" s="695">
        <v>0</v>
      </c>
      <c r="AV71" s="695">
        <v>0</v>
      </c>
      <c r="AZ71" s="689">
        <v>19</v>
      </c>
    </row>
    <row r="72" spans="1:52" s="685" customFormat="1" ht="12" customHeight="1" x14ac:dyDescent="0.2">
      <c r="A72" s="666" t="str">
        <f>Technologies!B119</f>
        <v>R2,R3,R4,R5,R6</v>
      </c>
      <c r="B72" s="666" t="str">
        <f>Technologies!C119</f>
        <v>TMDSLC</v>
      </c>
      <c r="C72" s="666" t="str">
        <f>Technologies!D119</f>
        <v>Medium Duty Truck, Conventional Diesel</v>
      </c>
      <c r="D72" s="666" t="s">
        <v>480</v>
      </c>
      <c r="E72" s="666" t="str">
        <f>Commodities!C$42</f>
        <v>TMDSL</v>
      </c>
      <c r="F72" s="666" t="str">
        <f>Commodities!C$11</f>
        <v>TM</v>
      </c>
      <c r="G72" s="692">
        <v>1</v>
      </c>
      <c r="H72" s="695">
        <v>2015</v>
      </c>
      <c r="I72" s="692">
        <f t="shared" si="57"/>
        <v>24</v>
      </c>
      <c r="J72" s="692">
        <v>0.18</v>
      </c>
      <c r="K72" s="693"/>
      <c r="L72" s="692"/>
      <c r="M72" s="693">
        <f>Trucks!H79</f>
        <v>7.5263594035905171E-2</v>
      </c>
      <c r="N72" s="693">
        <f>Trucks!H80</f>
        <v>8.2850618921883556E-2</v>
      </c>
      <c r="O72" s="693">
        <f t="shared" ref="O72:U72" si="60">N72</f>
        <v>8.2850618921883556E-2</v>
      </c>
      <c r="P72" s="693">
        <f t="shared" si="60"/>
        <v>8.2850618921883556E-2</v>
      </c>
      <c r="Q72" s="693">
        <f t="shared" si="60"/>
        <v>8.2850618921883556E-2</v>
      </c>
      <c r="R72" s="693">
        <f t="shared" si="60"/>
        <v>8.2850618921883556E-2</v>
      </c>
      <c r="S72" s="693">
        <f t="shared" si="60"/>
        <v>8.2850618921883556E-2</v>
      </c>
      <c r="T72" s="693">
        <f t="shared" si="60"/>
        <v>8.2850618921883556E-2</v>
      </c>
      <c r="U72" s="693">
        <f t="shared" si="60"/>
        <v>8.2850618921883556E-2</v>
      </c>
      <c r="V72" s="692"/>
      <c r="W72" s="695">
        <f>Trucks!F79</f>
        <v>6295.5716205961326</v>
      </c>
      <c r="X72" s="695">
        <f>Trucks!F80</f>
        <v>6469.2831937373276</v>
      </c>
      <c r="Y72" s="695">
        <f t="shared" ref="Y72:AE72" si="61">X72</f>
        <v>6469.2831937373276</v>
      </c>
      <c r="Z72" s="695">
        <f t="shared" si="61"/>
        <v>6469.2831937373276</v>
      </c>
      <c r="AA72" s="695">
        <f t="shared" si="61"/>
        <v>6469.2831937373276</v>
      </c>
      <c r="AB72" s="695">
        <f t="shared" si="61"/>
        <v>6469.2831937373276</v>
      </c>
      <c r="AC72" s="695">
        <f t="shared" si="61"/>
        <v>6469.2831937373276</v>
      </c>
      <c r="AD72" s="695">
        <f t="shared" si="61"/>
        <v>6469.2831937373276</v>
      </c>
      <c r="AE72" s="695">
        <f t="shared" si="61"/>
        <v>6469.2831937373276</v>
      </c>
      <c r="AF72" s="695">
        <f>Trucks!G78</f>
        <v>136.84258541258041</v>
      </c>
      <c r="AG72" s="694">
        <v>0</v>
      </c>
      <c r="AH72" s="694">
        <v>0</v>
      </c>
      <c r="AI72" s="694">
        <v>0</v>
      </c>
      <c r="AJ72" s="694">
        <v>0</v>
      </c>
      <c r="AK72" s="694">
        <v>0</v>
      </c>
      <c r="AL72" s="695">
        <v>1</v>
      </c>
      <c r="AM72" s="695">
        <v>0</v>
      </c>
      <c r="AN72" s="695"/>
      <c r="AO72" s="695"/>
      <c r="AP72" s="695"/>
      <c r="AQ72" s="695"/>
      <c r="AR72" s="695"/>
      <c r="AS72" s="695"/>
      <c r="AT72" s="695"/>
      <c r="AU72" s="695"/>
      <c r="AV72" s="695"/>
      <c r="AZ72" s="689">
        <v>19</v>
      </c>
    </row>
    <row r="73" spans="1:52" s="685" customFormat="1" ht="12" customHeight="1" x14ac:dyDescent="0.2">
      <c r="A73" s="666" t="str">
        <f>Technologies!B120</f>
        <v>R2,R3,R4,R5,R6</v>
      </c>
      <c r="B73" s="666" t="str">
        <f>Technologies!C120</f>
        <v>TMDSLIM</v>
      </c>
      <c r="C73" s="666" t="str">
        <f>Technologies!D120</f>
        <v>Medium Duty Truck, Improved Diesel</v>
      </c>
      <c r="D73" s="666" t="s">
        <v>480</v>
      </c>
      <c r="E73" s="666" t="str">
        <f>Commodities!C$42</f>
        <v>TMDSL</v>
      </c>
      <c r="F73" s="666" t="str">
        <f>Commodities!C$11</f>
        <v>TM</v>
      </c>
      <c r="G73" s="692">
        <v>1</v>
      </c>
      <c r="H73" s="695">
        <v>2025</v>
      </c>
      <c r="I73" s="692">
        <f t="shared" si="57"/>
        <v>24</v>
      </c>
      <c r="J73" s="692">
        <v>0.24</v>
      </c>
      <c r="K73" s="693">
        <f>Trucks!H81</f>
        <v>8.4286624644229674E-2</v>
      </c>
      <c r="L73" s="693"/>
      <c r="M73" s="693"/>
      <c r="N73" s="693"/>
      <c r="O73" s="692"/>
      <c r="P73" s="693"/>
      <c r="Q73" s="693"/>
      <c r="R73" s="693"/>
      <c r="S73" s="693"/>
      <c r="T73" s="693"/>
      <c r="U73" s="693"/>
      <c r="V73" s="695"/>
      <c r="W73" s="695"/>
      <c r="X73" s="695"/>
      <c r="Y73" s="695">
        <f>Trucks!F81</f>
        <v>6691.9683084070857</v>
      </c>
      <c r="Z73" s="695">
        <f t="shared" ref="Z73:AE73" si="62">Y73</f>
        <v>6691.9683084070857</v>
      </c>
      <c r="AA73" s="695">
        <f t="shared" si="62"/>
        <v>6691.9683084070857</v>
      </c>
      <c r="AB73" s="695">
        <f t="shared" si="62"/>
        <v>6691.9683084070857</v>
      </c>
      <c r="AC73" s="695">
        <f t="shared" si="62"/>
        <v>6691.9683084070857</v>
      </c>
      <c r="AD73" s="695">
        <f t="shared" si="62"/>
        <v>6691.9683084070857</v>
      </c>
      <c r="AE73" s="695">
        <f t="shared" si="62"/>
        <v>6691.9683084070857</v>
      </c>
      <c r="AF73" s="695">
        <f>AF72</f>
        <v>136.84258541258041</v>
      </c>
      <c r="AG73" s="694">
        <v>0</v>
      </c>
      <c r="AH73" s="694">
        <v>0</v>
      </c>
      <c r="AI73" s="694">
        <v>0</v>
      </c>
      <c r="AJ73" s="694">
        <v>0</v>
      </c>
      <c r="AK73" s="694">
        <v>0</v>
      </c>
      <c r="AL73" s="695">
        <v>1</v>
      </c>
      <c r="AM73" s="695">
        <v>0</v>
      </c>
      <c r="AN73" s="695">
        <v>0</v>
      </c>
      <c r="AO73" s="695"/>
      <c r="AP73" s="695"/>
      <c r="AQ73" s="695"/>
      <c r="AR73" s="695"/>
      <c r="AS73" s="695"/>
      <c r="AT73" s="695"/>
      <c r="AU73" s="695"/>
      <c r="AV73" s="695"/>
      <c r="AZ73" s="689">
        <v>19</v>
      </c>
    </row>
    <row r="74" spans="1:52" s="685" customFormat="1" ht="12" customHeight="1" x14ac:dyDescent="0.2">
      <c r="A74" s="666" t="str">
        <f>Technologies!B121</f>
        <v>R2,R3,R4,R5,R6</v>
      </c>
      <c r="B74" s="666" t="str">
        <f>Technologies!C121</f>
        <v>TMDSLADV</v>
      </c>
      <c r="C74" s="666" t="str">
        <f>Technologies!D121</f>
        <v>Medium Duty Truck, Advanced Diesel</v>
      </c>
      <c r="D74" s="666" t="s">
        <v>480</v>
      </c>
      <c r="E74" s="666" t="str">
        <f>Commodities!C$42</f>
        <v>TMDSL</v>
      </c>
      <c r="F74" s="666" t="str">
        <f>Commodities!C$11</f>
        <v>TM</v>
      </c>
      <c r="G74" s="692">
        <v>1</v>
      </c>
      <c r="H74" s="695">
        <v>2015</v>
      </c>
      <c r="I74" s="692">
        <f t="shared" si="57"/>
        <v>24</v>
      </c>
      <c r="J74" s="692">
        <v>0.28000000000000003</v>
      </c>
      <c r="K74" s="693"/>
      <c r="L74" s="693"/>
      <c r="M74" s="693">
        <f>Trucks!H82</f>
        <v>8.4286624644229674E-2</v>
      </c>
      <c r="N74" s="693">
        <f>M74</f>
        <v>8.4286624644229674E-2</v>
      </c>
      <c r="O74" s="693">
        <f>Trucks!H83</f>
        <v>8.707416516407801E-2</v>
      </c>
      <c r="P74" s="693">
        <f>O74</f>
        <v>8.707416516407801E-2</v>
      </c>
      <c r="Q74" s="693">
        <f>P74</f>
        <v>8.707416516407801E-2</v>
      </c>
      <c r="R74" s="693">
        <f>Trucks!H84</f>
        <v>8.707416516407801E-2</v>
      </c>
      <c r="S74" s="693">
        <f t="shared" ref="S74:U75" si="63">R74</f>
        <v>8.707416516407801E-2</v>
      </c>
      <c r="T74" s="693">
        <f t="shared" si="63"/>
        <v>8.707416516407801E-2</v>
      </c>
      <c r="U74" s="693">
        <f t="shared" si="63"/>
        <v>8.707416516407801E-2</v>
      </c>
      <c r="V74" s="695"/>
      <c r="W74" s="695">
        <f>Trucks!F82</f>
        <v>6767.5657068244345</v>
      </c>
      <c r="X74" s="695">
        <f>W74</f>
        <v>6767.5657068244345</v>
      </c>
      <c r="Y74" s="695">
        <f>Trucks!F83</f>
        <v>6936.7579083281753</v>
      </c>
      <c r="Z74" s="695">
        <f>Y74</f>
        <v>6936.7579083281753</v>
      </c>
      <c r="AA74" s="695">
        <f>Z74</f>
        <v>6936.7579083281753</v>
      </c>
      <c r="AB74" s="695">
        <f>Trucks!F84</f>
        <v>6936.7579083281753</v>
      </c>
      <c r="AC74" s="695">
        <f t="shared" ref="AC74:AE75" si="64">AB74</f>
        <v>6936.7579083281753</v>
      </c>
      <c r="AD74" s="695">
        <f t="shared" si="64"/>
        <v>6936.7579083281753</v>
      </c>
      <c r="AE74" s="695">
        <f t="shared" si="64"/>
        <v>6936.7579083281753</v>
      </c>
      <c r="AF74" s="695">
        <f>AF73</f>
        <v>136.84258541258041</v>
      </c>
      <c r="AG74" s="694">
        <v>0</v>
      </c>
      <c r="AH74" s="694">
        <v>0</v>
      </c>
      <c r="AI74" s="694">
        <v>0</v>
      </c>
      <c r="AJ74" s="694">
        <v>0</v>
      </c>
      <c r="AK74" s="694">
        <v>0</v>
      </c>
      <c r="AL74" s="695">
        <v>1</v>
      </c>
      <c r="AM74" s="695">
        <v>0</v>
      </c>
      <c r="AN74" s="695">
        <v>0</v>
      </c>
      <c r="AO74" s="695"/>
      <c r="AP74" s="695"/>
      <c r="AQ74" s="695"/>
      <c r="AR74" s="695"/>
      <c r="AS74" s="695"/>
      <c r="AT74" s="695"/>
      <c r="AU74" s="695"/>
      <c r="AV74" s="695"/>
      <c r="AZ74" s="689">
        <v>19</v>
      </c>
    </row>
    <row r="75" spans="1:52" s="685" customFormat="1" ht="12" customHeight="1" x14ac:dyDescent="0.2">
      <c r="A75" s="666" t="str">
        <f>Technologies!B122</f>
        <v>R2,R3,R4,R5,R6</v>
      </c>
      <c r="B75" s="666" t="str">
        <f>Technologies!C122</f>
        <v>TMDSLAH</v>
      </c>
      <c r="C75" s="666" t="str">
        <f>Technologies!D122</f>
        <v>Medium Duty Truck, Advanced Hybrid Diesel</v>
      </c>
      <c r="D75" s="666" t="s">
        <v>480</v>
      </c>
      <c r="E75" s="666" t="str">
        <f>Commodities!C$42</f>
        <v>TMDSL</v>
      </c>
      <c r="F75" s="666" t="str">
        <f>Commodities!C$11</f>
        <v>TM</v>
      </c>
      <c r="G75" s="692">
        <v>1</v>
      </c>
      <c r="H75" s="695">
        <f>Trucks!D85</f>
        <v>2015</v>
      </c>
      <c r="I75" s="692">
        <f t="shared" si="57"/>
        <v>24</v>
      </c>
      <c r="J75" s="692">
        <v>0.28000000000000003</v>
      </c>
      <c r="K75" s="693"/>
      <c r="L75" s="693"/>
      <c r="M75" s="693">
        <f>Trucks!H85</f>
        <v>0.12040946377747096</v>
      </c>
      <c r="N75" s="693">
        <f>M75</f>
        <v>0.12040946377747096</v>
      </c>
      <c r="O75" s="693">
        <f>Trucks!H86</f>
        <v>0.12438727642011957</v>
      </c>
      <c r="P75" s="693">
        <f>O75</f>
        <v>0.12438727642011957</v>
      </c>
      <c r="Q75" s="693">
        <f>P75</f>
        <v>0.12438727642011957</v>
      </c>
      <c r="R75" s="693">
        <f>Trucks!H87</f>
        <v>0.12438727642011957</v>
      </c>
      <c r="S75" s="693">
        <f t="shared" si="63"/>
        <v>0.12438727642011957</v>
      </c>
      <c r="T75" s="693">
        <f t="shared" si="63"/>
        <v>0.12438727642011957</v>
      </c>
      <c r="U75" s="693">
        <f t="shared" si="63"/>
        <v>0.12438727642011957</v>
      </c>
      <c r="V75" s="695"/>
      <c r="W75" s="695">
        <f>Trucks!F85</f>
        <v>8334.222211770475</v>
      </c>
      <c r="X75" s="695">
        <f>W75</f>
        <v>8334.222211770475</v>
      </c>
      <c r="Y75" s="695">
        <f>Trucks!F86</f>
        <v>7963.0152642194289</v>
      </c>
      <c r="Z75" s="695">
        <f>Y75</f>
        <v>7963.0152642194289</v>
      </c>
      <c r="AA75" s="695">
        <f>Z75</f>
        <v>7963.0152642194289</v>
      </c>
      <c r="AB75" s="695">
        <f>Trucks!F87</f>
        <v>7963.0152642194289</v>
      </c>
      <c r="AC75" s="695">
        <f t="shared" si="64"/>
        <v>7963.0152642194289</v>
      </c>
      <c r="AD75" s="695">
        <f t="shared" si="64"/>
        <v>7963.0152642194289</v>
      </c>
      <c r="AE75" s="695">
        <f t="shared" si="64"/>
        <v>7963.0152642194289</v>
      </c>
      <c r="AF75" s="695">
        <f>Trucks!G85</f>
        <v>125.89517857957398</v>
      </c>
      <c r="AG75" s="694">
        <v>0</v>
      </c>
      <c r="AH75" s="694">
        <v>0</v>
      </c>
      <c r="AI75" s="694">
        <v>0</v>
      </c>
      <c r="AJ75" s="694">
        <v>0</v>
      </c>
      <c r="AK75" s="694">
        <v>0</v>
      </c>
      <c r="AL75" s="695">
        <v>1</v>
      </c>
      <c r="AM75" s="695">
        <v>0</v>
      </c>
      <c r="AN75" s="695">
        <v>0</v>
      </c>
      <c r="AO75" s="695"/>
      <c r="AP75" s="695"/>
      <c r="AQ75" s="695"/>
      <c r="AR75" s="695"/>
      <c r="AS75" s="695"/>
      <c r="AT75" s="695"/>
      <c r="AU75" s="695"/>
      <c r="AV75" s="695"/>
      <c r="AZ75" s="689">
        <f>Trucks!E85</f>
        <v>19</v>
      </c>
    </row>
    <row r="76" spans="1:52" s="685" customFormat="1" ht="12" customHeight="1" x14ac:dyDescent="0.2">
      <c r="A76" s="666" t="s">
        <v>115</v>
      </c>
      <c r="B76" s="666" t="str">
        <f>Technologies!C123</f>
        <v>TMB20C10</v>
      </c>
      <c r="C76" s="666" t="str">
        <f>Technologies!D123</f>
        <v>Medium Duty Truck, B20, 2010</v>
      </c>
      <c r="D76" s="666" t="s">
        <v>480</v>
      </c>
      <c r="E76" s="666" t="str">
        <f>Commodities!C$63</f>
        <v>TMB20X</v>
      </c>
      <c r="F76" s="666" t="str">
        <f>Commodities!C$11</f>
        <v>TM</v>
      </c>
      <c r="G76" s="692">
        <v>1</v>
      </c>
      <c r="H76" s="695">
        <v>2010</v>
      </c>
      <c r="I76" s="692">
        <f t="shared" si="57"/>
        <v>24</v>
      </c>
      <c r="J76" s="692">
        <v>0.18</v>
      </c>
      <c r="K76" s="693">
        <f>Trucks!H95</f>
        <v>7.1504036192117926E-2</v>
      </c>
      <c r="L76" s="693"/>
      <c r="M76" s="693"/>
      <c r="N76" s="693"/>
      <c r="O76" s="693"/>
      <c r="P76" s="693"/>
      <c r="Q76" s="693"/>
      <c r="R76" s="693"/>
      <c r="S76" s="693"/>
      <c r="T76" s="693"/>
      <c r="U76" s="693"/>
      <c r="V76" s="695">
        <f>Trucks!F95</f>
        <v>6276.5914442142484</v>
      </c>
      <c r="W76" s="695"/>
      <c r="X76" s="695"/>
      <c r="Y76" s="695"/>
      <c r="Z76" s="695"/>
      <c r="AA76" s="695"/>
      <c r="AB76" s="695"/>
      <c r="AC76" s="695"/>
      <c r="AD76" s="695"/>
      <c r="AE76" s="695"/>
      <c r="AF76" s="695">
        <f>Trucks!G95</f>
        <v>136.84258541258041</v>
      </c>
      <c r="AG76" s="694"/>
      <c r="AH76" s="694"/>
      <c r="AI76" s="694"/>
      <c r="AJ76" s="694"/>
      <c r="AK76" s="694"/>
      <c r="AL76" s="695">
        <v>1</v>
      </c>
      <c r="AM76" s="695"/>
      <c r="AN76" s="695">
        <v>0</v>
      </c>
      <c r="AO76" s="695">
        <v>0</v>
      </c>
      <c r="AP76" s="695">
        <v>0</v>
      </c>
      <c r="AQ76" s="695">
        <v>0</v>
      </c>
      <c r="AR76" s="695">
        <v>0</v>
      </c>
      <c r="AS76" s="695">
        <v>0</v>
      </c>
      <c r="AT76" s="695">
        <v>0</v>
      </c>
      <c r="AU76" s="695">
        <v>0</v>
      </c>
      <c r="AV76" s="695">
        <v>0</v>
      </c>
      <c r="AZ76" s="689">
        <v>19</v>
      </c>
    </row>
    <row r="77" spans="1:52" s="685" customFormat="1" ht="12" customHeight="1" x14ac:dyDescent="0.2">
      <c r="A77" s="666" t="s">
        <v>115</v>
      </c>
      <c r="B77" s="666" t="str">
        <f>Technologies!C124</f>
        <v>TMB20C</v>
      </c>
      <c r="C77" s="666" t="str">
        <f>Technologies!D124</f>
        <v>Medium Duty Truck, Conventional B20</v>
      </c>
      <c r="D77" s="666" t="s">
        <v>480</v>
      </c>
      <c r="E77" s="666" t="str">
        <f>Commodities!C$63</f>
        <v>TMB20X</v>
      </c>
      <c r="F77" s="666" t="str">
        <f>Commodities!C$11</f>
        <v>TM</v>
      </c>
      <c r="G77" s="692">
        <v>1</v>
      </c>
      <c r="H77" s="695">
        <v>2015</v>
      </c>
      <c r="I77" s="692">
        <f t="shared" si="57"/>
        <v>24</v>
      </c>
      <c r="J77" s="692">
        <v>0.18</v>
      </c>
      <c r="K77" s="693"/>
      <c r="L77" s="692"/>
      <c r="M77" s="693">
        <f>Trucks!H96</f>
        <v>7.5210459188554166E-2</v>
      </c>
      <c r="N77" s="693">
        <f>Trucks!H97</f>
        <v>7.7965336736629975E-2</v>
      </c>
      <c r="O77" s="693">
        <f t="shared" ref="O77:U77" si="65">N77</f>
        <v>7.7965336736629975E-2</v>
      </c>
      <c r="P77" s="693">
        <f t="shared" si="65"/>
        <v>7.7965336736629975E-2</v>
      </c>
      <c r="Q77" s="693">
        <f t="shared" si="65"/>
        <v>7.7965336736629975E-2</v>
      </c>
      <c r="R77" s="693">
        <f t="shared" si="65"/>
        <v>7.7965336736629975E-2</v>
      </c>
      <c r="S77" s="693">
        <f t="shared" si="65"/>
        <v>7.7965336736629975E-2</v>
      </c>
      <c r="T77" s="693">
        <f t="shared" si="65"/>
        <v>7.7965336736629975E-2</v>
      </c>
      <c r="U77" s="693">
        <f t="shared" si="65"/>
        <v>7.7965336736629975E-2</v>
      </c>
      <c r="V77" s="692"/>
      <c r="W77" s="695">
        <f>Trucks!F96</f>
        <v>6295.5716205961326</v>
      </c>
      <c r="X77" s="695">
        <f>Trucks!F97</f>
        <v>6347.8256864376162</v>
      </c>
      <c r="Y77" s="695">
        <f t="shared" ref="Y77:AE77" si="66">X77</f>
        <v>6347.8256864376162</v>
      </c>
      <c r="Z77" s="695">
        <f t="shared" si="66"/>
        <v>6347.8256864376162</v>
      </c>
      <c r="AA77" s="695">
        <f t="shared" si="66"/>
        <v>6347.8256864376162</v>
      </c>
      <c r="AB77" s="695">
        <f t="shared" si="66"/>
        <v>6347.8256864376162</v>
      </c>
      <c r="AC77" s="695">
        <f t="shared" si="66"/>
        <v>6347.8256864376162</v>
      </c>
      <c r="AD77" s="695">
        <f t="shared" si="66"/>
        <v>6347.8256864376162</v>
      </c>
      <c r="AE77" s="695">
        <f t="shared" si="66"/>
        <v>6347.8256864376162</v>
      </c>
      <c r="AF77" s="695">
        <f>Trucks!G96</f>
        <v>136.84258541258041</v>
      </c>
      <c r="AG77" s="694"/>
      <c r="AH77" s="694"/>
      <c r="AI77" s="694"/>
      <c r="AJ77" s="694"/>
      <c r="AK77" s="694"/>
      <c r="AL77" s="695">
        <v>1</v>
      </c>
      <c r="AM77" s="695"/>
      <c r="AN77" s="695"/>
      <c r="AO77" s="695"/>
      <c r="AP77" s="695"/>
      <c r="AQ77" s="695"/>
      <c r="AR77" s="695"/>
      <c r="AS77" s="695"/>
      <c r="AT77" s="695"/>
      <c r="AU77" s="695"/>
      <c r="AV77" s="695"/>
      <c r="AZ77" s="689">
        <v>19</v>
      </c>
    </row>
    <row r="78" spans="1:52" s="685" customFormat="1" ht="12" customHeight="1" x14ac:dyDescent="0.2">
      <c r="A78" s="666" t="s">
        <v>115</v>
      </c>
      <c r="B78" s="666" t="str">
        <f>Technologies!C125</f>
        <v>TMB20IM</v>
      </c>
      <c r="C78" s="666" t="str">
        <f>Technologies!D125</f>
        <v>Medium Duty Truck, Improved B20</v>
      </c>
      <c r="D78" s="666" t="s">
        <v>480</v>
      </c>
      <c r="E78" s="666" t="str">
        <f>Commodities!C$63</f>
        <v>TMB20X</v>
      </c>
      <c r="F78" s="666" t="str">
        <f>Commodities!C$11</f>
        <v>TM</v>
      </c>
      <c r="G78" s="692">
        <v>1</v>
      </c>
      <c r="H78" s="695">
        <v>2025</v>
      </c>
      <c r="I78" s="692">
        <f t="shared" si="57"/>
        <v>24</v>
      </c>
      <c r="J78" s="692">
        <v>0.24</v>
      </c>
      <c r="K78" s="693">
        <f>Trucks!H98</f>
        <v>8.3060709137527847E-2</v>
      </c>
      <c r="L78" s="692"/>
      <c r="M78" s="693"/>
      <c r="N78" s="693"/>
      <c r="O78" s="692"/>
      <c r="P78" s="693"/>
      <c r="Q78" s="693"/>
      <c r="R78" s="693"/>
      <c r="S78" s="693"/>
      <c r="T78" s="693"/>
      <c r="U78" s="693"/>
      <c r="V78" s="695"/>
      <c r="W78" s="695"/>
      <c r="X78" s="695"/>
      <c r="Y78" s="695">
        <f>Trucks!F98</f>
        <v>6469.2831937373276</v>
      </c>
      <c r="Z78" s="695">
        <f t="shared" ref="Z78:AE78" si="67">Y78</f>
        <v>6469.2831937373276</v>
      </c>
      <c r="AA78" s="695">
        <f t="shared" si="67"/>
        <v>6469.2831937373276</v>
      </c>
      <c r="AB78" s="695">
        <f t="shared" si="67"/>
        <v>6469.2831937373276</v>
      </c>
      <c r="AC78" s="695">
        <f t="shared" si="67"/>
        <v>6469.2831937373276</v>
      </c>
      <c r="AD78" s="695">
        <f t="shared" si="67"/>
        <v>6469.2831937373276</v>
      </c>
      <c r="AE78" s="695">
        <f t="shared" si="67"/>
        <v>6469.2831937373276</v>
      </c>
      <c r="AF78" s="695">
        <f>AF77</f>
        <v>136.84258541258041</v>
      </c>
      <c r="AG78" s="694"/>
      <c r="AH78" s="694"/>
      <c r="AI78" s="694"/>
      <c r="AJ78" s="694"/>
      <c r="AK78" s="694"/>
      <c r="AL78" s="695">
        <v>1</v>
      </c>
      <c r="AM78" s="695"/>
      <c r="AN78" s="695"/>
      <c r="AO78" s="695"/>
      <c r="AP78" s="695"/>
      <c r="AQ78" s="695"/>
      <c r="AR78" s="695"/>
      <c r="AS78" s="695"/>
      <c r="AT78" s="695"/>
      <c r="AU78" s="695"/>
      <c r="AV78" s="695"/>
      <c r="AZ78" s="689">
        <v>19</v>
      </c>
    </row>
    <row r="79" spans="1:52" s="685" customFormat="1" ht="12" customHeight="1" x14ac:dyDescent="0.2">
      <c r="A79" s="666" t="s">
        <v>115</v>
      </c>
      <c r="B79" s="666" t="str">
        <f>Technologies!C126</f>
        <v>TMB20ADV</v>
      </c>
      <c r="C79" s="666" t="str">
        <f>Technologies!D126</f>
        <v>Medium Duty Truck, Advanced Tech B20</v>
      </c>
      <c r="D79" s="666" t="s">
        <v>480</v>
      </c>
      <c r="E79" s="666" t="str">
        <f>Commodities!C$63</f>
        <v>TMB20X</v>
      </c>
      <c r="F79" s="666" t="str">
        <f>Commodities!C$11</f>
        <v>TM</v>
      </c>
      <c r="G79" s="692">
        <v>1</v>
      </c>
      <c r="H79" s="695">
        <f>Trucks!D99</f>
        <v>2015</v>
      </c>
      <c r="I79" s="692">
        <f t="shared" si="57"/>
        <v>24</v>
      </c>
      <c r="J79" s="692">
        <v>0.28000000000000003</v>
      </c>
      <c r="K79" s="693"/>
      <c r="L79" s="692"/>
      <c r="M79" s="693">
        <f>Trucks!H99</f>
        <v>8.4287693955702889E-2</v>
      </c>
      <c r="N79" s="693">
        <f>M79</f>
        <v>8.4287693955702889E-2</v>
      </c>
      <c r="O79" s="693">
        <f>Trucks!H100</f>
        <v>8.7074064003825294E-2</v>
      </c>
      <c r="P79" s="693">
        <f>O79</f>
        <v>8.7074064003825294E-2</v>
      </c>
      <c r="Q79" s="693">
        <f>P79</f>
        <v>8.7074064003825294E-2</v>
      </c>
      <c r="R79" s="693">
        <f>Trucks!H101</f>
        <v>8.7074064003825294E-2</v>
      </c>
      <c r="S79" s="693">
        <f t="shared" ref="S79:U80" si="68">R79</f>
        <v>8.7074064003825294E-2</v>
      </c>
      <c r="T79" s="693">
        <f t="shared" si="68"/>
        <v>8.7074064003825294E-2</v>
      </c>
      <c r="U79" s="693">
        <f t="shared" si="68"/>
        <v>8.7074064003825294E-2</v>
      </c>
      <c r="V79" s="695"/>
      <c r="W79" s="695">
        <f>Trucks!F99</f>
        <v>6772.0677770475058</v>
      </c>
      <c r="X79" s="695">
        <f>W79</f>
        <v>6772.0677770475058</v>
      </c>
      <c r="Y79" s="695">
        <f>Trucks!F100</f>
        <v>6936.7571272509576</v>
      </c>
      <c r="Z79" s="695">
        <f>Y79</f>
        <v>6936.7571272509576</v>
      </c>
      <c r="AA79" s="695">
        <f>Z79</f>
        <v>6936.7571272509576</v>
      </c>
      <c r="AB79" s="695">
        <f>Trucks!F101</f>
        <v>6936.7571272509576</v>
      </c>
      <c r="AC79" s="695">
        <f t="shared" ref="AC79:AE80" si="69">AB79</f>
        <v>6936.7571272509576</v>
      </c>
      <c r="AD79" s="695">
        <f t="shared" si="69"/>
        <v>6936.7571272509576</v>
      </c>
      <c r="AE79" s="695">
        <f t="shared" si="69"/>
        <v>6936.7571272509576</v>
      </c>
      <c r="AF79" s="695">
        <f>AF78</f>
        <v>136.84258541258041</v>
      </c>
      <c r="AG79" s="694"/>
      <c r="AH79" s="694"/>
      <c r="AI79" s="694"/>
      <c r="AJ79" s="694"/>
      <c r="AK79" s="694"/>
      <c r="AL79" s="695">
        <v>1</v>
      </c>
      <c r="AM79" s="695"/>
      <c r="AN79" s="695"/>
      <c r="AO79" s="695"/>
      <c r="AP79" s="695"/>
      <c r="AQ79" s="695"/>
      <c r="AR79" s="695"/>
      <c r="AS79" s="695"/>
      <c r="AT79" s="695"/>
      <c r="AU79" s="695"/>
      <c r="AV79" s="695"/>
      <c r="AZ79" s="689">
        <v>19</v>
      </c>
    </row>
    <row r="80" spans="1:52" s="685" customFormat="1" ht="12" customHeight="1" x14ac:dyDescent="0.2">
      <c r="A80" s="666" t="s">
        <v>115</v>
      </c>
      <c r="B80" s="666" t="str">
        <f>Technologies!C127</f>
        <v>TMB20AH</v>
      </c>
      <c r="C80" s="666" t="str">
        <f>Technologies!D127</f>
        <v>Medium Duty Truck, Advanced Hybrid B20</v>
      </c>
      <c r="D80" s="666" t="s">
        <v>480</v>
      </c>
      <c r="E80" s="666" t="str">
        <f>Commodities!C$63</f>
        <v>TMB20X</v>
      </c>
      <c r="F80" s="666" t="str">
        <f>Commodities!C$11</f>
        <v>TM</v>
      </c>
      <c r="G80" s="692">
        <v>1</v>
      </c>
      <c r="H80" s="695">
        <f>Trucks!D102</f>
        <v>2015</v>
      </c>
      <c r="I80" s="692">
        <f t="shared" si="57"/>
        <v>24</v>
      </c>
      <c r="J80" s="692">
        <v>0.28000000000000003</v>
      </c>
      <c r="K80" s="693"/>
      <c r="L80" s="692"/>
      <c r="M80" s="693">
        <f>Trucks!H102</f>
        <v>0.12041099136528984</v>
      </c>
      <c r="N80" s="693">
        <f>M80</f>
        <v>0.12041099136528984</v>
      </c>
      <c r="O80" s="693">
        <f>Trucks!H103</f>
        <v>0.1243915200054647</v>
      </c>
      <c r="P80" s="693">
        <f>O80</f>
        <v>0.1243915200054647</v>
      </c>
      <c r="Q80" s="693">
        <f>P80</f>
        <v>0.1243915200054647</v>
      </c>
      <c r="R80" s="693">
        <f>Trucks!H104</f>
        <v>0.1243915200054647</v>
      </c>
      <c r="S80" s="693">
        <f t="shared" si="68"/>
        <v>0.1243915200054647</v>
      </c>
      <c r="T80" s="693">
        <f t="shared" si="68"/>
        <v>0.1243915200054647</v>
      </c>
      <c r="U80" s="693">
        <f t="shared" si="68"/>
        <v>0.1243915200054647</v>
      </c>
      <c r="V80" s="695"/>
      <c r="W80" s="695">
        <f>Trucks!F102</f>
        <v>8334.222211770475</v>
      </c>
      <c r="X80" s="695">
        <f>W80</f>
        <v>8334.222211770475</v>
      </c>
      <c r="Y80" s="695">
        <f>Trucks!F103</f>
        <v>7963.0925908639483</v>
      </c>
      <c r="Z80" s="695">
        <f>Y80</f>
        <v>7963.0925908639483</v>
      </c>
      <c r="AA80" s="695">
        <f>Z80</f>
        <v>7963.0925908639483</v>
      </c>
      <c r="AB80" s="695">
        <f>Trucks!F104</f>
        <v>7963.0925908639483</v>
      </c>
      <c r="AC80" s="695">
        <f t="shared" si="69"/>
        <v>7963.0925908639483</v>
      </c>
      <c r="AD80" s="695">
        <f t="shared" si="69"/>
        <v>7963.0925908639483</v>
      </c>
      <c r="AE80" s="695">
        <f t="shared" si="69"/>
        <v>7963.0925908639483</v>
      </c>
      <c r="AF80" s="695">
        <f>Trucks!G102</f>
        <v>125.89517857957398</v>
      </c>
      <c r="AG80" s="694"/>
      <c r="AH80" s="694"/>
      <c r="AI80" s="694"/>
      <c r="AJ80" s="694"/>
      <c r="AK80" s="694"/>
      <c r="AL80" s="695">
        <v>1</v>
      </c>
      <c r="AM80" s="695"/>
      <c r="AN80" s="695"/>
      <c r="AO80" s="695"/>
      <c r="AP80" s="695"/>
      <c r="AQ80" s="695"/>
      <c r="AR80" s="695"/>
      <c r="AS80" s="695"/>
      <c r="AT80" s="695"/>
      <c r="AU80" s="695"/>
      <c r="AV80" s="695"/>
      <c r="AZ80" s="689">
        <v>19</v>
      </c>
    </row>
    <row r="81" spans="1:52" s="685" customFormat="1" ht="12" customHeight="1" x14ac:dyDescent="0.2">
      <c r="A81" s="666" t="str">
        <f>Technologies!B128</f>
        <v>R2,R3,R4,R5,R6</v>
      </c>
      <c r="B81" s="666" t="str">
        <f>Technologies!C128</f>
        <v>TMCNGC10</v>
      </c>
      <c r="C81" s="666" t="str">
        <f>Technologies!D128</f>
        <v>Medium Duty Truck, CNG, 2010</v>
      </c>
      <c r="D81" s="666" t="s">
        <v>480</v>
      </c>
      <c r="E81" s="666" t="str">
        <f>Commodities!C$57</f>
        <v>TMCNG</v>
      </c>
      <c r="F81" s="666" t="str">
        <f>Commodities!C$11</f>
        <v>TM</v>
      </c>
      <c r="G81" s="692">
        <v>1</v>
      </c>
      <c r="H81" s="695">
        <v>2010</v>
      </c>
      <c r="I81" s="692">
        <f t="shared" si="57"/>
        <v>24</v>
      </c>
      <c r="J81" s="692">
        <v>0.18</v>
      </c>
      <c r="K81" s="693">
        <f>Trucks!H105</f>
        <v>5.2445274618984843E-2</v>
      </c>
      <c r="L81" s="692"/>
      <c r="M81" s="693"/>
      <c r="N81" s="693"/>
      <c r="O81" s="693"/>
      <c r="P81" s="693"/>
      <c r="Q81" s="693"/>
      <c r="R81" s="693"/>
      <c r="S81" s="693"/>
      <c r="T81" s="693"/>
      <c r="U81" s="693"/>
      <c r="V81" s="695">
        <f>Trucks!F105</f>
        <v>6575.7618337437334</v>
      </c>
      <c r="W81" s="695"/>
      <c r="X81" s="695"/>
      <c r="Y81" s="695"/>
      <c r="Z81" s="695"/>
      <c r="AA81" s="695"/>
      <c r="AB81" s="695"/>
      <c r="AC81" s="695"/>
      <c r="AD81" s="695"/>
      <c r="AE81" s="695"/>
      <c r="AF81" s="695">
        <f>Trucks!G105</f>
        <v>248.80470075014617</v>
      </c>
      <c r="AG81" s="694">
        <v>0</v>
      </c>
      <c r="AH81" s="694">
        <v>0</v>
      </c>
      <c r="AI81" s="694">
        <v>0</v>
      </c>
      <c r="AJ81" s="694">
        <v>0</v>
      </c>
      <c r="AK81" s="694">
        <v>0</v>
      </c>
      <c r="AL81" s="695">
        <v>1</v>
      </c>
      <c r="AM81" s="695">
        <v>0</v>
      </c>
      <c r="AN81" s="695"/>
      <c r="AO81" s="695">
        <v>0</v>
      </c>
      <c r="AP81" s="695">
        <v>0</v>
      </c>
      <c r="AQ81" s="695">
        <v>0</v>
      </c>
      <c r="AR81" s="695">
        <v>0</v>
      </c>
      <c r="AS81" s="695">
        <v>0</v>
      </c>
      <c r="AT81" s="695">
        <v>0</v>
      </c>
      <c r="AU81" s="695">
        <v>0</v>
      </c>
      <c r="AV81" s="695">
        <v>0</v>
      </c>
      <c r="AZ81" s="689">
        <v>19</v>
      </c>
    </row>
    <row r="82" spans="1:52" s="685" customFormat="1" ht="12" customHeight="1" x14ac:dyDescent="0.2">
      <c r="A82" s="666" t="str">
        <f>Technologies!B129</f>
        <v>R2,R3,R4,R5,R6</v>
      </c>
      <c r="B82" s="666" t="str">
        <f>Technologies!C129</f>
        <v>TMCNGC</v>
      </c>
      <c r="C82" s="666" t="str">
        <f>Technologies!D129</f>
        <v>Medium Duty Truck, Conventional CNG</v>
      </c>
      <c r="D82" s="666" t="s">
        <v>480</v>
      </c>
      <c r="E82" s="666" t="str">
        <f>Commodities!C$57</f>
        <v>TMCNG</v>
      </c>
      <c r="F82" s="666" t="str">
        <f>Commodities!C$11</f>
        <v>TM</v>
      </c>
      <c r="G82" s="692">
        <v>1</v>
      </c>
      <c r="H82" s="695">
        <v>2015</v>
      </c>
      <c r="I82" s="692">
        <f t="shared" si="57"/>
        <v>24</v>
      </c>
      <c r="J82" s="692">
        <v>0.18</v>
      </c>
      <c r="K82" s="693"/>
      <c r="L82" s="692"/>
      <c r="M82" s="693">
        <f>Trucks!H106</f>
        <v>5.5163783702583222E-2</v>
      </c>
      <c r="N82" s="693">
        <f>Trucks!H107</f>
        <v>6.0921619711943757E-2</v>
      </c>
      <c r="O82" s="693">
        <f t="shared" ref="O82:U82" si="70">N82</f>
        <v>6.0921619711943757E-2</v>
      </c>
      <c r="P82" s="693">
        <f t="shared" si="70"/>
        <v>6.0921619711943757E-2</v>
      </c>
      <c r="Q82" s="693">
        <f t="shared" si="70"/>
        <v>6.0921619711943757E-2</v>
      </c>
      <c r="R82" s="693">
        <f t="shared" si="70"/>
        <v>6.0921619711943757E-2</v>
      </c>
      <c r="S82" s="693">
        <f t="shared" si="70"/>
        <v>6.0921619711943757E-2</v>
      </c>
      <c r="T82" s="693">
        <f t="shared" si="70"/>
        <v>6.0921619711943757E-2</v>
      </c>
      <c r="U82" s="693">
        <f t="shared" si="70"/>
        <v>6.0921619711943757E-2</v>
      </c>
      <c r="V82" s="692"/>
      <c r="W82" s="695">
        <f>Trucks!F106</f>
        <v>6601.4771713632026</v>
      </c>
      <c r="X82" s="695">
        <f>Trucks!F107</f>
        <v>6684.8973731253309</v>
      </c>
      <c r="Y82" s="695">
        <f t="shared" ref="Y82:AE82" si="71">X82</f>
        <v>6684.8973731253309</v>
      </c>
      <c r="Z82" s="695">
        <f t="shared" si="71"/>
        <v>6684.8973731253309</v>
      </c>
      <c r="AA82" s="695">
        <f t="shared" si="71"/>
        <v>6684.8973731253309</v>
      </c>
      <c r="AB82" s="695">
        <f t="shared" si="71"/>
        <v>6684.8973731253309</v>
      </c>
      <c r="AC82" s="695">
        <f t="shared" si="71"/>
        <v>6684.8973731253309</v>
      </c>
      <c r="AD82" s="695">
        <f t="shared" si="71"/>
        <v>6684.8973731253309</v>
      </c>
      <c r="AE82" s="695">
        <f t="shared" si="71"/>
        <v>6684.8973731253309</v>
      </c>
      <c r="AF82" s="695">
        <f>Trucks!G106</f>
        <v>248.80470075014617</v>
      </c>
      <c r="AG82" s="694">
        <v>0</v>
      </c>
      <c r="AH82" s="694">
        <v>0</v>
      </c>
      <c r="AI82" s="694">
        <v>0</v>
      </c>
      <c r="AJ82" s="694">
        <v>0</v>
      </c>
      <c r="AK82" s="694">
        <v>0</v>
      </c>
      <c r="AL82" s="695">
        <v>1</v>
      </c>
      <c r="AM82" s="695">
        <v>0</v>
      </c>
      <c r="AN82" s="695">
        <v>0</v>
      </c>
      <c r="AO82" s="695"/>
      <c r="AP82" s="695"/>
      <c r="AQ82" s="695"/>
      <c r="AR82" s="695"/>
      <c r="AS82" s="695"/>
      <c r="AT82" s="695"/>
      <c r="AU82" s="695"/>
      <c r="AV82" s="695"/>
      <c r="AZ82" s="689">
        <v>19</v>
      </c>
    </row>
    <row r="83" spans="1:52" s="685" customFormat="1" ht="12" customHeight="1" x14ac:dyDescent="0.2">
      <c r="A83" s="666" t="str">
        <f>Technologies!B130</f>
        <v>R2,R3,R4,R5,R6</v>
      </c>
      <c r="B83" s="666" t="str">
        <f>Technologies!C130</f>
        <v>TMCNGIM</v>
      </c>
      <c r="C83" s="666" t="str">
        <f>Technologies!D130</f>
        <v>Medium Duty Truck, Improved CNG</v>
      </c>
      <c r="D83" s="666" t="s">
        <v>480</v>
      </c>
      <c r="E83" s="666" t="str">
        <f>Commodities!C$57</f>
        <v>TMCNG</v>
      </c>
      <c r="F83" s="666" t="str">
        <f>Commodities!C$11</f>
        <v>TM</v>
      </c>
      <c r="G83" s="692">
        <v>1</v>
      </c>
      <c r="H83" s="695">
        <v>2025</v>
      </c>
      <c r="I83" s="692">
        <f t="shared" si="57"/>
        <v>24</v>
      </c>
      <c r="J83" s="692">
        <v>0.24</v>
      </c>
      <c r="K83" s="693">
        <f>Trucks!H108</f>
        <v>6.3820237057809537E-2</v>
      </c>
      <c r="L83" s="693"/>
      <c r="M83" s="693"/>
      <c r="N83" s="693"/>
      <c r="O83" s="692"/>
      <c r="P83" s="693"/>
      <c r="Q83" s="693"/>
      <c r="R83" s="693"/>
      <c r="S83" s="693"/>
      <c r="T83" s="693"/>
      <c r="U83" s="693"/>
      <c r="V83" s="695"/>
      <c r="W83" s="695"/>
      <c r="X83" s="695"/>
      <c r="Y83" s="695">
        <f>Trucks!F108</f>
        <v>7290.0402418233361</v>
      </c>
      <c r="Z83" s="695">
        <f t="shared" ref="Z83:AE83" si="72">Y83</f>
        <v>7290.0402418233361</v>
      </c>
      <c r="AA83" s="695">
        <f t="shared" si="72"/>
        <v>7290.0402418233361</v>
      </c>
      <c r="AB83" s="695">
        <f t="shared" si="72"/>
        <v>7290.0402418233361</v>
      </c>
      <c r="AC83" s="695">
        <f t="shared" si="72"/>
        <v>7290.0402418233361</v>
      </c>
      <c r="AD83" s="695">
        <f t="shared" si="72"/>
        <v>7290.0402418233361</v>
      </c>
      <c r="AE83" s="695">
        <f t="shared" si="72"/>
        <v>7290.0402418233361</v>
      </c>
      <c r="AF83" s="695">
        <f>AF82</f>
        <v>248.80470075014617</v>
      </c>
      <c r="AG83" s="694">
        <v>0</v>
      </c>
      <c r="AH83" s="694">
        <v>0</v>
      </c>
      <c r="AI83" s="694">
        <v>0</v>
      </c>
      <c r="AJ83" s="694">
        <v>0</v>
      </c>
      <c r="AK83" s="694">
        <v>0</v>
      </c>
      <c r="AL83" s="695">
        <v>1</v>
      </c>
      <c r="AM83" s="695">
        <v>0</v>
      </c>
      <c r="AN83" s="695">
        <v>0</v>
      </c>
      <c r="AO83" s="695"/>
      <c r="AP83" s="695"/>
      <c r="AQ83" s="695"/>
      <c r="AR83" s="695"/>
      <c r="AS83" s="695"/>
      <c r="AT83" s="695"/>
      <c r="AU83" s="695"/>
      <c r="AV83" s="695"/>
      <c r="AZ83" s="689">
        <v>19</v>
      </c>
    </row>
    <row r="84" spans="1:52" s="685" customFormat="1" ht="12" customHeight="1" x14ac:dyDescent="0.2">
      <c r="A84" s="666" t="str">
        <f>Technologies!B131</f>
        <v>R2,R3,R4,R5,R6</v>
      </c>
      <c r="B84" s="666" t="str">
        <f>Technologies!C131</f>
        <v>TMCNGAH</v>
      </c>
      <c r="C84" s="666" t="str">
        <f>Technologies!D131</f>
        <v>Medium Duty Truck, Advanced Hybrid CNG</v>
      </c>
      <c r="D84" s="666" t="s">
        <v>480</v>
      </c>
      <c r="E84" s="666" t="str">
        <f>Commodities!C$57</f>
        <v>TMCNG</v>
      </c>
      <c r="F84" s="666" t="str">
        <f>Commodities!C$11</f>
        <v>TM</v>
      </c>
      <c r="G84" s="692">
        <v>1</v>
      </c>
      <c r="H84" s="695">
        <f>Trucks!D109</f>
        <v>2015</v>
      </c>
      <c r="I84" s="692">
        <f t="shared" si="57"/>
        <v>24</v>
      </c>
      <c r="J84" s="692">
        <v>0.28000000000000003</v>
      </c>
      <c r="K84" s="693"/>
      <c r="L84" s="693"/>
      <c r="M84" s="693">
        <f>Trucks!H109</f>
        <v>6.644759114877466E-2</v>
      </c>
      <c r="N84" s="693">
        <f>M84</f>
        <v>6.644759114877466E-2</v>
      </c>
      <c r="O84" s="693">
        <f>Trucks!H110</f>
        <v>8.3923482870590704E-2</v>
      </c>
      <c r="P84" s="693">
        <f>O84</f>
        <v>8.3923482870590704E-2</v>
      </c>
      <c r="Q84" s="693">
        <f>P84</f>
        <v>8.3923482870590704E-2</v>
      </c>
      <c r="R84" s="693">
        <f>Trucks!H111</f>
        <v>9.0561009715803234E-2</v>
      </c>
      <c r="S84" s="693">
        <f>R84</f>
        <v>9.0561009715803234E-2</v>
      </c>
      <c r="T84" s="693">
        <f>S84</f>
        <v>9.0561009715803234E-2</v>
      </c>
      <c r="U84" s="693">
        <f>T84</f>
        <v>9.0561009715803234E-2</v>
      </c>
      <c r="V84" s="695"/>
      <c r="W84" s="695">
        <f>Trucks!F109</f>
        <v>7843.9564450542357</v>
      </c>
      <c r="X84" s="695">
        <f>W84</f>
        <v>7843.9564450542357</v>
      </c>
      <c r="Y84" s="695">
        <f>Trucks!F110</f>
        <v>8162.9154191660937</v>
      </c>
      <c r="Z84" s="695">
        <f>Y84</f>
        <v>8162.9154191660937</v>
      </c>
      <c r="AA84" s="695">
        <f>Z84</f>
        <v>8162.9154191660937</v>
      </c>
      <c r="AB84" s="695">
        <f>Trucks!F111</f>
        <v>8697.8236542406285</v>
      </c>
      <c r="AC84" s="695">
        <f>AB84</f>
        <v>8697.8236542406285</v>
      </c>
      <c r="AD84" s="695">
        <f>AC84</f>
        <v>8697.8236542406285</v>
      </c>
      <c r="AE84" s="695">
        <f>AD84</f>
        <v>8697.8236542406285</v>
      </c>
      <c r="AF84" s="695">
        <f>Trucks!G109</f>
        <v>237.85729391713974</v>
      </c>
      <c r="AG84" s="694">
        <v>0</v>
      </c>
      <c r="AH84" s="694">
        <v>0</v>
      </c>
      <c r="AI84" s="694">
        <v>0</v>
      </c>
      <c r="AJ84" s="694">
        <v>0</v>
      </c>
      <c r="AK84" s="694">
        <v>0</v>
      </c>
      <c r="AL84" s="695">
        <v>1</v>
      </c>
      <c r="AM84" s="695">
        <v>0</v>
      </c>
      <c r="AN84" s="695">
        <v>0</v>
      </c>
      <c r="AO84" s="695"/>
      <c r="AP84" s="695"/>
      <c r="AQ84" s="695"/>
      <c r="AR84" s="695"/>
      <c r="AS84" s="695"/>
      <c r="AT84" s="695"/>
      <c r="AU84" s="695"/>
      <c r="AV84" s="695"/>
      <c r="AZ84" s="689">
        <v>19</v>
      </c>
    </row>
    <row r="85" spans="1:52" s="685" customFormat="1" ht="12" customHeight="1" x14ac:dyDescent="0.2">
      <c r="A85" s="666" t="s">
        <v>115</v>
      </c>
      <c r="B85" s="666" t="str">
        <f>Technologies!C132</f>
        <v>TMLPGC10</v>
      </c>
      <c r="C85" s="666" t="str">
        <f>Technologies!D132</f>
        <v>Medium Duty Truck, LPG, 2010</v>
      </c>
      <c r="D85" s="666" t="s">
        <v>480</v>
      </c>
      <c r="E85" s="666" t="str">
        <f>Commodities!C29</f>
        <v>TRNLPG1</v>
      </c>
      <c r="F85" s="666" t="str">
        <f>Commodities!C$11</f>
        <v>TM</v>
      </c>
      <c r="G85" s="692">
        <v>1</v>
      </c>
      <c r="H85" s="695">
        <v>2010</v>
      </c>
      <c r="I85" s="692">
        <f t="shared" si="57"/>
        <v>24</v>
      </c>
      <c r="J85" s="692">
        <v>0.18</v>
      </c>
      <c r="K85" s="693">
        <f>Trucks!H112</f>
        <v>6.7978151294823944E-2</v>
      </c>
      <c r="L85" s="693"/>
      <c r="M85" s="693"/>
      <c r="N85" s="693"/>
      <c r="O85" s="693"/>
      <c r="P85" s="693"/>
      <c r="Q85" s="693"/>
      <c r="R85" s="693"/>
      <c r="S85" s="693"/>
      <c r="T85" s="693"/>
      <c r="U85" s="693"/>
      <c r="V85" s="695">
        <f>Trucks!F112</f>
        <v>6193.9826155170922</v>
      </c>
      <c r="W85" s="695"/>
      <c r="X85" s="695"/>
      <c r="Y85" s="695"/>
      <c r="Z85" s="695"/>
      <c r="AA85" s="695"/>
      <c r="AB85" s="695"/>
      <c r="AC85" s="695"/>
      <c r="AD85" s="695"/>
      <c r="AE85" s="695"/>
      <c r="AF85" s="695">
        <f>Trucks!G112</f>
        <v>248.80470075014617</v>
      </c>
      <c r="AG85" s="694"/>
      <c r="AH85" s="694"/>
      <c r="AI85" s="694"/>
      <c r="AJ85" s="694"/>
      <c r="AK85" s="694"/>
      <c r="AL85" s="695">
        <v>1</v>
      </c>
      <c r="AM85" s="695"/>
      <c r="AN85" s="695">
        <v>0</v>
      </c>
      <c r="AO85" s="695">
        <v>0</v>
      </c>
      <c r="AP85" s="695">
        <v>0</v>
      </c>
      <c r="AQ85" s="695">
        <v>0</v>
      </c>
      <c r="AR85" s="695">
        <v>0</v>
      </c>
      <c r="AS85" s="695">
        <v>0</v>
      </c>
      <c r="AT85" s="695">
        <v>0</v>
      </c>
      <c r="AU85" s="695">
        <v>0</v>
      </c>
      <c r="AV85" s="695">
        <v>0</v>
      </c>
      <c r="AZ85" s="689">
        <v>19</v>
      </c>
    </row>
    <row r="86" spans="1:52" s="685" customFormat="1" ht="12" customHeight="1" x14ac:dyDescent="0.2">
      <c r="A86" s="666" t="s">
        <v>115</v>
      </c>
      <c r="B86" s="666" t="str">
        <f>Technologies!C133</f>
        <v>TMLPGC</v>
      </c>
      <c r="C86" s="666" t="str">
        <f>Technologies!D133</f>
        <v>Medium Duty Truck, Conventional LPG</v>
      </c>
      <c r="D86" s="666" t="s">
        <v>480</v>
      </c>
      <c r="E86" s="666" t="str">
        <f>Commodities!C29</f>
        <v>TRNLPG1</v>
      </c>
      <c r="F86" s="666" t="str">
        <f>Commodities!C$11</f>
        <v>TM</v>
      </c>
      <c r="G86" s="692">
        <v>1</v>
      </c>
      <c r="H86" s="695">
        <v>2015</v>
      </c>
      <c r="I86" s="692">
        <f t="shared" si="57"/>
        <v>24</v>
      </c>
      <c r="J86" s="692">
        <v>0.18</v>
      </c>
      <c r="K86" s="693"/>
      <c r="L86" s="692"/>
      <c r="M86" s="693">
        <f>Trucks!H113</f>
        <v>7.1501809491368279E-2</v>
      </c>
      <c r="N86" s="693">
        <f>Trucks!H114</f>
        <v>7.8964961323800653E-2</v>
      </c>
      <c r="O86" s="693">
        <f t="shared" ref="O86:U86" si="73">N86</f>
        <v>7.8964961323800653E-2</v>
      </c>
      <c r="P86" s="693">
        <f t="shared" si="73"/>
        <v>7.8964961323800653E-2</v>
      </c>
      <c r="Q86" s="693">
        <f t="shared" si="73"/>
        <v>7.8964961323800653E-2</v>
      </c>
      <c r="R86" s="693">
        <f t="shared" si="73"/>
        <v>7.8964961323800653E-2</v>
      </c>
      <c r="S86" s="693">
        <f t="shared" si="73"/>
        <v>7.8964961323800653E-2</v>
      </c>
      <c r="T86" s="693">
        <f t="shared" si="73"/>
        <v>7.8964961323800653E-2</v>
      </c>
      <c r="U86" s="693">
        <f t="shared" si="73"/>
        <v>7.8964961323800653E-2</v>
      </c>
      <c r="V86" s="692"/>
      <c r="W86" s="695">
        <f>Trucks!F113</f>
        <v>6218.2049578394353</v>
      </c>
      <c r="X86" s="695">
        <f>Trucks!F114</f>
        <v>6296.7819033799624</v>
      </c>
      <c r="Y86" s="695">
        <f t="shared" ref="Y86:AE86" si="74">X86</f>
        <v>6296.7819033799624</v>
      </c>
      <c r="Z86" s="695">
        <f t="shared" si="74"/>
        <v>6296.7819033799624</v>
      </c>
      <c r="AA86" s="695">
        <f t="shared" si="74"/>
        <v>6296.7819033799624</v>
      </c>
      <c r="AB86" s="695">
        <f t="shared" si="74"/>
        <v>6296.7819033799624</v>
      </c>
      <c r="AC86" s="695">
        <f t="shared" si="74"/>
        <v>6296.7819033799624</v>
      </c>
      <c r="AD86" s="695">
        <f t="shared" si="74"/>
        <v>6296.7819033799624</v>
      </c>
      <c r="AE86" s="695">
        <f t="shared" si="74"/>
        <v>6296.7819033799624</v>
      </c>
      <c r="AF86" s="695">
        <f>Trucks!G113</f>
        <v>248.80470075014617</v>
      </c>
      <c r="AG86" s="694"/>
      <c r="AH86" s="694"/>
      <c r="AI86" s="694"/>
      <c r="AJ86" s="694"/>
      <c r="AK86" s="694"/>
      <c r="AL86" s="695">
        <v>1</v>
      </c>
      <c r="AM86" s="695"/>
      <c r="AN86" s="695"/>
      <c r="AO86" s="695"/>
      <c r="AP86" s="695"/>
      <c r="AQ86" s="695"/>
      <c r="AR86" s="695"/>
      <c r="AS86" s="695"/>
      <c r="AT86" s="695"/>
      <c r="AU86" s="695"/>
      <c r="AV86" s="695"/>
      <c r="AZ86" s="689">
        <v>19</v>
      </c>
    </row>
    <row r="87" spans="1:52" s="685" customFormat="1" ht="12" customHeight="1" x14ac:dyDescent="0.2">
      <c r="A87" s="666" t="s">
        <v>115</v>
      </c>
      <c r="B87" s="666" t="str">
        <f>Technologies!C134</f>
        <v>TMLPGIM</v>
      </c>
      <c r="C87" s="666" t="str">
        <f>Technologies!D134</f>
        <v>Medium Duty Truck, Improved LPG</v>
      </c>
      <c r="D87" s="666" t="s">
        <v>480</v>
      </c>
      <c r="E87" s="666" t="str">
        <f>Commodities!C29</f>
        <v>TRNLPG1</v>
      </c>
      <c r="F87" s="666" t="str">
        <f>Commodities!C$11</f>
        <v>TM</v>
      </c>
      <c r="G87" s="692">
        <v>1</v>
      </c>
      <c r="H87" s="695">
        <v>2025</v>
      </c>
      <c r="I87" s="692">
        <f t="shared" si="57"/>
        <v>24</v>
      </c>
      <c r="J87" s="692">
        <v>0.24</v>
      </c>
      <c r="K87" s="693">
        <f>Trucks!H115</f>
        <v>8.2722070995064262E-2</v>
      </c>
      <c r="L87" s="693"/>
      <c r="M87" s="693"/>
      <c r="N87" s="693"/>
      <c r="O87" s="692"/>
      <c r="P87" s="693"/>
      <c r="Q87" s="693"/>
      <c r="R87" s="693"/>
      <c r="S87" s="693"/>
      <c r="T87" s="693"/>
      <c r="U87" s="693"/>
      <c r="V87" s="692"/>
      <c r="W87" s="695"/>
      <c r="X87" s="695"/>
      <c r="Y87" s="695">
        <f>Trucks!F115</f>
        <v>6866.7910526446676</v>
      </c>
      <c r="Z87" s="695">
        <f t="shared" ref="Z87:AE87" si="75">Y87</f>
        <v>6866.7910526446676</v>
      </c>
      <c r="AA87" s="695">
        <f t="shared" si="75"/>
        <v>6866.7910526446676</v>
      </c>
      <c r="AB87" s="695">
        <f t="shared" si="75"/>
        <v>6866.7910526446676</v>
      </c>
      <c r="AC87" s="695">
        <f t="shared" si="75"/>
        <v>6866.7910526446676</v>
      </c>
      <c r="AD87" s="695">
        <f t="shared" si="75"/>
        <v>6866.7910526446676</v>
      </c>
      <c r="AE87" s="695">
        <f t="shared" si="75"/>
        <v>6866.7910526446676</v>
      </c>
      <c r="AF87" s="695">
        <f>AF86</f>
        <v>248.80470075014617</v>
      </c>
      <c r="AG87" s="694"/>
      <c r="AH87" s="694"/>
      <c r="AI87" s="694"/>
      <c r="AJ87" s="694"/>
      <c r="AK87" s="694"/>
      <c r="AL87" s="695">
        <v>1</v>
      </c>
      <c r="AM87" s="695"/>
      <c r="AN87" s="695"/>
      <c r="AO87" s="695"/>
      <c r="AP87" s="695"/>
      <c r="AQ87" s="695"/>
      <c r="AR87" s="695"/>
      <c r="AS87" s="695"/>
      <c r="AT87" s="695"/>
      <c r="AU87" s="695"/>
      <c r="AV87" s="695"/>
      <c r="AZ87" s="689">
        <v>19</v>
      </c>
    </row>
    <row r="88" spans="1:52" s="685" customFormat="1" ht="12" customHeight="1" x14ac:dyDescent="0.2">
      <c r="A88" s="666" t="s">
        <v>115</v>
      </c>
      <c r="B88" s="666" t="str">
        <f>Technologies!C135</f>
        <v>TMLPGAH</v>
      </c>
      <c r="C88" s="666" t="str">
        <f>Technologies!D135</f>
        <v>Medium Duty Truck, Advanced Hybrid LPG</v>
      </c>
      <c r="D88" s="666" t="s">
        <v>480</v>
      </c>
      <c r="E88" s="666" t="str">
        <f>Commodities!C29</f>
        <v>TRNLPG1</v>
      </c>
      <c r="F88" s="666" t="str">
        <f>Commodities!C$11</f>
        <v>TM</v>
      </c>
      <c r="G88" s="692">
        <v>1</v>
      </c>
      <c r="H88" s="695">
        <f>Trucks!D116</f>
        <v>2015</v>
      </c>
      <c r="I88" s="692">
        <f t="shared" si="57"/>
        <v>24</v>
      </c>
      <c r="J88" s="692">
        <v>0.28000000000000003</v>
      </c>
      <c r="K88" s="693"/>
      <c r="L88" s="693"/>
      <c r="M88" s="693">
        <f>Trucks!H116</f>
        <v>8.6127576547247009E-2</v>
      </c>
      <c r="N88" s="693">
        <f>M88</f>
        <v>8.6127576547247009E-2</v>
      </c>
      <c r="O88" s="693">
        <f>Trucks!H117</f>
        <v>0.10877935633309516</v>
      </c>
      <c r="P88" s="693">
        <f>O88</f>
        <v>0.10877935633309516</v>
      </c>
      <c r="Q88" s="693">
        <f>P88</f>
        <v>0.10877935633309516</v>
      </c>
      <c r="R88" s="693">
        <f>Trucks!H118</f>
        <v>0.1173827397148265</v>
      </c>
      <c r="S88" s="693">
        <f>R88</f>
        <v>0.1173827397148265</v>
      </c>
      <c r="T88" s="693">
        <f>S88</f>
        <v>0.1173827397148265</v>
      </c>
      <c r="U88" s="693">
        <f>T88</f>
        <v>0.1173827397148265</v>
      </c>
      <c r="V88" s="692"/>
      <c r="W88" s="695">
        <f>Trucks!F116</f>
        <v>6997.7891799037952</v>
      </c>
      <c r="X88" s="695">
        <f>W88</f>
        <v>6997.7891799037952</v>
      </c>
      <c r="Y88" s="695">
        <f>Trucks!F117</f>
        <v>7316.7481540156523</v>
      </c>
      <c r="Z88" s="695">
        <f>Y88</f>
        <v>7316.7481540156523</v>
      </c>
      <c r="AA88" s="695">
        <f>Z88</f>
        <v>7316.7481540156523</v>
      </c>
      <c r="AB88" s="695">
        <f>Trucks!F118</f>
        <v>7851.6563890901871</v>
      </c>
      <c r="AC88" s="695">
        <f>AB88</f>
        <v>7851.6563890901871</v>
      </c>
      <c r="AD88" s="695">
        <f>AC88</f>
        <v>7851.6563890901871</v>
      </c>
      <c r="AE88" s="695">
        <f>AD88</f>
        <v>7851.6563890901871</v>
      </c>
      <c r="AF88" s="695">
        <f>Trucks!G116</f>
        <v>237.85729391713974</v>
      </c>
      <c r="AG88" s="694"/>
      <c r="AH88" s="694"/>
      <c r="AI88" s="694"/>
      <c r="AJ88" s="694"/>
      <c r="AK88" s="694"/>
      <c r="AL88" s="695">
        <v>1</v>
      </c>
      <c r="AM88" s="695"/>
      <c r="AN88" s="695"/>
      <c r="AO88" s="695"/>
      <c r="AP88" s="695"/>
      <c r="AQ88" s="695"/>
      <c r="AR88" s="695"/>
      <c r="AS88" s="695"/>
      <c r="AT88" s="695"/>
      <c r="AU88" s="695"/>
      <c r="AV88" s="695"/>
      <c r="AZ88" s="689">
        <v>19</v>
      </c>
    </row>
    <row r="89" spans="1:52" s="685" customFormat="1" ht="12" customHeight="1" x14ac:dyDescent="0.2">
      <c r="A89" s="699" t="s">
        <v>484</v>
      </c>
      <c r="B89" s="668"/>
      <c r="C89" s="668"/>
      <c r="D89" s="668"/>
      <c r="E89" s="668"/>
      <c r="F89" s="668"/>
      <c r="G89" s="700"/>
      <c r="H89" s="701"/>
      <c r="I89" s="701"/>
      <c r="J89" s="701"/>
      <c r="K89" s="701"/>
      <c r="L89" s="701"/>
      <c r="M89" s="701"/>
      <c r="N89" s="701"/>
      <c r="O89" s="701"/>
      <c r="P89" s="701"/>
      <c r="Q89" s="701"/>
      <c r="R89" s="701"/>
      <c r="S89" s="701"/>
      <c r="T89" s="701"/>
      <c r="U89" s="701"/>
      <c r="V89" s="701"/>
      <c r="W89" s="701"/>
      <c r="X89" s="701"/>
      <c r="Y89" s="701"/>
      <c r="Z89" s="701"/>
      <c r="AA89" s="701"/>
      <c r="AB89" s="701"/>
      <c r="AC89" s="701"/>
      <c r="AD89" s="701"/>
      <c r="AE89" s="701"/>
      <c r="AF89" s="701"/>
      <c r="AG89" s="701"/>
      <c r="AH89" s="701"/>
      <c r="AI89" s="701"/>
      <c r="AJ89" s="701"/>
      <c r="AK89" s="701"/>
      <c r="AL89" s="701"/>
      <c r="AM89" s="702"/>
      <c r="AN89" s="702"/>
      <c r="AO89" s="702"/>
      <c r="AP89" s="702"/>
      <c r="AQ89" s="702"/>
      <c r="AR89" s="702"/>
      <c r="AS89" s="702"/>
      <c r="AT89" s="702"/>
      <c r="AU89" s="702"/>
      <c r="AV89" s="702"/>
      <c r="AZ89" s="689"/>
    </row>
    <row r="90" spans="1:52" s="726" customFormat="1" ht="12" customHeight="1" x14ac:dyDescent="0.2">
      <c r="A90" s="721" t="s">
        <v>115</v>
      </c>
      <c r="B90" s="721" t="str">
        <f>Technologies!C150</f>
        <v>THSGSL102</v>
      </c>
      <c r="C90" s="721" t="str">
        <f>Technologies!D150</f>
        <v>Heavy Truck, Short Haul, Gasoline, 2010</v>
      </c>
      <c r="D90" s="721" t="s">
        <v>480</v>
      </c>
      <c r="E90" s="721" t="str">
        <f>Commodities!$C$46</f>
        <v>TWDSL</v>
      </c>
      <c r="F90" s="721" t="str">
        <f>Commodities!$C$16</f>
        <v>TSW</v>
      </c>
      <c r="G90" s="722">
        <v>1</v>
      </c>
      <c r="H90" s="723">
        <v>2010</v>
      </c>
      <c r="I90" s="722">
        <v>24</v>
      </c>
      <c r="J90" s="722">
        <v>0.18</v>
      </c>
      <c r="K90" s="724">
        <v>3.8084190611818572E-2</v>
      </c>
      <c r="L90" s="724"/>
      <c r="M90" s="724"/>
      <c r="N90" s="724"/>
      <c r="O90" s="724"/>
      <c r="P90" s="724"/>
      <c r="Q90" s="724"/>
      <c r="R90" s="724"/>
      <c r="S90" s="724"/>
      <c r="T90" s="724"/>
      <c r="U90" s="724"/>
      <c r="V90" s="722">
        <v>4265.2942523255333</v>
      </c>
      <c r="W90" s="723">
        <v>4265.2942523255333</v>
      </c>
      <c r="X90" s="723">
        <v>4265.2942523255333</v>
      </c>
      <c r="Y90" s="723">
        <v>4265.2942523255333</v>
      </c>
      <c r="Z90" s="723">
        <v>4265.2942523255333</v>
      </c>
      <c r="AA90" s="723">
        <v>4265.2942523255333</v>
      </c>
      <c r="AB90" s="723">
        <v>4265.2942523255333</v>
      </c>
      <c r="AC90" s="723">
        <v>4265.2942523255333</v>
      </c>
      <c r="AD90" s="723">
        <v>4265.2942523255333</v>
      </c>
      <c r="AE90" s="723">
        <v>4265.2942523255333</v>
      </c>
      <c r="AF90" s="723">
        <v>301.42015264225682</v>
      </c>
      <c r="AG90" s="725"/>
      <c r="AH90" s="725"/>
      <c r="AI90" s="725"/>
      <c r="AJ90" s="725"/>
      <c r="AK90" s="725"/>
      <c r="AL90" s="723">
        <v>1</v>
      </c>
      <c r="AM90" s="723">
        <v>0</v>
      </c>
      <c r="AN90" s="723">
        <v>0</v>
      </c>
      <c r="AO90" s="723"/>
      <c r="AP90" s="723"/>
      <c r="AQ90" s="723"/>
      <c r="AR90" s="723"/>
      <c r="AS90" s="723"/>
      <c r="AT90" s="723"/>
      <c r="AU90" s="723"/>
      <c r="AV90" s="723"/>
      <c r="AZ90" s="727">
        <v>19</v>
      </c>
    </row>
    <row r="91" spans="1:52" s="726" customFormat="1" ht="12" customHeight="1" x14ac:dyDescent="0.2">
      <c r="A91" s="721" t="s">
        <v>115</v>
      </c>
      <c r="B91" s="721" t="str">
        <f>Technologies!C151</f>
        <v>THSDSLC102</v>
      </c>
      <c r="C91" s="721" t="str">
        <f>Technologies!D151</f>
        <v>Heavy Truck, Short Haul, Conventional Diesel 2010</v>
      </c>
      <c r="D91" s="721" t="s">
        <v>480</v>
      </c>
      <c r="E91" s="721" t="str">
        <f>Commodities!$C$46</f>
        <v>TWDSL</v>
      </c>
      <c r="F91" s="721" t="str">
        <f>Commodities!$C$16</f>
        <v>TSW</v>
      </c>
      <c r="G91" s="722">
        <v>1</v>
      </c>
      <c r="H91" s="723">
        <v>2010</v>
      </c>
      <c r="I91" s="722">
        <v>24</v>
      </c>
      <c r="J91" s="722">
        <v>0.18</v>
      </c>
      <c r="K91" s="724">
        <v>4.0092266116805372E-2</v>
      </c>
      <c r="L91" s="724"/>
      <c r="M91" s="724"/>
      <c r="N91" s="724"/>
      <c r="O91" s="724"/>
      <c r="P91" s="724"/>
      <c r="Q91" s="724"/>
      <c r="R91" s="724"/>
      <c r="S91" s="724"/>
      <c r="T91" s="724"/>
      <c r="U91" s="724"/>
      <c r="V91" s="722">
        <v>4606.0861228089634</v>
      </c>
      <c r="W91" s="723"/>
      <c r="X91" s="723"/>
      <c r="Y91" s="723"/>
      <c r="Z91" s="723"/>
      <c r="AA91" s="723"/>
      <c r="AB91" s="723"/>
      <c r="AC91" s="723"/>
      <c r="AD91" s="723"/>
      <c r="AE91" s="723"/>
      <c r="AF91" s="723">
        <v>165.78108395324125</v>
      </c>
      <c r="AG91" s="725"/>
      <c r="AH91" s="725"/>
      <c r="AI91" s="725"/>
      <c r="AJ91" s="725"/>
      <c r="AK91" s="725"/>
      <c r="AL91" s="723">
        <v>1</v>
      </c>
      <c r="AM91" s="723">
        <v>0</v>
      </c>
      <c r="AN91" s="723">
        <v>0</v>
      </c>
      <c r="AO91" s="723"/>
      <c r="AP91" s="723"/>
      <c r="AQ91" s="723"/>
      <c r="AR91" s="723"/>
      <c r="AS91" s="723">
        <v>0</v>
      </c>
      <c r="AT91" s="723">
        <v>0</v>
      </c>
      <c r="AU91" s="723">
        <v>0</v>
      </c>
      <c r="AV91" s="723">
        <v>0</v>
      </c>
      <c r="AZ91" s="727">
        <v>19</v>
      </c>
    </row>
    <row r="92" spans="1:52" s="726" customFormat="1" ht="12" customHeight="1" x14ac:dyDescent="0.2">
      <c r="A92" s="721" t="s">
        <v>115</v>
      </c>
      <c r="B92" s="721" t="str">
        <f>Technologies!C152</f>
        <v>THSDSLC2</v>
      </c>
      <c r="C92" s="721" t="str">
        <f>Technologies!D152</f>
        <v>Heavy Truck, Short Haul, Conv. Diesel</v>
      </c>
      <c r="D92" s="721" t="s">
        <v>480</v>
      </c>
      <c r="E92" s="721" t="str">
        <f>Commodities!$C$46</f>
        <v>TWDSL</v>
      </c>
      <c r="F92" s="721" t="str">
        <f>Commodities!$C$16</f>
        <v>TSW</v>
      </c>
      <c r="G92" s="722">
        <v>1</v>
      </c>
      <c r="H92" s="723">
        <v>2015</v>
      </c>
      <c r="I92" s="722">
        <v>24</v>
      </c>
      <c r="J92" s="722">
        <v>0.18</v>
      </c>
      <c r="K92" s="724"/>
      <c r="L92" s="724"/>
      <c r="M92" s="724">
        <v>4.3863447518935846E-2</v>
      </c>
      <c r="N92" s="724">
        <v>4.3863447518935846E-2</v>
      </c>
      <c r="O92" s="724">
        <v>4.3863447518935846E-2</v>
      </c>
      <c r="P92" s="724">
        <v>4.3863447518935846E-2</v>
      </c>
      <c r="Q92" s="724">
        <v>4.3863447518935846E-2</v>
      </c>
      <c r="R92" s="724">
        <v>4.3863447518935846E-2</v>
      </c>
      <c r="S92" s="724">
        <v>4.3863447518935846E-2</v>
      </c>
      <c r="T92" s="724">
        <v>4.3863447518935846E-2</v>
      </c>
      <c r="U92" s="724">
        <v>4.3863447518935846E-2</v>
      </c>
      <c r="V92" s="722"/>
      <c r="W92" s="723">
        <v>4701.3380799369525</v>
      </c>
      <c r="X92" s="723">
        <v>4701.3380799369525</v>
      </c>
      <c r="Y92" s="723">
        <v>4701.3380799369525</v>
      </c>
      <c r="Z92" s="723">
        <v>4701.3380799369525</v>
      </c>
      <c r="AA92" s="723">
        <v>4701.3380799369525</v>
      </c>
      <c r="AB92" s="723">
        <v>4701.3380799369525</v>
      </c>
      <c r="AC92" s="723">
        <v>4701.3380799369525</v>
      </c>
      <c r="AD92" s="723">
        <v>4701.3380799369525</v>
      </c>
      <c r="AE92" s="723">
        <v>4701.3380799369525</v>
      </c>
      <c r="AF92" s="723">
        <v>165.78108395324125</v>
      </c>
      <c r="AG92" s="725"/>
      <c r="AH92" s="725"/>
      <c r="AI92" s="725"/>
      <c r="AJ92" s="725"/>
      <c r="AK92" s="725"/>
      <c r="AL92" s="723">
        <v>1</v>
      </c>
      <c r="AM92" s="723">
        <v>0</v>
      </c>
      <c r="AN92" s="723">
        <v>0</v>
      </c>
      <c r="AO92" s="723"/>
      <c r="AP92" s="723"/>
      <c r="AQ92" s="723"/>
      <c r="AR92" s="723"/>
      <c r="AS92" s="723"/>
      <c r="AT92" s="723"/>
      <c r="AU92" s="723"/>
      <c r="AV92" s="723"/>
      <c r="AZ92" s="727">
        <v>19</v>
      </c>
    </row>
    <row r="93" spans="1:52" s="726" customFormat="1" ht="12" customHeight="1" x14ac:dyDescent="0.2">
      <c r="A93" s="721" t="s">
        <v>115</v>
      </c>
      <c r="B93" s="721" t="str">
        <f>Technologies!C153</f>
        <v>THSDSLIM2</v>
      </c>
      <c r="C93" s="721" t="str">
        <f>Technologies!D153</f>
        <v>Heavy Truck, Short Haul, Improved Diesel</v>
      </c>
      <c r="D93" s="721" t="s">
        <v>480</v>
      </c>
      <c r="E93" s="721" t="str">
        <f>Commodities!$C$46</f>
        <v>TWDSL</v>
      </c>
      <c r="F93" s="721" t="str">
        <f>Commodities!$C$16</f>
        <v>TSW</v>
      </c>
      <c r="G93" s="722">
        <v>1</v>
      </c>
      <c r="H93" s="723">
        <v>2025</v>
      </c>
      <c r="I93" s="722">
        <v>24</v>
      </c>
      <c r="J93" s="722">
        <v>0.24</v>
      </c>
      <c r="K93" s="724"/>
      <c r="L93" s="724"/>
      <c r="M93" s="724"/>
      <c r="N93" s="724"/>
      <c r="O93" s="724">
        <v>4.5383924166125855E-2</v>
      </c>
      <c r="P93" s="724">
        <v>4.5383924166125855E-2</v>
      </c>
      <c r="Q93" s="724">
        <v>4.5383924166125855E-2</v>
      </c>
      <c r="R93" s="724">
        <v>4.6305425164422827E-2</v>
      </c>
      <c r="S93" s="724">
        <v>4.6305425164422827E-2</v>
      </c>
      <c r="T93" s="724">
        <v>4.6305425164422827E-2</v>
      </c>
      <c r="U93" s="724">
        <v>4.6305425164422827E-2</v>
      </c>
      <c r="V93" s="722"/>
      <c r="W93" s="723"/>
      <c r="X93" s="723"/>
      <c r="Y93" s="723">
        <v>4729.3691781178795</v>
      </c>
      <c r="Z93" s="723">
        <v>4729.3691781178795</v>
      </c>
      <c r="AA93" s="723">
        <v>4729.3691781178795</v>
      </c>
      <c r="AB93" s="723">
        <v>4767.6178468587577</v>
      </c>
      <c r="AC93" s="723">
        <v>4767.6178468587577</v>
      </c>
      <c r="AD93" s="723">
        <v>4767.6178468587577</v>
      </c>
      <c r="AE93" s="723">
        <v>4767.6178468587577</v>
      </c>
      <c r="AF93" s="723">
        <v>166</v>
      </c>
      <c r="AG93" s="725"/>
      <c r="AH93" s="725"/>
      <c r="AI93" s="725"/>
      <c r="AJ93" s="725"/>
      <c r="AK93" s="725"/>
      <c r="AL93" s="723">
        <v>1</v>
      </c>
      <c r="AM93" s="723">
        <v>0</v>
      </c>
      <c r="AN93" s="723">
        <v>0</v>
      </c>
      <c r="AO93" s="723"/>
      <c r="AP93" s="723"/>
      <c r="AQ93" s="723"/>
      <c r="AR93" s="723"/>
      <c r="AS93" s="723"/>
      <c r="AT93" s="723"/>
      <c r="AU93" s="723"/>
      <c r="AV93" s="723"/>
      <c r="AZ93" s="727">
        <v>19</v>
      </c>
    </row>
    <row r="94" spans="1:52" s="726" customFormat="1" ht="12" customHeight="1" x14ac:dyDescent="0.2">
      <c r="A94" s="721" t="s">
        <v>115</v>
      </c>
      <c r="B94" s="721" t="str">
        <f>Technologies!C154</f>
        <v>THSDSLADV2</v>
      </c>
      <c r="C94" s="721" t="str">
        <f>Technologies!D154</f>
        <v>Heavy Truck, Short Haul, Advanced Diesel</v>
      </c>
      <c r="D94" s="721" t="s">
        <v>480</v>
      </c>
      <c r="E94" s="721" t="str">
        <f>Commodities!$C$46</f>
        <v>TWDSL</v>
      </c>
      <c r="F94" s="721" t="str">
        <f>Commodities!$C$16</f>
        <v>TSW</v>
      </c>
      <c r="G94" s="722">
        <v>1</v>
      </c>
      <c r="H94" s="723">
        <v>2015</v>
      </c>
      <c r="I94" s="722">
        <v>24</v>
      </c>
      <c r="J94" s="722">
        <v>0.28000000000000003</v>
      </c>
      <c r="K94" s="724"/>
      <c r="L94" s="724"/>
      <c r="M94" s="724">
        <v>4.5998258164990508E-2</v>
      </c>
      <c r="N94" s="724">
        <v>4.5998258164990508E-2</v>
      </c>
      <c r="O94" s="724">
        <v>4.6689383913713231E-2</v>
      </c>
      <c r="P94" s="724">
        <v>4.6689383913713231E-2</v>
      </c>
      <c r="Q94" s="724">
        <v>4.6689383913713231E-2</v>
      </c>
      <c r="R94" s="724">
        <v>4.6689383913713231E-2</v>
      </c>
      <c r="S94" s="724">
        <v>4.6689383913713231E-2</v>
      </c>
      <c r="T94" s="724">
        <v>4.6689383913713231E-2</v>
      </c>
      <c r="U94" s="724">
        <v>4.6689383913713231E-2</v>
      </c>
      <c r="V94" s="722"/>
      <c r="W94" s="723">
        <v>4831.9482088710984</v>
      </c>
      <c r="X94" s="723">
        <v>4831.9482088710984</v>
      </c>
      <c r="Y94" s="723">
        <v>5078.3126569120868</v>
      </c>
      <c r="Z94" s="723">
        <v>5078.3126569120868</v>
      </c>
      <c r="AA94" s="723">
        <v>5078.3126569120868</v>
      </c>
      <c r="AB94" s="723">
        <v>5078.3126569120868</v>
      </c>
      <c r="AC94" s="723">
        <v>5078.3126569120868</v>
      </c>
      <c r="AD94" s="723">
        <v>5078.3126569120868</v>
      </c>
      <c r="AE94" s="723">
        <v>5078.3126569120868</v>
      </c>
      <c r="AF94" s="723">
        <v>165.78108395324125</v>
      </c>
      <c r="AG94" s="725"/>
      <c r="AH94" s="725"/>
      <c r="AI94" s="725"/>
      <c r="AJ94" s="725"/>
      <c r="AK94" s="725"/>
      <c r="AL94" s="723">
        <v>1</v>
      </c>
      <c r="AM94" s="723">
        <v>0</v>
      </c>
      <c r="AN94" s="723">
        <v>0</v>
      </c>
      <c r="AO94" s="723"/>
      <c r="AP94" s="723"/>
      <c r="AQ94" s="723"/>
      <c r="AR94" s="723"/>
      <c r="AS94" s="723"/>
      <c r="AT94" s="723"/>
      <c r="AU94" s="723"/>
      <c r="AV94" s="723"/>
      <c r="AZ94" s="727">
        <v>19</v>
      </c>
    </row>
    <row r="95" spans="1:52" s="726" customFormat="1" ht="12" customHeight="1" x14ac:dyDescent="0.2">
      <c r="A95" s="721" t="s">
        <v>115</v>
      </c>
      <c r="B95" s="721" t="str">
        <f>Technologies!C155</f>
        <v>THSDSLAH2</v>
      </c>
      <c r="C95" s="721" t="str">
        <f>Technologies!D155</f>
        <v>Heavy Truck, Short Haul, Hybrid Diesel</v>
      </c>
      <c r="D95" s="721" t="s">
        <v>480</v>
      </c>
      <c r="E95" s="721" t="str">
        <f>Commodities!$C$46</f>
        <v>TWDSL</v>
      </c>
      <c r="F95" s="721" t="str">
        <f>Commodities!$C$16</f>
        <v>TSW</v>
      </c>
      <c r="G95" s="722">
        <v>1</v>
      </c>
      <c r="H95" s="723">
        <v>2025</v>
      </c>
      <c r="I95" s="722">
        <v>24</v>
      </c>
      <c r="J95" s="722">
        <v>0.28000000000000003</v>
      </c>
      <c r="K95" s="724"/>
      <c r="L95" s="724"/>
      <c r="M95" s="724">
        <v>6.1126232887032457E-2</v>
      </c>
      <c r="N95" s="724">
        <v>6.1126232887032457E-2</v>
      </c>
      <c r="O95" s="724">
        <v>6.1126232887032457E-2</v>
      </c>
      <c r="P95" s="724">
        <v>6.1126232887032457E-2</v>
      </c>
      <c r="Q95" s="724">
        <v>6.1126232887032457E-2</v>
      </c>
      <c r="R95" s="724">
        <v>6.2047733885329429E-2</v>
      </c>
      <c r="S95" s="724">
        <v>6.2047733885329429E-2</v>
      </c>
      <c r="T95" s="724">
        <v>6.2047733885329429E-2</v>
      </c>
      <c r="U95" s="724">
        <v>6.2047733885329429E-2</v>
      </c>
      <c r="V95" s="722"/>
      <c r="W95" s="723">
        <v>5813.3727494982322</v>
      </c>
      <c r="X95" s="723">
        <v>5813.3727494982322</v>
      </c>
      <c r="Y95" s="723">
        <v>5399.9644669737891</v>
      </c>
      <c r="Z95" s="723">
        <v>5399.9644669737891</v>
      </c>
      <c r="AA95" s="723">
        <v>5399.9644669737891</v>
      </c>
      <c r="AB95" s="723">
        <v>5723.2631880796935</v>
      </c>
      <c r="AC95" s="723">
        <v>5723.2631880796935</v>
      </c>
      <c r="AD95" s="723">
        <v>5723.2631880796935</v>
      </c>
      <c r="AE95" s="723">
        <v>5723.2631880796935</v>
      </c>
      <c r="AF95" s="723">
        <v>165.78108395324125</v>
      </c>
      <c r="AG95" s="725"/>
      <c r="AH95" s="725"/>
      <c r="AI95" s="725"/>
      <c r="AJ95" s="725"/>
      <c r="AK95" s="725"/>
      <c r="AL95" s="723">
        <v>1</v>
      </c>
      <c r="AM95" s="723">
        <v>0</v>
      </c>
      <c r="AN95" s="723">
        <v>0</v>
      </c>
      <c r="AO95" s="723"/>
      <c r="AP95" s="723"/>
      <c r="AQ95" s="723"/>
      <c r="AR95" s="723"/>
      <c r="AS95" s="723"/>
      <c r="AT95" s="723"/>
      <c r="AU95" s="723"/>
      <c r="AV95" s="723"/>
      <c r="AZ95" s="727">
        <v>19</v>
      </c>
    </row>
    <row r="96" spans="1:52" s="685" customFormat="1" ht="12" customHeight="1" x14ac:dyDescent="0.2">
      <c r="A96" s="666" t="str">
        <f>Technologies!B139</f>
        <v>R2,R3,R4,R5,R6</v>
      </c>
      <c r="B96" s="666" t="str">
        <f>Technologies!C139</f>
        <v>THSCNGE</v>
      </c>
      <c r="C96" s="666" t="str">
        <f>Technologies!D139</f>
        <v>Heavy Truck, Short Haul, CNG exisiting</v>
      </c>
      <c r="D96" s="666" t="s">
        <v>480</v>
      </c>
      <c r="E96" s="666" t="str">
        <f>Commodities!C58</f>
        <v>THCNG</v>
      </c>
      <c r="F96" s="666" t="str">
        <f>Commodities!C$12</f>
        <v>THS</v>
      </c>
      <c r="G96" s="692">
        <v>1</v>
      </c>
      <c r="H96" s="695">
        <v>2010</v>
      </c>
      <c r="I96" s="692">
        <f t="shared" ref="I96:I116" si="76">AZ96+5</f>
        <v>24</v>
      </c>
      <c r="J96" s="692"/>
      <c r="K96" s="693" t="e">
        <f>Trucks!H164</f>
        <v>#REF!</v>
      </c>
      <c r="L96" s="693"/>
      <c r="M96" s="693"/>
      <c r="N96" s="693"/>
      <c r="O96" s="693"/>
      <c r="P96" s="693"/>
      <c r="Q96" s="693"/>
      <c r="R96" s="693"/>
      <c r="S96" s="693"/>
      <c r="T96" s="693"/>
      <c r="U96" s="693"/>
      <c r="V96" s="692"/>
      <c r="W96" s="695"/>
      <c r="X96" s="695"/>
      <c r="Y96" s="695"/>
      <c r="Z96" s="695"/>
      <c r="AA96" s="695"/>
      <c r="AB96" s="695"/>
      <c r="AC96" s="695"/>
      <c r="AD96" s="695"/>
      <c r="AE96" s="695"/>
      <c r="AF96" s="695">
        <f>Trucks!G164</f>
        <v>248.80470075014617</v>
      </c>
      <c r="AG96" s="694"/>
      <c r="AH96" s="694"/>
      <c r="AI96" s="694"/>
      <c r="AJ96" s="694"/>
      <c r="AK96" s="694"/>
      <c r="AL96" s="695">
        <v>1</v>
      </c>
      <c r="AM96" s="695">
        <v>0</v>
      </c>
      <c r="AN96" s="695">
        <v>0</v>
      </c>
      <c r="AO96" s="695">
        <v>0</v>
      </c>
      <c r="AP96" s="695">
        <v>0</v>
      </c>
      <c r="AQ96" s="695">
        <v>0</v>
      </c>
      <c r="AR96" s="695">
        <v>0</v>
      </c>
      <c r="AS96" s="695">
        <v>0</v>
      </c>
      <c r="AT96" s="695">
        <v>0</v>
      </c>
      <c r="AU96" s="695">
        <v>0</v>
      </c>
      <c r="AV96" s="695">
        <v>0</v>
      </c>
      <c r="AZ96" s="689">
        <f>Trucks!E164</f>
        <v>19</v>
      </c>
    </row>
    <row r="97" spans="1:52" s="685" customFormat="1" ht="12" customHeight="1" x14ac:dyDescent="0.2">
      <c r="A97" s="666" t="s">
        <v>115</v>
      </c>
      <c r="B97" s="666" t="str">
        <f>Technologies!C141</f>
        <v>THSLPGE</v>
      </c>
      <c r="C97" s="666" t="str">
        <f>Technologies!D141</f>
        <v>Heavy Truck, Short Haul, LPG exisiting</v>
      </c>
      <c r="D97" s="666" t="s">
        <v>480</v>
      </c>
      <c r="E97" s="666" t="str">
        <f>Commodities!C29</f>
        <v>TRNLPG1</v>
      </c>
      <c r="F97" s="666" t="str">
        <f>Commodities!C$12</f>
        <v>THS</v>
      </c>
      <c r="G97" s="692">
        <v>1</v>
      </c>
      <c r="H97" s="695">
        <v>2010</v>
      </c>
      <c r="I97" s="692">
        <f t="shared" si="76"/>
        <v>24</v>
      </c>
      <c r="J97" s="692">
        <v>0.18</v>
      </c>
      <c r="K97" s="693" t="e">
        <f>Trucks!H165</f>
        <v>#REF!</v>
      </c>
      <c r="L97" s="693"/>
      <c r="M97" s="693"/>
      <c r="N97" s="693"/>
      <c r="O97" s="693"/>
      <c r="P97" s="693"/>
      <c r="Q97" s="693"/>
      <c r="R97" s="693"/>
      <c r="S97" s="693"/>
      <c r="T97" s="693"/>
      <c r="U97" s="693"/>
      <c r="V97" s="692"/>
      <c r="W97" s="695"/>
      <c r="X97" s="695"/>
      <c r="Y97" s="695"/>
      <c r="Z97" s="695"/>
      <c r="AA97" s="695"/>
      <c r="AB97" s="695"/>
      <c r="AC97" s="695"/>
      <c r="AD97" s="695"/>
      <c r="AE97" s="695"/>
      <c r="AF97" s="695">
        <f>Trucks!G165</f>
        <v>248.80470075014617</v>
      </c>
      <c r="AG97" s="694"/>
      <c r="AH97" s="694"/>
      <c r="AI97" s="694"/>
      <c r="AJ97" s="694"/>
      <c r="AK97" s="694"/>
      <c r="AL97" s="695">
        <v>1</v>
      </c>
      <c r="AM97" s="695">
        <v>0</v>
      </c>
      <c r="AN97" s="695">
        <v>0</v>
      </c>
      <c r="AO97" s="695">
        <v>0</v>
      </c>
      <c r="AP97" s="695">
        <v>0</v>
      </c>
      <c r="AQ97" s="695">
        <v>0</v>
      </c>
      <c r="AR97" s="695">
        <v>0</v>
      </c>
      <c r="AS97" s="695">
        <v>0</v>
      </c>
      <c r="AT97" s="695">
        <v>0</v>
      </c>
      <c r="AU97" s="695">
        <v>0</v>
      </c>
      <c r="AV97" s="695">
        <v>0</v>
      </c>
      <c r="AZ97" s="689">
        <f>Trucks!E165</f>
        <v>19</v>
      </c>
    </row>
    <row r="98" spans="1:52" s="685" customFormat="1" ht="12" customHeight="1" x14ac:dyDescent="0.2">
      <c r="A98" s="666" t="s">
        <v>115</v>
      </c>
      <c r="B98" s="666" t="str">
        <f>Technologies!C142</f>
        <v>THSB20E</v>
      </c>
      <c r="C98" s="666" t="str">
        <f>Technologies!D142</f>
        <v>Heavy Truck, Short Haul, B20exisiting</v>
      </c>
      <c r="D98" s="666" t="s">
        <v>480</v>
      </c>
      <c r="E98" s="666" t="str">
        <f>Commodities!C62</f>
        <v>THB20X</v>
      </c>
      <c r="F98" s="666" t="str">
        <f>Commodities!C$12</f>
        <v>THS</v>
      </c>
      <c r="G98" s="692">
        <v>1</v>
      </c>
      <c r="H98" s="695">
        <v>2010</v>
      </c>
      <c r="I98" s="692">
        <f t="shared" si="76"/>
        <v>24</v>
      </c>
      <c r="J98" s="692"/>
      <c r="K98" s="693" t="e">
        <f>TechData!K24</f>
        <v>#REF!</v>
      </c>
      <c r="L98" s="693"/>
      <c r="M98" s="693"/>
      <c r="N98" s="693"/>
      <c r="O98" s="693"/>
      <c r="P98" s="693"/>
      <c r="Q98" s="693"/>
      <c r="R98" s="693"/>
      <c r="S98" s="693"/>
      <c r="T98" s="693"/>
      <c r="U98" s="693"/>
      <c r="V98" s="692"/>
      <c r="W98" s="695"/>
      <c r="X98" s="695"/>
      <c r="Y98" s="695"/>
      <c r="Z98" s="695"/>
      <c r="AA98" s="695"/>
      <c r="AB98" s="695"/>
      <c r="AC98" s="695"/>
      <c r="AD98" s="695"/>
      <c r="AE98" s="695"/>
      <c r="AF98" s="695">
        <f>TechData!AF24</f>
        <v>165.78108395324125</v>
      </c>
      <c r="AG98" s="694"/>
      <c r="AH98" s="694"/>
      <c r="AI98" s="694"/>
      <c r="AJ98" s="694"/>
      <c r="AK98" s="694"/>
      <c r="AL98" s="695">
        <v>1</v>
      </c>
      <c r="AM98" s="695">
        <v>0</v>
      </c>
      <c r="AN98" s="695">
        <v>0</v>
      </c>
      <c r="AO98" s="695">
        <v>0</v>
      </c>
      <c r="AP98" s="695">
        <v>0</v>
      </c>
      <c r="AQ98" s="695">
        <v>0</v>
      </c>
      <c r="AR98" s="695">
        <v>0</v>
      </c>
      <c r="AS98" s="695">
        <v>0</v>
      </c>
      <c r="AT98" s="695">
        <v>0</v>
      </c>
      <c r="AU98" s="695">
        <v>0</v>
      </c>
      <c r="AV98" s="695">
        <v>0</v>
      </c>
      <c r="AZ98" s="689">
        <v>19</v>
      </c>
    </row>
    <row r="99" spans="1:52" s="685" customFormat="1" ht="12" customHeight="1" x14ac:dyDescent="0.2">
      <c r="A99" s="666" t="str">
        <f>Technologies!B143</f>
        <v>R2,R3,R4,R5,R6</v>
      </c>
      <c r="B99" s="666" t="str">
        <f>Technologies!C143</f>
        <v>THSGSL10</v>
      </c>
      <c r="C99" s="666" t="str">
        <f>Technologies!D143</f>
        <v>Heavy Truck, Short Haul, Gasoline, 2010</v>
      </c>
      <c r="D99" s="666" t="s">
        <v>480</v>
      </c>
      <c r="E99" s="666" t="str">
        <f>Commodities!C47</f>
        <v>THGSL</v>
      </c>
      <c r="F99" s="666" t="str">
        <f>Commodities!C$12</f>
        <v>THS</v>
      </c>
      <c r="G99" s="692">
        <v>1</v>
      </c>
      <c r="H99" s="695">
        <f>Trucks!D166</f>
        <v>2010</v>
      </c>
      <c r="I99" s="692">
        <f t="shared" si="76"/>
        <v>24</v>
      </c>
      <c r="J99" s="692">
        <v>0.18</v>
      </c>
      <c r="K99" s="693" t="e">
        <f>Trucks!H166</f>
        <v>#REF!</v>
      </c>
      <c r="L99" s="692"/>
      <c r="M99" s="693"/>
      <c r="N99" s="693"/>
      <c r="O99" s="693"/>
      <c r="P99" s="693"/>
      <c r="Q99" s="693"/>
      <c r="R99" s="693"/>
      <c r="S99" s="693"/>
      <c r="T99" s="693"/>
      <c r="U99" s="693"/>
      <c r="V99" s="695">
        <f>Trucks!F166</f>
        <v>4265.2942523255333</v>
      </c>
      <c r="W99" s="695">
        <f t="shared" ref="W99:AE99" si="77">V99</f>
        <v>4265.2942523255333</v>
      </c>
      <c r="X99" s="695">
        <f t="shared" si="77"/>
        <v>4265.2942523255333</v>
      </c>
      <c r="Y99" s="695">
        <f t="shared" si="77"/>
        <v>4265.2942523255333</v>
      </c>
      <c r="Z99" s="695">
        <f t="shared" si="77"/>
        <v>4265.2942523255333</v>
      </c>
      <c r="AA99" s="695">
        <f t="shared" si="77"/>
        <v>4265.2942523255333</v>
      </c>
      <c r="AB99" s="695">
        <f t="shared" si="77"/>
        <v>4265.2942523255333</v>
      </c>
      <c r="AC99" s="695">
        <f t="shared" si="77"/>
        <v>4265.2942523255333</v>
      </c>
      <c r="AD99" s="695">
        <f t="shared" si="77"/>
        <v>4265.2942523255333</v>
      </c>
      <c r="AE99" s="695">
        <f t="shared" si="77"/>
        <v>4265.2942523255333</v>
      </c>
      <c r="AF99" s="695">
        <f>Trucks!G166</f>
        <v>301.42015264225682</v>
      </c>
      <c r="AG99" s="694"/>
      <c r="AH99" s="694"/>
      <c r="AI99" s="694"/>
      <c r="AJ99" s="694"/>
      <c r="AK99" s="694"/>
      <c r="AL99" s="695">
        <v>1</v>
      </c>
      <c r="AM99" s="695">
        <v>0</v>
      </c>
      <c r="AN99" s="695">
        <v>0</v>
      </c>
      <c r="AO99" s="695"/>
      <c r="AP99" s="695"/>
      <c r="AQ99" s="695"/>
      <c r="AR99" s="695"/>
      <c r="AS99" s="695"/>
      <c r="AT99" s="695"/>
      <c r="AU99" s="695"/>
      <c r="AV99" s="695"/>
      <c r="AZ99" s="689">
        <f>Trucks!E166</f>
        <v>19</v>
      </c>
    </row>
    <row r="100" spans="1:52" s="685" customFormat="1" ht="12" customHeight="1" x14ac:dyDescent="0.2">
      <c r="A100" s="666" t="s">
        <v>115</v>
      </c>
      <c r="B100" s="666" t="str">
        <f>Technologies!C144</f>
        <v>THSGSL102</v>
      </c>
      <c r="C100" s="666" t="str">
        <f>Technologies!D144</f>
        <v>Heavy Truck, Short Haul, Gasoline, 2010</v>
      </c>
      <c r="D100" s="666" t="s">
        <v>480</v>
      </c>
      <c r="E100" s="666" t="str">
        <f>Commodities!$C$48</f>
        <v>TWGSL</v>
      </c>
      <c r="F100" s="666" t="str">
        <f>Commodities!$C$16</f>
        <v>TSW</v>
      </c>
      <c r="G100" s="692">
        <v>1</v>
      </c>
      <c r="H100" s="695">
        <f>H99</f>
        <v>2010</v>
      </c>
      <c r="I100" s="692">
        <f t="shared" si="76"/>
        <v>24</v>
      </c>
      <c r="J100" s="692">
        <v>0.18</v>
      </c>
      <c r="K100" s="693" t="e">
        <f>K99</f>
        <v>#REF!</v>
      </c>
      <c r="L100" s="692"/>
      <c r="M100" s="693"/>
      <c r="N100" s="693"/>
      <c r="O100" s="693"/>
      <c r="P100" s="693"/>
      <c r="Q100" s="693"/>
      <c r="R100" s="693"/>
      <c r="S100" s="693"/>
      <c r="T100" s="693"/>
      <c r="U100" s="693"/>
      <c r="V100" s="695">
        <f t="shared" ref="V100:AF100" si="78">V99</f>
        <v>4265.2942523255333</v>
      </c>
      <c r="W100" s="695">
        <f t="shared" si="78"/>
        <v>4265.2942523255333</v>
      </c>
      <c r="X100" s="695">
        <f t="shared" si="78"/>
        <v>4265.2942523255333</v>
      </c>
      <c r="Y100" s="695">
        <f t="shared" si="78"/>
        <v>4265.2942523255333</v>
      </c>
      <c r="Z100" s="695">
        <f t="shared" si="78"/>
        <v>4265.2942523255333</v>
      </c>
      <c r="AA100" s="695">
        <f t="shared" si="78"/>
        <v>4265.2942523255333</v>
      </c>
      <c r="AB100" s="695">
        <f t="shared" si="78"/>
        <v>4265.2942523255333</v>
      </c>
      <c r="AC100" s="695">
        <f t="shared" si="78"/>
        <v>4265.2942523255333</v>
      </c>
      <c r="AD100" s="695">
        <f t="shared" si="78"/>
        <v>4265.2942523255333</v>
      </c>
      <c r="AE100" s="695">
        <f t="shared" si="78"/>
        <v>4265.2942523255333</v>
      </c>
      <c r="AF100" s="695">
        <f t="shared" si="78"/>
        <v>301.42015264225682</v>
      </c>
      <c r="AG100" s="694"/>
      <c r="AH100" s="694"/>
      <c r="AI100" s="694"/>
      <c r="AJ100" s="694"/>
      <c r="AK100" s="694"/>
      <c r="AL100" s="695">
        <v>1</v>
      </c>
      <c r="AM100" s="695">
        <v>0</v>
      </c>
      <c r="AN100" s="695"/>
      <c r="AO100" s="695"/>
      <c r="AP100" s="695"/>
      <c r="AQ100" s="695"/>
      <c r="AR100" s="695"/>
      <c r="AS100" s="695"/>
      <c r="AT100" s="695"/>
      <c r="AU100" s="695"/>
      <c r="AV100" s="695"/>
      <c r="AZ100" s="689">
        <f>AZ99</f>
        <v>19</v>
      </c>
    </row>
    <row r="101" spans="1:52" s="685" customFormat="1" ht="12" customHeight="1" x14ac:dyDescent="0.2">
      <c r="A101" s="666" t="str">
        <f>Technologies!B145</f>
        <v>R2,R3,R4,R5,R6</v>
      </c>
      <c r="B101" s="666" t="str">
        <f>Technologies!C145</f>
        <v>THSDSLC10</v>
      </c>
      <c r="C101" s="666" t="str">
        <f>Technologies!D145</f>
        <v>Heavy Truck, Short Haul, Conventional Diesel 2010</v>
      </c>
      <c r="D101" s="666" t="s">
        <v>480</v>
      </c>
      <c r="E101" s="666" t="str">
        <f>Commodities!C44</f>
        <v>THDSL</v>
      </c>
      <c r="F101" s="666" t="str">
        <f>Commodities!C$12</f>
        <v>THS</v>
      </c>
      <c r="G101" s="692">
        <v>1</v>
      </c>
      <c r="H101" s="695">
        <v>2010</v>
      </c>
      <c r="I101" s="692">
        <f t="shared" si="76"/>
        <v>24</v>
      </c>
      <c r="J101" s="692">
        <v>0.18</v>
      </c>
      <c r="K101" s="693" t="e">
        <f>Trucks!H131</f>
        <v>#REF!</v>
      </c>
      <c r="L101" s="692"/>
      <c r="M101" s="693"/>
      <c r="N101" s="693"/>
      <c r="O101" s="693"/>
      <c r="P101" s="693"/>
      <c r="Q101" s="693"/>
      <c r="R101" s="693"/>
      <c r="S101" s="693"/>
      <c r="T101" s="693"/>
      <c r="U101" s="693"/>
      <c r="V101" s="695">
        <f>Trucks!F131</f>
        <v>4606.0861228089634</v>
      </c>
      <c r="W101" s="695"/>
      <c r="X101" s="695"/>
      <c r="Y101" s="695"/>
      <c r="Z101" s="695"/>
      <c r="AA101" s="695"/>
      <c r="AB101" s="695"/>
      <c r="AC101" s="695"/>
      <c r="AD101" s="695"/>
      <c r="AE101" s="695"/>
      <c r="AF101" s="695">
        <f>Trucks!G131</f>
        <v>165.78108395324125</v>
      </c>
      <c r="AG101" s="694"/>
      <c r="AH101" s="694"/>
      <c r="AI101" s="694"/>
      <c r="AJ101" s="694"/>
      <c r="AK101" s="694"/>
      <c r="AL101" s="695">
        <v>1</v>
      </c>
      <c r="AM101" s="695">
        <v>0</v>
      </c>
      <c r="AN101" s="695"/>
      <c r="AO101" s="695">
        <v>0</v>
      </c>
      <c r="AP101" s="695">
        <v>0</v>
      </c>
      <c r="AQ101" s="695">
        <v>0</v>
      </c>
      <c r="AR101" s="695">
        <v>0</v>
      </c>
      <c r="AS101" s="695">
        <v>0</v>
      </c>
      <c r="AT101" s="695">
        <v>0</v>
      </c>
      <c r="AU101" s="695">
        <v>0</v>
      </c>
      <c r="AV101" s="695">
        <v>0</v>
      </c>
      <c r="AZ101" s="689">
        <v>19</v>
      </c>
    </row>
    <row r="102" spans="1:52" s="685" customFormat="1" ht="12" customHeight="1" x14ac:dyDescent="0.2">
      <c r="A102" s="666" t="str">
        <f>Technologies!B146</f>
        <v>R2,R3,R4,R5,R6</v>
      </c>
      <c r="B102" s="666" t="str">
        <f>Technologies!C146</f>
        <v>THSDSLC</v>
      </c>
      <c r="C102" s="666" t="str">
        <f>Technologies!D146</f>
        <v>Heavy Truck, Short Haul, Conv. Diesel</v>
      </c>
      <c r="D102" s="666" t="s">
        <v>480</v>
      </c>
      <c r="E102" s="666" t="str">
        <f>Commodities!C44</f>
        <v>THDSL</v>
      </c>
      <c r="F102" s="666" t="str">
        <f>Commodities!C$12</f>
        <v>THS</v>
      </c>
      <c r="G102" s="692">
        <v>1</v>
      </c>
      <c r="H102" s="695">
        <v>2015</v>
      </c>
      <c r="I102" s="692">
        <f t="shared" si="76"/>
        <v>24</v>
      </c>
      <c r="J102" s="692">
        <v>0.18</v>
      </c>
      <c r="K102" s="692"/>
      <c r="L102" s="692"/>
      <c r="M102" s="693" t="e">
        <f>Trucks!H132</f>
        <v>#REF!</v>
      </c>
      <c r="N102" s="693" t="e">
        <f t="shared" ref="N102:U102" si="79">M102</f>
        <v>#REF!</v>
      </c>
      <c r="O102" s="693" t="e">
        <f t="shared" si="79"/>
        <v>#REF!</v>
      </c>
      <c r="P102" s="693" t="e">
        <f t="shared" si="79"/>
        <v>#REF!</v>
      </c>
      <c r="Q102" s="693" t="e">
        <f t="shared" si="79"/>
        <v>#REF!</v>
      </c>
      <c r="R102" s="693" t="e">
        <f t="shared" si="79"/>
        <v>#REF!</v>
      </c>
      <c r="S102" s="693" t="e">
        <f t="shared" si="79"/>
        <v>#REF!</v>
      </c>
      <c r="T102" s="693" t="e">
        <f t="shared" si="79"/>
        <v>#REF!</v>
      </c>
      <c r="U102" s="693" t="e">
        <f t="shared" si="79"/>
        <v>#REF!</v>
      </c>
      <c r="V102" s="692"/>
      <c r="W102" s="695">
        <f>Trucks!F132</f>
        <v>4701.3380799369525</v>
      </c>
      <c r="X102" s="695">
        <f t="shared" ref="X102:AE102" si="80">W102</f>
        <v>4701.3380799369525</v>
      </c>
      <c r="Y102" s="695">
        <f t="shared" si="80"/>
        <v>4701.3380799369525</v>
      </c>
      <c r="Z102" s="695">
        <f t="shared" si="80"/>
        <v>4701.3380799369525</v>
      </c>
      <c r="AA102" s="695">
        <f t="shared" si="80"/>
        <v>4701.3380799369525</v>
      </c>
      <c r="AB102" s="695">
        <f t="shared" si="80"/>
        <v>4701.3380799369525</v>
      </c>
      <c r="AC102" s="695">
        <f t="shared" si="80"/>
        <v>4701.3380799369525</v>
      </c>
      <c r="AD102" s="695">
        <f t="shared" si="80"/>
        <v>4701.3380799369525</v>
      </c>
      <c r="AE102" s="695">
        <f t="shared" si="80"/>
        <v>4701.3380799369525</v>
      </c>
      <c r="AF102" s="695">
        <f>Trucks!G132</f>
        <v>165.78108395324125</v>
      </c>
      <c r="AG102" s="694"/>
      <c r="AH102" s="694"/>
      <c r="AI102" s="694"/>
      <c r="AJ102" s="694"/>
      <c r="AK102" s="694"/>
      <c r="AL102" s="695">
        <v>1</v>
      </c>
      <c r="AM102" s="695">
        <v>0</v>
      </c>
      <c r="AN102" s="695">
        <v>0</v>
      </c>
      <c r="AO102" s="695"/>
      <c r="AP102" s="695"/>
      <c r="AQ102" s="695"/>
      <c r="AR102" s="695"/>
      <c r="AS102" s="695"/>
      <c r="AT102" s="695"/>
      <c r="AU102" s="695"/>
      <c r="AV102" s="695"/>
      <c r="AZ102" s="689">
        <f>Trucks!E132</f>
        <v>19</v>
      </c>
    </row>
    <row r="103" spans="1:52" s="685" customFormat="1" ht="12" customHeight="1" x14ac:dyDescent="0.2">
      <c r="A103" s="666" t="str">
        <f>Technologies!B147</f>
        <v>R2,R3,R4,R5,R6</v>
      </c>
      <c r="B103" s="666" t="str">
        <f>Technologies!C147</f>
        <v>THSDSLIM</v>
      </c>
      <c r="C103" s="666" t="str">
        <f>Technologies!D147</f>
        <v>Heavy Truck, Short Haul, Improved Diesel</v>
      </c>
      <c r="D103" s="666" t="s">
        <v>480</v>
      </c>
      <c r="E103" s="666" t="str">
        <f>Commodities!C44</f>
        <v>THDSL</v>
      </c>
      <c r="F103" s="666" t="str">
        <f>Commodities!C$12</f>
        <v>THS</v>
      </c>
      <c r="G103" s="692">
        <v>1</v>
      </c>
      <c r="H103" s="695">
        <v>2025</v>
      </c>
      <c r="I103" s="692">
        <f t="shared" si="76"/>
        <v>24</v>
      </c>
      <c r="J103" s="692">
        <v>0.24</v>
      </c>
      <c r="K103" s="692"/>
      <c r="L103" s="693"/>
      <c r="M103" s="693"/>
      <c r="N103" s="693"/>
      <c r="O103" s="693" t="e">
        <f>Trucks!H134</f>
        <v>#REF!</v>
      </c>
      <c r="P103" s="693" t="e">
        <f t="shared" ref="P103:Q105" si="81">O103</f>
        <v>#REF!</v>
      </c>
      <c r="Q103" s="693" t="e">
        <f t="shared" si="81"/>
        <v>#REF!</v>
      </c>
      <c r="R103" s="693" t="e">
        <f>Trucks!H135</f>
        <v>#REF!</v>
      </c>
      <c r="S103" s="693" t="e">
        <f t="shared" ref="S103:U105" si="82">R103</f>
        <v>#REF!</v>
      </c>
      <c r="T103" s="693" t="e">
        <f t="shared" si="82"/>
        <v>#REF!</v>
      </c>
      <c r="U103" s="693" t="e">
        <f t="shared" si="82"/>
        <v>#REF!</v>
      </c>
      <c r="V103" s="692"/>
      <c r="W103" s="695"/>
      <c r="X103" s="695"/>
      <c r="Y103" s="695">
        <f>Trucks!F134</f>
        <v>4729.3691781178795</v>
      </c>
      <c r="Z103" s="695">
        <f t="shared" ref="Z103:AA105" si="83">Y103</f>
        <v>4729.3691781178795</v>
      </c>
      <c r="AA103" s="695">
        <f t="shared" si="83"/>
        <v>4729.3691781178795</v>
      </c>
      <c r="AB103" s="695">
        <f>Trucks!F135</f>
        <v>4767.6178468587577</v>
      </c>
      <c r="AC103" s="695">
        <f t="shared" ref="AC103:AE105" si="84">AB103</f>
        <v>4767.6178468587577</v>
      </c>
      <c r="AD103" s="695">
        <f t="shared" si="84"/>
        <v>4767.6178468587577</v>
      </c>
      <c r="AE103" s="695">
        <f t="shared" si="84"/>
        <v>4767.6178468587577</v>
      </c>
      <c r="AF103" s="695">
        <v>166</v>
      </c>
      <c r="AG103" s="694"/>
      <c r="AH103" s="694"/>
      <c r="AI103" s="694"/>
      <c r="AJ103" s="694"/>
      <c r="AK103" s="694"/>
      <c r="AL103" s="695">
        <v>1</v>
      </c>
      <c r="AM103" s="695">
        <v>0</v>
      </c>
      <c r="AN103" s="695">
        <v>0</v>
      </c>
      <c r="AO103" s="695"/>
      <c r="AP103" s="695"/>
      <c r="AQ103" s="695"/>
      <c r="AR103" s="695"/>
      <c r="AS103" s="695"/>
      <c r="AT103" s="695"/>
      <c r="AU103" s="695"/>
      <c r="AV103" s="695"/>
      <c r="AZ103" s="689">
        <v>19</v>
      </c>
    </row>
    <row r="104" spans="1:52" s="685" customFormat="1" ht="12" customHeight="1" x14ac:dyDescent="0.2">
      <c r="A104" s="666" t="str">
        <f>Technologies!B148</f>
        <v>R2,R3,R4,R5,R6</v>
      </c>
      <c r="B104" s="666" t="str">
        <f>Technologies!C148</f>
        <v>THSDSLADV</v>
      </c>
      <c r="C104" s="666" t="str">
        <f>Technologies!D148</f>
        <v>Heavy Truck, Short Haul, Advanced Diesel</v>
      </c>
      <c r="D104" s="666" t="s">
        <v>480</v>
      </c>
      <c r="E104" s="666" t="str">
        <f>Commodities!C44</f>
        <v>THDSL</v>
      </c>
      <c r="F104" s="666" t="str">
        <f>Commodities!C$12</f>
        <v>THS</v>
      </c>
      <c r="G104" s="692">
        <v>1</v>
      </c>
      <c r="H104" s="695">
        <f>Trucks!D136</f>
        <v>2015</v>
      </c>
      <c r="I104" s="692">
        <f t="shared" si="76"/>
        <v>24</v>
      </c>
      <c r="J104" s="692">
        <v>0.28000000000000003</v>
      </c>
      <c r="K104" s="692"/>
      <c r="L104" s="693"/>
      <c r="M104" s="693" t="e">
        <f>Trucks!H136</f>
        <v>#REF!</v>
      </c>
      <c r="N104" s="693" t="e">
        <f>M104</f>
        <v>#REF!</v>
      </c>
      <c r="O104" s="693" t="e">
        <f>Trucks!H137</f>
        <v>#REF!</v>
      </c>
      <c r="P104" s="693" t="e">
        <f t="shared" si="81"/>
        <v>#REF!</v>
      </c>
      <c r="Q104" s="693" t="e">
        <f t="shared" si="81"/>
        <v>#REF!</v>
      </c>
      <c r="R104" s="693" t="e">
        <f>Q104</f>
        <v>#REF!</v>
      </c>
      <c r="S104" s="693" t="e">
        <f t="shared" si="82"/>
        <v>#REF!</v>
      </c>
      <c r="T104" s="693" t="e">
        <f t="shared" si="82"/>
        <v>#REF!</v>
      </c>
      <c r="U104" s="693" t="e">
        <f t="shared" si="82"/>
        <v>#REF!</v>
      </c>
      <c r="V104" s="692"/>
      <c r="W104" s="695">
        <f>Trucks!F136</f>
        <v>4831.9482088710984</v>
      </c>
      <c r="X104" s="695">
        <f>W104</f>
        <v>4831.9482088710984</v>
      </c>
      <c r="Y104" s="695">
        <f>Trucks!F137</f>
        <v>5078.3126569120868</v>
      </c>
      <c r="Z104" s="695">
        <f t="shared" si="83"/>
        <v>5078.3126569120868</v>
      </c>
      <c r="AA104" s="695">
        <f t="shared" si="83"/>
        <v>5078.3126569120868</v>
      </c>
      <c r="AB104" s="695">
        <f>AA104</f>
        <v>5078.3126569120868</v>
      </c>
      <c r="AC104" s="695">
        <f t="shared" si="84"/>
        <v>5078.3126569120868</v>
      </c>
      <c r="AD104" s="695">
        <f t="shared" si="84"/>
        <v>5078.3126569120868</v>
      </c>
      <c r="AE104" s="695">
        <f t="shared" si="84"/>
        <v>5078.3126569120868</v>
      </c>
      <c r="AF104" s="695">
        <f>Trucks!G136</f>
        <v>165.78108395324125</v>
      </c>
      <c r="AG104" s="694"/>
      <c r="AH104" s="694"/>
      <c r="AI104" s="694"/>
      <c r="AJ104" s="694"/>
      <c r="AK104" s="694"/>
      <c r="AL104" s="695">
        <v>1</v>
      </c>
      <c r="AM104" s="695">
        <v>0</v>
      </c>
      <c r="AN104" s="695">
        <v>0</v>
      </c>
      <c r="AO104" s="695"/>
      <c r="AP104" s="695"/>
      <c r="AQ104" s="695"/>
      <c r="AR104" s="695"/>
      <c r="AS104" s="695"/>
      <c r="AT104" s="695"/>
      <c r="AU104" s="695"/>
      <c r="AV104" s="695"/>
      <c r="AZ104" s="689">
        <f>Trucks!E136</f>
        <v>19</v>
      </c>
    </row>
    <row r="105" spans="1:52" s="685" customFormat="1" ht="12" customHeight="1" x14ac:dyDescent="0.2">
      <c r="A105" s="666" t="str">
        <f>Technologies!B149</f>
        <v>R2,R3,R4,R5,R6</v>
      </c>
      <c r="B105" s="666" t="str">
        <f>Technologies!C149</f>
        <v>THSDSLAH</v>
      </c>
      <c r="C105" s="666" t="str">
        <f>Technologies!D149</f>
        <v>Heavy Truck, Short Haul, Hybrid Diesel</v>
      </c>
      <c r="D105" s="666" t="s">
        <v>480</v>
      </c>
      <c r="E105" s="666" t="str">
        <f>Commodities!C44</f>
        <v>THDSL</v>
      </c>
      <c r="F105" s="666" t="str">
        <f>Commodities!C$12</f>
        <v>THS</v>
      </c>
      <c r="G105" s="692">
        <v>1</v>
      </c>
      <c r="H105" s="695">
        <f>Trucks!D137</f>
        <v>2025</v>
      </c>
      <c r="I105" s="692">
        <f t="shared" si="76"/>
        <v>24</v>
      </c>
      <c r="J105" s="692">
        <v>0.28000000000000003</v>
      </c>
      <c r="K105" s="692"/>
      <c r="L105" s="693"/>
      <c r="M105" s="693">
        <f>Trucks!H138</f>
        <v>6.1126232887032457E-2</v>
      </c>
      <c r="N105" s="693">
        <f>M105</f>
        <v>6.1126232887032457E-2</v>
      </c>
      <c r="O105" s="693">
        <f>Trucks!H139</f>
        <v>6.1126232887032457E-2</v>
      </c>
      <c r="P105" s="693">
        <f t="shared" si="81"/>
        <v>6.1126232887032457E-2</v>
      </c>
      <c r="Q105" s="693">
        <f t="shared" si="81"/>
        <v>6.1126232887032457E-2</v>
      </c>
      <c r="R105" s="693">
        <f>Trucks!H140</f>
        <v>6.2047733885329429E-2</v>
      </c>
      <c r="S105" s="693">
        <f t="shared" si="82"/>
        <v>6.2047733885329429E-2</v>
      </c>
      <c r="T105" s="693">
        <f t="shared" si="82"/>
        <v>6.2047733885329429E-2</v>
      </c>
      <c r="U105" s="693">
        <f t="shared" si="82"/>
        <v>6.2047733885329429E-2</v>
      </c>
      <c r="V105" s="692"/>
      <c r="W105" s="695">
        <f>Trucks!F138</f>
        <v>5813.3727494982322</v>
      </c>
      <c r="X105" s="695">
        <f>W105</f>
        <v>5813.3727494982322</v>
      </c>
      <c r="Y105" s="695">
        <f>Trucks!F139</f>
        <v>5399.9644669737891</v>
      </c>
      <c r="Z105" s="695">
        <f t="shared" si="83"/>
        <v>5399.9644669737891</v>
      </c>
      <c r="AA105" s="695">
        <f t="shared" si="83"/>
        <v>5399.9644669737891</v>
      </c>
      <c r="AB105" s="695">
        <f>Trucks!F140</f>
        <v>5723.2631880796935</v>
      </c>
      <c r="AC105" s="695">
        <f t="shared" si="84"/>
        <v>5723.2631880796935</v>
      </c>
      <c r="AD105" s="695">
        <f t="shared" si="84"/>
        <v>5723.2631880796935</v>
      </c>
      <c r="AE105" s="695">
        <f t="shared" si="84"/>
        <v>5723.2631880796935</v>
      </c>
      <c r="AF105" s="695">
        <f>Trucks!G137</f>
        <v>165.78108395324125</v>
      </c>
      <c r="AG105" s="694"/>
      <c r="AH105" s="694"/>
      <c r="AI105" s="694"/>
      <c r="AJ105" s="694"/>
      <c r="AK105" s="694"/>
      <c r="AL105" s="695">
        <v>1</v>
      </c>
      <c r="AM105" s="695">
        <v>0</v>
      </c>
      <c r="AN105" s="695">
        <v>0</v>
      </c>
      <c r="AO105" s="695"/>
      <c r="AP105" s="695"/>
      <c r="AQ105" s="695"/>
      <c r="AR105" s="695"/>
      <c r="AS105" s="695"/>
      <c r="AT105" s="695"/>
      <c r="AU105" s="695"/>
      <c r="AV105" s="695"/>
      <c r="AZ105" s="689">
        <f>Trucks!E137</f>
        <v>19</v>
      </c>
    </row>
    <row r="106" spans="1:52" s="685" customFormat="1" ht="12" customHeight="1" x14ac:dyDescent="0.2">
      <c r="A106" s="666" t="s">
        <v>115</v>
      </c>
      <c r="B106" s="666" t="str">
        <f>Technologies!C156</f>
        <v>THSB20C10</v>
      </c>
      <c r="C106" s="666" t="str">
        <f>Technologies!D156</f>
        <v>Heavy Truck, Short Haul, Conventional B20 2010</v>
      </c>
      <c r="D106" s="666" t="s">
        <v>480</v>
      </c>
      <c r="E106" s="666" t="str">
        <f>Commodities!C62</f>
        <v>THB20X</v>
      </c>
      <c r="F106" s="666" t="str">
        <f>Commodities!C$12</f>
        <v>THS</v>
      </c>
      <c r="G106" s="692">
        <v>1</v>
      </c>
      <c r="H106" s="695">
        <v>2010</v>
      </c>
      <c r="I106" s="692">
        <f t="shared" si="76"/>
        <v>24</v>
      </c>
      <c r="J106" s="692">
        <v>0.18</v>
      </c>
      <c r="K106" s="693">
        <f>Trucks!H141</f>
        <v>4.0063961642811542E-2</v>
      </c>
      <c r="L106" s="693"/>
      <c r="M106" s="693"/>
      <c r="N106" s="693"/>
      <c r="O106" s="693"/>
      <c r="P106" s="693"/>
      <c r="Q106" s="693"/>
      <c r="R106" s="693"/>
      <c r="S106" s="693"/>
      <c r="T106" s="693"/>
      <c r="U106" s="693"/>
      <c r="V106" s="695">
        <f>Trucks!F141</f>
        <v>4606.0861228089634</v>
      </c>
      <c r="W106" s="695"/>
      <c r="X106" s="695"/>
      <c r="Y106" s="695"/>
      <c r="Z106" s="695"/>
      <c r="AA106" s="695"/>
      <c r="AB106" s="695"/>
      <c r="AC106" s="695"/>
      <c r="AD106" s="695"/>
      <c r="AE106" s="695"/>
      <c r="AF106" s="695">
        <f>Trucks!G141</f>
        <v>165.78108395324125</v>
      </c>
      <c r="AG106" s="694"/>
      <c r="AH106" s="694"/>
      <c r="AI106" s="694"/>
      <c r="AJ106" s="694"/>
      <c r="AK106" s="694"/>
      <c r="AL106" s="695">
        <v>1</v>
      </c>
      <c r="AM106" s="695">
        <v>0</v>
      </c>
      <c r="AN106" s="695">
        <v>0</v>
      </c>
      <c r="AO106" s="695">
        <v>0</v>
      </c>
      <c r="AP106" s="695">
        <v>0</v>
      </c>
      <c r="AQ106" s="695">
        <v>0</v>
      </c>
      <c r="AR106" s="695">
        <v>0</v>
      </c>
      <c r="AS106" s="695">
        <v>0</v>
      </c>
      <c r="AT106" s="695">
        <v>0</v>
      </c>
      <c r="AU106" s="695">
        <v>0</v>
      </c>
      <c r="AV106" s="695">
        <v>0</v>
      </c>
      <c r="AZ106" s="689">
        <v>19</v>
      </c>
    </row>
    <row r="107" spans="1:52" s="685" customFormat="1" ht="12" customHeight="1" x14ac:dyDescent="0.2">
      <c r="A107" s="666" t="s">
        <v>115</v>
      </c>
      <c r="B107" s="666" t="str">
        <f>Technologies!C157</f>
        <v>THSB20C</v>
      </c>
      <c r="C107" s="666" t="str">
        <f>Technologies!D157</f>
        <v>Heavy Truck, Short Haul, Conventional B20</v>
      </c>
      <c r="D107" s="666" t="s">
        <v>480</v>
      </c>
      <c r="E107" s="666" t="str">
        <f>Commodities!C62</f>
        <v>THB20X</v>
      </c>
      <c r="F107" s="666" t="str">
        <f>Commodities!C$12</f>
        <v>THS</v>
      </c>
      <c r="G107" s="692">
        <v>1</v>
      </c>
      <c r="H107" s="695">
        <v>2015</v>
      </c>
      <c r="I107" s="692">
        <f t="shared" si="76"/>
        <v>24</v>
      </c>
      <c r="J107" s="692">
        <v>0.18</v>
      </c>
      <c r="K107" s="693"/>
      <c r="L107" s="692"/>
      <c r="M107" s="693">
        <f>Trucks!H142</f>
        <v>4.3832480653506929E-2</v>
      </c>
      <c r="N107" s="693">
        <f t="shared" ref="N107:U107" si="85">M107</f>
        <v>4.3832480653506929E-2</v>
      </c>
      <c r="O107" s="693">
        <f t="shared" si="85"/>
        <v>4.3832480653506929E-2</v>
      </c>
      <c r="P107" s="693">
        <f t="shared" si="85"/>
        <v>4.3832480653506929E-2</v>
      </c>
      <c r="Q107" s="693">
        <f t="shared" si="85"/>
        <v>4.3832480653506929E-2</v>
      </c>
      <c r="R107" s="693">
        <f t="shared" si="85"/>
        <v>4.3832480653506929E-2</v>
      </c>
      <c r="S107" s="693">
        <f t="shared" si="85"/>
        <v>4.3832480653506929E-2</v>
      </c>
      <c r="T107" s="693">
        <f t="shared" si="85"/>
        <v>4.3832480653506929E-2</v>
      </c>
      <c r="U107" s="693">
        <f t="shared" si="85"/>
        <v>4.3832480653506929E-2</v>
      </c>
      <c r="V107" s="692"/>
      <c r="W107" s="695">
        <f>Trucks!F142</f>
        <v>4701.3380799369525</v>
      </c>
      <c r="X107" s="695">
        <f t="shared" ref="X107:AE107" si="86">W107</f>
        <v>4701.3380799369525</v>
      </c>
      <c r="Y107" s="695">
        <f t="shared" si="86"/>
        <v>4701.3380799369525</v>
      </c>
      <c r="Z107" s="695">
        <f t="shared" si="86"/>
        <v>4701.3380799369525</v>
      </c>
      <c r="AA107" s="695">
        <f t="shared" si="86"/>
        <v>4701.3380799369525</v>
      </c>
      <c r="AB107" s="695">
        <f t="shared" si="86"/>
        <v>4701.3380799369525</v>
      </c>
      <c r="AC107" s="695">
        <f t="shared" si="86"/>
        <v>4701.3380799369525</v>
      </c>
      <c r="AD107" s="695">
        <f t="shared" si="86"/>
        <v>4701.3380799369525</v>
      </c>
      <c r="AE107" s="695">
        <f t="shared" si="86"/>
        <v>4701.3380799369525</v>
      </c>
      <c r="AF107" s="695">
        <f>Trucks!G142</f>
        <v>165.78108395324125</v>
      </c>
      <c r="AG107" s="694"/>
      <c r="AH107" s="694"/>
      <c r="AI107" s="694"/>
      <c r="AJ107" s="694"/>
      <c r="AK107" s="694"/>
      <c r="AL107" s="695">
        <v>1</v>
      </c>
      <c r="AM107" s="695">
        <v>0</v>
      </c>
      <c r="AN107" s="695"/>
      <c r="AO107" s="695"/>
      <c r="AP107" s="695"/>
      <c r="AQ107" s="695"/>
      <c r="AR107" s="695"/>
      <c r="AS107" s="695"/>
      <c r="AT107" s="695"/>
      <c r="AU107" s="695"/>
      <c r="AV107" s="695"/>
      <c r="AZ107" s="689">
        <f>Trucks!E142</f>
        <v>19</v>
      </c>
    </row>
    <row r="108" spans="1:52" s="685" customFormat="1" ht="12" customHeight="1" x14ac:dyDescent="0.2">
      <c r="A108" s="666" t="s">
        <v>115</v>
      </c>
      <c r="B108" s="666" t="str">
        <f>Technologies!C158</f>
        <v>THSB20IM</v>
      </c>
      <c r="C108" s="666" t="str">
        <f>Technologies!D158</f>
        <v>Heavy Truck, Short Haul, Improved B20</v>
      </c>
      <c r="D108" s="666" t="s">
        <v>480</v>
      </c>
      <c r="E108" s="666" t="str">
        <f>Commodities!C62</f>
        <v>THB20X</v>
      </c>
      <c r="F108" s="666" t="str">
        <f>Commodities!C$12</f>
        <v>THS</v>
      </c>
      <c r="G108" s="692">
        <v>1</v>
      </c>
      <c r="H108" s="695">
        <v>2025</v>
      </c>
      <c r="I108" s="692">
        <f t="shared" si="76"/>
        <v>24</v>
      </c>
      <c r="J108" s="692">
        <v>0.24</v>
      </c>
      <c r="K108" s="693"/>
      <c r="L108" s="692"/>
      <c r="M108" s="693"/>
      <c r="N108" s="693"/>
      <c r="O108" s="693">
        <f>Trucks!H144</f>
        <v>4.5385378613801756E-2</v>
      </c>
      <c r="P108" s="693">
        <f t="shared" ref="P108:Q110" si="87">O108</f>
        <v>4.5385378613801756E-2</v>
      </c>
      <c r="Q108" s="693">
        <f t="shared" si="87"/>
        <v>4.5385378613801756E-2</v>
      </c>
      <c r="R108" s="693">
        <f>Trucks!H145</f>
        <v>4.6306909144031239E-2</v>
      </c>
      <c r="S108" s="693">
        <f t="shared" ref="S108:U110" si="88">R108</f>
        <v>4.6306909144031239E-2</v>
      </c>
      <c r="T108" s="693">
        <f t="shared" si="88"/>
        <v>4.6306909144031239E-2</v>
      </c>
      <c r="U108" s="693">
        <f t="shared" si="88"/>
        <v>4.6306909144031239E-2</v>
      </c>
      <c r="V108" s="692"/>
      <c r="W108" s="695"/>
      <c r="X108" s="695"/>
      <c r="Y108" s="695">
        <f>Trucks!F144</f>
        <v>4729.3691781178795</v>
      </c>
      <c r="Z108" s="695">
        <f t="shared" ref="Z108:AA110" si="89">Y108</f>
        <v>4729.3691781178795</v>
      </c>
      <c r="AA108" s="695">
        <f t="shared" si="89"/>
        <v>4729.3691781178795</v>
      </c>
      <c r="AB108" s="695">
        <f>Trucks!F145</f>
        <v>4767.6178468587577</v>
      </c>
      <c r="AC108" s="695">
        <f t="shared" ref="AC108:AE110" si="90">AB108</f>
        <v>4767.6178468587577</v>
      </c>
      <c r="AD108" s="695">
        <f t="shared" si="90"/>
        <v>4767.6178468587577</v>
      </c>
      <c r="AE108" s="695">
        <f t="shared" si="90"/>
        <v>4767.6178468587577</v>
      </c>
      <c r="AF108" s="695">
        <v>166</v>
      </c>
      <c r="AG108" s="694"/>
      <c r="AH108" s="694"/>
      <c r="AI108" s="694"/>
      <c r="AJ108" s="694"/>
      <c r="AK108" s="694"/>
      <c r="AL108" s="695">
        <v>1</v>
      </c>
      <c r="AM108" s="695">
        <v>0</v>
      </c>
      <c r="AN108" s="695"/>
      <c r="AO108" s="695"/>
      <c r="AP108" s="695"/>
      <c r="AQ108" s="695"/>
      <c r="AR108" s="695"/>
      <c r="AS108" s="695"/>
      <c r="AT108" s="695"/>
      <c r="AU108" s="695"/>
      <c r="AV108" s="695"/>
      <c r="AZ108" s="689">
        <v>19</v>
      </c>
    </row>
    <row r="109" spans="1:52" s="685" customFormat="1" ht="12" customHeight="1" x14ac:dyDescent="0.2">
      <c r="A109" s="666" t="s">
        <v>115</v>
      </c>
      <c r="B109" s="666" t="str">
        <f>Technologies!C159</f>
        <v>THSB20ADV</v>
      </c>
      <c r="C109" s="666" t="str">
        <f>Technologies!D159</f>
        <v>Heavy Truck, Short Haul, Advanced B20</v>
      </c>
      <c r="D109" s="666" t="s">
        <v>480</v>
      </c>
      <c r="E109" s="666" t="str">
        <f>E108</f>
        <v>THB20X</v>
      </c>
      <c r="F109" s="666" t="str">
        <f>Commodities!C$12</f>
        <v>THS</v>
      </c>
      <c r="G109" s="692">
        <v>1</v>
      </c>
      <c r="H109" s="695">
        <v>2015</v>
      </c>
      <c r="I109" s="692">
        <f t="shared" si="76"/>
        <v>24</v>
      </c>
      <c r="J109" s="692">
        <v>0.28000000000000003</v>
      </c>
      <c r="K109" s="693"/>
      <c r="L109" s="692"/>
      <c r="M109" s="693">
        <f>Trucks!H146</f>
        <v>4.603052755709499E-2</v>
      </c>
      <c r="N109" s="693">
        <f>M109</f>
        <v>4.603052755709499E-2</v>
      </c>
      <c r="O109" s="693">
        <f>Trucks!H147</f>
        <v>4.6706368712362882E-2</v>
      </c>
      <c r="P109" s="693">
        <f t="shared" si="87"/>
        <v>4.6706368712362882E-2</v>
      </c>
      <c r="Q109" s="693">
        <f t="shared" si="87"/>
        <v>4.6706368712362882E-2</v>
      </c>
      <c r="R109" s="693">
        <f>Q109</f>
        <v>4.6706368712362882E-2</v>
      </c>
      <c r="S109" s="693">
        <f t="shared" si="88"/>
        <v>4.6706368712362882E-2</v>
      </c>
      <c r="T109" s="693">
        <f t="shared" si="88"/>
        <v>4.6706368712362882E-2</v>
      </c>
      <c r="U109" s="693">
        <f t="shared" si="88"/>
        <v>4.6706368712362882E-2</v>
      </c>
      <c r="V109" s="692"/>
      <c r="W109" s="695">
        <f>Trucks!F146</f>
        <v>4831.9482088710984</v>
      </c>
      <c r="X109" s="695">
        <f>W109</f>
        <v>4831.9482088710984</v>
      </c>
      <c r="Y109" s="695">
        <f>Trucks!F147</f>
        <v>5078.3160179550359</v>
      </c>
      <c r="Z109" s="695">
        <f t="shared" si="89"/>
        <v>5078.3160179550359</v>
      </c>
      <c r="AA109" s="695">
        <f t="shared" si="89"/>
        <v>5078.3160179550359</v>
      </c>
      <c r="AB109" s="695">
        <f>AA109</f>
        <v>5078.3160179550359</v>
      </c>
      <c r="AC109" s="695">
        <f t="shared" si="90"/>
        <v>5078.3160179550359</v>
      </c>
      <c r="AD109" s="695">
        <f t="shared" si="90"/>
        <v>5078.3160179550359</v>
      </c>
      <c r="AE109" s="695">
        <f t="shared" si="90"/>
        <v>5078.3160179550359</v>
      </c>
      <c r="AF109" s="695">
        <v>166</v>
      </c>
      <c r="AG109" s="694"/>
      <c r="AH109" s="694"/>
      <c r="AI109" s="694"/>
      <c r="AJ109" s="694"/>
      <c r="AK109" s="694"/>
      <c r="AL109" s="695">
        <v>1</v>
      </c>
      <c r="AM109" s="695">
        <v>0</v>
      </c>
      <c r="AN109" s="695"/>
      <c r="AO109" s="695"/>
      <c r="AP109" s="695"/>
      <c r="AQ109" s="695"/>
      <c r="AR109" s="695"/>
      <c r="AS109" s="695"/>
      <c r="AT109" s="695"/>
      <c r="AU109" s="695"/>
      <c r="AV109" s="695"/>
      <c r="AZ109" s="689">
        <v>19</v>
      </c>
    </row>
    <row r="110" spans="1:52" s="685" customFormat="1" ht="12" customHeight="1" x14ac:dyDescent="0.2">
      <c r="A110" s="666" t="s">
        <v>115</v>
      </c>
      <c r="B110" s="666" t="str">
        <f>Technologies!C160</f>
        <v>THSB20AH</v>
      </c>
      <c r="C110" s="666" t="str">
        <f>Technologies!D160</f>
        <v>Heavy Truck, Short Haul, Hybrid B20</v>
      </c>
      <c r="D110" s="666" t="s">
        <v>480</v>
      </c>
      <c r="E110" s="666" t="str">
        <f>E109</f>
        <v>THB20X</v>
      </c>
      <c r="F110" s="666" t="str">
        <f>Commodities!C$12</f>
        <v>THS</v>
      </c>
      <c r="G110" s="692">
        <v>1</v>
      </c>
      <c r="H110" s="695">
        <v>2015</v>
      </c>
      <c r="I110" s="692">
        <f t="shared" si="76"/>
        <v>24</v>
      </c>
      <c r="J110" s="692">
        <v>0.28000000000000003</v>
      </c>
      <c r="K110" s="693"/>
      <c r="L110" s="692"/>
      <c r="M110" s="693">
        <f>Trucks!H148</f>
        <v>6.1154843754426196E-2</v>
      </c>
      <c r="N110" s="693">
        <f>M110</f>
        <v>6.1154843754426196E-2</v>
      </c>
      <c r="O110" s="693">
        <f>Trucks!H149</f>
        <v>6.1154843754426196E-2</v>
      </c>
      <c r="P110" s="693">
        <f t="shared" si="87"/>
        <v>6.1154843754426196E-2</v>
      </c>
      <c r="Q110" s="693">
        <f t="shared" si="87"/>
        <v>6.1154843754426196E-2</v>
      </c>
      <c r="R110" s="693">
        <f>Trucks!H150</f>
        <v>6.2052747003567818E-2</v>
      </c>
      <c r="S110" s="693">
        <f t="shared" si="88"/>
        <v>6.2052747003567818E-2</v>
      </c>
      <c r="T110" s="693">
        <f t="shared" si="88"/>
        <v>6.2052747003567818E-2</v>
      </c>
      <c r="U110" s="693">
        <f t="shared" si="88"/>
        <v>6.2052747003567818E-2</v>
      </c>
      <c r="V110" s="692"/>
      <c r="W110" s="695">
        <f>Trucks!F148</f>
        <v>5813.3727494982331</v>
      </c>
      <c r="X110" s="695">
        <f>W110</f>
        <v>5813.3727494982331</v>
      </c>
      <c r="Y110" s="695">
        <f>Trucks!F149</f>
        <v>5399.9644669737891</v>
      </c>
      <c r="Z110" s="695">
        <f t="shared" si="89"/>
        <v>5399.9644669737891</v>
      </c>
      <c r="AA110" s="695">
        <f t="shared" si="89"/>
        <v>5399.9644669737891</v>
      </c>
      <c r="AB110" s="695">
        <f>Trucks!F150</f>
        <v>5723.279993294429</v>
      </c>
      <c r="AC110" s="695">
        <f t="shared" si="90"/>
        <v>5723.279993294429</v>
      </c>
      <c r="AD110" s="695">
        <f t="shared" si="90"/>
        <v>5723.279993294429</v>
      </c>
      <c r="AE110" s="695">
        <f t="shared" si="90"/>
        <v>5723.279993294429</v>
      </c>
      <c r="AF110" s="695">
        <v>166</v>
      </c>
      <c r="AG110" s="694"/>
      <c r="AH110" s="694"/>
      <c r="AI110" s="694"/>
      <c r="AJ110" s="694"/>
      <c r="AK110" s="694"/>
      <c r="AL110" s="695">
        <v>1</v>
      </c>
      <c r="AM110" s="695">
        <v>0</v>
      </c>
      <c r="AN110" s="695"/>
      <c r="AO110" s="695"/>
      <c r="AP110" s="695"/>
      <c r="AQ110" s="695"/>
      <c r="AR110" s="695"/>
      <c r="AS110" s="695"/>
      <c r="AT110" s="695"/>
      <c r="AU110" s="695"/>
      <c r="AV110" s="695"/>
      <c r="AZ110" s="689">
        <v>19</v>
      </c>
    </row>
    <row r="111" spans="1:52" s="685" customFormat="1" ht="12" customHeight="1" x14ac:dyDescent="0.2">
      <c r="A111" s="666" t="str">
        <f>Technologies!B161</f>
        <v>R2,R3,R4,R5,R6</v>
      </c>
      <c r="B111" s="666" t="str">
        <f>Technologies!C161</f>
        <v>THSCNGC10</v>
      </c>
      <c r="C111" s="666" t="str">
        <f>Technologies!D161</f>
        <v>Heavy Truck, Short Haul, Conventional CNG 2010</v>
      </c>
      <c r="D111" s="666" t="s">
        <v>480</v>
      </c>
      <c r="E111" s="666" t="str">
        <f>Commodities!C$58</f>
        <v>THCNG</v>
      </c>
      <c r="F111" s="666" t="str">
        <f>Commodities!C$12</f>
        <v>THS</v>
      </c>
      <c r="G111" s="692">
        <v>1</v>
      </c>
      <c r="H111" s="695">
        <v>2010</v>
      </c>
      <c r="I111" s="692">
        <f t="shared" si="76"/>
        <v>24</v>
      </c>
      <c r="J111" s="692">
        <v>0.22</v>
      </c>
      <c r="K111" s="693" t="e">
        <f>Trucks!H151</f>
        <v>#REF!</v>
      </c>
      <c r="L111" s="692"/>
      <c r="M111" s="693"/>
      <c r="N111" s="693"/>
      <c r="O111" s="693"/>
      <c r="P111" s="693"/>
      <c r="Q111" s="693"/>
      <c r="R111" s="693"/>
      <c r="S111" s="693"/>
      <c r="T111" s="693"/>
      <c r="U111" s="693"/>
      <c r="V111" s="695">
        <f>Trucks!F151</f>
        <v>4952.9055905125924</v>
      </c>
      <c r="W111" s="695"/>
      <c r="X111" s="695"/>
      <c r="Y111" s="695"/>
      <c r="Z111" s="695"/>
      <c r="AA111" s="695"/>
      <c r="AB111" s="695"/>
      <c r="AC111" s="695"/>
      <c r="AD111" s="695"/>
      <c r="AE111" s="695"/>
      <c r="AF111" s="695">
        <f>Trucks!G151</f>
        <v>248.80470075014617</v>
      </c>
      <c r="AG111" s="694"/>
      <c r="AH111" s="694"/>
      <c r="AI111" s="694"/>
      <c r="AJ111" s="694"/>
      <c r="AK111" s="694"/>
      <c r="AL111" s="695">
        <v>1</v>
      </c>
      <c r="AM111" s="695">
        <v>0</v>
      </c>
      <c r="AN111" s="695">
        <v>0</v>
      </c>
      <c r="AO111" s="695">
        <v>0</v>
      </c>
      <c r="AP111" s="695">
        <v>0</v>
      </c>
      <c r="AQ111" s="695">
        <v>0</v>
      </c>
      <c r="AR111" s="695">
        <v>0</v>
      </c>
      <c r="AS111" s="695">
        <v>0</v>
      </c>
      <c r="AT111" s="695">
        <v>0</v>
      </c>
      <c r="AU111" s="695">
        <v>0</v>
      </c>
      <c r="AV111" s="695">
        <v>0</v>
      </c>
      <c r="AZ111" s="689">
        <v>19</v>
      </c>
    </row>
    <row r="112" spans="1:52" s="685" customFormat="1" ht="12" customHeight="1" x14ac:dyDescent="0.2">
      <c r="A112" s="666" t="str">
        <f>Technologies!B162</f>
        <v>R2,R3,R4,R5,R6</v>
      </c>
      <c r="B112" s="666" t="str">
        <f>Technologies!C162</f>
        <v>THSCNGC</v>
      </c>
      <c r="C112" s="666" t="str">
        <f>Technologies!D162</f>
        <v>Heavy Truck, Short Haul, Conventional CNG</v>
      </c>
      <c r="D112" s="666" t="s">
        <v>480</v>
      </c>
      <c r="E112" s="666" t="str">
        <f>Commodities!C$58</f>
        <v>THCNG</v>
      </c>
      <c r="F112" s="666" t="str">
        <f>Commodities!C$12</f>
        <v>THS</v>
      </c>
      <c r="G112" s="692">
        <v>1</v>
      </c>
      <c r="H112" s="695">
        <v>2015</v>
      </c>
      <c r="I112" s="692">
        <f t="shared" si="76"/>
        <v>24</v>
      </c>
      <c r="J112" s="692">
        <v>0.22</v>
      </c>
      <c r="K112" s="692"/>
      <c r="L112" s="692"/>
      <c r="M112" s="693" t="e">
        <f>Trucks!H152</f>
        <v>#REF!</v>
      </c>
      <c r="N112" s="693" t="e">
        <f t="shared" ref="N112:U112" si="91">M112</f>
        <v>#REF!</v>
      </c>
      <c r="O112" s="693" t="e">
        <f t="shared" si="91"/>
        <v>#REF!</v>
      </c>
      <c r="P112" s="693" t="e">
        <f t="shared" si="91"/>
        <v>#REF!</v>
      </c>
      <c r="Q112" s="693" t="e">
        <f t="shared" si="91"/>
        <v>#REF!</v>
      </c>
      <c r="R112" s="693" t="e">
        <f t="shared" si="91"/>
        <v>#REF!</v>
      </c>
      <c r="S112" s="693" t="e">
        <f t="shared" si="91"/>
        <v>#REF!</v>
      </c>
      <c r="T112" s="693" t="e">
        <f t="shared" si="91"/>
        <v>#REF!</v>
      </c>
      <c r="U112" s="693" t="e">
        <f t="shared" si="91"/>
        <v>#REF!</v>
      </c>
      <c r="V112" s="692"/>
      <c r="W112" s="695">
        <f>Trucks!F152</f>
        <v>5048.1575476405824</v>
      </c>
      <c r="X112" s="695">
        <f t="shared" ref="X112:AE112" si="92">W112</f>
        <v>5048.1575476405824</v>
      </c>
      <c r="Y112" s="695">
        <f t="shared" si="92"/>
        <v>5048.1575476405824</v>
      </c>
      <c r="Z112" s="695">
        <f t="shared" si="92"/>
        <v>5048.1575476405824</v>
      </c>
      <c r="AA112" s="695">
        <f t="shared" si="92"/>
        <v>5048.1575476405824</v>
      </c>
      <c r="AB112" s="695">
        <f t="shared" si="92"/>
        <v>5048.1575476405824</v>
      </c>
      <c r="AC112" s="695">
        <f t="shared" si="92"/>
        <v>5048.1575476405824</v>
      </c>
      <c r="AD112" s="695">
        <f t="shared" si="92"/>
        <v>5048.1575476405824</v>
      </c>
      <c r="AE112" s="695">
        <f t="shared" si="92"/>
        <v>5048.1575476405824</v>
      </c>
      <c r="AF112" s="695">
        <f>Trucks!G152</f>
        <v>248.80470075014617</v>
      </c>
      <c r="AG112" s="694"/>
      <c r="AH112" s="694"/>
      <c r="AI112" s="694"/>
      <c r="AJ112" s="694"/>
      <c r="AK112" s="694"/>
      <c r="AL112" s="695">
        <v>1</v>
      </c>
      <c r="AM112" s="695">
        <v>0</v>
      </c>
      <c r="AN112" s="695">
        <v>0</v>
      </c>
      <c r="AO112" s="695"/>
      <c r="AP112" s="695"/>
      <c r="AQ112" s="695"/>
      <c r="AR112" s="695"/>
      <c r="AS112" s="695"/>
      <c r="AT112" s="695"/>
      <c r="AU112" s="695"/>
      <c r="AV112" s="695"/>
      <c r="AZ112" s="689">
        <f>Trucks!E152</f>
        <v>19</v>
      </c>
    </row>
    <row r="113" spans="1:52" s="685" customFormat="1" ht="12" customHeight="1" x14ac:dyDescent="0.2">
      <c r="A113" s="666" t="s">
        <v>115</v>
      </c>
      <c r="B113" s="666" t="str">
        <f>Technologies!C163</f>
        <v>THSCNGC2</v>
      </c>
      <c r="C113" s="666" t="str">
        <f>Technologies!D163</f>
        <v>Heavy Truck, Short Haul, Conventional CNG</v>
      </c>
      <c r="D113" s="666" t="s">
        <v>480</v>
      </c>
      <c r="E113" s="666" t="str">
        <f>Commodities!C$58</f>
        <v>THCNG</v>
      </c>
      <c r="F113" s="666" t="str">
        <f>Commodities!C$12</f>
        <v>THS</v>
      </c>
      <c r="G113" s="692">
        <v>1</v>
      </c>
      <c r="H113" s="695">
        <v>2015</v>
      </c>
      <c r="I113" s="692">
        <f t="shared" si="76"/>
        <v>24</v>
      </c>
      <c r="J113" s="692">
        <f>J112</f>
        <v>0.22</v>
      </c>
      <c r="K113" s="692"/>
      <c r="L113" s="692"/>
      <c r="M113" s="693" t="e">
        <f t="shared" ref="M113:U113" si="93">M112</f>
        <v>#REF!</v>
      </c>
      <c r="N113" s="693" t="e">
        <f t="shared" si="93"/>
        <v>#REF!</v>
      </c>
      <c r="O113" s="693" t="e">
        <f t="shared" si="93"/>
        <v>#REF!</v>
      </c>
      <c r="P113" s="693" t="e">
        <f t="shared" si="93"/>
        <v>#REF!</v>
      </c>
      <c r="Q113" s="693" t="e">
        <f t="shared" si="93"/>
        <v>#REF!</v>
      </c>
      <c r="R113" s="693" t="e">
        <f t="shared" si="93"/>
        <v>#REF!</v>
      </c>
      <c r="S113" s="693" t="e">
        <f t="shared" si="93"/>
        <v>#REF!</v>
      </c>
      <c r="T113" s="693" t="e">
        <f t="shared" si="93"/>
        <v>#REF!</v>
      </c>
      <c r="U113" s="693" t="e">
        <f t="shared" si="93"/>
        <v>#REF!</v>
      </c>
      <c r="V113" s="692"/>
      <c r="W113" s="695">
        <f t="shared" ref="W113:AF113" si="94">W112</f>
        <v>5048.1575476405824</v>
      </c>
      <c r="X113" s="695">
        <f t="shared" si="94"/>
        <v>5048.1575476405824</v>
      </c>
      <c r="Y113" s="695">
        <f t="shared" si="94"/>
        <v>5048.1575476405824</v>
      </c>
      <c r="Z113" s="695">
        <f t="shared" si="94"/>
        <v>5048.1575476405824</v>
      </c>
      <c r="AA113" s="695">
        <f t="shared" si="94"/>
        <v>5048.1575476405824</v>
      </c>
      <c r="AB113" s="695">
        <f t="shared" si="94"/>
        <v>5048.1575476405824</v>
      </c>
      <c r="AC113" s="695">
        <f t="shared" si="94"/>
        <v>5048.1575476405824</v>
      </c>
      <c r="AD113" s="695">
        <f t="shared" si="94"/>
        <v>5048.1575476405824</v>
      </c>
      <c r="AE113" s="695">
        <f t="shared" si="94"/>
        <v>5048.1575476405824</v>
      </c>
      <c r="AF113" s="695">
        <f t="shared" si="94"/>
        <v>248.80470075014617</v>
      </c>
      <c r="AG113" s="694"/>
      <c r="AH113" s="694"/>
      <c r="AI113" s="694"/>
      <c r="AJ113" s="694"/>
      <c r="AK113" s="694"/>
      <c r="AL113" s="695">
        <v>1</v>
      </c>
      <c r="AM113" s="695">
        <v>0</v>
      </c>
      <c r="AN113" s="695">
        <v>0</v>
      </c>
      <c r="AO113" s="695"/>
      <c r="AP113" s="695"/>
      <c r="AQ113" s="695"/>
      <c r="AR113" s="695"/>
      <c r="AS113" s="695"/>
      <c r="AT113" s="695"/>
      <c r="AU113" s="695"/>
      <c r="AV113" s="695"/>
      <c r="AZ113" s="689">
        <f>AZ112</f>
        <v>19</v>
      </c>
    </row>
    <row r="114" spans="1:52" s="685" customFormat="1" ht="12" customHeight="1" x14ac:dyDescent="0.2">
      <c r="A114" s="666" t="str">
        <f>Technologies!B164</f>
        <v>R2,R3,R4,R5,R6</v>
      </c>
      <c r="B114" s="666" t="str">
        <f>Technologies!C164</f>
        <v>THSCNGIM</v>
      </c>
      <c r="C114" s="666" t="str">
        <f>Technologies!D164</f>
        <v>Heavy Truck, Short Haul, Improved CNG</v>
      </c>
      <c r="D114" s="666" t="s">
        <v>480</v>
      </c>
      <c r="E114" s="666" t="str">
        <f>Commodities!C$58</f>
        <v>THCNG</v>
      </c>
      <c r="F114" s="666" t="str">
        <f>Commodities!C$12</f>
        <v>THS</v>
      </c>
      <c r="G114" s="692">
        <v>1</v>
      </c>
      <c r="H114" s="695">
        <v>2025</v>
      </c>
      <c r="I114" s="692">
        <f t="shared" si="76"/>
        <v>24</v>
      </c>
      <c r="J114" s="692">
        <v>0.24</v>
      </c>
      <c r="K114" s="692"/>
      <c r="L114" s="693"/>
      <c r="M114" s="693"/>
      <c r="N114" s="693"/>
      <c r="O114" s="693" t="e">
        <f>Trucks!H154</f>
        <v>#REF!</v>
      </c>
      <c r="P114" s="693" t="e">
        <f>O114</f>
        <v>#REF!</v>
      </c>
      <c r="Q114" s="693" t="e">
        <f>P114</f>
        <v>#REF!</v>
      </c>
      <c r="R114" s="693" t="e">
        <f>Trucks!H155</f>
        <v>#REF!</v>
      </c>
      <c r="S114" s="693" t="e">
        <f>R114</f>
        <v>#REF!</v>
      </c>
      <c r="T114" s="693" t="e">
        <f>S114</f>
        <v>#REF!</v>
      </c>
      <c r="U114" s="693" t="e">
        <f>T114</f>
        <v>#REF!</v>
      </c>
      <c r="V114" s="692"/>
      <c r="W114" s="695"/>
      <c r="X114" s="695"/>
      <c r="Y114" s="695">
        <f>Trucks!F154</f>
        <v>5076.1886458215085</v>
      </c>
      <c r="Z114" s="695">
        <f>Y114</f>
        <v>5076.1886458215085</v>
      </c>
      <c r="AA114" s="695">
        <f>Z114</f>
        <v>5076.1886458215085</v>
      </c>
      <c r="AB114" s="695">
        <f>Trucks!F155</f>
        <v>5114.4373145623867</v>
      </c>
      <c r="AC114" s="695">
        <f>AB114</f>
        <v>5114.4373145623867</v>
      </c>
      <c r="AD114" s="695">
        <f>AC114</f>
        <v>5114.4373145623867</v>
      </c>
      <c r="AE114" s="695">
        <f>AD114</f>
        <v>5114.4373145623867</v>
      </c>
      <c r="AF114" s="695">
        <v>249</v>
      </c>
      <c r="AG114" s="694"/>
      <c r="AH114" s="694"/>
      <c r="AI114" s="694"/>
      <c r="AJ114" s="694"/>
      <c r="AK114" s="694"/>
      <c r="AL114" s="695">
        <v>1</v>
      </c>
      <c r="AM114" s="695">
        <v>0</v>
      </c>
      <c r="AN114" s="695">
        <v>0</v>
      </c>
      <c r="AO114" s="695"/>
      <c r="AP114" s="695"/>
      <c r="AQ114" s="695"/>
      <c r="AR114" s="695"/>
      <c r="AS114" s="695"/>
      <c r="AT114" s="695"/>
      <c r="AU114" s="695"/>
      <c r="AV114" s="695"/>
      <c r="AZ114" s="689">
        <v>19</v>
      </c>
    </row>
    <row r="115" spans="1:52" s="685" customFormat="1" ht="12" customHeight="1" x14ac:dyDescent="0.2">
      <c r="A115" s="666" t="str">
        <f>Technologies!B165</f>
        <v>R2,R3,R4,R5,R6</v>
      </c>
      <c r="B115" s="666" t="str">
        <f>Technologies!C165</f>
        <v>THSCNGIM2</v>
      </c>
      <c r="C115" s="666" t="str">
        <f>Technologies!D165</f>
        <v>Heavy Truck, Short Haul, Improved CNG</v>
      </c>
      <c r="D115" s="666" t="s">
        <v>480</v>
      </c>
      <c r="E115" s="666" t="str">
        <f>Commodities!C$58</f>
        <v>THCNG</v>
      </c>
      <c r="F115" s="666" t="str">
        <f>Commodities!C$12</f>
        <v>THS</v>
      </c>
      <c r="G115" s="692">
        <v>1</v>
      </c>
      <c r="H115" s="695">
        <v>2025</v>
      </c>
      <c r="I115" s="692">
        <f t="shared" si="76"/>
        <v>24</v>
      </c>
      <c r="J115" s="692">
        <f>J114</f>
        <v>0.24</v>
      </c>
      <c r="K115" s="692"/>
      <c r="L115" s="693"/>
      <c r="M115" s="693"/>
      <c r="N115" s="693"/>
      <c r="O115" s="693" t="e">
        <f t="shared" ref="O115:U115" si="95">O114</f>
        <v>#REF!</v>
      </c>
      <c r="P115" s="693" t="e">
        <f t="shared" si="95"/>
        <v>#REF!</v>
      </c>
      <c r="Q115" s="693" t="e">
        <f t="shared" si="95"/>
        <v>#REF!</v>
      </c>
      <c r="R115" s="693" t="e">
        <f t="shared" si="95"/>
        <v>#REF!</v>
      </c>
      <c r="S115" s="693" t="e">
        <f t="shared" si="95"/>
        <v>#REF!</v>
      </c>
      <c r="T115" s="693" t="e">
        <f t="shared" si="95"/>
        <v>#REF!</v>
      </c>
      <c r="U115" s="693" t="e">
        <f t="shared" si="95"/>
        <v>#REF!</v>
      </c>
      <c r="V115" s="692"/>
      <c r="W115" s="695"/>
      <c r="X115" s="695"/>
      <c r="Y115" s="695">
        <f t="shared" ref="Y115:AF115" si="96">Y114</f>
        <v>5076.1886458215085</v>
      </c>
      <c r="Z115" s="695">
        <f t="shared" si="96"/>
        <v>5076.1886458215085</v>
      </c>
      <c r="AA115" s="695">
        <f t="shared" si="96"/>
        <v>5076.1886458215085</v>
      </c>
      <c r="AB115" s="695">
        <f t="shared" si="96"/>
        <v>5114.4373145623867</v>
      </c>
      <c r="AC115" s="695">
        <f t="shared" si="96"/>
        <v>5114.4373145623867</v>
      </c>
      <c r="AD115" s="695">
        <f t="shared" si="96"/>
        <v>5114.4373145623867</v>
      </c>
      <c r="AE115" s="695">
        <f t="shared" si="96"/>
        <v>5114.4373145623867</v>
      </c>
      <c r="AF115" s="695">
        <f t="shared" si="96"/>
        <v>249</v>
      </c>
      <c r="AG115" s="694"/>
      <c r="AH115" s="694"/>
      <c r="AI115" s="694"/>
      <c r="AJ115" s="694"/>
      <c r="AK115" s="694"/>
      <c r="AL115" s="695">
        <v>1</v>
      </c>
      <c r="AM115" s="695">
        <v>0</v>
      </c>
      <c r="AN115" s="695">
        <v>0</v>
      </c>
      <c r="AO115" s="695"/>
      <c r="AP115" s="695"/>
      <c r="AQ115" s="695"/>
      <c r="AR115" s="695"/>
      <c r="AS115" s="695"/>
      <c r="AT115" s="695"/>
      <c r="AU115" s="695"/>
      <c r="AV115" s="695"/>
      <c r="AZ115" s="689">
        <f>AZ114</f>
        <v>19</v>
      </c>
    </row>
    <row r="116" spans="1:52" s="685" customFormat="1" ht="12" customHeight="1" x14ac:dyDescent="0.2">
      <c r="A116" s="666" t="str">
        <f>Technologies!B166</f>
        <v>R2,R3,R4,R5,R6</v>
      </c>
      <c r="B116" s="666" t="str">
        <f>Technologies!C166</f>
        <v>THSCNGADV</v>
      </c>
      <c r="C116" s="666" t="str">
        <f>Technologies!D166</f>
        <v>Heavy Truck, Short Haul, Advanced CNG</v>
      </c>
      <c r="D116" s="666" t="s">
        <v>480</v>
      </c>
      <c r="E116" s="666" t="str">
        <f>Commodities!C$58</f>
        <v>THCNG</v>
      </c>
      <c r="F116" s="666" t="str">
        <f>Commodities!C$12</f>
        <v>THS</v>
      </c>
      <c r="G116" s="692">
        <v>1</v>
      </c>
      <c r="H116" s="695">
        <v>2015</v>
      </c>
      <c r="I116" s="692">
        <f t="shared" si="76"/>
        <v>24</v>
      </c>
      <c r="J116" s="692">
        <v>0.28000000000000003</v>
      </c>
      <c r="K116" s="692"/>
      <c r="L116" s="693"/>
      <c r="M116" s="693" t="e">
        <f>Trucks!H156</f>
        <v>#REF!</v>
      </c>
      <c r="N116" s="693" t="e">
        <f>M116</f>
        <v>#REF!</v>
      </c>
      <c r="O116" s="693" t="e">
        <f>Trucks!H157</f>
        <v>#REF!</v>
      </c>
      <c r="P116" s="693" t="e">
        <f t="shared" ref="P116:U116" si="97">O116</f>
        <v>#REF!</v>
      </c>
      <c r="Q116" s="693" t="e">
        <f t="shared" si="97"/>
        <v>#REF!</v>
      </c>
      <c r="R116" s="693" t="e">
        <f t="shared" si="97"/>
        <v>#REF!</v>
      </c>
      <c r="S116" s="693" t="e">
        <f t="shared" si="97"/>
        <v>#REF!</v>
      </c>
      <c r="T116" s="693" t="e">
        <f t="shared" si="97"/>
        <v>#REF!</v>
      </c>
      <c r="U116" s="693" t="e">
        <f t="shared" si="97"/>
        <v>#REF!</v>
      </c>
      <c r="V116" s="692"/>
      <c r="W116" s="695">
        <f>Trucks!F156</f>
        <v>5203.9040663373789</v>
      </c>
      <c r="X116" s="695">
        <f>W116</f>
        <v>5203.9040663373789</v>
      </c>
      <c r="Y116" s="695">
        <f>Trucks!F157</f>
        <v>5568.5301715239375</v>
      </c>
      <c r="Z116" s="695">
        <f>Y116</f>
        <v>5568.5301715239375</v>
      </c>
      <c r="AA116" s="695">
        <f>Z116</f>
        <v>5568.5301715239375</v>
      </c>
      <c r="AB116" s="695">
        <f>Trucks!F158</f>
        <v>5412.8970778467474</v>
      </c>
      <c r="AC116" s="695">
        <f>AB116</f>
        <v>5412.8970778467474</v>
      </c>
      <c r="AD116" s="695">
        <f>AC116</f>
        <v>5412.8970778467474</v>
      </c>
      <c r="AE116" s="695">
        <f>AD116</f>
        <v>5412.8970778467474</v>
      </c>
      <c r="AF116" s="695">
        <f>Trucks!G156</f>
        <v>248.80470075014617</v>
      </c>
      <c r="AG116" s="694"/>
      <c r="AH116" s="694"/>
      <c r="AI116" s="694"/>
      <c r="AJ116" s="694"/>
      <c r="AK116" s="694"/>
      <c r="AL116" s="695">
        <v>1</v>
      </c>
      <c r="AM116" s="695">
        <v>0</v>
      </c>
      <c r="AN116" s="695">
        <v>0</v>
      </c>
      <c r="AO116" s="695"/>
      <c r="AP116" s="695"/>
      <c r="AQ116" s="695"/>
      <c r="AR116" s="695"/>
      <c r="AS116" s="695"/>
      <c r="AT116" s="695"/>
      <c r="AU116" s="695"/>
      <c r="AV116" s="695"/>
      <c r="AZ116" s="689">
        <v>19</v>
      </c>
    </row>
    <row r="117" spans="1:52" s="685" customFormat="1" ht="12" customHeight="1" x14ac:dyDescent="0.2">
      <c r="A117" s="666" t="s">
        <v>115</v>
      </c>
      <c r="B117" s="666" t="str">
        <f>Technologies!C167</f>
        <v>THSCNGADV2</v>
      </c>
      <c r="C117" s="666" t="str">
        <f>Technologies!D167</f>
        <v>Heavy Truck, Short Haul, Advanced CNG</v>
      </c>
      <c r="D117" s="666" t="s">
        <v>480</v>
      </c>
      <c r="E117" s="666" t="str">
        <f>Commodities!C$58</f>
        <v>THCNG</v>
      </c>
      <c r="F117" s="666" t="str">
        <f>Commodities!C$12</f>
        <v>THS</v>
      </c>
      <c r="G117" s="692">
        <v>1</v>
      </c>
      <c r="H117" s="695">
        <f>H116</f>
        <v>2015</v>
      </c>
      <c r="I117" s="695">
        <f>I116</f>
        <v>24</v>
      </c>
      <c r="J117" s="694">
        <f>J116</f>
        <v>0.28000000000000003</v>
      </c>
      <c r="K117" s="692"/>
      <c r="L117" s="693"/>
      <c r="M117" s="693" t="e">
        <f t="shared" ref="M117:U117" si="98">M116</f>
        <v>#REF!</v>
      </c>
      <c r="N117" s="693" t="e">
        <f t="shared" si="98"/>
        <v>#REF!</v>
      </c>
      <c r="O117" s="693" t="e">
        <f t="shared" si="98"/>
        <v>#REF!</v>
      </c>
      <c r="P117" s="693" t="e">
        <f t="shared" si="98"/>
        <v>#REF!</v>
      </c>
      <c r="Q117" s="693" t="e">
        <f t="shared" si="98"/>
        <v>#REF!</v>
      </c>
      <c r="R117" s="693" t="e">
        <f t="shared" si="98"/>
        <v>#REF!</v>
      </c>
      <c r="S117" s="693" t="e">
        <f t="shared" si="98"/>
        <v>#REF!</v>
      </c>
      <c r="T117" s="693" t="e">
        <f t="shared" si="98"/>
        <v>#REF!</v>
      </c>
      <c r="U117" s="693" t="e">
        <f t="shared" si="98"/>
        <v>#REF!</v>
      </c>
      <c r="V117" s="692"/>
      <c r="W117" s="695">
        <f t="shared" ref="W117:AF117" si="99">W116</f>
        <v>5203.9040663373789</v>
      </c>
      <c r="X117" s="695">
        <f t="shared" si="99"/>
        <v>5203.9040663373789</v>
      </c>
      <c r="Y117" s="695">
        <f t="shared" si="99"/>
        <v>5568.5301715239375</v>
      </c>
      <c r="Z117" s="695">
        <f t="shared" si="99"/>
        <v>5568.5301715239375</v>
      </c>
      <c r="AA117" s="695">
        <f t="shared" si="99"/>
        <v>5568.5301715239375</v>
      </c>
      <c r="AB117" s="695">
        <f t="shared" si="99"/>
        <v>5412.8970778467474</v>
      </c>
      <c r="AC117" s="695">
        <f t="shared" si="99"/>
        <v>5412.8970778467474</v>
      </c>
      <c r="AD117" s="695">
        <f t="shared" si="99"/>
        <v>5412.8970778467474</v>
      </c>
      <c r="AE117" s="695">
        <f t="shared" si="99"/>
        <v>5412.8970778467474</v>
      </c>
      <c r="AF117" s="695">
        <f t="shared" si="99"/>
        <v>248.80470075014617</v>
      </c>
      <c r="AG117" s="694"/>
      <c r="AH117" s="694"/>
      <c r="AI117" s="694"/>
      <c r="AJ117" s="694"/>
      <c r="AK117" s="694"/>
      <c r="AL117" s="695">
        <v>1</v>
      </c>
      <c r="AM117" s="695">
        <v>0</v>
      </c>
      <c r="AN117" s="695">
        <v>0</v>
      </c>
      <c r="AO117" s="695"/>
      <c r="AP117" s="695"/>
      <c r="AQ117" s="695"/>
      <c r="AR117" s="695"/>
      <c r="AS117" s="695"/>
      <c r="AT117" s="695"/>
      <c r="AU117" s="695"/>
      <c r="AV117" s="695"/>
      <c r="AZ117" s="689">
        <f>AZ116</f>
        <v>19</v>
      </c>
    </row>
    <row r="118" spans="1:52" s="685" customFormat="1" ht="12" customHeight="1" x14ac:dyDescent="0.2">
      <c r="A118" s="666" t="s">
        <v>115</v>
      </c>
      <c r="B118" s="666" t="str">
        <f>Technologies!C168</f>
        <v>THSCNGAH</v>
      </c>
      <c r="C118" s="666" t="str">
        <f>Technologies!D168</f>
        <v>Heavy Truck, Short Haul, Hybrid CNG</v>
      </c>
      <c r="D118" s="666" t="s">
        <v>480</v>
      </c>
      <c r="E118" s="666" t="str">
        <f>Commodities!C$58</f>
        <v>THCNG</v>
      </c>
      <c r="F118" s="666" t="str">
        <f>Commodities!C$12</f>
        <v>THS</v>
      </c>
      <c r="G118" s="692">
        <v>1</v>
      </c>
      <c r="H118" s="695">
        <v>2015</v>
      </c>
      <c r="I118" s="692">
        <f t="shared" ref="I118:I140" si="100">AZ118+5</f>
        <v>24</v>
      </c>
      <c r="J118" s="692">
        <v>0.28000000000000003</v>
      </c>
      <c r="K118" s="692"/>
      <c r="L118" s="693"/>
      <c r="M118" s="693" t="e">
        <f>Trucks!H159</f>
        <v>#REF!</v>
      </c>
      <c r="N118" s="693" t="e">
        <f>M118</f>
        <v>#REF!</v>
      </c>
      <c r="O118" s="693" t="e">
        <f>Trucks!H160</f>
        <v>#REF!</v>
      </c>
      <c r="P118" s="693" t="e">
        <f>O118</f>
        <v>#REF!</v>
      </c>
      <c r="Q118" s="693" t="e">
        <f>P118</f>
        <v>#REF!</v>
      </c>
      <c r="R118" s="693" t="e">
        <f>Trucks!H161</f>
        <v>#REF!</v>
      </c>
      <c r="S118" s="693" t="e">
        <f>R118</f>
        <v>#REF!</v>
      </c>
      <c r="T118" s="693" t="e">
        <f>S118</f>
        <v>#REF!</v>
      </c>
      <c r="U118" s="693" t="e">
        <f>T118</f>
        <v>#REF!</v>
      </c>
      <c r="V118" s="692"/>
      <c r="W118" s="695">
        <f>Trucks!F159</f>
        <v>6185.328606964511</v>
      </c>
      <c r="X118" s="695">
        <f>W118</f>
        <v>6185.328606964511</v>
      </c>
      <c r="Y118" s="695">
        <f>Trucks!F160</f>
        <v>6213.4941468633324</v>
      </c>
      <c r="Z118" s="695">
        <f>Y118</f>
        <v>6213.4941468633324</v>
      </c>
      <c r="AA118" s="695">
        <f>Z118</f>
        <v>6213.4941468633324</v>
      </c>
      <c r="AB118" s="695">
        <f>Trucks!F161</f>
        <v>6057.8610531861414</v>
      </c>
      <c r="AC118" s="695">
        <f>AB118</f>
        <v>6057.8610531861414</v>
      </c>
      <c r="AD118" s="695">
        <f>AC118</f>
        <v>6057.8610531861414</v>
      </c>
      <c r="AE118" s="695">
        <f>AD118</f>
        <v>6057.8610531861414</v>
      </c>
      <c r="AF118" s="695">
        <f>Trucks!G159</f>
        <v>237.85729391713974</v>
      </c>
      <c r="AG118" s="694"/>
      <c r="AH118" s="694"/>
      <c r="AI118" s="694"/>
      <c r="AJ118" s="694"/>
      <c r="AK118" s="694"/>
      <c r="AL118" s="695">
        <v>1</v>
      </c>
      <c r="AM118" s="695">
        <v>0</v>
      </c>
      <c r="AN118" s="695"/>
      <c r="AO118" s="695"/>
      <c r="AP118" s="695"/>
      <c r="AQ118" s="695"/>
      <c r="AR118" s="695"/>
      <c r="AS118" s="695"/>
      <c r="AT118" s="695"/>
      <c r="AU118" s="695"/>
      <c r="AV118" s="695"/>
      <c r="AZ118" s="689">
        <v>19</v>
      </c>
    </row>
    <row r="119" spans="1:52" s="685" customFormat="1" ht="12" customHeight="1" x14ac:dyDescent="0.2">
      <c r="A119" s="666" t="s">
        <v>115</v>
      </c>
      <c r="B119" s="666" t="str">
        <f>Technologies!C169</f>
        <v>THLDSLE</v>
      </c>
      <c r="C119" s="666" t="str">
        <f>Technologies!D169</f>
        <v>Heavy Truck, Long Haul, Diesel exisiting</v>
      </c>
      <c r="D119" s="666" t="s">
        <v>480</v>
      </c>
      <c r="E119" s="666" t="str">
        <f>Commodities!C44</f>
        <v>THDSL</v>
      </c>
      <c r="F119" s="666" t="str">
        <f>Commodities!C$13</f>
        <v>THL</v>
      </c>
      <c r="G119" s="692">
        <v>1</v>
      </c>
      <c r="H119" s="692">
        <v>2010</v>
      </c>
      <c r="I119" s="692">
        <f t="shared" si="100"/>
        <v>17</v>
      </c>
      <c r="J119" s="692"/>
      <c r="K119" s="693">
        <f>Trucks!H206</f>
        <v>4.2022307542363531E-2</v>
      </c>
      <c r="L119" s="692"/>
      <c r="M119" s="693"/>
      <c r="N119" s="693"/>
      <c r="O119" s="693"/>
      <c r="P119" s="693"/>
      <c r="Q119" s="693"/>
      <c r="R119" s="693"/>
      <c r="S119" s="693"/>
      <c r="T119" s="693"/>
      <c r="U119" s="693"/>
      <c r="V119" s="695"/>
      <c r="W119" s="695"/>
      <c r="X119" s="695"/>
      <c r="Y119" s="695"/>
      <c r="Z119" s="695"/>
      <c r="AA119" s="695"/>
      <c r="AB119" s="695"/>
      <c r="AC119" s="695"/>
      <c r="AD119" s="695"/>
      <c r="AE119" s="695"/>
      <c r="AF119" s="695">
        <f>Trucks!G206</f>
        <v>148.77789585547293</v>
      </c>
      <c r="AG119" s="694"/>
      <c r="AH119" s="694"/>
      <c r="AI119" s="694"/>
      <c r="AJ119" s="694"/>
      <c r="AK119" s="694"/>
      <c r="AL119" s="695">
        <v>1</v>
      </c>
      <c r="AM119" s="695">
        <v>0</v>
      </c>
      <c r="AN119" s="695">
        <v>0</v>
      </c>
      <c r="AO119" s="695">
        <v>0</v>
      </c>
      <c r="AP119" s="695">
        <v>0</v>
      </c>
      <c r="AQ119" s="695">
        <v>0</v>
      </c>
      <c r="AR119" s="695">
        <v>0</v>
      </c>
      <c r="AS119" s="695">
        <v>0</v>
      </c>
      <c r="AT119" s="695">
        <v>0</v>
      </c>
      <c r="AU119" s="695">
        <v>0</v>
      </c>
      <c r="AV119" s="695">
        <v>0</v>
      </c>
      <c r="AZ119" s="689">
        <f>Trucks!E206</f>
        <v>12</v>
      </c>
    </row>
    <row r="120" spans="1:52" s="685" customFormat="1" ht="12" customHeight="1" x14ac:dyDescent="0.2">
      <c r="A120" s="666" t="s">
        <v>115</v>
      </c>
      <c r="B120" s="666" t="str">
        <f>Technologies!C170</f>
        <v>THLLPGE</v>
      </c>
      <c r="C120" s="666" t="str">
        <f>Technologies!D170</f>
        <v>Heavy Truck, Long Haul, LPG exisiting</v>
      </c>
      <c r="D120" s="666" t="s">
        <v>480</v>
      </c>
      <c r="E120" s="666" t="str">
        <f>Commodities!C29</f>
        <v>TRNLPG1</v>
      </c>
      <c r="F120" s="666" t="str">
        <f>Commodities!C$13</f>
        <v>THL</v>
      </c>
      <c r="G120" s="692">
        <v>1</v>
      </c>
      <c r="H120" s="692">
        <v>2010</v>
      </c>
      <c r="I120" s="692">
        <f t="shared" si="100"/>
        <v>17</v>
      </c>
      <c r="J120" s="692"/>
      <c r="K120" s="693">
        <f>Trucks!H207</f>
        <v>3.9708827872133132E-2</v>
      </c>
      <c r="L120" s="692"/>
      <c r="M120" s="693"/>
      <c r="N120" s="693"/>
      <c r="O120" s="693"/>
      <c r="P120" s="693"/>
      <c r="Q120" s="693"/>
      <c r="R120" s="693"/>
      <c r="S120" s="693"/>
      <c r="T120" s="693"/>
      <c r="U120" s="693"/>
      <c r="V120" s="695"/>
      <c r="W120" s="695"/>
      <c r="X120" s="695"/>
      <c r="Y120" s="695"/>
      <c r="Z120" s="695"/>
      <c r="AA120" s="695"/>
      <c r="AB120" s="695"/>
      <c r="AC120" s="695"/>
      <c r="AD120" s="695"/>
      <c r="AE120" s="695"/>
      <c r="AF120" s="695">
        <f>Trucks!G207</f>
        <v>289.82706984832384</v>
      </c>
      <c r="AG120" s="694"/>
      <c r="AH120" s="694"/>
      <c r="AI120" s="694"/>
      <c r="AJ120" s="694"/>
      <c r="AK120" s="694"/>
      <c r="AL120" s="695">
        <v>1</v>
      </c>
      <c r="AM120" s="695">
        <v>0</v>
      </c>
      <c r="AN120" s="695">
        <v>0</v>
      </c>
      <c r="AO120" s="695">
        <v>0</v>
      </c>
      <c r="AP120" s="695">
        <v>0</v>
      </c>
      <c r="AQ120" s="695">
        <v>0</v>
      </c>
      <c r="AR120" s="695">
        <v>0</v>
      </c>
      <c r="AS120" s="695">
        <v>0</v>
      </c>
      <c r="AT120" s="695">
        <v>0</v>
      </c>
      <c r="AU120" s="695">
        <v>0</v>
      </c>
      <c r="AV120" s="695">
        <v>0</v>
      </c>
      <c r="AZ120" s="689">
        <f>Trucks!E207</f>
        <v>12</v>
      </c>
    </row>
    <row r="121" spans="1:52" s="685" customFormat="1" ht="12" customHeight="1" x14ac:dyDescent="0.2">
      <c r="A121" s="666" t="s">
        <v>115</v>
      </c>
      <c r="B121" s="666" t="str">
        <f>Technologies!C171</f>
        <v>THLDSLC10</v>
      </c>
      <c r="C121" s="666" t="str">
        <f>Technologies!D171</f>
        <v>Heavy Truck, Long Haul, Diesel Conventional 2010</v>
      </c>
      <c r="D121" s="666" t="s">
        <v>480</v>
      </c>
      <c r="E121" s="666" t="str">
        <f>Commodities!C44</f>
        <v>THDSL</v>
      </c>
      <c r="F121" s="666" t="str">
        <f>Commodities!C$13</f>
        <v>THL</v>
      </c>
      <c r="G121" s="692">
        <v>1</v>
      </c>
      <c r="H121" s="695">
        <v>2010</v>
      </c>
      <c r="I121" s="692">
        <f t="shared" si="100"/>
        <v>17</v>
      </c>
      <c r="J121" s="692">
        <v>0.18</v>
      </c>
      <c r="K121" s="693">
        <f>Trucks!H172</f>
        <v>4.2741355933938345E-2</v>
      </c>
      <c r="L121" s="692"/>
      <c r="M121" s="693"/>
      <c r="N121" s="693"/>
      <c r="O121" s="693"/>
      <c r="P121" s="693"/>
      <c r="Q121" s="693"/>
      <c r="R121" s="693"/>
      <c r="S121" s="693"/>
      <c r="T121" s="693"/>
      <c r="U121" s="693"/>
      <c r="V121" s="695">
        <f>Trucks!F172</f>
        <v>1586.6830558675817</v>
      </c>
      <c r="W121" s="695"/>
      <c r="X121" s="695"/>
      <c r="Y121" s="695"/>
      <c r="Z121" s="695"/>
      <c r="AA121" s="695"/>
      <c r="AB121" s="695"/>
      <c r="AC121" s="695"/>
      <c r="AD121" s="695"/>
      <c r="AE121" s="695"/>
      <c r="AF121" s="695">
        <f>Trucks!G172</f>
        <v>148.77789585547293</v>
      </c>
      <c r="AG121" s="694"/>
      <c r="AH121" s="694"/>
      <c r="AI121" s="694"/>
      <c r="AJ121" s="694"/>
      <c r="AK121" s="694"/>
      <c r="AL121" s="695">
        <v>1</v>
      </c>
      <c r="AM121" s="695"/>
      <c r="AN121" s="695">
        <v>0</v>
      </c>
      <c r="AO121" s="695">
        <v>0</v>
      </c>
      <c r="AP121" s="695">
        <v>0</v>
      </c>
      <c r="AQ121" s="695">
        <v>0</v>
      </c>
      <c r="AR121" s="695">
        <v>0</v>
      </c>
      <c r="AS121" s="695">
        <v>0</v>
      </c>
      <c r="AT121" s="695">
        <v>0</v>
      </c>
      <c r="AU121" s="695">
        <v>0</v>
      </c>
      <c r="AV121" s="695">
        <v>0</v>
      </c>
      <c r="AZ121" s="689">
        <f>Trucks!E173</f>
        <v>12</v>
      </c>
    </row>
    <row r="122" spans="1:52" s="685" customFormat="1" ht="12" customHeight="1" x14ac:dyDescent="0.2">
      <c r="A122" s="666" t="s">
        <v>115</v>
      </c>
      <c r="B122" s="666" t="str">
        <f>Technologies!C172</f>
        <v>THLDSLC</v>
      </c>
      <c r="C122" s="666" t="str">
        <f>Technologies!D172</f>
        <v>Heavy Truck, Long Haul, Conv. Diesel</v>
      </c>
      <c r="D122" s="666" t="s">
        <v>480</v>
      </c>
      <c r="E122" s="666" t="str">
        <f>Commodities!C44</f>
        <v>THDSL</v>
      </c>
      <c r="F122" s="666" t="str">
        <f>Commodities!C$13</f>
        <v>THL</v>
      </c>
      <c r="G122" s="692">
        <v>1</v>
      </c>
      <c r="H122" s="695">
        <v>2015</v>
      </c>
      <c r="I122" s="692">
        <f t="shared" si="100"/>
        <v>17</v>
      </c>
      <c r="J122" s="692">
        <v>0.18</v>
      </c>
      <c r="K122" s="693"/>
      <c r="L122" s="692"/>
      <c r="M122" s="693">
        <f>Trucks!H173</f>
        <v>4.6675189351799498E-2</v>
      </c>
      <c r="N122" s="693">
        <f>Trucks!H174</f>
        <v>5.0853666573053249E-2</v>
      </c>
      <c r="O122" s="693">
        <f t="shared" ref="O122:U122" si="101">N122</f>
        <v>5.0853666573053249E-2</v>
      </c>
      <c r="P122" s="693">
        <f t="shared" si="101"/>
        <v>5.0853666573053249E-2</v>
      </c>
      <c r="Q122" s="693">
        <f t="shared" si="101"/>
        <v>5.0853666573053249E-2</v>
      </c>
      <c r="R122" s="693">
        <f t="shared" si="101"/>
        <v>5.0853666573053249E-2</v>
      </c>
      <c r="S122" s="693">
        <f t="shared" si="101"/>
        <v>5.0853666573053249E-2</v>
      </c>
      <c r="T122" s="693">
        <f t="shared" si="101"/>
        <v>5.0853666573053249E-2</v>
      </c>
      <c r="U122" s="693">
        <f t="shared" si="101"/>
        <v>5.0853666573053249E-2</v>
      </c>
      <c r="V122" s="692"/>
      <c r="W122" s="695">
        <f>Trucks!F173</f>
        <v>1633.7672732304202</v>
      </c>
      <c r="X122" s="695">
        <f>Trucks!F174</f>
        <v>1705.7129669639387</v>
      </c>
      <c r="Y122" s="695">
        <f t="shared" ref="Y122:AE122" si="102">X122</f>
        <v>1705.7129669639387</v>
      </c>
      <c r="Z122" s="695">
        <f t="shared" si="102"/>
        <v>1705.7129669639387</v>
      </c>
      <c r="AA122" s="695">
        <f t="shared" si="102"/>
        <v>1705.7129669639387</v>
      </c>
      <c r="AB122" s="695">
        <f t="shared" si="102"/>
        <v>1705.7129669639387</v>
      </c>
      <c r="AC122" s="695">
        <f t="shared" si="102"/>
        <v>1705.7129669639387</v>
      </c>
      <c r="AD122" s="695">
        <f t="shared" si="102"/>
        <v>1705.7129669639387</v>
      </c>
      <c r="AE122" s="695">
        <f t="shared" si="102"/>
        <v>1705.7129669639387</v>
      </c>
      <c r="AF122" s="695">
        <f>Trucks!G173</f>
        <v>148.77789585547293</v>
      </c>
      <c r="AG122" s="694"/>
      <c r="AH122" s="694"/>
      <c r="AI122" s="694"/>
      <c r="AJ122" s="694"/>
      <c r="AK122" s="694"/>
      <c r="AL122" s="695">
        <v>1</v>
      </c>
      <c r="AM122" s="695"/>
      <c r="AN122" s="695"/>
      <c r="AO122" s="695"/>
      <c r="AP122" s="695"/>
      <c r="AQ122" s="695"/>
      <c r="AR122" s="695"/>
      <c r="AS122" s="695"/>
      <c r="AT122" s="695"/>
      <c r="AU122" s="695"/>
      <c r="AV122" s="695"/>
      <c r="AZ122" s="689">
        <f>Trucks!E173</f>
        <v>12</v>
      </c>
    </row>
    <row r="123" spans="1:52" s="685" customFormat="1" ht="12" customHeight="1" x14ac:dyDescent="0.2">
      <c r="A123" s="666" t="s">
        <v>115</v>
      </c>
      <c r="B123" s="666" t="str">
        <f>Technologies!C173</f>
        <v>THLDSLIM</v>
      </c>
      <c r="C123" s="666" t="str">
        <f>Technologies!D173</f>
        <v>Heavy Truck, Long Haul, Improved Diesel</v>
      </c>
      <c r="D123" s="666" t="s">
        <v>480</v>
      </c>
      <c r="E123" s="666" t="str">
        <f>Commodities!C44</f>
        <v>THDSL</v>
      </c>
      <c r="F123" s="666" t="str">
        <f>Commodities!C$13</f>
        <v>THL</v>
      </c>
      <c r="G123" s="692">
        <v>1</v>
      </c>
      <c r="H123" s="695">
        <v>2025</v>
      </c>
      <c r="I123" s="692">
        <f t="shared" si="100"/>
        <v>17</v>
      </c>
      <c r="J123" s="692">
        <v>0.24</v>
      </c>
      <c r="K123" s="693"/>
      <c r="L123" s="692"/>
      <c r="M123" s="693"/>
      <c r="N123" s="693"/>
      <c r="O123" s="693">
        <f>Trucks!H175</f>
        <v>5.3053883474229534E-2</v>
      </c>
      <c r="P123" s="693">
        <f t="shared" ref="P123:Q127" si="103">O123</f>
        <v>5.3053883474229534E-2</v>
      </c>
      <c r="Q123" s="693">
        <f t="shared" si="103"/>
        <v>5.3053883474229534E-2</v>
      </c>
      <c r="R123" s="693">
        <f>Trucks!H176</f>
        <v>5.3053883474229534E-2</v>
      </c>
      <c r="S123" s="693">
        <f t="shared" ref="S123:U127" si="104">R123</f>
        <v>5.3053883474229534E-2</v>
      </c>
      <c r="T123" s="693">
        <f t="shared" si="104"/>
        <v>5.3053883474229534E-2</v>
      </c>
      <c r="U123" s="693">
        <f t="shared" si="104"/>
        <v>5.3053883474229534E-2</v>
      </c>
      <c r="V123" s="692"/>
      <c r="W123" s="695"/>
      <c r="X123" s="695"/>
      <c r="Y123" s="695">
        <f>Trucks!F175</f>
        <v>1912.8032140228204</v>
      </c>
      <c r="Z123" s="695">
        <f t="shared" ref="Z123:AA127" si="105">Y123</f>
        <v>1912.8032140228204</v>
      </c>
      <c r="AA123" s="695">
        <f t="shared" si="105"/>
        <v>1912.8032140228204</v>
      </c>
      <c r="AB123" s="695">
        <f>Trucks!F176</f>
        <v>1859.6785871956706</v>
      </c>
      <c r="AC123" s="695">
        <f t="shared" ref="AC123:AE127" si="106">AB123</f>
        <v>1859.6785871956706</v>
      </c>
      <c r="AD123" s="695">
        <f t="shared" si="106"/>
        <v>1859.6785871956706</v>
      </c>
      <c r="AE123" s="695">
        <f t="shared" si="106"/>
        <v>1859.6785871956706</v>
      </c>
      <c r="AF123" s="695">
        <v>149</v>
      </c>
      <c r="AG123" s="694"/>
      <c r="AH123" s="694"/>
      <c r="AI123" s="694"/>
      <c r="AJ123" s="694"/>
      <c r="AK123" s="694"/>
      <c r="AL123" s="695">
        <v>1</v>
      </c>
      <c r="AM123" s="695"/>
      <c r="AN123" s="695"/>
      <c r="AO123" s="695"/>
      <c r="AP123" s="695"/>
      <c r="AQ123" s="695"/>
      <c r="AR123" s="695"/>
      <c r="AS123" s="695"/>
      <c r="AT123" s="695"/>
      <c r="AU123" s="695"/>
      <c r="AV123" s="695"/>
      <c r="AZ123" s="689">
        <f>Trucks!E175</f>
        <v>12</v>
      </c>
    </row>
    <row r="124" spans="1:52" s="685" customFormat="1" ht="12" customHeight="1" x14ac:dyDescent="0.2">
      <c r="A124" s="666" t="s">
        <v>115</v>
      </c>
      <c r="B124" s="666" t="str">
        <f>Technologies!C174</f>
        <v>THLDSLADV</v>
      </c>
      <c r="C124" s="666" t="str">
        <f>Technologies!D174</f>
        <v>Heavy Truck, Long Haul, Advanced Diesel</v>
      </c>
      <c r="D124" s="666" t="s">
        <v>480</v>
      </c>
      <c r="E124" s="666" t="str">
        <f>Commodities!C$44</f>
        <v>THDSL</v>
      </c>
      <c r="F124" s="666" t="str">
        <f>Commodities!C$13</f>
        <v>THL</v>
      </c>
      <c r="G124" s="692">
        <v>1</v>
      </c>
      <c r="H124" s="695">
        <f>Trucks!D177</f>
        <v>2015</v>
      </c>
      <c r="I124" s="692">
        <f t="shared" si="100"/>
        <v>17</v>
      </c>
      <c r="J124" s="692">
        <v>0.28000000000000003</v>
      </c>
      <c r="K124" s="693"/>
      <c r="L124" s="692"/>
      <c r="M124" s="693">
        <f>Trucks!H177</f>
        <v>4.9764823566427481E-2</v>
      </c>
      <c r="N124" s="693">
        <f>M124</f>
        <v>4.9764823566427481E-2</v>
      </c>
      <c r="O124" s="693">
        <f>Trucks!H178</f>
        <v>5.2921248765543959E-2</v>
      </c>
      <c r="P124" s="693">
        <f t="shared" si="103"/>
        <v>5.2921248765543959E-2</v>
      </c>
      <c r="Q124" s="693">
        <f t="shared" si="103"/>
        <v>5.2921248765543959E-2</v>
      </c>
      <c r="R124" s="693">
        <f>Trucks!H179</f>
        <v>5.5937246706524606E-2</v>
      </c>
      <c r="S124" s="693">
        <f t="shared" si="104"/>
        <v>5.5937246706524606E-2</v>
      </c>
      <c r="T124" s="693">
        <f t="shared" si="104"/>
        <v>5.5937246706524606E-2</v>
      </c>
      <c r="U124" s="693">
        <f t="shared" si="104"/>
        <v>5.5937246706524606E-2</v>
      </c>
      <c r="V124" s="692"/>
      <c r="W124" s="695">
        <f>Trucks!F177</f>
        <v>2423.7119575234788</v>
      </c>
      <c r="X124" s="695">
        <f>W124</f>
        <v>2423.7119575234788</v>
      </c>
      <c r="Y124" s="695">
        <f>Trucks!F178</f>
        <v>2626.905224333922</v>
      </c>
      <c r="Z124" s="695">
        <f t="shared" si="105"/>
        <v>2626.905224333922</v>
      </c>
      <c r="AA124" s="695">
        <f t="shared" si="105"/>
        <v>2626.905224333922</v>
      </c>
      <c r="AB124" s="695">
        <f>Trucks!F179</f>
        <v>2398.4662071941243</v>
      </c>
      <c r="AC124" s="695">
        <f t="shared" si="106"/>
        <v>2398.4662071941243</v>
      </c>
      <c r="AD124" s="695">
        <f t="shared" si="106"/>
        <v>2398.4662071941243</v>
      </c>
      <c r="AE124" s="695">
        <f t="shared" si="106"/>
        <v>2398.4662071941243</v>
      </c>
      <c r="AF124" s="695">
        <f>Trucks!G177</f>
        <v>162.59298618490971</v>
      </c>
      <c r="AG124" s="694"/>
      <c r="AH124" s="694"/>
      <c r="AI124" s="694"/>
      <c r="AJ124" s="694"/>
      <c r="AK124" s="694"/>
      <c r="AL124" s="695">
        <v>1</v>
      </c>
      <c r="AM124" s="695"/>
      <c r="AN124" s="695"/>
      <c r="AO124" s="695"/>
      <c r="AP124" s="695"/>
      <c r="AQ124" s="695"/>
      <c r="AR124" s="695"/>
      <c r="AS124" s="695"/>
      <c r="AT124" s="695"/>
      <c r="AU124" s="695"/>
      <c r="AV124" s="695"/>
      <c r="AZ124" s="689">
        <f>Trucks!E177</f>
        <v>12</v>
      </c>
    </row>
    <row r="125" spans="1:52" s="685" customFormat="1" ht="12" customHeight="1" x14ac:dyDescent="0.2">
      <c r="A125" s="666" t="s">
        <v>115</v>
      </c>
      <c r="B125" s="666" t="str">
        <f>Technologies!C175</f>
        <v>THLDSLAH</v>
      </c>
      <c r="C125" s="666" t="str">
        <f>Technologies!D175</f>
        <v>Heavy Truck, Long Haul, Advanced Diesel Hybrid</v>
      </c>
      <c r="D125" s="666" t="s">
        <v>480</v>
      </c>
      <c r="E125" s="666" t="str">
        <f>Commodities!C$44</f>
        <v>THDSL</v>
      </c>
      <c r="F125" s="666" t="str">
        <f>Commodities!C$13</f>
        <v>THL</v>
      </c>
      <c r="G125" s="692">
        <v>1</v>
      </c>
      <c r="H125" s="695">
        <v>2015</v>
      </c>
      <c r="I125" s="692">
        <f t="shared" si="100"/>
        <v>17</v>
      </c>
      <c r="J125" s="692">
        <v>0.24</v>
      </c>
      <c r="K125" s="693"/>
      <c r="L125" s="692"/>
      <c r="M125" s="693">
        <f>Trucks!H180</f>
        <v>5.2231352343541843E-2</v>
      </c>
      <c r="N125" s="693">
        <f>M125</f>
        <v>5.2231352343541843E-2</v>
      </c>
      <c r="O125" s="693">
        <f>Trucks!H181</f>
        <v>5.2231352343541843E-2</v>
      </c>
      <c r="P125" s="693">
        <f t="shared" si="103"/>
        <v>5.2231352343541843E-2</v>
      </c>
      <c r="Q125" s="693">
        <f t="shared" si="103"/>
        <v>5.2231352343541843E-2</v>
      </c>
      <c r="R125" s="693">
        <f>Trucks!H182</f>
        <v>5.7801821596742096E-2</v>
      </c>
      <c r="S125" s="693">
        <f t="shared" si="104"/>
        <v>5.7801821596742096E-2</v>
      </c>
      <c r="T125" s="693">
        <f t="shared" si="104"/>
        <v>5.7801821596742096E-2</v>
      </c>
      <c r="U125" s="693">
        <f t="shared" si="104"/>
        <v>5.7801821596742096E-2</v>
      </c>
      <c r="V125" s="692"/>
      <c r="W125" s="695">
        <f>Trucks!F180</f>
        <v>2158.2292448190078</v>
      </c>
      <c r="X125" s="695">
        <f>W125</f>
        <v>2158.2292448190078</v>
      </c>
      <c r="Y125" s="695">
        <f>Trucks!F181</f>
        <v>1931.3011519708778</v>
      </c>
      <c r="Z125" s="695">
        <f t="shared" si="105"/>
        <v>1931.3011519708778</v>
      </c>
      <c r="AA125" s="695">
        <f t="shared" si="105"/>
        <v>1931.3011519708778</v>
      </c>
      <c r="AB125" s="695">
        <f>Trucks!F182</f>
        <v>2228.501696836443</v>
      </c>
      <c r="AC125" s="695">
        <f t="shared" si="106"/>
        <v>2228.501696836443</v>
      </c>
      <c r="AD125" s="695">
        <f t="shared" si="106"/>
        <v>2228.501696836443</v>
      </c>
      <c r="AE125" s="695">
        <f t="shared" si="106"/>
        <v>2228.501696836443</v>
      </c>
      <c r="AF125" s="695">
        <f>Trucks!G180</f>
        <v>173.21997874601493</v>
      </c>
      <c r="AG125" s="694"/>
      <c r="AH125" s="694"/>
      <c r="AI125" s="694"/>
      <c r="AJ125" s="694"/>
      <c r="AK125" s="694"/>
      <c r="AL125" s="695">
        <v>1</v>
      </c>
      <c r="AM125" s="695"/>
      <c r="AN125" s="695"/>
      <c r="AO125" s="695"/>
      <c r="AP125" s="695"/>
      <c r="AQ125" s="695"/>
      <c r="AR125" s="695"/>
      <c r="AS125" s="695"/>
      <c r="AT125" s="695"/>
      <c r="AU125" s="695"/>
      <c r="AV125" s="695"/>
      <c r="AZ125" s="689">
        <f>Trucks!E180</f>
        <v>12</v>
      </c>
    </row>
    <row r="126" spans="1:52" s="685" customFormat="1" ht="12" customHeight="1" x14ac:dyDescent="0.2">
      <c r="A126" s="666" t="s">
        <v>115</v>
      </c>
      <c r="B126" s="666" t="str">
        <f>Technologies!C176</f>
        <v>THLDSLSW</v>
      </c>
      <c r="C126" s="666" t="str">
        <f>Technologies!D176</f>
        <v>Heavy Truck, Long Haul, Diesel Smartway</v>
      </c>
      <c r="D126" s="666" t="s">
        <v>480</v>
      </c>
      <c r="E126" s="666" t="str">
        <f>Commodities!C$44</f>
        <v>THDSL</v>
      </c>
      <c r="F126" s="666" t="str">
        <f>Commodities!C$13</f>
        <v>THL</v>
      </c>
      <c r="G126" s="692">
        <v>1</v>
      </c>
      <c r="H126" s="695">
        <f>Trucks!D183</f>
        <v>2015</v>
      </c>
      <c r="I126" s="692">
        <f t="shared" si="100"/>
        <v>17</v>
      </c>
      <c r="J126" s="692">
        <v>0.28000000000000003</v>
      </c>
      <c r="K126" s="693"/>
      <c r="L126" s="692"/>
      <c r="M126" s="693">
        <f>Trucks!H183</f>
        <v>6.0541147891030989E-2</v>
      </c>
      <c r="N126" s="693">
        <f>M126</f>
        <v>6.0541147891030989E-2</v>
      </c>
      <c r="O126" s="693">
        <f>Trucks!H184</f>
        <v>6.6951288293251948E-2</v>
      </c>
      <c r="P126" s="693">
        <f t="shared" si="103"/>
        <v>6.6951288293251948E-2</v>
      </c>
      <c r="Q126" s="693">
        <f t="shared" si="103"/>
        <v>6.6951288293251948E-2</v>
      </c>
      <c r="R126" s="693">
        <f>Trucks!H185</f>
        <v>7.2955528269861528E-2</v>
      </c>
      <c r="S126" s="693">
        <f t="shared" si="104"/>
        <v>7.2955528269861528E-2</v>
      </c>
      <c r="T126" s="693">
        <f t="shared" si="104"/>
        <v>7.2955528269861528E-2</v>
      </c>
      <c r="U126" s="693">
        <f t="shared" si="104"/>
        <v>7.2955528269861528E-2</v>
      </c>
      <c r="V126" s="692"/>
      <c r="W126" s="695">
        <f>Trucks!F183</f>
        <v>1995.3272924530286</v>
      </c>
      <c r="X126" s="695">
        <f>W126</f>
        <v>1995.3272924530286</v>
      </c>
      <c r="Y126" s="695">
        <f>Trucks!F184</f>
        <v>2403.5732470795997</v>
      </c>
      <c r="Z126" s="695">
        <f t="shared" si="105"/>
        <v>2403.5732470795997</v>
      </c>
      <c r="AA126" s="695">
        <f t="shared" si="105"/>
        <v>2403.5732470795997</v>
      </c>
      <c r="AB126" s="695">
        <f>Trucks!F185</f>
        <v>2428.6916398058247</v>
      </c>
      <c r="AC126" s="695">
        <f t="shared" si="106"/>
        <v>2428.6916398058247</v>
      </c>
      <c r="AD126" s="695">
        <f t="shared" si="106"/>
        <v>2428.6916398058247</v>
      </c>
      <c r="AE126" s="695">
        <f t="shared" si="106"/>
        <v>2428.6916398058247</v>
      </c>
      <c r="AF126" s="695">
        <f>Trucks!G183</f>
        <v>166.84378320935178</v>
      </c>
      <c r="AG126" s="694"/>
      <c r="AH126" s="694"/>
      <c r="AI126" s="694"/>
      <c r="AJ126" s="694"/>
      <c r="AK126" s="694"/>
      <c r="AL126" s="695">
        <v>1</v>
      </c>
      <c r="AM126" s="695"/>
      <c r="AN126" s="695"/>
      <c r="AO126" s="695"/>
      <c r="AP126" s="695"/>
      <c r="AQ126" s="695"/>
      <c r="AR126" s="695"/>
      <c r="AS126" s="695"/>
      <c r="AT126" s="695"/>
      <c r="AU126" s="695"/>
      <c r="AV126" s="695"/>
      <c r="AZ126" s="689">
        <f>Trucks!E183</f>
        <v>12</v>
      </c>
    </row>
    <row r="127" spans="1:52" s="685" customFormat="1" ht="12" customHeight="1" x14ac:dyDescent="0.2">
      <c r="A127" s="666" t="s">
        <v>115</v>
      </c>
      <c r="B127" s="666" t="str">
        <f>Technologies!C177</f>
        <v>THLDSLSWH</v>
      </c>
      <c r="C127" s="666" t="str">
        <f>Technologies!D177</f>
        <v>Heavy Truck, Long Haul, Diesel Smartway Hybird</v>
      </c>
      <c r="D127" s="666" t="s">
        <v>480</v>
      </c>
      <c r="E127" s="666" t="str">
        <f>Commodities!C$44</f>
        <v>THDSL</v>
      </c>
      <c r="F127" s="666" t="str">
        <f>Commodities!C$13</f>
        <v>THL</v>
      </c>
      <c r="G127" s="692">
        <v>1</v>
      </c>
      <c r="H127" s="695">
        <v>2015</v>
      </c>
      <c r="I127" s="692">
        <f t="shared" si="100"/>
        <v>17</v>
      </c>
      <c r="J127" s="692">
        <v>0.28000000000000003</v>
      </c>
      <c r="K127" s="693"/>
      <c r="L127" s="692"/>
      <c r="M127" s="693">
        <f>Trucks!H186</f>
        <v>6.3541791172192025E-2</v>
      </c>
      <c r="N127" s="693">
        <f>M127</f>
        <v>6.3541791172192025E-2</v>
      </c>
      <c r="O127" s="693">
        <f>Trucks!H187</f>
        <v>7.2442929741389522E-2</v>
      </c>
      <c r="P127" s="693">
        <f t="shared" si="103"/>
        <v>7.2442929741389522E-2</v>
      </c>
      <c r="Q127" s="693">
        <f t="shared" si="103"/>
        <v>7.2442929741389522E-2</v>
      </c>
      <c r="R127" s="693">
        <f>Trucks!H188</f>
        <v>7.5387379212190256E-2</v>
      </c>
      <c r="S127" s="693">
        <f t="shared" si="104"/>
        <v>7.5387379212190256E-2</v>
      </c>
      <c r="T127" s="693">
        <f t="shared" si="104"/>
        <v>7.5387379212190256E-2</v>
      </c>
      <c r="U127" s="693">
        <f t="shared" si="104"/>
        <v>7.5387379212190256E-2</v>
      </c>
      <c r="V127" s="692"/>
      <c r="W127" s="695">
        <f>Trucks!F186</f>
        <v>2423.7119575234788</v>
      </c>
      <c r="X127" s="695">
        <f>W127</f>
        <v>2423.7119575234788</v>
      </c>
      <c r="Y127" s="695">
        <f>Trucks!F187</f>
        <v>2701.5830916232303</v>
      </c>
      <c r="Z127" s="695">
        <f t="shared" si="105"/>
        <v>2701.5830916232303</v>
      </c>
      <c r="AA127" s="695">
        <f t="shared" si="105"/>
        <v>2701.5830916232303</v>
      </c>
      <c r="AB127" s="695">
        <f>Trucks!F188</f>
        <v>2650.8658206680652</v>
      </c>
      <c r="AC127" s="695">
        <f t="shared" si="106"/>
        <v>2650.8658206680652</v>
      </c>
      <c r="AD127" s="695">
        <f t="shared" si="106"/>
        <v>2650.8658206680652</v>
      </c>
      <c r="AE127" s="695">
        <f t="shared" si="106"/>
        <v>2650.8658206680652</v>
      </c>
      <c r="AF127" s="695">
        <f>Trucks!G186</f>
        <v>180.65887353878855</v>
      </c>
      <c r="AG127" s="694"/>
      <c r="AH127" s="694"/>
      <c r="AI127" s="694"/>
      <c r="AJ127" s="694"/>
      <c r="AK127" s="694"/>
      <c r="AL127" s="695">
        <v>1</v>
      </c>
      <c r="AM127" s="695"/>
      <c r="AN127" s="695"/>
      <c r="AO127" s="695"/>
      <c r="AP127" s="695"/>
      <c r="AQ127" s="695"/>
      <c r="AR127" s="695"/>
      <c r="AS127" s="695"/>
      <c r="AT127" s="695"/>
      <c r="AU127" s="695"/>
      <c r="AV127" s="695"/>
      <c r="AZ127" s="689">
        <f>Trucks!E186</f>
        <v>12</v>
      </c>
    </row>
    <row r="128" spans="1:52" s="685" customFormat="1" ht="12" customHeight="1" x14ac:dyDescent="0.2">
      <c r="A128" s="666" t="s">
        <v>115</v>
      </c>
      <c r="B128" s="666" t="str">
        <f>Technologies!C178</f>
        <v>THLB20C10</v>
      </c>
      <c r="C128" s="666" t="str">
        <f>Technologies!D178</f>
        <v>Heavy Truck, Long Haul, B20 Conventional 2010</v>
      </c>
      <c r="D128" s="666" t="s">
        <v>480</v>
      </c>
      <c r="E128" s="666" t="str">
        <f>Commodities!C62</f>
        <v>THB20X</v>
      </c>
      <c r="F128" s="666" t="str">
        <f>Commodities!C$13</f>
        <v>THL</v>
      </c>
      <c r="G128" s="692">
        <v>1</v>
      </c>
      <c r="H128" s="695">
        <v>2010</v>
      </c>
      <c r="I128" s="692">
        <f t="shared" si="100"/>
        <v>17</v>
      </c>
      <c r="J128" s="692">
        <v>0.18</v>
      </c>
      <c r="K128" s="693">
        <f>Trucks!H189</f>
        <v>4.271211262559866E-2</v>
      </c>
      <c r="L128" s="692"/>
      <c r="M128" s="693"/>
      <c r="N128" s="693"/>
      <c r="O128" s="693"/>
      <c r="P128" s="693"/>
      <c r="Q128" s="693"/>
      <c r="R128" s="693"/>
      <c r="S128" s="693"/>
      <c r="T128" s="693"/>
      <c r="U128" s="693"/>
      <c r="V128" s="695">
        <f>Trucks!F189</f>
        <v>1586.6830558675817</v>
      </c>
      <c r="W128" s="692"/>
      <c r="X128" s="695"/>
      <c r="Y128" s="695"/>
      <c r="Z128" s="695"/>
      <c r="AA128" s="695"/>
      <c r="AB128" s="695"/>
      <c r="AC128" s="695"/>
      <c r="AD128" s="695"/>
      <c r="AE128" s="695"/>
      <c r="AF128" s="695">
        <f>Trucks!G189</f>
        <v>148.77789585547293</v>
      </c>
      <c r="AG128" s="694"/>
      <c r="AH128" s="694"/>
      <c r="AI128" s="694"/>
      <c r="AJ128" s="694"/>
      <c r="AK128" s="694"/>
      <c r="AL128" s="695">
        <v>1</v>
      </c>
      <c r="AM128" s="695"/>
      <c r="AN128" s="695">
        <v>0</v>
      </c>
      <c r="AO128" s="695">
        <v>0</v>
      </c>
      <c r="AP128" s="695">
        <v>0</v>
      </c>
      <c r="AQ128" s="695">
        <v>0</v>
      </c>
      <c r="AR128" s="695">
        <v>0</v>
      </c>
      <c r="AS128" s="695">
        <v>0</v>
      </c>
      <c r="AT128" s="695">
        <v>0</v>
      </c>
      <c r="AU128" s="695">
        <v>0</v>
      </c>
      <c r="AV128" s="695">
        <v>0</v>
      </c>
      <c r="AZ128" s="689">
        <f>Trucks!E189</f>
        <v>12</v>
      </c>
    </row>
    <row r="129" spans="1:52" s="685" customFormat="1" ht="12" customHeight="1" x14ac:dyDescent="0.2">
      <c r="A129" s="666" t="s">
        <v>115</v>
      </c>
      <c r="B129" s="666" t="str">
        <f>Technologies!C179</f>
        <v>THLB20C</v>
      </c>
      <c r="C129" s="666" t="str">
        <f>Technologies!D179</f>
        <v>Heavy Truck, Long Haul, Conventional B20</v>
      </c>
      <c r="D129" s="666" t="s">
        <v>480</v>
      </c>
      <c r="E129" s="666" t="str">
        <f>Commodities!C62</f>
        <v>THB20X</v>
      </c>
      <c r="F129" s="666" t="str">
        <f>Commodities!C$13</f>
        <v>THL</v>
      </c>
      <c r="G129" s="692">
        <v>1</v>
      </c>
      <c r="H129" s="695">
        <v>2015</v>
      </c>
      <c r="I129" s="692">
        <f t="shared" si="100"/>
        <v>17</v>
      </c>
      <c r="J129" s="692">
        <v>0.18</v>
      </c>
      <c r="K129" s="692"/>
      <c r="L129" s="692"/>
      <c r="M129" s="693">
        <f>Trucks!H190</f>
        <v>4.6641074476893418E-2</v>
      </c>
      <c r="N129" s="693">
        <f>Trucks!H191</f>
        <v>5.0853666573053249E-2</v>
      </c>
      <c r="O129" s="693">
        <f t="shared" ref="O129:U129" si="107">N129</f>
        <v>5.0853666573053249E-2</v>
      </c>
      <c r="P129" s="693">
        <f t="shared" si="107"/>
        <v>5.0853666573053249E-2</v>
      </c>
      <c r="Q129" s="693">
        <f t="shared" si="107"/>
        <v>5.0853666573053249E-2</v>
      </c>
      <c r="R129" s="693">
        <f t="shared" si="107"/>
        <v>5.0853666573053249E-2</v>
      </c>
      <c r="S129" s="693">
        <f t="shared" si="107"/>
        <v>5.0853666573053249E-2</v>
      </c>
      <c r="T129" s="693">
        <f t="shared" si="107"/>
        <v>5.0853666573053249E-2</v>
      </c>
      <c r="U129" s="693">
        <f t="shared" si="107"/>
        <v>5.0853666573053249E-2</v>
      </c>
      <c r="V129" s="692"/>
      <c r="W129" s="695">
        <f>Trucks!F190</f>
        <v>1634.199019798639</v>
      </c>
      <c r="X129" s="695">
        <f>Trucks!F191</f>
        <v>1681.2832371614779</v>
      </c>
      <c r="Y129" s="695">
        <f t="shared" ref="Y129:AE129" si="108">X129</f>
        <v>1681.2832371614779</v>
      </c>
      <c r="Z129" s="695">
        <f t="shared" si="108"/>
        <v>1681.2832371614779</v>
      </c>
      <c r="AA129" s="695">
        <f t="shared" si="108"/>
        <v>1681.2832371614779</v>
      </c>
      <c r="AB129" s="695">
        <f t="shared" si="108"/>
        <v>1681.2832371614779</v>
      </c>
      <c r="AC129" s="695">
        <f t="shared" si="108"/>
        <v>1681.2832371614779</v>
      </c>
      <c r="AD129" s="695">
        <f t="shared" si="108"/>
        <v>1681.2832371614779</v>
      </c>
      <c r="AE129" s="695">
        <f t="shared" si="108"/>
        <v>1681.2832371614779</v>
      </c>
      <c r="AF129" s="695">
        <f>Trucks!G190</f>
        <v>148.77789585547293</v>
      </c>
      <c r="AG129" s="694"/>
      <c r="AH129" s="694"/>
      <c r="AI129" s="694"/>
      <c r="AJ129" s="694"/>
      <c r="AK129" s="694"/>
      <c r="AL129" s="695">
        <v>1</v>
      </c>
      <c r="AM129" s="695"/>
      <c r="AN129" s="695"/>
      <c r="AO129" s="695"/>
      <c r="AP129" s="695"/>
      <c r="AQ129" s="695"/>
      <c r="AR129" s="695"/>
      <c r="AS129" s="695"/>
      <c r="AT129" s="695"/>
      <c r="AU129" s="695"/>
      <c r="AV129" s="695"/>
      <c r="AZ129" s="689">
        <f>Trucks!E190</f>
        <v>12</v>
      </c>
    </row>
    <row r="130" spans="1:52" s="685" customFormat="1" ht="12" customHeight="1" x14ac:dyDescent="0.2">
      <c r="A130" s="666" t="s">
        <v>115</v>
      </c>
      <c r="B130" s="666" t="str">
        <f>Technologies!C180</f>
        <v>THLB20IM</v>
      </c>
      <c r="C130" s="666" t="str">
        <f>Technologies!D180</f>
        <v>Heavy Truck, Long Haul, Improved B20</v>
      </c>
      <c r="D130" s="666" t="s">
        <v>480</v>
      </c>
      <c r="E130" s="666" t="str">
        <f>Commodities!C$62</f>
        <v>THB20X</v>
      </c>
      <c r="F130" s="666" t="str">
        <f>Commodities!C$13</f>
        <v>THL</v>
      </c>
      <c r="G130" s="692">
        <v>1</v>
      </c>
      <c r="H130" s="695">
        <v>2025</v>
      </c>
      <c r="I130" s="692">
        <f t="shared" si="100"/>
        <v>17</v>
      </c>
      <c r="J130" s="692">
        <v>0.24</v>
      </c>
      <c r="K130" s="692"/>
      <c r="L130" s="693"/>
      <c r="M130" s="693"/>
      <c r="N130" s="693"/>
      <c r="O130" s="693">
        <f>Trucks!H192</f>
        <v>5.3055583726002262E-2</v>
      </c>
      <c r="P130" s="693">
        <f t="shared" ref="P130:Q134" si="109">O130</f>
        <v>5.3055583726002262E-2</v>
      </c>
      <c r="Q130" s="693">
        <f t="shared" si="109"/>
        <v>5.3055583726002262E-2</v>
      </c>
      <c r="R130" s="693">
        <f>Trucks!H193</f>
        <v>5.3055583726002262E-2</v>
      </c>
      <c r="S130" s="693">
        <f t="shared" ref="S130:U134" si="110">R130</f>
        <v>5.3055583726002262E-2</v>
      </c>
      <c r="T130" s="693">
        <f t="shared" si="110"/>
        <v>5.3055583726002262E-2</v>
      </c>
      <c r="U130" s="693">
        <f t="shared" si="110"/>
        <v>5.3055583726002262E-2</v>
      </c>
      <c r="V130" s="692"/>
      <c r="W130" s="695"/>
      <c r="X130" s="695"/>
      <c r="Y130" s="695">
        <f>Trucks!F192</f>
        <v>1912.8032140228204</v>
      </c>
      <c r="Z130" s="695">
        <f t="shared" ref="Z130:AA134" si="111">Y130</f>
        <v>1912.8032140228204</v>
      </c>
      <c r="AA130" s="695">
        <f t="shared" si="111"/>
        <v>1912.8032140228204</v>
      </c>
      <c r="AB130" s="695">
        <f>Trucks!F193</f>
        <v>1859.6785871956706</v>
      </c>
      <c r="AC130" s="695">
        <f t="shared" ref="AC130:AE134" si="112">AB130</f>
        <v>1859.6785871956706</v>
      </c>
      <c r="AD130" s="695">
        <f t="shared" si="112"/>
        <v>1859.6785871956706</v>
      </c>
      <c r="AE130" s="695">
        <f t="shared" si="112"/>
        <v>1859.6785871956706</v>
      </c>
      <c r="AF130" s="695">
        <v>149</v>
      </c>
      <c r="AG130" s="694"/>
      <c r="AH130" s="694"/>
      <c r="AI130" s="694"/>
      <c r="AJ130" s="694"/>
      <c r="AK130" s="694"/>
      <c r="AL130" s="695">
        <v>1</v>
      </c>
      <c r="AM130" s="695"/>
      <c r="AN130" s="695"/>
      <c r="AO130" s="695"/>
      <c r="AP130" s="695"/>
      <c r="AQ130" s="695"/>
      <c r="AR130" s="695"/>
      <c r="AS130" s="695"/>
      <c r="AT130" s="695"/>
      <c r="AU130" s="695"/>
      <c r="AV130" s="695"/>
      <c r="AZ130" s="689">
        <f>Trucks!E192</f>
        <v>12</v>
      </c>
    </row>
    <row r="131" spans="1:52" s="685" customFormat="1" ht="12" customHeight="1" x14ac:dyDescent="0.2">
      <c r="A131" s="666" t="s">
        <v>115</v>
      </c>
      <c r="B131" s="666" t="str">
        <f>Technologies!C181</f>
        <v>THLB20ADV</v>
      </c>
      <c r="C131" s="666" t="str">
        <f>Technologies!D181</f>
        <v>Heavy Truck, Long Haul, Advanced B20</v>
      </c>
      <c r="D131" s="666" t="s">
        <v>480</v>
      </c>
      <c r="E131" s="666" t="str">
        <f>Commodities!C$62</f>
        <v>THB20X</v>
      </c>
      <c r="F131" s="666" t="str">
        <f>Commodities!C$13</f>
        <v>THL</v>
      </c>
      <c r="G131" s="692">
        <v>1</v>
      </c>
      <c r="H131" s="695">
        <v>2015</v>
      </c>
      <c r="I131" s="692">
        <f t="shared" si="100"/>
        <v>17</v>
      </c>
      <c r="J131" s="692">
        <v>0.24</v>
      </c>
      <c r="K131" s="692"/>
      <c r="L131" s="693"/>
      <c r="M131" s="693">
        <f>Trucks!H194</f>
        <v>4.9683212194648947E-2</v>
      </c>
      <c r="N131" s="693">
        <f>M131</f>
        <v>4.9683212194648947E-2</v>
      </c>
      <c r="O131" s="693">
        <f>Trucks!H195</f>
        <v>5.2834461042842111E-2</v>
      </c>
      <c r="P131" s="693">
        <f t="shared" si="109"/>
        <v>5.2834461042842111E-2</v>
      </c>
      <c r="Q131" s="693">
        <f t="shared" si="109"/>
        <v>5.2834461042842111E-2</v>
      </c>
      <c r="R131" s="693">
        <f>Trucks!H196</f>
        <v>5.5845512925309829E-2</v>
      </c>
      <c r="S131" s="693">
        <f t="shared" si="110"/>
        <v>5.5845512925309829E-2</v>
      </c>
      <c r="T131" s="693">
        <f t="shared" si="110"/>
        <v>5.5845512925309829E-2</v>
      </c>
      <c r="U131" s="693">
        <f t="shared" si="110"/>
        <v>5.5845512925309829E-2</v>
      </c>
      <c r="V131" s="692"/>
      <c r="W131" s="695">
        <f>Trucks!F194</f>
        <v>1729.8445797485574</v>
      </c>
      <c r="X131" s="695">
        <f>W131</f>
        <v>1729.8445797485574</v>
      </c>
      <c r="Y131" s="695">
        <f>Trucks!F195</f>
        <v>1759.4911141642169</v>
      </c>
      <c r="Z131" s="695">
        <f t="shared" si="111"/>
        <v>1759.4911141642169</v>
      </c>
      <c r="AA131" s="695">
        <f t="shared" si="111"/>
        <v>1759.4911141642169</v>
      </c>
      <c r="AB131" s="695">
        <f>Trucks!F196</f>
        <v>2006.3275159742025</v>
      </c>
      <c r="AC131" s="695">
        <f t="shared" si="112"/>
        <v>2006.3275159742025</v>
      </c>
      <c r="AD131" s="695">
        <f t="shared" si="112"/>
        <v>2006.3275159742025</v>
      </c>
      <c r="AE131" s="695">
        <f t="shared" si="112"/>
        <v>2006.3275159742025</v>
      </c>
      <c r="AF131" s="695">
        <f>Trucks!G194</f>
        <v>162.59298618490971</v>
      </c>
      <c r="AG131" s="694"/>
      <c r="AH131" s="694"/>
      <c r="AI131" s="694"/>
      <c r="AJ131" s="694"/>
      <c r="AK131" s="694"/>
      <c r="AL131" s="695">
        <v>1</v>
      </c>
      <c r="AM131" s="695"/>
      <c r="AN131" s="695"/>
      <c r="AO131" s="695"/>
      <c r="AP131" s="695"/>
      <c r="AQ131" s="695"/>
      <c r="AR131" s="695"/>
      <c r="AS131" s="695"/>
      <c r="AT131" s="695"/>
      <c r="AU131" s="695"/>
      <c r="AV131" s="695"/>
      <c r="AZ131" s="689">
        <f>Trucks!E194</f>
        <v>12</v>
      </c>
    </row>
    <row r="132" spans="1:52" s="685" customFormat="1" ht="12" customHeight="1" x14ac:dyDescent="0.2">
      <c r="A132" s="666" t="s">
        <v>115</v>
      </c>
      <c r="B132" s="666" t="str">
        <f>Technologies!C182</f>
        <v>THLB20AH</v>
      </c>
      <c r="C132" s="666" t="str">
        <f>Technologies!D182</f>
        <v>Heavy Truck, Long Haul, Advanced B20 Hybrid</v>
      </c>
      <c r="D132" s="666" t="s">
        <v>480</v>
      </c>
      <c r="E132" s="666" t="str">
        <f>Commodities!C$62</f>
        <v>THB20X</v>
      </c>
      <c r="F132" s="666" t="str">
        <f>Commodities!C$13</f>
        <v>THL</v>
      </c>
      <c r="G132" s="692">
        <v>1</v>
      </c>
      <c r="H132" s="695">
        <v>2015</v>
      </c>
      <c r="I132" s="692">
        <f t="shared" si="100"/>
        <v>17</v>
      </c>
      <c r="J132" s="692">
        <v>0.24</v>
      </c>
      <c r="K132" s="692"/>
      <c r="L132" s="693"/>
      <c r="M132" s="693">
        <f>Trucks!H197</f>
        <v>5.2145696010230121E-2</v>
      </c>
      <c r="N132" s="693">
        <f>M132</f>
        <v>5.2145696010230121E-2</v>
      </c>
      <c r="O132" s="693">
        <f>Trucks!H198</f>
        <v>5.2145696010230121E-2</v>
      </c>
      <c r="P132" s="693">
        <f t="shared" si="109"/>
        <v>5.2145696010230121E-2</v>
      </c>
      <c r="Q132" s="693">
        <f t="shared" si="109"/>
        <v>5.2145696010230121E-2</v>
      </c>
      <c r="R132" s="693">
        <f>Trucks!H199</f>
        <v>5.7707030022820162E-2</v>
      </c>
      <c r="S132" s="693">
        <f t="shared" si="110"/>
        <v>5.7707030022820162E-2</v>
      </c>
      <c r="T132" s="693">
        <f t="shared" si="110"/>
        <v>5.7707030022820162E-2</v>
      </c>
      <c r="U132" s="693">
        <f t="shared" si="110"/>
        <v>5.7707030022820162E-2</v>
      </c>
      <c r="V132" s="692"/>
      <c r="W132" s="695">
        <f>Trucks!F197</f>
        <v>2158.2292448190078</v>
      </c>
      <c r="X132" s="695">
        <f>W132</f>
        <v>2158.2292448190078</v>
      </c>
      <c r="Y132" s="695">
        <f>Trucks!F198</f>
        <v>1931.3011519708778</v>
      </c>
      <c r="Z132" s="695">
        <f t="shared" si="111"/>
        <v>1931.3011519708778</v>
      </c>
      <c r="AA132" s="695">
        <f t="shared" si="111"/>
        <v>1931.3011519708778</v>
      </c>
      <c r="AB132" s="695">
        <f>Trucks!F199</f>
        <v>2228.501696836443</v>
      </c>
      <c r="AC132" s="695">
        <f t="shared" si="112"/>
        <v>2228.501696836443</v>
      </c>
      <c r="AD132" s="695">
        <f t="shared" si="112"/>
        <v>2228.501696836443</v>
      </c>
      <c r="AE132" s="695">
        <f t="shared" si="112"/>
        <v>2228.501696836443</v>
      </c>
      <c r="AF132" s="695">
        <f>Trucks!G197</f>
        <v>173.21997874601493</v>
      </c>
      <c r="AG132" s="694"/>
      <c r="AH132" s="694"/>
      <c r="AI132" s="694"/>
      <c r="AJ132" s="694"/>
      <c r="AK132" s="694"/>
      <c r="AL132" s="695">
        <v>1</v>
      </c>
      <c r="AM132" s="695"/>
      <c r="AN132" s="695"/>
      <c r="AO132" s="695"/>
      <c r="AP132" s="695"/>
      <c r="AQ132" s="695"/>
      <c r="AR132" s="695"/>
      <c r="AS132" s="695"/>
      <c r="AT132" s="695"/>
      <c r="AU132" s="695"/>
      <c r="AV132" s="695"/>
      <c r="AZ132" s="689">
        <f t="shared" ref="AZ132:AZ140" si="113">AZ131</f>
        <v>12</v>
      </c>
    </row>
    <row r="133" spans="1:52" s="685" customFormat="1" ht="12" customHeight="1" x14ac:dyDescent="0.2">
      <c r="A133" s="666" t="s">
        <v>115</v>
      </c>
      <c r="B133" s="666" t="str">
        <f>Technologies!C183</f>
        <v>THLB20SW</v>
      </c>
      <c r="C133" s="666" t="str">
        <f>Technologies!D183</f>
        <v>Heavy Truck, Long Haul, B20 Smartway</v>
      </c>
      <c r="D133" s="666" t="s">
        <v>480</v>
      </c>
      <c r="E133" s="666" t="str">
        <f>Commodities!C$62</f>
        <v>THB20X</v>
      </c>
      <c r="F133" s="666" t="str">
        <f>Commodities!C$13</f>
        <v>THL</v>
      </c>
      <c r="G133" s="692">
        <v>1</v>
      </c>
      <c r="H133" s="695">
        <v>2015</v>
      </c>
      <c r="I133" s="692">
        <f t="shared" si="100"/>
        <v>17</v>
      </c>
      <c r="J133" s="692">
        <v>0.28000000000000003</v>
      </c>
      <c r="K133" s="692"/>
      <c r="L133" s="693"/>
      <c r="M133" s="693">
        <f>Trucks!H200</f>
        <v>6.0441863983757831E-2</v>
      </c>
      <c r="N133" s="693">
        <f>M133</f>
        <v>6.0441863983757831E-2</v>
      </c>
      <c r="O133" s="693">
        <f>Trucks!H201</f>
        <v>6.684149213427111E-2</v>
      </c>
      <c r="P133" s="693">
        <f t="shared" si="109"/>
        <v>6.684149213427111E-2</v>
      </c>
      <c r="Q133" s="693">
        <f t="shared" si="109"/>
        <v>6.684149213427111E-2</v>
      </c>
      <c r="R133" s="693">
        <f>Trucks!H202</f>
        <v>7.2835885511900511E-2</v>
      </c>
      <c r="S133" s="693">
        <f t="shared" si="110"/>
        <v>7.2835885511900511E-2</v>
      </c>
      <c r="T133" s="693">
        <f t="shared" si="110"/>
        <v>7.2835885511900511E-2</v>
      </c>
      <c r="U133" s="693">
        <f t="shared" si="110"/>
        <v>7.2835885511900511E-2</v>
      </c>
      <c r="V133" s="692"/>
      <c r="W133" s="695">
        <f>Trucks!F200</f>
        <v>1995.3272924530286</v>
      </c>
      <c r="X133" s="695">
        <f>W133</f>
        <v>1995.3272924530286</v>
      </c>
      <c r="Y133" s="695">
        <f>Trucks!F201</f>
        <v>2403.5732470795997</v>
      </c>
      <c r="Z133" s="695">
        <f t="shared" si="111"/>
        <v>2403.5732470795997</v>
      </c>
      <c r="AA133" s="695">
        <f t="shared" si="111"/>
        <v>2403.5732470795997</v>
      </c>
      <c r="AB133" s="695">
        <f>Trucks!F202</f>
        <v>2428.6916398058247</v>
      </c>
      <c r="AC133" s="695">
        <f t="shared" si="112"/>
        <v>2428.6916398058247</v>
      </c>
      <c r="AD133" s="695">
        <f t="shared" si="112"/>
        <v>2428.6916398058247</v>
      </c>
      <c r="AE133" s="695">
        <f t="shared" si="112"/>
        <v>2428.6916398058247</v>
      </c>
      <c r="AF133" s="695">
        <f>Trucks!G200</f>
        <v>166.84378320935178</v>
      </c>
      <c r="AG133" s="694"/>
      <c r="AH133" s="694"/>
      <c r="AI133" s="694"/>
      <c r="AJ133" s="694"/>
      <c r="AK133" s="694"/>
      <c r="AL133" s="695">
        <v>1</v>
      </c>
      <c r="AM133" s="695"/>
      <c r="AN133" s="695"/>
      <c r="AO133" s="695"/>
      <c r="AP133" s="695"/>
      <c r="AQ133" s="695"/>
      <c r="AR133" s="695"/>
      <c r="AS133" s="695"/>
      <c r="AT133" s="695"/>
      <c r="AU133" s="695"/>
      <c r="AV133" s="695"/>
      <c r="AZ133" s="689">
        <f t="shared" si="113"/>
        <v>12</v>
      </c>
    </row>
    <row r="134" spans="1:52" s="685" customFormat="1" ht="12" customHeight="1" x14ac:dyDescent="0.2">
      <c r="A134" s="666" t="s">
        <v>115</v>
      </c>
      <c r="B134" s="666" t="str">
        <f>Technologies!C184</f>
        <v>THLB20SWH</v>
      </c>
      <c r="C134" s="666" t="str">
        <f>Technologies!D184</f>
        <v>Heavy Truck, Long Haul, B20 Smartway Hybird</v>
      </c>
      <c r="D134" s="666" t="s">
        <v>480</v>
      </c>
      <c r="E134" s="666" t="str">
        <f>Commodities!C$62</f>
        <v>THB20X</v>
      </c>
      <c r="F134" s="666" t="str">
        <f>Commodities!C$13</f>
        <v>THL</v>
      </c>
      <c r="G134" s="692">
        <v>1</v>
      </c>
      <c r="H134" s="695">
        <v>2015</v>
      </c>
      <c r="I134" s="692">
        <f t="shared" si="100"/>
        <v>17</v>
      </c>
      <c r="J134" s="692">
        <v>0.28000000000000003</v>
      </c>
      <c r="K134" s="692"/>
      <c r="L134" s="693"/>
      <c r="M134" s="693">
        <f>Trucks!H203</f>
        <v>6.3437586387141268E-2</v>
      </c>
      <c r="N134" s="693">
        <f>M134</f>
        <v>6.3437586387141268E-2</v>
      </c>
      <c r="O134" s="693">
        <f>Trucks!H204</f>
        <v>7.2324127614743591E-2</v>
      </c>
      <c r="P134" s="693">
        <f t="shared" si="109"/>
        <v>7.2324127614743591E-2</v>
      </c>
      <c r="Q134" s="693">
        <f t="shared" si="109"/>
        <v>7.2324127614743591E-2</v>
      </c>
      <c r="R134" s="693">
        <f>Trucks!H205</f>
        <v>7.5263748362297184E-2</v>
      </c>
      <c r="S134" s="693">
        <f t="shared" si="110"/>
        <v>7.5263748362297184E-2</v>
      </c>
      <c r="T134" s="693">
        <f t="shared" si="110"/>
        <v>7.5263748362297184E-2</v>
      </c>
      <c r="U134" s="693">
        <f t="shared" si="110"/>
        <v>7.5263748362297184E-2</v>
      </c>
      <c r="V134" s="692"/>
      <c r="W134" s="695">
        <f>Trucks!F203</f>
        <v>2423.7119575234788</v>
      </c>
      <c r="X134" s="695">
        <f>W134</f>
        <v>2423.7119575234788</v>
      </c>
      <c r="Y134" s="695">
        <f>Trucks!F204</f>
        <v>2701.5830916232303</v>
      </c>
      <c r="Z134" s="695">
        <f t="shared" si="111"/>
        <v>2701.5830916232303</v>
      </c>
      <c r="AA134" s="695">
        <f t="shared" si="111"/>
        <v>2701.5830916232303</v>
      </c>
      <c r="AB134" s="695">
        <f>Trucks!F205</f>
        <v>2650.8658206680652</v>
      </c>
      <c r="AC134" s="695">
        <f t="shared" si="112"/>
        <v>2650.8658206680652</v>
      </c>
      <c r="AD134" s="695">
        <f t="shared" si="112"/>
        <v>2650.8658206680652</v>
      </c>
      <c r="AE134" s="695">
        <f t="shared" si="112"/>
        <v>2650.8658206680652</v>
      </c>
      <c r="AF134" s="695">
        <f>Trucks!G203</f>
        <v>180.65887353878855</v>
      </c>
      <c r="AG134" s="694"/>
      <c r="AH134" s="694"/>
      <c r="AI134" s="694"/>
      <c r="AJ134" s="694"/>
      <c r="AK134" s="694"/>
      <c r="AL134" s="695">
        <v>1</v>
      </c>
      <c r="AM134" s="695"/>
      <c r="AN134" s="695"/>
      <c r="AO134" s="695"/>
      <c r="AP134" s="695"/>
      <c r="AQ134" s="695"/>
      <c r="AR134" s="695"/>
      <c r="AS134" s="695"/>
      <c r="AT134" s="695"/>
      <c r="AU134" s="695"/>
      <c r="AV134" s="695"/>
      <c r="AZ134" s="689">
        <f t="shared" si="113"/>
        <v>12</v>
      </c>
    </row>
    <row r="135" spans="1:52" s="685" customFormat="1" ht="12" customHeight="1" x14ac:dyDescent="0.2">
      <c r="A135" s="666" t="s">
        <v>115</v>
      </c>
      <c r="B135" s="666" t="str">
        <f>Technologies!C185</f>
        <v>THLLNGC10</v>
      </c>
      <c r="C135" s="666" t="str">
        <f>Technologies!D185</f>
        <v>Heavy Truck, Long Haul, LNG 2010</v>
      </c>
      <c r="D135" s="666" t="s">
        <v>480</v>
      </c>
      <c r="E135" s="666" t="str">
        <f>Commodities!C$54</f>
        <v>THLNG</v>
      </c>
      <c r="F135" s="666" t="str">
        <f>Commodities!C$13</f>
        <v>THL</v>
      </c>
      <c r="G135" s="692">
        <v>1</v>
      </c>
      <c r="H135" s="695">
        <v>2010</v>
      </c>
      <c r="I135" s="692">
        <f t="shared" si="100"/>
        <v>17</v>
      </c>
      <c r="J135" s="692">
        <v>0.18</v>
      </c>
      <c r="K135" s="693">
        <f>Trucks!H208</f>
        <v>4.1842580380559553E-2</v>
      </c>
      <c r="L135" s="693"/>
      <c r="M135" s="693"/>
      <c r="N135" s="693"/>
      <c r="O135" s="693"/>
      <c r="P135" s="693"/>
      <c r="Q135" s="693"/>
      <c r="R135" s="693"/>
      <c r="S135" s="693"/>
      <c r="T135" s="693"/>
      <c r="U135" s="693"/>
      <c r="V135" s="696">
        <f>Trucks!F208</f>
        <v>2389.4150399201549</v>
      </c>
      <c r="W135" s="695"/>
      <c r="X135" s="695"/>
      <c r="Y135" s="695"/>
      <c r="Z135" s="695"/>
      <c r="AA135" s="695"/>
      <c r="AB135" s="695"/>
      <c r="AC135" s="695"/>
      <c r="AD135" s="695"/>
      <c r="AE135" s="695"/>
      <c r="AF135" s="696">
        <f>Trucks!G208</f>
        <v>289.82706984832384</v>
      </c>
      <c r="AG135" s="694"/>
      <c r="AH135" s="694"/>
      <c r="AI135" s="694"/>
      <c r="AJ135" s="694"/>
      <c r="AK135" s="694"/>
      <c r="AL135" s="695">
        <v>1</v>
      </c>
      <c r="AM135" s="695"/>
      <c r="AN135" s="695">
        <v>0</v>
      </c>
      <c r="AO135" s="695">
        <v>0</v>
      </c>
      <c r="AP135" s="695">
        <v>0</v>
      </c>
      <c r="AQ135" s="695">
        <v>0</v>
      </c>
      <c r="AR135" s="695">
        <v>0</v>
      </c>
      <c r="AS135" s="695">
        <v>0</v>
      </c>
      <c r="AT135" s="695">
        <v>0</v>
      </c>
      <c r="AU135" s="695">
        <v>0</v>
      </c>
      <c r="AV135" s="695">
        <v>0</v>
      </c>
      <c r="AZ135" s="689">
        <f t="shared" si="113"/>
        <v>12</v>
      </c>
    </row>
    <row r="136" spans="1:52" s="685" customFormat="1" ht="12" customHeight="1" x14ac:dyDescent="0.2">
      <c r="A136" s="666" t="s">
        <v>115</v>
      </c>
      <c r="B136" s="666" t="str">
        <f>Technologies!C186</f>
        <v>THLLNGC</v>
      </c>
      <c r="C136" s="666" t="str">
        <f>Technologies!D186</f>
        <v xml:space="preserve">Heavy Truck, Long Haul, Conventional LNG </v>
      </c>
      <c r="D136" s="666" t="s">
        <v>480</v>
      </c>
      <c r="E136" s="666" t="str">
        <f>Commodities!C$54</f>
        <v>THLNG</v>
      </c>
      <c r="F136" s="666" t="str">
        <f>Commodities!C$13</f>
        <v>THL</v>
      </c>
      <c r="G136" s="692">
        <v>1</v>
      </c>
      <c r="H136" s="695">
        <v>2015</v>
      </c>
      <c r="I136" s="692">
        <f t="shared" si="100"/>
        <v>17</v>
      </c>
      <c r="J136" s="692">
        <v>0.18</v>
      </c>
      <c r="K136" s="692"/>
      <c r="L136" s="693"/>
      <c r="M136" s="693">
        <f>Trucks!H209</f>
        <v>4.1842580380559553E-2</v>
      </c>
      <c r="N136" s="693">
        <f>M136</f>
        <v>4.1842580380559553E-2</v>
      </c>
      <c r="O136" s="693">
        <f>Trucks!H210</f>
        <v>4.1842580380559553E-2</v>
      </c>
      <c r="P136" s="693">
        <f t="shared" ref="P136:Q140" si="114">O136</f>
        <v>4.1842580380559553E-2</v>
      </c>
      <c r="Q136" s="693">
        <f t="shared" si="114"/>
        <v>4.1842580380559553E-2</v>
      </c>
      <c r="R136" s="693">
        <f>Trucks!H211</f>
        <v>4.1842580380559553E-2</v>
      </c>
      <c r="S136" s="693">
        <f t="shared" ref="S136:U140" si="115">R136</f>
        <v>4.1842580380559553E-2</v>
      </c>
      <c r="T136" s="693">
        <f t="shared" si="115"/>
        <v>4.1842580380559553E-2</v>
      </c>
      <c r="U136" s="693">
        <f t="shared" si="115"/>
        <v>4.1842580380559553E-2</v>
      </c>
      <c r="V136" s="692"/>
      <c r="W136" s="696">
        <f>Trucks!F209</f>
        <v>2398.7591457466888</v>
      </c>
      <c r="X136" s="695">
        <f>W136</f>
        <v>2398.7591457466888</v>
      </c>
      <c r="Y136" s="695">
        <f>Trucks!F210</f>
        <v>2427.1591264967856</v>
      </c>
      <c r="Z136" s="695">
        <f t="shared" ref="Z136:AA140" si="116">Y136</f>
        <v>2427.1591264967856</v>
      </c>
      <c r="AA136" s="695">
        <f t="shared" si="116"/>
        <v>2427.1591264967856</v>
      </c>
      <c r="AB136" s="695">
        <f>Trucks!F211</f>
        <v>2648.9602628322136</v>
      </c>
      <c r="AC136" s="695">
        <f t="shared" ref="AC136:AE140" si="117">AB136</f>
        <v>2648.9602628322136</v>
      </c>
      <c r="AD136" s="695">
        <f t="shared" si="117"/>
        <v>2648.9602628322136</v>
      </c>
      <c r="AE136" s="695">
        <f t="shared" si="117"/>
        <v>2648.9602628322136</v>
      </c>
      <c r="AF136" s="696">
        <f>Trucks!G209</f>
        <v>289.82706984832384</v>
      </c>
      <c r="AG136" s="694"/>
      <c r="AH136" s="694"/>
      <c r="AI136" s="694"/>
      <c r="AJ136" s="694"/>
      <c r="AK136" s="694"/>
      <c r="AL136" s="695">
        <v>1</v>
      </c>
      <c r="AM136" s="695"/>
      <c r="AN136" s="695"/>
      <c r="AO136" s="695"/>
      <c r="AP136" s="695"/>
      <c r="AQ136" s="695"/>
      <c r="AR136" s="695"/>
      <c r="AS136" s="695"/>
      <c r="AT136" s="695"/>
      <c r="AU136" s="695"/>
      <c r="AV136" s="695"/>
      <c r="AZ136" s="689">
        <f t="shared" si="113"/>
        <v>12</v>
      </c>
    </row>
    <row r="137" spans="1:52" s="685" customFormat="1" ht="12" customHeight="1" x14ac:dyDescent="0.2">
      <c r="A137" s="666" t="s">
        <v>115</v>
      </c>
      <c r="B137" s="666" t="str">
        <f>Technologies!C187</f>
        <v>THLLNGADV</v>
      </c>
      <c r="C137" s="666" t="str">
        <f>Technologies!D187</f>
        <v>Heavy Truck, Long Haul, Advanced LNG</v>
      </c>
      <c r="D137" s="666" t="s">
        <v>480</v>
      </c>
      <c r="E137" s="666" t="str">
        <f>Commodities!C$54</f>
        <v>THLNG</v>
      </c>
      <c r="F137" s="666" t="str">
        <f>Commodities!C$13</f>
        <v>THL</v>
      </c>
      <c r="G137" s="692">
        <v>1</v>
      </c>
      <c r="H137" s="695">
        <v>2015</v>
      </c>
      <c r="I137" s="692">
        <f t="shared" si="100"/>
        <v>17</v>
      </c>
      <c r="J137" s="692">
        <v>0.24</v>
      </c>
      <c r="K137" s="692"/>
      <c r="L137" s="693"/>
      <c r="M137" s="693">
        <f>Trucks!H212</f>
        <v>5.7079372341398843E-2</v>
      </c>
      <c r="N137" s="693">
        <f>M137</f>
        <v>5.7079372341398843E-2</v>
      </c>
      <c r="O137" s="693">
        <f>Trucks!H213</f>
        <v>5.8372599223519749E-2</v>
      </c>
      <c r="P137" s="693">
        <f t="shared" si="114"/>
        <v>5.8372599223519749E-2</v>
      </c>
      <c r="Q137" s="693">
        <f t="shared" si="114"/>
        <v>5.8372599223519749E-2</v>
      </c>
      <c r="R137" s="693">
        <f>Trucks!H214</f>
        <v>5.8372599223519749E-2</v>
      </c>
      <c r="S137" s="693">
        <f t="shared" si="115"/>
        <v>5.8372599223519749E-2</v>
      </c>
      <c r="T137" s="693">
        <f t="shared" si="115"/>
        <v>5.8372599223519749E-2</v>
      </c>
      <c r="U137" s="693">
        <f t="shared" si="115"/>
        <v>5.8372599223519749E-2</v>
      </c>
      <c r="V137" s="692"/>
      <c r="W137" s="696">
        <f>Trucks!F212</f>
        <v>2504.3667845737755</v>
      </c>
      <c r="X137" s="695">
        <f>W137</f>
        <v>2504.3667845737755</v>
      </c>
      <c r="Y137" s="695">
        <f>Trucks!F213</f>
        <v>2639.1528093544284</v>
      </c>
      <c r="Z137" s="695">
        <f t="shared" si="116"/>
        <v>2639.1528093544284</v>
      </c>
      <c r="AA137" s="695">
        <f t="shared" si="116"/>
        <v>2639.1528093544284</v>
      </c>
      <c r="AB137" s="695">
        <f>Trucks!F214</f>
        <v>2585.5410474190576</v>
      </c>
      <c r="AC137" s="695">
        <f t="shared" si="117"/>
        <v>2585.5410474190576</v>
      </c>
      <c r="AD137" s="695">
        <f t="shared" si="117"/>
        <v>2585.5410474190576</v>
      </c>
      <c r="AE137" s="695">
        <f t="shared" si="117"/>
        <v>2585.5410474190576</v>
      </c>
      <c r="AF137" s="696">
        <f>Trucks!G212</f>
        <v>289.82706984832384</v>
      </c>
      <c r="AG137" s="694"/>
      <c r="AH137" s="694"/>
      <c r="AI137" s="694"/>
      <c r="AJ137" s="694"/>
      <c r="AK137" s="694"/>
      <c r="AL137" s="695">
        <v>1</v>
      </c>
      <c r="AM137" s="695"/>
      <c r="AN137" s="695"/>
      <c r="AO137" s="695"/>
      <c r="AP137" s="695"/>
      <c r="AQ137" s="695"/>
      <c r="AR137" s="695"/>
      <c r="AS137" s="695"/>
      <c r="AT137" s="695"/>
      <c r="AU137" s="695"/>
      <c r="AV137" s="695"/>
      <c r="AZ137" s="689">
        <f t="shared" si="113"/>
        <v>12</v>
      </c>
    </row>
    <row r="138" spans="1:52" s="685" customFormat="1" ht="12" customHeight="1" x14ac:dyDescent="0.2">
      <c r="A138" s="666" t="s">
        <v>115</v>
      </c>
      <c r="B138" s="666" t="str">
        <f>Technologies!C188</f>
        <v>THLLNGAH</v>
      </c>
      <c r="C138" s="666" t="str">
        <f>Technologies!D188</f>
        <v>Heavy Truck, Long Haul, Advanced LNG Hybrid</v>
      </c>
      <c r="D138" s="666" t="s">
        <v>480</v>
      </c>
      <c r="E138" s="666" t="str">
        <f>Commodities!C$54</f>
        <v>THLNG</v>
      </c>
      <c r="F138" s="666" t="str">
        <f>Commodities!C$13</f>
        <v>THL</v>
      </c>
      <c r="G138" s="692">
        <v>1</v>
      </c>
      <c r="H138" s="695">
        <v>2015</v>
      </c>
      <c r="I138" s="692">
        <f t="shared" si="100"/>
        <v>17</v>
      </c>
      <c r="J138" s="692">
        <v>0.24</v>
      </c>
      <c r="K138" s="692"/>
      <c r="L138" s="693"/>
      <c r="M138" s="693">
        <f>Trucks!H215</f>
        <v>5.8982018086112128E-2</v>
      </c>
      <c r="N138" s="693">
        <f>M138</f>
        <v>5.8982018086112128E-2</v>
      </c>
      <c r="O138" s="693">
        <f>Trucks!H216</f>
        <v>6.0318352530970412E-2</v>
      </c>
      <c r="P138" s="693">
        <f t="shared" si="114"/>
        <v>6.0318352530970412E-2</v>
      </c>
      <c r="Q138" s="693">
        <f t="shared" si="114"/>
        <v>6.0318352530970412E-2</v>
      </c>
      <c r="R138" s="693">
        <f>Trucks!H217</f>
        <v>6.0318352530970412E-2</v>
      </c>
      <c r="S138" s="693">
        <f t="shared" si="115"/>
        <v>6.0318352530970412E-2</v>
      </c>
      <c r="T138" s="693">
        <f t="shared" si="115"/>
        <v>6.0318352530970412E-2</v>
      </c>
      <c r="U138" s="693">
        <f t="shared" si="115"/>
        <v>6.0318352530970412E-2</v>
      </c>
      <c r="V138" s="692"/>
      <c r="W138" s="696">
        <f>Trucks!F215</f>
        <v>2842.4433310618065</v>
      </c>
      <c r="X138" s="695">
        <f>W138</f>
        <v>2842.4433310618065</v>
      </c>
      <c r="Y138" s="695">
        <f>Trucks!F216</f>
        <v>2861.3269902166689</v>
      </c>
      <c r="Z138" s="695">
        <f t="shared" si="116"/>
        <v>2861.3269902166689</v>
      </c>
      <c r="AA138" s="695">
        <f t="shared" si="116"/>
        <v>2861.3269902166689</v>
      </c>
      <c r="AB138" s="695">
        <f>Trucks!F217</f>
        <v>2807.7152282812981</v>
      </c>
      <c r="AC138" s="695">
        <f t="shared" si="117"/>
        <v>2807.7152282812981</v>
      </c>
      <c r="AD138" s="695">
        <f t="shared" si="117"/>
        <v>2807.7152282812981</v>
      </c>
      <c r="AE138" s="695">
        <f t="shared" si="117"/>
        <v>2807.7152282812981</v>
      </c>
      <c r="AF138" s="696">
        <f>Trucks!G215</f>
        <v>289.82706984832384</v>
      </c>
      <c r="AG138" s="694"/>
      <c r="AH138" s="694"/>
      <c r="AI138" s="694"/>
      <c r="AJ138" s="694"/>
      <c r="AK138" s="694"/>
      <c r="AL138" s="695">
        <v>1</v>
      </c>
      <c r="AM138" s="695"/>
      <c r="AN138" s="695"/>
      <c r="AO138" s="695"/>
      <c r="AP138" s="695"/>
      <c r="AQ138" s="695"/>
      <c r="AR138" s="695"/>
      <c r="AS138" s="695"/>
      <c r="AT138" s="695"/>
      <c r="AU138" s="695"/>
      <c r="AV138" s="695"/>
      <c r="AZ138" s="689">
        <f t="shared" si="113"/>
        <v>12</v>
      </c>
    </row>
    <row r="139" spans="1:52" s="685" customFormat="1" ht="12" customHeight="1" x14ac:dyDescent="0.2">
      <c r="A139" s="666" t="s">
        <v>115</v>
      </c>
      <c r="B139" s="666" t="str">
        <f>Technologies!C189</f>
        <v>THLLNGSW</v>
      </c>
      <c r="C139" s="666" t="str">
        <f>Technologies!D189</f>
        <v>Heavy Truck, Long Haul, LNG Smartway</v>
      </c>
      <c r="D139" s="666" t="s">
        <v>480</v>
      </c>
      <c r="E139" s="666" t="str">
        <f>Commodities!C$54</f>
        <v>THLNG</v>
      </c>
      <c r="F139" s="666" t="str">
        <f>Commodities!C$13</f>
        <v>THL</v>
      </c>
      <c r="G139" s="692">
        <v>1</v>
      </c>
      <c r="H139" s="695">
        <v>2015</v>
      </c>
      <c r="I139" s="692">
        <f t="shared" si="100"/>
        <v>17</v>
      </c>
      <c r="J139" s="692">
        <v>0.28000000000000003</v>
      </c>
      <c r="K139" s="692"/>
      <c r="L139" s="693"/>
      <c r="M139" s="693">
        <f>Trucks!H218</f>
        <v>5.7079372341398843E-2</v>
      </c>
      <c r="N139" s="693">
        <f>M139</f>
        <v>5.7079372341398843E-2</v>
      </c>
      <c r="O139" s="693">
        <f>Trucks!H219</f>
        <v>6.6549620751363711E-2</v>
      </c>
      <c r="P139" s="693">
        <f t="shared" si="114"/>
        <v>6.6549620751363711E-2</v>
      </c>
      <c r="Q139" s="693">
        <f t="shared" si="114"/>
        <v>6.6549620751363711E-2</v>
      </c>
      <c r="R139" s="693">
        <f>Trucks!H220</f>
        <v>6.6549620751363711E-2</v>
      </c>
      <c r="S139" s="693">
        <f t="shared" si="115"/>
        <v>6.6549620751363711E-2</v>
      </c>
      <c r="T139" s="693">
        <f t="shared" si="115"/>
        <v>6.6549620751363711E-2</v>
      </c>
      <c r="U139" s="693">
        <f t="shared" si="115"/>
        <v>6.6549620751363711E-2</v>
      </c>
      <c r="V139" s="692"/>
      <c r="W139" s="696">
        <f>Trucks!F218</f>
        <v>2504.3667845737755</v>
      </c>
      <c r="X139" s="695">
        <f>W139</f>
        <v>2504.3667845737755</v>
      </c>
      <c r="Y139" s="695">
        <f>Trucks!F219</f>
        <v>3143.9520363023103</v>
      </c>
      <c r="Z139" s="695">
        <f t="shared" si="116"/>
        <v>3143.9520363023103</v>
      </c>
      <c r="AA139" s="695">
        <f t="shared" si="116"/>
        <v>3143.9520363023103</v>
      </c>
      <c r="AB139" s="695">
        <f>Trucks!F220</f>
        <v>2837.9406608929985</v>
      </c>
      <c r="AC139" s="695">
        <f t="shared" si="117"/>
        <v>2837.9406608929985</v>
      </c>
      <c r="AD139" s="695">
        <f t="shared" si="117"/>
        <v>2837.9406608929985</v>
      </c>
      <c r="AE139" s="695">
        <f t="shared" si="117"/>
        <v>2837.9406608929985</v>
      </c>
      <c r="AF139" s="696">
        <f>Trucks!G218</f>
        <v>289.82706984832384</v>
      </c>
      <c r="AG139" s="694"/>
      <c r="AH139" s="694"/>
      <c r="AI139" s="694"/>
      <c r="AJ139" s="694"/>
      <c r="AK139" s="694"/>
      <c r="AL139" s="695">
        <v>1</v>
      </c>
      <c r="AM139" s="695"/>
      <c r="AN139" s="695"/>
      <c r="AO139" s="695"/>
      <c r="AP139" s="695"/>
      <c r="AQ139" s="695"/>
      <c r="AR139" s="695"/>
      <c r="AS139" s="695"/>
      <c r="AT139" s="695"/>
      <c r="AU139" s="695"/>
      <c r="AV139" s="695"/>
      <c r="AZ139" s="689">
        <f t="shared" si="113"/>
        <v>12</v>
      </c>
    </row>
    <row r="140" spans="1:52" s="685" customFormat="1" ht="12" customHeight="1" x14ac:dyDescent="0.2">
      <c r="A140" s="666" t="s">
        <v>115</v>
      </c>
      <c r="B140" s="666" t="str">
        <f>Technologies!C190</f>
        <v>THLLNGSWH</v>
      </c>
      <c r="C140" s="666" t="str">
        <f>Technologies!D190</f>
        <v>Heavy Truck, Long Haul, LNG Smartway Hybird</v>
      </c>
      <c r="D140" s="666" t="s">
        <v>480</v>
      </c>
      <c r="E140" s="666" t="str">
        <f>Commodities!C$54</f>
        <v>THLNG</v>
      </c>
      <c r="F140" s="666" t="str">
        <f>Commodities!C$13</f>
        <v>THL</v>
      </c>
      <c r="G140" s="692">
        <v>1</v>
      </c>
      <c r="H140" s="695">
        <v>2015</v>
      </c>
      <c r="I140" s="692">
        <f t="shared" si="100"/>
        <v>17</v>
      </c>
      <c r="J140" s="692">
        <v>0.28000000000000003</v>
      </c>
      <c r="K140" s="692"/>
      <c r="L140" s="693"/>
      <c r="M140" s="693">
        <f>Trucks!H221</f>
        <v>5.8982018086112128E-2</v>
      </c>
      <c r="N140" s="693">
        <f>M140</f>
        <v>5.8982018086112128E-2</v>
      </c>
      <c r="O140" s="693">
        <f>Trucks!H222</f>
        <v>6.8767941443075867E-2</v>
      </c>
      <c r="P140" s="693">
        <f t="shared" si="114"/>
        <v>6.8767941443075867E-2</v>
      </c>
      <c r="Q140" s="693">
        <f t="shared" si="114"/>
        <v>6.8767941443075867E-2</v>
      </c>
      <c r="R140" s="693">
        <f>Trucks!H223</f>
        <v>6.8767941443075867E-2</v>
      </c>
      <c r="S140" s="693">
        <f t="shared" si="115"/>
        <v>6.8767941443075867E-2</v>
      </c>
      <c r="T140" s="693">
        <f t="shared" si="115"/>
        <v>6.8767941443075867E-2</v>
      </c>
      <c r="U140" s="693">
        <f t="shared" si="115"/>
        <v>6.8767941443075867E-2</v>
      </c>
      <c r="V140" s="692"/>
      <c r="W140" s="696">
        <f>Trucks!F221</f>
        <v>2842.4433310618065</v>
      </c>
      <c r="X140" s="695">
        <f>W140</f>
        <v>2842.4433310618065</v>
      </c>
      <c r="Y140" s="695">
        <f>Trucks!F222</f>
        <v>3366.1262171645503</v>
      </c>
      <c r="Z140" s="695">
        <f t="shared" si="116"/>
        <v>3366.1262171645503</v>
      </c>
      <c r="AA140" s="695">
        <f t="shared" si="116"/>
        <v>3366.1262171645503</v>
      </c>
      <c r="AB140" s="695">
        <f>Trucks!F223</f>
        <v>3060.1148417552386</v>
      </c>
      <c r="AC140" s="695">
        <f t="shared" si="117"/>
        <v>3060.1148417552386</v>
      </c>
      <c r="AD140" s="695">
        <f t="shared" si="117"/>
        <v>3060.1148417552386</v>
      </c>
      <c r="AE140" s="695">
        <f t="shared" si="117"/>
        <v>3060.1148417552386</v>
      </c>
      <c r="AF140" s="696">
        <f>Trucks!G221</f>
        <v>289.82706984832384</v>
      </c>
      <c r="AG140" s="694"/>
      <c r="AH140" s="694"/>
      <c r="AI140" s="694"/>
      <c r="AJ140" s="694"/>
      <c r="AK140" s="694"/>
      <c r="AL140" s="695">
        <v>1</v>
      </c>
      <c r="AM140" s="695"/>
      <c r="AN140" s="695"/>
      <c r="AO140" s="695"/>
      <c r="AP140" s="695"/>
      <c r="AQ140" s="695"/>
      <c r="AR140" s="695"/>
      <c r="AS140" s="695"/>
      <c r="AT140" s="695"/>
      <c r="AU140" s="695"/>
      <c r="AV140" s="695"/>
      <c r="AZ140" s="689">
        <f t="shared" si="113"/>
        <v>12</v>
      </c>
    </row>
    <row r="141" spans="1:52" s="685" customFormat="1" ht="12" customHeight="1" x14ac:dyDescent="0.2">
      <c r="A141" s="699" t="s">
        <v>485</v>
      </c>
      <c r="B141" s="668"/>
      <c r="C141" s="668"/>
      <c r="D141" s="668"/>
      <c r="E141" s="668"/>
      <c r="F141" s="668"/>
      <c r="G141" s="700"/>
      <c r="H141" s="701"/>
      <c r="I141" s="701"/>
      <c r="J141" s="701"/>
      <c r="K141" s="701"/>
      <c r="L141" s="701"/>
      <c r="M141" s="701"/>
      <c r="N141" s="701"/>
      <c r="O141" s="701"/>
      <c r="P141" s="701"/>
      <c r="Q141" s="701"/>
      <c r="R141" s="701"/>
      <c r="S141" s="701"/>
      <c r="T141" s="701"/>
      <c r="U141" s="701"/>
      <c r="V141" s="701"/>
      <c r="W141" s="701"/>
      <c r="X141" s="701"/>
      <c r="Y141" s="701"/>
      <c r="Z141" s="701"/>
      <c r="AA141" s="701"/>
      <c r="AB141" s="701"/>
      <c r="AC141" s="701"/>
      <c r="AD141" s="701"/>
      <c r="AE141" s="701"/>
      <c r="AF141" s="701"/>
      <c r="AG141" s="701"/>
      <c r="AH141" s="701"/>
      <c r="AI141" s="701"/>
      <c r="AJ141" s="701"/>
      <c r="AK141" s="701"/>
      <c r="AL141" s="701"/>
      <c r="AM141" s="702"/>
      <c r="AN141" s="702"/>
      <c r="AO141" s="702"/>
      <c r="AP141" s="702"/>
      <c r="AQ141" s="702"/>
      <c r="AR141" s="702"/>
      <c r="AS141" s="702"/>
      <c r="AT141" s="702"/>
      <c r="AU141" s="702"/>
      <c r="AV141" s="702"/>
    </row>
    <row r="142" spans="1:52" s="685" customFormat="1" ht="12" customHeight="1" x14ac:dyDescent="0.2">
      <c r="A142" s="666" t="str">
        <f>Technologies!B192</f>
        <v>R2,R3,R4,R5,R6</v>
      </c>
      <c r="B142" s="666" t="str">
        <f>Technologies!C192</f>
        <v>TPELCCR</v>
      </c>
      <c r="C142" s="666" t="str">
        <f>Technologies!D192</f>
        <v>Commuter Rail, Electricity</v>
      </c>
      <c r="D142" s="666" t="s">
        <v>478</v>
      </c>
      <c r="E142" s="666" t="s">
        <v>9</v>
      </c>
      <c r="F142" s="666" t="s">
        <v>110</v>
      </c>
      <c r="G142" s="692">
        <v>1</v>
      </c>
      <c r="H142" s="692">
        <v>2010</v>
      </c>
      <c r="I142" s="692">
        <v>20</v>
      </c>
      <c r="J142" s="692"/>
      <c r="K142" s="692"/>
      <c r="L142" s="697">
        <f>'Rail&amp;Bus2'!H60</f>
        <v>0.63495881767725038</v>
      </c>
      <c r="M142" s="697">
        <f>L142</f>
        <v>0.63495881767725038</v>
      </c>
      <c r="N142" s="697">
        <f>L142</f>
        <v>0.63495881767725038</v>
      </c>
      <c r="O142" s="697">
        <f t="shared" ref="O142:U142" si="118">N142</f>
        <v>0.63495881767725038</v>
      </c>
      <c r="P142" s="697">
        <f t="shared" si="118"/>
        <v>0.63495881767725038</v>
      </c>
      <c r="Q142" s="697">
        <f t="shared" si="118"/>
        <v>0.63495881767725038</v>
      </c>
      <c r="R142" s="697">
        <f t="shared" si="118"/>
        <v>0.63495881767725038</v>
      </c>
      <c r="S142" s="697">
        <f t="shared" si="118"/>
        <v>0.63495881767725038</v>
      </c>
      <c r="T142" s="697">
        <f t="shared" si="118"/>
        <v>0.63495881767725038</v>
      </c>
      <c r="U142" s="697">
        <f t="shared" si="118"/>
        <v>0.63495881767725038</v>
      </c>
      <c r="V142" s="692">
        <f>'Rail&amp;Bus2'!F60</f>
        <v>1284.7941201945534</v>
      </c>
      <c r="W142" s="692">
        <f t="shared" ref="W142:AE142" si="119">V142</f>
        <v>1284.7941201945534</v>
      </c>
      <c r="X142" s="692">
        <f t="shared" si="119"/>
        <v>1284.7941201945534</v>
      </c>
      <c r="Y142" s="692">
        <f t="shared" si="119"/>
        <v>1284.7941201945534</v>
      </c>
      <c r="Z142" s="692">
        <f t="shared" si="119"/>
        <v>1284.7941201945534</v>
      </c>
      <c r="AA142" s="692">
        <f t="shared" si="119"/>
        <v>1284.7941201945534</v>
      </c>
      <c r="AB142" s="692">
        <f t="shared" si="119"/>
        <v>1284.7941201945534</v>
      </c>
      <c r="AC142" s="692">
        <f t="shared" si="119"/>
        <v>1284.7941201945534</v>
      </c>
      <c r="AD142" s="692">
        <f t="shared" si="119"/>
        <v>1284.7941201945534</v>
      </c>
      <c r="AE142" s="692">
        <f t="shared" si="119"/>
        <v>1284.7941201945534</v>
      </c>
      <c r="AF142" s="692">
        <f>'Rail&amp;Bus2'!G60</f>
        <v>128.47941201945534</v>
      </c>
      <c r="AG142" s="692"/>
      <c r="AH142" s="692"/>
      <c r="AI142" s="692"/>
      <c r="AJ142" s="692"/>
      <c r="AK142" s="692"/>
      <c r="AL142" s="692">
        <v>1</v>
      </c>
      <c r="AM142" s="695">
        <v>0</v>
      </c>
      <c r="AN142" s="695"/>
      <c r="AO142" s="695"/>
      <c r="AP142" s="695"/>
      <c r="AQ142" s="695"/>
      <c r="AR142" s="695"/>
      <c r="AS142" s="695"/>
      <c r="AT142" s="695"/>
      <c r="AU142" s="695"/>
      <c r="AV142" s="695"/>
      <c r="AZ142" s="685">
        <v>20</v>
      </c>
    </row>
    <row r="143" spans="1:52" s="685" customFormat="1" ht="12" customHeight="1" x14ac:dyDescent="0.2">
      <c r="A143" s="666" t="s">
        <v>115</v>
      </c>
      <c r="B143" s="666" t="str">
        <f>Technologies!C194</f>
        <v>TPDSLIR</v>
      </c>
      <c r="C143" s="666" t="str">
        <f>Technologies!D194</f>
        <v>Intercity Rail, Diesel</v>
      </c>
      <c r="D143" s="666" t="s">
        <v>478</v>
      </c>
      <c r="E143" s="666" t="str">
        <f>TechData!E31</f>
        <v>TRNDSL</v>
      </c>
      <c r="F143" s="666"/>
      <c r="G143" s="694">
        <f>1-G144</f>
        <v>0.87943601983093034</v>
      </c>
      <c r="H143" s="692">
        <v>2010</v>
      </c>
      <c r="I143" s="692">
        <v>20</v>
      </c>
      <c r="J143" s="692"/>
      <c r="K143" s="692"/>
      <c r="L143" s="697">
        <f>'Rail&amp;Bus2'!H62</f>
        <v>0.38846397260273979</v>
      </c>
      <c r="M143" s="697">
        <f>L143</f>
        <v>0.38846397260273979</v>
      </c>
      <c r="N143" s="697">
        <f>L143</f>
        <v>0.38846397260273979</v>
      </c>
      <c r="O143" s="697"/>
      <c r="P143" s="697"/>
      <c r="Q143" s="697"/>
      <c r="R143" s="697"/>
      <c r="S143" s="697"/>
      <c r="T143" s="697"/>
      <c r="U143" s="697"/>
      <c r="V143" s="692">
        <f>'Rail&amp;Bus2'!F62</f>
        <v>181.59138325036903</v>
      </c>
      <c r="W143" s="692">
        <f t="shared" ref="W143:AE143" si="120">V143</f>
        <v>181.59138325036903</v>
      </c>
      <c r="X143" s="692">
        <f t="shared" si="120"/>
        <v>181.59138325036903</v>
      </c>
      <c r="Y143" s="692">
        <f t="shared" si="120"/>
        <v>181.59138325036903</v>
      </c>
      <c r="Z143" s="692">
        <f t="shared" si="120"/>
        <v>181.59138325036903</v>
      </c>
      <c r="AA143" s="692">
        <f t="shared" si="120"/>
        <v>181.59138325036903</v>
      </c>
      <c r="AB143" s="692">
        <f t="shared" si="120"/>
        <v>181.59138325036903</v>
      </c>
      <c r="AC143" s="692">
        <f t="shared" si="120"/>
        <v>181.59138325036903</v>
      </c>
      <c r="AD143" s="692">
        <f t="shared" si="120"/>
        <v>181.59138325036903</v>
      </c>
      <c r="AE143" s="692">
        <f t="shared" si="120"/>
        <v>181.59138325036903</v>
      </c>
      <c r="AF143" s="692">
        <f>'Rail&amp;Bus2'!G62</f>
        <v>18.159138325036903</v>
      </c>
      <c r="AG143" s="692"/>
      <c r="AH143" s="692"/>
      <c r="AI143" s="692"/>
      <c r="AJ143" s="692"/>
      <c r="AK143" s="692"/>
      <c r="AL143" s="692">
        <v>1</v>
      </c>
      <c r="AM143" s="695"/>
      <c r="AN143" s="695"/>
      <c r="AO143" s="695"/>
      <c r="AP143" s="695"/>
      <c r="AQ143" s="695"/>
      <c r="AR143" s="695"/>
      <c r="AS143" s="695"/>
      <c r="AT143" s="695"/>
      <c r="AU143" s="695"/>
      <c r="AV143" s="695"/>
      <c r="AZ143" s="685">
        <v>20</v>
      </c>
    </row>
    <row r="144" spans="1:52" s="685" customFormat="1" ht="12" customHeight="1" x14ac:dyDescent="0.2">
      <c r="A144" s="666" t="s">
        <v>115</v>
      </c>
      <c r="B144" s="666"/>
      <c r="C144" s="666"/>
      <c r="D144" s="666"/>
      <c r="E144" s="666" t="s">
        <v>9</v>
      </c>
      <c r="F144" s="666"/>
      <c r="G144" s="694">
        <f>'AEO Data'!M238</f>
        <v>0.1205639801690697</v>
      </c>
      <c r="H144" s="692"/>
      <c r="I144" s="692"/>
      <c r="J144" s="692"/>
      <c r="K144" s="692"/>
      <c r="L144" s="697"/>
      <c r="M144" s="697"/>
      <c r="N144" s="697"/>
      <c r="O144" s="697"/>
      <c r="P144" s="697"/>
      <c r="Q144" s="697"/>
      <c r="R144" s="697"/>
      <c r="S144" s="697"/>
      <c r="T144" s="697"/>
      <c r="U144" s="697"/>
      <c r="V144" s="692"/>
      <c r="W144" s="692"/>
      <c r="X144" s="692"/>
      <c r="Y144" s="692"/>
      <c r="Z144" s="692"/>
      <c r="AA144" s="692"/>
      <c r="AB144" s="692"/>
      <c r="AC144" s="692"/>
      <c r="AD144" s="692"/>
      <c r="AE144" s="692"/>
      <c r="AF144" s="692"/>
      <c r="AG144" s="692"/>
      <c r="AH144" s="692"/>
      <c r="AI144" s="692"/>
      <c r="AJ144" s="692"/>
      <c r="AK144" s="692"/>
      <c r="AL144" s="692"/>
      <c r="AM144" s="695"/>
      <c r="AN144" s="695"/>
      <c r="AO144" s="695"/>
      <c r="AP144" s="695"/>
      <c r="AQ144" s="695"/>
      <c r="AR144" s="695"/>
      <c r="AS144" s="695"/>
      <c r="AT144" s="695"/>
      <c r="AU144" s="695"/>
      <c r="AV144" s="695"/>
    </row>
    <row r="145" spans="1:52" s="685" customFormat="1" ht="12" customHeight="1" x14ac:dyDescent="0.2">
      <c r="A145" s="666" t="s">
        <v>115</v>
      </c>
      <c r="B145" s="666"/>
      <c r="C145" s="666"/>
      <c r="D145" s="666"/>
      <c r="E145" s="666"/>
      <c r="F145" s="666" t="s">
        <v>110</v>
      </c>
      <c r="G145" s="694"/>
      <c r="H145" s="692"/>
      <c r="I145" s="692"/>
      <c r="J145" s="692"/>
      <c r="K145" s="692"/>
      <c r="L145" s="692"/>
      <c r="M145" s="692"/>
      <c r="N145" s="692"/>
      <c r="O145" s="692"/>
      <c r="P145" s="692"/>
      <c r="Q145" s="692"/>
      <c r="R145" s="692"/>
      <c r="S145" s="692"/>
      <c r="T145" s="692"/>
      <c r="U145" s="692"/>
      <c r="V145" s="692"/>
      <c r="W145" s="692"/>
      <c r="X145" s="692"/>
      <c r="Y145" s="692"/>
      <c r="Z145" s="692"/>
      <c r="AA145" s="692"/>
      <c r="AB145" s="692"/>
      <c r="AC145" s="692"/>
      <c r="AD145" s="692"/>
      <c r="AE145" s="692"/>
      <c r="AF145" s="692"/>
      <c r="AG145" s="692"/>
      <c r="AH145" s="692"/>
      <c r="AI145" s="692"/>
      <c r="AJ145" s="692"/>
      <c r="AK145" s="692"/>
      <c r="AL145" s="692"/>
      <c r="AM145" s="695"/>
      <c r="AN145" s="695"/>
      <c r="AO145" s="695"/>
      <c r="AP145" s="695"/>
      <c r="AQ145" s="695"/>
      <c r="AR145" s="695"/>
      <c r="AS145" s="695"/>
      <c r="AT145" s="695"/>
      <c r="AU145" s="695"/>
      <c r="AV145" s="695"/>
    </row>
    <row r="146" spans="1:52" s="685" customFormat="1" ht="12" customHeight="1" x14ac:dyDescent="0.2">
      <c r="A146" s="699" t="s">
        <v>486</v>
      </c>
      <c r="B146" s="668"/>
      <c r="C146" s="668"/>
      <c r="D146" s="668"/>
      <c r="E146" s="668"/>
      <c r="F146" s="668"/>
      <c r="G146" s="700"/>
      <c r="H146" s="701"/>
      <c r="I146" s="701"/>
      <c r="J146" s="701"/>
      <c r="K146" s="701"/>
      <c r="L146" s="701"/>
      <c r="M146" s="701"/>
      <c r="N146" s="701"/>
      <c r="O146" s="701"/>
      <c r="P146" s="701"/>
      <c r="Q146" s="701"/>
      <c r="R146" s="701"/>
      <c r="S146" s="701"/>
      <c r="T146" s="701"/>
      <c r="U146" s="701"/>
      <c r="V146" s="701"/>
      <c r="W146" s="701"/>
      <c r="X146" s="701"/>
      <c r="Y146" s="701"/>
      <c r="Z146" s="701"/>
      <c r="AA146" s="701"/>
      <c r="AB146" s="701"/>
      <c r="AC146" s="701"/>
      <c r="AD146" s="701"/>
      <c r="AE146" s="701"/>
      <c r="AF146" s="701"/>
      <c r="AG146" s="701"/>
      <c r="AH146" s="701"/>
      <c r="AI146" s="701"/>
      <c r="AJ146" s="701"/>
      <c r="AK146" s="701"/>
      <c r="AL146" s="701"/>
      <c r="AM146" s="702"/>
      <c r="AN146" s="702"/>
      <c r="AO146" s="702"/>
      <c r="AP146" s="702"/>
      <c r="AQ146" s="702"/>
      <c r="AR146" s="702"/>
      <c r="AS146" s="702"/>
      <c r="AT146" s="702"/>
      <c r="AU146" s="702"/>
      <c r="AV146" s="702"/>
    </row>
    <row r="147" spans="1:52" s="685" customFormat="1" ht="12" customHeight="1" x14ac:dyDescent="0.2">
      <c r="A147" s="666" t="s">
        <v>115</v>
      </c>
      <c r="B147" s="666" t="str">
        <f>Technologies!C197</f>
        <v>TRFDSL</v>
      </c>
      <c r="C147" s="666" t="str">
        <f>Technologies!D197</f>
        <v>Rail Freight, Diesel</v>
      </c>
      <c r="D147" s="666" t="s">
        <v>487</v>
      </c>
      <c r="E147" s="666" t="s">
        <v>13</v>
      </c>
      <c r="F147" s="666" t="s">
        <v>106</v>
      </c>
      <c r="G147" s="692">
        <v>1</v>
      </c>
      <c r="H147" s="692">
        <v>2010</v>
      </c>
      <c r="I147" s="692">
        <v>30</v>
      </c>
      <c r="J147" s="692">
        <v>0.18</v>
      </c>
      <c r="K147" s="693"/>
      <c r="L147" s="693">
        <f>Freight!J5</f>
        <v>3.2636303439067462</v>
      </c>
      <c r="M147" s="693">
        <f>Freight!K5</f>
        <v>3.2794059114590817</v>
      </c>
      <c r="N147" s="693">
        <f>Freight!L5</f>
        <v>3.2957703819082056</v>
      </c>
      <c r="O147" s="693">
        <f>Freight!M5</f>
        <v>3.3125113242451758</v>
      </c>
      <c r="P147" s="693">
        <f>Freight!N5</f>
        <v>3.3292965208679206</v>
      </c>
      <c r="Q147" s="693">
        <f>Freight!O5</f>
        <v>3.3463433124975226</v>
      </c>
      <c r="R147" s="693">
        <f>Q147</f>
        <v>3.3463433124975226</v>
      </c>
      <c r="S147" s="693">
        <f>R147</f>
        <v>3.3463433124975226</v>
      </c>
      <c r="T147" s="693">
        <f>S147</f>
        <v>3.3463433124975226</v>
      </c>
      <c r="U147" s="693">
        <f>T147</f>
        <v>3.3463433124975226</v>
      </c>
      <c r="V147" s="694">
        <f>Freight!F5</f>
        <v>23.842986507042003</v>
      </c>
      <c r="W147" s="694">
        <f t="shared" ref="W147:AE147" si="121">V147</f>
        <v>23.842986507042003</v>
      </c>
      <c r="X147" s="694">
        <f t="shared" si="121"/>
        <v>23.842986507042003</v>
      </c>
      <c r="Y147" s="694">
        <f t="shared" si="121"/>
        <v>23.842986507042003</v>
      </c>
      <c r="Z147" s="694">
        <f t="shared" si="121"/>
        <v>23.842986507042003</v>
      </c>
      <c r="AA147" s="694">
        <f t="shared" si="121"/>
        <v>23.842986507042003</v>
      </c>
      <c r="AB147" s="694">
        <f t="shared" si="121"/>
        <v>23.842986507042003</v>
      </c>
      <c r="AC147" s="694">
        <f t="shared" si="121"/>
        <v>23.842986507042003</v>
      </c>
      <c r="AD147" s="694">
        <f t="shared" si="121"/>
        <v>23.842986507042003</v>
      </c>
      <c r="AE147" s="694">
        <f t="shared" si="121"/>
        <v>23.842986507042003</v>
      </c>
      <c r="AF147" s="693">
        <f>TechData!AF31</f>
        <v>1.43057919042252</v>
      </c>
      <c r="AG147" s="692"/>
      <c r="AH147" s="692"/>
      <c r="AI147" s="692"/>
      <c r="AJ147" s="692"/>
      <c r="AK147" s="692"/>
      <c r="AL147" s="692">
        <v>1</v>
      </c>
      <c r="AM147" s="695">
        <v>0</v>
      </c>
      <c r="AN147" s="695"/>
      <c r="AO147" s="695"/>
      <c r="AP147" s="695"/>
      <c r="AQ147" s="695"/>
      <c r="AR147" s="695"/>
      <c r="AS147" s="695"/>
      <c r="AT147" s="695"/>
      <c r="AU147" s="695"/>
      <c r="AV147" s="695"/>
      <c r="AZ147" s="685">
        <v>30</v>
      </c>
    </row>
    <row r="148" spans="1:52" s="685" customFormat="1" ht="12" customHeight="1" x14ac:dyDescent="0.2">
      <c r="A148" s="666" t="s">
        <v>115</v>
      </c>
      <c r="B148" s="666" t="str">
        <f>Technologies!C198</f>
        <v>TRFDSL2</v>
      </c>
      <c r="C148" s="666" t="str">
        <f>Technologies!D198</f>
        <v>Rail Freight, Diesel-MSW</v>
      </c>
      <c r="D148" s="666" t="s">
        <v>480</v>
      </c>
      <c r="E148" s="666" t="str">
        <f>Commodities!$C$46</f>
        <v>TWDSL</v>
      </c>
      <c r="F148" s="666" t="str">
        <f>Commodities!$C$16</f>
        <v>TSW</v>
      </c>
      <c r="G148" s="666">
        <f>G147</f>
        <v>1</v>
      </c>
      <c r="H148" s="692">
        <f>H147</f>
        <v>2010</v>
      </c>
      <c r="I148" s="692">
        <f>I147</f>
        <v>30</v>
      </c>
      <c r="J148" s="692">
        <f>J147</f>
        <v>0.18</v>
      </c>
      <c r="K148" s="693"/>
      <c r="L148" s="693">
        <f t="shared" ref="L148:AF148" si="122">L147</f>
        <v>3.2636303439067462</v>
      </c>
      <c r="M148" s="693">
        <f t="shared" si="122"/>
        <v>3.2794059114590817</v>
      </c>
      <c r="N148" s="693">
        <f t="shared" si="122"/>
        <v>3.2957703819082056</v>
      </c>
      <c r="O148" s="693">
        <f t="shared" si="122"/>
        <v>3.3125113242451758</v>
      </c>
      <c r="P148" s="693">
        <f t="shared" si="122"/>
        <v>3.3292965208679206</v>
      </c>
      <c r="Q148" s="693">
        <f t="shared" si="122"/>
        <v>3.3463433124975226</v>
      </c>
      <c r="R148" s="693">
        <f t="shared" si="122"/>
        <v>3.3463433124975226</v>
      </c>
      <c r="S148" s="693">
        <f t="shared" si="122"/>
        <v>3.3463433124975226</v>
      </c>
      <c r="T148" s="693">
        <f t="shared" si="122"/>
        <v>3.3463433124975226</v>
      </c>
      <c r="U148" s="693">
        <f t="shared" si="122"/>
        <v>3.3463433124975226</v>
      </c>
      <c r="V148" s="693">
        <f t="shared" si="122"/>
        <v>23.842986507042003</v>
      </c>
      <c r="W148" s="693">
        <f t="shared" si="122"/>
        <v>23.842986507042003</v>
      </c>
      <c r="X148" s="693">
        <f t="shared" si="122"/>
        <v>23.842986507042003</v>
      </c>
      <c r="Y148" s="693">
        <f t="shared" si="122"/>
        <v>23.842986507042003</v>
      </c>
      <c r="Z148" s="693">
        <f t="shared" si="122"/>
        <v>23.842986507042003</v>
      </c>
      <c r="AA148" s="693">
        <f t="shared" si="122"/>
        <v>23.842986507042003</v>
      </c>
      <c r="AB148" s="693">
        <f t="shared" si="122"/>
        <v>23.842986507042003</v>
      </c>
      <c r="AC148" s="693">
        <f t="shared" si="122"/>
        <v>23.842986507042003</v>
      </c>
      <c r="AD148" s="693">
        <f t="shared" si="122"/>
        <v>23.842986507042003</v>
      </c>
      <c r="AE148" s="693">
        <f t="shared" si="122"/>
        <v>23.842986507042003</v>
      </c>
      <c r="AF148" s="693">
        <f t="shared" si="122"/>
        <v>1.43057919042252</v>
      </c>
      <c r="AG148" s="692"/>
      <c r="AH148" s="692"/>
      <c r="AI148" s="692"/>
      <c r="AJ148" s="692"/>
      <c r="AK148" s="692"/>
      <c r="AL148" s="692">
        <v>1</v>
      </c>
      <c r="AM148" s="695">
        <v>0</v>
      </c>
      <c r="AN148" s="695"/>
      <c r="AO148" s="695"/>
      <c r="AP148" s="695"/>
      <c r="AQ148" s="695"/>
      <c r="AR148" s="695"/>
      <c r="AS148" s="695"/>
      <c r="AT148" s="695"/>
      <c r="AU148" s="695"/>
      <c r="AV148" s="695"/>
      <c r="AZ148" s="685">
        <f>AZ147</f>
        <v>30</v>
      </c>
    </row>
    <row r="149" spans="1:52" s="685" customFormat="1" ht="12" customHeight="1" x14ac:dyDescent="0.2">
      <c r="A149" s="666" t="s">
        <v>115</v>
      </c>
      <c r="B149" s="666" t="str">
        <f>Technologies!C199</f>
        <v>TRF10DSL</v>
      </c>
      <c r="C149" s="666" t="str">
        <f>Technologies!D199</f>
        <v>Rail Freight Diesel, 10% improvement</v>
      </c>
      <c r="D149" s="666" t="s">
        <v>487</v>
      </c>
      <c r="E149" s="666" t="s">
        <v>13</v>
      </c>
      <c r="F149" s="666" t="s">
        <v>106</v>
      </c>
      <c r="G149" s="692">
        <v>1</v>
      </c>
      <c r="H149" s="692">
        <v>2010</v>
      </c>
      <c r="I149" s="692">
        <v>30</v>
      </c>
      <c r="J149" s="692">
        <v>0.24</v>
      </c>
      <c r="K149" s="693">
        <f>Freight!H8</f>
        <v>3.0737262330293533</v>
      </c>
      <c r="L149" s="692"/>
      <c r="M149" s="693"/>
      <c r="N149" s="693"/>
      <c r="O149" s="693"/>
      <c r="P149" s="693"/>
      <c r="Q149" s="693"/>
      <c r="R149" s="693"/>
      <c r="S149" s="693"/>
      <c r="T149" s="693"/>
      <c r="U149" s="693"/>
      <c r="V149" s="694">
        <f>Freight!F8</f>
        <v>27.462224962102798</v>
      </c>
      <c r="W149" s="694">
        <f>V149</f>
        <v>27.462224962102798</v>
      </c>
      <c r="X149" s="694">
        <f>Freight!F9</f>
        <v>27.443036352466475</v>
      </c>
      <c r="Y149" s="694">
        <f t="shared" ref="Y149:AE149" si="123">X149</f>
        <v>27.443036352466475</v>
      </c>
      <c r="Z149" s="694">
        <f t="shared" si="123"/>
        <v>27.443036352466475</v>
      </c>
      <c r="AA149" s="694">
        <f t="shared" si="123"/>
        <v>27.443036352466475</v>
      </c>
      <c r="AB149" s="694">
        <f t="shared" si="123"/>
        <v>27.443036352466475</v>
      </c>
      <c r="AC149" s="694">
        <f t="shared" si="123"/>
        <v>27.443036352466475</v>
      </c>
      <c r="AD149" s="694">
        <f t="shared" si="123"/>
        <v>27.443036352466475</v>
      </c>
      <c r="AE149" s="694">
        <f t="shared" si="123"/>
        <v>27.443036352466475</v>
      </c>
      <c r="AF149" s="693">
        <f>Freight!G8</f>
        <v>1.4342634034726935</v>
      </c>
      <c r="AG149" s="692"/>
      <c r="AH149" s="692"/>
      <c r="AI149" s="692"/>
      <c r="AJ149" s="692"/>
      <c r="AK149" s="692"/>
      <c r="AL149" s="692">
        <v>1</v>
      </c>
      <c r="AM149" s="695">
        <v>0</v>
      </c>
      <c r="AN149" s="695"/>
      <c r="AO149" s="695"/>
      <c r="AP149" s="695"/>
      <c r="AQ149" s="695"/>
      <c r="AR149" s="695"/>
      <c r="AS149" s="695"/>
      <c r="AT149" s="695"/>
      <c r="AU149" s="695"/>
      <c r="AV149" s="695"/>
      <c r="AZ149" s="685">
        <f>Freight!E6</f>
        <v>30</v>
      </c>
    </row>
    <row r="150" spans="1:52" s="685" customFormat="1" ht="12" customHeight="1" x14ac:dyDescent="0.2">
      <c r="A150" s="666" t="s">
        <v>115</v>
      </c>
      <c r="B150" s="666" t="str">
        <f>Technologies!C200</f>
        <v>TRF10DSL2</v>
      </c>
      <c r="C150" s="666" t="str">
        <f>Technologies!D200</f>
        <v>Rail Freight Diesel, 10% improvement-MSW</v>
      </c>
      <c r="D150" s="666" t="s">
        <v>480</v>
      </c>
      <c r="E150" s="666" t="str">
        <f>Commodities!$C$46</f>
        <v>TWDSL</v>
      </c>
      <c r="F150" s="666" t="str">
        <f>Commodities!$C$16</f>
        <v>TSW</v>
      </c>
      <c r="G150" s="666">
        <f>G149</f>
        <v>1</v>
      </c>
      <c r="H150" s="666">
        <f>H149</f>
        <v>2010</v>
      </c>
      <c r="I150" s="666">
        <f>I149</f>
        <v>30</v>
      </c>
      <c r="J150" s="666">
        <f>J149</f>
        <v>0.24</v>
      </c>
      <c r="K150" s="666">
        <f>K149</f>
        <v>3.0737262330293533</v>
      </c>
      <c r="L150" s="692"/>
      <c r="M150" s="693"/>
      <c r="N150" s="693"/>
      <c r="O150" s="693"/>
      <c r="P150" s="693"/>
      <c r="Q150" s="693"/>
      <c r="R150" s="693"/>
      <c r="S150" s="693"/>
      <c r="T150" s="693"/>
      <c r="U150" s="693"/>
      <c r="V150" s="694">
        <f t="shared" ref="V150:AF150" si="124">V149</f>
        <v>27.462224962102798</v>
      </c>
      <c r="W150" s="694">
        <f t="shared" si="124"/>
        <v>27.462224962102798</v>
      </c>
      <c r="X150" s="694">
        <f t="shared" si="124"/>
        <v>27.443036352466475</v>
      </c>
      <c r="Y150" s="694">
        <f t="shared" si="124"/>
        <v>27.443036352466475</v>
      </c>
      <c r="Z150" s="694">
        <f t="shared" si="124"/>
        <v>27.443036352466475</v>
      </c>
      <c r="AA150" s="694">
        <f t="shared" si="124"/>
        <v>27.443036352466475</v>
      </c>
      <c r="AB150" s="694">
        <f t="shared" si="124"/>
        <v>27.443036352466475</v>
      </c>
      <c r="AC150" s="694">
        <f t="shared" si="124"/>
        <v>27.443036352466475</v>
      </c>
      <c r="AD150" s="694">
        <f t="shared" si="124"/>
        <v>27.443036352466475</v>
      </c>
      <c r="AE150" s="694">
        <f t="shared" si="124"/>
        <v>27.443036352466475</v>
      </c>
      <c r="AF150" s="694">
        <f t="shared" si="124"/>
        <v>1.4342634034726935</v>
      </c>
      <c r="AG150" s="692"/>
      <c r="AH150" s="692"/>
      <c r="AI150" s="692"/>
      <c r="AJ150" s="692"/>
      <c r="AK150" s="692"/>
      <c r="AL150" s="692">
        <v>1</v>
      </c>
      <c r="AM150" s="695">
        <v>0</v>
      </c>
      <c r="AN150" s="695"/>
      <c r="AO150" s="695"/>
      <c r="AP150" s="695"/>
      <c r="AQ150" s="695"/>
      <c r="AR150" s="695"/>
      <c r="AS150" s="695"/>
      <c r="AT150" s="695"/>
      <c r="AU150" s="695"/>
      <c r="AV150" s="695"/>
      <c r="AZ150" s="661">
        <f>AZ149</f>
        <v>30</v>
      </c>
    </row>
    <row r="151" spans="1:52" s="685" customFormat="1" ht="12" customHeight="1" x14ac:dyDescent="0.2">
      <c r="A151" s="666" t="s">
        <v>115</v>
      </c>
      <c r="B151" s="666" t="str">
        <f>Technologies!C201</f>
        <v>TRF25DSL</v>
      </c>
      <c r="C151" s="666" t="str">
        <f>Technologies!D201</f>
        <v>Rail Freight Dieseil, 25% improvement</v>
      </c>
      <c r="D151" s="666" t="s">
        <v>487</v>
      </c>
      <c r="E151" s="666" t="s">
        <v>13</v>
      </c>
      <c r="F151" s="666" t="s">
        <v>106</v>
      </c>
      <c r="G151" s="692">
        <v>1</v>
      </c>
      <c r="H151" s="692">
        <v>2010</v>
      </c>
      <c r="I151" s="692">
        <v>30</v>
      </c>
      <c r="J151" s="692">
        <v>0.3</v>
      </c>
      <c r="K151" s="693">
        <f>Freight!H6</f>
        <v>3.6884714796352243</v>
      </c>
      <c r="L151" s="692"/>
      <c r="M151" s="693"/>
      <c r="N151" s="693"/>
      <c r="O151" s="693"/>
      <c r="P151" s="693"/>
      <c r="Q151" s="693"/>
      <c r="R151" s="693"/>
      <c r="S151" s="693"/>
      <c r="T151" s="693"/>
      <c r="U151" s="693"/>
      <c r="V151" s="694">
        <f>Freight!F6</f>
        <v>31.239056487930078</v>
      </c>
      <c r="W151" s="694">
        <f>V151</f>
        <v>31.239056487930078</v>
      </c>
      <c r="X151" s="694">
        <f>Freight!F7</f>
        <v>31.162302049384802</v>
      </c>
      <c r="Y151" s="694">
        <f t="shared" ref="Y151:AE151" si="125">X151</f>
        <v>31.162302049384802</v>
      </c>
      <c r="Z151" s="694">
        <f t="shared" si="125"/>
        <v>31.162302049384802</v>
      </c>
      <c r="AA151" s="694">
        <f t="shared" si="125"/>
        <v>31.162302049384802</v>
      </c>
      <c r="AB151" s="694">
        <f t="shared" si="125"/>
        <v>31.162302049384802</v>
      </c>
      <c r="AC151" s="694">
        <f t="shared" si="125"/>
        <v>31.162302049384802</v>
      </c>
      <c r="AD151" s="694">
        <f t="shared" si="125"/>
        <v>31.162302049384802</v>
      </c>
      <c r="AE151" s="694">
        <f t="shared" si="125"/>
        <v>31.162302049384802</v>
      </c>
      <c r="AF151" s="693">
        <f>Freight!G7</f>
        <v>1.4459300781315767</v>
      </c>
      <c r="AG151" s="692"/>
      <c r="AH151" s="692"/>
      <c r="AI151" s="692"/>
      <c r="AJ151" s="692"/>
      <c r="AK151" s="692"/>
      <c r="AL151" s="692">
        <v>1</v>
      </c>
      <c r="AM151" s="695">
        <v>0</v>
      </c>
      <c r="AN151" s="695"/>
      <c r="AO151" s="695"/>
      <c r="AP151" s="695"/>
      <c r="AQ151" s="695"/>
      <c r="AR151" s="695"/>
      <c r="AS151" s="695"/>
      <c r="AT151" s="695"/>
      <c r="AU151" s="695"/>
      <c r="AV151" s="695"/>
      <c r="AZ151" s="685">
        <f>Freight!E7</f>
        <v>30</v>
      </c>
    </row>
    <row r="152" spans="1:52" s="685" customFormat="1" ht="12" customHeight="1" x14ac:dyDescent="0.2">
      <c r="A152" s="666" t="s">
        <v>115</v>
      </c>
      <c r="B152" s="666" t="str">
        <f>Technologies!C202</f>
        <v>TRF25DSL2</v>
      </c>
      <c r="C152" s="666" t="str">
        <f>Technologies!D202</f>
        <v>Rail Freight Dieseil, 25% improvement-MSW</v>
      </c>
      <c r="D152" s="666" t="s">
        <v>480</v>
      </c>
      <c r="E152" s="666" t="str">
        <f>Commodities!$C$46</f>
        <v>TWDSL</v>
      </c>
      <c r="F152" s="666" t="str">
        <f>Commodities!$C$16</f>
        <v>TSW</v>
      </c>
      <c r="G152" s="692">
        <v>1</v>
      </c>
      <c r="H152" s="692">
        <f>H151</f>
        <v>2010</v>
      </c>
      <c r="I152" s="692">
        <f>I151</f>
        <v>30</v>
      </c>
      <c r="J152" s="692">
        <f>J151</f>
        <v>0.3</v>
      </c>
      <c r="K152" s="692">
        <f>K151</f>
        <v>3.6884714796352243</v>
      </c>
      <c r="L152" s="692"/>
      <c r="M152" s="693"/>
      <c r="N152" s="693"/>
      <c r="O152" s="693"/>
      <c r="P152" s="693"/>
      <c r="Q152" s="693"/>
      <c r="R152" s="693"/>
      <c r="S152" s="693"/>
      <c r="T152" s="693"/>
      <c r="U152" s="693"/>
      <c r="V152" s="694">
        <f t="shared" ref="V152:AF152" si="126">V151</f>
        <v>31.239056487930078</v>
      </c>
      <c r="W152" s="694">
        <f t="shared" si="126"/>
        <v>31.239056487930078</v>
      </c>
      <c r="X152" s="694">
        <f t="shared" si="126"/>
        <v>31.162302049384802</v>
      </c>
      <c r="Y152" s="694">
        <f t="shared" si="126"/>
        <v>31.162302049384802</v>
      </c>
      <c r="Z152" s="694">
        <f t="shared" si="126"/>
        <v>31.162302049384802</v>
      </c>
      <c r="AA152" s="694">
        <f t="shared" si="126"/>
        <v>31.162302049384802</v>
      </c>
      <c r="AB152" s="694">
        <f t="shared" si="126"/>
        <v>31.162302049384802</v>
      </c>
      <c r="AC152" s="694">
        <f t="shared" si="126"/>
        <v>31.162302049384802</v>
      </c>
      <c r="AD152" s="694">
        <f t="shared" si="126"/>
        <v>31.162302049384802</v>
      </c>
      <c r="AE152" s="694">
        <f t="shared" si="126"/>
        <v>31.162302049384802</v>
      </c>
      <c r="AF152" s="694">
        <f t="shared" si="126"/>
        <v>1.4459300781315767</v>
      </c>
      <c r="AG152" s="692"/>
      <c r="AH152" s="692"/>
      <c r="AI152" s="692"/>
      <c r="AJ152" s="692"/>
      <c r="AK152" s="692"/>
      <c r="AL152" s="692">
        <v>1</v>
      </c>
      <c r="AM152" s="695">
        <v>0</v>
      </c>
      <c r="AN152" s="695"/>
      <c r="AO152" s="695"/>
      <c r="AP152" s="695"/>
      <c r="AQ152" s="695"/>
      <c r="AR152" s="695"/>
      <c r="AS152" s="695"/>
      <c r="AT152" s="695"/>
      <c r="AU152" s="695"/>
      <c r="AV152" s="695"/>
      <c r="AZ152" s="685">
        <f>AZ151</f>
        <v>30</v>
      </c>
    </row>
    <row r="153" spans="1:52" s="685" customFormat="1" ht="12" customHeight="1" x14ac:dyDescent="0.2">
      <c r="A153" s="666" t="s">
        <v>115</v>
      </c>
      <c r="B153" s="666" t="str">
        <f>Technologies!C203</f>
        <v>TRFAPU</v>
      </c>
      <c r="C153" s="666" t="str">
        <f>Technologies!D203</f>
        <v>Rail Freight Diesel with APU</v>
      </c>
      <c r="D153" s="666" t="s">
        <v>487</v>
      </c>
      <c r="E153" s="666" t="s">
        <v>13</v>
      </c>
      <c r="F153" s="666" t="s">
        <v>106</v>
      </c>
      <c r="G153" s="692">
        <v>1</v>
      </c>
      <c r="H153" s="692">
        <v>2010</v>
      </c>
      <c r="I153" s="692">
        <v>30</v>
      </c>
      <c r="J153" s="692">
        <v>0.24</v>
      </c>
      <c r="K153" s="693">
        <f>Freight!H10</f>
        <v>3.1899834060498367</v>
      </c>
      <c r="L153" s="692"/>
      <c r="M153" s="692"/>
      <c r="N153" s="692"/>
      <c r="O153" s="692"/>
      <c r="P153" s="692"/>
      <c r="Q153" s="692"/>
      <c r="R153" s="692"/>
      <c r="S153" s="692"/>
      <c r="T153" s="692"/>
      <c r="U153" s="692"/>
      <c r="V153" s="694">
        <f>Freight!F10</f>
        <v>24.192367247674138</v>
      </c>
      <c r="W153" s="694">
        <f t="shared" ref="W153:AE153" si="127">V153</f>
        <v>24.192367247674138</v>
      </c>
      <c r="X153" s="694">
        <f t="shared" si="127"/>
        <v>24.192367247674138</v>
      </c>
      <c r="Y153" s="694">
        <f t="shared" si="127"/>
        <v>24.192367247674138</v>
      </c>
      <c r="Z153" s="694">
        <f t="shared" si="127"/>
        <v>24.192367247674138</v>
      </c>
      <c r="AA153" s="694">
        <f t="shared" si="127"/>
        <v>24.192367247674138</v>
      </c>
      <c r="AB153" s="694">
        <f t="shared" si="127"/>
        <v>24.192367247674138</v>
      </c>
      <c r="AC153" s="694">
        <f t="shared" si="127"/>
        <v>24.192367247674138</v>
      </c>
      <c r="AD153" s="694">
        <f t="shared" si="127"/>
        <v>24.192367247674138</v>
      </c>
      <c r="AE153" s="694">
        <f t="shared" si="127"/>
        <v>24.192367247674138</v>
      </c>
      <c r="AF153" s="693">
        <f>Freight!G10</f>
        <v>1.4425890276025934</v>
      </c>
      <c r="AG153" s="692"/>
      <c r="AH153" s="692"/>
      <c r="AI153" s="692"/>
      <c r="AJ153" s="692"/>
      <c r="AK153" s="692"/>
      <c r="AL153" s="692">
        <v>1</v>
      </c>
      <c r="AM153" s="695"/>
      <c r="AN153" s="695"/>
      <c r="AO153" s="695"/>
      <c r="AP153" s="695"/>
      <c r="AQ153" s="695"/>
      <c r="AR153" s="695"/>
      <c r="AS153" s="695"/>
      <c r="AT153" s="695"/>
      <c r="AU153" s="695"/>
      <c r="AV153" s="695"/>
      <c r="AZ153" s="685">
        <f>Freight!E8</f>
        <v>30</v>
      </c>
    </row>
    <row r="154" spans="1:52" s="685" customFormat="1" ht="12" customHeight="1" x14ac:dyDescent="0.2">
      <c r="A154" s="666" t="s">
        <v>115</v>
      </c>
      <c r="B154" s="666" t="str">
        <f>Technologies!C204</f>
        <v>TRFB20</v>
      </c>
      <c r="C154" s="666" t="str">
        <f>Technologies!D204</f>
        <v>Rail Freight, Biodiesel</v>
      </c>
      <c r="D154" s="666" t="s">
        <v>487</v>
      </c>
      <c r="E154" s="666" t="str">
        <f>Commodities!C$64</f>
        <v>TRB20X</v>
      </c>
      <c r="F154" s="666" t="s">
        <v>106</v>
      </c>
      <c r="G154" s="692">
        <v>1</v>
      </c>
      <c r="H154" s="692">
        <v>2015</v>
      </c>
      <c r="I154" s="692">
        <v>30</v>
      </c>
      <c r="J154" s="692">
        <v>0.24</v>
      </c>
      <c r="K154" s="693"/>
      <c r="L154" s="693">
        <f>Freight!J11</f>
        <v>3.2313171721848972</v>
      </c>
      <c r="M154" s="693">
        <f>Freight!K11</f>
        <v>3.2469365459990907</v>
      </c>
      <c r="N154" s="693">
        <f>Freight!L11</f>
        <v>3.2631389919883222</v>
      </c>
      <c r="O154" s="693">
        <f>Freight!M11</f>
        <v>3.2797141824209661</v>
      </c>
      <c r="P154" s="693">
        <f>Freight!N11</f>
        <v>3.2963331889781391</v>
      </c>
      <c r="Q154" s="693">
        <f>Freight!O11</f>
        <v>3.3132112004925967</v>
      </c>
      <c r="R154" s="693">
        <f>Q154</f>
        <v>3.3132112004925967</v>
      </c>
      <c r="S154" s="693">
        <f>R154</f>
        <v>3.3132112004925967</v>
      </c>
      <c r="T154" s="693">
        <f>S154</f>
        <v>3.3132112004925967</v>
      </c>
      <c r="U154" s="693">
        <f>T154</f>
        <v>3.3132112004925967</v>
      </c>
      <c r="V154" s="694">
        <f>Freight!F11</f>
        <v>23.842986507042003</v>
      </c>
      <c r="W154" s="694">
        <f t="shared" ref="W154:AE154" si="128">V154</f>
        <v>23.842986507042003</v>
      </c>
      <c r="X154" s="694">
        <f t="shared" si="128"/>
        <v>23.842986507042003</v>
      </c>
      <c r="Y154" s="694">
        <f t="shared" si="128"/>
        <v>23.842986507042003</v>
      </c>
      <c r="Z154" s="694">
        <f t="shared" si="128"/>
        <v>23.842986507042003</v>
      </c>
      <c r="AA154" s="694">
        <f t="shared" si="128"/>
        <v>23.842986507042003</v>
      </c>
      <c r="AB154" s="694">
        <f t="shared" si="128"/>
        <v>23.842986507042003</v>
      </c>
      <c r="AC154" s="694">
        <f t="shared" si="128"/>
        <v>23.842986507042003</v>
      </c>
      <c r="AD154" s="694">
        <f t="shared" si="128"/>
        <v>23.842986507042003</v>
      </c>
      <c r="AE154" s="694">
        <f t="shared" si="128"/>
        <v>23.842986507042003</v>
      </c>
      <c r="AF154" s="693">
        <f>Freight!G11</f>
        <v>1.43057919042252</v>
      </c>
      <c r="AG154" s="692"/>
      <c r="AH154" s="692"/>
      <c r="AI154" s="692"/>
      <c r="AJ154" s="692"/>
      <c r="AK154" s="692"/>
      <c r="AL154" s="692">
        <v>1</v>
      </c>
      <c r="AM154" s="695"/>
      <c r="AN154" s="695"/>
      <c r="AO154" s="695"/>
      <c r="AP154" s="695"/>
      <c r="AQ154" s="695"/>
      <c r="AR154" s="695"/>
      <c r="AS154" s="695"/>
      <c r="AT154" s="695"/>
      <c r="AU154" s="695"/>
      <c r="AV154" s="695"/>
      <c r="AZ154" s="685">
        <f>Freight!E9</f>
        <v>30</v>
      </c>
    </row>
    <row r="155" spans="1:52" s="685" customFormat="1" ht="12" customHeight="1" x14ac:dyDescent="0.2">
      <c r="A155" s="666" t="s">
        <v>115</v>
      </c>
      <c r="B155" s="666" t="str">
        <f>Technologies!C205</f>
        <v>TRFLNG</v>
      </c>
      <c r="C155" s="666" t="str">
        <f>Technologies!D205</f>
        <v>Rail Freight, LNG</v>
      </c>
      <c r="D155" s="666" t="s">
        <v>487</v>
      </c>
      <c r="E155" s="666"/>
      <c r="F155" s="666" t="s">
        <v>106</v>
      </c>
      <c r="G155" s="692">
        <v>1</v>
      </c>
      <c r="H155" s="692">
        <v>2015</v>
      </c>
      <c r="I155" s="692">
        <v>30</v>
      </c>
      <c r="J155" s="692">
        <v>0.24</v>
      </c>
      <c r="K155" s="693">
        <f>Freight!H12</f>
        <v>2.7635668727577114</v>
      </c>
      <c r="L155" s="692"/>
      <c r="M155" s="692"/>
      <c r="N155" s="692"/>
      <c r="O155" s="692"/>
      <c r="P155" s="692"/>
      <c r="Q155" s="692"/>
      <c r="R155" s="692"/>
      <c r="S155" s="692"/>
      <c r="T155" s="692"/>
      <c r="U155" s="692"/>
      <c r="V155" s="694">
        <f>Freight!F12</f>
        <v>25.343813499419113</v>
      </c>
      <c r="W155" s="694">
        <f t="shared" ref="W155:AE155" si="129">V155</f>
        <v>25.343813499419113</v>
      </c>
      <c r="X155" s="694">
        <f t="shared" si="129"/>
        <v>25.343813499419113</v>
      </c>
      <c r="Y155" s="694">
        <f t="shared" si="129"/>
        <v>25.343813499419113</v>
      </c>
      <c r="Z155" s="694">
        <f t="shared" si="129"/>
        <v>25.343813499419113</v>
      </c>
      <c r="AA155" s="694">
        <f t="shared" si="129"/>
        <v>25.343813499419113</v>
      </c>
      <c r="AB155" s="694">
        <f t="shared" si="129"/>
        <v>25.343813499419113</v>
      </c>
      <c r="AC155" s="694">
        <f t="shared" si="129"/>
        <v>25.343813499419113</v>
      </c>
      <c r="AD155" s="694">
        <f t="shared" si="129"/>
        <v>25.343813499419113</v>
      </c>
      <c r="AE155" s="694">
        <f t="shared" si="129"/>
        <v>25.343813499419113</v>
      </c>
      <c r="AF155" s="693">
        <f>Freight!G12</f>
        <v>1.4342634034726935</v>
      </c>
      <c r="AG155" s="692"/>
      <c r="AH155" s="692"/>
      <c r="AI155" s="692"/>
      <c r="AJ155" s="692"/>
      <c r="AK155" s="692"/>
      <c r="AL155" s="692">
        <v>1</v>
      </c>
      <c r="AM155" s="695"/>
      <c r="AN155" s="695"/>
      <c r="AO155" s="695"/>
      <c r="AP155" s="695"/>
      <c r="AQ155" s="695"/>
      <c r="AR155" s="695"/>
      <c r="AS155" s="695"/>
      <c r="AT155" s="695"/>
      <c r="AU155" s="695"/>
      <c r="AV155" s="695"/>
      <c r="AZ155" s="685">
        <f>Freight!E10</f>
        <v>30</v>
      </c>
    </row>
    <row r="156" spans="1:52" s="685" customFormat="1" ht="12" customHeight="1" x14ac:dyDescent="0.2">
      <c r="A156" s="666" t="str">
        <f>Technologies!B206</f>
        <v>*</v>
      </c>
      <c r="B156" s="666" t="str">
        <f>Technologies!C206</f>
        <v>TSDSHE</v>
      </c>
      <c r="C156" s="666" t="str">
        <f>Technologies!D206</f>
        <v>Water Shipping, Residual Oil exisiting</v>
      </c>
      <c r="D156" s="666" t="s">
        <v>487</v>
      </c>
      <c r="E156" s="666" t="s">
        <v>25</v>
      </c>
      <c r="F156" s="666" t="s">
        <v>102</v>
      </c>
      <c r="G156" s="692">
        <v>1</v>
      </c>
      <c r="H156" s="692">
        <v>2010</v>
      </c>
      <c r="I156" s="692">
        <v>30</v>
      </c>
      <c r="J156" s="692">
        <v>0.18</v>
      </c>
      <c r="K156" s="693">
        <f>'Air&amp;Marine'!J37</f>
        <v>2.4581977639536889</v>
      </c>
      <c r="L156" s="692"/>
      <c r="M156" s="692"/>
      <c r="N156" s="692"/>
      <c r="O156" s="692"/>
      <c r="P156" s="692"/>
      <c r="Q156" s="692"/>
      <c r="R156" s="692"/>
      <c r="S156" s="692"/>
      <c r="T156" s="692"/>
      <c r="U156" s="692"/>
      <c r="V156" s="694">
        <f>'Air&amp;Marine'!H37</f>
        <v>116.69461084272677</v>
      </c>
      <c r="W156" s="694">
        <f t="shared" ref="W156:AE156" si="130">V156</f>
        <v>116.69461084272677</v>
      </c>
      <c r="X156" s="694">
        <f t="shared" si="130"/>
        <v>116.69461084272677</v>
      </c>
      <c r="Y156" s="694">
        <f t="shared" si="130"/>
        <v>116.69461084272677</v>
      </c>
      <c r="Z156" s="694">
        <f t="shared" si="130"/>
        <v>116.69461084272677</v>
      </c>
      <c r="AA156" s="694">
        <f t="shared" si="130"/>
        <v>116.69461084272677</v>
      </c>
      <c r="AB156" s="694">
        <f t="shared" si="130"/>
        <v>116.69461084272677</v>
      </c>
      <c r="AC156" s="694">
        <f t="shared" si="130"/>
        <v>116.69461084272677</v>
      </c>
      <c r="AD156" s="694">
        <f t="shared" si="130"/>
        <v>116.69461084272677</v>
      </c>
      <c r="AE156" s="694">
        <f t="shared" si="130"/>
        <v>116.69461084272677</v>
      </c>
      <c r="AF156" s="694">
        <f>'Air&amp;Marine'!I37</f>
        <v>5.8347305421363389</v>
      </c>
      <c r="AG156" s="692"/>
      <c r="AH156" s="692"/>
      <c r="AI156" s="692"/>
      <c r="AJ156" s="692"/>
      <c r="AK156" s="692"/>
      <c r="AL156" s="692">
        <v>1</v>
      </c>
      <c r="AM156" s="695">
        <v>0</v>
      </c>
      <c r="AN156" s="695">
        <v>0</v>
      </c>
      <c r="AO156" s="695">
        <v>0</v>
      </c>
      <c r="AP156" s="695">
        <v>0</v>
      </c>
      <c r="AQ156" s="695">
        <v>0</v>
      </c>
      <c r="AR156" s="695">
        <v>0</v>
      </c>
      <c r="AS156" s="695">
        <v>0</v>
      </c>
      <c r="AT156" s="695">
        <v>0</v>
      </c>
      <c r="AU156" s="695">
        <v>0</v>
      </c>
      <c r="AV156" s="695">
        <v>0</v>
      </c>
      <c r="AZ156" s="685">
        <f>'Air&amp;Marine'!G37</f>
        <v>30</v>
      </c>
    </row>
    <row r="157" spans="1:52" s="685" customFormat="1" ht="12" customHeight="1" x14ac:dyDescent="0.2">
      <c r="A157" s="666" t="str">
        <f>Technologies!B207</f>
        <v>*</v>
      </c>
      <c r="B157" s="666" t="str">
        <f>Technologies!C207</f>
        <v>TSDSH10</v>
      </c>
      <c r="C157" s="666" t="str">
        <f>Technologies!D207</f>
        <v>Water Shipping, Residual Oil, 2010</v>
      </c>
      <c r="D157" s="666" t="s">
        <v>487</v>
      </c>
      <c r="E157" s="666" t="str">
        <f>E156</f>
        <v>TRNRFH1</v>
      </c>
      <c r="F157" s="666" t="s">
        <v>102</v>
      </c>
      <c r="G157" s="692">
        <v>1</v>
      </c>
      <c r="H157" s="692">
        <v>2010</v>
      </c>
      <c r="I157" s="692">
        <v>30</v>
      </c>
      <c r="J157" s="692">
        <v>0.18</v>
      </c>
      <c r="K157" s="693">
        <f>'Air&amp;Marine'!J39</f>
        <v>2.7313308488374322</v>
      </c>
      <c r="L157" s="692"/>
      <c r="M157" s="692"/>
      <c r="N157" s="692"/>
      <c r="O157" s="692"/>
      <c r="P157" s="692"/>
      <c r="Q157" s="692"/>
      <c r="R157" s="692"/>
      <c r="S157" s="692"/>
      <c r="T157" s="692"/>
      <c r="U157" s="692"/>
      <c r="V157" s="694">
        <f>'Air&amp;Marine'!H39</f>
        <v>116.82165966338562</v>
      </c>
      <c r="W157" s="694">
        <f t="shared" ref="W157:AE157" si="131">V157</f>
        <v>116.82165966338562</v>
      </c>
      <c r="X157" s="694">
        <f t="shared" si="131"/>
        <v>116.82165966338562</v>
      </c>
      <c r="Y157" s="694">
        <f t="shared" si="131"/>
        <v>116.82165966338562</v>
      </c>
      <c r="Z157" s="694">
        <f t="shared" si="131"/>
        <v>116.82165966338562</v>
      </c>
      <c r="AA157" s="694">
        <f t="shared" si="131"/>
        <v>116.82165966338562</v>
      </c>
      <c r="AB157" s="694">
        <f t="shared" si="131"/>
        <v>116.82165966338562</v>
      </c>
      <c r="AC157" s="694">
        <f t="shared" si="131"/>
        <v>116.82165966338562</v>
      </c>
      <c r="AD157" s="694">
        <f t="shared" si="131"/>
        <v>116.82165966338562</v>
      </c>
      <c r="AE157" s="694">
        <f t="shared" si="131"/>
        <v>116.82165966338562</v>
      </c>
      <c r="AF157" s="694">
        <f>'Air&amp;Marine'!I39</f>
        <v>5.8410829831692812</v>
      </c>
      <c r="AG157" s="692"/>
      <c r="AH157" s="692"/>
      <c r="AI157" s="692"/>
      <c r="AJ157" s="692"/>
      <c r="AK157" s="692"/>
      <c r="AL157" s="692">
        <v>1</v>
      </c>
      <c r="AM157" s="695"/>
      <c r="AN157" s="695"/>
      <c r="AO157" s="695"/>
      <c r="AP157" s="695"/>
      <c r="AQ157" s="695"/>
      <c r="AR157" s="695"/>
      <c r="AS157" s="695"/>
      <c r="AT157" s="695"/>
      <c r="AU157" s="695"/>
      <c r="AV157" s="695"/>
      <c r="AZ157" s="685">
        <f>'Air&amp;Marine'!G38</f>
        <v>30</v>
      </c>
    </row>
    <row r="158" spans="1:52" s="685" customFormat="1" ht="12" customHeight="1" x14ac:dyDescent="0.2">
      <c r="A158" s="666" t="str">
        <f>Technologies!B208</f>
        <v>*</v>
      </c>
      <c r="B158" s="666" t="str">
        <f>Technologies!C208</f>
        <v>TSDSHFI15</v>
      </c>
      <c r="C158" s="666" t="str">
        <f>Technologies!D208</f>
        <v>Water Shipping, Resid Fuel Inject, 2015</v>
      </c>
      <c r="D158" s="666" t="s">
        <v>487</v>
      </c>
      <c r="E158" s="666" t="str">
        <f>E157</f>
        <v>TRNRFH1</v>
      </c>
      <c r="F158" s="666" t="s">
        <v>102</v>
      </c>
      <c r="G158" s="692">
        <v>1</v>
      </c>
      <c r="H158" s="692">
        <v>2015</v>
      </c>
      <c r="I158" s="692">
        <v>30</v>
      </c>
      <c r="J158" s="692">
        <v>0.26</v>
      </c>
      <c r="K158" s="693">
        <f>'Air&amp;Marine'!J38</f>
        <v>2.7934065499473739</v>
      </c>
      <c r="L158" s="692"/>
      <c r="M158" s="692"/>
      <c r="N158" s="692"/>
      <c r="O158" s="692"/>
      <c r="P158" s="692"/>
      <c r="Q158" s="692"/>
      <c r="R158" s="692"/>
      <c r="S158" s="692"/>
      <c r="T158" s="692"/>
      <c r="U158" s="692"/>
      <c r="V158" s="694">
        <f>'Air&amp;Marine'!H38</f>
        <v>120.72361650800623</v>
      </c>
      <c r="W158" s="694">
        <f t="shared" ref="W158:AE158" si="132">V158</f>
        <v>120.72361650800623</v>
      </c>
      <c r="X158" s="694">
        <f t="shared" si="132"/>
        <v>120.72361650800623</v>
      </c>
      <c r="Y158" s="694">
        <f t="shared" si="132"/>
        <v>120.72361650800623</v>
      </c>
      <c r="Z158" s="694">
        <f t="shared" si="132"/>
        <v>120.72361650800623</v>
      </c>
      <c r="AA158" s="694">
        <f t="shared" si="132"/>
        <v>120.72361650800623</v>
      </c>
      <c r="AB158" s="694">
        <f t="shared" si="132"/>
        <v>120.72361650800623</v>
      </c>
      <c r="AC158" s="694">
        <f t="shared" si="132"/>
        <v>120.72361650800623</v>
      </c>
      <c r="AD158" s="694">
        <f t="shared" si="132"/>
        <v>120.72361650800623</v>
      </c>
      <c r="AE158" s="694">
        <f t="shared" si="132"/>
        <v>120.72361650800623</v>
      </c>
      <c r="AF158" s="694">
        <f>'Air&amp;Marine'!I38</f>
        <v>6.0361808254003115</v>
      </c>
      <c r="AG158" s="692"/>
      <c r="AH158" s="692"/>
      <c r="AI158" s="692"/>
      <c r="AJ158" s="692"/>
      <c r="AK158" s="692"/>
      <c r="AL158" s="692">
        <v>1</v>
      </c>
      <c r="AM158" s="695"/>
      <c r="AN158" s="695"/>
      <c r="AO158" s="695"/>
      <c r="AP158" s="695"/>
      <c r="AQ158" s="695"/>
      <c r="AR158" s="695"/>
      <c r="AS158" s="695"/>
      <c r="AT158" s="695"/>
      <c r="AU158" s="695"/>
      <c r="AV158" s="695"/>
      <c r="AZ158" s="685">
        <f>'Air&amp;Marine'!G39</f>
        <v>30</v>
      </c>
    </row>
    <row r="159" spans="1:52" s="685" customFormat="1" ht="12" customHeight="1" x14ac:dyDescent="0.2">
      <c r="A159" s="666" t="str">
        <f>Technologies!B209</f>
        <v>*</v>
      </c>
      <c r="B159" s="666" t="str">
        <f>Technologies!C209</f>
        <v>TSDSHBL15</v>
      </c>
      <c r="C159" s="666" t="str">
        <f>Technologies!D209</f>
        <v>Water Shipping, Resid Bubble Lub, 2015</v>
      </c>
      <c r="D159" s="666" t="s">
        <v>487</v>
      </c>
      <c r="E159" s="666" t="str">
        <f>E158</f>
        <v>TRNRFH1</v>
      </c>
      <c r="F159" s="666" t="s">
        <v>102</v>
      </c>
      <c r="G159" s="692">
        <v>1</v>
      </c>
      <c r="H159" s="692">
        <f>'Air&amp;Marine'!F40</f>
        <v>2015</v>
      </c>
      <c r="I159" s="692">
        <v>30</v>
      </c>
      <c r="J159" s="692">
        <v>0.28000000000000003</v>
      </c>
      <c r="K159" s="693">
        <f>'Air&amp;Marine'!J40</f>
        <v>2.8093688730899302</v>
      </c>
      <c r="L159" s="692"/>
      <c r="M159" s="692"/>
      <c r="N159" s="692"/>
      <c r="O159" s="692"/>
      <c r="P159" s="692"/>
      <c r="Q159" s="692"/>
      <c r="R159" s="692"/>
      <c r="S159" s="692"/>
      <c r="T159" s="692"/>
      <c r="U159" s="692"/>
      <c r="V159" s="694">
        <f>'Air&amp;Marine'!H40</f>
        <v>121.07065874932904</v>
      </c>
      <c r="W159" s="694">
        <f t="shared" ref="W159:AE159" si="133">V159</f>
        <v>121.07065874932904</v>
      </c>
      <c r="X159" s="694">
        <f t="shared" si="133"/>
        <v>121.07065874932904</v>
      </c>
      <c r="Y159" s="694">
        <f t="shared" si="133"/>
        <v>121.07065874932904</v>
      </c>
      <c r="Z159" s="694">
        <f t="shared" si="133"/>
        <v>121.07065874932904</v>
      </c>
      <c r="AA159" s="694">
        <f t="shared" si="133"/>
        <v>121.07065874932904</v>
      </c>
      <c r="AB159" s="694">
        <f t="shared" si="133"/>
        <v>121.07065874932904</v>
      </c>
      <c r="AC159" s="694">
        <f t="shared" si="133"/>
        <v>121.07065874932904</v>
      </c>
      <c r="AD159" s="694">
        <f t="shared" si="133"/>
        <v>121.07065874932904</v>
      </c>
      <c r="AE159" s="694">
        <f t="shared" si="133"/>
        <v>121.07065874932904</v>
      </c>
      <c r="AF159" s="694">
        <f>'Air&amp;Marine'!I40</f>
        <v>6.0535329374664526</v>
      </c>
      <c r="AG159" s="692"/>
      <c r="AH159" s="692"/>
      <c r="AI159" s="692"/>
      <c r="AJ159" s="692"/>
      <c r="AK159" s="692"/>
      <c r="AL159" s="692">
        <v>1</v>
      </c>
      <c r="AM159" s="695"/>
      <c r="AN159" s="695"/>
      <c r="AO159" s="695"/>
      <c r="AP159" s="695"/>
      <c r="AQ159" s="695"/>
      <c r="AR159" s="695"/>
      <c r="AS159" s="695"/>
      <c r="AT159" s="695"/>
      <c r="AU159" s="695"/>
      <c r="AV159" s="695"/>
      <c r="AZ159" s="685">
        <f>'Air&amp;Marine'!G40</f>
        <v>30</v>
      </c>
    </row>
    <row r="160" spans="1:52" s="685" customFormat="1" ht="12" customHeight="1" x14ac:dyDescent="0.2">
      <c r="A160" s="666" t="str">
        <f>Technologies!B211</f>
        <v>R2,R3,R4,R5,R6</v>
      </c>
      <c r="B160" s="666" t="str">
        <f>Technologies!C211</f>
        <v>TSDSL10</v>
      </c>
      <c r="C160" s="666" t="str">
        <f>Technologies!D211</f>
        <v>Water Shipping, Diesel,2010</v>
      </c>
      <c r="D160" s="666" t="s">
        <v>487</v>
      </c>
      <c r="E160" s="666" t="str">
        <f>TechData!E33</f>
        <v>TSDSL</v>
      </c>
      <c r="F160" s="666" t="s">
        <v>102</v>
      </c>
      <c r="G160" s="692">
        <v>1</v>
      </c>
      <c r="H160" s="692">
        <v>2010</v>
      </c>
      <c r="I160" s="692">
        <v>30</v>
      </c>
      <c r="J160" s="692">
        <v>0.18</v>
      </c>
      <c r="K160" s="693">
        <f>'Air&amp;Marine'!J34</f>
        <v>2.1302385219588733</v>
      </c>
      <c r="L160" s="692"/>
      <c r="M160" s="692"/>
      <c r="N160" s="692"/>
      <c r="O160" s="692"/>
      <c r="P160" s="692"/>
      <c r="Q160" s="692"/>
      <c r="R160" s="692"/>
      <c r="S160" s="692"/>
      <c r="T160" s="692"/>
      <c r="U160" s="692"/>
      <c r="V160" s="694">
        <f>'Air&amp;Marine'!H34</f>
        <v>20.327834233585889</v>
      </c>
      <c r="W160" s="694">
        <f t="shared" ref="W160:AE160" si="134">V160</f>
        <v>20.327834233585889</v>
      </c>
      <c r="X160" s="694">
        <f t="shared" si="134"/>
        <v>20.327834233585889</v>
      </c>
      <c r="Y160" s="694">
        <f t="shared" si="134"/>
        <v>20.327834233585889</v>
      </c>
      <c r="Z160" s="694">
        <f t="shared" si="134"/>
        <v>20.327834233585889</v>
      </c>
      <c r="AA160" s="694">
        <f t="shared" si="134"/>
        <v>20.327834233585889</v>
      </c>
      <c r="AB160" s="694">
        <f t="shared" si="134"/>
        <v>20.327834233585889</v>
      </c>
      <c r="AC160" s="694">
        <f t="shared" si="134"/>
        <v>20.327834233585889</v>
      </c>
      <c r="AD160" s="694">
        <f t="shared" si="134"/>
        <v>20.327834233585889</v>
      </c>
      <c r="AE160" s="694">
        <f t="shared" si="134"/>
        <v>20.327834233585889</v>
      </c>
      <c r="AF160" s="694">
        <f>'Air&amp;Marine'!I34</f>
        <v>1.0163917116792944</v>
      </c>
      <c r="AG160" s="692"/>
      <c r="AH160" s="692"/>
      <c r="AI160" s="692"/>
      <c r="AJ160" s="692"/>
      <c r="AK160" s="692"/>
      <c r="AL160" s="692">
        <v>1</v>
      </c>
      <c r="AM160" s="695">
        <v>0</v>
      </c>
      <c r="AN160" s="695"/>
      <c r="AO160" s="695"/>
      <c r="AP160" s="695"/>
      <c r="AQ160" s="695"/>
      <c r="AR160" s="695"/>
      <c r="AS160" s="695"/>
      <c r="AT160" s="695"/>
      <c r="AU160" s="695"/>
      <c r="AV160" s="695"/>
      <c r="AZ160" s="685">
        <f>'Air&amp;Marine'!G33</f>
        <v>30</v>
      </c>
    </row>
    <row r="161" spans="1:52" s="685" customFormat="1" ht="12" customHeight="1" x14ac:dyDescent="0.2">
      <c r="A161" s="666" t="str">
        <f>Technologies!B212</f>
        <v>R2,R3,R4,R5,R6</v>
      </c>
      <c r="B161" s="666" t="str">
        <f>Technologies!C212</f>
        <v>TSDSLFI15</v>
      </c>
      <c r="C161" s="666" t="str">
        <f>Technologies!D212</f>
        <v>Water Shipping, Diesel Fuel Inj, 2015</v>
      </c>
      <c r="D161" s="666" t="s">
        <v>487</v>
      </c>
      <c r="E161" s="666" t="str">
        <f>E160</f>
        <v>TSDSL</v>
      </c>
      <c r="F161" s="666" t="s">
        <v>102</v>
      </c>
      <c r="G161" s="692">
        <v>1</v>
      </c>
      <c r="H161" s="692">
        <v>2015</v>
      </c>
      <c r="I161" s="692">
        <v>30</v>
      </c>
      <c r="J161" s="692">
        <v>0.26</v>
      </c>
      <c r="K161" s="693">
        <f>'Air&amp;Marine'!J33</f>
        <v>2.178653033821575</v>
      </c>
      <c r="L161" s="692"/>
      <c r="M161" s="692"/>
      <c r="N161" s="692"/>
      <c r="O161" s="692"/>
      <c r="P161" s="692"/>
      <c r="Q161" s="692"/>
      <c r="R161" s="692"/>
      <c r="S161" s="692"/>
      <c r="T161" s="692"/>
      <c r="U161" s="692"/>
      <c r="V161" s="694">
        <f>'Air&amp;Marine'!H33</f>
        <v>20.720414164558093</v>
      </c>
      <c r="W161" s="694">
        <f t="shared" ref="W161:AE161" si="135">V161</f>
        <v>20.720414164558093</v>
      </c>
      <c r="X161" s="694">
        <f t="shared" si="135"/>
        <v>20.720414164558093</v>
      </c>
      <c r="Y161" s="694">
        <f t="shared" si="135"/>
        <v>20.720414164558093</v>
      </c>
      <c r="Z161" s="694">
        <f t="shared" si="135"/>
        <v>20.720414164558093</v>
      </c>
      <c r="AA161" s="694">
        <f t="shared" si="135"/>
        <v>20.720414164558093</v>
      </c>
      <c r="AB161" s="694">
        <f t="shared" si="135"/>
        <v>20.720414164558093</v>
      </c>
      <c r="AC161" s="694">
        <f t="shared" si="135"/>
        <v>20.720414164558093</v>
      </c>
      <c r="AD161" s="694">
        <f t="shared" si="135"/>
        <v>20.720414164558093</v>
      </c>
      <c r="AE161" s="694">
        <f t="shared" si="135"/>
        <v>20.720414164558093</v>
      </c>
      <c r="AF161" s="694">
        <f>'Air&amp;Marine'!I33</f>
        <v>1.027903765563994</v>
      </c>
      <c r="AG161" s="692"/>
      <c r="AH161" s="692"/>
      <c r="AI161" s="692"/>
      <c r="AJ161" s="692"/>
      <c r="AK161" s="692"/>
      <c r="AL161" s="692">
        <v>1</v>
      </c>
      <c r="AM161" s="695">
        <v>0</v>
      </c>
      <c r="AN161" s="695"/>
      <c r="AO161" s="695"/>
      <c r="AP161" s="695"/>
      <c r="AQ161" s="695"/>
      <c r="AR161" s="695"/>
      <c r="AS161" s="695"/>
      <c r="AT161" s="695"/>
      <c r="AU161" s="695"/>
      <c r="AV161" s="695"/>
      <c r="AZ161" s="685">
        <f>'Air&amp;Marine'!G34</f>
        <v>30</v>
      </c>
    </row>
    <row r="162" spans="1:52" s="685" customFormat="1" ht="12" customHeight="1" x14ac:dyDescent="0.2">
      <c r="A162" s="666" t="str">
        <f>Technologies!B213</f>
        <v>R2,R3,R4,R5,R6</v>
      </c>
      <c r="B162" s="666" t="str">
        <f>Technologies!C213</f>
        <v>TSDSLHE15</v>
      </c>
      <c r="C162" s="666" t="str">
        <f>Technologies!D213</f>
        <v>Water Shipping, Diesel, Hybrid Electric, 2015</v>
      </c>
      <c r="D162" s="666" t="s">
        <v>487</v>
      </c>
      <c r="E162" s="666" t="str">
        <f>E161</f>
        <v>TSDSL</v>
      </c>
      <c r="F162" s="666" t="s">
        <v>102</v>
      </c>
      <c r="G162" s="692">
        <v>1</v>
      </c>
      <c r="H162" s="692">
        <f>'Air&amp;Marine'!F35</f>
        <v>2015</v>
      </c>
      <c r="I162" s="692">
        <v>30</v>
      </c>
      <c r="J162" s="692">
        <v>0.28000000000000003</v>
      </c>
      <c r="K162" s="693">
        <f>'Air&amp;Marine'!J35</f>
        <v>2.3965183372037324</v>
      </c>
      <c r="L162" s="692"/>
      <c r="M162" s="692"/>
      <c r="N162" s="692"/>
      <c r="O162" s="692"/>
      <c r="P162" s="692"/>
      <c r="Q162" s="692"/>
      <c r="R162" s="692"/>
      <c r="S162" s="692"/>
      <c r="T162" s="692"/>
      <c r="U162" s="692"/>
      <c r="V162" s="694">
        <f>'Air&amp;Marine'!H35</f>
        <v>23.870342449190009</v>
      </c>
      <c r="W162" s="694">
        <f t="shared" ref="W162:AE162" si="136">V162</f>
        <v>23.870342449190009</v>
      </c>
      <c r="X162" s="694">
        <f t="shared" si="136"/>
        <v>23.870342449190009</v>
      </c>
      <c r="Y162" s="694">
        <f t="shared" si="136"/>
        <v>23.870342449190009</v>
      </c>
      <c r="Z162" s="694">
        <f t="shared" si="136"/>
        <v>23.870342449190009</v>
      </c>
      <c r="AA162" s="694">
        <f t="shared" si="136"/>
        <v>23.870342449190009</v>
      </c>
      <c r="AB162" s="694">
        <f t="shared" si="136"/>
        <v>23.870342449190009</v>
      </c>
      <c r="AC162" s="694">
        <f t="shared" si="136"/>
        <v>23.870342449190009</v>
      </c>
      <c r="AD162" s="694">
        <f t="shared" si="136"/>
        <v>23.870342449190009</v>
      </c>
      <c r="AE162" s="694">
        <f t="shared" si="136"/>
        <v>23.870342449190009</v>
      </c>
      <c r="AF162" s="694">
        <f>'Air&amp;Marine'!I35</f>
        <v>1.1935171224595005</v>
      </c>
      <c r="AG162" s="692"/>
      <c r="AH162" s="692"/>
      <c r="AI162" s="692"/>
      <c r="AJ162" s="692"/>
      <c r="AK162" s="692"/>
      <c r="AL162" s="692">
        <v>1</v>
      </c>
      <c r="AM162" s="695">
        <v>0</v>
      </c>
      <c r="AN162" s="695"/>
      <c r="AO162" s="695"/>
      <c r="AP162" s="695"/>
      <c r="AQ162" s="695"/>
      <c r="AR162" s="695"/>
      <c r="AS162" s="695"/>
      <c r="AT162" s="695"/>
      <c r="AU162" s="695"/>
      <c r="AV162" s="695"/>
      <c r="AZ162" s="685">
        <f>'Air&amp;Marine'!G35</f>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FFC000"/>
  </sheetPr>
  <dimension ref="B1:O85"/>
  <sheetViews>
    <sheetView zoomScale="80" zoomScaleNormal="80" workbookViewId="0">
      <pane xSplit="4" ySplit="7" topLeftCell="E26" activePane="bottomRight" state="frozen"/>
      <selection pane="topRight" activeCell="O26" sqref="O26"/>
      <selection pane="bottomLeft" activeCell="O26" sqref="O26"/>
      <selection pane="bottomRight" activeCell="E63" sqref="E63"/>
    </sheetView>
  </sheetViews>
  <sheetFormatPr defaultColWidth="9.140625" defaultRowHeight="12.75" x14ac:dyDescent="0.2"/>
  <cols>
    <col min="1" max="1" width="9.140625" style="145"/>
    <col min="2" max="2" width="19.7109375" style="145" customWidth="1"/>
    <col min="3" max="3" width="14.5703125" style="145" customWidth="1"/>
    <col min="4" max="4" width="44.140625" style="145" customWidth="1"/>
    <col min="5" max="5" width="15.85546875" style="145" customWidth="1"/>
    <col min="6" max="6" width="29.7109375" style="145" customWidth="1"/>
    <col min="7" max="7" width="10.28515625" style="145" customWidth="1"/>
    <col min="8" max="16384" width="9.140625" style="145"/>
  </cols>
  <sheetData>
    <row r="1" spans="2:15" x14ac:dyDescent="0.2">
      <c r="B1" s="659" t="s">
        <v>6</v>
      </c>
      <c r="C1" s="145" t="s">
        <v>7</v>
      </c>
    </row>
    <row r="4" spans="2:15" ht="17.25" customHeight="1" x14ac:dyDescent="0.2"/>
    <row r="5" spans="2:15" ht="17.25" customHeight="1" x14ac:dyDescent="0.2">
      <c r="D5" s="660"/>
    </row>
    <row r="6" spans="2:15" ht="15.75" customHeight="1" x14ac:dyDescent="0.2">
      <c r="B6" s="662"/>
      <c r="C6"/>
      <c r="D6"/>
      <c r="E6" s="35"/>
      <c r="F6" s="35"/>
      <c r="G6"/>
      <c r="H6"/>
      <c r="I6"/>
      <c r="J6"/>
      <c r="K6"/>
      <c r="L6"/>
      <c r="M6"/>
      <c r="N6"/>
      <c r="O6"/>
    </row>
    <row r="7" spans="2:15" x14ac:dyDescent="0.2">
      <c r="B7" s="663" t="s">
        <v>683</v>
      </c>
      <c r="C7" s="663" t="s">
        <v>1</v>
      </c>
      <c r="D7" s="663" t="s">
        <v>2</v>
      </c>
      <c r="E7" s="663" t="s">
        <v>1262</v>
      </c>
      <c r="F7" s="663" t="s">
        <v>1653</v>
      </c>
      <c r="G7" s="663" t="s">
        <v>1654</v>
      </c>
      <c r="H7" s="663" t="s">
        <v>1655</v>
      </c>
      <c r="I7" s="663" t="s">
        <v>1656</v>
      </c>
      <c r="J7" s="663" t="s">
        <v>1657</v>
      </c>
      <c r="K7"/>
      <c r="L7"/>
      <c r="M7"/>
      <c r="N7"/>
      <c r="O7" t="s">
        <v>5</v>
      </c>
    </row>
    <row r="8" spans="2:15" x14ac:dyDescent="0.2">
      <c r="B8" s="668" t="s">
        <v>88</v>
      </c>
      <c r="C8" s="668"/>
      <c r="D8" s="668"/>
      <c r="E8" s="668"/>
      <c r="F8" s="668"/>
      <c r="G8" s="668"/>
      <c r="H8" s="665"/>
      <c r="I8" s="665"/>
      <c r="J8" s="665"/>
    </row>
    <row r="9" spans="2:15" x14ac:dyDescent="0.2">
      <c r="B9" s="666" t="s">
        <v>7</v>
      </c>
      <c r="C9" s="666" t="s">
        <v>89</v>
      </c>
      <c r="D9" s="666" t="s">
        <v>90</v>
      </c>
      <c r="E9" s="666" t="s">
        <v>91</v>
      </c>
      <c r="F9" s="666" t="s">
        <v>1659</v>
      </c>
      <c r="G9" s="666"/>
      <c r="H9" s="667"/>
      <c r="I9" s="667"/>
      <c r="J9" s="667"/>
    </row>
    <row r="10" spans="2:15" x14ac:dyDescent="0.2">
      <c r="B10" s="666" t="s">
        <v>92</v>
      </c>
      <c r="C10" s="666" t="s">
        <v>93</v>
      </c>
      <c r="D10" s="666" t="s">
        <v>94</v>
      </c>
      <c r="E10" s="666" t="s">
        <v>95</v>
      </c>
      <c r="F10" s="666" t="s">
        <v>1659</v>
      </c>
      <c r="G10" s="666"/>
      <c r="H10" s="667"/>
      <c r="I10" s="667"/>
      <c r="J10" s="667"/>
    </row>
    <row r="11" spans="2:15" x14ac:dyDescent="0.2">
      <c r="B11" s="666" t="s">
        <v>92</v>
      </c>
      <c r="C11" s="666" t="s">
        <v>96</v>
      </c>
      <c r="D11" s="666" t="s">
        <v>97</v>
      </c>
      <c r="E11" s="666" t="s">
        <v>95</v>
      </c>
      <c r="F11" s="666" t="s">
        <v>1659</v>
      </c>
      <c r="G11" s="666"/>
      <c r="H11" s="667"/>
      <c r="I11" s="667"/>
      <c r="J11" s="667"/>
    </row>
    <row r="12" spans="2:15" x14ac:dyDescent="0.2">
      <c r="B12" s="666" t="s">
        <v>92</v>
      </c>
      <c r="C12" s="666" t="s">
        <v>98</v>
      </c>
      <c r="D12" s="666" t="s">
        <v>99</v>
      </c>
      <c r="E12" s="666" t="s">
        <v>95</v>
      </c>
      <c r="F12" s="666" t="s">
        <v>1659</v>
      </c>
      <c r="G12" s="666"/>
      <c r="H12" s="667"/>
      <c r="I12" s="667"/>
      <c r="J12" s="667"/>
    </row>
    <row r="13" spans="2:15" x14ac:dyDescent="0.2">
      <c r="B13" s="666" t="s">
        <v>12</v>
      </c>
      <c r="C13" s="666" t="s">
        <v>100</v>
      </c>
      <c r="D13" s="666" t="s">
        <v>101</v>
      </c>
      <c r="E13" s="666" t="s">
        <v>95</v>
      </c>
      <c r="F13" s="666" t="s">
        <v>1659</v>
      </c>
      <c r="G13" s="666"/>
      <c r="H13" s="667"/>
      <c r="I13" s="667"/>
      <c r="J13" s="667"/>
    </row>
    <row r="14" spans="2:15" x14ac:dyDescent="0.2">
      <c r="B14" s="666" t="s">
        <v>7</v>
      </c>
      <c r="C14" s="666" t="s">
        <v>102</v>
      </c>
      <c r="D14" s="666" t="s">
        <v>103</v>
      </c>
      <c r="E14" s="666" t="s">
        <v>104</v>
      </c>
      <c r="F14" s="666" t="s">
        <v>1659</v>
      </c>
      <c r="G14" s="666"/>
      <c r="H14" s="667"/>
      <c r="I14" s="667"/>
      <c r="J14" s="667"/>
    </row>
    <row r="15" spans="2:15" x14ac:dyDescent="0.2">
      <c r="B15" s="666" t="s">
        <v>105</v>
      </c>
      <c r="C15" s="666" t="s">
        <v>106</v>
      </c>
      <c r="D15" s="666" t="s">
        <v>107</v>
      </c>
      <c r="E15" s="666" t="s">
        <v>104</v>
      </c>
      <c r="F15" s="666" t="s">
        <v>1659</v>
      </c>
      <c r="G15" s="666"/>
      <c r="H15" s="667"/>
      <c r="I15" s="667"/>
      <c r="J15" s="667"/>
    </row>
    <row r="16" spans="2:15" x14ac:dyDescent="0.2">
      <c r="B16" s="666" t="s">
        <v>105</v>
      </c>
      <c r="C16" s="666" t="s">
        <v>108</v>
      </c>
      <c r="D16" s="666" t="s">
        <v>109</v>
      </c>
      <c r="E16" s="666" t="s">
        <v>95</v>
      </c>
      <c r="F16" s="666" t="s">
        <v>1659</v>
      </c>
      <c r="G16" s="666"/>
      <c r="H16" s="667"/>
      <c r="I16" s="667"/>
      <c r="J16" s="667"/>
    </row>
    <row r="17" spans="2:15" x14ac:dyDescent="0.2">
      <c r="B17" s="666" t="s">
        <v>92</v>
      </c>
      <c r="C17" s="666" t="s">
        <v>110</v>
      </c>
      <c r="D17" s="666" t="s">
        <v>111</v>
      </c>
      <c r="E17" s="666" t="s">
        <v>91</v>
      </c>
      <c r="F17" s="666" t="s">
        <v>1659</v>
      </c>
      <c r="G17" s="666"/>
      <c r="H17" s="667"/>
      <c r="I17" s="667"/>
      <c r="J17" s="667"/>
    </row>
    <row r="18" spans="2:15" x14ac:dyDescent="0.2">
      <c r="B18" s="666" t="s">
        <v>105</v>
      </c>
      <c r="C18" s="666" t="s">
        <v>112</v>
      </c>
      <c r="D18" s="666" t="s">
        <v>113</v>
      </c>
      <c r="E18" s="666" t="s">
        <v>95</v>
      </c>
      <c r="F18" s="666" t="s">
        <v>1659</v>
      </c>
      <c r="G18" s="666"/>
      <c r="H18" s="667"/>
      <c r="I18" s="667"/>
      <c r="J18" s="667"/>
    </row>
    <row r="19" spans="2:15" x14ac:dyDescent="0.2">
      <c r="B19" s="704"/>
      <c r="C19" s="704"/>
      <c r="D19" s="704"/>
      <c r="E19" s="704"/>
      <c r="F19" s="704"/>
      <c r="G19" s="704"/>
      <c r="H19" s="704"/>
      <c r="I19" s="704"/>
      <c r="J19" s="704"/>
      <c r="K19" s="35"/>
      <c r="L19" s="35"/>
      <c r="M19" s="35"/>
      <c r="N19" s="35"/>
      <c r="O19" s="35"/>
    </row>
    <row r="20" spans="2:15" x14ac:dyDescent="0.2">
      <c r="B20" s="704"/>
      <c r="C20" s="704"/>
      <c r="D20" s="704"/>
      <c r="E20" s="704"/>
      <c r="F20" s="704"/>
      <c r="G20" s="704"/>
      <c r="H20" s="704"/>
      <c r="I20" s="704"/>
      <c r="J20" s="704"/>
      <c r="K20" s="35"/>
      <c r="L20" s="35"/>
      <c r="M20" s="35"/>
      <c r="N20" s="35"/>
      <c r="O20" s="35"/>
    </row>
    <row r="21" spans="2:15" x14ac:dyDescent="0.2">
      <c r="B21" s="704"/>
      <c r="C21" s="704"/>
      <c r="D21" s="704"/>
      <c r="E21" s="704"/>
      <c r="F21" s="704"/>
      <c r="G21" s="704"/>
      <c r="H21" s="704"/>
      <c r="I21" s="704"/>
      <c r="J21" s="704"/>
      <c r="K21" s="35"/>
      <c r="L21" s="35"/>
      <c r="M21" s="35"/>
      <c r="N21" s="35"/>
      <c r="O21" s="35"/>
    </row>
    <row r="22" spans="2:15" x14ac:dyDescent="0.2">
      <c r="B22" s="704"/>
      <c r="C22" s="704"/>
      <c r="D22" s="704"/>
      <c r="E22" s="704"/>
      <c r="F22" s="704"/>
      <c r="G22" s="704"/>
      <c r="H22" s="704"/>
      <c r="I22" s="704"/>
      <c r="J22" s="704"/>
      <c r="K22" s="35"/>
      <c r="L22" s="35"/>
      <c r="M22" s="35"/>
      <c r="N22" s="35"/>
      <c r="O22" s="35"/>
    </row>
    <row r="23" spans="2:15" x14ac:dyDescent="0.2">
      <c r="B23" s="704"/>
      <c r="C23" s="704"/>
      <c r="D23" s="704"/>
      <c r="E23" s="704"/>
      <c r="F23" s="704"/>
      <c r="G23" s="704"/>
      <c r="H23" s="704"/>
      <c r="I23" s="704"/>
      <c r="J23" s="704"/>
      <c r="K23" s="35"/>
      <c r="L23" s="35"/>
      <c r="M23" s="35"/>
      <c r="N23" s="35"/>
      <c r="O23" s="35"/>
    </row>
    <row r="24" spans="2:15" x14ac:dyDescent="0.2">
      <c r="B24" s="704"/>
      <c r="C24" s="704"/>
      <c r="D24" s="704"/>
      <c r="E24" s="704"/>
      <c r="F24" s="704"/>
      <c r="G24" s="704"/>
      <c r="H24" s="704"/>
      <c r="I24" s="704"/>
      <c r="J24" s="704"/>
      <c r="K24" s="35"/>
      <c r="L24" s="35"/>
      <c r="M24" s="35"/>
      <c r="N24" s="35"/>
      <c r="O24" s="35"/>
    </row>
    <row r="25" spans="2:15" x14ac:dyDescent="0.2">
      <c r="B25" s="704"/>
      <c r="C25" s="704"/>
      <c r="D25" s="704"/>
      <c r="E25" s="704"/>
      <c r="F25" s="704"/>
      <c r="G25" s="704"/>
      <c r="H25" s="704"/>
      <c r="I25" s="704"/>
      <c r="J25" s="704"/>
      <c r="K25" s="35"/>
      <c r="L25" s="35"/>
      <c r="M25" s="35"/>
      <c r="N25" s="35"/>
      <c r="O25" s="35"/>
    </row>
    <row r="26" spans="2:15" x14ac:dyDescent="0.2">
      <c r="B26" s="664" t="s">
        <v>8</v>
      </c>
      <c r="C26" s="665"/>
      <c r="D26" s="665"/>
      <c r="E26" s="665"/>
      <c r="F26" s="665"/>
      <c r="G26" s="665"/>
      <c r="H26" s="665"/>
      <c r="I26" s="665"/>
      <c r="J26" s="665"/>
    </row>
    <row r="27" spans="2:15" x14ac:dyDescent="0.2">
      <c r="B27" s="666" t="s">
        <v>7</v>
      </c>
      <c r="C27" s="666" t="s">
        <v>9</v>
      </c>
      <c r="D27" s="666" t="s">
        <v>10</v>
      </c>
      <c r="E27" s="666" t="s">
        <v>11</v>
      </c>
      <c r="F27" s="666" t="s">
        <v>1658</v>
      </c>
      <c r="G27" s="666"/>
      <c r="H27" s="667"/>
      <c r="I27" s="667"/>
      <c r="J27" s="667"/>
    </row>
    <row r="28" spans="2:15" x14ac:dyDescent="0.2">
      <c r="B28" s="666" t="s">
        <v>12</v>
      </c>
      <c r="C28" s="666" t="s">
        <v>13</v>
      </c>
      <c r="D28" s="666" t="s">
        <v>14</v>
      </c>
      <c r="E28" s="666" t="s">
        <v>11</v>
      </c>
      <c r="F28" s="666" t="s">
        <v>1658</v>
      </c>
      <c r="G28" s="666"/>
      <c r="H28" s="667"/>
      <c r="I28" s="667"/>
      <c r="J28" s="667"/>
    </row>
    <row r="29" spans="2:15" x14ac:dyDescent="0.2">
      <c r="B29" s="666" t="s">
        <v>12</v>
      </c>
      <c r="C29" s="666" t="s">
        <v>15</v>
      </c>
      <c r="D29" s="666" t="s">
        <v>16</v>
      </c>
      <c r="E29" s="666" t="s">
        <v>11</v>
      </c>
      <c r="F29" s="666" t="s">
        <v>1658</v>
      </c>
      <c r="G29" s="666"/>
      <c r="H29" s="667"/>
      <c r="I29" s="667"/>
      <c r="J29" s="667"/>
    </row>
    <row r="30" spans="2:15" x14ac:dyDescent="0.2">
      <c r="B30" s="666" t="s">
        <v>12</v>
      </c>
      <c r="C30" s="666" t="s">
        <v>17</v>
      </c>
      <c r="D30" s="666" t="s">
        <v>18</v>
      </c>
      <c r="E30" s="666" t="s">
        <v>11</v>
      </c>
      <c r="F30" s="666" t="s">
        <v>1658</v>
      </c>
      <c r="G30" s="666"/>
      <c r="H30" s="667"/>
      <c r="I30" s="667"/>
      <c r="J30" s="667"/>
    </row>
    <row r="31" spans="2:15" x14ac:dyDescent="0.2">
      <c r="B31" s="666" t="s">
        <v>7</v>
      </c>
      <c r="C31" s="666" t="s">
        <v>19</v>
      </c>
      <c r="D31" s="666" t="s">
        <v>20</v>
      </c>
      <c r="E31" s="666" t="s">
        <v>11</v>
      </c>
      <c r="F31" s="666" t="s">
        <v>1658</v>
      </c>
      <c r="G31" s="666"/>
      <c r="H31" s="667"/>
      <c r="I31" s="667"/>
      <c r="J31" s="667"/>
    </row>
    <row r="32" spans="2:15" x14ac:dyDescent="0.2">
      <c r="B32" s="666" t="s">
        <v>7</v>
      </c>
      <c r="C32" s="666" t="s">
        <v>21</v>
      </c>
      <c r="D32" s="666" t="s">
        <v>22</v>
      </c>
      <c r="E32" s="666" t="s">
        <v>11</v>
      </c>
      <c r="F32" s="666" t="s">
        <v>1658</v>
      </c>
      <c r="G32" s="666"/>
      <c r="H32" s="667"/>
      <c r="I32" s="667"/>
      <c r="J32" s="667"/>
    </row>
    <row r="33" spans="2:10" x14ac:dyDescent="0.2">
      <c r="B33" s="666" t="s">
        <v>12</v>
      </c>
      <c r="C33" s="666" t="s">
        <v>23</v>
      </c>
      <c r="D33" s="666" t="s">
        <v>24</v>
      </c>
      <c r="E33" s="666" t="s">
        <v>11</v>
      </c>
      <c r="F33" s="666" t="s">
        <v>1658</v>
      </c>
      <c r="G33" s="666"/>
      <c r="H33" s="667"/>
      <c r="I33" s="667"/>
      <c r="J33" s="667"/>
    </row>
    <row r="34" spans="2:10" x14ac:dyDescent="0.2">
      <c r="B34" s="666" t="s">
        <v>7</v>
      </c>
      <c r="C34" s="666" t="s">
        <v>25</v>
      </c>
      <c r="D34" s="666" t="s">
        <v>26</v>
      </c>
      <c r="E34" s="666" t="s">
        <v>11</v>
      </c>
      <c r="F34" s="666" t="s">
        <v>1658</v>
      </c>
      <c r="G34" s="666"/>
      <c r="H34" s="667"/>
      <c r="I34" s="667"/>
      <c r="J34" s="667"/>
    </row>
    <row r="35" spans="2:10" x14ac:dyDescent="0.2">
      <c r="B35" s="666" t="s">
        <v>7</v>
      </c>
      <c r="C35" s="666" t="s">
        <v>27</v>
      </c>
      <c r="D35" s="666" t="s">
        <v>28</v>
      </c>
      <c r="E35" s="666" t="s">
        <v>11</v>
      </c>
      <c r="F35" s="666" t="s">
        <v>1658</v>
      </c>
      <c r="G35" s="666"/>
      <c r="H35" s="667"/>
      <c r="I35" s="667"/>
      <c r="J35" s="667"/>
    </row>
    <row r="36" spans="2:10" x14ac:dyDescent="0.2">
      <c r="B36" s="666" t="s">
        <v>7</v>
      </c>
      <c r="C36" s="666" t="s">
        <v>29</v>
      </c>
      <c r="D36" s="666" t="s">
        <v>30</v>
      </c>
      <c r="E36" s="666" t="s">
        <v>11</v>
      </c>
      <c r="F36" s="666" t="s">
        <v>1658</v>
      </c>
      <c r="G36" s="666"/>
      <c r="H36" s="667"/>
      <c r="I36" s="667"/>
      <c r="J36" s="667"/>
    </row>
    <row r="37" spans="2:10" x14ac:dyDescent="0.2">
      <c r="B37" s="666" t="s">
        <v>7</v>
      </c>
      <c r="C37" s="666" t="s">
        <v>31</v>
      </c>
      <c r="D37" s="666" t="s">
        <v>32</v>
      </c>
      <c r="E37" s="666" t="s">
        <v>11</v>
      </c>
      <c r="F37" s="666" t="s">
        <v>1658</v>
      </c>
      <c r="G37" s="666"/>
      <c r="H37" s="667"/>
      <c r="I37" s="667"/>
      <c r="J37" s="667"/>
    </row>
    <row r="38" spans="2:10" x14ac:dyDescent="0.2">
      <c r="B38" s="666" t="s">
        <v>7</v>
      </c>
      <c r="C38" s="666" t="s">
        <v>33</v>
      </c>
      <c r="D38" s="666" t="s">
        <v>34</v>
      </c>
      <c r="E38" s="666" t="s">
        <v>11</v>
      </c>
      <c r="F38" s="666" t="s">
        <v>1658</v>
      </c>
      <c r="G38" s="666"/>
      <c r="H38" s="667"/>
      <c r="I38" s="667"/>
      <c r="J38" s="667"/>
    </row>
    <row r="39" spans="2:10" x14ac:dyDescent="0.2">
      <c r="B39" s="666" t="s">
        <v>7</v>
      </c>
      <c r="C39" s="666" t="s">
        <v>35</v>
      </c>
      <c r="D39" s="666" t="s">
        <v>36</v>
      </c>
      <c r="E39" s="666" t="s">
        <v>11</v>
      </c>
      <c r="F39" s="666" t="s">
        <v>1658</v>
      </c>
      <c r="G39" s="666"/>
      <c r="H39" s="667"/>
      <c r="I39" s="667"/>
      <c r="J39" s="667"/>
    </row>
    <row r="40" spans="2:10" x14ac:dyDescent="0.2">
      <c r="B40" s="666" t="s">
        <v>7</v>
      </c>
      <c r="C40" s="666" t="s">
        <v>37</v>
      </c>
      <c r="D40" s="666" t="s">
        <v>38</v>
      </c>
      <c r="E40" s="666" t="s">
        <v>11</v>
      </c>
      <c r="F40" s="666" t="s">
        <v>1658</v>
      </c>
      <c r="G40" s="666"/>
      <c r="H40" s="667"/>
      <c r="I40" s="667"/>
      <c r="J40" s="667"/>
    </row>
    <row r="41" spans="2:10" x14ac:dyDescent="0.2">
      <c r="B41" s="666" t="s">
        <v>7</v>
      </c>
      <c r="C41" s="666" t="s">
        <v>39</v>
      </c>
      <c r="D41" s="666" t="s">
        <v>40</v>
      </c>
      <c r="E41" s="666" t="s">
        <v>11</v>
      </c>
      <c r="F41" s="666" t="s">
        <v>1658</v>
      </c>
      <c r="G41" s="666"/>
      <c r="H41" s="667"/>
      <c r="I41" s="667"/>
      <c r="J41" s="667"/>
    </row>
    <row r="42" spans="2:10" x14ac:dyDescent="0.2">
      <c r="B42" s="666" t="s">
        <v>7</v>
      </c>
      <c r="C42" s="666" t="s">
        <v>41</v>
      </c>
      <c r="D42" s="666" t="s">
        <v>42</v>
      </c>
      <c r="E42" s="666" t="s">
        <v>11</v>
      </c>
      <c r="F42" s="666" t="s">
        <v>1658</v>
      </c>
      <c r="G42" s="666"/>
      <c r="H42" s="667"/>
      <c r="I42" s="667"/>
      <c r="J42" s="667"/>
    </row>
    <row r="43" spans="2:10" x14ac:dyDescent="0.2">
      <c r="B43" s="666" t="s">
        <v>7</v>
      </c>
      <c r="C43" s="666" t="s">
        <v>43</v>
      </c>
      <c r="D43" s="666" t="s">
        <v>44</v>
      </c>
      <c r="E43" s="666" t="s">
        <v>11</v>
      </c>
      <c r="F43" s="666" t="s">
        <v>1658</v>
      </c>
      <c r="G43" s="666"/>
      <c r="H43" s="667"/>
      <c r="I43" s="667"/>
      <c r="J43" s="667"/>
    </row>
    <row r="44" spans="2:10" x14ac:dyDescent="0.2">
      <c r="B44" s="666" t="s">
        <v>7</v>
      </c>
      <c r="C44" s="666" t="s">
        <v>45</v>
      </c>
      <c r="D44" s="666" t="s">
        <v>46</v>
      </c>
      <c r="E44" s="666" t="s">
        <v>11</v>
      </c>
      <c r="F44" s="666" t="s">
        <v>1658</v>
      </c>
      <c r="G44" s="666"/>
      <c r="H44" s="667"/>
      <c r="I44" s="667"/>
      <c r="J44" s="667"/>
    </row>
    <row r="45" spans="2:10" x14ac:dyDescent="0.2">
      <c r="B45" s="666" t="s">
        <v>7</v>
      </c>
      <c r="C45" s="666" t="s">
        <v>47</v>
      </c>
      <c r="D45" s="666" t="s">
        <v>48</v>
      </c>
      <c r="E45" s="666" t="s">
        <v>11</v>
      </c>
      <c r="F45" s="666" t="s">
        <v>1658</v>
      </c>
      <c r="G45" s="666"/>
      <c r="H45" s="667"/>
      <c r="I45" s="667"/>
      <c r="J45" s="667"/>
    </row>
    <row r="46" spans="2:10" x14ac:dyDescent="0.2">
      <c r="B46" s="666" t="s">
        <v>7</v>
      </c>
      <c r="C46" s="666" t="s">
        <v>49</v>
      </c>
      <c r="D46" s="666" t="s">
        <v>50</v>
      </c>
      <c r="E46" s="666" t="s">
        <v>11</v>
      </c>
      <c r="F46" s="666" t="s">
        <v>1658</v>
      </c>
      <c r="G46" s="666"/>
      <c r="H46" s="667"/>
      <c r="I46" s="667"/>
      <c r="J46" s="667"/>
    </row>
    <row r="47" spans="2:10" x14ac:dyDescent="0.2">
      <c r="B47" s="666" t="s">
        <v>7</v>
      </c>
      <c r="C47" s="666" t="s">
        <v>51</v>
      </c>
      <c r="D47" s="666" t="s">
        <v>52</v>
      </c>
      <c r="E47" s="666" t="s">
        <v>11</v>
      </c>
      <c r="F47" s="666" t="s">
        <v>1658</v>
      </c>
      <c r="G47" s="666"/>
      <c r="H47" s="667"/>
      <c r="I47" s="667"/>
      <c r="J47" s="667"/>
    </row>
    <row r="48" spans="2:10" x14ac:dyDescent="0.2">
      <c r="B48" s="666" t="s">
        <v>7</v>
      </c>
      <c r="C48" s="666" t="s">
        <v>53</v>
      </c>
      <c r="D48" s="666" t="s">
        <v>54</v>
      </c>
      <c r="E48" s="666" t="s">
        <v>11</v>
      </c>
      <c r="F48" s="666" t="s">
        <v>1658</v>
      </c>
      <c r="G48" s="666"/>
      <c r="H48" s="667"/>
      <c r="I48" s="667"/>
      <c r="J48" s="667"/>
    </row>
    <row r="49" spans="2:10" x14ac:dyDescent="0.2">
      <c r="B49" s="666" t="s">
        <v>7</v>
      </c>
      <c r="C49" s="666" t="s">
        <v>55</v>
      </c>
      <c r="D49" s="666" t="s">
        <v>28</v>
      </c>
      <c r="E49" s="666" t="s">
        <v>11</v>
      </c>
      <c r="F49" s="666" t="s">
        <v>1658</v>
      </c>
      <c r="G49" s="666"/>
      <c r="H49" s="667"/>
      <c r="I49" s="667"/>
      <c r="J49" s="667"/>
    </row>
    <row r="50" spans="2:10" x14ac:dyDescent="0.2">
      <c r="B50" s="666" t="s">
        <v>12</v>
      </c>
      <c r="C50" s="666" t="s">
        <v>56</v>
      </c>
      <c r="D50" s="666" t="s">
        <v>57</v>
      </c>
      <c r="E50" s="666" t="s">
        <v>11</v>
      </c>
      <c r="F50" s="666" t="s">
        <v>1658</v>
      </c>
      <c r="G50" s="666"/>
      <c r="H50" s="667"/>
      <c r="I50" s="667"/>
      <c r="J50" s="667"/>
    </row>
    <row r="51" spans="2:10" x14ac:dyDescent="0.2">
      <c r="B51" s="666" t="s">
        <v>12</v>
      </c>
      <c r="C51" s="666" t="s">
        <v>58</v>
      </c>
      <c r="D51" s="666" t="s">
        <v>59</v>
      </c>
      <c r="E51" s="666" t="s">
        <v>11</v>
      </c>
      <c r="F51" s="666" t="s">
        <v>1658</v>
      </c>
      <c r="G51" s="666"/>
      <c r="H51" s="667"/>
      <c r="I51" s="667"/>
      <c r="J51" s="667"/>
    </row>
    <row r="52" spans="2:10" x14ac:dyDescent="0.2">
      <c r="B52" s="666" t="s">
        <v>12</v>
      </c>
      <c r="C52" s="666" t="s">
        <v>60</v>
      </c>
      <c r="D52" s="666" t="s">
        <v>61</v>
      </c>
      <c r="E52" s="666" t="s">
        <v>11</v>
      </c>
      <c r="F52" s="666" t="s">
        <v>1658</v>
      </c>
      <c r="G52" s="666"/>
      <c r="H52" s="667"/>
      <c r="I52" s="667"/>
      <c r="J52" s="667"/>
    </row>
    <row r="53" spans="2:10" x14ac:dyDescent="0.2">
      <c r="B53" s="666" t="s">
        <v>7</v>
      </c>
      <c r="C53" s="666" t="s">
        <v>62</v>
      </c>
      <c r="D53" s="666" t="s">
        <v>63</v>
      </c>
      <c r="E53" s="666" t="s">
        <v>11</v>
      </c>
      <c r="F53" s="666" t="s">
        <v>1658</v>
      </c>
      <c r="G53" s="666"/>
      <c r="H53" s="667"/>
      <c r="I53" s="667"/>
      <c r="J53" s="667"/>
    </row>
    <row r="54" spans="2:10" x14ac:dyDescent="0.2">
      <c r="B54" s="666" t="s">
        <v>12</v>
      </c>
      <c r="C54" s="666" t="s">
        <v>64</v>
      </c>
      <c r="D54" s="666" t="s">
        <v>65</v>
      </c>
      <c r="E54" s="666" t="s">
        <v>11</v>
      </c>
      <c r="F54" s="666" t="s">
        <v>1658</v>
      </c>
      <c r="G54" s="666"/>
      <c r="H54" s="667"/>
      <c r="I54" s="667"/>
      <c r="J54" s="667"/>
    </row>
    <row r="55" spans="2:10" x14ac:dyDescent="0.2">
      <c r="B55" s="666" t="s">
        <v>7</v>
      </c>
      <c r="C55" s="666" t="s">
        <v>66</v>
      </c>
      <c r="D55" s="666" t="s">
        <v>67</v>
      </c>
      <c r="E55" s="666" t="s">
        <v>11</v>
      </c>
      <c r="F55" s="666" t="s">
        <v>1658</v>
      </c>
      <c r="G55" s="666"/>
      <c r="H55" s="667"/>
      <c r="I55" s="667"/>
      <c r="J55" s="667"/>
    </row>
    <row r="56" spans="2:10" x14ac:dyDescent="0.2">
      <c r="B56" s="666" t="s">
        <v>7</v>
      </c>
      <c r="C56" s="666" t="s">
        <v>68</v>
      </c>
      <c r="D56" s="666" t="s">
        <v>69</v>
      </c>
      <c r="E56" s="666" t="s">
        <v>11</v>
      </c>
      <c r="F56" s="666" t="s">
        <v>1658</v>
      </c>
      <c r="G56" s="666"/>
      <c r="H56" s="667"/>
      <c r="I56" s="667"/>
      <c r="J56" s="667"/>
    </row>
    <row r="57" spans="2:10" x14ac:dyDescent="0.2">
      <c r="B57" s="666" t="s">
        <v>7</v>
      </c>
      <c r="C57" s="666" t="s">
        <v>70</v>
      </c>
      <c r="D57" s="666" t="s">
        <v>71</v>
      </c>
      <c r="E57" s="666" t="s">
        <v>11</v>
      </c>
      <c r="F57" s="666" t="s">
        <v>1658</v>
      </c>
      <c r="G57" s="666"/>
      <c r="H57" s="667"/>
      <c r="I57" s="667"/>
      <c r="J57" s="667"/>
    </row>
    <row r="58" spans="2:10" x14ac:dyDescent="0.2">
      <c r="B58" s="666" t="s">
        <v>7</v>
      </c>
      <c r="C58" s="666" t="s">
        <v>72</v>
      </c>
      <c r="D58" s="666" t="s">
        <v>73</v>
      </c>
      <c r="E58" s="666" t="s">
        <v>11</v>
      </c>
      <c r="F58" s="666" t="s">
        <v>1658</v>
      </c>
      <c r="G58" s="666"/>
      <c r="H58" s="667"/>
      <c r="I58" s="667"/>
      <c r="J58" s="667"/>
    </row>
    <row r="59" spans="2:10" x14ac:dyDescent="0.2">
      <c r="B59" s="666" t="s">
        <v>12</v>
      </c>
      <c r="C59" s="666" t="s">
        <v>74</v>
      </c>
      <c r="D59" s="666" t="s">
        <v>75</v>
      </c>
      <c r="E59" s="666" t="s">
        <v>11</v>
      </c>
      <c r="F59" s="666" t="s">
        <v>1658</v>
      </c>
      <c r="G59" s="666"/>
      <c r="H59" s="667"/>
      <c r="I59" s="667"/>
      <c r="J59" s="667"/>
    </row>
    <row r="60" spans="2:10" x14ac:dyDescent="0.2">
      <c r="B60" s="666" t="s">
        <v>12</v>
      </c>
      <c r="C60" s="666" t="s">
        <v>76</v>
      </c>
      <c r="D60" s="666" t="s">
        <v>77</v>
      </c>
      <c r="E60" s="666" t="s">
        <v>11</v>
      </c>
      <c r="F60" s="666" t="s">
        <v>1658</v>
      </c>
      <c r="G60" s="666"/>
      <c r="H60" s="667"/>
      <c r="I60" s="667"/>
      <c r="J60" s="667"/>
    </row>
    <row r="61" spans="2:10" x14ac:dyDescent="0.2">
      <c r="B61" s="666" t="s">
        <v>12</v>
      </c>
      <c r="C61" s="666" t="s">
        <v>78</v>
      </c>
      <c r="D61" s="666" t="s">
        <v>79</v>
      </c>
      <c r="E61" s="666" t="s">
        <v>11</v>
      </c>
      <c r="F61" s="666" t="s">
        <v>1658</v>
      </c>
      <c r="G61" s="666"/>
      <c r="H61" s="667"/>
      <c r="I61" s="667"/>
      <c r="J61" s="667"/>
    </row>
    <row r="62" spans="2:10" x14ac:dyDescent="0.2">
      <c r="B62" s="666" t="s">
        <v>12</v>
      </c>
      <c r="C62" s="666" t="s">
        <v>80</v>
      </c>
      <c r="D62" s="666" t="s">
        <v>81</v>
      </c>
      <c r="E62" s="666" t="s">
        <v>11</v>
      </c>
      <c r="F62" s="666" t="s">
        <v>1658</v>
      </c>
      <c r="G62" s="666"/>
      <c r="H62" s="667"/>
      <c r="I62" s="667"/>
      <c r="J62" s="667"/>
    </row>
    <row r="63" spans="2:10" x14ac:dyDescent="0.2">
      <c r="B63" s="666" t="s">
        <v>12</v>
      </c>
      <c r="C63" s="666" t="s">
        <v>82</v>
      </c>
      <c r="D63" s="666" t="s">
        <v>83</v>
      </c>
      <c r="E63" s="666" t="s">
        <v>11</v>
      </c>
      <c r="F63" s="666" t="s">
        <v>1658</v>
      </c>
      <c r="G63" s="666"/>
      <c r="H63" s="667"/>
      <c r="I63" s="667"/>
      <c r="J63" s="667"/>
    </row>
    <row r="64" spans="2:10" x14ac:dyDescent="0.2">
      <c r="B64" s="666" t="s">
        <v>12</v>
      </c>
      <c r="C64" s="666" t="s">
        <v>84</v>
      </c>
      <c r="D64" s="666" t="s">
        <v>85</v>
      </c>
      <c r="E64" s="666" t="s">
        <v>11</v>
      </c>
      <c r="F64" s="666" t="s">
        <v>1658</v>
      </c>
      <c r="G64" s="666"/>
      <c r="H64" s="667"/>
      <c r="I64" s="667"/>
      <c r="J64" s="667"/>
    </row>
    <row r="65" spans="2:10" x14ac:dyDescent="0.2">
      <c r="B65" s="666" t="s">
        <v>12</v>
      </c>
      <c r="C65" s="666" t="s">
        <v>86</v>
      </c>
      <c r="D65" s="666" t="s">
        <v>87</v>
      </c>
      <c r="E65" s="666" t="s">
        <v>11</v>
      </c>
      <c r="F65" s="666" t="s">
        <v>1658</v>
      </c>
      <c r="G65" s="666"/>
      <c r="H65" s="667"/>
      <c r="I65" s="667"/>
      <c r="J65" s="667"/>
    </row>
    <row r="66" spans="2:10" x14ac:dyDescent="0.2">
      <c r="B66" s="668" t="s">
        <v>114</v>
      </c>
      <c r="C66" s="668"/>
      <c r="D66" s="668"/>
      <c r="E66" s="668"/>
      <c r="F66" s="668"/>
      <c r="G66" s="668"/>
      <c r="H66" s="665"/>
      <c r="I66" s="665"/>
      <c r="J66" s="665"/>
    </row>
    <row r="67" spans="2:10" x14ac:dyDescent="0.2">
      <c r="B67" s="666" t="s">
        <v>115</v>
      </c>
      <c r="C67" s="666" t="s">
        <v>116</v>
      </c>
      <c r="D67" s="666" t="s">
        <v>117</v>
      </c>
      <c r="E67" s="666" t="s">
        <v>118</v>
      </c>
      <c r="F67" s="666" t="s">
        <v>119</v>
      </c>
      <c r="G67" s="666"/>
      <c r="H67" s="667"/>
      <c r="I67" s="667"/>
      <c r="J67" s="667"/>
    </row>
    <row r="68" spans="2:10" x14ac:dyDescent="0.2">
      <c r="B68" s="666" t="s">
        <v>92</v>
      </c>
      <c r="C68" s="666" t="s">
        <v>122</v>
      </c>
      <c r="D68" s="666" t="s">
        <v>123</v>
      </c>
      <c r="E68" s="666" t="s">
        <v>124</v>
      </c>
      <c r="F68" s="666" t="s">
        <v>119</v>
      </c>
      <c r="G68" s="666"/>
      <c r="H68" s="667"/>
      <c r="I68" s="667"/>
      <c r="J68" s="667"/>
    </row>
    <row r="69" spans="2:10" x14ac:dyDescent="0.2">
      <c r="B69" s="666" t="s">
        <v>92</v>
      </c>
      <c r="C69" s="666" t="s">
        <v>127</v>
      </c>
      <c r="D69" s="666" t="s">
        <v>128</v>
      </c>
      <c r="E69" s="666" t="s">
        <v>124</v>
      </c>
      <c r="F69" s="666" t="s">
        <v>119</v>
      </c>
      <c r="G69" s="666"/>
      <c r="H69" s="667"/>
      <c r="I69" s="667"/>
      <c r="J69" s="667"/>
    </row>
    <row r="70" spans="2:10" x14ac:dyDescent="0.2">
      <c r="B70" s="666" t="s">
        <v>92</v>
      </c>
      <c r="C70" s="666" t="s">
        <v>131</v>
      </c>
      <c r="D70" s="666" t="s">
        <v>132</v>
      </c>
      <c r="E70" s="666" t="s">
        <v>124</v>
      </c>
      <c r="F70" s="666" t="s">
        <v>119</v>
      </c>
      <c r="G70" s="666"/>
      <c r="H70" s="667"/>
      <c r="I70" s="667"/>
      <c r="J70" s="667"/>
    </row>
    <row r="71" spans="2:10" x14ac:dyDescent="0.2">
      <c r="B71" s="666" t="s">
        <v>92</v>
      </c>
      <c r="C71" s="666" t="s">
        <v>135</v>
      </c>
      <c r="D71" s="666" t="s">
        <v>136</v>
      </c>
      <c r="E71" s="666" t="s">
        <v>124</v>
      </c>
      <c r="F71" s="666" t="s">
        <v>119</v>
      </c>
      <c r="G71" s="666"/>
      <c r="H71" s="667"/>
      <c r="I71" s="667"/>
      <c r="J71" s="667"/>
    </row>
    <row r="72" spans="2:10" x14ac:dyDescent="0.2">
      <c r="B72" s="666" t="s">
        <v>92</v>
      </c>
      <c r="C72" s="666" t="s">
        <v>139</v>
      </c>
      <c r="D72" s="666" t="s">
        <v>140</v>
      </c>
      <c r="E72" s="666" t="s">
        <v>124</v>
      </c>
      <c r="F72" s="666" t="s">
        <v>119</v>
      </c>
      <c r="G72" s="666"/>
      <c r="H72" s="667"/>
      <c r="I72" s="667"/>
      <c r="J72" s="667"/>
    </row>
    <row r="73" spans="2:10" x14ac:dyDescent="0.2">
      <c r="B73" s="666" t="s">
        <v>92</v>
      </c>
      <c r="C73" s="666" t="s">
        <v>143</v>
      </c>
      <c r="D73" s="666" t="s">
        <v>144</v>
      </c>
      <c r="E73" s="666" t="s">
        <v>124</v>
      </c>
      <c r="F73" s="666" t="s">
        <v>119</v>
      </c>
      <c r="G73" s="666"/>
      <c r="H73" s="667"/>
      <c r="I73" s="667"/>
      <c r="J73" s="667"/>
    </row>
    <row r="74" spans="2:10" x14ac:dyDescent="0.2">
      <c r="B74" s="666" t="s">
        <v>92</v>
      </c>
      <c r="C74" s="666" t="s">
        <v>120</v>
      </c>
      <c r="D74" s="666" t="s">
        <v>121</v>
      </c>
      <c r="E74" s="666" t="s">
        <v>118</v>
      </c>
      <c r="F74" s="666" t="s">
        <v>119</v>
      </c>
      <c r="G74" s="666"/>
      <c r="H74" s="667"/>
      <c r="I74" s="667"/>
      <c r="J74" s="667"/>
    </row>
    <row r="75" spans="2:10" x14ac:dyDescent="0.2">
      <c r="B75" s="666" t="s">
        <v>92</v>
      </c>
      <c r="C75" s="666" t="s">
        <v>125</v>
      </c>
      <c r="D75" s="666" t="s">
        <v>126</v>
      </c>
      <c r="E75" s="666" t="s">
        <v>124</v>
      </c>
      <c r="F75" s="666" t="s">
        <v>119</v>
      </c>
      <c r="G75" s="666"/>
      <c r="H75" s="667"/>
      <c r="I75" s="667"/>
      <c r="J75" s="667"/>
    </row>
    <row r="76" spans="2:10" x14ac:dyDescent="0.2">
      <c r="B76" s="666" t="s">
        <v>92</v>
      </c>
      <c r="C76" s="666" t="s">
        <v>129</v>
      </c>
      <c r="D76" s="666" t="s">
        <v>130</v>
      </c>
      <c r="E76" s="666" t="s">
        <v>124</v>
      </c>
      <c r="F76" s="666" t="s">
        <v>119</v>
      </c>
      <c r="G76" s="666"/>
      <c r="H76" s="667"/>
      <c r="I76" s="667"/>
      <c r="J76" s="667"/>
    </row>
    <row r="77" spans="2:10" x14ac:dyDescent="0.2">
      <c r="B77" s="666" t="s">
        <v>92</v>
      </c>
      <c r="C77" s="666" t="s">
        <v>133</v>
      </c>
      <c r="D77" s="666" t="s">
        <v>134</v>
      </c>
      <c r="E77" s="666" t="s">
        <v>124</v>
      </c>
      <c r="F77" s="666" t="s">
        <v>119</v>
      </c>
      <c r="G77" s="666"/>
      <c r="H77" s="667"/>
      <c r="I77" s="667"/>
      <c r="J77" s="667"/>
    </row>
    <row r="78" spans="2:10" x14ac:dyDescent="0.2">
      <c r="B78" s="666" t="s">
        <v>92</v>
      </c>
      <c r="C78" s="666" t="s">
        <v>137</v>
      </c>
      <c r="D78" s="666" t="s">
        <v>138</v>
      </c>
      <c r="E78" s="666" t="s">
        <v>124</v>
      </c>
      <c r="F78" s="666" t="s">
        <v>119</v>
      </c>
      <c r="G78" s="666"/>
      <c r="H78" s="667"/>
      <c r="I78" s="667"/>
      <c r="J78" s="667"/>
    </row>
    <row r="79" spans="2:10" x14ac:dyDescent="0.2">
      <c r="B79" s="666" t="s">
        <v>92</v>
      </c>
      <c r="C79" s="666" t="s">
        <v>141</v>
      </c>
      <c r="D79" s="666" t="s">
        <v>142</v>
      </c>
      <c r="E79" s="666" t="s">
        <v>124</v>
      </c>
      <c r="F79" s="666" t="s">
        <v>119</v>
      </c>
      <c r="G79" s="666"/>
      <c r="H79" s="667"/>
      <c r="I79" s="667"/>
      <c r="J79" s="667"/>
    </row>
    <row r="80" spans="2:10" x14ac:dyDescent="0.2">
      <c r="B80" s="666" t="s">
        <v>92</v>
      </c>
      <c r="C80" s="666" t="s">
        <v>145</v>
      </c>
      <c r="D80" s="666" t="s">
        <v>146</v>
      </c>
      <c r="E80" s="666" t="s">
        <v>124</v>
      </c>
      <c r="F80" s="666" t="s">
        <v>119</v>
      </c>
      <c r="G80" s="666"/>
      <c r="H80" s="667"/>
      <c r="I80" s="667"/>
      <c r="J80" s="667"/>
    </row>
    <row r="81" spans="2:10" x14ac:dyDescent="0.2">
      <c r="B81" s="666" t="s">
        <v>92</v>
      </c>
      <c r="C81" s="666" t="s">
        <v>147</v>
      </c>
      <c r="D81" s="666" t="s">
        <v>148</v>
      </c>
      <c r="E81" s="666" t="s">
        <v>124</v>
      </c>
      <c r="F81" s="666" t="s">
        <v>119</v>
      </c>
      <c r="G81" s="666"/>
      <c r="H81" s="667"/>
      <c r="I81" s="667"/>
      <c r="J81" s="667"/>
    </row>
    <row r="82" spans="2:10" x14ac:dyDescent="0.2">
      <c r="B82" s="666" t="s">
        <v>92</v>
      </c>
      <c r="C82" s="666" t="s">
        <v>149</v>
      </c>
      <c r="D82" s="666" t="s">
        <v>150</v>
      </c>
      <c r="E82" s="666" t="s">
        <v>124</v>
      </c>
      <c r="F82" s="666" t="s">
        <v>119</v>
      </c>
      <c r="G82" s="666"/>
      <c r="H82" s="667"/>
      <c r="I82" s="667"/>
      <c r="J82" s="667"/>
    </row>
    <row r="83" spans="2:10" x14ac:dyDescent="0.2">
      <c r="B83" s="666" t="s">
        <v>92</v>
      </c>
      <c r="C83" s="666" t="s">
        <v>151</v>
      </c>
      <c r="D83" s="666" t="s">
        <v>152</v>
      </c>
      <c r="E83" s="666" t="s">
        <v>124</v>
      </c>
      <c r="F83" s="666" t="s">
        <v>119</v>
      </c>
      <c r="G83" s="666"/>
      <c r="H83" s="667"/>
      <c r="I83" s="667"/>
      <c r="J83" s="667"/>
    </row>
    <row r="84" spans="2:10" x14ac:dyDescent="0.2">
      <c r="B84" s="666" t="s">
        <v>92</v>
      </c>
      <c r="C84" s="666" t="s">
        <v>153</v>
      </c>
      <c r="D84" s="666" t="s">
        <v>154</v>
      </c>
      <c r="E84" s="666" t="s">
        <v>124</v>
      </c>
      <c r="F84" s="666" t="s">
        <v>119</v>
      </c>
      <c r="G84" s="666"/>
      <c r="H84" s="667"/>
      <c r="I84" s="667"/>
      <c r="J84" s="667"/>
    </row>
    <row r="85" spans="2:10" x14ac:dyDescent="0.2">
      <c r="B85" s="666" t="s">
        <v>92</v>
      </c>
      <c r="C85" s="666" t="s">
        <v>155</v>
      </c>
      <c r="D85" s="666" t="s">
        <v>156</v>
      </c>
      <c r="E85" s="666" t="s">
        <v>124</v>
      </c>
      <c r="F85" s="666" t="s">
        <v>119</v>
      </c>
      <c r="G85" s="666"/>
      <c r="H85" s="667"/>
      <c r="I85" s="667"/>
      <c r="J85" s="667"/>
    </row>
  </sheetData>
  <phoneticPr fontId="0" type="noConversion"/>
  <pageMargins left="0.75" right="0.75" top="1" bottom="1" header="0.5" footer="0.5"/>
  <pageSetup paperSize="9" orientation="portrait" horizontalDpi="1200"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157</v>
      </c>
      <c r="B1" s="35"/>
    </row>
    <row r="4" spans="1:12" ht="18" customHeight="1" x14ac:dyDescent="0.2"/>
    <row r="7" spans="1:12" x14ac:dyDescent="0.2">
      <c r="B7" s="1" t="s">
        <v>158</v>
      </c>
      <c r="C7" s="1" t="s">
        <v>159</v>
      </c>
      <c r="D7" s="1" t="s">
        <v>160</v>
      </c>
      <c r="E7" s="1" t="s">
        <v>161</v>
      </c>
      <c r="F7" s="1" t="s">
        <v>4</v>
      </c>
      <c r="G7" s="1" t="s">
        <v>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1025" r:id="rId12" name="cmdTechnologySets"/>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162</v>
      </c>
      <c r="B1" s="35"/>
    </row>
    <row r="4" spans="1:6" ht="18.75" customHeight="1" x14ac:dyDescent="0.2"/>
    <row r="5" spans="1:6" ht="17.25" customHeight="1" x14ac:dyDescent="0.2">
      <c r="C5" s="2"/>
    </row>
    <row r="6" spans="1:6" ht="15.75" customHeight="1" x14ac:dyDescent="0.2"/>
    <row r="7" spans="1:6" x14ac:dyDescent="0.2">
      <c r="B7" s="3" t="s">
        <v>163</v>
      </c>
      <c r="C7" s="1" t="s">
        <v>164</v>
      </c>
      <c r="D7" s="1" t="s">
        <v>165</v>
      </c>
      <c r="E7" s="1" t="s">
        <v>4</v>
      </c>
      <c r="F7" s="1" t="s">
        <v>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10242" r:id="rId10" name="cmdConstraintSets"/>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166</v>
      </c>
      <c r="B1" s="35"/>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1</v>
      </c>
      <c r="C7" s="1" t="s">
        <v>2</v>
      </c>
      <c r="D7" s="1" t="s">
        <v>165</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8"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4097" r:id="rId12" name="cmdAddParameter"/>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167</v>
      </c>
      <c r="B1" s="35"/>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158</v>
      </c>
      <c r="C7" s="1" t="s">
        <v>159</v>
      </c>
      <c r="D7" s="1" t="s">
        <v>165</v>
      </c>
      <c r="E7" s="1" t="s">
        <v>168</v>
      </c>
      <c r="F7" s="1" t="s">
        <v>169</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3074" r:id="rId16" name="cmdTechNameAndDesc"/>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170</v>
      </c>
      <c r="B1" s="35"/>
    </row>
    <row r="4" spans="1:5" ht="17.25" customHeight="1" x14ac:dyDescent="0.2"/>
    <row r="5" spans="1:5" ht="18" customHeight="1" x14ac:dyDescent="0.2"/>
    <row r="6" spans="1:5" ht="17.25" customHeight="1" x14ac:dyDescent="0.2"/>
    <row r="7" spans="1:5" ht="15.75" customHeight="1" x14ac:dyDescent="0.2">
      <c r="B7" s="1" t="s">
        <v>163</v>
      </c>
      <c r="C7" s="1" t="s">
        <v>164</v>
      </c>
      <c r="D7" s="1" t="s">
        <v>165</v>
      </c>
      <c r="E7" s="1" t="s">
        <v>158</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11265" r:id="rId14" name="cmdConstrNameAndDesc"/>
      </mc:Fallback>
    </mc:AlternateContent>
  </control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FFC000"/>
  </sheetPr>
  <dimension ref="B1:I746"/>
  <sheetViews>
    <sheetView zoomScale="80" zoomScaleNormal="80" workbookViewId="0">
      <pane xSplit="4" ySplit="7" topLeftCell="E14" activePane="bottomRight" state="frozen"/>
      <selection pane="topRight" activeCell="O26" sqref="O26"/>
      <selection pane="bottomLeft" activeCell="O26" sqref="O26"/>
      <selection pane="bottomRight" activeCell="B6" sqref="B6"/>
    </sheetView>
  </sheetViews>
  <sheetFormatPr defaultColWidth="9.140625" defaultRowHeight="12.75" x14ac:dyDescent="0.2"/>
  <cols>
    <col min="1" max="1" width="9.140625" style="145"/>
    <col min="2" max="2" width="23.85546875" style="145" customWidth="1"/>
    <col min="3" max="3" width="15.140625" style="145" customWidth="1"/>
    <col min="4" max="4" width="53.5703125" style="145" customWidth="1"/>
    <col min="5" max="5" width="14.140625" style="145" customWidth="1"/>
    <col min="6" max="6" width="17" style="145" customWidth="1"/>
    <col min="7" max="7" width="30.42578125" style="145" customWidth="1"/>
    <col min="8" max="8" width="11.7109375" style="145" bestFit="1" customWidth="1"/>
    <col min="9" max="16384" width="9.140625" style="145"/>
  </cols>
  <sheetData>
    <row r="1" spans="2:9" x14ac:dyDescent="0.2">
      <c r="B1" s="659" t="s">
        <v>194</v>
      </c>
      <c r="C1" s="145" t="s">
        <v>7</v>
      </c>
    </row>
    <row r="4" spans="2:9" ht="18" customHeight="1" x14ac:dyDescent="0.2"/>
    <row r="6" spans="2:9" x14ac:dyDescent="0.2">
      <c r="B6" s="662"/>
      <c r="C6"/>
      <c r="D6"/>
      <c r="E6"/>
      <c r="F6"/>
      <c r="G6"/>
      <c r="H6"/>
      <c r="I6"/>
    </row>
    <row r="7" spans="2:9" x14ac:dyDescent="0.2">
      <c r="B7" s="663" t="s">
        <v>683</v>
      </c>
      <c r="C7" s="663" t="s">
        <v>158</v>
      </c>
      <c r="D7" s="663" t="s">
        <v>159</v>
      </c>
      <c r="E7" s="679" t="s">
        <v>1660</v>
      </c>
      <c r="F7" s="679" t="s">
        <v>1661</v>
      </c>
      <c r="G7" s="663" t="s">
        <v>1662</v>
      </c>
      <c r="H7" s="679" t="s">
        <v>1663</v>
      </c>
      <c r="I7" s="679" t="s">
        <v>1664</v>
      </c>
    </row>
    <row r="8" spans="2:9" x14ac:dyDescent="0.2">
      <c r="B8" s="706" t="s">
        <v>1724</v>
      </c>
      <c r="C8" s="706"/>
      <c r="D8" s="706"/>
      <c r="E8" s="706"/>
      <c r="F8" s="706"/>
      <c r="G8" s="706"/>
      <c r="H8" s="706"/>
      <c r="I8" s="706"/>
    </row>
    <row r="9" spans="2:9" x14ac:dyDescent="0.2">
      <c r="B9" s="704" t="str">
        <f>TechData!A8</f>
        <v>R2,R3,R4,R5,R6</v>
      </c>
      <c r="C9" s="704" t="str">
        <f>TechData!B8</f>
        <v>TAJE</v>
      </c>
      <c r="D9" s="704" t="str">
        <f>TechData!C8</f>
        <v>Air Jet, Passenger Existing</v>
      </c>
      <c r="E9" s="666" t="s">
        <v>91</v>
      </c>
      <c r="F9" s="666" t="s">
        <v>196</v>
      </c>
      <c r="G9" s="704" t="s">
        <v>1226</v>
      </c>
      <c r="H9" s="704"/>
      <c r="I9" s="704"/>
    </row>
    <row r="10" spans="2:9" x14ac:dyDescent="0.2">
      <c r="B10" s="704" t="str">
        <f>TechData!A9</f>
        <v>*</v>
      </c>
      <c r="C10" s="704" t="str">
        <f>TechData!B9</f>
        <v>TAPE</v>
      </c>
      <c r="D10" s="704" t="str">
        <f>TechData!C9</f>
        <v>Airplane, General Aviation, exisiting</v>
      </c>
      <c r="E10" s="666" t="s">
        <v>91</v>
      </c>
      <c r="F10" s="666" t="s">
        <v>196</v>
      </c>
      <c r="G10" s="704" t="s">
        <v>1226</v>
      </c>
      <c r="H10" s="704"/>
      <c r="I10" s="704"/>
    </row>
    <row r="11" spans="2:9" x14ac:dyDescent="0.2">
      <c r="B11" s="704" t="str">
        <f>TechData!A11</f>
        <v>R2,R3,R4,R5,R6</v>
      </c>
      <c r="C11" s="704" t="str">
        <f>TechData!B11</f>
        <v>TBDSLE</v>
      </c>
      <c r="D11" s="704" t="str">
        <f>TechData!C11</f>
        <v>Bus, Exisiting Diesel</v>
      </c>
      <c r="E11" s="666" t="s">
        <v>95</v>
      </c>
      <c r="F11" s="666" t="s">
        <v>209</v>
      </c>
      <c r="G11" s="704" t="s">
        <v>1226</v>
      </c>
      <c r="H11" s="705"/>
      <c r="I11" s="705"/>
    </row>
    <row r="12" spans="2:9" x14ac:dyDescent="0.2">
      <c r="B12" s="704" t="str">
        <f>TechData!A12</f>
        <v>*</v>
      </c>
      <c r="C12" s="704" t="str">
        <f>TechData!B12</f>
        <v>TBGSLE</v>
      </c>
      <c r="D12" s="704" t="str">
        <f>TechData!C12</f>
        <v>Bus, Exisiting Gasoline</v>
      </c>
      <c r="E12" s="666" t="s">
        <v>95</v>
      </c>
      <c r="F12" s="666" t="s">
        <v>209</v>
      </c>
      <c r="G12" s="704" t="s">
        <v>1226</v>
      </c>
      <c r="H12" s="705"/>
      <c r="I12" s="705"/>
    </row>
    <row r="13" spans="2:9" x14ac:dyDescent="0.2">
      <c r="B13" s="704" t="str">
        <f>TechData!A13</f>
        <v>R2,R3,R4,R5,R6</v>
      </c>
      <c r="C13" s="704" t="str">
        <f>TechData!B13</f>
        <v>TBCNGE</v>
      </c>
      <c r="D13" s="704" t="str">
        <f>TechData!C13</f>
        <v>Bus, Exisiting CNG</v>
      </c>
      <c r="E13" s="666" t="s">
        <v>95</v>
      </c>
      <c r="F13" s="666" t="s">
        <v>209</v>
      </c>
      <c r="G13" s="704" t="s">
        <v>1226</v>
      </c>
      <c r="H13" s="705"/>
      <c r="I13" s="705"/>
    </row>
    <row r="14" spans="2:9" x14ac:dyDescent="0.2">
      <c r="B14" s="704" t="str">
        <f>TechData!A15</f>
        <v>*</v>
      </c>
      <c r="C14" s="704" t="str">
        <f>TechData!B15</f>
        <v>TCGSLE</v>
      </c>
      <c r="D14" s="704" t="str">
        <f>TechData!C15</f>
        <v>Truck, Commerical, Exisiting Gasoline</v>
      </c>
      <c r="E14" s="666" t="s">
        <v>95</v>
      </c>
      <c r="F14" s="666" t="s">
        <v>209</v>
      </c>
      <c r="G14" s="704" t="s">
        <v>1226</v>
      </c>
      <c r="H14" s="705"/>
      <c r="I14" s="705"/>
    </row>
    <row r="15" spans="2:9" x14ac:dyDescent="0.2">
      <c r="B15" s="704" t="str">
        <f>TechData!A16</f>
        <v>*</v>
      </c>
      <c r="C15" s="704" t="str">
        <f>TechData!B16</f>
        <v>TCDSLE</v>
      </c>
      <c r="D15" s="704" t="str">
        <f>TechData!C16</f>
        <v>Truck, Commerical, Existing Diesel</v>
      </c>
      <c r="E15" s="666" t="s">
        <v>95</v>
      </c>
      <c r="F15" s="666" t="s">
        <v>209</v>
      </c>
      <c r="G15" s="704" t="s">
        <v>1226</v>
      </c>
      <c r="H15" s="705"/>
      <c r="I15" s="705"/>
    </row>
    <row r="16" spans="2:9" x14ac:dyDescent="0.2">
      <c r="B16" s="704" t="str">
        <f>TechData!A18</f>
        <v>R2,R3,R4,R5,R6</v>
      </c>
      <c r="C16" s="704" t="str">
        <f>TechData!B18</f>
        <v>TMGSLE</v>
      </c>
      <c r="D16" s="704" t="str">
        <f>TechData!C18</f>
        <v>Medium Duty Truck, Existing Gasoline</v>
      </c>
      <c r="E16" s="666" t="s">
        <v>95</v>
      </c>
      <c r="F16" s="666" t="s">
        <v>209</v>
      </c>
      <c r="G16" s="704" t="s">
        <v>1226</v>
      </c>
      <c r="H16" s="705"/>
      <c r="I16" s="705"/>
    </row>
    <row r="17" spans="2:9" x14ac:dyDescent="0.2">
      <c r="B17" s="704" t="str">
        <f>TechData!A19</f>
        <v>R2,R3,R4,R5,R6</v>
      </c>
      <c r="C17" s="704" t="str">
        <f>TechData!B19</f>
        <v>TMDSLE</v>
      </c>
      <c r="D17" s="704" t="str">
        <f>TechData!C19</f>
        <v>Medium Duty Truck, Existing Diesel</v>
      </c>
      <c r="E17" s="666" t="s">
        <v>95</v>
      </c>
      <c r="F17" s="666" t="s">
        <v>209</v>
      </c>
      <c r="G17" s="704" t="s">
        <v>1226</v>
      </c>
      <c r="H17" s="705"/>
      <c r="I17" s="705"/>
    </row>
    <row r="18" spans="2:9" x14ac:dyDescent="0.2">
      <c r="B18" s="704" t="str">
        <f>TechData!A20</f>
        <v>R2,R3,R4,R5,R6</v>
      </c>
      <c r="C18" s="704" t="str">
        <f>TechData!B20</f>
        <v>TMCNGE</v>
      </c>
      <c r="D18" s="704" t="str">
        <f>TechData!C20</f>
        <v>Medium Duty Truck, Existing CNG</v>
      </c>
      <c r="E18" s="666" t="s">
        <v>95</v>
      </c>
      <c r="F18" s="666" t="s">
        <v>209</v>
      </c>
      <c r="G18" s="704" t="s">
        <v>1226</v>
      </c>
      <c r="H18" s="705"/>
      <c r="I18" s="705"/>
    </row>
    <row r="19" spans="2:9" x14ac:dyDescent="0.2">
      <c r="B19" s="704" t="str">
        <f>TechData!A21</f>
        <v>*</v>
      </c>
      <c r="C19" s="704" t="str">
        <f>TechData!B21</f>
        <v>TMLPGE</v>
      </c>
      <c r="D19" s="704" t="str">
        <f>TechData!C21</f>
        <v>Medium Duty Truck, Existing LPG</v>
      </c>
      <c r="E19" s="666" t="s">
        <v>95</v>
      </c>
      <c r="F19" s="666" t="s">
        <v>209</v>
      </c>
      <c r="G19" s="704" t="s">
        <v>1226</v>
      </c>
      <c r="H19" s="705"/>
      <c r="I19" s="705"/>
    </row>
    <row r="20" spans="2:9" x14ac:dyDescent="0.2">
      <c r="B20" s="704" t="str">
        <f>TechData!A23</f>
        <v>R2,R3,R4,R5,R6</v>
      </c>
      <c r="C20" s="704" t="str">
        <f>TechData!B23</f>
        <v>THSGSLE</v>
      </c>
      <c r="D20" s="704" t="str">
        <f>TechData!C23</f>
        <v>Heavy Truck, Short Haul, Gasoline exisiting</v>
      </c>
      <c r="E20" s="666" t="s">
        <v>95</v>
      </c>
      <c r="F20" s="666" t="s">
        <v>209</v>
      </c>
      <c r="G20" s="704" t="s">
        <v>1226</v>
      </c>
      <c r="H20" s="705"/>
      <c r="I20" s="705"/>
    </row>
    <row r="21" spans="2:9" x14ac:dyDescent="0.2">
      <c r="B21" s="704" t="str">
        <f>TechData!A24</f>
        <v>R2,R3,R4,R5,R6</v>
      </c>
      <c r="C21" s="704" t="str">
        <f>TechData!B24</f>
        <v>THSDSLE</v>
      </c>
      <c r="D21" s="704" t="str">
        <f>TechData!C24</f>
        <v>Heavy Truck, Short Haul, Diesel exisiting</v>
      </c>
      <c r="E21" s="666" t="s">
        <v>95</v>
      </c>
      <c r="F21" s="666" t="s">
        <v>209</v>
      </c>
      <c r="G21" s="704" t="s">
        <v>1226</v>
      </c>
      <c r="H21" s="705"/>
      <c r="I21" s="705"/>
    </row>
    <row r="22" spans="2:9" x14ac:dyDescent="0.2">
      <c r="B22" s="704" t="str">
        <f>TechData!A25</f>
        <v>*</v>
      </c>
      <c r="C22" s="704" t="str">
        <f>TechData!B25</f>
        <v>THSDSLE2</v>
      </c>
      <c r="D22" s="704" t="str">
        <f>TechData!C25</f>
        <v>Heavy Truck, Short Haul, Diesel exisiting MSW</v>
      </c>
      <c r="E22" s="666" t="s">
        <v>95</v>
      </c>
      <c r="F22" s="666" t="s">
        <v>209</v>
      </c>
      <c r="G22" s="704" t="s">
        <v>1226</v>
      </c>
      <c r="H22" s="705"/>
      <c r="I22" s="705"/>
    </row>
    <row r="23" spans="2:9" x14ac:dyDescent="0.2">
      <c r="B23" s="704" t="str">
        <f>TechData!A26</f>
        <v>*</v>
      </c>
      <c r="C23" s="704" t="str">
        <f>TechData!B26</f>
        <v>THSCNGE2</v>
      </c>
      <c r="D23" s="704" t="str">
        <f>TechData!C26</f>
        <v>Heavy Truck, Short Haul, CNG exisiting MSW</v>
      </c>
      <c r="E23" s="666" t="s">
        <v>95</v>
      </c>
      <c r="F23" s="666" t="s">
        <v>209</v>
      </c>
      <c r="G23" s="704" t="s">
        <v>1226</v>
      </c>
      <c r="H23" s="705"/>
      <c r="I23" s="705"/>
    </row>
    <row r="24" spans="2:9" x14ac:dyDescent="0.2">
      <c r="B24" s="704" t="str">
        <f>TechData!A28</f>
        <v>R2,R3,R4,R5,R6</v>
      </c>
      <c r="C24" s="704" t="str">
        <f>TechData!B28</f>
        <v>TPDSLCR</v>
      </c>
      <c r="D24" s="704" t="str">
        <f>TechData!C28</f>
        <v>Commuter Rail, Diesel</v>
      </c>
      <c r="E24" s="666" t="s">
        <v>91</v>
      </c>
      <c r="F24" s="666" t="s">
        <v>196</v>
      </c>
      <c r="G24" s="704" t="s">
        <v>1226</v>
      </c>
      <c r="H24" s="705"/>
      <c r="I24" s="705"/>
    </row>
    <row r="25" spans="2:9" x14ac:dyDescent="0.2">
      <c r="B25" s="704" t="str">
        <f>TechData!A29</f>
        <v>R2,R3,R4,R5,R6</v>
      </c>
      <c r="C25" s="704" t="str">
        <f>TechData!B29</f>
        <v>TPELCSUB</v>
      </c>
      <c r="D25" s="704" t="str">
        <f>TechData!C29</f>
        <v>Subways and Streetcars, Electricity</v>
      </c>
      <c r="E25" s="666" t="s">
        <v>91</v>
      </c>
      <c r="F25" s="666" t="s">
        <v>196</v>
      </c>
      <c r="G25" s="704" t="s">
        <v>1226</v>
      </c>
      <c r="H25" s="705"/>
      <c r="I25" s="705"/>
    </row>
    <row r="26" spans="2:9" x14ac:dyDescent="0.2">
      <c r="B26" s="704" t="str">
        <f>TechData!A31</f>
        <v>*</v>
      </c>
      <c r="C26" s="704" t="str">
        <f>TechData!B31</f>
        <v>TRFDSLE</v>
      </c>
      <c r="D26" s="704" t="str">
        <f>TechData!C31</f>
        <v>Rail Freight, Diesel Existing</v>
      </c>
      <c r="E26" s="666" t="s">
        <v>104</v>
      </c>
      <c r="F26" s="666" t="s">
        <v>413</v>
      </c>
      <c r="G26" s="704" t="s">
        <v>1226</v>
      </c>
      <c r="H26" s="705"/>
      <c r="I26" s="705"/>
    </row>
    <row r="27" spans="2:9" x14ac:dyDescent="0.2">
      <c r="B27" s="704" t="str">
        <f>TechData!A32</f>
        <v>*</v>
      </c>
      <c r="C27" s="704" t="str">
        <f>TechData!B32</f>
        <v>TRFDSLE2</v>
      </c>
      <c r="D27" s="704" t="str">
        <f>TechData!C32</f>
        <v>Rail Freight, Diesel Existing-MSW</v>
      </c>
      <c r="E27" s="666" t="s">
        <v>95</v>
      </c>
      <c r="F27" s="666" t="s">
        <v>209</v>
      </c>
      <c r="G27" s="704" t="s">
        <v>1226</v>
      </c>
      <c r="H27" s="705"/>
      <c r="I27" s="705"/>
    </row>
    <row r="28" spans="2:9" x14ac:dyDescent="0.2">
      <c r="B28" s="704" t="str">
        <f>TechData!A33</f>
        <v>R2,R3,R4,R5,R6</v>
      </c>
      <c r="C28" s="704" t="str">
        <f>TechData!B33</f>
        <v>TSDSLE</v>
      </c>
      <c r="D28" s="704" t="str">
        <f>TechData!C33</f>
        <v>Water Shipping, Diesel exisiting</v>
      </c>
      <c r="E28" s="666" t="s">
        <v>104</v>
      </c>
      <c r="F28" s="666" t="s">
        <v>413</v>
      </c>
      <c r="G28" s="704" t="s">
        <v>1226</v>
      </c>
      <c r="H28" s="705"/>
      <c r="I28" s="705"/>
    </row>
    <row r="29" spans="2:9" x14ac:dyDescent="0.2">
      <c r="B29" s="704"/>
      <c r="C29" s="704"/>
      <c r="D29" s="704"/>
      <c r="E29" s="704"/>
      <c r="F29" s="704"/>
      <c r="G29" s="704"/>
      <c r="H29" s="705"/>
      <c r="I29" s="705"/>
    </row>
    <row r="30" spans="2:9" x14ac:dyDescent="0.2">
      <c r="B30" s="704"/>
      <c r="C30" s="704"/>
      <c r="D30" s="704"/>
      <c r="E30" s="704"/>
      <c r="F30" s="704"/>
      <c r="G30" s="704"/>
      <c r="H30" s="705"/>
      <c r="I30" s="705"/>
    </row>
    <row r="31" spans="2:9" x14ac:dyDescent="0.2">
      <c r="B31" s="704"/>
      <c r="C31" s="704"/>
      <c r="D31" s="704"/>
      <c r="E31" s="704"/>
      <c r="F31" s="704"/>
      <c r="G31" s="704"/>
      <c r="H31" s="705"/>
      <c r="I31" s="705"/>
    </row>
    <row r="32" spans="2:9" x14ac:dyDescent="0.2">
      <c r="B32" s="704"/>
      <c r="C32" s="704"/>
      <c r="D32" s="704"/>
      <c r="E32" s="704"/>
      <c r="F32" s="704"/>
      <c r="G32" s="704"/>
      <c r="H32" s="705"/>
      <c r="I32" s="705"/>
    </row>
    <row r="33" spans="2:9" x14ac:dyDescent="0.2">
      <c r="B33" s="704" t="e">
        <f>#REF!</f>
        <v>#REF!</v>
      </c>
      <c r="C33" s="704" t="e">
        <f>#REF!</f>
        <v>#REF!</v>
      </c>
      <c r="D33" s="704"/>
      <c r="E33" s="704" t="s">
        <v>11</v>
      </c>
      <c r="F33" s="704" t="s">
        <v>1723</v>
      </c>
      <c r="G33" s="704" t="s">
        <v>1665</v>
      </c>
      <c r="H33" s="704"/>
      <c r="I33" s="704"/>
    </row>
    <row r="34" spans="2:9" x14ac:dyDescent="0.2">
      <c r="B34" s="704" t="e">
        <f>#REF!</f>
        <v>#REF!</v>
      </c>
      <c r="C34" s="704" t="e">
        <f>#REF!</f>
        <v>#REF!</v>
      </c>
      <c r="D34" s="704"/>
      <c r="E34" s="704" t="s">
        <v>11</v>
      </c>
      <c r="F34" s="704" t="s">
        <v>1723</v>
      </c>
      <c r="G34" s="704" t="s">
        <v>1665</v>
      </c>
      <c r="H34" s="704"/>
      <c r="I34" s="704"/>
    </row>
    <row r="35" spans="2:9" x14ac:dyDescent="0.2">
      <c r="B35" s="704" t="e">
        <f>#REF!</f>
        <v>#REF!</v>
      </c>
      <c r="C35" s="704" t="e">
        <f>#REF!</f>
        <v>#REF!</v>
      </c>
      <c r="D35" s="704"/>
      <c r="E35" s="704" t="s">
        <v>11</v>
      </c>
      <c r="F35" s="704" t="s">
        <v>1723</v>
      </c>
      <c r="G35" s="704" t="s">
        <v>1665</v>
      </c>
      <c r="H35" s="704"/>
      <c r="I35" s="704"/>
    </row>
    <row r="36" spans="2:9" x14ac:dyDescent="0.2">
      <c r="B36" s="704" t="e">
        <f>#REF!</f>
        <v>#REF!</v>
      </c>
      <c r="C36" s="704" t="e">
        <f>#REF!</f>
        <v>#REF!</v>
      </c>
      <c r="D36" s="704"/>
      <c r="E36" s="704" t="s">
        <v>11</v>
      </c>
      <c r="F36" s="704" t="s">
        <v>1723</v>
      </c>
      <c r="G36" s="704" t="s">
        <v>1665</v>
      </c>
      <c r="H36" s="704"/>
      <c r="I36" s="704"/>
    </row>
    <row r="37" spans="2:9" x14ac:dyDescent="0.2">
      <c r="B37" s="704" t="e">
        <f>#REF!</f>
        <v>#REF!</v>
      </c>
      <c r="C37" s="704" t="e">
        <f>#REF!</f>
        <v>#REF!</v>
      </c>
      <c r="D37" s="704"/>
      <c r="E37" s="704" t="s">
        <v>11</v>
      </c>
      <c r="F37" s="704" t="s">
        <v>1723</v>
      </c>
      <c r="G37" s="704" t="s">
        <v>1665</v>
      </c>
      <c r="H37" s="704"/>
      <c r="I37" s="704"/>
    </row>
    <row r="38" spans="2:9" x14ac:dyDescent="0.2">
      <c r="B38" s="704" t="e">
        <f>#REF!</f>
        <v>#REF!</v>
      </c>
      <c r="C38" s="704" t="e">
        <f>#REF!</f>
        <v>#REF!</v>
      </c>
      <c r="D38" s="704"/>
      <c r="E38" s="704" t="s">
        <v>11</v>
      </c>
      <c r="F38" s="704" t="s">
        <v>1723</v>
      </c>
      <c r="G38" s="704" t="s">
        <v>1665</v>
      </c>
      <c r="H38" s="704"/>
      <c r="I38" s="704"/>
    </row>
    <row r="39" spans="2:9" x14ac:dyDescent="0.2">
      <c r="B39" s="704" t="e">
        <f>#REF!</f>
        <v>#REF!</v>
      </c>
      <c r="C39" s="704" t="e">
        <f>#REF!</f>
        <v>#REF!</v>
      </c>
      <c r="D39" s="704"/>
      <c r="E39" s="704" t="s">
        <v>11</v>
      </c>
      <c r="F39" s="704" t="s">
        <v>1723</v>
      </c>
      <c r="G39" s="704" t="s">
        <v>1665</v>
      </c>
      <c r="H39" s="704"/>
      <c r="I39" s="704"/>
    </row>
    <row r="40" spans="2:9" x14ac:dyDescent="0.2">
      <c r="B40" s="704" t="e">
        <f>#REF!</f>
        <v>#REF!</v>
      </c>
      <c r="C40" s="704" t="e">
        <f>#REF!</f>
        <v>#REF!</v>
      </c>
      <c r="D40" s="704"/>
      <c r="E40" s="704" t="s">
        <v>11</v>
      </c>
      <c r="F40" s="704" t="s">
        <v>1723</v>
      </c>
      <c r="G40" s="704" t="s">
        <v>1665</v>
      </c>
      <c r="H40" s="704"/>
      <c r="I40" s="704"/>
    </row>
    <row r="41" spans="2:9" x14ac:dyDescent="0.2">
      <c r="B41" s="704" t="e">
        <f>#REF!</f>
        <v>#REF!</v>
      </c>
      <c r="C41" s="704" t="e">
        <f>#REF!</f>
        <v>#REF!</v>
      </c>
      <c r="D41" s="704"/>
      <c r="E41" s="704" t="s">
        <v>11</v>
      </c>
      <c r="F41" s="704" t="s">
        <v>1723</v>
      </c>
      <c r="G41" s="704" t="s">
        <v>1665</v>
      </c>
      <c r="H41" s="704"/>
      <c r="I41" s="704"/>
    </row>
    <row r="42" spans="2:9" x14ac:dyDescent="0.2">
      <c r="B42" s="704" t="e">
        <f>#REF!</f>
        <v>#REF!</v>
      </c>
      <c r="C42" s="704" t="e">
        <f>#REF!</f>
        <v>#REF!</v>
      </c>
      <c r="D42" s="704"/>
      <c r="E42" s="704" t="s">
        <v>11</v>
      </c>
      <c r="F42" s="704" t="s">
        <v>1723</v>
      </c>
      <c r="G42" s="704" t="s">
        <v>1665</v>
      </c>
      <c r="H42" s="704"/>
      <c r="I42" s="704"/>
    </row>
    <row r="43" spans="2:9" x14ac:dyDescent="0.2">
      <c r="B43" s="704"/>
      <c r="C43" s="704"/>
      <c r="D43" s="704"/>
      <c r="E43" s="705"/>
      <c r="F43" s="705"/>
      <c r="G43" s="704"/>
      <c r="H43" s="705"/>
      <c r="I43" s="705"/>
    </row>
    <row r="44" spans="2:9" x14ac:dyDescent="0.2">
      <c r="B44" s="704"/>
      <c r="C44" s="704"/>
      <c r="D44" s="704"/>
      <c r="E44" s="705"/>
      <c r="F44" s="705"/>
      <c r="G44" s="704"/>
      <c r="H44" s="705"/>
      <c r="I44" s="705"/>
    </row>
    <row r="45" spans="2:9" x14ac:dyDescent="0.2">
      <c r="B45" s="704"/>
      <c r="C45" s="704"/>
      <c r="D45" s="704"/>
      <c r="E45" s="705"/>
      <c r="F45" s="705"/>
      <c r="G45" s="704"/>
      <c r="H45" s="705"/>
      <c r="I45" s="705"/>
    </row>
    <row r="46" spans="2:9" x14ac:dyDescent="0.2">
      <c r="B46" s="704"/>
      <c r="C46" s="704"/>
      <c r="D46" s="704"/>
      <c r="E46" s="705"/>
      <c r="F46" s="705"/>
      <c r="G46" s="704"/>
      <c r="H46" s="705"/>
      <c r="I46" s="705"/>
    </row>
    <row r="47" spans="2:9" x14ac:dyDescent="0.2">
      <c r="B47" s="666" t="s">
        <v>92</v>
      </c>
      <c r="C47" s="666" t="s">
        <v>195</v>
      </c>
      <c r="D47" s="666" t="str">
        <f>'Air&amp;Marine'!B6</f>
        <v>Air Jet, Passenger Existing</v>
      </c>
      <c r="E47" s="666" t="s">
        <v>91</v>
      </c>
      <c r="F47" s="666" t="s">
        <v>196</v>
      </c>
      <c r="G47" s="666" t="s">
        <v>1226</v>
      </c>
      <c r="H47" s="666"/>
      <c r="I47" s="667"/>
    </row>
    <row r="48" spans="2:9" x14ac:dyDescent="0.2">
      <c r="B48" s="666" t="s">
        <v>105</v>
      </c>
      <c r="C48" s="666" t="s">
        <v>197</v>
      </c>
      <c r="D48" s="666" t="s">
        <v>198</v>
      </c>
      <c r="E48" s="666" t="s">
        <v>91</v>
      </c>
      <c r="F48" s="666" t="s">
        <v>196</v>
      </c>
      <c r="G48" s="666" t="s">
        <v>1226</v>
      </c>
      <c r="H48" s="666"/>
      <c r="I48" s="667"/>
    </row>
    <row r="49" spans="2:9" x14ac:dyDescent="0.2">
      <c r="B49" s="666" t="s">
        <v>92</v>
      </c>
      <c r="C49" s="666" t="s">
        <v>199</v>
      </c>
      <c r="D49" s="666" t="str">
        <f>'Air&amp;Marine'!B7</f>
        <v>Air Jet, Passenger 2010</v>
      </c>
      <c r="E49" s="666" t="s">
        <v>91</v>
      </c>
      <c r="F49" s="666" t="s">
        <v>196</v>
      </c>
      <c r="G49" s="666" t="s">
        <v>1226</v>
      </c>
      <c r="H49" s="666"/>
      <c r="I49" s="667"/>
    </row>
    <row r="50" spans="2:9" x14ac:dyDescent="0.2">
      <c r="B50" s="666" t="s">
        <v>92</v>
      </c>
      <c r="C50" s="666" t="s">
        <v>200</v>
      </c>
      <c r="D50" s="666" t="str">
        <f>'Air&amp;Marine'!B8</f>
        <v>Air Jet, Passenger, Syn fuel, 2010</v>
      </c>
      <c r="E50" s="666" t="s">
        <v>91</v>
      </c>
      <c r="F50" s="666" t="s">
        <v>196</v>
      </c>
      <c r="G50" s="666" t="s">
        <v>1226</v>
      </c>
      <c r="H50" s="666"/>
      <c r="I50" s="667"/>
    </row>
    <row r="51" spans="2:9" x14ac:dyDescent="0.2">
      <c r="B51" s="666" t="s">
        <v>92</v>
      </c>
      <c r="C51" s="666" t="s">
        <v>201</v>
      </c>
      <c r="D51" s="666" t="str">
        <f>'Air&amp;Marine'!B9</f>
        <v>Air Jet, Passenger (Wing tips),2010</v>
      </c>
      <c r="E51" s="666" t="s">
        <v>91</v>
      </c>
      <c r="F51" s="666" t="s">
        <v>196</v>
      </c>
      <c r="G51" s="666" t="s">
        <v>1226</v>
      </c>
      <c r="H51" s="666"/>
      <c r="I51" s="667"/>
    </row>
    <row r="52" spans="2:9" x14ac:dyDescent="0.2">
      <c r="B52" s="666" t="s">
        <v>92</v>
      </c>
      <c r="C52" s="666" t="s">
        <v>202</v>
      </c>
      <c r="D52" s="666" t="str">
        <f>'Air&amp;Marine'!B11</f>
        <v>Air Jet Passeneger (APU) 2015</v>
      </c>
      <c r="E52" s="666" t="s">
        <v>91</v>
      </c>
      <c r="F52" s="666" t="s">
        <v>196</v>
      </c>
      <c r="G52" s="666" t="s">
        <v>1226</v>
      </c>
      <c r="H52" s="666"/>
      <c r="I52" s="667"/>
    </row>
    <row r="53" spans="2:9" x14ac:dyDescent="0.2">
      <c r="B53" s="666" t="s">
        <v>92</v>
      </c>
      <c r="C53" s="666" t="s">
        <v>203</v>
      </c>
      <c r="D53" s="666" t="str">
        <f>'Air&amp;Marine'!B12</f>
        <v>Air Jet, Passenger(blended wing), 2030</v>
      </c>
      <c r="E53" s="666" t="s">
        <v>91</v>
      </c>
      <c r="F53" s="666" t="s">
        <v>196</v>
      </c>
      <c r="G53" s="666" t="s">
        <v>1226</v>
      </c>
      <c r="H53" s="666"/>
      <c r="I53" s="667"/>
    </row>
    <row r="54" spans="2:9" x14ac:dyDescent="0.2">
      <c r="B54" s="666" t="s">
        <v>92</v>
      </c>
      <c r="C54" s="666" t="s">
        <v>204</v>
      </c>
      <c r="D54" s="666" t="str">
        <f>'Air&amp;Marine'!B13</f>
        <v>Air Jet, Passenger (improved aero), 2030</v>
      </c>
      <c r="E54" s="666" t="s">
        <v>91</v>
      </c>
      <c r="F54" s="666" t="s">
        <v>196</v>
      </c>
      <c r="G54" s="666" t="s">
        <v>1226</v>
      </c>
      <c r="H54" s="666"/>
      <c r="I54" s="667"/>
    </row>
    <row r="55" spans="2:9" x14ac:dyDescent="0.2">
      <c r="B55" s="666" t="s">
        <v>92</v>
      </c>
      <c r="C55" s="666" t="s">
        <v>205</v>
      </c>
      <c r="D55" s="666" t="str">
        <f>'Air&amp;Marine'!B15</f>
        <v>Air Jet Passenger, (geared engine), 2015</v>
      </c>
      <c r="E55" s="666" t="s">
        <v>91</v>
      </c>
      <c r="F55" s="666" t="s">
        <v>196</v>
      </c>
      <c r="G55" s="666" t="s">
        <v>1226</v>
      </c>
      <c r="H55" s="666"/>
      <c r="I55" s="667"/>
    </row>
    <row r="56" spans="2:9" x14ac:dyDescent="0.2">
      <c r="B56" s="666" t="s">
        <v>105</v>
      </c>
      <c r="C56" s="666" t="s">
        <v>206</v>
      </c>
      <c r="D56" s="666" t="s">
        <v>207</v>
      </c>
      <c r="E56" s="666" t="s">
        <v>91</v>
      </c>
      <c r="F56" s="666" t="s">
        <v>196</v>
      </c>
      <c r="G56" s="666" t="s">
        <v>1226</v>
      </c>
      <c r="H56" s="666"/>
      <c r="I56" s="667"/>
    </row>
    <row r="57" spans="2:9" x14ac:dyDescent="0.2">
      <c r="B57" s="666" t="s">
        <v>92</v>
      </c>
      <c r="C57" s="666" t="s">
        <v>208</v>
      </c>
      <c r="D57" s="666" t="str">
        <f>TechData!C11</f>
        <v>Bus, Exisiting Diesel</v>
      </c>
      <c r="E57" s="666" t="s">
        <v>95</v>
      </c>
      <c r="F57" s="666" t="s">
        <v>209</v>
      </c>
      <c r="G57" s="666" t="s">
        <v>1226</v>
      </c>
      <c r="H57" s="666"/>
      <c r="I57" s="667"/>
    </row>
    <row r="58" spans="2:9" x14ac:dyDescent="0.2">
      <c r="B58" s="666" t="s">
        <v>105</v>
      </c>
      <c r="C58" s="666" t="s">
        <v>210</v>
      </c>
      <c r="D58" s="666" t="str">
        <f>TechData!C12</f>
        <v>Bus, Exisiting Gasoline</v>
      </c>
      <c r="E58" s="666" t="s">
        <v>95</v>
      </c>
      <c r="F58" s="666" t="s">
        <v>209</v>
      </c>
      <c r="G58" s="666" t="s">
        <v>1226</v>
      </c>
      <c r="H58" s="666"/>
      <c r="I58" s="667"/>
    </row>
    <row r="59" spans="2:9" x14ac:dyDescent="0.2">
      <c r="B59" s="666" t="s">
        <v>92</v>
      </c>
      <c r="C59" s="666" t="s">
        <v>211</v>
      </c>
      <c r="D59" s="666" t="str">
        <f>TechData!C13</f>
        <v>Bus, Exisiting CNG</v>
      </c>
      <c r="E59" s="666" t="s">
        <v>95</v>
      </c>
      <c r="F59" s="666" t="s">
        <v>209</v>
      </c>
      <c r="G59" s="666" t="s">
        <v>1226</v>
      </c>
      <c r="H59" s="666"/>
      <c r="I59" s="667"/>
    </row>
    <row r="60" spans="2:9" x14ac:dyDescent="0.2">
      <c r="B60" s="666" t="s">
        <v>92</v>
      </c>
      <c r="C60" s="666" t="s">
        <v>212</v>
      </c>
      <c r="D60" s="666" t="s">
        <v>213</v>
      </c>
      <c r="E60" s="666" t="s">
        <v>95</v>
      </c>
      <c r="F60" s="666" t="s">
        <v>209</v>
      </c>
      <c r="G60" s="666" t="s">
        <v>1226</v>
      </c>
      <c r="H60" s="666"/>
      <c r="I60" s="667"/>
    </row>
    <row r="61" spans="2:9" x14ac:dyDescent="0.2">
      <c r="B61" s="666" t="s">
        <v>92</v>
      </c>
      <c r="C61" s="666" t="s">
        <v>214</v>
      </c>
      <c r="D61" s="666" t="str">
        <f>NewTech!C18</f>
        <v>Bus, Conventional Diesel</v>
      </c>
      <c r="E61" s="666" t="s">
        <v>95</v>
      </c>
      <c r="F61" s="666" t="s">
        <v>209</v>
      </c>
      <c r="G61" s="666" t="s">
        <v>1226</v>
      </c>
      <c r="H61" s="666"/>
      <c r="I61" s="667"/>
    </row>
    <row r="62" spans="2:9" x14ac:dyDescent="0.2">
      <c r="B62" s="666" t="s">
        <v>92</v>
      </c>
      <c r="C62" s="666" t="s">
        <v>215</v>
      </c>
      <c r="D62" s="666" t="s">
        <v>216</v>
      </c>
      <c r="E62" s="666" t="s">
        <v>95</v>
      </c>
      <c r="F62" s="666" t="s">
        <v>209</v>
      </c>
      <c r="G62" s="666" t="s">
        <v>1226</v>
      </c>
      <c r="H62" s="666"/>
      <c r="I62" s="667"/>
    </row>
    <row r="63" spans="2:9" x14ac:dyDescent="0.2">
      <c r="B63" s="666" t="s">
        <v>92</v>
      </c>
      <c r="C63" s="666" t="s">
        <v>217</v>
      </c>
      <c r="D63" s="666" t="str">
        <f>NewTech!C20</f>
        <v>Bus, Advanced Tech Diesel</v>
      </c>
      <c r="E63" s="666" t="s">
        <v>95</v>
      </c>
      <c r="F63" s="666" t="s">
        <v>209</v>
      </c>
      <c r="G63" s="666" t="s">
        <v>1226</v>
      </c>
      <c r="H63" s="666"/>
      <c r="I63" s="667"/>
    </row>
    <row r="64" spans="2:9" x14ac:dyDescent="0.2">
      <c r="B64" s="666" t="s">
        <v>92</v>
      </c>
      <c r="C64" s="666" t="s">
        <v>218</v>
      </c>
      <c r="D64" s="666" t="str">
        <f>NewTech!C21</f>
        <v>Bus, Advanced Hybrid Diesel</v>
      </c>
      <c r="E64" s="666" t="s">
        <v>95</v>
      </c>
      <c r="F64" s="666" t="s">
        <v>209</v>
      </c>
      <c r="G64" s="666" t="s">
        <v>1226</v>
      </c>
      <c r="H64" s="666"/>
      <c r="I64" s="667"/>
    </row>
    <row r="65" spans="2:9" x14ac:dyDescent="0.2">
      <c r="B65" s="666" t="s">
        <v>105</v>
      </c>
      <c r="C65" s="666" t="s">
        <v>219</v>
      </c>
      <c r="D65" s="666" t="s">
        <v>220</v>
      </c>
      <c r="E65" s="666" t="s">
        <v>95</v>
      </c>
      <c r="F65" s="666" t="s">
        <v>209</v>
      </c>
      <c r="G65" s="666" t="s">
        <v>1226</v>
      </c>
      <c r="H65" s="666"/>
      <c r="I65" s="667"/>
    </row>
    <row r="66" spans="2:9" x14ac:dyDescent="0.2">
      <c r="B66" s="666" t="s">
        <v>105</v>
      </c>
      <c r="C66" s="666" t="s">
        <v>221</v>
      </c>
      <c r="D66" s="666" t="str">
        <f>NewTech!C23</f>
        <v>Bus, Conventional B20</v>
      </c>
      <c r="E66" s="666" t="s">
        <v>95</v>
      </c>
      <c r="F66" s="666" t="s">
        <v>209</v>
      </c>
      <c r="G66" s="666" t="s">
        <v>1226</v>
      </c>
      <c r="H66" s="666"/>
      <c r="I66" s="667"/>
    </row>
    <row r="67" spans="2:9" x14ac:dyDescent="0.2">
      <c r="B67" s="666" t="s">
        <v>105</v>
      </c>
      <c r="C67" s="666" t="s">
        <v>222</v>
      </c>
      <c r="D67" s="666" t="s">
        <v>223</v>
      </c>
      <c r="E67" s="666" t="s">
        <v>95</v>
      </c>
      <c r="F67" s="666" t="s">
        <v>209</v>
      </c>
      <c r="G67" s="666" t="s">
        <v>1226</v>
      </c>
      <c r="H67" s="666"/>
      <c r="I67" s="667"/>
    </row>
    <row r="68" spans="2:9" x14ac:dyDescent="0.2">
      <c r="B68" s="666" t="s">
        <v>105</v>
      </c>
      <c r="C68" s="666" t="s">
        <v>224</v>
      </c>
      <c r="D68" s="666" t="str">
        <f>NewTech!C25</f>
        <v>Bus, Advanced Tech B20</v>
      </c>
      <c r="E68" s="666" t="s">
        <v>95</v>
      </c>
      <c r="F68" s="666" t="s">
        <v>209</v>
      </c>
      <c r="G68" s="666" t="s">
        <v>1226</v>
      </c>
      <c r="H68" s="666"/>
      <c r="I68" s="667"/>
    </row>
    <row r="69" spans="2:9" x14ac:dyDescent="0.2">
      <c r="B69" s="666" t="s">
        <v>105</v>
      </c>
      <c r="C69" s="666" t="s">
        <v>225</v>
      </c>
      <c r="D69" s="666" t="str">
        <f>NewTech!C26</f>
        <v>Bus, Advanced Hybrid B20</v>
      </c>
      <c r="E69" s="666" t="s">
        <v>95</v>
      </c>
      <c r="F69" s="666" t="s">
        <v>209</v>
      </c>
      <c r="G69" s="666" t="s">
        <v>1226</v>
      </c>
      <c r="H69" s="666"/>
      <c r="I69" s="667"/>
    </row>
    <row r="70" spans="2:9" x14ac:dyDescent="0.2">
      <c r="B70" s="666" t="s">
        <v>92</v>
      </c>
      <c r="C70" s="666" t="s">
        <v>226</v>
      </c>
      <c r="D70" s="666" t="s">
        <v>227</v>
      </c>
      <c r="E70" s="666" t="s">
        <v>95</v>
      </c>
      <c r="F70" s="666" t="s">
        <v>209</v>
      </c>
      <c r="G70" s="666" t="s">
        <v>1226</v>
      </c>
      <c r="H70" s="666"/>
      <c r="I70" s="667"/>
    </row>
    <row r="71" spans="2:9" x14ac:dyDescent="0.2">
      <c r="B71" s="666" t="s">
        <v>92</v>
      </c>
      <c r="C71" s="666" t="s">
        <v>228</v>
      </c>
      <c r="D71" s="666" t="str">
        <f>NewTech!C28</f>
        <v>Bus, Conventional CNG</v>
      </c>
      <c r="E71" s="666" t="s">
        <v>95</v>
      </c>
      <c r="F71" s="666" t="s">
        <v>209</v>
      </c>
      <c r="G71" s="666" t="s">
        <v>1226</v>
      </c>
      <c r="H71" s="666"/>
      <c r="I71" s="667"/>
    </row>
    <row r="72" spans="2:9" x14ac:dyDescent="0.2">
      <c r="B72" s="666" t="s">
        <v>92</v>
      </c>
      <c r="C72" s="666" t="s">
        <v>229</v>
      </c>
      <c r="D72" s="666" t="s">
        <v>230</v>
      </c>
      <c r="E72" s="666" t="s">
        <v>95</v>
      </c>
      <c r="F72" s="666" t="s">
        <v>209</v>
      </c>
      <c r="G72" s="666" t="s">
        <v>1226</v>
      </c>
      <c r="H72" s="666"/>
      <c r="I72" s="667"/>
    </row>
    <row r="73" spans="2:9" x14ac:dyDescent="0.2">
      <c r="B73" s="666" t="s">
        <v>92</v>
      </c>
      <c r="C73" s="666" t="s">
        <v>231</v>
      </c>
      <c r="D73" s="666" t="str">
        <f>NewTech!C30</f>
        <v>Bus, Advanced Tech CNG</v>
      </c>
      <c r="E73" s="666" t="s">
        <v>95</v>
      </c>
      <c r="F73" s="666" t="s">
        <v>209</v>
      </c>
      <c r="G73" s="666" t="s">
        <v>1226</v>
      </c>
      <c r="H73" s="666"/>
      <c r="I73" s="667"/>
    </row>
    <row r="74" spans="2:9" x14ac:dyDescent="0.2">
      <c r="B74" s="666" t="s">
        <v>92</v>
      </c>
      <c r="C74" s="666" t="s">
        <v>232</v>
      </c>
      <c r="D74" s="666" t="str">
        <f>NewTech!C31</f>
        <v>Bus, Advanced Hybird CNG</v>
      </c>
      <c r="E74" s="666" t="s">
        <v>95</v>
      </c>
      <c r="F74" s="666" t="s">
        <v>209</v>
      </c>
      <c r="G74" s="666" t="s">
        <v>1226</v>
      </c>
      <c r="H74" s="666"/>
      <c r="I74" s="667"/>
    </row>
    <row r="75" spans="2:9" x14ac:dyDescent="0.2">
      <c r="B75" s="666" t="s">
        <v>92</v>
      </c>
      <c r="C75" s="666" t="s">
        <v>233</v>
      </c>
      <c r="D75" s="666" t="str">
        <f>NewTech!C32</f>
        <v>Bus, Hydrogen Fuel Cell</v>
      </c>
      <c r="E75" s="666" t="s">
        <v>95</v>
      </c>
      <c r="F75" s="666" t="s">
        <v>209</v>
      </c>
      <c r="G75" s="666" t="s">
        <v>1226</v>
      </c>
      <c r="H75" s="666"/>
      <c r="I75" s="667"/>
    </row>
    <row r="76" spans="2:9" x14ac:dyDescent="0.2">
      <c r="B76" s="666" t="s">
        <v>92</v>
      </c>
      <c r="C76" s="666" t="s">
        <v>234</v>
      </c>
      <c r="D76" s="666" t="str">
        <f>NewTech!C33</f>
        <v>Bus, Hydrogen Fuel Cell Hybrid</v>
      </c>
      <c r="E76" s="666" t="s">
        <v>95</v>
      </c>
      <c r="F76" s="666" t="s">
        <v>209</v>
      </c>
      <c r="G76" s="666" t="s">
        <v>1226</v>
      </c>
      <c r="H76" s="666"/>
      <c r="I76" s="667"/>
    </row>
    <row r="77" spans="2:9" x14ac:dyDescent="0.2">
      <c r="B77" s="666" t="s">
        <v>92</v>
      </c>
      <c r="C77" s="666" t="s">
        <v>235</v>
      </c>
      <c r="D77" s="666" t="s">
        <v>236</v>
      </c>
      <c r="E77" s="666" t="s">
        <v>95</v>
      </c>
      <c r="F77" s="666" t="s">
        <v>209</v>
      </c>
      <c r="G77" s="666" t="s">
        <v>1226</v>
      </c>
      <c r="H77" s="666"/>
      <c r="I77" s="667"/>
    </row>
    <row r="78" spans="2:9" x14ac:dyDescent="0.2">
      <c r="B78" s="666" t="s">
        <v>92</v>
      </c>
      <c r="C78" s="666" t="s">
        <v>237</v>
      </c>
      <c r="D78" s="666" t="s">
        <v>238</v>
      </c>
      <c r="E78" s="666" t="s">
        <v>95</v>
      </c>
      <c r="F78" s="666" t="s">
        <v>209</v>
      </c>
      <c r="G78" s="666" t="s">
        <v>1226</v>
      </c>
      <c r="H78" s="666"/>
      <c r="I78" s="667"/>
    </row>
    <row r="79" spans="2:9" x14ac:dyDescent="0.2">
      <c r="B79" s="666" t="s">
        <v>105</v>
      </c>
      <c r="C79" s="666" t="s">
        <v>239</v>
      </c>
      <c r="D79" s="666" t="s">
        <v>240</v>
      </c>
      <c r="E79" s="666" t="s">
        <v>95</v>
      </c>
      <c r="F79" s="666" t="s">
        <v>209</v>
      </c>
      <c r="G79" s="666" t="s">
        <v>1226</v>
      </c>
      <c r="H79" s="666"/>
      <c r="I79" s="667"/>
    </row>
    <row r="80" spans="2:9" x14ac:dyDescent="0.2">
      <c r="B80" s="666" t="s">
        <v>105</v>
      </c>
      <c r="C80" s="666" t="s">
        <v>241</v>
      </c>
      <c r="D80" s="666" t="s">
        <v>242</v>
      </c>
      <c r="E80" s="666" t="s">
        <v>95</v>
      </c>
      <c r="F80" s="666" t="s">
        <v>209</v>
      </c>
      <c r="G80" s="666" t="s">
        <v>1226</v>
      </c>
      <c r="H80" s="666"/>
      <c r="I80" s="667"/>
    </row>
    <row r="81" spans="2:9" x14ac:dyDescent="0.2">
      <c r="B81" s="666" t="s">
        <v>105</v>
      </c>
      <c r="C81" s="666" t="s">
        <v>243</v>
      </c>
      <c r="D81" s="666" t="str">
        <f>Trucks!A7</f>
        <v>Commercial Truck, Gasoline 2010</v>
      </c>
      <c r="E81" s="666" t="s">
        <v>95</v>
      </c>
      <c r="F81" s="666" t="s">
        <v>209</v>
      </c>
      <c r="G81" s="666" t="s">
        <v>1226</v>
      </c>
      <c r="H81" s="666"/>
      <c r="I81" s="667"/>
    </row>
    <row r="82" spans="2:9" x14ac:dyDescent="0.2">
      <c r="B82" s="666" t="s">
        <v>105</v>
      </c>
      <c r="C82" s="666" t="s">
        <v>244</v>
      </c>
      <c r="D82" s="666" t="str">
        <f>Trucks!A8</f>
        <v>Commercial Truck, Conventional Gasoline</v>
      </c>
      <c r="E82" s="666" t="s">
        <v>95</v>
      </c>
      <c r="F82" s="666" t="s">
        <v>209</v>
      </c>
      <c r="G82" s="666" t="s">
        <v>1226</v>
      </c>
      <c r="H82" s="666"/>
      <c r="I82" s="667"/>
    </row>
    <row r="83" spans="2:9" x14ac:dyDescent="0.2">
      <c r="B83" s="666" t="s">
        <v>105</v>
      </c>
      <c r="C83" s="666" t="s">
        <v>245</v>
      </c>
      <c r="D83" s="666" t="str">
        <f>Trucks!A10</f>
        <v>Commercial Truck, Improved Gasoline</v>
      </c>
      <c r="E83" s="666" t="s">
        <v>95</v>
      </c>
      <c r="F83" s="666" t="s">
        <v>209</v>
      </c>
      <c r="G83" s="666" t="s">
        <v>1226</v>
      </c>
      <c r="H83" s="666"/>
      <c r="I83" s="667"/>
    </row>
    <row r="84" spans="2:9" x14ac:dyDescent="0.2">
      <c r="B84" s="666" t="s">
        <v>105</v>
      </c>
      <c r="C84" s="666" t="s">
        <v>246</v>
      </c>
      <c r="D84" s="666" t="str">
        <f>Trucks!A12</f>
        <v>Commercial Truck, Advanced Tech Gasoline</v>
      </c>
      <c r="E84" s="666" t="s">
        <v>95</v>
      </c>
      <c r="F84" s="666" t="s">
        <v>209</v>
      </c>
      <c r="G84" s="666" t="s">
        <v>1226</v>
      </c>
      <c r="H84" s="666"/>
      <c r="I84" s="667"/>
    </row>
    <row r="85" spans="2:9" ht="17.25" customHeight="1" x14ac:dyDescent="0.2">
      <c r="B85" s="666" t="s">
        <v>105</v>
      </c>
      <c r="C85" s="666" t="s">
        <v>247</v>
      </c>
      <c r="D85" s="666" t="str">
        <f>Trucks!A14</f>
        <v>Commercial Truck, Advanced Hybrid Tech Gasoline</v>
      </c>
      <c r="E85" s="666" t="s">
        <v>95</v>
      </c>
      <c r="F85" s="666" t="s">
        <v>209</v>
      </c>
      <c r="G85" s="666" t="s">
        <v>1226</v>
      </c>
      <c r="H85" s="666"/>
      <c r="I85" s="667"/>
    </row>
    <row r="86" spans="2:9" x14ac:dyDescent="0.2">
      <c r="B86" s="666" t="s">
        <v>105</v>
      </c>
      <c r="C86" s="666" t="s">
        <v>248</v>
      </c>
      <c r="D86" s="666" t="str">
        <f>Trucks!A17</f>
        <v>Commercial Truck, Diesel 2010</v>
      </c>
      <c r="E86" s="666" t="s">
        <v>95</v>
      </c>
      <c r="F86" s="666" t="s">
        <v>209</v>
      </c>
      <c r="G86" s="666" t="s">
        <v>1226</v>
      </c>
      <c r="H86" s="666"/>
      <c r="I86" s="667"/>
    </row>
    <row r="87" spans="2:9" x14ac:dyDescent="0.2">
      <c r="B87" s="666" t="s">
        <v>105</v>
      </c>
      <c r="C87" s="666" t="s">
        <v>249</v>
      </c>
      <c r="D87" s="666" t="str">
        <f>Trucks!A18</f>
        <v>Commercial Truck, Conventional Diesel</v>
      </c>
      <c r="E87" s="666" t="s">
        <v>95</v>
      </c>
      <c r="F87" s="666" t="s">
        <v>209</v>
      </c>
      <c r="G87" s="666" t="s">
        <v>1226</v>
      </c>
      <c r="H87" s="666"/>
      <c r="I87" s="667"/>
    </row>
    <row r="88" spans="2:9" x14ac:dyDescent="0.2">
      <c r="B88" s="666" t="s">
        <v>105</v>
      </c>
      <c r="C88" s="666" t="s">
        <v>250</v>
      </c>
      <c r="D88" s="666" t="str">
        <f>Trucks!A20</f>
        <v>Commercial Truck, Improved Diesel</v>
      </c>
      <c r="E88" s="666" t="s">
        <v>95</v>
      </c>
      <c r="F88" s="666" t="s">
        <v>209</v>
      </c>
      <c r="G88" s="666" t="s">
        <v>1226</v>
      </c>
      <c r="H88" s="666"/>
      <c r="I88" s="667"/>
    </row>
    <row r="89" spans="2:9" x14ac:dyDescent="0.2">
      <c r="B89" s="666" t="s">
        <v>105</v>
      </c>
      <c r="C89" s="666" t="s">
        <v>251</v>
      </c>
      <c r="D89" s="666" t="str">
        <f>Trucks!A21</f>
        <v>Commercial Truck, Advanced Hybrid Diesel</v>
      </c>
      <c r="E89" s="666" t="s">
        <v>95</v>
      </c>
      <c r="F89" s="666" t="s">
        <v>209</v>
      </c>
      <c r="G89" s="666" t="s">
        <v>1226</v>
      </c>
      <c r="H89" s="666"/>
      <c r="I89" s="667"/>
    </row>
    <row r="90" spans="2:9" x14ac:dyDescent="0.2">
      <c r="B90" s="666" t="s">
        <v>105</v>
      </c>
      <c r="C90" s="666" t="s">
        <v>252</v>
      </c>
      <c r="D90" s="666" t="str">
        <f>Trucks!A24</f>
        <v>Commercial Truck, B20 2010</v>
      </c>
      <c r="E90" s="666" t="s">
        <v>95</v>
      </c>
      <c r="F90" s="666" t="s">
        <v>209</v>
      </c>
      <c r="G90" s="666" t="s">
        <v>1226</v>
      </c>
      <c r="H90" s="666"/>
      <c r="I90" s="667"/>
    </row>
    <row r="91" spans="2:9" x14ac:dyDescent="0.2">
      <c r="B91" s="666" t="s">
        <v>105</v>
      </c>
      <c r="C91" s="666" t="s">
        <v>253</v>
      </c>
      <c r="D91" s="666" t="str">
        <f>Trucks!A25</f>
        <v>Commercial Truck, Conventional B20</v>
      </c>
      <c r="E91" s="666" t="s">
        <v>95</v>
      </c>
      <c r="F91" s="666" t="s">
        <v>209</v>
      </c>
      <c r="G91" s="666" t="s">
        <v>1226</v>
      </c>
      <c r="H91" s="666"/>
      <c r="I91" s="667"/>
    </row>
    <row r="92" spans="2:9" x14ac:dyDescent="0.2">
      <c r="B92" s="666" t="s">
        <v>105</v>
      </c>
      <c r="C92" s="666" t="s">
        <v>254</v>
      </c>
      <c r="D92" s="666" t="str">
        <f>Trucks!A27</f>
        <v>Commercial Truck, Improved B20</v>
      </c>
      <c r="E92" s="666" t="s">
        <v>95</v>
      </c>
      <c r="F92" s="666" t="s">
        <v>209</v>
      </c>
      <c r="G92" s="666" t="s">
        <v>1226</v>
      </c>
      <c r="H92" s="666"/>
      <c r="I92" s="667"/>
    </row>
    <row r="93" spans="2:9" x14ac:dyDescent="0.2">
      <c r="B93" s="666" t="s">
        <v>105</v>
      </c>
      <c r="C93" s="666" t="s">
        <v>255</v>
      </c>
      <c r="D93" s="666" t="str">
        <f>Trucks!A28</f>
        <v>Commerical Truck, Advanced Hybrid B20</v>
      </c>
      <c r="E93" s="666" t="s">
        <v>95</v>
      </c>
      <c r="F93" s="666" t="s">
        <v>209</v>
      </c>
      <c r="G93" s="666" t="s">
        <v>1226</v>
      </c>
      <c r="H93" s="666"/>
      <c r="I93" s="667"/>
    </row>
    <row r="94" spans="2:9" x14ac:dyDescent="0.2">
      <c r="B94" s="666" t="s">
        <v>105</v>
      </c>
      <c r="C94" s="666" t="s">
        <v>256</v>
      </c>
      <c r="D94" s="666" t="str">
        <f>Trucks!A31</f>
        <v>Commercial Truck, CNG 2010</v>
      </c>
      <c r="E94" s="666" t="s">
        <v>95</v>
      </c>
      <c r="F94" s="666" t="s">
        <v>209</v>
      </c>
      <c r="G94" s="666" t="s">
        <v>1226</v>
      </c>
      <c r="H94" s="666"/>
      <c r="I94" s="667"/>
    </row>
    <row r="95" spans="2:9" x14ac:dyDescent="0.2">
      <c r="B95" s="666" t="s">
        <v>105</v>
      </c>
      <c r="C95" s="666" t="s">
        <v>257</v>
      </c>
      <c r="D95" s="666" t="str">
        <f>Trucks!A32</f>
        <v>Commercial Truck, Conventional CNG</v>
      </c>
      <c r="E95" s="666" t="s">
        <v>95</v>
      </c>
      <c r="F95" s="666" t="s">
        <v>209</v>
      </c>
      <c r="G95" s="666" t="s">
        <v>1226</v>
      </c>
      <c r="H95" s="666"/>
      <c r="I95" s="667"/>
    </row>
    <row r="96" spans="2:9" x14ac:dyDescent="0.2">
      <c r="B96" s="666" t="s">
        <v>105</v>
      </c>
      <c r="C96" s="666" t="s">
        <v>258</v>
      </c>
      <c r="D96" s="666" t="str">
        <f>Trucks!A34</f>
        <v>Commercial Truck, Improved CNG</v>
      </c>
      <c r="E96" s="666" t="s">
        <v>95</v>
      </c>
      <c r="F96" s="666" t="s">
        <v>209</v>
      </c>
      <c r="G96" s="666" t="s">
        <v>1226</v>
      </c>
      <c r="H96" s="666"/>
      <c r="I96" s="667"/>
    </row>
    <row r="97" spans="2:9" x14ac:dyDescent="0.2">
      <c r="B97" s="666" t="s">
        <v>105</v>
      </c>
      <c r="C97" s="666" t="s">
        <v>259</v>
      </c>
      <c r="D97" s="666" t="str">
        <f>Trucks!A36</f>
        <v>Commerical Truck, Advanced CNG</v>
      </c>
      <c r="E97" s="666" t="s">
        <v>95</v>
      </c>
      <c r="F97" s="666" t="s">
        <v>209</v>
      </c>
      <c r="G97" s="666" t="s">
        <v>1226</v>
      </c>
      <c r="H97" s="666"/>
      <c r="I97" s="667"/>
    </row>
    <row r="98" spans="2:9" x14ac:dyDescent="0.2">
      <c r="B98" s="666" t="s">
        <v>105</v>
      </c>
      <c r="C98" s="666" t="s">
        <v>260</v>
      </c>
      <c r="D98" s="666" t="str">
        <f>Trucks!A39</f>
        <v>Commerical Truck, Advanced Hybrid CNG</v>
      </c>
      <c r="E98" s="666" t="s">
        <v>95</v>
      </c>
      <c r="F98" s="666" t="s">
        <v>209</v>
      </c>
      <c r="G98" s="666" t="s">
        <v>1226</v>
      </c>
      <c r="H98" s="666"/>
      <c r="I98" s="667"/>
    </row>
    <row r="99" spans="2:9" x14ac:dyDescent="0.2">
      <c r="B99" s="666" t="s">
        <v>105</v>
      </c>
      <c r="C99" s="666" t="s">
        <v>261</v>
      </c>
      <c r="D99" s="666" t="str">
        <f>Trucks!A42</f>
        <v>Commercial Truck, E85 2010</v>
      </c>
      <c r="E99" s="666" t="s">
        <v>95</v>
      </c>
      <c r="F99" s="666" t="s">
        <v>209</v>
      </c>
      <c r="G99" s="666" t="s">
        <v>1226</v>
      </c>
      <c r="H99" s="666"/>
      <c r="I99" s="667"/>
    </row>
    <row r="100" spans="2:9" x14ac:dyDescent="0.2">
      <c r="B100" s="666" t="s">
        <v>105</v>
      </c>
      <c r="C100" s="666" t="s">
        <v>262</v>
      </c>
      <c r="D100" s="666" t="str">
        <f>Trucks!A43</f>
        <v>Commercial Truck, Conventional E85</v>
      </c>
      <c r="E100" s="666" t="s">
        <v>95</v>
      </c>
      <c r="F100" s="666" t="s">
        <v>209</v>
      </c>
      <c r="G100" s="666" t="s">
        <v>1226</v>
      </c>
      <c r="H100" s="666"/>
      <c r="I100" s="667"/>
    </row>
    <row r="101" spans="2:9" x14ac:dyDescent="0.2">
      <c r="B101" s="666" t="s">
        <v>105</v>
      </c>
      <c r="C101" s="666" t="s">
        <v>263</v>
      </c>
      <c r="D101" s="666" t="str">
        <f>Trucks!A45</f>
        <v>Commercial Truck, Improved E85</v>
      </c>
      <c r="E101" s="666" t="s">
        <v>95</v>
      </c>
      <c r="F101" s="666" t="s">
        <v>209</v>
      </c>
      <c r="G101" s="666" t="s">
        <v>1226</v>
      </c>
      <c r="H101" s="666"/>
      <c r="I101" s="667"/>
    </row>
    <row r="102" spans="2:9" x14ac:dyDescent="0.2">
      <c r="B102" s="666" t="s">
        <v>105</v>
      </c>
      <c r="C102" s="666" t="s">
        <v>264</v>
      </c>
      <c r="D102" s="666" t="str">
        <f>Trucks!A47</f>
        <v>Commercial Truck, Advanced E85</v>
      </c>
      <c r="E102" s="666" t="s">
        <v>95</v>
      </c>
      <c r="F102" s="666" t="s">
        <v>209</v>
      </c>
      <c r="G102" s="666" t="s">
        <v>1226</v>
      </c>
      <c r="H102" s="666"/>
      <c r="I102" s="667"/>
    </row>
    <row r="103" spans="2:9" x14ac:dyDescent="0.2">
      <c r="B103" s="666" t="s">
        <v>105</v>
      </c>
      <c r="C103" s="666" t="s">
        <v>265</v>
      </c>
      <c r="D103" s="666" t="str">
        <f>Trucks!A50</f>
        <v>Commerical Truck, Hybrid E85</v>
      </c>
      <c r="E103" s="666" t="s">
        <v>95</v>
      </c>
      <c r="F103" s="666" t="s">
        <v>209</v>
      </c>
      <c r="G103" s="666" t="s">
        <v>1226</v>
      </c>
      <c r="H103" s="666"/>
      <c r="I103" s="667"/>
    </row>
    <row r="104" spans="2:9" x14ac:dyDescent="0.2">
      <c r="B104" s="666" t="s">
        <v>105</v>
      </c>
      <c r="C104" s="666" t="s">
        <v>266</v>
      </c>
      <c r="D104" s="666" t="str">
        <f>Trucks!A53</f>
        <v>Commercial Truck, LPG 2010</v>
      </c>
      <c r="E104" s="666" t="s">
        <v>95</v>
      </c>
      <c r="F104" s="666" t="s">
        <v>209</v>
      </c>
      <c r="G104" s="666" t="s">
        <v>1226</v>
      </c>
      <c r="H104" s="666"/>
      <c r="I104" s="667"/>
    </row>
    <row r="105" spans="2:9" x14ac:dyDescent="0.2">
      <c r="B105" s="666" t="s">
        <v>105</v>
      </c>
      <c r="C105" s="666" t="s">
        <v>267</v>
      </c>
      <c r="D105" s="666" t="str">
        <f>Trucks!A54</f>
        <v>Commercial Truck, Conventional LPG</v>
      </c>
      <c r="E105" s="666" t="s">
        <v>95</v>
      </c>
      <c r="F105" s="666" t="s">
        <v>209</v>
      </c>
      <c r="G105" s="666" t="s">
        <v>1226</v>
      </c>
      <c r="H105" s="666"/>
      <c r="I105" s="667"/>
    </row>
    <row r="106" spans="2:9" x14ac:dyDescent="0.2">
      <c r="B106" s="666" t="s">
        <v>105</v>
      </c>
      <c r="C106" s="666" t="s">
        <v>268</v>
      </c>
      <c r="D106" s="666" t="str">
        <f>Trucks!A56</f>
        <v>Commercial Truck, Improved LPG</v>
      </c>
      <c r="E106" s="666" t="s">
        <v>95</v>
      </c>
      <c r="F106" s="666" t="s">
        <v>209</v>
      </c>
      <c r="G106" s="666" t="s">
        <v>1226</v>
      </c>
      <c r="H106" s="666"/>
      <c r="I106" s="667"/>
    </row>
    <row r="107" spans="2:9" x14ac:dyDescent="0.2">
      <c r="B107" s="666" t="s">
        <v>105</v>
      </c>
      <c r="C107" s="666" t="s">
        <v>269</v>
      </c>
      <c r="D107" s="666" t="str">
        <f>Trucks!A58</f>
        <v>Commercial Truck, Advanced LPG</v>
      </c>
      <c r="E107" s="666" t="s">
        <v>95</v>
      </c>
      <c r="F107" s="666" t="s">
        <v>209</v>
      </c>
      <c r="G107" s="666" t="s">
        <v>1226</v>
      </c>
      <c r="H107" s="666"/>
      <c r="I107" s="667"/>
    </row>
    <row r="108" spans="2:9" x14ac:dyDescent="0.2">
      <c r="B108" s="666" t="s">
        <v>105</v>
      </c>
      <c r="C108" s="666" t="s">
        <v>270</v>
      </c>
      <c r="D108" s="666" t="str">
        <f>Trucks!A61</f>
        <v>Commercial Truck, Hybrid LPG</v>
      </c>
      <c r="E108" s="666" t="s">
        <v>95</v>
      </c>
      <c r="F108" s="666" t="s">
        <v>209</v>
      </c>
      <c r="G108" s="666" t="s">
        <v>1226</v>
      </c>
      <c r="H108" s="666"/>
      <c r="I108" s="667"/>
    </row>
    <row r="109" spans="2:9" x14ac:dyDescent="0.2">
      <c r="B109" s="666" t="s">
        <v>105</v>
      </c>
      <c r="C109" s="666" t="s">
        <v>271</v>
      </c>
      <c r="D109" s="666" t="str">
        <f>Trucks!A64</f>
        <v>Commercial Truck, Hydrogen Fuel Cell</v>
      </c>
      <c r="E109" s="666" t="s">
        <v>95</v>
      </c>
      <c r="F109" s="666" t="s">
        <v>209</v>
      </c>
      <c r="G109" s="666" t="s">
        <v>1226</v>
      </c>
      <c r="H109" s="666"/>
      <c r="I109" s="667"/>
    </row>
    <row r="110" spans="2:9" x14ac:dyDescent="0.2">
      <c r="B110" s="666" t="s">
        <v>92</v>
      </c>
      <c r="C110" s="666" t="s">
        <v>272</v>
      </c>
      <c r="D110" s="666" t="str">
        <f>Trucks!A119</f>
        <v>Medium Duty Truck, Existing Gasoline</v>
      </c>
      <c r="E110" s="666" t="s">
        <v>95</v>
      </c>
      <c r="F110" s="666" t="s">
        <v>209</v>
      </c>
      <c r="G110" s="666" t="s">
        <v>1226</v>
      </c>
      <c r="H110" s="666"/>
      <c r="I110" s="667"/>
    </row>
    <row r="111" spans="2:9" x14ac:dyDescent="0.2">
      <c r="B111" s="666" t="s">
        <v>92</v>
      </c>
      <c r="C111" s="666" t="s">
        <v>273</v>
      </c>
      <c r="D111" s="666" t="str">
        <f>Trucks!A120</f>
        <v>Medium Duty Truck, Existing Diesel</v>
      </c>
      <c r="E111" s="666" t="s">
        <v>95</v>
      </c>
      <c r="F111" s="666" t="s">
        <v>209</v>
      </c>
      <c r="G111" s="666" t="s">
        <v>1226</v>
      </c>
      <c r="H111" s="666"/>
      <c r="I111" s="667"/>
    </row>
    <row r="112" spans="2:9" x14ac:dyDescent="0.2">
      <c r="B112" s="666" t="s">
        <v>92</v>
      </c>
      <c r="C112" s="666" t="s">
        <v>274</v>
      </c>
      <c r="D112" s="666" t="str">
        <f>Trucks!A122</f>
        <v>Medium Duty Truck, Existing CNG</v>
      </c>
      <c r="E112" s="666" t="s">
        <v>95</v>
      </c>
      <c r="F112" s="666" t="s">
        <v>209</v>
      </c>
      <c r="G112" s="666" t="s">
        <v>1226</v>
      </c>
      <c r="H112" s="666"/>
      <c r="I112" s="667"/>
    </row>
    <row r="113" spans="2:9" x14ac:dyDescent="0.2">
      <c r="B113" s="666" t="s">
        <v>105</v>
      </c>
      <c r="C113" s="666" t="s">
        <v>275</v>
      </c>
      <c r="D113" s="666" t="str">
        <f>Trucks!A121</f>
        <v>Medium Duty Truck, Existing LPG</v>
      </c>
      <c r="E113" s="666" t="s">
        <v>95</v>
      </c>
      <c r="F113" s="666" t="s">
        <v>209</v>
      </c>
      <c r="G113" s="666" t="s">
        <v>1226</v>
      </c>
      <c r="H113" s="666"/>
      <c r="I113" s="667"/>
    </row>
    <row r="114" spans="2:9" x14ac:dyDescent="0.2">
      <c r="B114" s="666" t="s">
        <v>92</v>
      </c>
      <c r="C114" s="666" t="s">
        <v>276</v>
      </c>
      <c r="D114" s="666" t="str">
        <f>Trucks!A88</f>
        <v>Medium Duty Truck, Gasoline, 2010</v>
      </c>
      <c r="E114" s="666" t="s">
        <v>95</v>
      </c>
      <c r="F114" s="666" t="s">
        <v>209</v>
      </c>
      <c r="G114" s="666" t="s">
        <v>1226</v>
      </c>
      <c r="H114" s="666"/>
      <c r="I114" s="667"/>
    </row>
    <row r="115" spans="2:9" x14ac:dyDescent="0.2">
      <c r="B115" s="666" t="s">
        <v>92</v>
      </c>
      <c r="C115" s="666" t="s">
        <v>277</v>
      </c>
      <c r="D115" s="666" t="str">
        <f>Trucks!A89</f>
        <v>Medium Duty Truck, Conventional Gasoline</v>
      </c>
      <c r="E115" s="666" t="s">
        <v>95</v>
      </c>
      <c r="F115" s="666" t="s">
        <v>209</v>
      </c>
      <c r="G115" s="666" t="s">
        <v>1226</v>
      </c>
      <c r="H115" s="666"/>
      <c r="I115" s="667"/>
    </row>
    <row r="116" spans="2:9" x14ac:dyDescent="0.2">
      <c r="B116" s="666" t="s">
        <v>92</v>
      </c>
      <c r="C116" s="666" t="s">
        <v>278</v>
      </c>
      <c r="D116" s="666" t="str">
        <f>Trucks!A91</f>
        <v>Medium Duty Truck, Improved Gasoline</v>
      </c>
      <c r="E116" s="666" t="s">
        <v>95</v>
      </c>
      <c r="F116" s="666" t="s">
        <v>209</v>
      </c>
      <c r="G116" s="666" t="s">
        <v>1226</v>
      </c>
      <c r="H116" s="666"/>
      <c r="I116" s="667"/>
    </row>
    <row r="117" spans="2:9" x14ac:dyDescent="0.2">
      <c r="B117" s="666" t="s">
        <v>92</v>
      </c>
      <c r="C117" s="666" t="s">
        <v>279</v>
      </c>
      <c r="D117" s="666" t="str">
        <f>Trucks!A92</f>
        <v>Medium Duty Truck, Advanced Hybrid Gasoline</v>
      </c>
      <c r="E117" s="666" t="s">
        <v>95</v>
      </c>
      <c r="F117" s="666" t="s">
        <v>209</v>
      </c>
      <c r="G117" s="666" t="s">
        <v>1226</v>
      </c>
      <c r="H117" s="666"/>
      <c r="I117" s="667"/>
    </row>
    <row r="118" spans="2:9" x14ac:dyDescent="0.2">
      <c r="B118" s="666" t="s">
        <v>92</v>
      </c>
      <c r="C118" s="666" t="s">
        <v>280</v>
      </c>
      <c r="D118" s="666" t="str">
        <f>Trucks!A78</f>
        <v>Medium Duty Truck, Diesel, 2010</v>
      </c>
      <c r="E118" s="666" t="s">
        <v>95</v>
      </c>
      <c r="F118" s="666" t="s">
        <v>209</v>
      </c>
      <c r="G118" s="666" t="s">
        <v>1226</v>
      </c>
      <c r="H118" s="666"/>
      <c r="I118" s="667"/>
    </row>
    <row r="119" spans="2:9" x14ac:dyDescent="0.2">
      <c r="B119" s="666" t="s">
        <v>92</v>
      </c>
      <c r="C119" s="666" t="s">
        <v>281</v>
      </c>
      <c r="D119" s="666" t="str">
        <f>Trucks!A79</f>
        <v>Medium Duty Truck, Conventional Diesel</v>
      </c>
      <c r="E119" s="666" t="s">
        <v>95</v>
      </c>
      <c r="F119" s="666" t="s">
        <v>209</v>
      </c>
      <c r="G119" s="666" t="s">
        <v>1226</v>
      </c>
      <c r="H119" s="666"/>
      <c r="I119" s="667"/>
    </row>
    <row r="120" spans="2:9" x14ac:dyDescent="0.2">
      <c r="B120" s="666" t="s">
        <v>92</v>
      </c>
      <c r="C120" s="666" t="s">
        <v>282</v>
      </c>
      <c r="D120" s="666" t="str">
        <f>Trucks!A81</f>
        <v>Medium Duty Truck, Improved Diesel</v>
      </c>
      <c r="E120" s="666" t="s">
        <v>95</v>
      </c>
      <c r="F120" s="666" t="s">
        <v>209</v>
      </c>
      <c r="G120" s="666" t="s">
        <v>1226</v>
      </c>
      <c r="H120" s="666"/>
      <c r="I120" s="667"/>
    </row>
    <row r="121" spans="2:9" x14ac:dyDescent="0.2">
      <c r="B121" s="666" t="s">
        <v>92</v>
      </c>
      <c r="C121" s="666" t="s">
        <v>283</v>
      </c>
      <c r="D121" s="666" t="str">
        <f>Trucks!A82</f>
        <v>Medium Duty Truck, Advanced Diesel</v>
      </c>
      <c r="E121" s="666" t="s">
        <v>95</v>
      </c>
      <c r="F121" s="666" t="s">
        <v>209</v>
      </c>
      <c r="G121" s="666" t="s">
        <v>1226</v>
      </c>
      <c r="H121" s="666"/>
      <c r="I121" s="667"/>
    </row>
    <row r="122" spans="2:9" x14ac:dyDescent="0.2">
      <c r="B122" s="666" t="s">
        <v>92</v>
      </c>
      <c r="C122" s="666" t="s">
        <v>284</v>
      </c>
      <c r="D122" s="666" t="str">
        <f>Trucks!A85</f>
        <v>Medium Duty Truck, Advanced Hybrid Diesel</v>
      </c>
      <c r="E122" s="666" t="s">
        <v>95</v>
      </c>
      <c r="F122" s="666" t="s">
        <v>209</v>
      </c>
      <c r="G122" s="666" t="s">
        <v>1226</v>
      </c>
      <c r="H122" s="666"/>
      <c r="I122" s="667"/>
    </row>
    <row r="123" spans="2:9" x14ac:dyDescent="0.2">
      <c r="B123" s="666" t="s">
        <v>105</v>
      </c>
      <c r="C123" s="666" t="s">
        <v>285</v>
      </c>
      <c r="D123" s="666" t="str">
        <f>Trucks!A95</f>
        <v>Medium Duty Truck, B20, 2010</v>
      </c>
      <c r="E123" s="666" t="s">
        <v>95</v>
      </c>
      <c r="F123" s="666" t="s">
        <v>209</v>
      </c>
      <c r="G123" s="666" t="s">
        <v>1226</v>
      </c>
      <c r="H123" s="666"/>
      <c r="I123" s="667"/>
    </row>
    <row r="124" spans="2:9" x14ac:dyDescent="0.2">
      <c r="B124" s="666" t="s">
        <v>286</v>
      </c>
      <c r="C124" s="666" t="s">
        <v>287</v>
      </c>
      <c r="D124" s="666" t="str">
        <f>Trucks!A96</f>
        <v>Medium Duty Truck, Conventional B20</v>
      </c>
      <c r="E124" s="666" t="s">
        <v>95</v>
      </c>
      <c r="F124" s="666" t="s">
        <v>209</v>
      </c>
      <c r="G124" s="666" t="s">
        <v>1226</v>
      </c>
      <c r="H124" s="666"/>
      <c r="I124" s="667"/>
    </row>
    <row r="125" spans="2:9" x14ac:dyDescent="0.2">
      <c r="B125" s="666" t="s">
        <v>288</v>
      </c>
      <c r="C125" s="666" t="s">
        <v>289</v>
      </c>
      <c r="D125" s="666" t="str">
        <f>Trucks!A98</f>
        <v>Medium Duty Truck, Improved B20</v>
      </c>
      <c r="E125" s="666" t="s">
        <v>95</v>
      </c>
      <c r="F125" s="666" t="s">
        <v>209</v>
      </c>
      <c r="G125" s="666" t="s">
        <v>1226</v>
      </c>
      <c r="H125" s="666"/>
      <c r="I125" s="667"/>
    </row>
    <row r="126" spans="2:9" x14ac:dyDescent="0.2">
      <c r="B126" s="666" t="s">
        <v>290</v>
      </c>
      <c r="C126" s="666" t="s">
        <v>291</v>
      </c>
      <c r="D126" s="666" t="s">
        <v>292</v>
      </c>
      <c r="E126" s="666" t="s">
        <v>95</v>
      </c>
      <c r="F126" s="666" t="s">
        <v>209</v>
      </c>
      <c r="G126" s="666" t="s">
        <v>1226</v>
      </c>
      <c r="H126" s="666"/>
      <c r="I126" s="667"/>
    </row>
    <row r="127" spans="2:9" x14ac:dyDescent="0.2">
      <c r="B127" s="666" t="s">
        <v>293</v>
      </c>
      <c r="C127" s="666" t="s">
        <v>294</v>
      </c>
      <c r="D127" s="666" t="s">
        <v>295</v>
      </c>
      <c r="E127" s="666" t="s">
        <v>95</v>
      </c>
      <c r="F127" s="666" t="s">
        <v>209</v>
      </c>
      <c r="G127" s="666" t="s">
        <v>1226</v>
      </c>
      <c r="H127" s="666"/>
      <c r="I127" s="667"/>
    </row>
    <row r="128" spans="2:9" x14ac:dyDescent="0.2">
      <c r="B128" s="666" t="s">
        <v>92</v>
      </c>
      <c r="C128" s="666" t="s">
        <v>296</v>
      </c>
      <c r="D128" s="666" t="str">
        <f>Trucks!A105</f>
        <v>Medium Duty Truck, CNG, 2010</v>
      </c>
      <c r="E128" s="666" t="s">
        <v>95</v>
      </c>
      <c r="F128" s="666" t="s">
        <v>209</v>
      </c>
      <c r="G128" s="666" t="s">
        <v>1226</v>
      </c>
      <c r="H128" s="666"/>
      <c r="I128" s="667"/>
    </row>
    <row r="129" spans="2:9" x14ac:dyDescent="0.2">
      <c r="B129" s="666" t="s">
        <v>92</v>
      </c>
      <c r="C129" s="666" t="s">
        <v>297</v>
      </c>
      <c r="D129" s="666" t="str">
        <f>Trucks!A106</f>
        <v>Medium Duty Truck, Conventional CNG</v>
      </c>
      <c r="E129" s="666" t="s">
        <v>95</v>
      </c>
      <c r="F129" s="666" t="s">
        <v>209</v>
      </c>
      <c r="G129" s="666" t="s">
        <v>1226</v>
      </c>
      <c r="H129" s="666"/>
      <c r="I129" s="667"/>
    </row>
    <row r="130" spans="2:9" x14ac:dyDescent="0.2">
      <c r="B130" s="666" t="s">
        <v>92</v>
      </c>
      <c r="C130" s="666" t="s">
        <v>298</v>
      </c>
      <c r="D130" s="666" t="str">
        <f>Trucks!A108</f>
        <v>Medium Duty Truck, Improved CNG</v>
      </c>
      <c r="E130" s="666" t="s">
        <v>95</v>
      </c>
      <c r="F130" s="666" t="s">
        <v>209</v>
      </c>
      <c r="G130" s="666" t="s">
        <v>1226</v>
      </c>
      <c r="H130" s="666"/>
      <c r="I130" s="667"/>
    </row>
    <row r="131" spans="2:9" x14ac:dyDescent="0.2">
      <c r="B131" s="666" t="s">
        <v>92</v>
      </c>
      <c r="C131" s="666" t="s">
        <v>299</v>
      </c>
      <c r="D131" s="666" t="str">
        <f>Trucks!A109</f>
        <v>Medium Duty Truck, Advanced Hybrid CNG</v>
      </c>
      <c r="E131" s="666" t="s">
        <v>95</v>
      </c>
      <c r="F131" s="666" t="s">
        <v>209</v>
      </c>
      <c r="G131" s="666" t="s">
        <v>1226</v>
      </c>
      <c r="H131" s="666"/>
      <c r="I131" s="667"/>
    </row>
    <row r="132" spans="2:9" x14ac:dyDescent="0.2">
      <c r="B132" s="666" t="s">
        <v>105</v>
      </c>
      <c r="C132" s="666" t="s">
        <v>300</v>
      </c>
      <c r="D132" s="666" t="str">
        <f>Trucks!A112</f>
        <v>Medium Duty Truck, LPG, 2010</v>
      </c>
      <c r="E132" s="666" t="s">
        <v>95</v>
      </c>
      <c r="F132" s="666" t="s">
        <v>209</v>
      </c>
      <c r="G132" s="666" t="s">
        <v>1226</v>
      </c>
      <c r="H132" s="666"/>
      <c r="I132" s="667"/>
    </row>
    <row r="133" spans="2:9" x14ac:dyDescent="0.2">
      <c r="B133" s="666" t="s">
        <v>105</v>
      </c>
      <c r="C133" s="666" t="s">
        <v>301</v>
      </c>
      <c r="D133" s="666" t="str">
        <f>Trucks!A113</f>
        <v>Medium Duty Truck, Conventional LPG</v>
      </c>
      <c r="E133" s="666" t="s">
        <v>95</v>
      </c>
      <c r="F133" s="666" t="s">
        <v>209</v>
      </c>
      <c r="G133" s="666" t="s">
        <v>1226</v>
      </c>
      <c r="H133" s="666"/>
      <c r="I133" s="667"/>
    </row>
    <row r="134" spans="2:9" x14ac:dyDescent="0.2">
      <c r="B134" s="666" t="s">
        <v>105</v>
      </c>
      <c r="C134" s="666" t="s">
        <v>302</v>
      </c>
      <c r="D134" s="666" t="str">
        <f>Trucks!A115</f>
        <v>Medium Duty Truck, Improved LPG</v>
      </c>
      <c r="E134" s="666" t="s">
        <v>95</v>
      </c>
      <c r="F134" s="666" t="s">
        <v>209</v>
      </c>
      <c r="G134" s="666" t="s">
        <v>1226</v>
      </c>
      <c r="H134" s="666"/>
      <c r="I134" s="667"/>
    </row>
    <row r="135" spans="2:9" x14ac:dyDescent="0.2">
      <c r="B135" s="666" t="s">
        <v>105</v>
      </c>
      <c r="C135" s="666" t="s">
        <v>303</v>
      </c>
      <c r="D135" s="666" t="str">
        <f>Trucks!A116</f>
        <v>Medium Duty Truck, Advanced Hybrid LPG</v>
      </c>
      <c r="E135" s="666" t="s">
        <v>95</v>
      </c>
      <c r="F135" s="666" t="s">
        <v>209</v>
      </c>
      <c r="G135" s="666" t="s">
        <v>1226</v>
      </c>
      <c r="H135" s="666"/>
      <c r="I135" s="667"/>
    </row>
    <row r="136" spans="2:9" x14ac:dyDescent="0.2">
      <c r="B136" s="666" t="s">
        <v>92</v>
      </c>
      <c r="C136" s="666" t="s">
        <v>304</v>
      </c>
      <c r="D136" s="666" t="s">
        <v>305</v>
      </c>
      <c r="E136" s="666" t="s">
        <v>95</v>
      </c>
      <c r="F136" s="666" t="s">
        <v>209</v>
      </c>
      <c r="G136" s="666" t="s">
        <v>1226</v>
      </c>
      <c r="H136" s="666"/>
      <c r="I136" s="667"/>
    </row>
    <row r="137" spans="2:9" x14ac:dyDescent="0.2">
      <c r="B137" s="666" t="s">
        <v>92</v>
      </c>
      <c r="C137" s="666" t="s">
        <v>306</v>
      </c>
      <c r="D137" s="666" t="s">
        <v>307</v>
      </c>
      <c r="E137" s="666" t="s">
        <v>95</v>
      </c>
      <c r="F137" s="666" t="s">
        <v>209</v>
      </c>
      <c r="G137" s="666" t="s">
        <v>1226</v>
      </c>
      <c r="H137" s="666"/>
      <c r="I137" s="667"/>
    </row>
    <row r="138" spans="2:9" x14ac:dyDescent="0.2">
      <c r="B138" s="666" t="s">
        <v>105</v>
      </c>
      <c r="C138" s="666" t="s">
        <v>308</v>
      </c>
      <c r="D138" s="666" t="s">
        <v>309</v>
      </c>
      <c r="E138" s="666" t="s">
        <v>95</v>
      </c>
      <c r="F138" s="666" t="s">
        <v>209</v>
      </c>
      <c r="G138" s="666" t="s">
        <v>1226</v>
      </c>
      <c r="H138" s="666"/>
      <c r="I138" s="667"/>
    </row>
    <row r="139" spans="2:9" x14ac:dyDescent="0.2">
      <c r="B139" s="666" t="s">
        <v>92</v>
      </c>
      <c r="C139" s="666" t="s">
        <v>310</v>
      </c>
      <c r="D139" s="666" t="s">
        <v>311</v>
      </c>
      <c r="E139" s="666" t="s">
        <v>95</v>
      </c>
      <c r="F139" s="666" t="s">
        <v>209</v>
      </c>
      <c r="G139" s="666" t="s">
        <v>1226</v>
      </c>
      <c r="H139" s="666"/>
      <c r="I139" s="667"/>
    </row>
    <row r="140" spans="2:9" x14ac:dyDescent="0.2">
      <c r="B140" s="666" t="s">
        <v>105</v>
      </c>
      <c r="C140" s="666" t="s">
        <v>312</v>
      </c>
      <c r="D140" s="666" t="s">
        <v>313</v>
      </c>
      <c r="E140" s="666" t="s">
        <v>95</v>
      </c>
      <c r="F140" s="666" t="s">
        <v>209</v>
      </c>
      <c r="G140" s="666" t="s">
        <v>1226</v>
      </c>
      <c r="H140" s="666"/>
      <c r="I140" s="667"/>
    </row>
    <row r="141" spans="2:9" x14ac:dyDescent="0.2">
      <c r="B141" s="666" t="s">
        <v>105</v>
      </c>
      <c r="C141" s="666" t="s">
        <v>314</v>
      </c>
      <c r="D141" s="666" t="s">
        <v>315</v>
      </c>
      <c r="E141" s="666" t="s">
        <v>95</v>
      </c>
      <c r="F141" s="666" t="s">
        <v>209</v>
      </c>
      <c r="G141" s="666" t="s">
        <v>1226</v>
      </c>
      <c r="H141" s="666"/>
      <c r="I141" s="667"/>
    </row>
    <row r="142" spans="2:9" x14ac:dyDescent="0.2">
      <c r="B142" s="666" t="s">
        <v>105</v>
      </c>
      <c r="C142" s="666" t="s">
        <v>316</v>
      </c>
      <c r="D142" s="666" t="s">
        <v>317</v>
      </c>
      <c r="E142" s="666" t="s">
        <v>95</v>
      </c>
      <c r="F142" s="666" t="s">
        <v>209</v>
      </c>
      <c r="G142" s="666" t="s">
        <v>1226</v>
      </c>
      <c r="H142" s="666"/>
      <c r="I142" s="667"/>
    </row>
    <row r="143" spans="2:9" x14ac:dyDescent="0.2">
      <c r="B143" s="666" t="s">
        <v>92</v>
      </c>
      <c r="C143" s="666" t="s">
        <v>318</v>
      </c>
      <c r="D143" s="666" t="s">
        <v>319</v>
      </c>
      <c r="E143" s="666" t="s">
        <v>95</v>
      </c>
      <c r="F143" s="666" t="s">
        <v>209</v>
      </c>
      <c r="G143" s="666" t="s">
        <v>1226</v>
      </c>
      <c r="H143" s="666"/>
      <c r="I143" s="667"/>
    </row>
    <row r="144" spans="2:9" x14ac:dyDescent="0.2">
      <c r="B144" s="666" t="s">
        <v>105</v>
      </c>
      <c r="C144" s="666" t="s">
        <v>320</v>
      </c>
      <c r="D144" s="666" t="s">
        <v>319</v>
      </c>
      <c r="E144" s="666" t="s">
        <v>95</v>
      </c>
      <c r="F144" s="666" t="s">
        <v>209</v>
      </c>
      <c r="G144" s="666" t="s">
        <v>1226</v>
      </c>
      <c r="H144" s="666"/>
      <c r="I144" s="667"/>
    </row>
    <row r="145" spans="2:9" x14ac:dyDescent="0.2">
      <c r="B145" s="666" t="s">
        <v>92</v>
      </c>
      <c r="C145" s="666" t="s">
        <v>321</v>
      </c>
      <c r="D145" s="666" t="s">
        <v>322</v>
      </c>
      <c r="E145" s="666" t="s">
        <v>95</v>
      </c>
      <c r="F145" s="666" t="s">
        <v>209</v>
      </c>
      <c r="G145" s="666" t="s">
        <v>1226</v>
      </c>
      <c r="H145" s="666"/>
      <c r="I145" s="667"/>
    </row>
    <row r="146" spans="2:9" x14ac:dyDescent="0.2">
      <c r="B146" s="666" t="s">
        <v>92</v>
      </c>
      <c r="C146" s="666" t="s">
        <v>323</v>
      </c>
      <c r="D146" s="666" t="s">
        <v>324</v>
      </c>
      <c r="E146" s="666" t="s">
        <v>95</v>
      </c>
      <c r="F146" s="666" t="s">
        <v>209</v>
      </c>
      <c r="G146" s="666" t="s">
        <v>1226</v>
      </c>
      <c r="H146" s="666"/>
      <c r="I146" s="667"/>
    </row>
    <row r="147" spans="2:9" x14ac:dyDescent="0.2">
      <c r="B147" s="666" t="s">
        <v>92</v>
      </c>
      <c r="C147" s="666" t="s">
        <v>325</v>
      </c>
      <c r="D147" s="666" t="s">
        <v>326</v>
      </c>
      <c r="E147" s="666" t="s">
        <v>95</v>
      </c>
      <c r="F147" s="666" t="s">
        <v>209</v>
      </c>
      <c r="G147" s="666" t="s">
        <v>1226</v>
      </c>
      <c r="H147" s="666"/>
      <c r="I147" s="667"/>
    </row>
    <row r="148" spans="2:9" x14ac:dyDescent="0.2">
      <c r="B148" s="666" t="s">
        <v>92</v>
      </c>
      <c r="C148" s="666" t="s">
        <v>327</v>
      </c>
      <c r="D148" s="666" t="s">
        <v>328</v>
      </c>
      <c r="E148" s="666" t="s">
        <v>95</v>
      </c>
      <c r="F148" s="666" t="s">
        <v>209</v>
      </c>
      <c r="G148" s="666" t="s">
        <v>1226</v>
      </c>
      <c r="H148" s="666"/>
      <c r="I148" s="667"/>
    </row>
    <row r="149" spans="2:9" x14ac:dyDescent="0.2">
      <c r="B149" s="666" t="s">
        <v>92</v>
      </c>
      <c r="C149" s="666" t="s">
        <v>329</v>
      </c>
      <c r="D149" s="666" t="s">
        <v>330</v>
      </c>
      <c r="E149" s="666" t="s">
        <v>95</v>
      </c>
      <c r="F149" s="666" t="s">
        <v>209</v>
      </c>
      <c r="G149" s="666" t="s">
        <v>1226</v>
      </c>
      <c r="H149" s="666"/>
      <c r="I149" s="667"/>
    </row>
    <row r="150" spans="2:9" x14ac:dyDescent="0.2">
      <c r="B150" s="666" t="s">
        <v>105</v>
      </c>
      <c r="C150" s="666" t="s">
        <v>320</v>
      </c>
      <c r="D150" s="666" t="s">
        <v>319</v>
      </c>
      <c r="E150" s="666" t="s">
        <v>95</v>
      </c>
      <c r="F150" s="666" t="s">
        <v>209</v>
      </c>
      <c r="G150" s="666" t="s">
        <v>1226</v>
      </c>
      <c r="H150" s="666"/>
      <c r="I150" s="667"/>
    </row>
    <row r="151" spans="2:9" x14ac:dyDescent="0.2">
      <c r="B151" s="666" t="s">
        <v>105</v>
      </c>
      <c r="C151" s="666" t="s">
        <v>331</v>
      </c>
      <c r="D151" s="666" t="s">
        <v>322</v>
      </c>
      <c r="E151" s="666" t="s">
        <v>95</v>
      </c>
      <c r="F151" s="666" t="s">
        <v>209</v>
      </c>
      <c r="G151" s="666" t="s">
        <v>1226</v>
      </c>
      <c r="H151" s="666"/>
      <c r="I151" s="667"/>
    </row>
    <row r="152" spans="2:9" x14ac:dyDescent="0.2">
      <c r="B152" s="666" t="s">
        <v>105</v>
      </c>
      <c r="C152" s="666" t="s">
        <v>332</v>
      </c>
      <c r="D152" s="666" t="s">
        <v>324</v>
      </c>
      <c r="E152" s="666" t="s">
        <v>95</v>
      </c>
      <c r="F152" s="666" t="s">
        <v>209</v>
      </c>
      <c r="G152" s="666" t="s">
        <v>1226</v>
      </c>
      <c r="H152" s="666"/>
      <c r="I152" s="667"/>
    </row>
    <row r="153" spans="2:9" x14ac:dyDescent="0.2">
      <c r="B153" s="666" t="s">
        <v>105</v>
      </c>
      <c r="C153" s="666" t="s">
        <v>333</v>
      </c>
      <c r="D153" s="666" t="s">
        <v>326</v>
      </c>
      <c r="E153" s="666" t="s">
        <v>95</v>
      </c>
      <c r="F153" s="666" t="s">
        <v>209</v>
      </c>
      <c r="G153" s="666" t="s">
        <v>1226</v>
      </c>
      <c r="H153" s="666"/>
      <c r="I153" s="667"/>
    </row>
    <row r="154" spans="2:9" x14ac:dyDescent="0.2">
      <c r="B154" s="666" t="s">
        <v>105</v>
      </c>
      <c r="C154" s="666" t="s">
        <v>334</v>
      </c>
      <c r="D154" s="666" t="s">
        <v>328</v>
      </c>
      <c r="E154" s="666" t="s">
        <v>95</v>
      </c>
      <c r="F154" s="666" t="s">
        <v>209</v>
      </c>
      <c r="G154" s="666" t="s">
        <v>1226</v>
      </c>
      <c r="H154" s="666"/>
      <c r="I154" s="667"/>
    </row>
    <row r="155" spans="2:9" x14ac:dyDescent="0.2">
      <c r="B155" s="666" t="s">
        <v>105</v>
      </c>
      <c r="C155" s="666" t="s">
        <v>335</v>
      </c>
      <c r="D155" s="666" t="s">
        <v>330</v>
      </c>
      <c r="E155" s="666" t="s">
        <v>95</v>
      </c>
      <c r="F155" s="666" t="s">
        <v>209</v>
      </c>
      <c r="G155" s="666" t="s">
        <v>1226</v>
      </c>
      <c r="H155" s="666"/>
      <c r="I155" s="667"/>
    </row>
    <row r="156" spans="2:9" x14ac:dyDescent="0.2">
      <c r="B156" s="666" t="s">
        <v>105</v>
      </c>
      <c r="C156" s="666" t="s">
        <v>336</v>
      </c>
      <c r="D156" s="666" t="s">
        <v>337</v>
      </c>
      <c r="E156" s="666" t="s">
        <v>95</v>
      </c>
      <c r="F156" s="666" t="s">
        <v>209</v>
      </c>
      <c r="G156" s="666" t="s">
        <v>1226</v>
      </c>
      <c r="H156" s="666"/>
      <c r="I156" s="667"/>
    </row>
    <row r="157" spans="2:9" x14ac:dyDescent="0.2">
      <c r="B157" s="666" t="s">
        <v>105</v>
      </c>
      <c r="C157" s="666" t="s">
        <v>338</v>
      </c>
      <c r="D157" s="666" t="s">
        <v>339</v>
      </c>
      <c r="E157" s="666" t="s">
        <v>95</v>
      </c>
      <c r="F157" s="666" t="s">
        <v>209</v>
      </c>
      <c r="G157" s="666" t="s">
        <v>1226</v>
      </c>
      <c r="H157" s="666"/>
      <c r="I157" s="667"/>
    </row>
    <row r="158" spans="2:9" x14ac:dyDescent="0.2">
      <c r="B158" s="666" t="s">
        <v>105</v>
      </c>
      <c r="C158" s="666" t="s">
        <v>340</v>
      </c>
      <c r="D158" s="666" t="s">
        <v>341</v>
      </c>
      <c r="E158" s="666" t="s">
        <v>95</v>
      </c>
      <c r="F158" s="666" t="s">
        <v>209</v>
      </c>
      <c r="G158" s="666" t="s">
        <v>1226</v>
      </c>
      <c r="H158" s="666"/>
      <c r="I158" s="667"/>
    </row>
    <row r="159" spans="2:9" x14ac:dyDescent="0.2">
      <c r="B159" s="666" t="s">
        <v>105</v>
      </c>
      <c r="C159" s="666" t="s">
        <v>342</v>
      </c>
      <c r="D159" s="666" t="s">
        <v>343</v>
      </c>
      <c r="E159" s="666" t="s">
        <v>95</v>
      </c>
      <c r="F159" s="666" t="s">
        <v>209</v>
      </c>
      <c r="G159" s="666" t="s">
        <v>1226</v>
      </c>
      <c r="H159" s="666"/>
      <c r="I159" s="667"/>
    </row>
    <row r="160" spans="2:9" x14ac:dyDescent="0.2">
      <c r="B160" s="666" t="s">
        <v>105</v>
      </c>
      <c r="C160" s="666" t="s">
        <v>344</v>
      </c>
      <c r="D160" s="666" t="s">
        <v>345</v>
      </c>
      <c r="E160" s="666" t="s">
        <v>95</v>
      </c>
      <c r="F160" s="666" t="s">
        <v>209</v>
      </c>
      <c r="G160" s="666" t="s">
        <v>1226</v>
      </c>
      <c r="H160" s="666"/>
      <c r="I160" s="667"/>
    </row>
    <row r="161" spans="2:9" x14ac:dyDescent="0.2">
      <c r="B161" s="666" t="s">
        <v>92</v>
      </c>
      <c r="C161" s="666" t="s">
        <v>346</v>
      </c>
      <c r="D161" s="666" t="s">
        <v>347</v>
      </c>
      <c r="E161" s="666" t="s">
        <v>95</v>
      </c>
      <c r="F161" s="666" t="s">
        <v>209</v>
      </c>
      <c r="G161" s="666" t="s">
        <v>1226</v>
      </c>
      <c r="H161" s="666"/>
      <c r="I161" s="667"/>
    </row>
    <row r="162" spans="2:9" x14ac:dyDescent="0.2">
      <c r="B162" s="666" t="s">
        <v>92</v>
      </c>
      <c r="C162" s="666" t="s">
        <v>348</v>
      </c>
      <c r="D162" s="666" t="s">
        <v>349</v>
      </c>
      <c r="E162" s="666" t="s">
        <v>95</v>
      </c>
      <c r="F162" s="666" t="s">
        <v>209</v>
      </c>
      <c r="G162" s="666" t="s">
        <v>1226</v>
      </c>
      <c r="H162" s="666"/>
      <c r="I162" s="667"/>
    </row>
    <row r="163" spans="2:9" x14ac:dyDescent="0.2">
      <c r="B163" s="666" t="s">
        <v>105</v>
      </c>
      <c r="C163" s="666" t="s">
        <v>350</v>
      </c>
      <c r="D163" s="666" t="s">
        <v>349</v>
      </c>
      <c r="E163" s="666" t="s">
        <v>95</v>
      </c>
      <c r="F163" s="666" t="s">
        <v>209</v>
      </c>
      <c r="G163" s="666" t="s">
        <v>1226</v>
      </c>
      <c r="H163" s="666"/>
      <c r="I163" s="667"/>
    </row>
    <row r="164" spans="2:9" x14ac:dyDescent="0.2">
      <c r="B164" s="666" t="s">
        <v>92</v>
      </c>
      <c r="C164" s="666" t="s">
        <v>351</v>
      </c>
      <c r="D164" s="666" t="s">
        <v>352</v>
      </c>
      <c r="E164" s="666" t="s">
        <v>95</v>
      </c>
      <c r="F164" s="666" t="s">
        <v>209</v>
      </c>
      <c r="G164" s="666" t="s">
        <v>1226</v>
      </c>
      <c r="H164" s="666"/>
      <c r="I164" s="667"/>
    </row>
    <row r="165" spans="2:9" x14ac:dyDescent="0.2">
      <c r="B165" s="666" t="s">
        <v>92</v>
      </c>
      <c r="C165" s="666" t="s">
        <v>353</v>
      </c>
      <c r="D165" s="666" t="s">
        <v>352</v>
      </c>
      <c r="E165" s="666" t="s">
        <v>95</v>
      </c>
      <c r="F165" s="666" t="s">
        <v>209</v>
      </c>
      <c r="G165" s="666" t="s">
        <v>1226</v>
      </c>
      <c r="H165" s="666"/>
      <c r="I165" s="667"/>
    </row>
    <row r="166" spans="2:9" x14ac:dyDescent="0.2">
      <c r="B166" s="666" t="s">
        <v>92</v>
      </c>
      <c r="C166" s="666" t="s">
        <v>354</v>
      </c>
      <c r="D166" s="666" t="s">
        <v>355</v>
      </c>
      <c r="E166" s="666" t="s">
        <v>95</v>
      </c>
      <c r="F166" s="666" t="s">
        <v>209</v>
      </c>
      <c r="G166" s="666" t="s">
        <v>1226</v>
      </c>
      <c r="H166" s="666"/>
      <c r="I166" s="667"/>
    </row>
    <row r="167" spans="2:9" x14ac:dyDescent="0.2">
      <c r="B167" s="666" t="s">
        <v>105</v>
      </c>
      <c r="C167" s="666" t="s">
        <v>356</v>
      </c>
      <c r="D167" s="666" t="s">
        <v>355</v>
      </c>
      <c r="E167" s="666" t="s">
        <v>95</v>
      </c>
      <c r="F167" s="666" t="s">
        <v>209</v>
      </c>
      <c r="G167" s="666" t="s">
        <v>1226</v>
      </c>
      <c r="H167" s="666"/>
      <c r="I167" s="667"/>
    </row>
    <row r="168" spans="2:9" x14ac:dyDescent="0.2">
      <c r="B168" s="666" t="s">
        <v>105</v>
      </c>
      <c r="C168" s="666" t="s">
        <v>357</v>
      </c>
      <c r="D168" s="666" t="s">
        <v>358</v>
      </c>
      <c r="E168" s="666" t="s">
        <v>95</v>
      </c>
      <c r="F168" s="666" t="s">
        <v>209</v>
      </c>
      <c r="G168" s="666" t="s">
        <v>1226</v>
      </c>
      <c r="H168" s="666"/>
      <c r="I168" s="667"/>
    </row>
    <row r="169" spans="2:9" x14ac:dyDescent="0.2">
      <c r="B169" s="666" t="s">
        <v>105</v>
      </c>
      <c r="C169" s="666" t="s">
        <v>359</v>
      </c>
      <c r="D169" s="666" t="s">
        <v>360</v>
      </c>
      <c r="E169" s="666" t="s">
        <v>95</v>
      </c>
      <c r="F169" s="666" t="s">
        <v>209</v>
      </c>
      <c r="G169" s="666" t="s">
        <v>1226</v>
      </c>
      <c r="H169" s="666"/>
      <c r="I169" s="667"/>
    </row>
    <row r="170" spans="2:9" x14ac:dyDescent="0.2">
      <c r="B170" s="666" t="s">
        <v>105</v>
      </c>
      <c r="C170" s="666" t="s">
        <v>361</v>
      </c>
      <c r="D170" s="666" t="s">
        <v>362</v>
      </c>
      <c r="E170" s="666" t="s">
        <v>95</v>
      </c>
      <c r="F170" s="666" t="s">
        <v>209</v>
      </c>
      <c r="G170" s="666" t="s">
        <v>1226</v>
      </c>
      <c r="H170" s="666"/>
      <c r="I170" s="667"/>
    </row>
    <row r="171" spans="2:9" x14ac:dyDescent="0.2">
      <c r="B171" s="666" t="s">
        <v>105</v>
      </c>
      <c r="C171" s="666" t="s">
        <v>363</v>
      </c>
      <c r="D171" s="666" t="s">
        <v>364</v>
      </c>
      <c r="E171" s="666" t="s">
        <v>95</v>
      </c>
      <c r="F171" s="666" t="s">
        <v>209</v>
      </c>
      <c r="G171" s="666" t="s">
        <v>1226</v>
      </c>
      <c r="H171" s="666"/>
      <c r="I171" s="667"/>
    </row>
    <row r="172" spans="2:9" x14ac:dyDescent="0.2">
      <c r="B172" s="666" t="s">
        <v>105</v>
      </c>
      <c r="C172" s="666" t="s">
        <v>365</v>
      </c>
      <c r="D172" s="666" t="s">
        <v>366</v>
      </c>
      <c r="E172" s="666" t="s">
        <v>95</v>
      </c>
      <c r="F172" s="666" t="s">
        <v>209</v>
      </c>
      <c r="G172" s="666" t="s">
        <v>1226</v>
      </c>
      <c r="H172" s="666"/>
      <c r="I172" s="667"/>
    </row>
    <row r="173" spans="2:9" x14ac:dyDescent="0.2">
      <c r="B173" s="666" t="s">
        <v>105</v>
      </c>
      <c r="C173" s="666" t="s">
        <v>367</v>
      </c>
      <c r="D173" s="666" t="s">
        <v>368</v>
      </c>
      <c r="E173" s="666" t="s">
        <v>95</v>
      </c>
      <c r="F173" s="666" t="s">
        <v>209</v>
      </c>
      <c r="G173" s="666" t="s">
        <v>1226</v>
      </c>
      <c r="H173" s="666"/>
      <c r="I173" s="667"/>
    </row>
    <row r="174" spans="2:9" x14ac:dyDescent="0.2">
      <c r="B174" s="666" t="s">
        <v>105</v>
      </c>
      <c r="C174" s="666" t="s">
        <v>369</v>
      </c>
      <c r="D174" s="666" t="s">
        <v>370</v>
      </c>
      <c r="E174" s="666" t="s">
        <v>95</v>
      </c>
      <c r="F174" s="666" t="s">
        <v>209</v>
      </c>
      <c r="G174" s="666" t="s">
        <v>1226</v>
      </c>
      <c r="H174" s="666"/>
      <c r="I174" s="667"/>
    </row>
    <row r="175" spans="2:9" x14ac:dyDescent="0.2">
      <c r="B175" s="666" t="s">
        <v>105</v>
      </c>
      <c r="C175" s="666" t="s">
        <v>371</v>
      </c>
      <c r="D175" s="666" t="s">
        <v>372</v>
      </c>
      <c r="E175" s="666" t="s">
        <v>95</v>
      </c>
      <c r="F175" s="666" t="s">
        <v>209</v>
      </c>
      <c r="G175" s="666" t="s">
        <v>1226</v>
      </c>
      <c r="H175" s="666"/>
      <c r="I175" s="667"/>
    </row>
    <row r="176" spans="2:9" x14ac:dyDescent="0.2">
      <c r="B176" s="666" t="s">
        <v>105</v>
      </c>
      <c r="C176" s="666" t="s">
        <v>373</v>
      </c>
      <c r="D176" s="666" t="s">
        <v>374</v>
      </c>
      <c r="E176" s="666" t="s">
        <v>95</v>
      </c>
      <c r="F176" s="666" t="s">
        <v>209</v>
      </c>
      <c r="G176" s="666" t="s">
        <v>1226</v>
      </c>
      <c r="H176" s="666"/>
      <c r="I176" s="667"/>
    </row>
    <row r="177" spans="2:9" x14ac:dyDescent="0.2">
      <c r="B177" s="666" t="s">
        <v>105</v>
      </c>
      <c r="C177" s="666" t="s">
        <v>375</v>
      </c>
      <c r="D177" s="666" t="s">
        <v>376</v>
      </c>
      <c r="E177" s="666" t="s">
        <v>95</v>
      </c>
      <c r="F177" s="666" t="s">
        <v>209</v>
      </c>
      <c r="G177" s="666" t="s">
        <v>1226</v>
      </c>
      <c r="H177" s="666"/>
      <c r="I177" s="667"/>
    </row>
    <row r="178" spans="2:9" x14ac:dyDescent="0.2">
      <c r="B178" s="666" t="s">
        <v>105</v>
      </c>
      <c r="C178" s="666" t="s">
        <v>377</v>
      </c>
      <c r="D178" s="666" t="s">
        <v>378</v>
      </c>
      <c r="E178" s="666" t="s">
        <v>95</v>
      </c>
      <c r="F178" s="666" t="s">
        <v>209</v>
      </c>
      <c r="G178" s="666" t="s">
        <v>1226</v>
      </c>
      <c r="H178" s="666"/>
      <c r="I178" s="667"/>
    </row>
    <row r="179" spans="2:9" x14ac:dyDescent="0.2">
      <c r="B179" s="666" t="s">
        <v>105</v>
      </c>
      <c r="C179" s="666" t="s">
        <v>379</v>
      </c>
      <c r="D179" s="666" t="s">
        <v>380</v>
      </c>
      <c r="E179" s="666" t="s">
        <v>95</v>
      </c>
      <c r="F179" s="666" t="s">
        <v>209</v>
      </c>
      <c r="G179" s="666" t="s">
        <v>1226</v>
      </c>
      <c r="H179" s="666"/>
      <c r="I179" s="667"/>
    </row>
    <row r="180" spans="2:9" x14ac:dyDescent="0.2">
      <c r="B180" s="666" t="s">
        <v>105</v>
      </c>
      <c r="C180" s="666" t="s">
        <v>381</v>
      </c>
      <c r="D180" s="666" t="s">
        <v>382</v>
      </c>
      <c r="E180" s="666" t="s">
        <v>95</v>
      </c>
      <c r="F180" s="666" t="s">
        <v>209</v>
      </c>
      <c r="G180" s="666" t="s">
        <v>1226</v>
      </c>
      <c r="H180" s="666"/>
      <c r="I180" s="667"/>
    </row>
    <row r="181" spans="2:9" x14ac:dyDescent="0.2">
      <c r="B181" s="666" t="s">
        <v>105</v>
      </c>
      <c r="C181" s="666" t="s">
        <v>383</v>
      </c>
      <c r="D181" s="666" t="s">
        <v>384</v>
      </c>
      <c r="E181" s="666" t="s">
        <v>95</v>
      </c>
      <c r="F181" s="666" t="s">
        <v>209</v>
      </c>
      <c r="G181" s="666" t="s">
        <v>1226</v>
      </c>
      <c r="H181" s="666"/>
      <c r="I181" s="667"/>
    </row>
    <row r="182" spans="2:9" x14ac:dyDescent="0.2">
      <c r="B182" s="666" t="s">
        <v>105</v>
      </c>
      <c r="C182" s="666" t="s">
        <v>385</v>
      </c>
      <c r="D182" s="666" t="s">
        <v>386</v>
      </c>
      <c r="E182" s="666" t="s">
        <v>95</v>
      </c>
      <c r="F182" s="666" t="s">
        <v>209</v>
      </c>
      <c r="G182" s="666" t="s">
        <v>1226</v>
      </c>
      <c r="H182" s="666"/>
      <c r="I182" s="667"/>
    </row>
    <row r="183" spans="2:9" x14ac:dyDescent="0.2">
      <c r="B183" s="666" t="s">
        <v>105</v>
      </c>
      <c r="C183" s="666" t="s">
        <v>387</v>
      </c>
      <c r="D183" s="666" t="s">
        <v>388</v>
      </c>
      <c r="E183" s="666" t="s">
        <v>95</v>
      </c>
      <c r="F183" s="666" t="s">
        <v>209</v>
      </c>
      <c r="G183" s="666" t="s">
        <v>1226</v>
      </c>
      <c r="H183" s="666"/>
      <c r="I183" s="667"/>
    </row>
    <row r="184" spans="2:9" x14ac:dyDescent="0.2">
      <c r="B184" s="666" t="s">
        <v>105</v>
      </c>
      <c r="C184" s="666" t="s">
        <v>389</v>
      </c>
      <c r="D184" s="666" t="s">
        <v>390</v>
      </c>
      <c r="E184" s="666" t="s">
        <v>95</v>
      </c>
      <c r="F184" s="666" t="s">
        <v>209</v>
      </c>
      <c r="G184" s="666" t="s">
        <v>1226</v>
      </c>
      <c r="H184" s="666"/>
      <c r="I184" s="667"/>
    </row>
    <row r="185" spans="2:9" x14ac:dyDescent="0.2">
      <c r="B185" s="666" t="s">
        <v>105</v>
      </c>
      <c r="C185" s="666" t="s">
        <v>391</v>
      </c>
      <c r="D185" s="666" t="s">
        <v>392</v>
      </c>
      <c r="E185" s="666" t="s">
        <v>95</v>
      </c>
      <c r="F185" s="666" t="s">
        <v>209</v>
      </c>
      <c r="G185" s="666" t="s">
        <v>1226</v>
      </c>
      <c r="H185" s="666"/>
      <c r="I185" s="667"/>
    </row>
    <row r="186" spans="2:9" x14ac:dyDescent="0.2">
      <c r="B186" s="666" t="s">
        <v>105</v>
      </c>
      <c r="C186" s="666" t="s">
        <v>393</v>
      </c>
      <c r="D186" s="666" t="s">
        <v>394</v>
      </c>
      <c r="E186" s="666" t="s">
        <v>95</v>
      </c>
      <c r="F186" s="666" t="s">
        <v>209</v>
      </c>
      <c r="G186" s="666" t="s">
        <v>1226</v>
      </c>
      <c r="H186" s="666"/>
      <c r="I186" s="667"/>
    </row>
    <row r="187" spans="2:9" x14ac:dyDescent="0.2">
      <c r="B187" s="666" t="s">
        <v>105</v>
      </c>
      <c r="C187" s="666" t="s">
        <v>395</v>
      </c>
      <c r="D187" s="666" t="s">
        <v>396</v>
      </c>
      <c r="E187" s="666" t="s">
        <v>95</v>
      </c>
      <c r="F187" s="666" t="s">
        <v>209</v>
      </c>
      <c r="G187" s="666" t="s">
        <v>1226</v>
      </c>
      <c r="H187" s="666"/>
      <c r="I187" s="667"/>
    </row>
    <row r="188" spans="2:9" x14ac:dyDescent="0.2">
      <c r="B188" s="666" t="s">
        <v>105</v>
      </c>
      <c r="C188" s="666" t="s">
        <v>397</v>
      </c>
      <c r="D188" s="666" t="s">
        <v>398</v>
      </c>
      <c r="E188" s="666" t="s">
        <v>95</v>
      </c>
      <c r="F188" s="666" t="s">
        <v>209</v>
      </c>
      <c r="G188" s="666" t="s">
        <v>1226</v>
      </c>
      <c r="H188" s="666"/>
      <c r="I188" s="667"/>
    </row>
    <row r="189" spans="2:9" x14ac:dyDescent="0.2">
      <c r="B189" s="666" t="s">
        <v>105</v>
      </c>
      <c r="C189" s="666" t="s">
        <v>399</v>
      </c>
      <c r="D189" s="666" t="s">
        <v>400</v>
      </c>
      <c r="E189" s="666" t="s">
        <v>95</v>
      </c>
      <c r="F189" s="666" t="s">
        <v>209</v>
      </c>
      <c r="G189" s="666" t="s">
        <v>1226</v>
      </c>
      <c r="H189" s="666"/>
      <c r="I189" s="667"/>
    </row>
    <row r="190" spans="2:9" x14ac:dyDescent="0.2">
      <c r="B190" s="666" t="s">
        <v>105</v>
      </c>
      <c r="C190" s="666" t="s">
        <v>401</v>
      </c>
      <c r="D190" s="666" t="s">
        <v>402</v>
      </c>
      <c r="E190" s="666" t="s">
        <v>95</v>
      </c>
      <c r="F190" s="666" t="s">
        <v>209</v>
      </c>
      <c r="G190" s="666" t="s">
        <v>1226</v>
      </c>
      <c r="H190" s="666"/>
      <c r="I190" s="667"/>
    </row>
    <row r="191" spans="2:9" x14ac:dyDescent="0.2">
      <c r="B191" s="666" t="s">
        <v>92</v>
      </c>
      <c r="C191" s="666" t="s">
        <v>403</v>
      </c>
      <c r="D191" s="666" t="s">
        <v>404</v>
      </c>
      <c r="E191" s="666" t="s">
        <v>91</v>
      </c>
      <c r="F191" s="666" t="s">
        <v>196</v>
      </c>
      <c r="G191" s="666" t="s">
        <v>1226</v>
      </c>
      <c r="H191" s="666"/>
      <c r="I191" s="667"/>
    </row>
    <row r="192" spans="2:9" x14ac:dyDescent="0.2">
      <c r="B192" s="666" t="s">
        <v>92</v>
      </c>
      <c r="C192" s="666" t="s">
        <v>405</v>
      </c>
      <c r="D192" s="666" t="s">
        <v>406</v>
      </c>
      <c r="E192" s="666" t="s">
        <v>91</v>
      </c>
      <c r="F192" s="666" t="s">
        <v>196</v>
      </c>
      <c r="G192" s="666" t="s">
        <v>1226</v>
      </c>
      <c r="H192" s="666"/>
      <c r="I192" s="667"/>
    </row>
    <row r="193" spans="2:9" x14ac:dyDescent="0.2">
      <c r="B193" s="666" t="s">
        <v>92</v>
      </c>
      <c r="C193" s="666" t="s">
        <v>407</v>
      </c>
      <c r="D193" s="666" t="s">
        <v>408</v>
      </c>
      <c r="E193" s="666" t="s">
        <v>91</v>
      </c>
      <c r="F193" s="666" t="s">
        <v>196</v>
      </c>
      <c r="G193" s="666" t="s">
        <v>1226</v>
      </c>
      <c r="H193" s="666"/>
      <c r="I193" s="667"/>
    </row>
    <row r="194" spans="2:9" x14ac:dyDescent="0.2">
      <c r="B194" s="666" t="s">
        <v>105</v>
      </c>
      <c r="C194" s="666" t="s">
        <v>409</v>
      </c>
      <c r="D194" s="666" t="s">
        <v>410</v>
      </c>
      <c r="E194" s="666" t="s">
        <v>91</v>
      </c>
      <c r="F194" s="666" t="s">
        <v>196</v>
      </c>
      <c r="G194" s="666" t="s">
        <v>1226</v>
      </c>
      <c r="H194" s="666"/>
      <c r="I194" s="667"/>
    </row>
    <row r="195" spans="2:9" x14ac:dyDescent="0.2">
      <c r="B195" s="666" t="s">
        <v>105</v>
      </c>
      <c r="C195" s="666" t="s">
        <v>411</v>
      </c>
      <c r="D195" s="666" t="s">
        <v>412</v>
      </c>
      <c r="E195" s="666" t="s">
        <v>104</v>
      </c>
      <c r="F195" s="666" t="s">
        <v>413</v>
      </c>
      <c r="G195" s="666" t="s">
        <v>1226</v>
      </c>
      <c r="H195" s="666"/>
      <c r="I195" s="667"/>
    </row>
    <row r="196" spans="2:9" x14ac:dyDescent="0.2">
      <c r="B196" s="666" t="s">
        <v>105</v>
      </c>
      <c r="C196" s="666" t="s">
        <v>414</v>
      </c>
      <c r="D196" s="666" t="s">
        <v>415</v>
      </c>
      <c r="E196" s="666" t="s">
        <v>95</v>
      </c>
      <c r="F196" s="666" t="s">
        <v>209</v>
      </c>
      <c r="G196" s="666" t="s">
        <v>1226</v>
      </c>
      <c r="H196" s="666"/>
      <c r="I196" s="667"/>
    </row>
    <row r="197" spans="2:9" x14ac:dyDescent="0.2">
      <c r="B197" s="666" t="s">
        <v>105</v>
      </c>
      <c r="C197" s="666" t="s">
        <v>416</v>
      </c>
      <c r="D197" s="666" t="s">
        <v>417</v>
      </c>
      <c r="E197" s="666" t="s">
        <v>104</v>
      </c>
      <c r="F197" s="666" t="s">
        <v>413</v>
      </c>
      <c r="G197" s="666" t="s">
        <v>1226</v>
      </c>
      <c r="H197" s="666"/>
      <c r="I197" s="667"/>
    </row>
    <row r="198" spans="2:9" x14ac:dyDescent="0.2">
      <c r="B198" s="666" t="s">
        <v>105</v>
      </c>
      <c r="C198" s="666" t="s">
        <v>418</v>
      </c>
      <c r="D198" s="666" t="s">
        <v>419</v>
      </c>
      <c r="E198" s="666" t="s">
        <v>95</v>
      </c>
      <c r="F198" s="666" t="s">
        <v>209</v>
      </c>
      <c r="G198" s="666" t="s">
        <v>1226</v>
      </c>
      <c r="H198" s="666"/>
      <c r="I198" s="667"/>
    </row>
    <row r="199" spans="2:9" x14ac:dyDescent="0.2">
      <c r="B199" s="666" t="s">
        <v>105</v>
      </c>
      <c r="C199" s="666" t="s">
        <v>420</v>
      </c>
      <c r="D199" s="666" t="s">
        <v>421</v>
      </c>
      <c r="E199" s="666" t="s">
        <v>104</v>
      </c>
      <c r="F199" s="666" t="s">
        <v>413</v>
      </c>
      <c r="G199" s="666" t="s">
        <v>1226</v>
      </c>
      <c r="H199" s="666"/>
      <c r="I199" s="667"/>
    </row>
    <row r="200" spans="2:9" x14ac:dyDescent="0.2">
      <c r="B200" s="666" t="s">
        <v>105</v>
      </c>
      <c r="C200" s="666" t="s">
        <v>422</v>
      </c>
      <c r="D200" s="666" t="s">
        <v>423</v>
      </c>
      <c r="E200" s="666" t="s">
        <v>95</v>
      </c>
      <c r="F200" s="666" t="s">
        <v>209</v>
      </c>
      <c r="G200" s="666" t="s">
        <v>1226</v>
      </c>
      <c r="H200" s="666"/>
      <c r="I200" s="667"/>
    </row>
    <row r="201" spans="2:9" x14ac:dyDescent="0.2">
      <c r="B201" s="666" t="s">
        <v>105</v>
      </c>
      <c r="C201" s="666" t="s">
        <v>424</v>
      </c>
      <c r="D201" s="666" t="s">
        <v>425</v>
      </c>
      <c r="E201" s="666" t="s">
        <v>104</v>
      </c>
      <c r="F201" s="666" t="s">
        <v>413</v>
      </c>
      <c r="G201" s="666" t="s">
        <v>1226</v>
      </c>
      <c r="H201" s="666"/>
      <c r="I201" s="667"/>
    </row>
    <row r="202" spans="2:9" x14ac:dyDescent="0.2">
      <c r="B202" s="666" t="s">
        <v>105</v>
      </c>
      <c r="C202" s="666" t="s">
        <v>426</v>
      </c>
      <c r="D202" s="666" t="s">
        <v>427</v>
      </c>
      <c r="E202" s="666" t="s">
        <v>95</v>
      </c>
      <c r="F202" s="666" t="s">
        <v>209</v>
      </c>
      <c r="G202" s="666" t="s">
        <v>1226</v>
      </c>
      <c r="H202" s="666"/>
      <c r="I202" s="667"/>
    </row>
    <row r="203" spans="2:9" x14ac:dyDescent="0.2">
      <c r="B203" s="666" t="s">
        <v>105</v>
      </c>
      <c r="C203" s="666" t="s">
        <v>428</v>
      </c>
      <c r="D203" s="666" t="s">
        <v>429</v>
      </c>
      <c r="E203" s="666" t="s">
        <v>104</v>
      </c>
      <c r="F203" s="666" t="s">
        <v>413</v>
      </c>
      <c r="G203" s="666" t="s">
        <v>1226</v>
      </c>
      <c r="H203" s="666"/>
      <c r="I203" s="667"/>
    </row>
    <row r="204" spans="2:9" x14ac:dyDescent="0.2">
      <c r="B204" s="666" t="s">
        <v>105</v>
      </c>
      <c r="C204" s="666" t="s">
        <v>430</v>
      </c>
      <c r="D204" s="666" t="s">
        <v>431</v>
      </c>
      <c r="E204" s="666" t="s">
        <v>104</v>
      </c>
      <c r="F204" s="666" t="s">
        <v>413</v>
      </c>
      <c r="G204" s="666" t="s">
        <v>1226</v>
      </c>
      <c r="H204" s="666"/>
      <c r="I204" s="667"/>
    </row>
    <row r="205" spans="2:9" x14ac:dyDescent="0.2">
      <c r="B205" s="666" t="s">
        <v>105</v>
      </c>
      <c r="C205" s="666" t="s">
        <v>432</v>
      </c>
      <c r="D205" s="666" t="s">
        <v>433</v>
      </c>
      <c r="E205" s="666" t="s">
        <v>104</v>
      </c>
      <c r="F205" s="666" t="s">
        <v>413</v>
      </c>
      <c r="G205" s="666" t="s">
        <v>1226</v>
      </c>
      <c r="H205" s="666"/>
      <c r="I205" s="667"/>
    </row>
    <row r="206" spans="2:9" x14ac:dyDescent="0.2">
      <c r="B206" s="666" t="s">
        <v>115</v>
      </c>
      <c r="C206" s="666" t="s">
        <v>434</v>
      </c>
      <c r="D206" s="666" t="s">
        <v>435</v>
      </c>
      <c r="E206" s="666" t="s">
        <v>104</v>
      </c>
      <c r="F206" s="666" t="s">
        <v>413</v>
      </c>
      <c r="G206" s="666" t="s">
        <v>1226</v>
      </c>
      <c r="H206" s="666"/>
      <c r="I206" s="667"/>
    </row>
    <row r="207" spans="2:9" x14ac:dyDescent="0.2">
      <c r="B207" s="666" t="s">
        <v>115</v>
      </c>
      <c r="C207" s="666" t="s">
        <v>436</v>
      </c>
      <c r="D207" s="666" t="s">
        <v>437</v>
      </c>
      <c r="E207" s="666" t="s">
        <v>104</v>
      </c>
      <c r="F207" s="666" t="s">
        <v>413</v>
      </c>
      <c r="G207" s="666" t="s">
        <v>1226</v>
      </c>
      <c r="H207" s="666"/>
      <c r="I207" s="667"/>
    </row>
    <row r="208" spans="2:9" x14ac:dyDescent="0.2">
      <c r="B208" s="666" t="s">
        <v>115</v>
      </c>
      <c r="C208" s="666" t="s">
        <v>438</v>
      </c>
      <c r="D208" s="666" t="s">
        <v>439</v>
      </c>
      <c r="E208" s="666" t="s">
        <v>104</v>
      </c>
      <c r="F208" s="666" t="s">
        <v>413</v>
      </c>
      <c r="G208" s="666" t="s">
        <v>1226</v>
      </c>
      <c r="H208" s="666"/>
      <c r="I208" s="667"/>
    </row>
    <row r="209" spans="2:9" x14ac:dyDescent="0.2">
      <c r="B209" s="666" t="s">
        <v>115</v>
      </c>
      <c r="C209" s="666" t="s">
        <v>440</v>
      </c>
      <c r="D209" s="666" t="s">
        <v>441</v>
      </c>
      <c r="E209" s="666" t="s">
        <v>104</v>
      </c>
      <c r="F209" s="666" t="s">
        <v>413</v>
      </c>
      <c r="G209" s="666" t="s">
        <v>1226</v>
      </c>
      <c r="H209" s="666"/>
      <c r="I209" s="667"/>
    </row>
    <row r="210" spans="2:9" x14ac:dyDescent="0.2">
      <c r="B210" s="666" t="s">
        <v>92</v>
      </c>
      <c r="C210" s="666" t="s">
        <v>442</v>
      </c>
      <c r="D210" s="666" t="s">
        <v>443</v>
      </c>
      <c r="E210" s="666" t="s">
        <v>104</v>
      </c>
      <c r="F210" s="666" t="s">
        <v>413</v>
      </c>
      <c r="G210" s="666" t="s">
        <v>1226</v>
      </c>
      <c r="H210" s="666"/>
      <c r="I210" s="667"/>
    </row>
    <row r="211" spans="2:9" x14ac:dyDescent="0.2">
      <c r="B211" s="666" t="s">
        <v>92</v>
      </c>
      <c r="C211" s="666" t="s">
        <v>444</v>
      </c>
      <c r="D211" s="666" t="s">
        <v>445</v>
      </c>
      <c r="E211" s="666" t="s">
        <v>104</v>
      </c>
      <c r="F211" s="666" t="s">
        <v>413</v>
      </c>
      <c r="G211" s="666" t="s">
        <v>1226</v>
      </c>
      <c r="H211" s="666"/>
      <c r="I211" s="667"/>
    </row>
    <row r="212" spans="2:9" x14ac:dyDescent="0.2">
      <c r="B212" s="666" t="s">
        <v>92</v>
      </c>
      <c r="C212" s="666" t="s">
        <v>446</v>
      </c>
      <c r="D212" s="666" t="s">
        <v>447</v>
      </c>
      <c r="E212" s="666" t="s">
        <v>104</v>
      </c>
      <c r="F212" s="666" t="s">
        <v>413</v>
      </c>
      <c r="G212" s="666" t="s">
        <v>1226</v>
      </c>
      <c r="H212" s="666"/>
      <c r="I212" s="667"/>
    </row>
    <row r="213" spans="2:9" x14ac:dyDescent="0.2">
      <c r="B213" s="666" t="s">
        <v>92</v>
      </c>
      <c r="C213" s="666" t="s">
        <v>448</v>
      </c>
      <c r="D213" s="666" t="s">
        <v>449</v>
      </c>
      <c r="E213" s="666" t="s">
        <v>104</v>
      </c>
      <c r="F213" s="666" t="s">
        <v>413</v>
      </c>
      <c r="G213" s="666" t="s">
        <v>1226</v>
      </c>
      <c r="H213" s="666"/>
      <c r="I213" s="667"/>
    </row>
    <row r="214" spans="2:9" x14ac:dyDescent="0.2">
      <c r="B214" s="668" t="s">
        <v>450</v>
      </c>
      <c r="C214" s="668"/>
      <c r="D214" s="668"/>
      <c r="E214" s="668"/>
      <c r="F214" s="668"/>
      <c r="G214" s="668"/>
      <c r="H214" s="668"/>
      <c r="I214" s="665"/>
    </row>
    <row r="215" spans="2:9" ht="14.25" customHeight="1" x14ac:dyDescent="0.2">
      <c r="B215" s="666" t="s">
        <v>92</v>
      </c>
      <c r="C215" s="666" t="s">
        <v>451</v>
      </c>
      <c r="D215" s="666" t="s">
        <v>452</v>
      </c>
      <c r="E215" s="666" t="s">
        <v>11</v>
      </c>
      <c r="F215" s="666" t="s">
        <v>453</v>
      </c>
      <c r="G215" s="666" t="s">
        <v>1665</v>
      </c>
      <c r="H215" s="666"/>
      <c r="I215" s="667"/>
    </row>
    <row r="216" spans="2:9" x14ac:dyDescent="0.2">
      <c r="B216" s="666" t="s">
        <v>105</v>
      </c>
      <c r="C216" s="666" t="s">
        <v>454</v>
      </c>
      <c r="D216" s="666" t="s">
        <v>455</v>
      </c>
      <c r="E216" s="666" t="s">
        <v>11</v>
      </c>
      <c r="F216" s="666" t="s">
        <v>453</v>
      </c>
      <c r="G216" s="666" t="s">
        <v>1665</v>
      </c>
      <c r="H216" s="666"/>
      <c r="I216" s="667"/>
    </row>
    <row r="217" spans="2:9" x14ac:dyDescent="0.2">
      <c r="B217" s="668" t="s">
        <v>456</v>
      </c>
      <c r="C217" s="668"/>
      <c r="D217" s="668"/>
      <c r="E217" s="668"/>
      <c r="F217" s="668"/>
      <c r="G217" s="668"/>
      <c r="H217" s="668"/>
      <c r="I217" s="665"/>
    </row>
    <row r="218" spans="2:9" x14ac:dyDescent="0.2">
      <c r="B218" s="666" t="s">
        <v>92</v>
      </c>
      <c r="C218" s="666" t="s">
        <v>457</v>
      </c>
      <c r="D218" s="666" t="s">
        <v>458</v>
      </c>
      <c r="E218" s="666" t="s">
        <v>95</v>
      </c>
      <c r="F218" s="666" t="s">
        <v>209</v>
      </c>
      <c r="G218" s="666" t="s">
        <v>1226</v>
      </c>
      <c r="H218" s="666"/>
      <c r="I218" s="667"/>
    </row>
    <row r="219" spans="2:9" x14ac:dyDescent="0.2">
      <c r="B219" s="666" t="s">
        <v>105</v>
      </c>
      <c r="C219" s="666" t="s">
        <v>459</v>
      </c>
      <c r="D219" s="666" t="s">
        <v>460</v>
      </c>
      <c r="E219" s="666" t="s">
        <v>95</v>
      </c>
      <c r="F219" s="666" t="s">
        <v>209</v>
      </c>
      <c r="G219" s="666" t="s">
        <v>1226</v>
      </c>
      <c r="H219" s="666"/>
      <c r="I219" s="667"/>
    </row>
    <row r="220" spans="2:9" x14ac:dyDescent="0.2">
      <c r="B220" s="666" t="s">
        <v>92</v>
      </c>
      <c r="C220" s="666" t="s">
        <v>461</v>
      </c>
      <c r="D220" s="666" t="s">
        <v>462</v>
      </c>
      <c r="E220" s="666" t="s">
        <v>95</v>
      </c>
      <c r="F220" s="666" t="s">
        <v>209</v>
      </c>
      <c r="G220" s="666" t="s">
        <v>1226</v>
      </c>
      <c r="H220" s="666"/>
      <c r="I220" s="667"/>
    </row>
    <row r="221" spans="2:9" x14ac:dyDescent="0.2">
      <c r="B221" s="666" t="s">
        <v>92</v>
      </c>
      <c r="C221" s="666" t="s">
        <v>463</v>
      </c>
      <c r="D221" s="666" t="s">
        <v>464</v>
      </c>
      <c r="E221" s="666" t="s">
        <v>95</v>
      </c>
      <c r="F221" s="666" t="s">
        <v>209</v>
      </c>
      <c r="G221" s="666" t="s">
        <v>1226</v>
      </c>
      <c r="H221" s="666"/>
      <c r="I221" s="667"/>
    </row>
    <row r="222" spans="2:9" x14ac:dyDescent="0.2">
      <c r="B222" s="666" t="s">
        <v>92</v>
      </c>
      <c r="C222" s="666" t="s">
        <v>465</v>
      </c>
      <c r="D222" s="666" t="s">
        <v>466</v>
      </c>
      <c r="E222" s="666" t="s">
        <v>95</v>
      </c>
      <c r="F222" s="666" t="s">
        <v>209</v>
      </c>
      <c r="G222" s="666" t="s">
        <v>1226</v>
      </c>
      <c r="H222" s="666"/>
      <c r="I222" s="667"/>
    </row>
    <row r="223" spans="2:9" x14ac:dyDescent="0.2">
      <c r="B223" s="666" t="s">
        <v>105</v>
      </c>
      <c r="C223" s="666" t="s">
        <v>467</v>
      </c>
      <c r="D223" s="666" t="s">
        <v>468</v>
      </c>
      <c r="E223" s="666" t="s">
        <v>95</v>
      </c>
      <c r="F223" s="666" t="s">
        <v>209</v>
      </c>
      <c r="G223" s="666" t="s">
        <v>1226</v>
      </c>
      <c r="H223" s="666"/>
      <c r="I223" s="667"/>
    </row>
    <row r="224" spans="2:9" x14ac:dyDescent="0.2">
      <c r="B224" s="666" t="s">
        <v>92</v>
      </c>
      <c r="C224" s="666" t="s">
        <v>469</v>
      </c>
      <c r="D224" s="666" t="s">
        <v>470</v>
      </c>
      <c r="E224" s="666" t="s">
        <v>104</v>
      </c>
      <c r="F224" s="666" t="s">
        <v>413</v>
      </c>
      <c r="G224" s="666" t="s">
        <v>1226</v>
      </c>
      <c r="H224" s="666"/>
      <c r="I224" s="667"/>
    </row>
    <row r="225" spans="2:9" x14ac:dyDescent="0.2">
      <c r="B225" s="666" t="s">
        <v>105</v>
      </c>
      <c r="C225" s="667" t="s">
        <v>471</v>
      </c>
      <c r="D225" s="666" t="s">
        <v>472</v>
      </c>
      <c r="E225" s="666" t="s">
        <v>95</v>
      </c>
      <c r="F225" s="666" t="s">
        <v>209</v>
      </c>
      <c r="G225" s="666" t="s">
        <v>1226</v>
      </c>
      <c r="H225" s="680"/>
      <c r="I225" s="667"/>
    </row>
    <row r="226" spans="2:9" x14ac:dyDescent="0.2">
      <c r="E226" s="677"/>
      <c r="F226" s="677"/>
      <c r="G226" s="677"/>
      <c r="H226" s="659"/>
    </row>
    <row r="228" spans="2:9" x14ac:dyDescent="0.2">
      <c r="E228" s="677"/>
      <c r="F228" s="677"/>
      <c r="G228" s="677"/>
      <c r="H228" s="659"/>
    </row>
    <row r="229" spans="2:9" x14ac:dyDescent="0.2">
      <c r="E229" s="678"/>
      <c r="F229" s="678"/>
      <c r="G229" s="678"/>
    </row>
    <row r="230" spans="2:9" x14ac:dyDescent="0.2">
      <c r="E230" s="678"/>
      <c r="F230" s="678"/>
      <c r="G230" s="678"/>
    </row>
    <row r="231" spans="2:9" x14ac:dyDescent="0.2">
      <c r="E231" s="678"/>
      <c r="F231" s="678"/>
      <c r="G231" s="678"/>
    </row>
    <row r="232" spans="2:9" x14ac:dyDescent="0.2">
      <c r="E232" s="678"/>
      <c r="F232" s="678"/>
      <c r="G232" s="678"/>
    </row>
    <row r="233" spans="2:9" x14ac:dyDescent="0.2">
      <c r="E233" s="678"/>
      <c r="F233" s="678"/>
      <c r="G233" s="678"/>
    </row>
    <row r="234" spans="2:9" x14ac:dyDescent="0.2">
      <c r="E234" s="678"/>
      <c r="F234" s="678"/>
      <c r="G234" s="678"/>
    </row>
    <row r="235" spans="2:9" x14ac:dyDescent="0.2">
      <c r="E235" s="678"/>
      <c r="F235" s="678"/>
      <c r="G235" s="678"/>
    </row>
    <row r="236" spans="2:9" x14ac:dyDescent="0.2">
      <c r="E236" s="678"/>
      <c r="F236" s="678"/>
      <c r="G236" s="678"/>
    </row>
    <row r="237" spans="2:9" ht="15" customHeight="1" x14ac:dyDescent="0.2">
      <c r="E237" s="678"/>
      <c r="F237" s="678"/>
      <c r="G237" s="678"/>
    </row>
    <row r="238" spans="2:9" ht="13.5" customHeight="1" x14ac:dyDescent="0.2">
      <c r="E238" s="678"/>
      <c r="F238" s="678"/>
      <c r="G238" s="678"/>
    </row>
    <row r="240" spans="2:9" x14ac:dyDescent="0.2">
      <c r="E240" s="677"/>
      <c r="F240" s="677"/>
      <c r="G240" s="677"/>
    </row>
    <row r="241" spans="2:7" x14ac:dyDescent="0.2">
      <c r="E241" s="677"/>
      <c r="F241" s="677"/>
      <c r="G241" s="677"/>
    </row>
    <row r="242" spans="2:7" x14ac:dyDescent="0.2">
      <c r="E242" s="677"/>
      <c r="F242" s="677"/>
      <c r="G242" s="677"/>
    </row>
    <row r="243" spans="2:7" x14ac:dyDescent="0.2">
      <c r="E243" s="677"/>
      <c r="F243" s="677"/>
      <c r="G243" s="677"/>
    </row>
    <row r="244" spans="2:7" x14ac:dyDescent="0.2">
      <c r="E244" s="677"/>
      <c r="F244" s="677"/>
      <c r="G244" s="677"/>
    </row>
    <row r="245" spans="2:7" x14ac:dyDescent="0.2">
      <c r="E245" s="677"/>
      <c r="F245" s="677"/>
      <c r="G245" s="677"/>
    </row>
    <row r="246" spans="2:7" x14ac:dyDescent="0.2">
      <c r="E246" s="677"/>
      <c r="F246" s="677"/>
      <c r="G246" s="677"/>
    </row>
    <row r="247" spans="2:7" x14ac:dyDescent="0.2">
      <c r="E247" s="677"/>
      <c r="F247" s="677"/>
      <c r="G247" s="677"/>
    </row>
    <row r="248" spans="2:7" x14ac:dyDescent="0.2">
      <c r="E248" s="677"/>
      <c r="F248" s="677"/>
      <c r="G248" s="677"/>
    </row>
    <row r="249" spans="2:7" x14ac:dyDescent="0.2">
      <c r="E249" s="677"/>
      <c r="F249" s="677"/>
      <c r="G249" s="677"/>
    </row>
    <row r="250" spans="2:7" x14ac:dyDescent="0.2">
      <c r="E250" s="677"/>
      <c r="F250" s="677"/>
      <c r="G250" s="677"/>
    </row>
    <row r="251" spans="2:7" x14ac:dyDescent="0.2">
      <c r="B251" s="659"/>
      <c r="E251" s="677"/>
      <c r="F251" s="677"/>
      <c r="G251" s="677"/>
    </row>
    <row r="252" spans="2:7" x14ac:dyDescent="0.2">
      <c r="E252" s="677"/>
      <c r="F252" s="677"/>
      <c r="G252" s="677"/>
    </row>
    <row r="253" spans="2:7" x14ac:dyDescent="0.2">
      <c r="E253" s="677"/>
      <c r="F253" s="677"/>
      <c r="G253" s="677"/>
    </row>
    <row r="254" spans="2:7" x14ac:dyDescent="0.2">
      <c r="E254" s="677"/>
      <c r="F254" s="677"/>
      <c r="G254" s="677"/>
    </row>
    <row r="255" spans="2:7" x14ac:dyDescent="0.2">
      <c r="E255" s="677"/>
      <c r="F255" s="677"/>
      <c r="G255" s="677"/>
    </row>
    <row r="256" spans="2:7" x14ac:dyDescent="0.2">
      <c r="E256" s="677"/>
      <c r="F256" s="677"/>
      <c r="G256" s="677"/>
    </row>
    <row r="257" spans="2:7" x14ac:dyDescent="0.2">
      <c r="E257" s="677"/>
      <c r="F257" s="677"/>
      <c r="G257" s="677"/>
    </row>
    <row r="258" spans="2:7" x14ac:dyDescent="0.2">
      <c r="E258" s="677"/>
      <c r="F258" s="677"/>
      <c r="G258" s="677"/>
    </row>
    <row r="259" spans="2:7" x14ac:dyDescent="0.2">
      <c r="E259" s="677"/>
      <c r="F259" s="677"/>
      <c r="G259" s="677"/>
    </row>
    <row r="260" spans="2:7" x14ac:dyDescent="0.2">
      <c r="B260" s="659"/>
      <c r="E260" s="677"/>
      <c r="F260" s="677"/>
      <c r="G260" s="677"/>
    </row>
    <row r="261" spans="2:7" x14ac:dyDescent="0.2">
      <c r="E261" s="677"/>
      <c r="F261" s="677"/>
      <c r="G261" s="677"/>
    </row>
    <row r="262" spans="2:7" x14ac:dyDescent="0.2">
      <c r="E262" s="677"/>
      <c r="F262" s="677"/>
      <c r="G262" s="677"/>
    </row>
    <row r="263" spans="2:7" x14ac:dyDescent="0.2">
      <c r="E263" s="677"/>
      <c r="F263" s="677"/>
      <c r="G263" s="677"/>
    </row>
    <row r="264" spans="2:7" x14ac:dyDescent="0.2">
      <c r="E264" s="677"/>
      <c r="F264" s="677"/>
      <c r="G264" s="677"/>
    </row>
    <row r="265" spans="2:7" x14ac:dyDescent="0.2">
      <c r="E265" s="677"/>
      <c r="F265" s="677"/>
      <c r="G265" s="677"/>
    </row>
    <row r="266" spans="2:7" x14ac:dyDescent="0.2">
      <c r="E266" s="677"/>
      <c r="F266" s="677"/>
      <c r="G266" s="677"/>
    </row>
    <row r="267" spans="2:7" x14ac:dyDescent="0.2">
      <c r="B267" s="659"/>
      <c r="E267" s="677"/>
      <c r="F267" s="677"/>
      <c r="G267" s="677"/>
    </row>
    <row r="268" spans="2:7" x14ac:dyDescent="0.2">
      <c r="E268" s="677"/>
      <c r="F268" s="677"/>
      <c r="G268" s="677"/>
    </row>
    <row r="269" spans="2:7" x14ac:dyDescent="0.2">
      <c r="E269" s="677"/>
      <c r="F269" s="677"/>
      <c r="G269" s="677"/>
    </row>
    <row r="270" spans="2:7" x14ac:dyDescent="0.2">
      <c r="E270" s="677"/>
      <c r="F270" s="677"/>
      <c r="G270" s="677"/>
    </row>
    <row r="271" spans="2:7" x14ac:dyDescent="0.2">
      <c r="E271" s="677"/>
      <c r="F271" s="677"/>
      <c r="G271" s="677"/>
    </row>
    <row r="272" spans="2:7" x14ac:dyDescent="0.2">
      <c r="B272" s="659"/>
      <c r="E272" s="677"/>
      <c r="F272" s="677"/>
      <c r="G272" s="677"/>
    </row>
    <row r="273" spans="2:7" x14ac:dyDescent="0.2">
      <c r="E273" s="677"/>
      <c r="F273" s="677"/>
      <c r="G273" s="677"/>
    </row>
    <row r="274" spans="2:7" x14ac:dyDescent="0.2">
      <c r="E274" s="677"/>
      <c r="F274" s="677"/>
      <c r="G274" s="677"/>
    </row>
    <row r="275" spans="2:7" x14ac:dyDescent="0.2">
      <c r="E275" s="677"/>
      <c r="F275" s="677"/>
      <c r="G275" s="677"/>
    </row>
    <row r="276" spans="2:7" x14ac:dyDescent="0.2">
      <c r="E276" s="677"/>
      <c r="F276" s="677"/>
      <c r="G276" s="677"/>
    </row>
    <row r="277" spans="2:7" x14ac:dyDescent="0.2">
      <c r="E277" s="677"/>
      <c r="F277" s="677"/>
      <c r="G277" s="677"/>
    </row>
    <row r="278" spans="2:7" x14ac:dyDescent="0.2">
      <c r="E278" s="677"/>
      <c r="F278" s="677"/>
      <c r="G278" s="677"/>
    </row>
    <row r="279" spans="2:7" x14ac:dyDescent="0.2">
      <c r="E279" s="677"/>
      <c r="F279" s="677"/>
      <c r="G279" s="677"/>
    </row>
    <row r="280" spans="2:7" x14ac:dyDescent="0.2">
      <c r="E280" s="677"/>
      <c r="F280" s="677"/>
      <c r="G280" s="677"/>
    </row>
    <row r="281" spans="2:7" x14ac:dyDescent="0.2">
      <c r="B281" s="659"/>
      <c r="E281" s="677"/>
      <c r="F281" s="677"/>
      <c r="G281" s="677"/>
    </row>
    <row r="282" spans="2:7" x14ac:dyDescent="0.2">
      <c r="E282" s="677"/>
      <c r="F282" s="677"/>
      <c r="G282" s="677"/>
    </row>
    <row r="283" spans="2:7" x14ac:dyDescent="0.2">
      <c r="E283" s="677"/>
      <c r="F283" s="677"/>
      <c r="G283" s="677"/>
    </row>
    <row r="284" spans="2:7" x14ac:dyDescent="0.2">
      <c r="E284" s="677"/>
      <c r="F284" s="677"/>
      <c r="G284" s="677"/>
    </row>
    <row r="285" spans="2:7" x14ac:dyDescent="0.2">
      <c r="E285" s="677"/>
      <c r="F285" s="677"/>
      <c r="G285" s="677"/>
    </row>
    <row r="286" spans="2:7" x14ac:dyDescent="0.2">
      <c r="E286" s="677"/>
      <c r="F286" s="677"/>
      <c r="G286" s="677"/>
    </row>
    <row r="287" spans="2:7" x14ac:dyDescent="0.2">
      <c r="E287" s="677"/>
      <c r="F287" s="677"/>
      <c r="G287" s="677"/>
    </row>
    <row r="288" spans="2:7" x14ac:dyDescent="0.2">
      <c r="B288" s="659"/>
      <c r="E288" s="677"/>
      <c r="F288" s="677"/>
      <c r="G288" s="677"/>
    </row>
    <row r="289" spans="2:7" x14ac:dyDescent="0.2">
      <c r="E289" s="677"/>
      <c r="F289" s="677"/>
      <c r="G289" s="677"/>
    </row>
    <row r="290" spans="2:7" x14ac:dyDescent="0.2">
      <c r="E290" s="677"/>
      <c r="F290" s="677"/>
      <c r="G290" s="677"/>
    </row>
    <row r="291" spans="2:7" x14ac:dyDescent="0.2">
      <c r="E291" s="677"/>
      <c r="F291" s="677"/>
      <c r="G291" s="677"/>
    </row>
    <row r="292" spans="2:7" x14ac:dyDescent="0.2">
      <c r="E292" s="677"/>
      <c r="F292" s="677"/>
      <c r="G292" s="677"/>
    </row>
    <row r="293" spans="2:7" x14ac:dyDescent="0.2">
      <c r="E293" s="677"/>
      <c r="F293" s="677"/>
      <c r="G293" s="677"/>
    </row>
    <row r="294" spans="2:7" x14ac:dyDescent="0.2">
      <c r="E294" s="677"/>
      <c r="F294" s="677"/>
      <c r="G294" s="677"/>
    </row>
    <row r="295" spans="2:7" x14ac:dyDescent="0.2">
      <c r="B295" s="659"/>
      <c r="E295" s="677"/>
      <c r="F295" s="677"/>
      <c r="G295" s="677"/>
    </row>
    <row r="296" spans="2:7" x14ac:dyDescent="0.2">
      <c r="E296" s="677"/>
      <c r="F296" s="677"/>
      <c r="G296" s="677"/>
    </row>
    <row r="297" spans="2:7" x14ac:dyDescent="0.2">
      <c r="E297" s="677"/>
      <c r="F297" s="677"/>
      <c r="G297" s="677"/>
    </row>
    <row r="298" spans="2:7" x14ac:dyDescent="0.2">
      <c r="B298" s="659"/>
      <c r="E298" s="677"/>
      <c r="F298" s="677"/>
      <c r="G298" s="677"/>
    </row>
    <row r="299" spans="2:7" x14ac:dyDescent="0.2">
      <c r="E299" s="677"/>
      <c r="F299" s="677"/>
      <c r="G299" s="677"/>
    </row>
    <row r="300" spans="2:7" x14ac:dyDescent="0.2">
      <c r="E300" s="677"/>
      <c r="F300" s="677"/>
      <c r="G300" s="677"/>
    </row>
    <row r="301" spans="2:7" x14ac:dyDescent="0.2">
      <c r="E301" s="677"/>
      <c r="F301" s="677"/>
      <c r="G301" s="677"/>
    </row>
    <row r="302" spans="2:7" x14ac:dyDescent="0.2">
      <c r="E302" s="677"/>
      <c r="F302" s="677"/>
      <c r="G302" s="677"/>
    </row>
    <row r="303" spans="2:7" x14ac:dyDescent="0.2">
      <c r="E303" s="677"/>
      <c r="F303" s="677"/>
      <c r="G303" s="677"/>
    </row>
    <row r="304" spans="2:7" x14ac:dyDescent="0.2">
      <c r="E304" s="677"/>
      <c r="F304" s="677"/>
      <c r="G304" s="677"/>
    </row>
    <row r="305" spans="2:7" x14ac:dyDescent="0.2">
      <c r="E305" s="677"/>
      <c r="F305" s="677"/>
      <c r="G305" s="677"/>
    </row>
    <row r="306" spans="2:7" x14ac:dyDescent="0.2">
      <c r="B306" s="659"/>
      <c r="E306" s="677"/>
      <c r="F306" s="677"/>
      <c r="G306" s="677"/>
    </row>
    <row r="307" spans="2:7" x14ac:dyDescent="0.2">
      <c r="B307" s="659"/>
      <c r="E307" s="677"/>
      <c r="F307" s="677"/>
      <c r="G307" s="677"/>
    </row>
    <row r="308" spans="2:7" x14ac:dyDescent="0.2">
      <c r="E308" s="677"/>
      <c r="F308" s="677"/>
      <c r="G308" s="677"/>
    </row>
    <row r="309" spans="2:7" x14ac:dyDescent="0.2">
      <c r="E309" s="677"/>
      <c r="F309" s="677"/>
      <c r="G309" s="677"/>
    </row>
    <row r="310" spans="2:7" x14ac:dyDescent="0.2">
      <c r="E310" s="677"/>
      <c r="F310" s="677"/>
      <c r="G310" s="677"/>
    </row>
    <row r="311" spans="2:7" x14ac:dyDescent="0.2">
      <c r="B311" s="659"/>
      <c r="E311" s="677"/>
      <c r="F311" s="677"/>
      <c r="G311" s="677"/>
    </row>
    <row r="312" spans="2:7" x14ac:dyDescent="0.2">
      <c r="B312" s="659"/>
      <c r="E312" s="677"/>
      <c r="F312" s="677"/>
      <c r="G312" s="677"/>
    </row>
    <row r="313" spans="2:7" x14ac:dyDescent="0.2">
      <c r="E313" s="677"/>
      <c r="F313" s="677"/>
      <c r="G313" s="677"/>
    </row>
    <row r="314" spans="2:7" x14ac:dyDescent="0.2">
      <c r="E314" s="677"/>
      <c r="F314" s="677"/>
      <c r="G314" s="677"/>
    </row>
    <row r="315" spans="2:7" x14ac:dyDescent="0.2">
      <c r="E315" s="677"/>
      <c r="F315" s="677"/>
      <c r="G315" s="677"/>
    </row>
    <row r="316" spans="2:7" x14ac:dyDescent="0.2">
      <c r="E316" s="677"/>
      <c r="F316" s="677"/>
      <c r="G316" s="677"/>
    </row>
    <row r="317" spans="2:7" x14ac:dyDescent="0.2">
      <c r="E317" s="677"/>
      <c r="F317" s="677"/>
      <c r="G317" s="677"/>
    </row>
    <row r="318" spans="2:7" x14ac:dyDescent="0.2">
      <c r="E318" s="677"/>
      <c r="F318" s="677"/>
      <c r="G318" s="677"/>
    </row>
    <row r="319" spans="2:7" x14ac:dyDescent="0.2">
      <c r="E319" s="677"/>
      <c r="F319" s="677"/>
      <c r="G319" s="677"/>
    </row>
    <row r="320" spans="2:7" x14ac:dyDescent="0.2">
      <c r="B320" s="659"/>
      <c r="E320" s="677"/>
      <c r="F320" s="677"/>
      <c r="G320" s="677"/>
    </row>
    <row r="321" spans="2:7" x14ac:dyDescent="0.2">
      <c r="E321" s="677"/>
      <c r="F321" s="677"/>
      <c r="G321" s="677"/>
    </row>
    <row r="322" spans="2:7" x14ac:dyDescent="0.2">
      <c r="E322" s="677"/>
      <c r="F322" s="677"/>
      <c r="G322" s="677"/>
    </row>
    <row r="323" spans="2:7" x14ac:dyDescent="0.2">
      <c r="E323" s="677"/>
      <c r="F323" s="677"/>
      <c r="G323" s="677"/>
    </row>
    <row r="324" spans="2:7" x14ac:dyDescent="0.2">
      <c r="E324" s="677"/>
      <c r="F324" s="677"/>
      <c r="G324" s="677"/>
    </row>
    <row r="325" spans="2:7" x14ac:dyDescent="0.2">
      <c r="E325" s="677"/>
      <c r="F325" s="677"/>
      <c r="G325" s="677"/>
    </row>
    <row r="326" spans="2:7" x14ac:dyDescent="0.2">
      <c r="E326" s="677"/>
      <c r="F326" s="677"/>
      <c r="G326" s="677"/>
    </row>
    <row r="327" spans="2:7" x14ac:dyDescent="0.2">
      <c r="E327" s="677"/>
      <c r="F327" s="677"/>
      <c r="G327" s="677"/>
    </row>
    <row r="328" spans="2:7" x14ac:dyDescent="0.2">
      <c r="E328" s="677"/>
      <c r="F328" s="677"/>
      <c r="G328" s="677"/>
    </row>
    <row r="329" spans="2:7" x14ac:dyDescent="0.2">
      <c r="E329" s="677"/>
      <c r="F329" s="677"/>
      <c r="G329" s="677"/>
    </row>
    <row r="330" spans="2:7" x14ac:dyDescent="0.2">
      <c r="E330" s="677"/>
      <c r="F330" s="677"/>
      <c r="G330" s="677"/>
    </row>
    <row r="331" spans="2:7" x14ac:dyDescent="0.2">
      <c r="B331" s="659"/>
      <c r="E331" s="677"/>
      <c r="F331" s="677"/>
      <c r="G331" s="677"/>
    </row>
    <row r="332" spans="2:7" x14ac:dyDescent="0.2">
      <c r="E332" s="677"/>
      <c r="F332" s="677"/>
      <c r="G332" s="677"/>
    </row>
    <row r="333" spans="2:7" x14ac:dyDescent="0.2">
      <c r="E333" s="677"/>
      <c r="F333" s="677"/>
      <c r="G333" s="677"/>
    </row>
    <row r="334" spans="2:7" x14ac:dyDescent="0.2">
      <c r="E334" s="677"/>
      <c r="F334" s="677"/>
      <c r="G334" s="677"/>
    </row>
    <row r="335" spans="2:7" x14ac:dyDescent="0.2">
      <c r="E335" s="677"/>
      <c r="F335" s="677"/>
      <c r="G335" s="677"/>
    </row>
    <row r="336" spans="2:7" x14ac:dyDescent="0.2">
      <c r="E336" s="677"/>
      <c r="F336" s="677"/>
      <c r="G336" s="677"/>
    </row>
    <row r="337" spans="2:7" x14ac:dyDescent="0.2">
      <c r="E337" s="677"/>
      <c r="F337" s="677"/>
      <c r="G337" s="677"/>
    </row>
    <row r="338" spans="2:7" x14ac:dyDescent="0.2">
      <c r="E338" s="677"/>
      <c r="F338" s="677"/>
      <c r="G338" s="677"/>
    </row>
    <row r="339" spans="2:7" x14ac:dyDescent="0.2">
      <c r="E339" s="677"/>
      <c r="F339" s="677"/>
      <c r="G339" s="677"/>
    </row>
    <row r="340" spans="2:7" x14ac:dyDescent="0.2">
      <c r="E340" s="677"/>
      <c r="F340" s="677"/>
      <c r="G340" s="677"/>
    </row>
    <row r="341" spans="2:7" x14ac:dyDescent="0.2">
      <c r="B341" s="659"/>
      <c r="E341" s="677"/>
      <c r="F341" s="677"/>
      <c r="G341" s="677"/>
    </row>
    <row r="342" spans="2:7" x14ac:dyDescent="0.2">
      <c r="E342" s="677"/>
      <c r="F342" s="677"/>
      <c r="G342" s="677"/>
    </row>
    <row r="343" spans="2:7" x14ac:dyDescent="0.2">
      <c r="E343" s="677"/>
      <c r="F343" s="677"/>
      <c r="G343" s="677"/>
    </row>
    <row r="344" spans="2:7" x14ac:dyDescent="0.2">
      <c r="E344" s="677"/>
      <c r="F344" s="677"/>
      <c r="G344" s="677"/>
    </row>
    <row r="345" spans="2:7" x14ac:dyDescent="0.2">
      <c r="E345" s="677"/>
      <c r="F345" s="677"/>
      <c r="G345" s="677"/>
    </row>
    <row r="346" spans="2:7" x14ac:dyDescent="0.2">
      <c r="E346" s="677"/>
      <c r="F346" s="677"/>
      <c r="G346" s="677"/>
    </row>
    <row r="347" spans="2:7" x14ac:dyDescent="0.2">
      <c r="E347" s="677"/>
      <c r="F347" s="677"/>
      <c r="G347" s="677"/>
    </row>
    <row r="348" spans="2:7" x14ac:dyDescent="0.2">
      <c r="E348" s="677"/>
      <c r="F348" s="677"/>
      <c r="G348" s="677"/>
    </row>
    <row r="349" spans="2:7" x14ac:dyDescent="0.2">
      <c r="B349" s="659"/>
      <c r="E349" s="677"/>
      <c r="F349" s="677"/>
      <c r="G349" s="677"/>
    </row>
    <row r="350" spans="2:7" x14ac:dyDescent="0.2">
      <c r="B350" s="659"/>
      <c r="E350" s="677"/>
      <c r="F350" s="677"/>
      <c r="G350" s="677"/>
    </row>
    <row r="351" spans="2:7" x14ac:dyDescent="0.2">
      <c r="E351" s="677"/>
      <c r="F351" s="677"/>
      <c r="G351" s="677"/>
    </row>
    <row r="352" spans="2:7" x14ac:dyDescent="0.2">
      <c r="E352" s="677"/>
      <c r="F352" s="677"/>
      <c r="G352" s="677"/>
    </row>
    <row r="353" spans="2:7" x14ac:dyDescent="0.2">
      <c r="B353" s="659"/>
      <c r="E353" s="677"/>
      <c r="F353" s="677"/>
      <c r="G353" s="677"/>
    </row>
    <row r="354" spans="2:7" x14ac:dyDescent="0.2">
      <c r="B354" s="659"/>
      <c r="E354" s="677"/>
      <c r="F354" s="677"/>
      <c r="G354" s="677"/>
    </row>
    <row r="355" spans="2:7" x14ac:dyDescent="0.2">
      <c r="E355" s="677"/>
      <c r="F355" s="677"/>
      <c r="G355" s="677"/>
    </row>
    <row r="356" spans="2:7" x14ac:dyDescent="0.2">
      <c r="E356" s="677"/>
      <c r="F356" s="677"/>
      <c r="G356" s="677"/>
    </row>
    <row r="357" spans="2:7" x14ac:dyDescent="0.2">
      <c r="E357" s="677"/>
      <c r="F357" s="677"/>
      <c r="G357" s="677"/>
    </row>
    <row r="358" spans="2:7" x14ac:dyDescent="0.2">
      <c r="E358" s="677"/>
      <c r="F358" s="677"/>
      <c r="G358" s="677"/>
    </row>
    <row r="359" spans="2:7" x14ac:dyDescent="0.2">
      <c r="E359" s="677"/>
      <c r="F359" s="677"/>
      <c r="G359" s="677"/>
    </row>
    <row r="360" spans="2:7" x14ac:dyDescent="0.2">
      <c r="E360" s="677"/>
      <c r="F360" s="677"/>
      <c r="G360" s="677"/>
    </row>
    <row r="361" spans="2:7" x14ac:dyDescent="0.2">
      <c r="E361" s="677"/>
      <c r="F361" s="677"/>
      <c r="G361" s="677"/>
    </row>
    <row r="362" spans="2:7" x14ac:dyDescent="0.2">
      <c r="E362" s="677"/>
      <c r="F362" s="677"/>
      <c r="G362" s="677"/>
    </row>
    <row r="363" spans="2:7" x14ac:dyDescent="0.2">
      <c r="E363" s="677"/>
      <c r="F363" s="677"/>
      <c r="G363" s="677"/>
    </row>
    <row r="364" spans="2:7" x14ac:dyDescent="0.2">
      <c r="E364" s="677"/>
      <c r="F364" s="677"/>
      <c r="G364" s="677"/>
    </row>
    <row r="365" spans="2:7" x14ac:dyDescent="0.2">
      <c r="E365" s="677"/>
      <c r="F365" s="677"/>
      <c r="G365" s="677"/>
    </row>
    <row r="366" spans="2:7" x14ac:dyDescent="0.2">
      <c r="E366" s="677"/>
      <c r="F366" s="677"/>
      <c r="G366" s="677"/>
    </row>
    <row r="367" spans="2:7" x14ac:dyDescent="0.2">
      <c r="B367" s="659"/>
      <c r="E367" s="677"/>
      <c r="F367" s="677"/>
      <c r="G367" s="677"/>
    </row>
    <row r="368" spans="2:7" x14ac:dyDescent="0.2">
      <c r="E368" s="677"/>
      <c r="F368" s="677"/>
      <c r="G368" s="677"/>
    </row>
    <row r="369" spans="2:7" x14ac:dyDescent="0.2">
      <c r="E369" s="677"/>
      <c r="F369" s="677"/>
      <c r="G369" s="677"/>
    </row>
    <row r="370" spans="2:7" x14ac:dyDescent="0.2">
      <c r="E370" s="677"/>
      <c r="F370" s="677"/>
      <c r="G370" s="677"/>
    </row>
    <row r="371" spans="2:7" x14ac:dyDescent="0.2">
      <c r="E371" s="677"/>
      <c r="F371" s="677"/>
      <c r="G371" s="677"/>
    </row>
    <row r="372" spans="2:7" x14ac:dyDescent="0.2">
      <c r="E372" s="677"/>
      <c r="F372" s="677"/>
      <c r="G372" s="677"/>
    </row>
    <row r="373" spans="2:7" x14ac:dyDescent="0.2">
      <c r="E373" s="677"/>
      <c r="F373" s="677"/>
      <c r="G373" s="677"/>
    </row>
    <row r="374" spans="2:7" x14ac:dyDescent="0.2">
      <c r="E374" s="677"/>
      <c r="F374" s="677"/>
      <c r="G374" s="677"/>
    </row>
    <row r="375" spans="2:7" x14ac:dyDescent="0.2">
      <c r="E375" s="677"/>
      <c r="F375" s="677"/>
      <c r="G375" s="677"/>
    </row>
    <row r="376" spans="2:7" x14ac:dyDescent="0.2">
      <c r="E376" s="677"/>
      <c r="F376" s="677"/>
      <c r="G376" s="677"/>
    </row>
    <row r="377" spans="2:7" x14ac:dyDescent="0.2">
      <c r="E377" s="677"/>
      <c r="F377" s="677"/>
      <c r="G377" s="677"/>
    </row>
    <row r="378" spans="2:7" x14ac:dyDescent="0.2">
      <c r="E378" s="677"/>
      <c r="F378" s="677"/>
      <c r="G378" s="677"/>
    </row>
    <row r="379" spans="2:7" x14ac:dyDescent="0.2">
      <c r="E379" s="677"/>
      <c r="F379" s="677"/>
      <c r="G379" s="677"/>
    </row>
    <row r="380" spans="2:7" x14ac:dyDescent="0.2">
      <c r="E380" s="677"/>
      <c r="F380" s="677"/>
      <c r="G380" s="677"/>
    </row>
    <row r="381" spans="2:7" x14ac:dyDescent="0.2">
      <c r="E381" s="677"/>
      <c r="F381" s="677"/>
      <c r="G381" s="677"/>
    </row>
    <row r="382" spans="2:7" x14ac:dyDescent="0.2">
      <c r="E382" s="677"/>
      <c r="F382" s="677"/>
      <c r="G382" s="677"/>
    </row>
    <row r="383" spans="2:7" x14ac:dyDescent="0.2">
      <c r="B383" s="659"/>
      <c r="E383" s="677"/>
      <c r="F383" s="677"/>
      <c r="G383" s="677"/>
    </row>
    <row r="384" spans="2:7" x14ac:dyDescent="0.2">
      <c r="E384" s="677"/>
      <c r="F384" s="677"/>
      <c r="G384" s="677"/>
    </row>
    <row r="385" spans="2:7" x14ac:dyDescent="0.2">
      <c r="E385" s="677"/>
      <c r="F385" s="677"/>
      <c r="G385" s="677"/>
    </row>
    <row r="386" spans="2:7" x14ac:dyDescent="0.2">
      <c r="E386" s="677"/>
      <c r="F386" s="677"/>
      <c r="G386" s="677"/>
    </row>
    <row r="387" spans="2:7" x14ac:dyDescent="0.2">
      <c r="E387" s="677"/>
      <c r="F387" s="677"/>
      <c r="G387" s="677"/>
    </row>
    <row r="388" spans="2:7" x14ac:dyDescent="0.2">
      <c r="E388" s="677"/>
      <c r="F388" s="677"/>
      <c r="G388" s="677"/>
    </row>
    <row r="389" spans="2:7" x14ac:dyDescent="0.2">
      <c r="E389" s="677"/>
      <c r="F389" s="677"/>
      <c r="G389" s="677"/>
    </row>
    <row r="390" spans="2:7" x14ac:dyDescent="0.2">
      <c r="E390" s="677"/>
      <c r="F390" s="677"/>
      <c r="G390" s="677"/>
    </row>
    <row r="391" spans="2:7" x14ac:dyDescent="0.2">
      <c r="E391" s="677"/>
      <c r="F391" s="677"/>
      <c r="G391" s="677"/>
    </row>
    <row r="392" spans="2:7" x14ac:dyDescent="0.2">
      <c r="E392" s="677"/>
      <c r="F392" s="677"/>
      <c r="G392" s="677"/>
    </row>
    <row r="393" spans="2:7" x14ac:dyDescent="0.2">
      <c r="E393" s="677"/>
      <c r="F393" s="677"/>
      <c r="G393" s="677"/>
    </row>
    <row r="394" spans="2:7" x14ac:dyDescent="0.2">
      <c r="E394" s="677"/>
      <c r="F394" s="677"/>
      <c r="G394" s="677"/>
    </row>
    <row r="395" spans="2:7" x14ac:dyDescent="0.2">
      <c r="B395" s="659"/>
      <c r="E395" s="677"/>
      <c r="F395" s="677"/>
      <c r="G395" s="677"/>
    </row>
    <row r="396" spans="2:7" x14ac:dyDescent="0.2">
      <c r="E396" s="677"/>
      <c r="F396" s="677"/>
      <c r="G396" s="677"/>
    </row>
    <row r="397" spans="2:7" x14ac:dyDescent="0.2">
      <c r="E397" s="677"/>
      <c r="F397" s="677"/>
      <c r="G397" s="677"/>
    </row>
    <row r="398" spans="2:7" x14ac:dyDescent="0.2">
      <c r="E398" s="677"/>
      <c r="F398" s="677"/>
      <c r="G398" s="677"/>
    </row>
    <row r="399" spans="2:7" x14ac:dyDescent="0.2">
      <c r="B399" s="659"/>
      <c r="E399" s="677"/>
      <c r="F399" s="677"/>
      <c r="G399" s="677"/>
    </row>
    <row r="400" spans="2:7" x14ac:dyDescent="0.2">
      <c r="E400" s="677"/>
      <c r="F400" s="677"/>
      <c r="G400" s="677"/>
    </row>
    <row r="401" spans="2:7" x14ac:dyDescent="0.2">
      <c r="E401" s="677"/>
      <c r="F401" s="677"/>
      <c r="G401" s="677"/>
    </row>
    <row r="402" spans="2:7" x14ac:dyDescent="0.2">
      <c r="E402" s="677"/>
      <c r="F402" s="677"/>
      <c r="G402" s="677"/>
    </row>
    <row r="403" spans="2:7" x14ac:dyDescent="0.2">
      <c r="B403" s="659"/>
      <c r="E403" s="677"/>
      <c r="F403" s="677"/>
      <c r="G403" s="677"/>
    </row>
    <row r="404" spans="2:7" x14ac:dyDescent="0.2">
      <c r="E404" s="677"/>
      <c r="F404" s="677"/>
      <c r="G404" s="677"/>
    </row>
    <row r="405" spans="2:7" x14ac:dyDescent="0.2">
      <c r="E405" s="677"/>
      <c r="F405" s="677"/>
      <c r="G405" s="677"/>
    </row>
    <row r="406" spans="2:7" x14ac:dyDescent="0.2">
      <c r="E406" s="677"/>
      <c r="F406" s="677"/>
      <c r="G406" s="677"/>
    </row>
    <row r="407" spans="2:7" x14ac:dyDescent="0.2">
      <c r="B407" s="659"/>
      <c r="E407" s="677"/>
      <c r="F407" s="677"/>
      <c r="G407" s="677"/>
    </row>
    <row r="408" spans="2:7" x14ac:dyDescent="0.2">
      <c r="B408" s="659"/>
      <c r="E408" s="677"/>
      <c r="F408" s="677"/>
      <c r="G408" s="677"/>
    </row>
    <row r="409" spans="2:7" x14ac:dyDescent="0.2">
      <c r="E409" s="677"/>
      <c r="F409" s="677"/>
      <c r="G409" s="677"/>
    </row>
    <row r="410" spans="2:7" x14ac:dyDescent="0.2">
      <c r="E410" s="677"/>
      <c r="F410" s="677"/>
      <c r="G410" s="677"/>
    </row>
    <row r="411" spans="2:7" x14ac:dyDescent="0.2">
      <c r="E411" s="677"/>
      <c r="F411" s="677"/>
      <c r="G411" s="677"/>
    </row>
    <row r="412" spans="2:7" x14ac:dyDescent="0.2">
      <c r="E412" s="677"/>
      <c r="F412" s="677"/>
      <c r="G412" s="677"/>
    </row>
    <row r="413" spans="2:7" x14ac:dyDescent="0.2">
      <c r="E413" s="677"/>
      <c r="F413" s="677"/>
      <c r="G413" s="677"/>
    </row>
    <row r="414" spans="2:7" x14ac:dyDescent="0.2">
      <c r="E414" s="677"/>
      <c r="F414" s="677"/>
      <c r="G414" s="677"/>
    </row>
    <row r="415" spans="2:7" x14ac:dyDescent="0.2">
      <c r="E415" s="677"/>
      <c r="F415" s="677"/>
      <c r="G415" s="677"/>
    </row>
    <row r="416" spans="2:7" x14ac:dyDescent="0.2">
      <c r="E416" s="677"/>
      <c r="F416" s="677"/>
      <c r="G416" s="677"/>
    </row>
    <row r="417" spans="2:7" x14ac:dyDescent="0.2">
      <c r="E417" s="677"/>
      <c r="F417" s="677"/>
      <c r="G417" s="677"/>
    </row>
    <row r="418" spans="2:7" x14ac:dyDescent="0.2">
      <c r="E418" s="677"/>
      <c r="F418" s="677"/>
      <c r="G418" s="677"/>
    </row>
    <row r="419" spans="2:7" x14ac:dyDescent="0.2">
      <c r="B419" s="659"/>
      <c r="E419" s="677"/>
      <c r="F419" s="677"/>
      <c r="G419" s="677"/>
    </row>
    <row r="420" spans="2:7" x14ac:dyDescent="0.2">
      <c r="B420" s="659"/>
      <c r="E420" s="677"/>
      <c r="F420" s="677"/>
      <c r="G420" s="677"/>
    </row>
    <row r="421" spans="2:7" x14ac:dyDescent="0.2">
      <c r="E421" s="677"/>
      <c r="F421" s="677"/>
      <c r="G421" s="677"/>
    </row>
    <row r="422" spans="2:7" x14ac:dyDescent="0.2">
      <c r="E422" s="677"/>
      <c r="F422" s="677"/>
      <c r="G422" s="677"/>
    </row>
    <row r="423" spans="2:7" x14ac:dyDescent="0.2">
      <c r="E423" s="677"/>
      <c r="F423" s="677"/>
      <c r="G423" s="677"/>
    </row>
    <row r="424" spans="2:7" x14ac:dyDescent="0.2">
      <c r="E424" s="677"/>
      <c r="F424" s="677"/>
      <c r="G424" s="677"/>
    </row>
    <row r="425" spans="2:7" x14ac:dyDescent="0.2">
      <c r="E425" s="677"/>
      <c r="F425" s="677"/>
      <c r="G425" s="677"/>
    </row>
    <row r="426" spans="2:7" x14ac:dyDescent="0.2">
      <c r="B426" s="659"/>
      <c r="E426" s="677"/>
      <c r="F426" s="677"/>
      <c r="G426" s="677"/>
    </row>
    <row r="427" spans="2:7" x14ac:dyDescent="0.2">
      <c r="B427" s="659"/>
      <c r="E427" s="677"/>
      <c r="F427" s="677"/>
      <c r="G427" s="677"/>
    </row>
    <row r="428" spans="2:7" x14ac:dyDescent="0.2">
      <c r="E428" s="677"/>
      <c r="F428" s="677"/>
      <c r="G428" s="677"/>
    </row>
    <row r="429" spans="2:7" x14ac:dyDescent="0.2">
      <c r="E429" s="677"/>
      <c r="F429" s="677"/>
      <c r="G429" s="677"/>
    </row>
    <row r="430" spans="2:7" x14ac:dyDescent="0.2">
      <c r="B430" s="659"/>
      <c r="E430" s="677"/>
      <c r="F430" s="677"/>
      <c r="G430" s="677"/>
    </row>
    <row r="431" spans="2:7" x14ac:dyDescent="0.2">
      <c r="E431" s="677"/>
      <c r="F431" s="677"/>
      <c r="G431" s="677"/>
    </row>
    <row r="432" spans="2:7" x14ac:dyDescent="0.2">
      <c r="E432" s="677"/>
      <c r="F432" s="677"/>
      <c r="G432" s="677"/>
    </row>
    <row r="433" spans="2:7" x14ac:dyDescent="0.2">
      <c r="E433" s="677"/>
      <c r="F433" s="677"/>
      <c r="G433" s="677"/>
    </row>
    <row r="434" spans="2:7" x14ac:dyDescent="0.2">
      <c r="E434" s="677"/>
      <c r="F434" s="677"/>
      <c r="G434" s="677"/>
    </row>
    <row r="435" spans="2:7" x14ac:dyDescent="0.2">
      <c r="B435" s="659"/>
      <c r="E435" s="677"/>
      <c r="F435" s="677"/>
      <c r="G435" s="677"/>
    </row>
    <row r="436" spans="2:7" x14ac:dyDescent="0.2">
      <c r="E436" s="677"/>
      <c r="F436" s="677"/>
      <c r="G436" s="677"/>
    </row>
    <row r="437" spans="2:7" x14ac:dyDescent="0.2">
      <c r="E437" s="677"/>
      <c r="F437" s="677"/>
      <c r="G437" s="677"/>
    </row>
    <row r="438" spans="2:7" x14ac:dyDescent="0.2">
      <c r="E438" s="677"/>
      <c r="F438" s="677"/>
      <c r="G438" s="677"/>
    </row>
    <row r="439" spans="2:7" x14ac:dyDescent="0.2">
      <c r="B439" s="659"/>
      <c r="E439" s="677"/>
      <c r="F439" s="677"/>
      <c r="G439" s="677"/>
    </row>
    <row r="440" spans="2:7" x14ac:dyDescent="0.2">
      <c r="E440" s="677"/>
      <c r="F440" s="677"/>
      <c r="G440" s="677"/>
    </row>
    <row r="441" spans="2:7" x14ac:dyDescent="0.2">
      <c r="E441" s="677"/>
      <c r="F441" s="677"/>
      <c r="G441" s="677"/>
    </row>
    <row r="442" spans="2:7" x14ac:dyDescent="0.2">
      <c r="E442" s="677"/>
      <c r="F442" s="677"/>
      <c r="G442" s="677"/>
    </row>
    <row r="443" spans="2:7" x14ac:dyDescent="0.2">
      <c r="E443" s="677"/>
      <c r="F443" s="677"/>
      <c r="G443" s="677"/>
    </row>
    <row r="444" spans="2:7" x14ac:dyDescent="0.2">
      <c r="B444" s="659"/>
      <c r="E444" s="677"/>
      <c r="F444" s="677"/>
      <c r="G444" s="677"/>
    </row>
    <row r="445" spans="2:7" x14ac:dyDescent="0.2">
      <c r="E445" s="677"/>
      <c r="F445" s="677"/>
      <c r="G445" s="677"/>
    </row>
    <row r="446" spans="2:7" x14ac:dyDescent="0.2">
      <c r="E446" s="677"/>
      <c r="F446" s="677"/>
      <c r="G446" s="677"/>
    </row>
    <row r="447" spans="2:7" x14ac:dyDescent="0.2">
      <c r="E447" s="677"/>
      <c r="F447" s="677"/>
      <c r="G447" s="677"/>
    </row>
    <row r="448" spans="2:7" x14ac:dyDescent="0.2">
      <c r="E448" s="677"/>
      <c r="F448" s="677"/>
      <c r="G448" s="677"/>
    </row>
    <row r="449" spans="2:7" x14ac:dyDescent="0.2">
      <c r="E449" s="677"/>
      <c r="F449" s="677"/>
      <c r="G449" s="677"/>
    </row>
    <row r="450" spans="2:7" x14ac:dyDescent="0.2">
      <c r="E450" s="677"/>
      <c r="F450" s="677"/>
      <c r="G450" s="677"/>
    </row>
    <row r="451" spans="2:7" x14ac:dyDescent="0.2">
      <c r="E451" s="677"/>
      <c r="F451" s="677"/>
      <c r="G451" s="677"/>
    </row>
    <row r="452" spans="2:7" x14ac:dyDescent="0.2">
      <c r="B452" s="659"/>
      <c r="E452" s="677"/>
      <c r="F452" s="677"/>
      <c r="G452" s="677"/>
    </row>
    <row r="453" spans="2:7" x14ac:dyDescent="0.2">
      <c r="E453" s="677"/>
      <c r="F453" s="677"/>
      <c r="G453" s="677"/>
    </row>
    <row r="454" spans="2:7" x14ac:dyDescent="0.2">
      <c r="E454" s="677"/>
      <c r="F454" s="677"/>
      <c r="G454" s="677"/>
    </row>
    <row r="455" spans="2:7" x14ac:dyDescent="0.2">
      <c r="E455" s="677"/>
      <c r="F455" s="677"/>
      <c r="G455" s="677"/>
    </row>
    <row r="456" spans="2:7" x14ac:dyDescent="0.2">
      <c r="E456" s="677"/>
      <c r="F456" s="677"/>
      <c r="G456" s="677"/>
    </row>
    <row r="457" spans="2:7" x14ac:dyDescent="0.2">
      <c r="E457" s="677"/>
      <c r="F457" s="677"/>
      <c r="G457" s="677"/>
    </row>
    <row r="458" spans="2:7" x14ac:dyDescent="0.2">
      <c r="E458" s="677"/>
      <c r="F458" s="677"/>
      <c r="G458" s="677"/>
    </row>
    <row r="459" spans="2:7" x14ac:dyDescent="0.2">
      <c r="E459" s="677"/>
      <c r="F459" s="677"/>
      <c r="G459" s="677"/>
    </row>
    <row r="460" spans="2:7" x14ac:dyDescent="0.2">
      <c r="E460" s="677"/>
      <c r="F460" s="677"/>
      <c r="G460" s="677"/>
    </row>
    <row r="461" spans="2:7" x14ac:dyDescent="0.2">
      <c r="E461" s="677"/>
      <c r="F461" s="677"/>
      <c r="G461" s="677"/>
    </row>
    <row r="462" spans="2:7" x14ac:dyDescent="0.2">
      <c r="E462" s="677"/>
      <c r="F462" s="677"/>
      <c r="G462" s="677"/>
    </row>
    <row r="463" spans="2:7" x14ac:dyDescent="0.2">
      <c r="E463" s="677"/>
      <c r="F463" s="677"/>
      <c r="G463" s="677"/>
    </row>
    <row r="464" spans="2:7" x14ac:dyDescent="0.2">
      <c r="E464" s="677"/>
      <c r="F464" s="677"/>
      <c r="G464" s="677"/>
    </row>
    <row r="465" spans="5:7" x14ac:dyDescent="0.2">
      <c r="E465" s="677"/>
      <c r="F465" s="677"/>
      <c r="G465" s="677"/>
    </row>
    <row r="466" spans="5:7" x14ac:dyDescent="0.2">
      <c r="E466" s="677"/>
      <c r="F466" s="677"/>
      <c r="G466" s="677"/>
    </row>
    <row r="467" spans="5:7" x14ac:dyDescent="0.2">
      <c r="E467" s="677"/>
      <c r="F467" s="677"/>
      <c r="G467" s="677"/>
    </row>
    <row r="468" spans="5:7" x14ac:dyDescent="0.2">
      <c r="E468" s="677"/>
      <c r="F468" s="677"/>
      <c r="G468" s="677"/>
    </row>
    <row r="469" spans="5:7" x14ac:dyDescent="0.2">
      <c r="E469" s="677"/>
      <c r="F469" s="677"/>
      <c r="G469" s="677"/>
    </row>
    <row r="470" spans="5:7" x14ac:dyDescent="0.2">
      <c r="E470" s="677"/>
      <c r="F470" s="677"/>
      <c r="G470" s="677"/>
    </row>
    <row r="471" spans="5:7" x14ac:dyDescent="0.2">
      <c r="E471" s="677"/>
      <c r="F471" s="677"/>
      <c r="G471" s="677"/>
    </row>
    <row r="472" spans="5:7" x14ac:dyDescent="0.2">
      <c r="E472" s="677"/>
      <c r="F472" s="677"/>
      <c r="G472" s="677"/>
    </row>
    <row r="473" spans="5:7" x14ac:dyDescent="0.2">
      <c r="E473" s="677"/>
      <c r="F473" s="677"/>
      <c r="G473" s="677"/>
    </row>
    <row r="474" spans="5:7" x14ac:dyDescent="0.2">
      <c r="E474" s="677"/>
      <c r="F474" s="677"/>
      <c r="G474" s="677"/>
    </row>
    <row r="475" spans="5:7" x14ac:dyDescent="0.2">
      <c r="E475" s="677"/>
      <c r="F475" s="677"/>
      <c r="G475" s="677"/>
    </row>
    <row r="476" spans="5:7" x14ac:dyDescent="0.2">
      <c r="E476" s="677"/>
      <c r="F476" s="677"/>
      <c r="G476" s="677"/>
    </row>
    <row r="477" spans="5:7" x14ac:dyDescent="0.2">
      <c r="E477" s="677"/>
      <c r="F477" s="677"/>
      <c r="G477" s="677"/>
    </row>
    <row r="478" spans="5:7" x14ac:dyDescent="0.2">
      <c r="E478" s="677"/>
      <c r="F478" s="677"/>
      <c r="G478" s="677"/>
    </row>
    <row r="479" spans="5:7" x14ac:dyDescent="0.2">
      <c r="E479" s="677"/>
      <c r="F479" s="677"/>
      <c r="G479" s="677"/>
    </row>
    <row r="480" spans="5:7" x14ac:dyDescent="0.2">
      <c r="E480" s="677"/>
      <c r="F480" s="677"/>
      <c r="G480" s="677"/>
    </row>
    <row r="481" spans="5:7" x14ac:dyDescent="0.2">
      <c r="E481" s="677"/>
      <c r="F481" s="677"/>
      <c r="G481" s="677"/>
    </row>
    <row r="482" spans="5:7" x14ac:dyDescent="0.2">
      <c r="E482" s="677"/>
      <c r="F482" s="677"/>
      <c r="G482" s="677"/>
    </row>
    <row r="483" spans="5:7" x14ac:dyDescent="0.2">
      <c r="E483" s="677"/>
      <c r="F483" s="677"/>
      <c r="G483" s="677"/>
    </row>
    <row r="484" spans="5:7" x14ac:dyDescent="0.2">
      <c r="E484" s="677"/>
      <c r="F484" s="677"/>
      <c r="G484" s="677"/>
    </row>
    <row r="485" spans="5:7" x14ac:dyDescent="0.2">
      <c r="E485" s="677"/>
      <c r="F485" s="677"/>
      <c r="G485" s="677"/>
    </row>
    <row r="486" spans="5:7" x14ac:dyDescent="0.2">
      <c r="E486" s="677"/>
      <c r="F486" s="677"/>
      <c r="G486" s="677"/>
    </row>
    <row r="487" spans="5:7" x14ac:dyDescent="0.2">
      <c r="E487" s="677"/>
      <c r="F487" s="677"/>
      <c r="G487" s="677"/>
    </row>
    <row r="488" spans="5:7" x14ac:dyDescent="0.2">
      <c r="E488" s="677"/>
      <c r="F488" s="677"/>
      <c r="G488" s="677"/>
    </row>
    <row r="489" spans="5:7" x14ac:dyDescent="0.2">
      <c r="E489" s="677"/>
      <c r="F489" s="677"/>
      <c r="G489" s="677"/>
    </row>
    <row r="490" spans="5:7" x14ac:dyDescent="0.2">
      <c r="E490" s="677"/>
      <c r="F490" s="677"/>
      <c r="G490" s="677"/>
    </row>
    <row r="491" spans="5:7" x14ac:dyDescent="0.2">
      <c r="E491" s="677"/>
      <c r="F491" s="677"/>
      <c r="G491" s="677"/>
    </row>
    <row r="492" spans="5:7" x14ac:dyDescent="0.2">
      <c r="E492" s="677"/>
      <c r="F492" s="677"/>
      <c r="G492" s="677"/>
    </row>
    <row r="493" spans="5:7" x14ac:dyDescent="0.2">
      <c r="E493" s="677"/>
      <c r="F493" s="677"/>
      <c r="G493" s="677"/>
    </row>
    <row r="494" spans="5:7" x14ac:dyDescent="0.2">
      <c r="E494" s="677"/>
      <c r="F494" s="677"/>
      <c r="G494" s="677"/>
    </row>
    <row r="495" spans="5:7" x14ac:dyDescent="0.2">
      <c r="E495" s="677"/>
      <c r="F495" s="677"/>
      <c r="G495" s="677"/>
    </row>
    <row r="496" spans="5:7" x14ac:dyDescent="0.2">
      <c r="E496" s="677"/>
      <c r="F496" s="677"/>
      <c r="G496" s="677"/>
    </row>
    <row r="497" spans="5:7" x14ac:dyDescent="0.2">
      <c r="E497" s="677"/>
      <c r="F497" s="677"/>
      <c r="G497" s="677"/>
    </row>
    <row r="498" spans="5:7" x14ac:dyDescent="0.2">
      <c r="E498" s="677"/>
      <c r="F498" s="677"/>
      <c r="G498" s="677"/>
    </row>
    <row r="499" spans="5:7" x14ac:dyDescent="0.2">
      <c r="E499" s="677"/>
      <c r="F499" s="677"/>
      <c r="G499" s="677"/>
    </row>
    <row r="500" spans="5:7" x14ac:dyDescent="0.2">
      <c r="E500" s="677"/>
      <c r="F500" s="677"/>
      <c r="G500" s="677"/>
    </row>
    <row r="501" spans="5:7" x14ac:dyDescent="0.2">
      <c r="E501" s="677"/>
      <c r="F501" s="677"/>
      <c r="G501" s="677"/>
    </row>
    <row r="502" spans="5:7" x14ac:dyDescent="0.2">
      <c r="E502" s="677"/>
      <c r="F502" s="677"/>
      <c r="G502" s="677"/>
    </row>
    <row r="503" spans="5:7" x14ac:dyDescent="0.2">
      <c r="E503" s="677"/>
      <c r="F503" s="677"/>
      <c r="G503" s="677"/>
    </row>
    <row r="504" spans="5:7" x14ac:dyDescent="0.2">
      <c r="E504" s="677"/>
      <c r="F504" s="677"/>
      <c r="G504" s="677"/>
    </row>
    <row r="505" spans="5:7" x14ac:dyDescent="0.2">
      <c r="E505" s="677"/>
      <c r="F505" s="677"/>
      <c r="G505" s="677"/>
    </row>
    <row r="506" spans="5:7" x14ac:dyDescent="0.2">
      <c r="E506" s="677"/>
      <c r="F506" s="677"/>
      <c r="G506" s="677"/>
    </row>
    <row r="507" spans="5:7" x14ac:dyDescent="0.2">
      <c r="E507" s="677"/>
      <c r="F507" s="677"/>
      <c r="G507" s="677"/>
    </row>
    <row r="508" spans="5:7" x14ac:dyDescent="0.2">
      <c r="E508" s="677"/>
      <c r="F508" s="677"/>
      <c r="G508" s="677"/>
    </row>
    <row r="509" spans="5:7" x14ac:dyDescent="0.2">
      <c r="E509" s="677"/>
      <c r="F509" s="677"/>
      <c r="G509" s="677"/>
    </row>
    <row r="510" spans="5:7" x14ac:dyDescent="0.2">
      <c r="E510" s="677"/>
      <c r="F510" s="677"/>
      <c r="G510" s="677"/>
    </row>
    <row r="511" spans="5:7" x14ac:dyDescent="0.2">
      <c r="E511" s="677"/>
      <c r="F511" s="677"/>
      <c r="G511" s="677"/>
    </row>
    <row r="512" spans="5:7" x14ac:dyDescent="0.2">
      <c r="E512" s="677"/>
      <c r="F512" s="677"/>
      <c r="G512" s="677"/>
    </row>
    <row r="513" spans="5:7" x14ac:dyDescent="0.2">
      <c r="E513" s="677"/>
      <c r="F513" s="677"/>
      <c r="G513" s="677"/>
    </row>
    <row r="514" spans="5:7" x14ac:dyDescent="0.2">
      <c r="E514" s="677"/>
      <c r="F514" s="677"/>
      <c r="G514" s="677"/>
    </row>
    <row r="515" spans="5:7" x14ac:dyDescent="0.2">
      <c r="E515" s="677"/>
      <c r="F515" s="677"/>
      <c r="G515" s="677"/>
    </row>
    <row r="516" spans="5:7" x14ac:dyDescent="0.2">
      <c r="E516" s="677"/>
      <c r="F516" s="677"/>
      <c r="G516" s="677"/>
    </row>
    <row r="517" spans="5:7" x14ac:dyDescent="0.2">
      <c r="E517" s="677"/>
      <c r="F517" s="677"/>
      <c r="G517" s="677"/>
    </row>
    <row r="518" spans="5:7" x14ac:dyDescent="0.2">
      <c r="E518" s="677"/>
      <c r="F518" s="677"/>
      <c r="G518" s="677"/>
    </row>
    <row r="519" spans="5:7" x14ac:dyDescent="0.2">
      <c r="E519" s="677"/>
      <c r="F519" s="677"/>
      <c r="G519" s="677"/>
    </row>
    <row r="520" spans="5:7" x14ac:dyDescent="0.2">
      <c r="E520" s="677"/>
      <c r="F520" s="677"/>
      <c r="G520" s="677"/>
    </row>
    <row r="521" spans="5:7" x14ac:dyDescent="0.2">
      <c r="E521" s="677"/>
      <c r="F521" s="677"/>
      <c r="G521" s="677"/>
    </row>
    <row r="522" spans="5:7" x14ac:dyDescent="0.2">
      <c r="E522" s="677"/>
      <c r="F522" s="677"/>
      <c r="G522" s="677"/>
    </row>
    <row r="523" spans="5:7" x14ac:dyDescent="0.2">
      <c r="E523" s="677"/>
      <c r="F523" s="677"/>
      <c r="G523" s="677"/>
    </row>
    <row r="524" spans="5:7" x14ac:dyDescent="0.2">
      <c r="E524" s="677"/>
      <c r="F524" s="677"/>
      <c r="G524" s="677"/>
    </row>
    <row r="525" spans="5:7" x14ac:dyDescent="0.2">
      <c r="E525" s="677"/>
      <c r="F525" s="677"/>
      <c r="G525" s="677"/>
    </row>
    <row r="526" spans="5:7" x14ac:dyDescent="0.2">
      <c r="E526" s="677"/>
      <c r="F526" s="677"/>
      <c r="G526" s="677"/>
    </row>
    <row r="527" spans="5:7" x14ac:dyDescent="0.2">
      <c r="E527" s="677"/>
      <c r="F527" s="677"/>
      <c r="G527" s="677"/>
    </row>
    <row r="528" spans="5:7" x14ac:dyDescent="0.2">
      <c r="E528" s="677"/>
      <c r="F528" s="677"/>
      <c r="G528" s="677"/>
    </row>
    <row r="529" spans="5:7" x14ac:dyDescent="0.2">
      <c r="E529" s="677"/>
      <c r="F529" s="677"/>
      <c r="G529" s="677"/>
    </row>
    <row r="530" spans="5:7" x14ac:dyDescent="0.2">
      <c r="E530" s="677"/>
      <c r="F530" s="677"/>
      <c r="G530" s="677"/>
    </row>
    <row r="531" spans="5:7" x14ac:dyDescent="0.2">
      <c r="E531" s="677"/>
      <c r="F531" s="677"/>
      <c r="G531" s="677"/>
    </row>
    <row r="532" spans="5:7" x14ac:dyDescent="0.2">
      <c r="E532" s="677"/>
      <c r="F532" s="677"/>
      <c r="G532" s="677"/>
    </row>
    <row r="533" spans="5:7" x14ac:dyDescent="0.2">
      <c r="E533" s="677"/>
      <c r="F533" s="677"/>
      <c r="G533" s="677"/>
    </row>
    <row r="534" spans="5:7" x14ac:dyDescent="0.2">
      <c r="E534" s="677"/>
      <c r="F534" s="677"/>
      <c r="G534" s="677"/>
    </row>
    <row r="535" spans="5:7" x14ac:dyDescent="0.2">
      <c r="E535" s="677"/>
      <c r="F535" s="677"/>
      <c r="G535" s="677"/>
    </row>
    <row r="536" spans="5:7" x14ac:dyDescent="0.2">
      <c r="E536" s="677"/>
      <c r="F536" s="677"/>
      <c r="G536" s="677"/>
    </row>
    <row r="537" spans="5:7" x14ac:dyDescent="0.2">
      <c r="E537" s="677"/>
      <c r="F537" s="677"/>
      <c r="G537" s="677"/>
    </row>
    <row r="538" spans="5:7" x14ac:dyDescent="0.2">
      <c r="E538" s="677"/>
      <c r="F538" s="677"/>
      <c r="G538" s="677"/>
    </row>
    <row r="539" spans="5:7" x14ac:dyDescent="0.2">
      <c r="E539" s="677"/>
      <c r="F539" s="677"/>
      <c r="G539" s="677"/>
    </row>
    <row r="540" spans="5:7" x14ac:dyDescent="0.2">
      <c r="E540" s="677"/>
      <c r="F540" s="677"/>
      <c r="G540" s="677"/>
    </row>
    <row r="541" spans="5:7" x14ac:dyDescent="0.2">
      <c r="E541" s="677"/>
      <c r="F541" s="677"/>
      <c r="G541" s="677"/>
    </row>
    <row r="542" spans="5:7" x14ac:dyDescent="0.2">
      <c r="E542" s="677"/>
      <c r="F542" s="677"/>
      <c r="G542" s="677"/>
    </row>
    <row r="543" spans="5:7" x14ac:dyDescent="0.2">
      <c r="E543" s="677"/>
      <c r="F543" s="677"/>
      <c r="G543" s="677"/>
    </row>
    <row r="544" spans="5:7" x14ac:dyDescent="0.2">
      <c r="E544" s="677"/>
      <c r="F544" s="677"/>
      <c r="G544" s="677"/>
    </row>
    <row r="545" spans="5:7" x14ac:dyDescent="0.2">
      <c r="E545" s="677"/>
      <c r="F545" s="677"/>
      <c r="G545" s="677"/>
    </row>
    <row r="546" spans="5:7" x14ac:dyDescent="0.2">
      <c r="E546" s="677"/>
      <c r="F546" s="677"/>
      <c r="G546" s="677"/>
    </row>
    <row r="547" spans="5:7" x14ac:dyDescent="0.2">
      <c r="E547" s="677"/>
      <c r="F547" s="677"/>
      <c r="G547" s="677"/>
    </row>
    <row r="548" spans="5:7" x14ac:dyDescent="0.2">
      <c r="E548" s="677"/>
      <c r="F548" s="677"/>
      <c r="G548" s="677"/>
    </row>
    <row r="549" spans="5:7" x14ac:dyDescent="0.2">
      <c r="E549" s="677"/>
      <c r="F549" s="677"/>
      <c r="G549" s="677"/>
    </row>
    <row r="550" spans="5:7" x14ac:dyDescent="0.2">
      <c r="E550" s="677"/>
      <c r="F550" s="677"/>
      <c r="G550" s="677"/>
    </row>
    <row r="551" spans="5:7" x14ac:dyDescent="0.2">
      <c r="E551" s="677"/>
      <c r="F551" s="677"/>
      <c r="G551" s="677"/>
    </row>
    <row r="552" spans="5:7" x14ac:dyDescent="0.2">
      <c r="E552" s="677"/>
      <c r="F552" s="677"/>
      <c r="G552" s="677"/>
    </row>
    <row r="553" spans="5:7" x14ac:dyDescent="0.2">
      <c r="E553" s="677"/>
      <c r="F553" s="677"/>
      <c r="G553" s="677"/>
    </row>
    <row r="554" spans="5:7" x14ac:dyDescent="0.2">
      <c r="E554" s="677"/>
      <c r="F554" s="677"/>
      <c r="G554" s="677"/>
    </row>
    <row r="555" spans="5:7" x14ac:dyDescent="0.2">
      <c r="E555" s="677"/>
      <c r="F555" s="677"/>
      <c r="G555" s="677"/>
    </row>
    <row r="556" spans="5:7" x14ac:dyDescent="0.2">
      <c r="E556" s="677"/>
      <c r="F556" s="677"/>
      <c r="G556" s="677"/>
    </row>
    <row r="557" spans="5:7" x14ac:dyDescent="0.2">
      <c r="E557" s="677"/>
      <c r="F557" s="677"/>
      <c r="G557" s="677"/>
    </row>
    <row r="558" spans="5:7" x14ac:dyDescent="0.2">
      <c r="E558" s="677"/>
      <c r="F558" s="677"/>
      <c r="G558" s="677"/>
    </row>
    <row r="559" spans="5:7" x14ac:dyDescent="0.2">
      <c r="E559" s="677"/>
      <c r="F559" s="677"/>
      <c r="G559" s="677"/>
    </row>
    <row r="560" spans="5:7" x14ac:dyDescent="0.2">
      <c r="E560" s="677"/>
      <c r="F560" s="677"/>
      <c r="G560" s="677"/>
    </row>
    <row r="561" spans="5:7" x14ac:dyDescent="0.2">
      <c r="E561" s="677"/>
      <c r="F561" s="677"/>
      <c r="G561" s="677"/>
    </row>
    <row r="562" spans="5:7" x14ac:dyDescent="0.2">
      <c r="E562" s="677"/>
      <c r="F562" s="677"/>
      <c r="G562" s="677"/>
    </row>
    <row r="563" spans="5:7" x14ac:dyDescent="0.2">
      <c r="E563" s="677"/>
      <c r="F563" s="677"/>
      <c r="G563" s="677"/>
    </row>
    <row r="564" spans="5:7" x14ac:dyDescent="0.2">
      <c r="E564" s="677"/>
      <c r="F564" s="677"/>
      <c r="G564" s="677"/>
    </row>
    <row r="565" spans="5:7" x14ac:dyDescent="0.2">
      <c r="E565" s="677"/>
      <c r="F565" s="677"/>
      <c r="G565" s="677"/>
    </row>
    <row r="566" spans="5:7" x14ac:dyDescent="0.2">
      <c r="E566" s="677"/>
      <c r="F566" s="677"/>
      <c r="G566" s="677"/>
    </row>
    <row r="567" spans="5:7" x14ac:dyDescent="0.2">
      <c r="E567" s="677"/>
      <c r="F567" s="677"/>
      <c r="G567" s="677"/>
    </row>
    <row r="568" spans="5:7" x14ac:dyDescent="0.2">
      <c r="E568" s="677"/>
      <c r="F568" s="677"/>
      <c r="G568" s="677"/>
    </row>
    <row r="569" spans="5:7" x14ac:dyDescent="0.2">
      <c r="E569" s="677"/>
      <c r="F569" s="677"/>
      <c r="G569" s="677"/>
    </row>
    <row r="570" spans="5:7" x14ac:dyDescent="0.2">
      <c r="E570" s="677"/>
      <c r="F570" s="677"/>
      <c r="G570" s="677"/>
    </row>
    <row r="571" spans="5:7" x14ac:dyDescent="0.2">
      <c r="E571" s="677"/>
      <c r="F571" s="677"/>
      <c r="G571" s="677"/>
    </row>
    <row r="572" spans="5:7" x14ac:dyDescent="0.2">
      <c r="E572" s="677"/>
      <c r="F572" s="677"/>
      <c r="G572" s="677"/>
    </row>
    <row r="573" spans="5:7" x14ac:dyDescent="0.2">
      <c r="E573" s="677"/>
      <c r="F573" s="677"/>
      <c r="G573" s="677"/>
    </row>
    <row r="574" spans="5:7" x14ac:dyDescent="0.2">
      <c r="E574" s="677"/>
      <c r="F574" s="677"/>
      <c r="G574" s="677"/>
    </row>
    <row r="575" spans="5:7" x14ac:dyDescent="0.2">
      <c r="E575" s="677"/>
      <c r="F575" s="677"/>
      <c r="G575" s="677"/>
    </row>
    <row r="576" spans="5:7" x14ac:dyDescent="0.2">
      <c r="E576" s="677"/>
      <c r="F576" s="677"/>
      <c r="G576" s="677"/>
    </row>
    <row r="577" spans="5:7" x14ac:dyDescent="0.2">
      <c r="E577" s="677"/>
      <c r="F577" s="677"/>
      <c r="G577" s="677"/>
    </row>
    <row r="578" spans="5:7" x14ac:dyDescent="0.2">
      <c r="E578" s="677"/>
      <c r="F578" s="677"/>
      <c r="G578" s="677"/>
    </row>
    <row r="579" spans="5:7" x14ac:dyDescent="0.2">
      <c r="E579" s="677"/>
      <c r="F579" s="677"/>
      <c r="G579" s="677"/>
    </row>
    <row r="580" spans="5:7" x14ac:dyDescent="0.2">
      <c r="E580" s="677"/>
      <c r="F580" s="677"/>
      <c r="G580" s="677"/>
    </row>
    <row r="581" spans="5:7" x14ac:dyDescent="0.2">
      <c r="E581" s="677"/>
      <c r="F581" s="677"/>
      <c r="G581" s="677"/>
    </row>
    <row r="582" spans="5:7" x14ac:dyDescent="0.2">
      <c r="E582" s="677"/>
      <c r="F582" s="677"/>
      <c r="G582" s="677"/>
    </row>
    <row r="583" spans="5:7" x14ac:dyDescent="0.2">
      <c r="E583" s="677"/>
      <c r="F583" s="677"/>
      <c r="G583" s="677"/>
    </row>
    <row r="584" spans="5:7" x14ac:dyDescent="0.2">
      <c r="E584" s="677"/>
      <c r="F584" s="677"/>
      <c r="G584" s="677"/>
    </row>
    <row r="585" spans="5:7" x14ac:dyDescent="0.2">
      <c r="E585" s="677"/>
      <c r="F585" s="677"/>
      <c r="G585" s="677"/>
    </row>
    <row r="586" spans="5:7" x14ac:dyDescent="0.2">
      <c r="E586" s="677"/>
      <c r="F586" s="677"/>
      <c r="G586" s="677"/>
    </row>
    <row r="587" spans="5:7" x14ac:dyDescent="0.2">
      <c r="E587" s="677"/>
      <c r="F587" s="677"/>
      <c r="G587" s="677"/>
    </row>
    <row r="588" spans="5:7" x14ac:dyDescent="0.2">
      <c r="E588" s="677"/>
      <c r="F588" s="677"/>
      <c r="G588" s="677"/>
    </row>
    <row r="589" spans="5:7" x14ac:dyDescent="0.2">
      <c r="E589" s="677"/>
      <c r="F589" s="677"/>
      <c r="G589" s="677"/>
    </row>
    <row r="590" spans="5:7" x14ac:dyDescent="0.2">
      <c r="E590" s="677"/>
      <c r="F590" s="677"/>
      <c r="G590" s="677"/>
    </row>
    <row r="591" spans="5:7" x14ac:dyDescent="0.2">
      <c r="E591" s="677"/>
      <c r="F591" s="677"/>
      <c r="G591" s="677"/>
    </row>
    <row r="592" spans="5:7" x14ac:dyDescent="0.2">
      <c r="E592" s="677"/>
      <c r="F592" s="677"/>
      <c r="G592" s="677"/>
    </row>
    <row r="593" spans="5:7" x14ac:dyDescent="0.2">
      <c r="E593" s="677"/>
      <c r="F593" s="677"/>
      <c r="G593" s="677"/>
    </row>
    <row r="594" spans="5:7" x14ac:dyDescent="0.2">
      <c r="E594" s="677"/>
      <c r="F594" s="677"/>
      <c r="G594" s="677"/>
    </row>
    <row r="595" spans="5:7" x14ac:dyDescent="0.2">
      <c r="E595" s="677"/>
      <c r="F595" s="677"/>
      <c r="G595" s="677"/>
    </row>
    <row r="596" spans="5:7" x14ac:dyDescent="0.2">
      <c r="E596" s="677"/>
      <c r="F596" s="677"/>
      <c r="G596" s="677"/>
    </row>
    <row r="597" spans="5:7" x14ac:dyDescent="0.2">
      <c r="E597" s="677"/>
      <c r="F597" s="677"/>
      <c r="G597" s="677"/>
    </row>
    <row r="598" spans="5:7" x14ac:dyDescent="0.2">
      <c r="E598" s="677"/>
      <c r="F598" s="677"/>
      <c r="G598" s="677"/>
    </row>
    <row r="599" spans="5:7" x14ac:dyDescent="0.2">
      <c r="E599" s="677"/>
      <c r="F599" s="677"/>
      <c r="G599" s="677"/>
    </row>
    <row r="600" spans="5:7" x14ac:dyDescent="0.2">
      <c r="E600" s="677"/>
      <c r="F600" s="677"/>
      <c r="G600" s="677"/>
    </row>
    <row r="601" spans="5:7" x14ac:dyDescent="0.2">
      <c r="E601" s="677"/>
      <c r="F601" s="677"/>
      <c r="G601" s="677"/>
    </row>
    <row r="602" spans="5:7" x14ac:dyDescent="0.2">
      <c r="E602" s="677"/>
      <c r="F602" s="677"/>
      <c r="G602" s="677"/>
    </row>
    <row r="603" spans="5:7" x14ac:dyDescent="0.2">
      <c r="E603" s="677"/>
      <c r="F603" s="677"/>
      <c r="G603" s="677"/>
    </row>
    <row r="604" spans="5:7" x14ac:dyDescent="0.2">
      <c r="E604" s="677"/>
      <c r="F604" s="677"/>
      <c r="G604" s="677"/>
    </row>
    <row r="605" spans="5:7" x14ac:dyDescent="0.2">
      <c r="E605" s="677"/>
      <c r="F605" s="677"/>
      <c r="G605" s="677"/>
    </row>
    <row r="606" spans="5:7" x14ac:dyDescent="0.2">
      <c r="E606" s="677"/>
      <c r="F606" s="677"/>
      <c r="G606" s="677"/>
    </row>
    <row r="607" spans="5:7" x14ac:dyDescent="0.2">
      <c r="E607" s="677"/>
      <c r="F607" s="677"/>
      <c r="G607" s="677"/>
    </row>
    <row r="608" spans="5:7" x14ac:dyDescent="0.2">
      <c r="E608" s="677"/>
      <c r="F608" s="677"/>
      <c r="G608" s="677"/>
    </row>
    <row r="609" spans="5:7" x14ac:dyDescent="0.2">
      <c r="E609" s="677"/>
      <c r="F609" s="677"/>
      <c r="G609" s="677"/>
    </row>
    <row r="610" spans="5:7" x14ac:dyDescent="0.2">
      <c r="E610" s="677"/>
      <c r="F610" s="677"/>
      <c r="G610" s="677"/>
    </row>
    <row r="611" spans="5:7" x14ac:dyDescent="0.2">
      <c r="E611" s="677"/>
      <c r="F611" s="677"/>
      <c r="G611" s="677"/>
    </row>
    <row r="612" spans="5:7" x14ac:dyDescent="0.2">
      <c r="E612" s="677"/>
      <c r="F612" s="677"/>
      <c r="G612" s="677"/>
    </row>
    <row r="613" spans="5:7" x14ac:dyDescent="0.2">
      <c r="E613" s="677"/>
      <c r="F613" s="677"/>
      <c r="G613" s="677"/>
    </row>
    <row r="614" spans="5:7" x14ac:dyDescent="0.2">
      <c r="E614" s="677"/>
      <c r="F614" s="677"/>
      <c r="G614" s="677"/>
    </row>
    <row r="615" spans="5:7" x14ac:dyDescent="0.2">
      <c r="E615" s="677"/>
      <c r="F615" s="677"/>
      <c r="G615" s="677"/>
    </row>
    <row r="616" spans="5:7" x14ac:dyDescent="0.2">
      <c r="E616" s="677"/>
      <c r="F616" s="677"/>
      <c r="G616" s="677"/>
    </row>
    <row r="617" spans="5:7" x14ac:dyDescent="0.2">
      <c r="E617" s="677"/>
      <c r="F617" s="677"/>
      <c r="G617" s="677"/>
    </row>
    <row r="618" spans="5:7" x14ac:dyDescent="0.2">
      <c r="E618" s="677"/>
      <c r="F618" s="677"/>
      <c r="G618" s="677"/>
    </row>
    <row r="619" spans="5:7" x14ac:dyDescent="0.2">
      <c r="E619" s="677"/>
      <c r="F619" s="677"/>
      <c r="G619" s="677"/>
    </row>
    <row r="620" spans="5:7" x14ac:dyDescent="0.2">
      <c r="E620" s="677"/>
      <c r="F620" s="677"/>
      <c r="G620" s="677"/>
    </row>
    <row r="621" spans="5:7" x14ac:dyDescent="0.2">
      <c r="E621" s="677"/>
      <c r="F621" s="677"/>
      <c r="G621" s="677"/>
    </row>
    <row r="622" spans="5:7" x14ac:dyDescent="0.2">
      <c r="E622" s="677"/>
      <c r="F622" s="677"/>
      <c r="G622" s="677"/>
    </row>
    <row r="623" spans="5:7" x14ac:dyDescent="0.2">
      <c r="E623" s="677"/>
      <c r="F623" s="677"/>
      <c r="G623" s="677"/>
    </row>
    <row r="624" spans="5:7" x14ac:dyDescent="0.2">
      <c r="E624" s="677"/>
      <c r="F624" s="677"/>
      <c r="G624" s="677"/>
    </row>
    <row r="625" spans="5:7" x14ac:dyDescent="0.2">
      <c r="E625" s="677"/>
      <c r="F625" s="677"/>
      <c r="G625" s="677"/>
    </row>
    <row r="626" spans="5:7" x14ac:dyDescent="0.2">
      <c r="E626" s="677"/>
      <c r="F626" s="677"/>
      <c r="G626" s="677"/>
    </row>
    <row r="627" spans="5:7" x14ac:dyDescent="0.2">
      <c r="E627" s="677"/>
      <c r="F627" s="677"/>
      <c r="G627" s="677"/>
    </row>
    <row r="628" spans="5:7" x14ac:dyDescent="0.2">
      <c r="E628" s="677"/>
      <c r="F628" s="677"/>
      <c r="G628" s="677"/>
    </row>
    <row r="629" spans="5:7" x14ac:dyDescent="0.2">
      <c r="E629" s="677"/>
      <c r="F629" s="677"/>
      <c r="G629" s="677"/>
    </row>
    <row r="630" spans="5:7" x14ac:dyDescent="0.2">
      <c r="E630" s="677"/>
      <c r="F630" s="677"/>
      <c r="G630" s="677"/>
    </row>
    <row r="631" spans="5:7" x14ac:dyDescent="0.2">
      <c r="E631" s="677"/>
      <c r="F631" s="677"/>
      <c r="G631" s="677"/>
    </row>
    <row r="632" spans="5:7" x14ac:dyDescent="0.2">
      <c r="E632" s="677"/>
      <c r="F632" s="677"/>
      <c r="G632" s="677"/>
    </row>
    <row r="633" spans="5:7" x14ac:dyDescent="0.2">
      <c r="E633" s="677"/>
      <c r="F633" s="677"/>
      <c r="G633" s="677"/>
    </row>
    <row r="634" spans="5:7" x14ac:dyDescent="0.2">
      <c r="E634" s="677"/>
      <c r="F634" s="677"/>
      <c r="G634" s="677"/>
    </row>
    <row r="635" spans="5:7" x14ac:dyDescent="0.2">
      <c r="E635" s="677"/>
      <c r="F635" s="677"/>
      <c r="G635" s="677"/>
    </row>
    <row r="636" spans="5:7" x14ac:dyDescent="0.2">
      <c r="E636" s="677"/>
      <c r="F636" s="677"/>
      <c r="G636" s="677"/>
    </row>
    <row r="637" spans="5:7" x14ac:dyDescent="0.2">
      <c r="E637" s="677"/>
      <c r="F637" s="677"/>
      <c r="G637" s="677"/>
    </row>
    <row r="638" spans="5:7" x14ac:dyDescent="0.2">
      <c r="E638" s="677"/>
      <c r="F638" s="677"/>
      <c r="G638" s="677"/>
    </row>
    <row r="639" spans="5:7" x14ac:dyDescent="0.2">
      <c r="E639" s="677"/>
      <c r="F639" s="677"/>
      <c r="G639" s="677"/>
    </row>
    <row r="640" spans="5:7" x14ac:dyDescent="0.2">
      <c r="E640" s="677"/>
      <c r="F640" s="677"/>
      <c r="G640" s="677"/>
    </row>
    <row r="641" spans="5:7" x14ac:dyDescent="0.2">
      <c r="E641" s="677"/>
      <c r="F641" s="677"/>
      <c r="G641" s="677"/>
    </row>
    <row r="642" spans="5:7" x14ac:dyDescent="0.2">
      <c r="E642" s="677"/>
      <c r="F642" s="677"/>
      <c r="G642" s="677"/>
    </row>
    <row r="643" spans="5:7" x14ac:dyDescent="0.2">
      <c r="E643" s="677"/>
      <c r="F643" s="677"/>
      <c r="G643" s="677"/>
    </row>
    <row r="644" spans="5:7" x14ac:dyDescent="0.2">
      <c r="E644" s="677"/>
      <c r="F644" s="677"/>
      <c r="G644" s="677"/>
    </row>
    <row r="645" spans="5:7" x14ac:dyDescent="0.2">
      <c r="E645" s="677"/>
      <c r="F645" s="677"/>
      <c r="G645" s="677"/>
    </row>
    <row r="646" spans="5:7" x14ac:dyDescent="0.2">
      <c r="E646" s="677"/>
      <c r="F646" s="677"/>
      <c r="G646" s="677"/>
    </row>
    <row r="647" spans="5:7" x14ac:dyDescent="0.2">
      <c r="E647" s="677"/>
      <c r="F647" s="677"/>
      <c r="G647" s="677"/>
    </row>
    <row r="648" spans="5:7" x14ac:dyDescent="0.2">
      <c r="E648" s="677"/>
      <c r="F648" s="677"/>
      <c r="G648" s="677"/>
    </row>
    <row r="649" spans="5:7" x14ac:dyDescent="0.2">
      <c r="E649" s="677"/>
      <c r="F649" s="677"/>
      <c r="G649" s="677"/>
    </row>
    <row r="650" spans="5:7" x14ac:dyDescent="0.2">
      <c r="E650" s="677"/>
      <c r="F650" s="677"/>
      <c r="G650" s="677"/>
    </row>
    <row r="651" spans="5:7" x14ac:dyDescent="0.2">
      <c r="E651" s="677"/>
      <c r="F651" s="677"/>
      <c r="G651" s="677"/>
    </row>
    <row r="652" spans="5:7" x14ac:dyDescent="0.2">
      <c r="E652" s="677"/>
      <c r="F652" s="677"/>
      <c r="G652" s="677"/>
    </row>
    <row r="653" spans="5:7" x14ac:dyDescent="0.2">
      <c r="E653" s="677"/>
      <c r="F653" s="677"/>
      <c r="G653" s="677"/>
    </row>
    <row r="654" spans="5:7" x14ac:dyDescent="0.2">
      <c r="E654" s="677"/>
      <c r="F654" s="677"/>
      <c r="G654" s="677"/>
    </row>
    <row r="655" spans="5:7" x14ac:dyDescent="0.2">
      <c r="E655" s="677"/>
      <c r="F655" s="677"/>
      <c r="G655" s="677"/>
    </row>
    <row r="656" spans="5:7" x14ac:dyDescent="0.2">
      <c r="E656" s="677"/>
      <c r="F656" s="677"/>
      <c r="G656" s="677"/>
    </row>
    <row r="657" spans="5:7" x14ac:dyDescent="0.2">
      <c r="E657" s="677"/>
      <c r="F657" s="677"/>
      <c r="G657" s="677"/>
    </row>
    <row r="658" spans="5:7" x14ac:dyDescent="0.2">
      <c r="E658" s="677"/>
      <c r="F658" s="677"/>
      <c r="G658" s="677"/>
    </row>
    <row r="659" spans="5:7" x14ac:dyDescent="0.2">
      <c r="E659" s="677"/>
      <c r="F659" s="677"/>
      <c r="G659" s="677"/>
    </row>
    <row r="660" spans="5:7" x14ac:dyDescent="0.2">
      <c r="E660" s="677"/>
      <c r="F660" s="677"/>
      <c r="G660" s="677"/>
    </row>
    <row r="661" spans="5:7" x14ac:dyDescent="0.2">
      <c r="E661" s="677"/>
      <c r="F661" s="677"/>
      <c r="G661" s="677"/>
    </row>
    <row r="662" spans="5:7" x14ac:dyDescent="0.2">
      <c r="E662" s="677"/>
      <c r="F662" s="677"/>
      <c r="G662" s="677"/>
    </row>
    <row r="663" spans="5:7" x14ac:dyDescent="0.2">
      <c r="E663" s="677"/>
      <c r="F663" s="677"/>
      <c r="G663" s="677"/>
    </row>
    <row r="664" spans="5:7" x14ac:dyDescent="0.2">
      <c r="E664" s="677"/>
      <c r="F664" s="677"/>
      <c r="G664" s="677"/>
    </row>
    <row r="665" spans="5:7" x14ac:dyDescent="0.2">
      <c r="E665" s="677"/>
      <c r="F665" s="677"/>
      <c r="G665" s="677"/>
    </row>
    <row r="666" spans="5:7" x14ac:dyDescent="0.2">
      <c r="E666" s="677"/>
      <c r="F666" s="677"/>
      <c r="G666" s="677"/>
    </row>
    <row r="667" spans="5:7" x14ac:dyDescent="0.2">
      <c r="E667" s="677"/>
      <c r="F667" s="677"/>
      <c r="G667" s="677"/>
    </row>
    <row r="668" spans="5:7" x14ac:dyDescent="0.2">
      <c r="E668" s="677"/>
      <c r="F668" s="677"/>
      <c r="G668" s="677"/>
    </row>
    <row r="669" spans="5:7" x14ac:dyDescent="0.2">
      <c r="E669" s="677"/>
      <c r="F669" s="677"/>
      <c r="G669" s="677"/>
    </row>
    <row r="670" spans="5:7" x14ac:dyDescent="0.2">
      <c r="E670" s="677"/>
      <c r="F670" s="677"/>
      <c r="G670" s="677"/>
    </row>
    <row r="671" spans="5:7" x14ac:dyDescent="0.2">
      <c r="E671" s="677"/>
      <c r="F671" s="677"/>
      <c r="G671" s="677"/>
    </row>
    <row r="672" spans="5:7" x14ac:dyDescent="0.2">
      <c r="E672" s="677"/>
      <c r="F672" s="677"/>
      <c r="G672" s="677"/>
    </row>
    <row r="673" spans="5:7" x14ac:dyDescent="0.2">
      <c r="E673" s="677"/>
      <c r="F673" s="677"/>
      <c r="G673" s="677"/>
    </row>
    <row r="674" spans="5:7" x14ac:dyDescent="0.2">
      <c r="E674" s="677"/>
      <c r="F674" s="677"/>
      <c r="G674" s="677"/>
    </row>
    <row r="675" spans="5:7" x14ac:dyDescent="0.2">
      <c r="E675" s="677"/>
      <c r="F675" s="677"/>
      <c r="G675" s="677"/>
    </row>
    <row r="676" spans="5:7" x14ac:dyDescent="0.2">
      <c r="E676" s="677"/>
      <c r="F676" s="677"/>
      <c r="G676" s="677"/>
    </row>
    <row r="677" spans="5:7" x14ac:dyDescent="0.2">
      <c r="E677" s="677"/>
      <c r="F677" s="677"/>
      <c r="G677" s="677"/>
    </row>
    <row r="678" spans="5:7" x14ac:dyDescent="0.2">
      <c r="E678" s="677"/>
      <c r="F678" s="677"/>
      <c r="G678" s="677"/>
    </row>
    <row r="679" spans="5:7" x14ac:dyDescent="0.2">
      <c r="E679" s="677"/>
      <c r="F679" s="677"/>
      <c r="G679" s="677"/>
    </row>
    <row r="680" spans="5:7" x14ac:dyDescent="0.2">
      <c r="E680" s="677"/>
      <c r="F680" s="677"/>
      <c r="G680" s="677"/>
    </row>
    <row r="681" spans="5:7" x14ac:dyDescent="0.2">
      <c r="E681" s="677"/>
      <c r="F681" s="677"/>
      <c r="G681" s="677"/>
    </row>
    <row r="682" spans="5:7" x14ac:dyDescent="0.2">
      <c r="E682" s="677"/>
      <c r="F682" s="677"/>
      <c r="G682" s="677"/>
    </row>
    <row r="683" spans="5:7" x14ac:dyDescent="0.2">
      <c r="E683" s="677"/>
      <c r="F683" s="677"/>
      <c r="G683" s="677"/>
    </row>
    <row r="684" spans="5:7" x14ac:dyDescent="0.2">
      <c r="E684" s="677"/>
      <c r="F684" s="677"/>
      <c r="G684" s="677"/>
    </row>
    <row r="685" spans="5:7" x14ac:dyDescent="0.2">
      <c r="E685" s="677"/>
      <c r="F685" s="677"/>
      <c r="G685" s="677"/>
    </row>
    <row r="686" spans="5:7" x14ac:dyDescent="0.2">
      <c r="E686" s="677"/>
      <c r="F686" s="677"/>
      <c r="G686" s="677"/>
    </row>
    <row r="687" spans="5:7" x14ac:dyDescent="0.2">
      <c r="E687" s="677"/>
      <c r="F687" s="677"/>
      <c r="G687" s="677"/>
    </row>
    <row r="688" spans="5:7" x14ac:dyDescent="0.2">
      <c r="E688" s="677"/>
      <c r="F688" s="677"/>
      <c r="G688" s="677"/>
    </row>
    <row r="689" spans="5:7" x14ac:dyDescent="0.2">
      <c r="E689" s="677"/>
      <c r="F689" s="677"/>
      <c r="G689" s="677"/>
    </row>
    <row r="690" spans="5:7" x14ac:dyDescent="0.2">
      <c r="E690" s="677"/>
      <c r="F690" s="677"/>
      <c r="G690" s="677"/>
    </row>
    <row r="691" spans="5:7" x14ac:dyDescent="0.2">
      <c r="E691" s="677"/>
      <c r="F691" s="677"/>
      <c r="G691" s="677"/>
    </row>
    <row r="692" spans="5:7" x14ac:dyDescent="0.2">
      <c r="E692" s="677"/>
      <c r="F692" s="677"/>
      <c r="G692" s="677"/>
    </row>
    <row r="693" spans="5:7" x14ac:dyDescent="0.2">
      <c r="E693" s="677"/>
      <c r="F693" s="677"/>
      <c r="G693" s="677"/>
    </row>
    <row r="694" spans="5:7" x14ac:dyDescent="0.2">
      <c r="E694" s="677"/>
      <c r="F694" s="677"/>
      <c r="G694" s="677"/>
    </row>
    <row r="695" spans="5:7" x14ac:dyDescent="0.2">
      <c r="E695" s="677"/>
      <c r="F695" s="677"/>
      <c r="G695" s="677"/>
    </row>
    <row r="696" spans="5:7" x14ac:dyDescent="0.2">
      <c r="E696" s="677"/>
      <c r="F696" s="677"/>
      <c r="G696" s="677"/>
    </row>
    <row r="697" spans="5:7" x14ac:dyDescent="0.2">
      <c r="E697" s="677"/>
      <c r="F697" s="677"/>
      <c r="G697" s="677"/>
    </row>
    <row r="698" spans="5:7" x14ac:dyDescent="0.2">
      <c r="E698" s="677"/>
      <c r="F698" s="677"/>
      <c r="G698" s="677"/>
    </row>
    <row r="699" spans="5:7" x14ac:dyDescent="0.2">
      <c r="E699" s="677"/>
      <c r="F699" s="677"/>
      <c r="G699" s="677"/>
    </row>
    <row r="700" spans="5:7" x14ac:dyDescent="0.2">
      <c r="E700" s="677"/>
      <c r="F700" s="677"/>
      <c r="G700" s="677"/>
    </row>
    <row r="701" spans="5:7" x14ac:dyDescent="0.2">
      <c r="E701" s="677"/>
      <c r="F701" s="677"/>
      <c r="G701" s="677"/>
    </row>
    <row r="702" spans="5:7" x14ac:dyDescent="0.2">
      <c r="E702" s="677"/>
      <c r="F702" s="677"/>
      <c r="G702" s="677"/>
    </row>
    <row r="703" spans="5:7" x14ac:dyDescent="0.2">
      <c r="E703" s="677"/>
      <c r="F703" s="677"/>
      <c r="G703" s="677"/>
    </row>
    <row r="704" spans="5:7" x14ac:dyDescent="0.2">
      <c r="E704" s="677"/>
      <c r="F704" s="677"/>
      <c r="G704" s="677"/>
    </row>
    <row r="705" spans="5:7" x14ac:dyDescent="0.2">
      <c r="E705" s="677"/>
      <c r="F705" s="677"/>
      <c r="G705" s="677"/>
    </row>
    <row r="706" spans="5:7" x14ac:dyDescent="0.2">
      <c r="E706" s="677"/>
      <c r="F706" s="677"/>
      <c r="G706" s="677"/>
    </row>
    <row r="707" spans="5:7" x14ac:dyDescent="0.2">
      <c r="E707" s="677"/>
      <c r="F707" s="677"/>
      <c r="G707" s="677"/>
    </row>
    <row r="708" spans="5:7" x14ac:dyDescent="0.2">
      <c r="E708" s="677"/>
      <c r="F708" s="677"/>
      <c r="G708" s="677"/>
    </row>
    <row r="709" spans="5:7" x14ac:dyDescent="0.2">
      <c r="E709" s="677"/>
      <c r="F709" s="677"/>
      <c r="G709" s="677"/>
    </row>
    <row r="710" spans="5:7" x14ac:dyDescent="0.2">
      <c r="E710" s="677"/>
      <c r="F710" s="677"/>
      <c r="G710" s="677"/>
    </row>
    <row r="711" spans="5:7" x14ac:dyDescent="0.2">
      <c r="E711" s="677"/>
      <c r="F711" s="677"/>
      <c r="G711" s="677"/>
    </row>
    <row r="712" spans="5:7" x14ac:dyDescent="0.2">
      <c r="E712" s="677"/>
      <c r="F712" s="677"/>
      <c r="G712" s="677"/>
    </row>
    <row r="713" spans="5:7" x14ac:dyDescent="0.2">
      <c r="E713" s="677"/>
      <c r="F713" s="677"/>
      <c r="G713" s="677"/>
    </row>
    <row r="714" spans="5:7" x14ac:dyDescent="0.2">
      <c r="E714" s="677"/>
      <c r="F714" s="677"/>
      <c r="G714" s="677"/>
    </row>
    <row r="715" spans="5:7" x14ac:dyDescent="0.2">
      <c r="E715" s="677"/>
      <c r="F715" s="677"/>
      <c r="G715" s="677"/>
    </row>
    <row r="716" spans="5:7" x14ac:dyDescent="0.2">
      <c r="E716" s="677"/>
      <c r="F716" s="677"/>
      <c r="G716" s="677"/>
    </row>
    <row r="717" spans="5:7" x14ac:dyDescent="0.2">
      <c r="E717" s="677"/>
      <c r="F717" s="677"/>
      <c r="G717" s="677"/>
    </row>
    <row r="718" spans="5:7" x14ac:dyDescent="0.2">
      <c r="E718" s="677"/>
      <c r="F718" s="677"/>
      <c r="G718" s="677"/>
    </row>
    <row r="719" spans="5:7" x14ac:dyDescent="0.2">
      <c r="E719" s="677"/>
      <c r="F719" s="677"/>
      <c r="G719" s="677"/>
    </row>
    <row r="720" spans="5:7" x14ac:dyDescent="0.2">
      <c r="E720" s="677"/>
      <c r="F720" s="677"/>
      <c r="G720" s="677"/>
    </row>
    <row r="721" spans="5:7" x14ac:dyDescent="0.2">
      <c r="E721" s="677"/>
      <c r="F721" s="677"/>
      <c r="G721" s="677"/>
    </row>
    <row r="722" spans="5:7" x14ac:dyDescent="0.2">
      <c r="E722" s="677"/>
      <c r="F722" s="677"/>
      <c r="G722" s="677"/>
    </row>
    <row r="723" spans="5:7" x14ac:dyDescent="0.2">
      <c r="E723" s="677"/>
      <c r="F723" s="677"/>
      <c r="G723" s="677"/>
    </row>
    <row r="724" spans="5:7" x14ac:dyDescent="0.2">
      <c r="E724" s="677"/>
      <c r="F724" s="677"/>
      <c r="G724" s="677"/>
    </row>
    <row r="725" spans="5:7" x14ac:dyDescent="0.2">
      <c r="E725" s="677"/>
      <c r="F725" s="677"/>
      <c r="G725" s="677"/>
    </row>
    <row r="726" spans="5:7" x14ac:dyDescent="0.2">
      <c r="E726" s="677"/>
      <c r="F726" s="677"/>
      <c r="G726" s="677"/>
    </row>
    <row r="727" spans="5:7" x14ac:dyDescent="0.2">
      <c r="E727" s="677"/>
      <c r="F727" s="677"/>
      <c r="G727" s="677"/>
    </row>
    <row r="728" spans="5:7" x14ac:dyDescent="0.2">
      <c r="E728" s="677"/>
      <c r="F728" s="677"/>
      <c r="G728" s="677"/>
    </row>
    <row r="729" spans="5:7" x14ac:dyDescent="0.2">
      <c r="E729" s="677"/>
      <c r="F729" s="677"/>
      <c r="G729" s="677"/>
    </row>
    <row r="730" spans="5:7" x14ac:dyDescent="0.2">
      <c r="E730" s="677"/>
      <c r="F730" s="677"/>
      <c r="G730" s="677"/>
    </row>
    <row r="731" spans="5:7" x14ac:dyDescent="0.2">
      <c r="E731" s="677"/>
      <c r="F731" s="677"/>
      <c r="G731" s="677"/>
    </row>
    <row r="732" spans="5:7" x14ac:dyDescent="0.2">
      <c r="E732" s="677"/>
      <c r="F732" s="677"/>
      <c r="G732" s="677"/>
    </row>
    <row r="733" spans="5:7" x14ac:dyDescent="0.2">
      <c r="E733" s="677"/>
      <c r="F733" s="677"/>
      <c r="G733" s="677"/>
    </row>
    <row r="734" spans="5:7" x14ac:dyDescent="0.2">
      <c r="E734" s="677"/>
      <c r="F734" s="677"/>
      <c r="G734" s="677"/>
    </row>
    <row r="735" spans="5:7" x14ac:dyDescent="0.2">
      <c r="E735" s="677"/>
      <c r="F735" s="677"/>
      <c r="G735" s="677"/>
    </row>
    <row r="736" spans="5:7" x14ac:dyDescent="0.2">
      <c r="E736" s="677"/>
      <c r="F736" s="677"/>
      <c r="G736" s="677"/>
    </row>
    <row r="737" spans="5:7" x14ac:dyDescent="0.2">
      <c r="E737" s="677"/>
      <c r="F737" s="677"/>
      <c r="G737" s="677"/>
    </row>
    <row r="738" spans="5:7" x14ac:dyDescent="0.2">
      <c r="E738" s="677"/>
      <c r="F738" s="677"/>
      <c r="G738" s="677"/>
    </row>
    <row r="739" spans="5:7" x14ac:dyDescent="0.2">
      <c r="E739" s="677"/>
      <c r="F739" s="677"/>
      <c r="G739" s="677"/>
    </row>
    <row r="740" spans="5:7" x14ac:dyDescent="0.2">
      <c r="E740" s="677"/>
      <c r="F740" s="677"/>
      <c r="G740" s="677"/>
    </row>
    <row r="741" spans="5:7" x14ac:dyDescent="0.2">
      <c r="E741" s="677"/>
      <c r="F741" s="677"/>
      <c r="G741" s="677"/>
    </row>
    <row r="742" spans="5:7" x14ac:dyDescent="0.2">
      <c r="E742" s="677"/>
      <c r="F742" s="677"/>
      <c r="G742" s="677"/>
    </row>
    <row r="743" spans="5:7" x14ac:dyDescent="0.2">
      <c r="E743" s="677"/>
      <c r="F743" s="677"/>
      <c r="G743" s="677"/>
    </row>
    <row r="744" spans="5:7" x14ac:dyDescent="0.2">
      <c r="E744" s="677"/>
      <c r="F744" s="677"/>
      <c r="G744" s="677"/>
    </row>
    <row r="745" spans="5:7" x14ac:dyDescent="0.2">
      <c r="E745" s="677"/>
      <c r="F745" s="677"/>
      <c r="G745" s="677"/>
    </row>
    <row r="746" spans="5:7" x14ac:dyDescent="0.2">
      <c r="E746" s="677"/>
      <c r="F746" s="677"/>
      <c r="G746" s="677"/>
    </row>
  </sheetData>
  <phoneticPr fontId="0" type="noConversion"/>
  <pageMargins left="0.75" right="0.75" top="1" bottom="1" header="0.5" footer="0.5"/>
  <pageSetup paperSize="9" orientation="portrait" horizontalDpi="1200" r:id="rId1"/>
  <headerFooter alignWithMargins="0"/>
  <ignoredErrors>
    <ignoredError sqref="D75:D76 D71 D66 D57:D59 D63 D73 D61" unlocked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FFC000"/>
  </sheetPr>
  <dimension ref="A1:O112"/>
  <sheetViews>
    <sheetView zoomScale="80" zoomScaleNormal="80" workbookViewId="0">
      <pane xSplit="4" ySplit="4" topLeftCell="E5" activePane="bottomRight" state="frozen"/>
      <selection pane="topRight" activeCell="O26" sqref="O26"/>
      <selection pane="bottomLeft" activeCell="O26" sqref="O26"/>
      <selection pane="bottomRight" activeCell="E3" sqref="E3"/>
    </sheetView>
  </sheetViews>
  <sheetFormatPr defaultColWidth="9.140625" defaultRowHeight="12.75" x14ac:dyDescent="0.2"/>
  <cols>
    <col min="1" max="1" width="27.7109375" style="145" bestFit="1" customWidth="1"/>
    <col min="2" max="2" width="17.28515625" style="145" bestFit="1" customWidth="1"/>
    <col min="3" max="3" width="24" style="145" bestFit="1" customWidth="1"/>
    <col min="4" max="4" width="13.42578125" style="669" bestFit="1" customWidth="1"/>
    <col min="5" max="5" width="17.28515625" style="669" bestFit="1" customWidth="1"/>
    <col min="6" max="15" width="16.42578125" style="669" bestFit="1" customWidth="1"/>
    <col min="16" max="16384" width="9.140625" style="145"/>
  </cols>
  <sheetData>
    <row r="1" spans="1:15" x14ac:dyDescent="0.2">
      <c r="A1" s="659" t="s">
        <v>171</v>
      </c>
      <c r="B1" s="145" t="s">
        <v>7</v>
      </c>
    </row>
    <row r="3" spans="1:15" ht="15" customHeight="1" x14ac:dyDescent="0.2">
      <c r="E3" s="681"/>
      <c r="F3" s="681"/>
    </row>
    <row r="4" spans="1:15" x14ac:dyDescent="0.2">
      <c r="A4" s="663" t="s">
        <v>683</v>
      </c>
      <c r="B4" s="663" t="s">
        <v>1</v>
      </c>
      <c r="C4" s="663" t="s">
        <v>1677</v>
      </c>
      <c r="D4" s="663" t="s">
        <v>1678</v>
      </c>
      <c r="E4" s="663" t="s">
        <v>1666</v>
      </c>
      <c r="F4" s="663" t="s">
        <v>1667</v>
      </c>
      <c r="G4" s="663" t="s">
        <v>1668</v>
      </c>
      <c r="H4" s="663" t="s">
        <v>1669</v>
      </c>
      <c r="I4" s="663" t="s">
        <v>1670</v>
      </c>
      <c r="J4" s="663" t="s">
        <v>1671</v>
      </c>
      <c r="K4" s="663" t="s">
        <v>1672</v>
      </c>
      <c r="L4" s="663" t="s">
        <v>1673</v>
      </c>
      <c r="M4" s="663" t="s">
        <v>1674</v>
      </c>
      <c r="N4" s="663" t="s">
        <v>1675</v>
      </c>
      <c r="O4" s="663" t="s">
        <v>1676</v>
      </c>
    </row>
    <row r="5" spans="1:15" x14ac:dyDescent="0.2">
      <c r="A5" s="664" t="s">
        <v>178</v>
      </c>
      <c r="B5" s="665"/>
      <c r="C5" s="665"/>
      <c r="D5" s="682"/>
      <c r="E5" s="682"/>
      <c r="F5" s="682"/>
      <c r="G5" s="682"/>
      <c r="H5" s="682"/>
      <c r="I5" s="682"/>
      <c r="J5" s="682"/>
      <c r="K5" s="682"/>
      <c r="L5" s="682"/>
      <c r="M5" s="682"/>
      <c r="N5" s="682"/>
      <c r="O5" s="682"/>
    </row>
    <row r="6" spans="1:15" x14ac:dyDescent="0.2">
      <c r="A6" s="666" t="s">
        <v>115</v>
      </c>
      <c r="B6" s="666" t="str">
        <f t="shared" ref="B6:D7" si="0">B16</f>
        <v>TA</v>
      </c>
      <c r="C6" s="666" t="str">
        <f t="shared" si="0"/>
        <v>TRN.AIR</v>
      </c>
      <c r="D6" s="666" t="str">
        <f t="shared" si="0"/>
        <v>bn-pass-miles</v>
      </c>
      <c r="E6" s="683" t="e">
        <f t="shared" ref="E6:O6" si="1">E16+E26+E37+E48+E59+E70</f>
        <v>#REF!</v>
      </c>
      <c r="F6" s="683" t="e">
        <f t="shared" si="1"/>
        <v>#REF!</v>
      </c>
      <c r="G6" s="683" t="e">
        <f t="shared" si="1"/>
        <v>#REF!</v>
      </c>
      <c r="H6" s="683" t="e">
        <f t="shared" si="1"/>
        <v>#REF!</v>
      </c>
      <c r="I6" s="683" t="e">
        <f t="shared" si="1"/>
        <v>#REF!</v>
      </c>
      <c r="J6" s="683" t="e">
        <f t="shared" si="1"/>
        <v>#REF!</v>
      </c>
      <c r="K6" s="683" t="e">
        <f t="shared" si="1"/>
        <v>#REF!</v>
      </c>
      <c r="L6" s="683" t="e">
        <f t="shared" si="1"/>
        <v>#REF!</v>
      </c>
      <c r="M6" s="683" t="e">
        <f t="shared" si="1"/>
        <v>#REF!</v>
      </c>
      <c r="N6" s="683" t="e">
        <f t="shared" si="1"/>
        <v>#REF!</v>
      </c>
      <c r="O6" s="683" t="e">
        <f t="shared" si="1"/>
        <v>#REF!</v>
      </c>
    </row>
    <row r="7" spans="1:15" x14ac:dyDescent="0.2">
      <c r="A7" s="666" t="s">
        <v>115</v>
      </c>
      <c r="B7" s="666" t="str">
        <f t="shared" si="0"/>
        <v>TB</v>
      </c>
      <c r="C7" s="666" t="str">
        <f t="shared" si="0"/>
        <v>TRN.BUS</v>
      </c>
      <c r="D7" s="666" t="str">
        <f t="shared" si="0"/>
        <v>bn-vmt</v>
      </c>
      <c r="E7" s="683" t="e">
        <f t="shared" ref="E7:O7" si="2">E17+E27+E38+E49+E60+E71</f>
        <v>#REF!</v>
      </c>
      <c r="F7" s="683" t="e">
        <f t="shared" si="2"/>
        <v>#REF!</v>
      </c>
      <c r="G7" s="683" t="e">
        <f t="shared" si="2"/>
        <v>#REF!</v>
      </c>
      <c r="H7" s="683" t="e">
        <f t="shared" si="2"/>
        <v>#REF!</v>
      </c>
      <c r="I7" s="683" t="e">
        <f t="shared" si="2"/>
        <v>#REF!</v>
      </c>
      <c r="J7" s="683" t="e">
        <f t="shared" si="2"/>
        <v>#REF!</v>
      </c>
      <c r="K7" s="683" t="e">
        <f t="shared" si="2"/>
        <v>#REF!</v>
      </c>
      <c r="L7" s="683" t="e">
        <f t="shared" si="2"/>
        <v>#REF!</v>
      </c>
      <c r="M7" s="683" t="e">
        <f t="shared" si="2"/>
        <v>#REF!</v>
      </c>
      <c r="N7" s="683" t="e">
        <f t="shared" si="2"/>
        <v>#REF!</v>
      </c>
      <c r="O7" s="683" t="e">
        <f t="shared" si="2"/>
        <v>#REF!</v>
      </c>
    </row>
    <row r="8" spans="1:15" x14ac:dyDescent="0.2">
      <c r="A8" s="666" t="s">
        <v>115</v>
      </c>
      <c r="B8" s="666" t="s">
        <v>96</v>
      </c>
      <c r="C8" s="666" t="s">
        <v>179</v>
      </c>
      <c r="D8" s="666" t="s">
        <v>95</v>
      </c>
      <c r="E8" s="683" t="e">
        <f t="shared" ref="E8:O8" si="3">E18+E28+E39+E50+E61+E72</f>
        <v>#REF!</v>
      </c>
      <c r="F8" s="683" t="e">
        <f t="shared" si="3"/>
        <v>#REF!</v>
      </c>
      <c r="G8" s="683" t="e">
        <f t="shared" si="3"/>
        <v>#REF!</v>
      </c>
      <c r="H8" s="683" t="e">
        <f t="shared" si="3"/>
        <v>#REF!</v>
      </c>
      <c r="I8" s="683" t="e">
        <f t="shared" si="3"/>
        <v>#REF!</v>
      </c>
      <c r="J8" s="683" t="e">
        <f t="shared" si="3"/>
        <v>#REF!</v>
      </c>
      <c r="K8" s="683" t="e">
        <f t="shared" si="3"/>
        <v>#REF!</v>
      </c>
      <c r="L8" s="683" t="e">
        <f t="shared" si="3"/>
        <v>#REF!</v>
      </c>
      <c r="M8" s="683" t="e">
        <f t="shared" si="3"/>
        <v>#REF!</v>
      </c>
      <c r="N8" s="683" t="e">
        <f t="shared" si="3"/>
        <v>#REF!</v>
      </c>
      <c r="O8" s="683" t="e">
        <f t="shared" si="3"/>
        <v>#REF!</v>
      </c>
    </row>
    <row r="9" spans="1:15" x14ac:dyDescent="0.2">
      <c r="A9" s="666" t="s">
        <v>115</v>
      </c>
      <c r="B9" s="666" t="str">
        <f>B19</f>
        <v>THS</v>
      </c>
      <c r="C9" s="666" t="str">
        <f>C19</f>
        <v>TRN.HDV Short Haul</v>
      </c>
      <c r="D9" s="666" t="str">
        <f>D19</f>
        <v>bn-vmt</v>
      </c>
      <c r="E9" s="683" t="e">
        <f t="shared" ref="E9:O9" si="4">E19+E29+E40+E51+E62+E73</f>
        <v>#REF!</v>
      </c>
      <c r="F9" s="683" t="e">
        <f t="shared" si="4"/>
        <v>#REF!</v>
      </c>
      <c r="G9" s="683" t="e">
        <f t="shared" si="4"/>
        <v>#REF!</v>
      </c>
      <c r="H9" s="683" t="e">
        <f t="shared" si="4"/>
        <v>#REF!</v>
      </c>
      <c r="I9" s="683" t="e">
        <f t="shared" si="4"/>
        <v>#REF!</v>
      </c>
      <c r="J9" s="683" t="e">
        <f t="shared" si="4"/>
        <v>#REF!</v>
      </c>
      <c r="K9" s="683" t="e">
        <f t="shared" si="4"/>
        <v>#REF!</v>
      </c>
      <c r="L9" s="683" t="e">
        <f t="shared" si="4"/>
        <v>#REF!</v>
      </c>
      <c r="M9" s="683" t="e">
        <f t="shared" si="4"/>
        <v>#REF!</v>
      </c>
      <c r="N9" s="683" t="e">
        <f t="shared" si="4"/>
        <v>#REF!</v>
      </c>
      <c r="O9" s="683" t="e">
        <f t="shared" si="4"/>
        <v>#REF!</v>
      </c>
    </row>
    <row r="10" spans="1:15" x14ac:dyDescent="0.2">
      <c r="A10" s="666" t="s">
        <v>115</v>
      </c>
      <c r="B10" s="666" t="str">
        <f>B20</f>
        <v>THL</v>
      </c>
      <c r="C10" s="666" t="str">
        <f>C20</f>
        <v>TRN.HDV Long Haul</v>
      </c>
      <c r="D10" s="666" t="str">
        <f>D9</f>
        <v>bn-vmt</v>
      </c>
      <c r="E10" s="683" t="e">
        <f t="shared" ref="E10:O10" si="5">E20+E30+E41+E52+E63+E74</f>
        <v>#REF!</v>
      </c>
      <c r="F10" s="683" t="e">
        <f t="shared" si="5"/>
        <v>#REF!</v>
      </c>
      <c r="G10" s="683" t="e">
        <f t="shared" si="5"/>
        <v>#REF!</v>
      </c>
      <c r="H10" s="683" t="e">
        <f t="shared" si="5"/>
        <v>#REF!</v>
      </c>
      <c r="I10" s="683" t="e">
        <f t="shared" si="5"/>
        <v>#REF!</v>
      </c>
      <c r="J10" s="683" t="e">
        <f t="shared" si="5"/>
        <v>#REF!</v>
      </c>
      <c r="K10" s="683" t="e">
        <f t="shared" si="5"/>
        <v>#REF!</v>
      </c>
      <c r="L10" s="683" t="e">
        <f t="shared" si="5"/>
        <v>#REF!</v>
      </c>
      <c r="M10" s="683" t="e">
        <f t="shared" si="5"/>
        <v>#REF!</v>
      </c>
      <c r="N10" s="683" t="e">
        <f t="shared" si="5"/>
        <v>#REF!</v>
      </c>
      <c r="O10" s="683" t="e">
        <f t="shared" si="5"/>
        <v>#REF!</v>
      </c>
    </row>
    <row r="11" spans="1:15" x14ac:dyDescent="0.2">
      <c r="A11" s="666" t="s">
        <v>115</v>
      </c>
      <c r="B11" s="666" t="str">
        <f>B21</f>
        <v>TRF</v>
      </c>
      <c r="C11" s="666" t="str">
        <f t="shared" ref="C11:D14" si="6">C21</f>
        <v>TRN.RAIL.FREIGHT</v>
      </c>
      <c r="D11" s="666" t="str">
        <f t="shared" si="6"/>
        <v>bn-t-m</v>
      </c>
      <c r="E11" s="683" t="e">
        <f t="shared" ref="E11:O11" si="7">E21+E31+E42+E53+E64+E75</f>
        <v>#REF!</v>
      </c>
      <c r="F11" s="683" t="e">
        <f t="shared" si="7"/>
        <v>#REF!</v>
      </c>
      <c r="G11" s="683" t="e">
        <f t="shared" si="7"/>
        <v>#REF!</v>
      </c>
      <c r="H11" s="683" t="e">
        <f t="shared" si="7"/>
        <v>#REF!</v>
      </c>
      <c r="I11" s="683" t="e">
        <f t="shared" si="7"/>
        <v>#REF!</v>
      </c>
      <c r="J11" s="683" t="e">
        <f t="shared" si="7"/>
        <v>#REF!</v>
      </c>
      <c r="K11" s="683" t="e">
        <f t="shared" si="7"/>
        <v>#REF!</v>
      </c>
      <c r="L11" s="683" t="e">
        <f t="shared" si="7"/>
        <v>#REF!</v>
      </c>
      <c r="M11" s="683" t="e">
        <f t="shared" si="7"/>
        <v>#REF!</v>
      </c>
      <c r="N11" s="683" t="e">
        <f t="shared" si="7"/>
        <v>#REF!</v>
      </c>
      <c r="O11" s="683" t="e">
        <f t="shared" si="7"/>
        <v>#REF!</v>
      </c>
    </row>
    <row r="12" spans="1:15" x14ac:dyDescent="0.2">
      <c r="A12" s="666" t="s">
        <v>115</v>
      </c>
      <c r="B12" s="666" t="str">
        <f>B22</f>
        <v>TRP</v>
      </c>
      <c r="C12" s="666" t="str">
        <f t="shared" si="6"/>
        <v>TRN.RAIL.PASS</v>
      </c>
      <c r="D12" s="666" t="str">
        <f t="shared" si="6"/>
        <v>bn-pass-miles</v>
      </c>
      <c r="E12" s="683" t="e">
        <f t="shared" ref="E12:O12" si="8">E22+E32+E43+E54+E65+E76</f>
        <v>#REF!</v>
      </c>
      <c r="F12" s="683" t="e">
        <f t="shared" si="8"/>
        <v>#REF!</v>
      </c>
      <c r="G12" s="683" t="e">
        <f t="shared" si="8"/>
        <v>#REF!</v>
      </c>
      <c r="H12" s="683" t="e">
        <f t="shared" si="8"/>
        <v>#REF!</v>
      </c>
      <c r="I12" s="683" t="e">
        <f t="shared" si="8"/>
        <v>#REF!</v>
      </c>
      <c r="J12" s="683" t="e">
        <f t="shared" si="8"/>
        <v>#REF!</v>
      </c>
      <c r="K12" s="683" t="e">
        <f t="shared" si="8"/>
        <v>#REF!</v>
      </c>
      <c r="L12" s="683" t="e">
        <f t="shared" si="8"/>
        <v>#REF!</v>
      </c>
      <c r="M12" s="683" t="e">
        <f t="shared" si="8"/>
        <v>#REF!</v>
      </c>
      <c r="N12" s="683" t="e">
        <f t="shared" si="8"/>
        <v>#REF!</v>
      </c>
      <c r="O12" s="683" t="e">
        <f t="shared" si="8"/>
        <v>#REF!</v>
      </c>
    </row>
    <row r="13" spans="1:15" x14ac:dyDescent="0.2">
      <c r="A13" s="666" t="s">
        <v>115</v>
      </c>
      <c r="B13" s="666" t="str">
        <f>B23</f>
        <v>TS</v>
      </c>
      <c r="C13" s="666" t="str">
        <f t="shared" si="6"/>
        <v>TRN.SHIP</v>
      </c>
      <c r="D13" s="666" t="str">
        <f t="shared" si="6"/>
        <v>bn-t-m</v>
      </c>
      <c r="E13" s="683" t="e">
        <f t="shared" ref="E13:O13" si="9">E23+E33+E44+E55+E66+E77</f>
        <v>#REF!</v>
      </c>
      <c r="F13" s="683" t="e">
        <f t="shared" si="9"/>
        <v>#REF!</v>
      </c>
      <c r="G13" s="683" t="e">
        <f t="shared" si="9"/>
        <v>#REF!</v>
      </c>
      <c r="H13" s="683" t="e">
        <f t="shared" si="9"/>
        <v>#REF!</v>
      </c>
      <c r="I13" s="683" t="e">
        <f t="shared" si="9"/>
        <v>#REF!</v>
      </c>
      <c r="J13" s="683" t="e">
        <f t="shared" si="9"/>
        <v>#REF!</v>
      </c>
      <c r="K13" s="683" t="e">
        <f t="shared" si="9"/>
        <v>#REF!</v>
      </c>
      <c r="L13" s="683" t="e">
        <f t="shared" si="9"/>
        <v>#REF!</v>
      </c>
      <c r="M13" s="683" t="e">
        <f t="shared" si="9"/>
        <v>#REF!</v>
      </c>
      <c r="N13" s="683" t="e">
        <f t="shared" si="9"/>
        <v>#REF!</v>
      </c>
      <c r="O13" s="683" t="e">
        <f t="shared" si="9"/>
        <v>#REF!</v>
      </c>
    </row>
    <row r="14" spans="1:15" x14ac:dyDescent="0.2">
      <c r="A14" s="666" t="s">
        <v>115</v>
      </c>
      <c r="B14" s="666" t="str">
        <f>B24</f>
        <v>TC</v>
      </c>
      <c r="C14" s="666" t="str">
        <f t="shared" si="6"/>
        <v>TRN.TRUCK.COMMERCIAL</v>
      </c>
      <c r="D14" s="666" t="str">
        <f t="shared" si="6"/>
        <v>bn-vmt</v>
      </c>
      <c r="E14" s="683" t="e">
        <f t="shared" ref="E14:O14" si="10">E24+E34+E45+E56+E67+E78</f>
        <v>#REF!</v>
      </c>
      <c r="F14" s="683" t="e">
        <f t="shared" si="10"/>
        <v>#REF!</v>
      </c>
      <c r="G14" s="683" t="e">
        <f t="shared" si="10"/>
        <v>#REF!</v>
      </c>
      <c r="H14" s="683" t="e">
        <f t="shared" si="10"/>
        <v>#REF!</v>
      </c>
      <c r="I14" s="683" t="e">
        <f t="shared" si="10"/>
        <v>#REF!</v>
      </c>
      <c r="J14" s="683" t="e">
        <f t="shared" si="10"/>
        <v>#REF!</v>
      </c>
      <c r="K14" s="683" t="e">
        <f t="shared" si="10"/>
        <v>#REF!</v>
      </c>
      <c r="L14" s="683" t="e">
        <f t="shared" si="10"/>
        <v>#REF!</v>
      </c>
      <c r="M14" s="683" t="e">
        <f t="shared" si="10"/>
        <v>#REF!</v>
      </c>
      <c r="N14" s="683" t="e">
        <f t="shared" si="10"/>
        <v>#REF!</v>
      </c>
      <c r="O14" s="683" t="e">
        <f t="shared" si="10"/>
        <v>#REF!</v>
      </c>
    </row>
    <row r="15" spans="1:15" x14ac:dyDescent="0.2">
      <c r="A15" s="668" t="s">
        <v>115</v>
      </c>
      <c r="B15" s="668"/>
      <c r="C15" s="668"/>
      <c r="D15" s="668"/>
      <c r="E15" s="682"/>
      <c r="F15" s="682"/>
      <c r="G15" s="682"/>
      <c r="H15" s="682"/>
      <c r="I15" s="682"/>
      <c r="J15" s="682"/>
      <c r="K15" s="682"/>
      <c r="L15" s="682"/>
      <c r="M15" s="682"/>
      <c r="N15" s="682"/>
      <c r="O15" s="682"/>
    </row>
    <row r="16" spans="1:15" x14ac:dyDescent="0.2">
      <c r="A16" s="666" t="s">
        <v>180</v>
      </c>
      <c r="B16" s="666" t="s">
        <v>89</v>
      </c>
      <c r="C16" s="666" t="s">
        <v>90</v>
      </c>
      <c r="D16" s="666" t="s">
        <v>91</v>
      </c>
      <c r="E16" s="683" t="e">
        <f>#REF!</f>
        <v>#REF!</v>
      </c>
      <c r="F16" s="683" t="e">
        <f>#REF!</f>
        <v>#REF!</v>
      </c>
      <c r="G16" s="683" t="e">
        <f>#REF!</f>
        <v>#REF!</v>
      </c>
      <c r="H16" s="683" t="e">
        <f>#REF!</f>
        <v>#REF!</v>
      </c>
      <c r="I16" s="683" t="e">
        <f>#REF!</f>
        <v>#REF!</v>
      </c>
      <c r="J16" s="683" t="e">
        <f>#REF!</f>
        <v>#REF!</v>
      </c>
      <c r="K16" s="683" t="e">
        <f>#REF!</f>
        <v>#REF!</v>
      </c>
      <c r="L16" s="683" t="e">
        <f>#REF!</f>
        <v>#REF!</v>
      </c>
      <c r="M16" s="683" t="e">
        <f>#REF!</f>
        <v>#REF!</v>
      </c>
      <c r="N16" s="683" t="e">
        <f>#REF!</f>
        <v>#REF!</v>
      </c>
      <c r="O16" s="683" t="e">
        <f>#REF!</f>
        <v>#REF!</v>
      </c>
    </row>
    <row r="17" spans="1:15" x14ac:dyDescent="0.2">
      <c r="A17" s="666" t="s">
        <v>180</v>
      </c>
      <c r="B17" s="666" t="s">
        <v>93</v>
      </c>
      <c r="C17" s="666" t="s">
        <v>94</v>
      </c>
      <c r="D17" s="666" t="s">
        <v>95</v>
      </c>
      <c r="E17" s="683" t="e">
        <f>#REF!</f>
        <v>#REF!</v>
      </c>
      <c r="F17" s="683" t="e">
        <f>#REF!</f>
        <v>#REF!</v>
      </c>
      <c r="G17" s="683" t="e">
        <f>#REF!</f>
        <v>#REF!</v>
      </c>
      <c r="H17" s="683" t="e">
        <f>#REF!</f>
        <v>#REF!</v>
      </c>
      <c r="I17" s="683" t="e">
        <f>#REF!</f>
        <v>#REF!</v>
      </c>
      <c r="J17" s="683" t="e">
        <f>#REF!</f>
        <v>#REF!</v>
      </c>
      <c r="K17" s="683" t="e">
        <f>#REF!</f>
        <v>#REF!</v>
      </c>
      <c r="L17" s="683" t="e">
        <f>#REF!</f>
        <v>#REF!</v>
      </c>
      <c r="M17" s="683" t="e">
        <f>#REF!</f>
        <v>#REF!</v>
      </c>
      <c r="N17" s="683" t="e">
        <f>#REF!</f>
        <v>#REF!</v>
      </c>
      <c r="O17" s="683" t="e">
        <f>#REF!</f>
        <v>#REF!</v>
      </c>
    </row>
    <row r="18" spans="1:15" x14ac:dyDescent="0.2">
      <c r="A18" s="666" t="s">
        <v>180</v>
      </c>
      <c r="B18" s="666" t="s">
        <v>96</v>
      </c>
      <c r="C18" s="666" t="s">
        <v>179</v>
      </c>
      <c r="D18" s="666" t="s">
        <v>95</v>
      </c>
      <c r="E18" s="683" t="e">
        <f>#REF!</f>
        <v>#REF!</v>
      </c>
      <c r="F18" s="683" t="e">
        <f>#REF!</f>
        <v>#REF!</v>
      </c>
      <c r="G18" s="683" t="e">
        <f>#REF!</f>
        <v>#REF!</v>
      </c>
      <c r="H18" s="683" t="e">
        <f>#REF!</f>
        <v>#REF!</v>
      </c>
      <c r="I18" s="683" t="e">
        <f>#REF!</f>
        <v>#REF!</v>
      </c>
      <c r="J18" s="683" t="e">
        <f>#REF!</f>
        <v>#REF!</v>
      </c>
      <c r="K18" s="683" t="e">
        <f>#REF!</f>
        <v>#REF!</v>
      </c>
      <c r="L18" s="683" t="e">
        <f>#REF!</f>
        <v>#REF!</v>
      </c>
      <c r="M18" s="683" t="e">
        <f>#REF!</f>
        <v>#REF!</v>
      </c>
      <c r="N18" s="683" t="e">
        <f>#REF!</f>
        <v>#REF!</v>
      </c>
      <c r="O18" s="683" t="e">
        <f>#REF!</f>
        <v>#REF!</v>
      </c>
    </row>
    <row r="19" spans="1:15" x14ac:dyDescent="0.2">
      <c r="A19" s="666" t="s">
        <v>180</v>
      </c>
      <c r="B19" s="666" t="str">
        <f>Commodities!$C$12</f>
        <v>THS</v>
      </c>
      <c r="C19" s="666" t="str">
        <f>Commodities!$D$12</f>
        <v>TRN.HDV Short Haul</v>
      </c>
      <c r="D19" s="666" t="s">
        <v>95</v>
      </c>
      <c r="E19" s="683" t="e">
        <f>#REF!</f>
        <v>#REF!</v>
      </c>
      <c r="F19" s="683" t="e">
        <f>#REF!</f>
        <v>#REF!</v>
      </c>
      <c r="G19" s="683" t="e">
        <f>#REF!</f>
        <v>#REF!</v>
      </c>
      <c r="H19" s="683" t="e">
        <f>#REF!</f>
        <v>#REF!</v>
      </c>
      <c r="I19" s="683" t="e">
        <f>#REF!</f>
        <v>#REF!</v>
      </c>
      <c r="J19" s="683" t="e">
        <f>#REF!</f>
        <v>#REF!</v>
      </c>
      <c r="K19" s="683" t="e">
        <f>#REF!</f>
        <v>#REF!</v>
      </c>
      <c r="L19" s="683" t="e">
        <f>#REF!</f>
        <v>#REF!</v>
      </c>
      <c r="M19" s="683" t="e">
        <f>#REF!</f>
        <v>#REF!</v>
      </c>
      <c r="N19" s="683" t="e">
        <f>#REF!</f>
        <v>#REF!</v>
      </c>
      <c r="O19" s="683" t="e">
        <f>#REF!</f>
        <v>#REF!</v>
      </c>
    </row>
    <row r="20" spans="1:15" x14ac:dyDescent="0.2">
      <c r="A20" s="666" t="s">
        <v>180</v>
      </c>
      <c r="B20" s="666" t="str">
        <f>Commodities!$C$13</f>
        <v>THL</v>
      </c>
      <c r="C20" s="666" t="str">
        <f>Commodities!$D$13</f>
        <v>TRN.HDV Long Haul</v>
      </c>
      <c r="D20" s="666" t="s">
        <v>95</v>
      </c>
      <c r="E20" s="683" t="e">
        <f>#REF!</f>
        <v>#REF!</v>
      </c>
      <c r="F20" s="683" t="e">
        <f>#REF!</f>
        <v>#REF!</v>
      </c>
      <c r="G20" s="683" t="e">
        <f>#REF!</f>
        <v>#REF!</v>
      </c>
      <c r="H20" s="683" t="e">
        <f>#REF!</f>
        <v>#REF!</v>
      </c>
      <c r="I20" s="683" t="e">
        <f>#REF!</f>
        <v>#REF!</v>
      </c>
      <c r="J20" s="683" t="e">
        <f>#REF!</f>
        <v>#REF!</v>
      </c>
      <c r="K20" s="683" t="e">
        <f>#REF!</f>
        <v>#REF!</v>
      </c>
      <c r="L20" s="683" t="e">
        <f>#REF!</f>
        <v>#REF!</v>
      </c>
      <c r="M20" s="683" t="e">
        <f>#REF!</f>
        <v>#REF!</v>
      </c>
      <c r="N20" s="683" t="e">
        <f>#REF!</f>
        <v>#REF!</v>
      </c>
      <c r="O20" s="683" t="e">
        <f>#REF!</f>
        <v>#REF!</v>
      </c>
    </row>
    <row r="21" spans="1:15" x14ac:dyDescent="0.2">
      <c r="A21" s="666" t="s">
        <v>180</v>
      </c>
      <c r="B21" s="666" t="s">
        <v>106</v>
      </c>
      <c r="C21" s="666" t="s">
        <v>107</v>
      </c>
      <c r="D21" s="666" t="s">
        <v>104</v>
      </c>
      <c r="E21" s="683" t="e">
        <f>#REF!</f>
        <v>#REF!</v>
      </c>
      <c r="F21" s="683" t="e">
        <f>#REF!</f>
        <v>#REF!</v>
      </c>
      <c r="G21" s="683" t="e">
        <f>#REF!</f>
        <v>#REF!</v>
      </c>
      <c r="H21" s="683" t="e">
        <f>#REF!</f>
        <v>#REF!</v>
      </c>
      <c r="I21" s="683" t="e">
        <f>#REF!</f>
        <v>#REF!</v>
      </c>
      <c r="J21" s="683" t="e">
        <f>#REF!</f>
        <v>#REF!</v>
      </c>
      <c r="K21" s="683" t="e">
        <f>#REF!</f>
        <v>#REF!</v>
      </c>
      <c r="L21" s="683" t="e">
        <f>#REF!</f>
        <v>#REF!</v>
      </c>
      <c r="M21" s="683" t="e">
        <f>#REF!</f>
        <v>#REF!</v>
      </c>
      <c r="N21" s="683" t="e">
        <f>#REF!</f>
        <v>#REF!</v>
      </c>
      <c r="O21" s="683" t="e">
        <f>#REF!</f>
        <v>#REF!</v>
      </c>
    </row>
    <row r="22" spans="1:15" ht="13.5" customHeight="1" x14ac:dyDescent="0.2">
      <c r="A22" s="666" t="s">
        <v>180</v>
      </c>
      <c r="B22" s="666" t="s">
        <v>110</v>
      </c>
      <c r="C22" s="666" t="s">
        <v>111</v>
      </c>
      <c r="D22" s="666" t="s">
        <v>91</v>
      </c>
      <c r="E22" s="683" t="e">
        <f>#REF!</f>
        <v>#REF!</v>
      </c>
      <c r="F22" s="683" t="e">
        <f>#REF!</f>
        <v>#REF!</v>
      </c>
      <c r="G22" s="683" t="e">
        <f>#REF!</f>
        <v>#REF!</v>
      </c>
      <c r="H22" s="683" t="e">
        <f>#REF!</f>
        <v>#REF!</v>
      </c>
      <c r="I22" s="683" t="e">
        <f>#REF!</f>
        <v>#REF!</v>
      </c>
      <c r="J22" s="683" t="e">
        <f>#REF!</f>
        <v>#REF!</v>
      </c>
      <c r="K22" s="683" t="e">
        <f>#REF!</f>
        <v>#REF!</v>
      </c>
      <c r="L22" s="683" t="e">
        <f>#REF!</f>
        <v>#REF!</v>
      </c>
      <c r="M22" s="683" t="e">
        <f>#REF!</f>
        <v>#REF!</v>
      </c>
      <c r="N22" s="683" t="e">
        <f>#REF!</f>
        <v>#REF!</v>
      </c>
      <c r="O22" s="683" t="e">
        <f>#REF!</f>
        <v>#REF!</v>
      </c>
    </row>
    <row r="23" spans="1:15" x14ac:dyDescent="0.2">
      <c r="A23" s="666" t="s">
        <v>180</v>
      </c>
      <c r="B23" s="666" t="s">
        <v>102</v>
      </c>
      <c r="C23" s="666" t="s">
        <v>103</v>
      </c>
      <c r="D23" s="666" t="s">
        <v>104</v>
      </c>
      <c r="E23" s="683" t="e">
        <f>#REF!</f>
        <v>#REF!</v>
      </c>
      <c r="F23" s="683" t="e">
        <f>#REF!</f>
        <v>#REF!</v>
      </c>
      <c r="G23" s="683" t="e">
        <f>#REF!</f>
        <v>#REF!</v>
      </c>
      <c r="H23" s="683" t="e">
        <f>#REF!</f>
        <v>#REF!</v>
      </c>
      <c r="I23" s="683" t="e">
        <f>#REF!</f>
        <v>#REF!</v>
      </c>
      <c r="J23" s="683" t="e">
        <f>#REF!</f>
        <v>#REF!</v>
      </c>
      <c r="K23" s="683" t="e">
        <f>#REF!</f>
        <v>#REF!</v>
      </c>
      <c r="L23" s="683" t="e">
        <f>#REF!</f>
        <v>#REF!</v>
      </c>
      <c r="M23" s="683" t="e">
        <f>#REF!</f>
        <v>#REF!</v>
      </c>
      <c r="N23" s="683" t="e">
        <f>#REF!</f>
        <v>#REF!</v>
      </c>
      <c r="O23" s="683" t="e">
        <f>#REF!</f>
        <v>#REF!</v>
      </c>
    </row>
    <row r="24" spans="1:15" x14ac:dyDescent="0.2">
      <c r="A24" s="666" t="s">
        <v>180</v>
      </c>
      <c r="B24" s="666" t="s">
        <v>112</v>
      </c>
      <c r="C24" s="666" t="str">
        <f>Commodities!D18</f>
        <v>TRN.TRUCK.COMMERCIAL</v>
      </c>
      <c r="D24" s="666" t="s">
        <v>95</v>
      </c>
      <c r="E24" s="683" t="e">
        <f>#REF!</f>
        <v>#REF!</v>
      </c>
      <c r="F24" s="683" t="e">
        <f>#REF!</f>
        <v>#REF!</v>
      </c>
      <c r="G24" s="683" t="e">
        <f>#REF!</f>
        <v>#REF!</v>
      </c>
      <c r="H24" s="683" t="e">
        <f>#REF!</f>
        <v>#REF!</v>
      </c>
      <c r="I24" s="683" t="e">
        <f>#REF!</f>
        <v>#REF!</v>
      </c>
      <c r="J24" s="683" t="e">
        <f>#REF!</f>
        <v>#REF!</v>
      </c>
      <c r="K24" s="683" t="e">
        <f>#REF!</f>
        <v>#REF!</v>
      </c>
      <c r="L24" s="683" t="e">
        <f>#REF!</f>
        <v>#REF!</v>
      </c>
      <c r="M24" s="683" t="e">
        <f>#REF!</f>
        <v>#REF!</v>
      </c>
      <c r="N24" s="683" t="e">
        <f>#REF!</f>
        <v>#REF!</v>
      </c>
      <c r="O24" s="683" t="e">
        <f>#REF!</f>
        <v>#REF!</v>
      </c>
    </row>
    <row r="25" spans="1:15" x14ac:dyDescent="0.2">
      <c r="A25" s="668" t="s">
        <v>181</v>
      </c>
      <c r="B25" s="668"/>
      <c r="C25" s="668"/>
      <c r="D25" s="668"/>
      <c r="E25" s="682"/>
      <c r="F25" s="682"/>
      <c r="G25" s="682"/>
      <c r="H25" s="682"/>
      <c r="I25" s="682"/>
      <c r="J25" s="682"/>
      <c r="K25" s="682"/>
      <c r="L25" s="682"/>
      <c r="M25" s="682"/>
      <c r="N25" s="682"/>
      <c r="O25" s="682"/>
    </row>
    <row r="26" spans="1:15" x14ac:dyDescent="0.2">
      <c r="A26" s="666" t="s">
        <v>181</v>
      </c>
      <c r="B26" s="666" t="str">
        <f>Commodities!C$9</f>
        <v>TA</v>
      </c>
      <c r="C26" s="666" t="str">
        <f>Commodities!D$9</f>
        <v>TRN.AIR</v>
      </c>
      <c r="D26" s="666" t="s">
        <v>91</v>
      </c>
      <c r="E26" s="683" t="e">
        <f>#REF!</f>
        <v>#REF!</v>
      </c>
      <c r="F26" s="683" t="e">
        <f>#REF!</f>
        <v>#REF!</v>
      </c>
      <c r="G26" s="683" t="e">
        <f>#REF!</f>
        <v>#REF!</v>
      </c>
      <c r="H26" s="683" t="e">
        <f>#REF!</f>
        <v>#REF!</v>
      </c>
      <c r="I26" s="683" t="e">
        <f>#REF!</f>
        <v>#REF!</v>
      </c>
      <c r="J26" s="683" t="e">
        <f>#REF!</f>
        <v>#REF!</v>
      </c>
      <c r="K26" s="683" t="e">
        <f>#REF!</f>
        <v>#REF!</v>
      </c>
      <c r="L26" s="683" t="e">
        <f>#REF!</f>
        <v>#REF!</v>
      </c>
      <c r="M26" s="683" t="e">
        <f>#REF!</f>
        <v>#REF!</v>
      </c>
      <c r="N26" s="683" t="e">
        <f>#REF!</f>
        <v>#REF!</v>
      </c>
      <c r="O26" s="683" t="e">
        <f>#REF!</f>
        <v>#REF!</v>
      </c>
    </row>
    <row r="27" spans="1:15" x14ac:dyDescent="0.2">
      <c r="A27" s="666" t="str">
        <f>IF(LEFT(Commodities!B$10,1)="*",A$25,RIGHT(A$25,2))</f>
        <v>R2</v>
      </c>
      <c r="B27" s="666" t="str">
        <f>Commodities!C$10</f>
        <v>TB</v>
      </c>
      <c r="C27" s="666" t="str">
        <f>Commodities!D$10</f>
        <v>TRN.BUS</v>
      </c>
      <c r="D27" s="666" t="s">
        <v>95</v>
      </c>
      <c r="E27" s="683" t="e">
        <f>#REF!</f>
        <v>#REF!</v>
      </c>
      <c r="F27" s="683" t="e">
        <f>#REF!</f>
        <v>#REF!</v>
      </c>
      <c r="G27" s="683" t="e">
        <f>#REF!</f>
        <v>#REF!</v>
      </c>
      <c r="H27" s="683" t="e">
        <f>#REF!</f>
        <v>#REF!</v>
      </c>
      <c r="I27" s="683" t="e">
        <f>#REF!</f>
        <v>#REF!</v>
      </c>
      <c r="J27" s="683" t="e">
        <f>#REF!</f>
        <v>#REF!</v>
      </c>
      <c r="K27" s="683" t="e">
        <f>#REF!</f>
        <v>#REF!</v>
      </c>
      <c r="L27" s="683" t="e">
        <f>#REF!</f>
        <v>#REF!</v>
      </c>
      <c r="M27" s="683" t="e">
        <f>#REF!</f>
        <v>#REF!</v>
      </c>
      <c r="N27" s="683" t="e">
        <f>#REF!</f>
        <v>#REF!</v>
      </c>
      <c r="O27" s="683" t="e">
        <f>#REF!</f>
        <v>#REF!</v>
      </c>
    </row>
    <row r="28" spans="1:15" x14ac:dyDescent="0.2">
      <c r="A28" s="666" t="s">
        <v>182</v>
      </c>
      <c r="B28" s="666" t="str">
        <f>Commodities!C$11</f>
        <v>TM</v>
      </c>
      <c r="C28" s="666" t="str">
        <f>Commodities!D$11</f>
        <v>TRN.Medium Duty Trucks</v>
      </c>
      <c r="D28" s="666" t="s">
        <v>95</v>
      </c>
      <c r="E28" s="683" t="e">
        <f>#REF!</f>
        <v>#REF!</v>
      </c>
      <c r="F28" s="683" t="e">
        <f>#REF!</f>
        <v>#REF!</v>
      </c>
      <c r="G28" s="683" t="e">
        <f>#REF!</f>
        <v>#REF!</v>
      </c>
      <c r="H28" s="683" t="e">
        <f>#REF!</f>
        <v>#REF!</v>
      </c>
      <c r="I28" s="683" t="e">
        <f>#REF!</f>
        <v>#REF!</v>
      </c>
      <c r="J28" s="683" t="e">
        <f>#REF!</f>
        <v>#REF!</v>
      </c>
      <c r="K28" s="683" t="e">
        <f>#REF!</f>
        <v>#REF!</v>
      </c>
      <c r="L28" s="683" t="e">
        <f>#REF!</f>
        <v>#REF!</v>
      </c>
      <c r="M28" s="683" t="e">
        <f>#REF!</f>
        <v>#REF!</v>
      </c>
      <c r="N28" s="683" t="e">
        <f>#REF!</f>
        <v>#REF!</v>
      </c>
      <c r="O28" s="683" t="e">
        <f>#REF!</f>
        <v>#REF!</v>
      </c>
    </row>
    <row r="29" spans="1:15" x14ac:dyDescent="0.2">
      <c r="A29" s="666" t="str">
        <f>IF(LEFT(Commodities!B$12,1)="*",A$25,RIGHT(A$25,2))</f>
        <v>R2</v>
      </c>
      <c r="B29" s="666" t="str">
        <f>Commodities!C$12</f>
        <v>THS</v>
      </c>
      <c r="C29" s="666" t="str">
        <f>Commodities!$D$12</f>
        <v>TRN.HDV Short Haul</v>
      </c>
      <c r="D29" s="666" t="s">
        <v>95</v>
      </c>
      <c r="E29" s="683" t="e">
        <f>#REF!</f>
        <v>#REF!</v>
      </c>
      <c r="F29" s="683" t="e">
        <f>#REF!</f>
        <v>#REF!</v>
      </c>
      <c r="G29" s="683" t="e">
        <f>#REF!</f>
        <v>#REF!</v>
      </c>
      <c r="H29" s="683" t="e">
        <f>#REF!</f>
        <v>#REF!</v>
      </c>
      <c r="I29" s="683" t="e">
        <f>#REF!</f>
        <v>#REF!</v>
      </c>
      <c r="J29" s="683" t="e">
        <f>#REF!</f>
        <v>#REF!</v>
      </c>
      <c r="K29" s="683" t="e">
        <f>#REF!</f>
        <v>#REF!</v>
      </c>
      <c r="L29" s="683" t="e">
        <f>#REF!</f>
        <v>#REF!</v>
      </c>
      <c r="M29" s="683" t="e">
        <f>#REF!</f>
        <v>#REF!</v>
      </c>
      <c r="N29" s="683" t="e">
        <f>#REF!</f>
        <v>#REF!</v>
      </c>
      <c r="O29" s="683" t="e">
        <f>#REF!</f>
        <v>#REF!</v>
      </c>
    </row>
    <row r="30" spans="1:15" x14ac:dyDescent="0.2">
      <c r="A30" s="666" t="str">
        <f>IF(LEFT(Commodities!B$13,1)="*",A$25,RIGHT(A$25,2))</f>
        <v>*R2</v>
      </c>
      <c r="B30" s="666" t="str">
        <f>Commodities!C$13</f>
        <v>THL</v>
      </c>
      <c r="C30" s="666" t="str">
        <f>Commodities!$D$13</f>
        <v>TRN.HDV Long Haul</v>
      </c>
      <c r="D30" s="666" t="s">
        <v>95</v>
      </c>
      <c r="E30" s="683" t="e">
        <f>#REF!</f>
        <v>#REF!</v>
      </c>
      <c r="F30" s="683" t="e">
        <f>#REF!</f>
        <v>#REF!</v>
      </c>
      <c r="G30" s="683" t="e">
        <f>#REF!</f>
        <v>#REF!</v>
      </c>
      <c r="H30" s="683" t="e">
        <f>#REF!</f>
        <v>#REF!</v>
      </c>
      <c r="I30" s="683" t="e">
        <f>#REF!</f>
        <v>#REF!</v>
      </c>
      <c r="J30" s="683" t="e">
        <f>#REF!</f>
        <v>#REF!</v>
      </c>
      <c r="K30" s="683" t="e">
        <f>#REF!</f>
        <v>#REF!</v>
      </c>
      <c r="L30" s="683" t="e">
        <f>#REF!</f>
        <v>#REF!</v>
      </c>
      <c r="M30" s="683" t="e">
        <f>#REF!</f>
        <v>#REF!</v>
      </c>
      <c r="N30" s="683" t="e">
        <f>#REF!</f>
        <v>#REF!</v>
      </c>
      <c r="O30" s="683" t="e">
        <f>#REF!</f>
        <v>#REF!</v>
      </c>
    </row>
    <row r="31" spans="1:15" x14ac:dyDescent="0.2">
      <c r="A31" s="666" t="str">
        <f>IF(LEFT(Commodities!B$15,1)="*",A$25,RIGHT(A$25,2))</f>
        <v>*R2</v>
      </c>
      <c r="B31" s="666" t="str">
        <f>Commodities!C$15</f>
        <v>TRF</v>
      </c>
      <c r="C31" s="666" t="str">
        <f>Commodities!D$15</f>
        <v>TRN.RAIL.FREIGHT</v>
      </c>
      <c r="D31" s="666" t="s">
        <v>104</v>
      </c>
      <c r="E31" s="683" t="e">
        <f>#REF!</f>
        <v>#REF!</v>
      </c>
      <c r="F31" s="683" t="e">
        <f>#REF!</f>
        <v>#REF!</v>
      </c>
      <c r="G31" s="683" t="e">
        <f>#REF!</f>
        <v>#REF!</v>
      </c>
      <c r="H31" s="683" t="e">
        <f>#REF!</f>
        <v>#REF!</v>
      </c>
      <c r="I31" s="683" t="e">
        <f>#REF!</f>
        <v>#REF!</v>
      </c>
      <c r="J31" s="683" t="e">
        <f>#REF!</f>
        <v>#REF!</v>
      </c>
      <c r="K31" s="683" t="e">
        <f>#REF!</f>
        <v>#REF!</v>
      </c>
      <c r="L31" s="683" t="e">
        <f>#REF!</f>
        <v>#REF!</v>
      </c>
      <c r="M31" s="683" t="e">
        <f>#REF!</f>
        <v>#REF!</v>
      </c>
      <c r="N31" s="683" t="e">
        <f>#REF!</f>
        <v>#REF!</v>
      </c>
      <c r="O31" s="683" t="e">
        <f>#REF!</f>
        <v>#REF!</v>
      </c>
    </row>
    <row r="32" spans="1:15" ht="13.5" customHeight="1" x14ac:dyDescent="0.2">
      <c r="A32" s="666" t="str">
        <f>IF(LEFT(Commodities!B$17,1)="*",A$25,RIGHT(A$25,2))</f>
        <v>R2</v>
      </c>
      <c r="B32" s="666" t="str">
        <f>Commodities!C$17</f>
        <v>TRP</v>
      </c>
      <c r="C32" s="666" t="str">
        <f>Commodities!D$17</f>
        <v>TRN.RAIL.PASS</v>
      </c>
      <c r="D32" s="666" t="s">
        <v>91</v>
      </c>
      <c r="E32" s="683" t="e">
        <f>#REF!</f>
        <v>#REF!</v>
      </c>
      <c r="F32" s="683" t="e">
        <f>#REF!</f>
        <v>#REF!</v>
      </c>
      <c r="G32" s="683" t="e">
        <f>#REF!</f>
        <v>#REF!</v>
      </c>
      <c r="H32" s="683" t="e">
        <f>#REF!</f>
        <v>#REF!</v>
      </c>
      <c r="I32" s="683" t="e">
        <f>#REF!</f>
        <v>#REF!</v>
      </c>
      <c r="J32" s="683" t="e">
        <f>#REF!</f>
        <v>#REF!</v>
      </c>
      <c r="K32" s="683" t="e">
        <f>#REF!</f>
        <v>#REF!</v>
      </c>
      <c r="L32" s="683" t="e">
        <f>#REF!</f>
        <v>#REF!</v>
      </c>
      <c r="M32" s="683" t="e">
        <f>#REF!</f>
        <v>#REF!</v>
      </c>
      <c r="N32" s="683" t="e">
        <f>#REF!</f>
        <v>#REF!</v>
      </c>
      <c r="O32" s="683" t="e">
        <f>#REF!</f>
        <v>#REF!</v>
      </c>
    </row>
    <row r="33" spans="1:15" x14ac:dyDescent="0.2">
      <c r="A33" s="666" t="str">
        <f>IF(LEFT(Commodities!B$14,1)="*",A$25,RIGHT(A$25,2))</f>
        <v>R2</v>
      </c>
      <c r="B33" s="666" t="str">
        <f>Commodities!C$14</f>
        <v>TS</v>
      </c>
      <c r="C33" s="666" t="str">
        <f>Commodities!D$14</f>
        <v>TRN.SHIP</v>
      </c>
      <c r="D33" s="666" t="s">
        <v>104</v>
      </c>
      <c r="E33" s="683" t="e">
        <f>#REF!</f>
        <v>#REF!</v>
      </c>
      <c r="F33" s="683" t="e">
        <f>#REF!</f>
        <v>#REF!</v>
      </c>
      <c r="G33" s="683" t="e">
        <f>#REF!</f>
        <v>#REF!</v>
      </c>
      <c r="H33" s="683" t="e">
        <f>#REF!</f>
        <v>#REF!</v>
      </c>
      <c r="I33" s="683" t="e">
        <f>#REF!</f>
        <v>#REF!</v>
      </c>
      <c r="J33" s="683" t="e">
        <f>#REF!</f>
        <v>#REF!</v>
      </c>
      <c r="K33" s="683" t="e">
        <f>#REF!</f>
        <v>#REF!</v>
      </c>
      <c r="L33" s="683" t="e">
        <f>#REF!</f>
        <v>#REF!</v>
      </c>
      <c r="M33" s="683" t="e">
        <f>#REF!</f>
        <v>#REF!</v>
      </c>
      <c r="N33" s="683" t="e">
        <f>#REF!</f>
        <v>#REF!</v>
      </c>
      <c r="O33" s="683" t="e">
        <f>#REF!</f>
        <v>#REF!</v>
      </c>
    </row>
    <row r="34" spans="1:15" x14ac:dyDescent="0.2">
      <c r="A34" s="666" t="str">
        <f>IF(LEFT(Commodities!B$18,1)="*",A$25,RIGHT(A$25,2))</f>
        <v>*R2</v>
      </c>
      <c r="B34" s="666" t="str">
        <f>Commodities!C$18</f>
        <v>TC</v>
      </c>
      <c r="C34" s="666" t="str">
        <f>Commodities!D$18</f>
        <v>TRN.TRUCK.COMMERCIAL</v>
      </c>
      <c r="D34" s="666" t="s">
        <v>95</v>
      </c>
      <c r="E34" s="683" t="e">
        <f>#REF!</f>
        <v>#REF!</v>
      </c>
      <c r="F34" s="683" t="e">
        <f>#REF!</f>
        <v>#REF!</v>
      </c>
      <c r="G34" s="683" t="e">
        <f>#REF!</f>
        <v>#REF!</v>
      </c>
      <c r="H34" s="683" t="e">
        <f>#REF!</f>
        <v>#REF!</v>
      </c>
      <c r="I34" s="683" t="e">
        <f>#REF!</f>
        <v>#REF!</v>
      </c>
      <c r="J34" s="683" t="e">
        <f>#REF!</f>
        <v>#REF!</v>
      </c>
      <c r="K34" s="683" t="e">
        <f>#REF!</f>
        <v>#REF!</v>
      </c>
      <c r="L34" s="683" t="e">
        <f>#REF!</f>
        <v>#REF!</v>
      </c>
      <c r="M34" s="683" t="e">
        <f>#REF!</f>
        <v>#REF!</v>
      </c>
      <c r="N34" s="683" t="e">
        <f>#REF!</f>
        <v>#REF!</v>
      </c>
      <c r="O34" s="683" t="e">
        <f>#REF!</f>
        <v>#REF!</v>
      </c>
    </row>
    <row r="35" spans="1:15" x14ac:dyDescent="0.2">
      <c r="A35" s="666" t="str">
        <f>IF(LEFT(Commodities!B16,1)="*",A$25,RIGHT(A$25,2))</f>
        <v>*R2</v>
      </c>
      <c r="B35" s="666" t="str">
        <f>Commodities!C16</f>
        <v>TSW</v>
      </c>
      <c r="C35" s="666" t="str">
        <f>Commodities!D16</f>
        <v>TRN.MSW</v>
      </c>
      <c r="D35" s="666" t="str">
        <f>Commodities!E16</f>
        <v>bn-vmt</v>
      </c>
      <c r="E35" s="683"/>
      <c r="F35" s="683"/>
      <c r="G35" s="683"/>
      <c r="H35" s="683"/>
      <c r="I35" s="683"/>
      <c r="J35" s="683"/>
      <c r="K35" s="683"/>
      <c r="L35" s="683"/>
      <c r="M35" s="683"/>
      <c r="N35" s="683"/>
      <c r="O35" s="683"/>
    </row>
    <row r="36" spans="1:15" x14ac:dyDescent="0.2">
      <c r="A36" s="668" t="s">
        <v>183</v>
      </c>
      <c r="B36" s="668"/>
      <c r="C36" s="668"/>
      <c r="D36" s="668"/>
      <c r="E36" s="682"/>
      <c r="F36" s="682"/>
      <c r="G36" s="682"/>
      <c r="H36" s="682"/>
      <c r="I36" s="682"/>
      <c r="J36" s="682"/>
      <c r="K36" s="682"/>
      <c r="L36" s="682"/>
      <c r="M36" s="682"/>
      <c r="N36" s="682"/>
      <c r="O36" s="682"/>
    </row>
    <row r="37" spans="1:15" x14ac:dyDescent="0.2">
      <c r="A37" s="666" t="s">
        <v>183</v>
      </c>
      <c r="B37" s="666" t="str">
        <f>Commodities!C$9</f>
        <v>TA</v>
      </c>
      <c r="C37" s="666" t="str">
        <f>Commodities!D$9</f>
        <v>TRN.AIR</v>
      </c>
      <c r="D37" s="666" t="s">
        <v>91</v>
      </c>
      <c r="E37" s="683" t="e">
        <f>#REF!</f>
        <v>#REF!</v>
      </c>
      <c r="F37" s="683" t="e">
        <f>#REF!</f>
        <v>#REF!</v>
      </c>
      <c r="G37" s="683" t="e">
        <f>#REF!</f>
        <v>#REF!</v>
      </c>
      <c r="H37" s="683" t="e">
        <f>#REF!</f>
        <v>#REF!</v>
      </c>
      <c r="I37" s="683" t="e">
        <f>#REF!</f>
        <v>#REF!</v>
      </c>
      <c r="J37" s="683" t="e">
        <f>#REF!</f>
        <v>#REF!</v>
      </c>
      <c r="K37" s="683" t="e">
        <f>#REF!</f>
        <v>#REF!</v>
      </c>
      <c r="L37" s="683" t="e">
        <f>#REF!</f>
        <v>#REF!</v>
      </c>
      <c r="M37" s="683" t="e">
        <f>#REF!</f>
        <v>#REF!</v>
      </c>
      <c r="N37" s="683" t="e">
        <f>#REF!</f>
        <v>#REF!</v>
      </c>
      <c r="O37" s="683" t="e">
        <f>#REF!</f>
        <v>#REF!</v>
      </c>
    </row>
    <row r="38" spans="1:15" x14ac:dyDescent="0.2">
      <c r="A38" s="666" t="str">
        <f>IF(LEFT(Commodities!B$10,1)="*",A$36,RIGHT(A$36,2))</f>
        <v>R3</v>
      </c>
      <c r="B38" s="666" t="str">
        <f>Commodities!C$10</f>
        <v>TB</v>
      </c>
      <c r="C38" s="666" t="str">
        <f>Commodities!D$10</f>
        <v>TRN.BUS</v>
      </c>
      <c r="D38" s="666" t="s">
        <v>95</v>
      </c>
      <c r="E38" s="683" t="e">
        <f>#REF!</f>
        <v>#REF!</v>
      </c>
      <c r="F38" s="683" t="e">
        <f>#REF!</f>
        <v>#REF!</v>
      </c>
      <c r="G38" s="683" t="e">
        <f>#REF!</f>
        <v>#REF!</v>
      </c>
      <c r="H38" s="683" t="e">
        <f>#REF!</f>
        <v>#REF!</v>
      </c>
      <c r="I38" s="683" t="e">
        <f>#REF!</f>
        <v>#REF!</v>
      </c>
      <c r="J38" s="683" t="e">
        <f>#REF!</f>
        <v>#REF!</v>
      </c>
      <c r="K38" s="683" t="e">
        <f>#REF!</f>
        <v>#REF!</v>
      </c>
      <c r="L38" s="683" t="e">
        <f>#REF!</f>
        <v>#REF!</v>
      </c>
      <c r="M38" s="683" t="e">
        <f>#REF!</f>
        <v>#REF!</v>
      </c>
      <c r="N38" s="683" t="e">
        <f>#REF!</f>
        <v>#REF!</v>
      </c>
      <c r="O38" s="683" t="e">
        <f>#REF!</f>
        <v>#REF!</v>
      </c>
    </row>
    <row r="39" spans="1:15" x14ac:dyDescent="0.2">
      <c r="A39" s="666" t="s">
        <v>184</v>
      </c>
      <c r="B39" s="666" t="str">
        <f>Commodities!C$11</f>
        <v>TM</v>
      </c>
      <c r="C39" s="666" t="str">
        <f>Commodities!D$11</f>
        <v>TRN.Medium Duty Trucks</v>
      </c>
      <c r="D39" s="666" t="s">
        <v>95</v>
      </c>
      <c r="E39" s="683" t="e">
        <f>#REF!</f>
        <v>#REF!</v>
      </c>
      <c r="F39" s="683" t="e">
        <f>#REF!</f>
        <v>#REF!</v>
      </c>
      <c r="G39" s="683" t="e">
        <f>#REF!</f>
        <v>#REF!</v>
      </c>
      <c r="H39" s="683" t="e">
        <f>#REF!</f>
        <v>#REF!</v>
      </c>
      <c r="I39" s="683" t="e">
        <f>#REF!</f>
        <v>#REF!</v>
      </c>
      <c r="J39" s="683" t="e">
        <f>#REF!</f>
        <v>#REF!</v>
      </c>
      <c r="K39" s="683" t="e">
        <f>#REF!</f>
        <v>#REF!</v>
      </c>
      <c r="L39" s="683" t="e">
        <f>#REF!</f>
        <v>#REF!</v>
      </c>
      <c r="M39" s="683" t="e">
        <f>#REF!</f>
        <v>#REF!</v>
      </c>
      <c r="N39" s="683" t="e">
        <f>#REF!</f>
        <v>#REF!</v>
      </c>
      <c r="O39" s="683" t="e">
        <f>#REF!</f>
        <v>#REF!</v>
      </c>
    </row>
    <row r="40" spans="1:15" x14ac:dyDescent="0.2">
      <c r="A40" s="666" t="str">
        <f>IF(LEFT(Commodities!B$12,1)="*",A$36,RIGHT(A$36,2))</f>
        <v>R3</v>
      </c>
      <c r="B40" s="666" t="str">
        <f>Commodities!C$12</f>
        <v>THS</v>
      </c>
      <c r="C40" s="666" t="str">
        <f>Commodities!$D$12</f>
        <v>TRN.HDV Short Haul</v>
      </c>
      <c r="D40" s="666" t="s">
        <v>95</v>
      </c>
      <c r="E40" s="683" t="e">
        <f>#REF!</f>
        <v>#REF!</v>
      </c>
      <c r="F40" s="683" t="e">
        <f>#REF!</f>
        <v>#REF!</v>
      </c>
      <c r="G40" s="683" t="e">
        <f>#REF!</f>
        <v>#REF!</v>
      </c>
      <c r="H40" s="683" t="e">
        <f>#REF!</f>
        <v>#REF!</v>
      </c>
      <c r="I40" s="683" t="e">
        <f>#REF!</f>
        <v>#REF!</v>
      </c>
      <c r="J40" s="683" t="e">
        <f>#REF!</f>
        <v>#REF!</v>
      </c>
      <c r="K40" s="683" t="e">
        <f>#REF!</f>
        <v>#REF!</v>
      </c>
      <c r="L40" s="683" t="e">
        <f>#REF!</f>
        <v>#REF!</v>
      </c>
      <c r="M40" s="683" t="e">
        <f>#REF!</f>
        <v>#REF!</v>
      </c>
      <c r="N40" s="683" t="e">
        <f>#REF!</f>
        <v>#REF!</v>
      </c>
      <c r="O40" s="683" t="e">
        <f>#REF!</f>
        <v>#REF!</v>
      </c>
    </row>
    <row r="41" spans="1:15" x14ac:dyDescent="0.2">
      <c r="A41" s="666" t="str">
        <f>IF(LEFT(Commodities!B$13,1)="*",A$36,RIGHT(A$36,2))</f>
        <v>*R3</v>
      </c>
      <c r="B41" s="666" t="str">
        <f>Commodities!C$13</f>
        <v>THL</v>
      </c>
      <c r="C41" s="666" t="str">
        <f>Commodities!$D$13</f>
        <v>TRN.HDV Long Haul</v>
      </c>
      <c r="D41" s="666" t="s">
        <v>95</v>
      </c>
      <c r="E41" s="683" t="e">
        <f>#REF!</f>
        <v>#REF!</v>
      </c>
      <c r="F41" s="683" t="e">
        <f>#REF!</f>
        <v>#REF!</v>
      </c>
      <c r="G41" s="683" t="e">
        <f>#REF!</f>
        <v>#REF!</v>
      </c>
      <c r="H41" s="683" t="e">
        <f>#REF!</f>
        <v>#REF!</v>
      </c>
      <c r="I41" s="683" t="e">
        <f>#REF!</f>
        <v>#REF!</v>
      </c>
      <c r="J41" s="683" t="e">
        <f>#REF!</f>
        <v>#REF!</v>
      </c>
      <c r="K41" s="683" t="e">
        <f>#REF!</f>
        <v>#REF!</v>
      </c>
      <c r="L41" s="683" t="e">
        <f>#REF!</f>
        <v>#REF!</v>
      </c>
      <c r="M41" s="683" t="e">
        <f>#REF!</f>
        <v>#REF!</v>
      </c>
      <c r="N41" s="683" t="e">
        <f>#REF!</f>
        <v>#REF!</v>
      </c>
      <c r="O41" s="683" t="e">
        <f>#REF!</f>
        <v>#REF!</v>
      </c>
    </row>
    <row r="42" spans="1:15" x14ac:dyDescent="0.2">
      <c r="A42" s="666" t="str">
        <f>IF(LEFT(Commodities!B$15,1)="*",A$36,RIGHT(A$36,2))</f>
        <v>*R3</v>
      </c>
      <c r="B42" s="666" t="str">
        <f>Commodities!C$15</f>
        <v>TRF</v>
      </c>
      <c r="C42" s="666" t="str">
        <f>Commodities!D$15</f>
        <v>TRN.RAIL.FREIGHT</v>
      </c>
      <c r="D42" s="666" t="s">
        <v>104</v>
      </c>
      <c r="E42" s="683" t="e">
        <f>#REF!</f>
        <v>#REF!</v>
      </c>
      <c r="F42" s="683" t="e">
        <f>#REF!</f>
        <v>#REF!</v>
      </c>
      <c r="G42" s="683" t="e">
        <f>#REF!</f>
        <v>#REF!</v>
      </c>
      <c r="H42" s="683" t="e">
        <f>#REF!</f>
        <v>#REF!</v>
      </c>
      <c r="I42" s="683" t="e">
        <f>#REF!</f>
        <v>#REF!</v>
      </c>
      <c r="J42" s="683" t="e">
        <f>#REF!</f>
        <v>#REF!</v>
      </c>
      <c r="K42" s="683" t="e">
        <f>#REF!</f>
        <v>#REF!</v>
      </c>
      <c r="L42" s="683" t="e">
        <f>#REF!</f>
        <v>#REF!</v>
      </c>
      <c r="M42" s="683" t="e">
        <f>#REF!</f>
        <v>#REF!</v>
      </c>
      <c r="N42" s="683" t="e">
        <f>#REF!</f>
        <v>#REF!</v>
      </c>
      <c r="O42" s="683" t="e">
        <f>#REF!</f>
        <v>#REF!</v>
      </c>
    </row>
    <row r="43" spans="1:15" ht="13.5" customHeight="1" x14ac:dyDescent="0.2">
      <c r="A43" s="666" t="str">
        <f>IF(LEFT(Commodities!B$17,1)="*",A$36,RIGHT(A$36,2))</f>
        <v>R3</v>
      </c>
      <c r="B43" s="666" t="str">
        <f>Commodities!C$17</f>
        <v>TRP</v>
      </c>
      <c r="C43" s="666" t="str">
        <f>Commodities!D$17</f>
        <v>TRN.RAIL.PASS</v>
      </c>
      <c r="D43" s="666" t="s">
        <v>91</v>
      </c>
      <c r="E43" s="683" t="e">
        <f>#REF!</f>
        <v>#REF!</v>
      </c>
      <c r="F43" s="683" t="e">
        <f>#REF!</f>
        <v>#REF!</v>
      </c>
      <c r="G43" s="683" t="e">
        <f>#REF!</f>
        <v>#REF!</v>
      </c>
      <c r="H43" s="683" t="e">
        <f>#REF!</f>
        <v>#REF!</v>
      </c>
      <c r="I43" s="683" t="e">
        <f>#REF!</f>
        <v>#REF!</v>
      </c>
      <c r="J43" s="683" t="e">
        <f>#REF!</f>
        <v>#REF!</v>
      </c>
      <c r="K43" s="683" t="e">
        <f>#REF!</f>
        <v>#REF!</v>
      </c>
      <c r="L43" s="683" t="e">
        <f>#REF!</f>
        <v>#REF!</v>
      </c>
      <c r="M43" s="683" t="e">
        <f>#REF!</f>
        <v>#REF!</v>
      </c>
      <c r="N43" s="683" t="e">
        <f>#REF!</f>
        <v>#REF!</v>
      </c>
      <c r="O43" s="683" t="e">
        <f>#REF!</f>
        <v>#REF!</v>
      </c>
    </row>
    <row r="44" spans="1:15" x14ac:dyDescent="0.2">
      <c r="A44" s="666" t="str">
        <f>IF(LEFT(Commodities!B$14,1)="*",A$36,RIGHT(A$36,2))</f>
        <v>R3</v>
      </c>
      <c r="B44" s="666" t="str">
        <f>Commodities!C$14</f>
        <v>TS</v>
      </c>
      <c r="C44" s="666" t="str">
        <f>Commodities!D$14</f>
        <v>TRN.SHIP</v>
      </c>
      <c r="D44" s="666" t="s">
        <v>104</v>
      </c>
      <c r="E44" s="683" t="e">
        <f>#REF!</f>
        <v>#REF!</v>
      </c>
      <c r="F44" s="683" t="e">
        <f>#REF!</f>
        <v>#REF!</v>
      </c>
      <c r="G44" s="683" t="e">
        <f>#REF!</f>
        <v>#REF!</v>
      </c>
      <c r="H44" s="683" t="e">
        <f>#REF!</f>
        <v>#REF!</v>
      </c>
      <c r="I44" s="683" t="e">
        <f>#REF!</f>
        <v>#REF!</v>
      </c>
      <c r="J44" s="683" t="e">
        <f>#REF!</f>
        <v>#REF!</v>
      </c>
      <c r="K44" s="683" t="e">
        <f>#REF!</f>
        <v>#REF!</v>
      </c>
      <c r="L44" s="683" t="e">
        <f>#REF!</f>
        <v>#REF!</v>
      </c>
      <c r="M44" s="683" t="e">
        <f>#REF!</f>
        <v>#REF!</v>
      </c>
      <c r="N44" s="683" t="e">
        <f>#REF!</f>
        <v>#REF!</v>
      </c>
      <c r="O44" s="683" t="e">
        <f>#REF!</f>
        <v>#REF!</v>
      </c>
    </row>
    <row r="45" spans="1:15" x14ac:dyDescent="0.2">
      <c r="A45" s="666" t="str">
        <f>IF(LEFT(Commodities!B$18,1)="*",A$36,RIGHT(A$36,2))</f>
        <v>*R3</v>
      </c>
      <c r="B45" s="666" t="str">
        <f>Commodities!C$18</f>
        <v>TC</v>
      </c>
      <c r="C45" s="666" t="str">
        <f>Commodities!D$18</f>
        <v>TRN.TRUCK.COMMERCIAL</v>
      </c>
      <c r="D45" s="666" t="s">
        <v>95</v>
      </c>
      <c r="E45" s="683" t="e">
        <f>#REF!</f>
        <v>#REF!</v>
      </c>
      <c r="F45" s="683" t="e">
        <f>#REF!</f>
        <v>#REF!</v>
      </c>
      <c r="G45" s="683" t="e">
        <f>#REF!</f>
        <v>#REF!</v>
      </c>
      <c r="H45" s="683" t="e">
        <f>#REF!</f>
        <v>#REF!</v>
      </c>
      <c r="I45" s="683" t="e">
        <f>#REF!</f>
        <v>#REF!</v>
      </c>
      <c r="J45" s="683" t="e">
        <f>#REF!</f>
        <v>#REF!</v>
      </c>
      <c r="K45" s="683" t="e">
        <f>#REF!</f>
        <v>#REF!</v>
      </c>
      <c r="L45" s="683" t="e">
        <f>#REF!</f>
        <v>#REF!</v>
      </c>
      <c r="M45" s="683" t="e">
        <f>#REF!</f>
        <v>#REF!</v>
      </c>
      <c r="N45" s="683" t="e">
        <f>#REF!</f>
        <v>#REF!</v>
      </c>
      <c r="O45" s="683" t="e">
        <f>#REF!</f>
        <v>#REF!</v>
      </c>
    </row>
    <row r="46" spans="1:15" x14ac:dyDescent="0.2">
      <c r="A46" s="666" t="str">
        <f>IF(LEFT(Commodities!B$16,1)="*",A$36,RIGHT(A$36,2))</f>
        <v>*R3</v>
      </c>
      <c r="B46" s="666" t="str">
        <f>Commodities!C16</f>
        <v>TSW</v>
      </c>
      <c r="C46" s="666" t="str">
        <f>Commodities!D16</f>
        <v>TRN.MSW</v>
      </c>
      <c r="D46" s="666" t="str">
        <f>Commodities!E16</f>
        <v>bn-vmt</v>
      </c>
      <c r="E46" s="683"/>
      <c r="F46" s="683"/>
      <c r="G46" s="683"/>
      <c r="H46" s="683"/>
      <c r="I46" s="683"/>
      <c r="J46" s="683"/>
      <c r="K46" s="683"/>
      <c r="L46" s="683"/>
      <c r="M46" s="683"/>
      <c r="N46" s="683"/>
      <c r="O46" s="683"/>
    </row>
    <row r="47" spans="1:15" x14ac:dyDescent="0.2">
      <c r="A47" s="668" t="s">
        <v>185</v>
      </c>
      <c r="B47" s="668"/>
      <c r="C47" s="668"/>
      <c r="D47" s="668"/>
      <c r="E47" s="682"/>
      <c r="F47" s="682"/>
      <c r="G47" s="682"/>
      <c r="H47" s="682"/>
      <c r="I47" s="682"/>
      <c r="J47" s="682"/>
      <c r="K47" s="682"/>
      <c r="L47" s="682"/>
      <c r="M47" s="682"/>
      <c r="N47" s="682"/>
      <c r="O47" s="682"/>
    </row>
    <row r="48" spans="1:15" x14ac:dyDescent="0.2">
      <c r="A48" s="666" t="s">
        <v>185</v>
      </c>
      <c r="B48" s="666" t="str">
        <f>Commodities!C$9</f>
        <v>TA</v>
      </c>
      <c r="C48" s="666" t="str">
        <f>Commodities!D$9</f>
        <v>TRN.AIR</v>
      </c>
      <c r="D48" s="666" t="s">
        <v>91</v>
      </c>
      <c r="E48" s="683" t="e">
        <f>#REF!</f>
        <v>#REF!</v>
      </c>
      <c r="F48" s="683" t="e">
        <f>#REF!</f>
        <v>#REF!</v>
      </c>
      <c r="G48" s="683" t="e">
        <f>#REF!</f>
        <v>#REF!</v>
      </c>
      <c r="H48" s="683" t="e">
        <f>#REF!</f>
        <v>#REF!</v>
      </c>
      <c r="I48" s="683" t="e">
        <f>#REF!</f>
        <v>#REF!</v>
      </c>
      <c r="J48" s="683" t="e">
        <f>#REF!</f>
        <v>#REF!</v>
      </c>
      <c r="K48" s="683" t="e">
        <f>#REF!</f>
        <v>#REF!</v>
      </c>
      <c r="L48" s="683" t="e">
        <f>#REF!</f>
        <v>#REF!</v>
      </c>
      <c r="M48" s="683" t="e">
        <f>#REF!</f>
        <v>#REF!</v>
      </c>
      <c r="N48" s="683" t="e">
        <f>#REF!</f>
        <v>#REF!</v>
      </c>
      <c r="O48" s="683" t="e">
        <f>#REF!</f>
        <v>#REF!</v>
      </c>
    </row>
    <row r="49" spans="1:15" x14ac:dyDescent="0.2">
      <c r="A49" s="666" t="str">
        <f>IF(LEFT(Commodities!B$10,1)="*",A$47,RIGHT(A$47,2))</f>
        <v>R4</v>
      </c>
      <c r="B49" s="666" t="str">
        <f>Commodities!C$10</f>
        <v>TB</v>
      </c>
      <c r="C49" s="666" t="str">
        <f>Commodities!D$10</f>
        <v>TRN.BUS</v>
      </c>
      <c r="D49" s="666" t="s">
        <v>95</v>
      </c>
      <c r="E49" s="683" t="e">
        <f>#REF!</f>
        <v>#REF!</v>
      </c>
      <c r="F49" s="683" t="e">
        <f>#REF!</f>
        <v>#REF!</v>
      </c>
      <c r="G49" s="683" t="e">
        <f>#REF!</f>
        <v>#REF!</v>
      </c>
      <c r="H49" s="683" t="e">
        <f>#REF!</f>
        <v>#REF!</v>
      </c>
      <c r="I49" s="683" t="e">
        <f>#REF!</f>
        <v>#REF!</v>
      </c>
      <c r="J49" s="683" t="e">
        <f>#REF!</f>
        <v>#REF!</v>
      </c>
      <c r="K49" s="683" t="e">
        <f>#REF!</f>
        <v>#REF!</v>
      </c>
      <c r="L49" s="683" t="e">
        <f>#REF!</f>
        <v>#REF!</v>
      </c>
      <c r="M49" s="683" t="e">
        <f>#REF!</f>
        <v>#REF!</v>
      </c>
      <c r="N49" s="683" t="e">
        <f>#REF!</f>
        <v>#REF!</v>
      </c>
      <c r="O49" s="683" t="e">
        <f>#REF!</f>
        <v>#REF!</v>
      </c>
    </row>
    <row r="50" spans="1:15" x14ac:dyDescent="0.2">
      <c r="A50" s="666" t="s">
        <v>186</v>
      </c>
      <c r="B50" s="666" t="str">
        <f>Commodities!C$11</f>
        <v>TM</v>
      </c>
      <c r="C50" s="666" t="str">
        <f>Commodities!D$11</f>
        <v>TRN.Medium Duty Trucks</v>
      </c>
      <c r="D50" s="666" t="s">
        <v>95</v>
      </c>
      <c r="E50" s="683" t="e">
        <f>#REF!</f>
        <v>#REF!</v>
      </c>
      <c r="F50" s="683" t="e">
        <f>#REF!</f>
        <v>#REF!</v>
      </c>
      <c r="G50" s="683" t="e">
        <f>#REF!</f>
        <v>#REF!</v>
      </c>
      <c r="H50" s="683" t="e">
        <f>#REF!</f>
        <v>#REF!</v>
      </c>
      <c r="I50" s="683" t="e">
        <f>#REF!</f>
        <v>#REF!</v>
      </c>
      <c r="J50" s="683" t="e">
        <f>#REF!</f>
        <v>#REF!</v>
      </c>
      <c r="K50" s="683" t="e">
        <f>#REF!</f>
        <v>#REF!</v>
      </c>
      <c r="L50" s="683" t="e">
        <f>#REF!</f>
        <v>#REF!</v>
      </c>
      <c r="M50" s="683" t="e">
        <f>#REF!</f>
        <v>#REF!</v>
      </c>
      <c r="N50" s="683" t="e">
        <f>#REF!</f>
        <v>#REF!</v>
      </c>
      <c r="O50" s="683" t="e">
        <f>#REF!</f>
        <v>#REF!</v>
      </c>
    </row>
    <row r="51" spans="1:15" x14ac:dyDescent="0.2">
      <c r="A51" s="666" t="str">
        <f>IF(LEFT(Commodities!B$12,1)="*",A$47,RIGHT(A$47,2))</f>
        <v>R4</v>
      </c>
      <c r="B51" s="666" t="str">
        <f>Commodities!C$12</f>
        <v>THS</v>
      </c>
      <c r="C51" s="666" t="str">
        <f>Commodities!$D$12</f>
        <v>TRN.HDV Short Haul</v>
      </c>
      <c r="D51" s="666" t="s">
        <v>95</v>
      </c>
      <c r="E51" s="683" t="e">
        <f>#REF!</f>
        <v>#REF!</v>
      </c>
      <c r="F51" s="683" t="e">
        <f>#REF!</f>
        <v>#REF!</v>
      </c>
      <c r="G51" s="683" t="e">
        <f>#REF!</f>
        <v>#REF!</v>
      </c>
      <c r="H51" s="683" t="e">
        <f>#REF!</f>
        <v>#REF!</v>
      </c>
      <c r="I51" s="683" t="e">
        <f>#REF!</f>
        <v>#REF!</v>
      </c>
      <c r="J51" s="683" t="e">
        <f>#REF!</f>
        <v>#REF!</v>
      </c>
      <c r="K51" s="683" t="e">
        <f>#REF!</f>
        <v>#REF!</v>
      </c>
      <c r="L51" s="683" t="e">
        <f>#REF!</f>
        <v>#REF!</v>
      </c>
      <c r="M51" s="683" t="e">
        <f>#REF!</f>
        <v>#REF!</v>
      </c>
      <c r="N51" s="683" t="e">
        <f>#REF!</f>
        <v>#REF!</v>
      </c>
      <c r="O51" s="683" t="e">
        <f>#REF!</f>
        <v>#REF!</v>
      </c>
    </row>
    <row r="52" spans="1:15" x14ac:dyDescent="0.2">
      <c r="A52" s="666" t="str">
        <f>IF(LEFT(Commodities!B$13,1)="*",A$47,RIGHT(A$47,2))</f>
        <v>*R4</v>
      </c>
      <c r="B52" s="666" t="str">
        <f>Commodities!C$13</f>
        <v>THL</v>
      </c>
      <c r="C52" s="666" t="str">
        <f>Commodities!$D$13</f>
        <v>TRN.HDV Long Haul</v>
      </c>
      <c r="D52" s="666" t="s">
        <v>95</v>
      </c>
      <c r="E52" s="683" t="e">
        <f>#REF!</f>
        <v>#REF!</v>
      </c>
      <c r="F52" s="683" t="e">
        <f>#REF!</f>
        <v>#REF!</v>
      </c>
      <c r="G52" s="683" t="e">
        <f>#REF!</f>
        <v>#REF!</v>
      </c>
      <c r="H52" s="683" t="e">
        <f>#REF!</f>
        <v>#REF!</v>
      </c>
      <c r="I52" s="683" t="e">
        <f>#REF!</f>
        <v>#REF!</v>
      </c>
      <c r="J52" s="683" t="e">
        <f>#REF!</f>
        <v>#REF!</v>
      </c>
      <c r="K52" s="683" t="e">
        <f>#REF!</f>
        <v>#REF!</v>
      </c>
      <c r="L52" s="683" t="e">
        <f>#REF!</f>
        <v>#REF!</v>
      </c>
      <c r="M52" s="683" t="e">
        <f>#REF!</f>
        <v>#REF!</v>
      </c>
      <c r="N52" s="683" t="e">
        <f>#REF!</f>
        <v>#REF!</v>
      </c>
      <c r="O52" s="683" t="e">
        <f>#REF!</f>
        <v>#REF!</v>
      </c>
    </row>
    <row r="53" spans="1:15" x14ac:dyDescent="0.2">
      <c r="A53" s="666" t="str">
        <f>IF(LEFT(Commodities!B$15,1)="*",A$47,RIGHT(A$47,2))</f>
        <v>*R4</v>
      </c>
      <c r="B53" s="666" t="str">
        <f>Commodities!C$15</f>
        <v>TRF</v>
      </c>
      <c r="C53" s="666" t="str">
        <f>Commodities!D$15</f>
        <v>TRN.RAIL.FREIGHT</v>
      </c>
      <c r="D53" s="666" t="s">
        <v>104</v>
      </c>
      <c r="E53" s="683" t="e">
        <f>#REF!</f>
        <v>#REF!</v>
      </c>
      <c r="F53" s="683" t="e">
        <f>#REF!</f>
        <v>#REF!</v>
      </c>
      <c r="G53" s="683" t="e">
        <f>#REF!</f>
        <v>#REF!</v>
      </c>
      <c r="H53" s="683" t="e">
        <f>#REF!</f>
        <v>#REF!</v>
      </c>
      <c r="I53" s="683" t="e">
        <f>#REF!</f>
        <v>#REF!</v>
      </c>
      <c r="J53" s="683" t="e">
        <f>#REF!</f>
        <v>#REF!</v>
      </c>
      <c r="K53" s="683" t="e">
        <f>#REF!</f>
        <v>#REF!</v>
      </c>
      <c r="L53" s="683" t="e">
        <f>#REF!</f>
        <v>#REF!</v>
      </c>
      <c r="M53" s="683" t="e">
        <f>#REF!</f>
        <v>#REF!</v>
      </c>
      <c r="N53" s="683" t="e">
        <f>#REF!</f>
        <v>#REF!</v>
      </c>
      <c r="O53" s="683" t="e">
        <f>#REF!</f>
        <v>#REF!</v>
      </c>
    </row>
    <row r="54" spans="1:15" ht="13.5" customHeight="1" x14ac:dyDescent="0.2">
      <c r="A54" s="666" t="str">
        <f>IF(LEFT(Commodities!B$17,1)="*",A$47,RIGHT(A$47,2))</f>
        <v>R4</v>
      </c>
      <c r="B54" s="666" t="str">
        <f>Commodities!C$17</f>
        <v>TRP</v>
      </c>
      <c r="C54" s="666" t="str">
        <f>Commodities!D$17</f>
        <v>TRN.RAIL.PASS</v>
      </c>
      <c r="D54" s="666" t="s">
        <v>91</v>
      </c>
      <c r="E54" s="683" t="e">
        <f>#REF!</f>
        <v>#REF!</v>
      </c>
      <c r="F54" s="683" t="e">
        <f>#REF!</f>
        <v>#REF!</v>
      </c>
      <c r="G54" s="683" t="e">
        <f>#REF!</f>
        <v>#REF!</v>
      </c>
      <c r="H54" s="683" t="e">
        <f>#REF!</f>
        <v>#REF!</v>
      </c>
      <c r="I54" s="683" t="e">
        <f>#REF!</f>
        <v>#REF!</v>
      </c>
      <c r="J54" s="683" t="e">
        <f>#REF!</f>
        <v>#REF!</v>
      </c>
      <c r="K54" s="683" t="e">
        <f>#REF!</f>
        <v>#REF!</v>
      </c>
      <c r="L54" s="683" t="e">
        <f>#REF!</f>
        <v>#REF!</v>
      </c>
      <c r="M54" s="683" t="e">
        <f>#REF!</f>
        <v>#REF!</v>
      </c>
      <c r="N54" s="683" t="e">
        <f>#REF!</f>
        <v>#REF!</v>
      </c>
      <c r="O54" s="683" t="e">
        <f>#REF!</f>
        <v>#REF!</v>
      </c>
    </row>
    <row r="55" spans="1:15" x14ac:dyDescent="0.2">
      <c r="A55" s="666" t="str">
        <f>IF(LEFT(Commodities!B$14,1)="*",A$47,RIGHT(A$47,2))</f>
        <v>R4</v>
      </c>
      <c r="B55" s="666" t="str">
        <f>Commodities!C$14</f>
        <v>TS</v>
      </c>
      <c r="C55" s="666" t="str">
        <f>Commodities!D$14</f>
        <v>TRN.SHIP</v>
      </c>
      <c r="D55" s="666" t="s">
        <v>104</v>
      </c>
      <c r="E55" s="683" t="e">
        <f>#REF!</f>
        <v>#REF!</v>
      </c>
      <c r="F55" s="683" t="e">
        <f>#REF!</f>
        <v>#REF!</v>
      </c>
      <c r="G55" s="683" t="e">
        <f>#REF!</f>
        <v>#REF!</v>
      </c>
      <c r="H55" s="683" t="e">
        <f>#REF!</f>
        <v>#REF!</v>
      </c>
      <c r="I55" s="683" t="e">
        <f>#REF!</f>
        <v>#REF!</v>
      </c>
      <c r="J55" s="683" t="e">
        <f>#REF!</f>
        <v>#REF!</v>
      </c>
      <c r="K55" s="683" t="e">
        <f>#REF!</f>
        <v>#REF!</v>
      </c>
      <c r="L55" s="683" t="e">
        <f>#REF!</f>
        <v>#REF!</v>
      </c>
      <c r="M55" s="683" t="e">
        <f>#REF!</f>
        <v>#REF!</v>
      </c>
      <c r="N55" s="683" t="e">
        <f>#REF!</f>
        <v>#REF!</v>
      </c>
      <c r="O55" s="683" t="e">
        <f>#REF!</f>
        <v>#REF!</v>
      </c>
    </row>
    <row r="56" spans="1:15" x14ac:dyDescent="0.2">
      <c r="A56" s="666" t="str">
        <f>IF(LEFT(Commodities!B$18,1)="*",A$47,RIGHT(A$47,2))</f>
        <v>*R4</v>
      </c>
      <c r="B56" s="666" t="str">
        <f>Commodities!C$18</f>
        <v>TC</v>
      </c>
      <c r="C56" s="666" t="str">
        <f>Commodities!D$18</f>
        <v>TRN.TRUCK.COMMERCIAL</v>
      </c>
      <c r="D56" s="666" t="s">
        <v>95</v>
      </c>
      <c r="E56" s="683" t="e">
        <f>#REF!</f>
        <v>#REF!</v>
      </c>
      <c r="F56" s="683" t="e">
        <f>#REF!</f>
        <v>#REF!</v>
      </c>
      <c r="G56" s="683" t="e">
        <f>#REF!</f>
        <v>#REF!</v>
      </c>
      <c r="H56" s="683" t="e">
        <f>#REF!</f>
        <v>#REF!</v>
      </c>
      <c r="I56" s="683" t="e">
        <f>#REF!</f>
        <v>#REF!</v>
      </c>
      <c r="J56" s="683" t="e">
        <f>#REF!</f>
        <v>#REF!</v>
      </c>
      <c r="K56" s="683" t="e">
        <f>#REF!</f>
        <v>#REF!</v>
      </c>
      <c r="L56" s="683" t="e">
        <f>#REF!</f>
        <v>#REF!</v>
      </c>
      <c r="M56" s="683" t="e">
        <f>#REF!</f>
        <v>#REF!</v>
      </c>
      <c r="N56" s="683" t="e">
        <f>#REF!</f>
        <v>#REF!</v>
      </c>
      <c r="O56" s="683" t="e">
        <f>#REF!</f>
        <v>#REF!</v>
      </c>
    </row>
    <row r="57" spans="1:15" x14ac:dyDescent="0.2">
      <c r="A57" s="666" t="str">
        <f>IF(LEFT(Commodities!B$16,1)="*",A$47,RIGHT(A$47,2))</f>
        <v>*R4</v>
      </c>
      <c r="B57" s="666" t="str">
        <f>Commodities!C16</f>
        <v>TSW</v>
      </c>
      <c r="C57" s="666" t="str">
        <f>Commodities!D16</f>
        <v>TRN.MSW</v>
      </c>
      <c r="D57" s="666" t="str">
        <f>Commodities!E16</f>
        <v>bn-vmt</v>
      </c>
      <c r="E57" s="683"/>
      <c r="F57" s="683"/>
      <c r="G57" s="683"/>
      <c r="H57" s="683"/>
      <c r="I57" s="683"/>
      <c r="J57" s="683"/>
      <c r="K57" s="683"/>
      <c r="L57" s="683"/>
      <c r="M57" s="683"/>
      <c r="N57" s="683"/>
      <c r="O57" s="683"/>
    </row>
    <row r="58" spans="1:15" x14ac:dyDescent="0.2">
      <c r="A58" s="668" t="s">
        <v>187</v>
      </c>
      <c r="B58" s="668"/>
      <c r="C58" s="668"/>
      <c r="D58" s="668"/>
      <c r="E58" s="682"/>
      <c r="F58" s="682"/>
      <c r="G58" s="682"/>
      <c r="H58" s="682"/>
      <c r="I58" s="682"/>
      <c r="J58" s="682"/>
      <c r="K58" s="682"/>
      <c r="L58" s="682"/>
      <c r="M58" s="682"/>
      <c r="N58" s="682"/>
      <c r="O58" s="682"/>
    </row>
    <row r="59" spans="1:15" x14ac:dyDescent="0.2">
      <c r="A59" s="666" t="s">
        <v>187</v>
      </c>
      <c r="B59" s="666" t="str">
        <f>Commodities!C$9</f>
        <v>TA</v>
      </c>
      <c r="C59" s="666" t="str">
        <f>Commodities!D$9</f>
        <v>TRN.AIR</v>
      </c>
      <c r="D59" s="666" t="s">
        <v>91</v>
      </c>
      <c r="E59" s="683" t="e">
        <f>#REF!</f>
        <v>#REF!</v>
      </c>
      <c r="F59" s="683" t="e">
        <f>#REF!</f>
        <v>#REF!</v>
      </c>
      <c r="G59" s="683" t="e">
        <f>#REF!</f>
        <v>#REF!</v>
      </c>
      <c r="H59" s="683" t="e">
        <f>#REF!</f>
        <v>#REF!</v>
      </c>
      <c r="I59" s="683" t="e">
        <f>#REF!</f>
        <v>#REF!</v>
      </c>
      <c r="J59" s="683" t="e">
        <f>#REF!</f>
        <v>#REF!</v>
      </c>
      <c r="K59" s="683" t="e">
        <f>#REF!</f>
        <v>#REF!</v>
      </c>
      <c r="L59" s="683" t="e">
        <f>#REF!</f>
        <v>#REF!</v>
      </c>
      <c r="M59" s="683" t="e">
        <f>#REF!</f>
        <v>#REF!</v>
      </c>
      <c r="N59" s="683" t="e">
        <f>#REF!</f>
        <v>#REF!</v>
      </c>
      <c r="O59" s="683" t="e">
        <f>#REF!</f>
        <v>#REF!</v>
      </c>
    </row>
    <row r="60" spans="1:15" x14ac:dyDescent="0.2">
      <c r="A60" s="666" t="str">
        <f>IF(LEFT(Commodities!B$10,1)="*",A$58,RIGHT(A$58,2))</f>
        <v>R5</v>
      </c>
      <c r="B60" s="666" t="str">
        <f>Commodities!C$10</f>
        <v>TB</v>
      </c>
      <c r="C60" s="666" t="str">
        <f>Commodities!D$10</f>
        <v>TRN.BUS</v>
      </c>
      <c r="D60" s="666" t="s">
        <v>95</v>
      </c>
      <c r="E60" s="683" t="e">
        <f>#REF!</f>
        <v>#REF!</v>
      </c>
      <c r="F60" s="683" t="e">
        <f>#REF!</f>
        <v>#REF!</v>
      </c>
      <c r="G60" s="683" t="e">
        <f>#REF!</f>
        <v>#REF!</v>
      </c>
      <c r="H60" s="683" t="e">
        <f>#REF!</f>
        <v>#REF!</v>
      </c>
      <c r="I60" s="683" t="e">
        <f>#REF!</f>
        <v>#REF!</v>
      </c>
      <c r="J60" s="683" t="e">
        <f>#REF!</f>
        <v>#REF!</v>
      </c>
      <c r="K60" s="683" t="e">
        <f>#REF!</f>
        <v>#REF!</v>
      </c>
      <c r="L60" s="683" t="e">
        <f>#REF!</f>
        <v>#REF!</v>
      </c>
      <c r="M60" s="683" t="e">
        <f>#REF!</f>
        <v>#REF!</v>
      </c>
      <c r="N60" s="683" t="e">
        <f>#REF!</f>
        <v>#REF!</v>
      </c>
      <c r="O60" s="683" t="e">
        <f>#REF!</f>
        <v>#REF!</v>
      </c>
    </row>
    <row r="61" spans="1:15" x14ac:dyDescent="0.2">
      <c r="A61" s="666" t="s">
        <v>188</v>
      </c>
      <c r="B61" s="666" t="str">
        <f>Commodities!C$11</f>
        <v>TM</v>
      </c>
      <c r="C61" s="666" t="str">
        <f>Commodities!D$11</f>
        <v>TRN.Medium Duty Trucks</v>
      </c>
      <c r="D61" s="666" t="s">
        <v>95</v>
      </c>
      <c r="E61" s="683" t="e">
        <f>#REF!</f>
        <v>#REF!</v>
      </c>
      <c r="F61" s="683" t="e">
        <f>#REF!</f>
        <v>#REF!</v>
      </c>
      <c r="G61" s="683" t="e">
        <f>#REF!</f>
        <v>#REF!</v>
      </c>
      <c r="H61" s="683" t="e">
        <f>#REF!</f>
        <v>#REF!</v>
      </c>
      <c r="I61" s="683" t="e">
        <f>#REF!</f>
        <v>#REF!</v>
      </c>
      <c r="J61" s="683" t="e">
        <f>#REF!</f>
        <v>#REF!</v>
      </c>
      <c r="K61" s="683" t="e">
        <f>#REF!</f>
        <v>#REF!</v>
      </c>
      <c r="L61" s="683" t="e">
        <f>#REF!</f>
        <v>#REF!</v>
      </c>
      <c r="M61" s="683" t="e">
        <f>#REF!</f>
        <v>#REF!</v>
      </c>
      <c r="N61" s="683" t="e">
        <f>#REF!</f>
        <v>#REF!</v>
      </c>
      <c r="O61" s="683" t="e">
        <f>#REF!</f>
        <v>#REF!</v>
      </c>
    </row>
    <row r="62" spans="1:15" x14ac:dyDescent="0.2">
      <c r="A62" s="666" t="str">
        <f>IF(LEFT(Commodities!B$12,1)="*",A$58,RIGHT(A$58,2))</f>
        <v>R5</v>
      </c>
      <c r="B62" s="666" t="str">
        <f>Commodities!C$12</f>
        <v>THS</v>
      </c>
      <c r="C62" s="666" t="str">
        <f>Commodities!$D$12</f>
        <v>TRN.HDV Short Haul</v>
      </c>
      <c r="D62" s="666" t="s">
        <v>95</v>
      </c>
      <c r="E62" s="683" t="e">
        <f>#REF!</f>
        <v>#REF!</v>
      </c>
      <c r="F62" s="683" t="e">
        <f>#REF!</f>
        <v>#REF!</v>
      </c>
      <c r="G62" s="683" t="e">
        <f>#REF!</f>
        <v>#REF!</v>
      </c>
      <c r="H62" s="683" t="e">
        <f>#REF!</f>
        <v>#REF!</v>
      </c>
      <c r="I62" s="683" t="e">
        <f>#REF!</f>
        <v>#REF!</v>
      </c>
      <c r="J62" s="683" t="e">
        <f>#REF!</f>
        <v>#REF!</v>
      </c>
      <c r="K62" s="683" t="e">
        <f>#REF!</f>
        <v>#REF!</v>
      </c>
      <c r="L62" s="683" t="e">
        <f>#REF!</f>
        <v>#REF!</v>
      </c>
      <c r="M62" s="683" t="e">
        <f>#REF!</f>
        <v>#REF!</v>
      </c>
      <c r="N62" s="683" t="e">
        <f>#REF!</f>
        <v>#REF!</v>
      </c>
      <c r="O62" s="683" t="e">
        <f>#REF!</f>
        <v>#REF!</v>
      </c>
    </row>
    <row r="63" spans="1:15" x14ac:dyDescent="0.2">
      <c r="A63" s="666" t="str">
        <f>IF(LEFT(Commodities!B$13,1)="*",A$58,RIGHT(A$58,2))</f>
        <v>*R5</v>
      </c>
      <c r="B63" s="666" t="str">
        <f>Commodities!C$13</f>
        <v>THL</v>
      </c>
      <c r="C63" s="666" t="str">
        <f>Commodities!$D$13</f>
        <v>TRN.HDV Long Haul</v>
      </c>
      <c r="D63" s="666" t="s">
        <v>95</v>
      </c>
      <c r="E63" s="683" t="e">
        <f>#REF!</f>
        <v>#REF!</v>
      </c>
      <c r="F63" s="683" t="e">
        <f>#REF!</f>
        <v>#REF!</v>
      </c>
      <c r="G63" s="683" t="e">
        <f>#REF!</f>
        <v>#REF!</v>
      </c>
      <c r="H63" s="683" t="e">
        <f>#REF!</f>
        <v>#REF!</v>
      </c>
      <c r="I63" s="683" t="e">
        <f>#REF!</f>
        <v>#REF!</v>
      </c>
      <c r="J63" s="683" t="e">
        <f>#REF!</f>
        <v>#REF!</v>
      </c>
      <c r="K63" s="683" t="e">
        <f>#REF!</f>
        <v>#REF!</v>
      </c>
      <c r="L63" s="683" t="e">
        <f>#REF!</f>
        <v>#REF!</v>
      </c>
      <c r="M63" s="683" t="e">
        <f>#REF!</f>
        <v>#REF!</v>
      </c>
      <c r="N63" s="683" t="e">
        <f>#REF!</f>
        <v>#REF!</v>
      </c>
      <c r="O63" s="683" t="e">
        <f>#REF!</f>
        <v>#REF!</v>
      </c>
    </row>
    <row r="64" spans="1:15" x14ac:dyDescent="0.2">
      <c r="A64" s="666" t="str">
        <f>IF(LEFT(Commodities!B$15,1)="*",A$58,RIGHT(A$58,2))</f>
        <v>*R5</v>
      </c>
      <c r="B64" s="666" t="str">
        <f>Commodities!C$15</f>
        <v>TRF</v>
      </c>
      <c r="C64" s="666" t="str">
        <f>Commodities!D$15</f>
        <v>TRN.RAIL.FREIGHT</v>
      </c>
      <c r="D64" s="666" t="s">
        <v>104</v>
      </c>
      <c r="E64" s="683" t="e">
        <f>#REF!</f>
        <v>#REF!</v>
      </c>
      <c r="F64" s="683" t="e">
        <f>#REF!</f>
        <v>#REF!</v>
      </c>
      <c r="G64" s="683" t="e">
        <f>#REF!</f>
        <v>#REF!</v>
      </c>
      <c r="H64" s="683" t="e">
        <f>#REF!</f>
        <v>#REF!</v>
      </c>
      <c r="I64" s="683" t="e">
        <f>#REF!</f>
        <v>#REF!</v>
      </c>
      <c r="J64" s="683" t="e">
        <f>#REF!</f>
        <v>#REF!</v>
      </c>
      <c r="K64" s="683" t="e">
        <f>#REF!</f>
        <v>#REF!</v>
      </c>
      <c r="L64" s="683" t="e">
        <f>#REF!</f>
        <v>#REF!</v>
      </c>
      <c r="M64" s="683" t="e">
        <f>#REF!</f>
        <v>#REF!</v>
      </c>
      <c r="N64" s="683" t="e">
        <f>#REF!</f>
        <v>#REF!</v>
      </c>
      <c r="O64" s="683" t="e">
        <f>#REF!</f>
        <v>#REF!</v>
      </c>
    </row>
    <row r="65" spans="1:15" ht="13.5" customHeight="1" x14ac:dyDescent="0.2">
      <c r="A65" s="666" t="str">
        <f>IF(LEFT(Commodities!B$17,1)="*",A$58,RIGHT(A$58,2))</f>
        <v>R5</v>
      </c>
      <c r="B65" s="666" t="str">
        <f>Commodities!C$17</f>
        <v>TRP</v>
      </c>
      <c r="C65" s="666" t="str">
        <f>Commodities!D$17</f>
        <v>TRN.RAIL.PASS</v>
      </c>
      <c r="D65" s="666" t="s">
        <v>91</v>
      </c>
      <c r="E65" s="683" t="e">
        <f>#REF!</f>
        <v>#REF!</v>
      </c>
      <c r="F65" s="683" t="e">
        <f>#REF!</f>
        <v>#REF!</v>
      </c>
      <c r="G65" s="683" t="e">
        <f>#REF!</f>
        <v>#REF!</v>
      </c>
      <c r="H65" s="683" t="e">
        <f>#REF!</f>
        <v>#REF!</v>
      </c>
      <c r="I65" s="683" t="e">
        <f>#REF!</f>
        <v>#REF!</v>
      </c>
      <c r="J65" s="683" t="e">
        <f>#REF!</f>
        <v>#REF!</v>
      </c>
      <c r="K65" s="683" t="e">
        <f>#REF!</f>
        <v>#REF!</v>
      </c>
      <c r="L65" s="683" t="e">
        <f>#REF!</f>
        <v>#REF!</v>
      </c>
      <c r="M65" s="683" t="e">
        <f>#REF!</f>
        <v>#REF!</v>
      </c>
      <c r="N65" s="683" t="e">
        <f>#REF!</f>
        <v>#REF!</v>
      </c>
      <c r="O65" s="683" t="e">
        <f>#REF!</f>
        <v>#REF!</v>
      </c>
    </row>
    <row r="66" spans="1:15" x14ac:dyDescent="0.2">
      <c r="A66" s="666" t="str">
        <f>IF(LEFT(Commodities!B$14,1)="*",A$58,RIGHT(A$58,2))</f>
        <v>R5</v>
      </c>
      <c r="B66" s="666" t="str">
        <f>Commodities!C$14</f>
        <v>TS</v>
      </c>
      <c r="C66" s="666" t="str">
        <f>Commodities!D$14</f>
        <v>TRN.SHIP</v>
      </c>
      <c r="D66" s="666" t="s">
        <v>104</v>
      </c>
      <c r="E66" s="683" t="e">
        <f>#REF!</f>
        <v>#REF!</v>
      </c>
      <c r="F66" s="683" t="e">
        <f>#REF!</f>
        <v>#REF!</v>
      </c>
      <c r="G66" s="683" t="e">
        <f>#REF!</f>
        <v>#REF!</v>
      </c>
      <c r="H66" s="683" t="e">
        <f>#REF!</f>
        <v>#REF!</v>
      </c>
      <c r="I66" s="683" t="e">
        <f>#REF!</f>
        <v>#REF!</v>
      </c>
      <c r="J66" s="683" t="e">
        <f>#REF!</f>
        <v>#REF!</v>
      </c>
      <c r="K66" s="683" t="e">
        <f>#REF!</f>
        <v>#REF!</v>
      </c>
      <c r="L66" s="683" t="e">
        <f>#REF!</f>
        <v>#REF!</v>
      </c>
      <c r="M66" s="683" t="e">
        <f>#REF!</f>
        <v>#REF!</v>
      </c>
      <c r="N66" s="683" t="e">
        <f>#REF!</f>
        <v>#REF!</v>
      </c>
      <c r="O66" s="683" t="e">
        <f>#REF!</f>
        <v>#REF!</v>
      </c>
    </row>
    <row r="67" spans="1:15" x14ac:dyDescent="0.2">
      <c r="A67" s="666" t="str">
        <f>IF(LEFT(Commodities!B$18,1)="*",A$58,RIGHT(A$58,2))</f>
        <v>*R5</v>
      </c>
      <c r="B67" s="666" t="str">
        <f>Commodities!C$18</f>
        <v>TC</v>
      </c>
      <c r="C67" s="666" t="str">
        <f>Commodities!D$18</f>
        <v>TRN.TRUCK.COMMERCIAL</v>
      </c>
      <c r="D67" s="666" t="s">
        <v>95</v>
      </c>
      <c r="E67" s="683" t="e">
        <f>#REF!</f>
        <v>#REF!</v>
      </c>
      <c r="F67" s="683" t="e">
        <f>#REF!</f>
        <v>#REF!</v>
      </c>
      <c r="G67" s="683" t="e">
        <f>#REF!</f>
        <v>#REF!</v>
      </c>
      <c r="H67" s="683" t="e">
        <f>#REF!</f>
        <v>#REF!</v>
      </c>
      <c r="I67" s="683" t="e">
        <f>#REF!</f>
        <v>#REF!</v>
      </c>
      <c r="J67" s="683" t="e">
        <f>#REF!</f>
        <v>#REF!</v>
      </c>
      <c r="K67" s="683" t="e">
        <f>#REF!</f>
        <v>#REF!</v>
      </c>
      <c r="L67" s="683" t="e">
        <f>#REF!</f>
        <v>#REF!</v>
      </c>
      <c r="M67" s="683" t="e">
        <f>#REF!</f>
        <v>#REF!</v>
      </c>
      <c r="N67" s="683" t="e">
        <f>#REF!</f>
        <v>#REF!</v>
      </c>
      <c r="O67" s="683" t="e">
        <f>#REF!</f>
        <v>#REF!</v>
      </c>
    </row>
    <row r="68" spans="1:15" x14ac:dyDescent="0.2">
      <c r="A68" s="666" t="str">
        <f>IF(LEFT(Commodities!B$16,1)="*",A$58,RIGHT(A$58,2))</f>
        <v>*R5</v>
      </c>
      <c r="B68" s="666" t="str">
        <f>Commodities!C16</f>
        <v>TSW</v>
      </c>
      <c r="C68" s="666" t="str">
        <f>Commodities!D16</f>
        <v>TRN.MSW</v>
      </c>
      <c r="D68" s="666" t="str">
        <f>Commodities!E16</f>
        <v>bn-vmt</v>
      </c>
      <c r="E68" s="683"/>
      <c r="F68" s="683"/>
      <c r="G68" s="683"/>
      <c r="H68" s="683"/>
      <c r="I68" s="683"/>
      <c r="J68" s="683"/>
      <c r="K68" s="683"/>
      <c r="L68" s="683"/>
      <c r="M68" s="683"/>
      <c r="N68" s="683"/>
      <c r="O68" s="683"/>
    </row>
    <row r="69" spans="1:15" x14ac:dyDescent="0.2">
      <c r="A69" s="668" t="s">
        <v>189</v>
      </c>
      <c r="B69" s="668"/>
      <c r="C69" s="668"/>
      <c r="D69" s="668"/>
      <c r="E69" s="682"/>
      <c r="F69" s="682"/>
      <c r="G69" s="682"/>
      <c r="H69" s="682"/>
      <c r="I69" s="682"/>
      <c r="J69" s="682"/>
      <c r="K69" s="682"/>
      <c r="L69" s="682"/>
      <c r="M69" s="682"/>
      <c r="N69" s="682"/>
      <c r="O69" s="682"/>
    </row>
    <row r="70" spans="1:15" x14ac:dyDescent="0.2">
      <c r="A70" s="666" t="s">
        <v>190</v>
      </c>
      <c r="B70" s="666" t="str">
        <f>Commodities!C$9</f>
        <v>TA</v>
      </c>
      <c r="C70" s="666" t="str">
        <f>Commodities!D$9</f>
        <v>TRN.AIR</v>
      </c>
      <c r="D70" s="666" t="s">
        <v>91</v>
      </c>
      <c r="E70" s="683" t="e">
        <f>#REF!</f>
        <v>#REF!</v>
      </c>
      <c r="F70" s="683" t="e">
        <f>#REF!</f>
        <v>#REF!</v>
      </c>
      <c r="G70" s="683" t="e">
        <f>#REF!</f>
        <v>#REF!</v>
      </c>
      <c r="H70" s="683" t="e">
        <f>#REF!</f>
        <v>#REF!</v>
      </c>
      <c r="I70" s="683" t="e">
        <f>#REF!</f>
        <v>#REF!</v>
      </c>
      <c r="J70" s="683" t="e">
        <f>#REF!</f>
        <v>#REF!</v>
      </c>
      <c r="K70" s="683" t="e">
        <f>#REF!</f>
        <v>#REF!</v>
      </c>
      <c r="L70" s="683" t="e">
        <f>#REF!</f>
        <v>#REF!</v>
      </c>
      <c r="M70" s="683" t="e">
        <f>#REF!</f>
        <v>#REF!</v>
      </c>
      <c r="N70" s="683" t="e">
        <f>#REF!</f>
        <v>#REF!</v>
      </c>
      <c r="O70" s="683" t="e">
        <f>#REF!</f>
        <v>#REF!</v>
      </c>
    </row>
    <row r="71" spans="1:15" x14ac:dyDescent="0.2">
      <c r="A71" s="666" t="str">
        <f>IF(LEFT(Commodities!B$10,1)="*",A$69,RIGHT(A$69,2))</f>
        <v>R6</v>
      </c>
      <c r="B71" s="666" t="str">
        <f>Commodities!C$10</f>
        <v>TB</v>
      </c>
      <c r="C71" s="666" t="str">
        <f>Commodities!D$10</f>
        <v>TRN.BUS</v>
      </c>
      <c r="D71" s="666" t="s">
        <v>95</v>
      </c>
      <c r="E71" s="683" t="e">
        <f>#REF!</f>
        <v>#REF!</v>
      </c>
      <c r="F71" s="683" t="e">
        <f>#REF!</f>
        <v>#REF!</v>
      </c>
      <c r="G71" s="683" t="e">
        <f>#REF!</f>
        <v>#REF!</v>
      </c>
      <c r="H71" s="683" t="e">
        <f>#REF!</f>
        <v>#REF!</v>
      </c>
      <c r="I71" s="683" t="e">
        <f>#REF!</f>
        <v>#REF!</v>
      </c>
      <c r="J71" s="683" t="e">
        <f>#REF!</f>
        <v>#REF!</v>
      </c>
      <c r="K71" s="683" t="e">
        <f>#REF!</f>
        <v>#REF!</v>
      </c>
      <c r="L71" s="683" t="e">
        <f>#REF!</f>
        <v>#REF!</v>
      </c>
      <c r="M71" s="683" t="e">
        <f>#REF!</f>
        <v>#REF!</v>
      </c>
      <c r="N71" s="683" t="e">
        <f>#REF!</f>
        <v>#REF!</v>
      </c>
      <c r="O71" s="683" t="e">
        <f>#REF!</f>
        <v>#REF!</v>
      </c>
    </row>
    <row r="72" spans="1:15" x14ac:dyDescent="0.2">
      <c r="A72" s="666" t="s">
        <v>190</v>
      </c>
      <c r="B72" s="666" t="str">
        <f>Commodities!C$11</f>
        <v>TM</v>
      </c>
      <c r="C72" s="666" t="str">
        <f>Commodities!D$11</f>
        <v>TRN.Medium Duty Trucks</v>
      </c>
      <c r="D72" s="666" t="s">
        <v>95</v>
      </c>
      <c r="E72" s="683" t="e">
        <f>#REF!</f>
        <v>#REF!</v>
      </c>
      <c r="F72" s="683" t="e">
        <f>#REF!</f>
        <v>#REF!</v>
      </c>
      <c r="G72" s="683" t="e">
        <f>#REF!</f>
        <v>#REF!</v>
      </c>
      <c r="H72" s="683" t="e">
        <f>#REF!</f>
        <v>#REF!</v>
      </c>
      <c r="I72" s="683" t="e">
        <f>#REF!</f>
        <v>#REF!</v>
      </c>
      <c r="J72" s="683" t="e">
        <f>#REF!</f>
        <v>#REF!</v>
      </c>
      <c r="K72" s="683" t="e">
        <f>#REF!</f>
        <v>#REF!</v>
      </c>
      <c r="L72" s="683" t="e">
        <f>#REF!</f>
        <v>#REF!</v>
      </c>
      <c r="M72" s="683" t="e">
        <f>#REF!</f>
        <v>#REF!</v>
      </c>
      <c r="N72" s="683" t="e">
        <f>#REF!</f>
        <v>#REF!</v>
      </c>
      <c r="O72" s="683" t="e">
        <f>#REF!</f>
        <v>#REF!</v>
      </c>
    </row>
    <row r="73" spans="1:15" x14ac:dyDescent="0.2">
      <c r="A73" s="666" t="str">
        <f>IF(LEFT(Commodities!B$12,1)="*",A$69,RIGHT(A$69,2))</f>
        <v>R6</v>
      </c>
      <c r="B73" s="666" t="str">
        <f>Commodities!C$12</f>
        <v>THS</v>
      </c>
      <c r="C73" s="666" t="str">
        <f>Commodities!$D$12</f>
        <v>TRN.HDV Short Haul</v>
      </c>
      <c r="D73" s="666" t="s">
        <v>95</v>
      </c>
      <c r="E73" s="683" t="e">
        <f>#REF!</f>
        <v>#REF!</v>
      </c>
      <c r="F73" s="683" t="e">
        <f>#REF!</f>
        <v>#REF!</v>
      </c>
      <c r="G73" s="683" t="e">
        <f>#REF!</f>
        <v>#REF!</v>
      </c>
      <c r="H73" s="683" t="e">
        <f>#REF!</f>
        <v>#REF!</v>
      </c>
      <c r="I73" s="683" t="e">
        <f>#REF!</f>
        <v>#REF!</v>
      </c>
      <c r="J73" s="683" t="e">
        <f>#REF!</f>
        <v>#REF!</v>
      </c>
      <c r="K73" s="683" t="e">
        <f>#REF!</f>
        <v>#REF!</v>
      </c>
      <c r="L73" s="683" t="e">
        <f>#REF!</f>
        <v>#REF!</v>
      </c>
      <c r="M73" s="683" t="e">
        <f>#REF!</f>
        <v>#REF!</v>
      </c>
      <c r="N73" s="683" t="e">
        <f>#REF!</f>
        <v>#REF!</v>
      </c>
      <c r="O73" s="683" t="e">
        <f>#REF!</f>
        <v>#REF!</v>
      </c>
    </row>
    <row r="74" spans="1:15" x14ac:dyDescent="0.2">
      <c r="A74" s="666" t="str">
        <f>IF(LEFT(Commodities!B$13,1)="*",A$69,RIGHT(A$69,2))</f>
        <v>*R6</v>
      </c>
      <c r="B74" s="666" t="str">
        <f>Commodities!C$13</f>
        <v>THL</v>
      </c>
      <c r="C74" s="666" t="str">
        <f>Commodities!$D$13</f>
        <v>TRN.HDV Long Haul</v>
      </c>
      <c r="D74" s="666" t="s">
        <v>95</v>
      </c>
      <c r="E74" s="683" t="e">
        <f>#REF!</f>
        <v>#REF!</v>
      </c>
      <c r="F74" s="683" t="e">
        <f>#REF!</f>
        <v>#REF!</v>
      </c>
      <c r="G74" s="683" t="e">
        <f>#REF!</f>
        <v>#REF!</v>
      </c>
      <c r="H74" s="683" t="e">
        <f>#REF!</f>
        <v>#REF!</v>
      </c>
      <c r="I74" s="683" t="e">
        <f>#REF!</f>
        <v>#REF!</v>
      </c>
      <c r="J74" s="683" t="e">
        <f>#REF!</f>
        <v>#REF!</v>
      </c>
      <c r="K74" s="683" t="e">
        <f>#REF!</f>
        <v>#REF!</v>
      </c>
      <c r="L74" s="683" t="e">
        <f>#REF!</f>
        <v>#REF!</v>
      </c>
      <c r="M74" s="683" t="e">
        <f>#REF!</f>
        <v>#REF!</v>
      </c>
      <c r="N74" s="683" t="e">
        <f>#REF!</f>
        <v>#REF!</v>
      </c>
      <c r="O74" s="683" t="e">
        <f>#REF!</f>
        <v>#REF!</v>
      </c>
    </row>
    <row r="75" spans="1:15" x14ac:dyDescent="0.2">
      <c r="A75" s="666" t="str">
        <f>IF(LEFT(Commodities!B$15,1)="*",A$69,RIGHT(A$69,2))</f>
        <v>*R6</v>
      </c>
      <c r="B75" s="666" t="str">
        <f>Commodities!C$15</f>
        <v>TRF</v>
      </c>
      <c r="C75" s="666" t="str">
        <f>Commodities!D$15</f>
        <v>TRN.RAIL.FREIGHT</v>
      </c>
      <c r="D75" s="666" t="s">
        <v>104</v>
      </c>
      <c r="E75" s="683" t="e">
        <f>#REF!</f>
        <v>#REF!</v>
      </c>
      <c r="F75" s="683" t="e">
        <f>#REF!</f>
        <v>#REF!</v>
      </c>
      <c r="G75" s="683" t="e">
        <f>#REF!</f>
        <v>#REF!</v>
      </c>
      <c r="H75" s="683" t="e">
        <f>#REF!</f>
        <v>#REF!</v>
      </c>
      <c r="I75" s="683" t="e">
        <f>#REF!</f>
        <v>#REF!</v>
      </c>
      <c r="J75" s="683" t="e">
        <f>#REF!</f>
        <v>#REF!</v>
      </c>
      <c r="K75" s="683" t="e">
        <f>#REF!</f>
        <v>#REF!</v>
      </c>
      <c r="L75" s="683" t="e">
        <f>#REF!</f>
        <v>#REF!</v>
      </c>
      <c r="M75" s="683" t="e">
        <f>#REF!</f>
        <v>#REF!</v>
      </c>
      <c r="N75" s="683" t="e">
        <f>#REF!</f>
        <v>#REF!</v>
      </c>
      <c r="O75" s="683" t="e">
        <f>#REF!</f>
        <v>#REF!</v>
      </c>
    </row>
    <row r="76" spans="1:15" ht="13.5" customHeight="1" x14ac:dyDescent="0.2">
      <c r="A76" s="666" t="str">
        <f>IF(LEFT(Commodities!B$17,1)="*",A$69,RIGHT(A$69,2))</f>
        <v>R6</v>
      </c>
      <c r="B76" s="666" t="str">
        <f>Commodities!C$17</f>
        <v>TRP</v>
      </c>
      <c r="C76" s="666" t="str">
        <f>Commodities!D$17</f>
        <v>TRN.RAIL.PASS</v>
      </c>
      <c r="D76" s="666" t="s">
        <v>91</v>
      </c>
      <c r="E76" s="683" t="e">
        <f>#REF!</f>
        <v>#REF!</v>
      </c>
      <c r="F76" s="683" t="e">
        <f>#REF!</f>
        <v>#REF!</v>
      </c>
      <c r="G76" s="683" t="e">
        <f>#REF!</f>
        <v>#REF!</v>
      </c>
      <c r="H76" s="683" t="e">
        <f>#REF!</f>
        <v>#REF!</v>
      </c>
      <c r="I76" s="683" t="e">
        <f>#REF!</f>
        <v>#REF!</v>
      </c>
      <c r="J76" s="683" t="e">
        <f>#REF!</f>
        <v>#REF!</v>
      </c>
      <c r="K76" s="683" t="e">
        <f>#REF!</f>
        <v>#REF!</v>
      </c>
      <c r="L76" s="683" t="e">
        <f>#REF!</f>
        <v>#REF!</v>
      </c>
      <c r="M76" s="683" t="e">
        <f>#REF!</f>
        <v>#REF!</v>
      </c>
      <c r="N76" s="683" t="e">
        <f>#REF!</f>
        <v>#REF!</v>
      </c>
      <c r="O76" s="683" t="e">
        <f>#REF!</f>
        <v>#REF!</v>
      </c>
    </row>
    <row r="77" spans="1:15" x14ac:dyDescent="0.2">
      <c r="A77" s="666" t="str">
        <f>IF(LEFT(Commodities!B$14,1)="*",A$69,RIGHT(A$69,2))</f>
        <v>R6</v>
      </c>
      <c r="B77" s="666" t="str">
        <f>Commodities!C$14</f>
        <v>TS</v>
      </c>
      <c r="C77" s="666" t="str">
        <f>Commodities!D$14</f>
        <v>TRN.SHIP</v>
      </c>
      <c r="D77" s="666" t="s">
        <v>104</v>
      </c>
      <c r="E77" s="683" t="e">
        <f>#REF!</f>
        <v>#REF!</v>
      </c>
      <c r="F77" s="683" t="e">
        <f>#REF!</f>
        <v>#REF!</v>
      </c>
      <c r="G77" s="683" t="e">
        <f>#REF!</f>
        <v>#REF!</v>
      </c>
      <c r="H77" s="683" t="e">
        <f>#REF!</f>
        <v>#REF!</v>
      </c>
      <c r="I77" s="683" t="e">
        <f>#REF!</f>
        <v>#REF!</v>
      </c>
      <c r="J77" s="683" t="e">
        <f>#REF!</f>
        <v>#REF!</v>
      </c>
      <c r="K77" s="683" t="e">
        <f>#REF!</f>
        <v>#REF!</v>
      </c>
      <c r="L77" s="683" t="e">
        <f>#REF!</f>
        <v>#REF!</v>
      </c>
      <c r="M77" s="683" t="e">
        <f>#REF!</f>
        <v>#REF!</v>
      </c>
      <c r="N77" s="683" t="e">
        <f>#REF!</f>
        <v>#REF!</v>
      </c>
      <c r="O77" s="683" t="e">
        <f>#REF!</f>
        <v>#REF!</v>
      </c>
    </row>
    <row r="78" spans="1:15" x14ac:dyDescent="0.2">
      <c r="A78" s="666" t="str">
        <f>IF(LEFT(Commodities!B$18,1)="*",A$69,RIGHT(A$69,2))</f>
        <v>*R6</v>
      </c>
      <c r="B78" s="666" t="str">
        <f>Commodities!C$18</f>
        <v>TC</v>
      </c>
      <c r="C78" s="666" t="str">
        <f>Commodities!D$18</f>
        <v>TRN.TRUCK.COMMERCIAL</v>
      </c>
      <c r="D78" s="666" t="s">
        <v>95</v>
      </c>
      <c r="E78" s="683" t="e">
        <f>#REF!</f>
        <v>#REF!</v>
      </c>
      <c r="F78" s="683" t="e">
        <f>#REF!</f>
        <v>#REF!</v>
      </c>
      <c r="G78" s="683" t="e">
        <f>#REF!</f>
        <v>#REF!</v>
      </c>
      <c r="H78" s="683" t="e">
        <f>#REF!</f>
        <v>#REF!</v>
      </c>
      <c r="I78" s="683" t="e">
        <f>#REF!</f>
        <v>#REF!</v>
      </c>
      <c r="J78" s="683" t="e">
        <f>#REF!</f>
        <v>#REF!</v>
      </c>
      <c r="K78" s="683" t="e">
        <f>#REF!</f>
        <v>#REF!</v>
      </c>
      <c r="L78" s="683" t="e">
        <f>#REF!</f>
        <v>#REF!</v>
      </c>
      <c r="M78" s="683" t="e">
        <f>#REF!</f>
        <v>#REF!</v>
      </c>
      <c r="N78" s="683" t="e">
        <f>#REF!</f>
        <v>#REF!</v>
      </c>
      <c r="O78" s="683" t="e">
        <f>#REF!</f>
        <v>#REF!</v>
      </c>
    </row>
    <row r="79" spans="1:15" x14ac:dyDescent="0.2">
      <c r="A79" s="666" t="str">
        <f>IF(LEFT(Commodities!B$16,1)="*",A$69,RIGHT(A$69,2))</f>
        <v>*R6</v>
      </c>
      <c r="B79" s="666" t="str">
        <f>Commodities!C16</f>
        <v>TSW</v>
      </c>
      <c r="C79" s="666" t="str">
        <f>Commodities!D16</f>
        <v>TRN.MSW</v>
      </c>
      <c r="D79" s="666" t="str">
        <f>Commodities!E16</f>
        <v>bn-vmt</v>
      </c>
      <c r="E79" s="683"/>
      <c r="F79" s="683"/>
      <c r="G79" s="683"/>
      <c r="H79" s="683"/>
      <c r="I79" s="683"/>
      <c r="J79" s="683"/>
      <c r="K79" s="683"/>
      <c r="L79" s="683"/>
      <c r="M79" s="683"/>
      <c r="N79" s="683"/>
      <c r="O79" s="683"/>
    </row>
    <row r="80" spans="1:15" s="674" customFormat="1" x14ac:dyDescent="0.2">
      <c r="A80" s="670" t="s">
        <v>115</v>
      </c>
      <c r="B80" s="670" t="s">
        <v>89</v>
      </c>
      <c r="C80" s="670" t="s">
        <v>90</v>
      </c>
      <c r="D80" s="671" t="s">
        <v>91</v>
      </c>
      <c r="E80" s="672"/>
      <c r="F80" s="672"/>
      <c r="G80" s="672"/>
      <c r="H80" s="672"/>
      <c r="I80" s="672"/>
      <c r="J80" s="673"/>
      <c r="K80" s="673"/>
      <c r="L80" s="673"/>
      <c r="M80" s="673"/>
      <c r="N80" s="673"/>
      <c r="O80" s="673"/>
    </row>
    <row r="81" spans="1:15" s="674" customFormat="1" x14ac:dyDescent="0.2">
      <c r="A81" s="674" t="s">
        <v>191</v>
      </c>
      <c r="B81" s="674" t="s">
        <v>93</v>
      </c>
      <c r="C81" s="674" t="s">
        <v>94</v>
      </c>
      <c r="D81" s="675" t="s">
        <v>95</v>
      </c>
      <c r="E81" s="673">
        <v>0</v>
      </c>
      <c r="F81" s="673">
        <v>0</v>
      </c>
      <c r="G81" s="673">
        <v>0</v>
      </c>
      <c r="H81" s="673">
        <v>0</v>
      </c>
      <c r="I81" s="673">
        <v>0</v>
      </c>
      <c r="J81" s="673">
        <v>0</v>
      </c>
      <c r="K81" s="673">
        <v>0</v>
      </c>
      <c r="L81" s="673">
        <v>0</v>
      </c>
      <c r="M81" s="673">
        <v>0</v>
      </c>
      <c r="N81" s="673">
        <v>0</v>
      </c>
      <c r="O81" s="673">
        <v>0</v>
      </c>
    </row>
    <row r="82" spans="1:15" s="674" customFormat="1" x14ac:dyDescent="0.2">
      <c r="A82" s="674" t="s">
        <v>191</v>
      </c>
      <c r="B82" s="674" t="s">
        <v>96</v>
      </c>
      <c r="C82" s="674" t="s">
        <v>179</v>
      </c>
      <c r="D82" s="675" t="s">
        <v>95</v>
      </c>
      <c r="E82" s="673">
        <v>0</v>
      </c>
      <c r="F82" s="673">
        <v>0</v>
      </c>
      <c r="G82" s="673">
        <v>0</v>
      </c>
      <c r="H82" s="673">
        <v>0</v>
      </c>
      <c r="I82" s="673">
        <v>0</v>
      </c>
      <c r="J82" s="673">
        <v>0</v>
      </c>
      <c r="K82" s="673">
        <v>0</v>
      </c>
      <c r="L82" s="673">
        <v>0</v>
      </c>
      <c r="M82" s="673">
        <v>0</v>
      </c>
      <c r="N82" s="673">
        <v>0</v>
      </c>
      <c r="O82" s="673">
        <v>0</v>
      </c>
    </row>
    <row r="83" spans="1:15" s="674" customFormat="1" x14ac:dyDescent="0.2">
      <c r="A83" s="674" t="s">
        <v>191</v>
      </c>
      <c r="B83" s="674" t="s">
        <v>98</v>
      </c>
      <c r="C83" s="674" t="s">
        <v>99</v>
      </c>
      <c r="D83" s="675" t="s">
        <v>95</v>
      </c>
      <c r="E83" s="673">
        <v>0</v>
      </c>
      <c r="F83" s="673">
        <v>0</v>
      </c>
      <c r="G83" s="673">
        <v>0</v>
      </c>
      <c r="H83" s="673">
        <v>0</v>
      </c>
      <c r="I83" s="673">
        <v>0</v>
      </c>
      <c r="J83" s="673">
        <v>0</v>
      </c>
      <c r="K83" s="673">
        <v>0</v>
      </c>
      <c r="L83" s="673">
        <v>0</v>
      </c>
      <c r="M83" s="673">
        <v>0</v>
      </c>
      <c r="N83" s="673">
        <v>0</v>
      </c>
      <c r="O83" s="673">
        <v>0</v>
      </c>
    </row>
    <row r="84" spans="1:15" s="674" customFormat="1" x14ac:dyDescent="0.2">
      <c r="A84" s="674" t="s">
        <v>191</v>
      </c>
      <c r="B84" s="674" t="s">
        <v>100</v>
      </c>
      <c r="C84" s="674" t="s">
        <v>101</v>
      </c>
      <c r="D84" s="675" t="s">
        <v>95</v>
      </c>
      <c r="E84" s="673">
        <v>0</v>
      </c>
      <c r="F84" s="673">
        <v>0</v>
      </c>
      <c r="G84" s="673">
        <v>0</v>
      </c>
      <c r="H84" s="673">
        <v>0</v>
      </c>
      <c r="I84" s="673">
        <v>0</v>
      </c>
      <c r="J84" s="673">
        <v>0</v>
      </c>
      <c r="K84" s="673">
        <v>0</v>
      </c>
      <c r="L84" s="673">
        <v>0</v>
      </c>
      <c r="M84" s="673">
        <v>0</v>
      </c>
      <c r="N84" s="673">
        <v>0</v>
      </c>
      <c r="O84" s="673">
        <v>0</v>
      </c>
    </row>
    <row r="85" spans="1:15" s="674" customFormat="1" x14ac:dyDescent="0.2">
      <c r="A85" s="674" t="s">
        <v>191</v>
      </c>
      <c r="B85" s="674" t="s">
        <v>106</v>
      </c>
      <c r="C85" s="674" t="s">
        <v>107</v>
      </c>
      <c r="D85" s="675" t="s">
        <v>104</v>
      </c>
      <c r="E85" s="673">
        <v>0</v>
      </c>
      <c r="F85" s="673">
        <v>0</v>
      </c>
      <c r="G85" s="673">
        <v>0</v>
      </c>
      <c r="H85" s="673">
        <v>0</v>
      </c>
      <c r="I85" s="673">
        <v>0</v>
      </c>
      <c r="J85" s="673">
        <v>0</v>
      </c>
      <c r="K85" s="673">
        <v>0</v>
      </c>
      <c r="L85" s="673">
        <v>0</v>
      </c>
      <c r="M85" s="673">
        <v>0</v>
      </c>
      <c r="N85" s="673">
        <v>0</v>
      </c>
      <c r="O85" s="673">
        <v>0</v>
      </c>
    </row>
    <row r="86" spans="1:15" s="674" customFormat="1" x14ac:dyDescent="0.2">
      <c r="A86" s="674" t="s">
        <v>191</v>
      </c>
      <c r="B86" s="674" t="s">
        <v>110</v>
      </c>
      <c r="C86" s="674" t="s">
        <v>111</v>
      </c>
      <c r="D86" s="675" t="s">
        <v>91</v>
      </c>
      <c r="E86" s="673">
        <v>0</v>
      </c>
      <c r="F86" s="673">
        <v>0</v>
      </c>
      <c r="G86" s="673">
        <v>0</v>
      </c>
      <c r="H86" s="673">
        <v>0</v>
      </c>
      <c r="I86" s="673">
        <v>0</v>
      </c>
      <c r="J86" s="673">
        <v>0</v>
      </c>
      <c r="K86" s="673">
        <v>0</v>
      </c>
      <c r="L86" s="673">
        <v>0</v>
      </c>
      <c r="M86" s="673">
        <v>0</v>
      </c>
      <c r="N86" s="673">
        <v>0</v>
      </c>
      <c r="O86" s="673">
        <v>0</v>
      </c>
    </row>
    <row r="87" spans="1:15" s="674" customFormat="1" x14ac:dyDescent="0.2">
      <c r="A87" s="674" t="s">
        <v>191</v>
      </c>
      <c r="B87" s="674" t="s">
        <v>102</v>
      </c>
      <c r="C87" s="674" t="s">
        <v>103</v>
      </c>
      <c r="D87" s="675" t="s">
        <v>104</v>
      </c>
      <c r="E87" s="673">
        <v>0</v>
      </c>
      <c r="F87" s="673">
        <v>0</v>
      </c>
      <c r="G87" s="673">
        <v>0</v>
      </c>
      <c r="H87" s="673">
        <v>0</v>
      </c>
      <c r="I87" s="673">
        <v>0</v>
      </c>
      <c r="J87" s="673">
        <v>0</v>
      </c>
      <c r="K87" s="673">
        <v>0</v>
      </c>
      <c r="L87" s="673">
        <v>0</v>
      </c>
      <c r="M87" s="673">
        <v>0</v>
      </c>
      <c r="N87" s="673">
        <v>0</v>
      </c>
      <c r="O87" s="673">
        <v>0</v>
      </c>
    </row>
    <row r="88" spans="1:15" s="674" customFormat="1" x14ac:dyDescent="0.2">
      <c r="A88" s="674" t="s">
        <v>191</v>
      </c>
      <c r="B88" s="674" t="s">
        <v>112</v>
      </c>
      <c r="C88" s="674" t="s">
        <v>113</v>
      </c>
      <c r="D88" s="675" t="s">
        <v>95</v>
      </c>
      <c r="E88" s="673">
        <v>0</v>
      </c>
      <c r="F88" s="673">
        <v>0</v>
      </c>
      <c r="G88" s="673">
        <v>0</v>
      </c>
      <c r="H88" s="673">
        <v>0</v>
      </c>
      <c r="I88" s="673">
        <v>0</v>
      </c>
      <c r="J88" s="673">
        <v>0</v>
      </c>
      <c r="K88" s="673">
        <v>0</v>
      </c>
      <c r="L88" s="673">
        <v>0</v>
      </c>
      <c r="M88" s="673">
        <v>0</v>
      </c>
      <c r="N88" s="673">
        <v>0</v>
      </c>
      <c r="O88" s="673">
        <v>0</v>
      </c>
    </row>
    <row r="89" spans="1:15" s="674" customFormat="1" x14ac:dyDescent="0.2">
      <c r="A89" s="674" t="s">
        <v>115</v>
      </c>
      <c r="D89" s="675"/>
      <c r="E89" s="673"/>
      <c r="F89" s="673"/>
      <c r="G89" s="673"/>
      <c r="H89" s="673"/>
      <c r="I89" s="673"/>
      <c r="J89" s="673"/>
      <c r="K89" s="673"/>
      <c r="L89" s="673"/>
      <c r="M89" s="673"/>
      <c r="N89" s="673"/>
      <c r="O89" s="673"/>
    </row>
    <row r="90" spans="1:15" s="674" customFormat="1" x14ac:dyDescent="0.2">
      <c r="A90" s="674" t="s">
        <v>192</v>
      </c>
      <c r="B90" s="674" t="s">
        <v>89</v>
      </c>
      <c r="C90" s="674" t="s">
        <v>90</v>
      </c>
      <c r="D90" s="675" t="s">
        <v>91</v>
      </c>
      <c r="E90" s="673">
        <v>0</v>
      </c>
      <c r="F90" s="673">
        <v>0</v>
      </c>
      <c r="G90" s="673">
        <v>0</v>
      </c>
      <c r="H90" s="673">
        <v>0</v>
      </c>
      <c r="I90" s="673">
        <v>0</v>
      </c>
      <c r="J90" s="673">
        <v>0</v>
      </c>
      <c r="K90" s="673">
        <v>0</v>
      </c>
      <c r="L90" s="673">
        <v>0</v>
      </c>
      <c r="M90" s="673">
        <v>0</v>
      </c>
      <c r="N90" s="673">
        <v>0</v>
      </c>
      <c r="O90" s="673">
        <v>0</v>
      </c>
    </row>
    <row r="91" spans="1:15" s="674" customFormat="1" x14ac:dyDescent="0.2">
      <c r="A91" s="674" t="s">
        <v>192</v>
      </c>
      <c r="B91" s="674" t="s">
        <v>93</v>
      </c>
      <c r="C91" s="674" t="s">
        <v>94</v>
      </c>
      <c r="D91" s="675" t="s">
        <v>95</v>
      </c>
      <c r="E91" s="673">
        <v>0</v>
      </c>
      <c r="F91" s="673">
        <v>0</v>
      </c>
      <c r="G91" s="673">
        <v>0</v>
      </c>
      <c r="H91" s="673">
        <v>0</v>
      </c>
      <c r="I91" s="673">
        <v>0</v>
      </c>
      <c r="J91" s="673">
        <v>0</v>
      </c>
      <c r="K91" s="673">
        <v>0</v>
      </c>
      <c r="L91" s="673">
        <v>0</v>
      </c>
      <c r="M91" s="673">
        <v>0</v>
      </c>
      <c r="N91" s="673">
        <v>0</v>
      </c>
      <c r="O91" s="673">
        <v>0</v>
      </c>
    </row>
    <row r="92" spans="1:15" s="674" customFormat="1" x14ac:dyDescent="0.2">
      <c r="A92" s="674" t="s">
        <v>192</v>
      </c>
      <c r="B92" s="674" t="s">
        <v>96</v>
      </c>
      <c r="C92" s="674" t="s">
        <v>179</v>
      </c>
      <c r="D92" s="675" t="s">
        <v>95</v>
      </c>
      <c r="E92" s="673">
        <v>0</v>
      </c>
      <c r="F92" s="673">
        <v>0</v>
      </c>
      <c r="G92" s="673">
        <v>0</v>
      </c>
      <c r="H92" s="673">
        <v>0</v>
      </c>
      <c r="I92" s="673">
        <v>0</v>
      </c>
      <c r="J92" s="673">
        <v>0</v>
      </c>
      <c r="K92" s="673">
        <v>0</v>
      </c>
      <c r="L92" s="673">
        <v>0</v>
      </c>
      <c r="M92" s="673">
        <v>0</v>
      </c>
      <c r="N92" s="673">
        <v>0</v>
      </c>
      <c r="O92" s="673">
        <v>0</v>
      </c>
    </row>
    <row r="93" spans="1:15" s="674" customFormat="1" x14ac:dyDescent="0.2">
      <c r="A93" s="674" t="s">
        <v>192</v>
      </c>
      <c r="B93" s="674" t="s">
        <v>98</v>
      </c>
      <c r="C93" s="674" t="s">
        <v>99</v>
      </c>
      <c r="D93" s="675" t="s">
        <v>95</v>
      </c>
      <c r="E93" s="673">
        <v>0</v>
      </c>
      <c r="F93" s="673">
        <v>0</v>
      </c>
      <c r="G93" s="673">
        <v>0</v>
      </c>
      <c r="H93" s="673">
        <v>0</v>
      </c>
      <c r="I93" s="673">
        <v>0</v>
      </c>
      <c r="J93" s="673">
        <v>0</v>
      </c>
      <c r="K93" s="673">
        <v>0</v>
      </c>
      <c r="L93" s="673">
        <v>0</v>
      </c>
      <c r="M93" s="673">
        <v>0</v>
      </c>
      <c r="N93" s="673">
        <v>0</v>
      </c>
      <c r="O93" s="673">
        <v>0</v>
      </c>
    </row>
    <row r="94" spans="1:15" s="674" customFormat="1" x14ac:dyDescent="0.2">
      <c r="A94" s="674" t="s">
        <v>192</v>
      </c>
      <c r="B94" s="674" t="s">
        <v>100</v>
      </c>
      <c r="C94" s="674" t="s">
        <v>101</v>
      </c>
      <c r="D94" s="675" t="s">
        <v>95</v>
      </c>
      <c r="E94" s="673">
        <v>0</v>
      </c>
      <c r="F94" s="673">
        <v>0</v>
      </c>
      <c r="G94" s="673">
        <v>0</v>
      </c>
      <c r="H94" s="673">
        <v>0</v>
      </c>
      <c r="I94" s="673">
        <v>0</v>
      </c>
      <c r="J94" s="673">
        <v>0</v>
      </c>
      <c r="K94" s="673">
        <v>0</v>
      </c>
      <c r="L94" s="673">
        <v>0</v>
      </c>
      <c r="M94" s="673">
        <v>0</v>
      </c>
      <c r="N94" s="673">
        <v>0</v>
      </c>
      <c r="O94" s="673">
        <v>0</v>
      </c>
    </row>
    <row r="95" spans="1:15" s="674" customFormat="1" x14ac:dyDescent="0.2">
      <c r="A95" s="674" t="s">
        <v>192</v>
      </c>
      <c r="B95" s="674" t="s">
        <v>106</v>
      </c>
      <c r="C95" s="674" t="s">
        <v>107</v>
      </c>
      <c r="D95" s="675" t="s">
        <v>104</v>
      </c>
      <c r="E95" s="673">
        <v>0</v>
      </c>
      <c r="F95" s="673">
        <v>0</v>
      </c>
      <c r="G95" s="673">
        <v>0</v>
      </c>
      <c r="H95" s="673">
        <v>0</v>
      </c>
      <c r="I95" s="673">
        <v>0</v>
      </c>
      <c r="J95" s="673">
        <v>0</v>
      </c>
      <c r="K95" s="673">
        <v>0</v>
      </c>
      <c r="L95" s="673">
        <v>0</v>
      </c>
      <c r="M95" s="673">
        <v>0</v>
      </c>
      <c r="N95" s="673">
        <v>0</v>
      </c>
      <c r="O95" s="673">
        <v>0</v>
      </c>
    </row>
    <row r="96" spans="1:15" s="674" customFormat="1" x14ac:dyDescent="0.2">
      <c r="A96" s="674" t="s">
        <v>192</v>
      </c>
      <c r="B96" s="674" t="s">
        <v>110</v>
      </c>
      <c r="C96" s="674" t="s">
        <v>111</v>
      </c>
      <c r="D96" s="675" t="s">
        <v>91</v>
      </c>
      <c r="E96" s="673">
        <v>0</v>
      </c>
      <c r="F96" s="673">
        <v>0</v>
      </c>
      <c r="G96" s="673">
        <v>0</v>
      </c>
      <c r="H96" s="673">
        <v>0</v>
      </c>
      <c r="I96" s="673">
        <v>0</v>
      </c>
      <c r="J96" s="673">
        <v>0</v>
      </c>
      <c r="K96" s="673">
        <v>0</v>
      </c>
      <c r="L96" s="673">
        <v>0</v>
      </c>
      <c r="M96" s="673">
        <v>0</v>
      </c>
      <c r="N96" s="673">
        <v>0</v>
      </c>
      <c r="O96" s="673">
        <v>0</v>
      </c>
    </row>
    <row r="97" spans="1:15" s="674" customFormat="1" x14ac:dyDescent="0.2">
      <c r="A97" s="674" t="s">
        <v>192</v>
      </c>
      <c r="B97" s="674" t="s">
        <v>102</v>
      </c>
      <c r="C97" s="674" t="s">
        <v>103</v>
      </c>
      <c r="D97" s="675" t="s">
        <v>104</v>
      </c>
      <c r="E97" s="673">
        <v>0</v>
      </c>
      <c r="F97" s="673">
        <v>0</v>
      </c>
      <c r="G97" s="673">
        <v>0</v>
      </c>
      <c r="H97" s="673">
        <v>0</v>
      </c>
      <c r="I97" s="673">
        <v>0</v>
      </c>
      <c r="J97" s="673">
        <v>0</v>
      </c>
      <c r="K97" s="673">
        <v>0</v>
      </c>
      <c r="L97" s="673">
        <v>0</v>
      </c>
      <c r="M97" s="673">
        <v>0</v>
      </c>
      <c r="N97" s="673">
        <v>0</v>
      </c>
      <c r="O97" s="673">
        <v>0</v>
      </c>
    </row>
    <row r="98" spans="1:15" s="674" customFormat="1" x14ac:dyDescent="0.2">
      <c r="A98" s="674" t="s">
        <v>192</v>
      </c>
      <c r="B98" s="674" t="s">
        <v>112</v>
      </c>
      <c r="C98" s="674" t="s">
        <v>113</v>
      </c>
      <c r="D98" s="675" t="s">
        <v>95</v>
      </c>
      <c r="E98" s="673">
        <v>0</v>
      </c>
      <c r="F98" s="673">
        <v>0</v>
      </c>
      <c r="G98" s="673">
        <v>0</v>
      </c>
      <c r="H98" s="673">
        <v>0</v>
      </c>
      <c r="I98" s="673">
        <v>0</v>
      </c>
      <c r="J98" s="673">
        <v>0</v>
      </c>
      <c r="K98" s="673">
        <v>0</v>
      </c>
      <c r="L98" s="673">
        <v>0</v>
      </c>
      <c r="M98" s="673">
        <v>0</v>
      </c>
      <c r="N98" s="673">
        <v>0</v>
      </c>
      <c r="O98" s="673">
        <v>0</v>
      </c>
    </row>
    <row r="99" spans="1:15" s="674" customFormat="1" x14ac:dyDescent="0.2">
      <c r="A99" s="674" t="s">
        <v>115</v>
      </c>
      <c r="D99" s="675"/>
      <c r="E99" s="673"/>
      <c r="F99" s="673"/>
      <c r="G99" s="673"/>
      <c r="H99" s="673"/>
      <c r="I99" s="673"/>
      <c r="J99" s="673"/>
      <c r="K99" s="673"/>
      <c r="L99" s="673"/>
      <c r="M99" s="673"/>
      <c r="N99" s="673"/>
      <c r="O99" s="673"/>
    </row>
    <row r="100" spans="1:15" s="674" customFormat="1" x14ac:dyDescent="0.2">
      <c r="A100" s="674" t="s">
        <v>193</v>
      </c>
      <c r="B100" s="674" t="s">
        <v>89</v>
      </c>
      <c r="C100" s="674" t="s">
        <v>90</v>
      </c>
      <c r="D100" s="675" t="s">
        <v>91</v>
      </c>
      <c r="E100" s="673">
        <v>0</v>
      </c>
      <c r="F100" s="673">
        <v>0</v>
      </c>
      <c r="G100" s="673">
        <v>0</v>
      </c>
      <c r="H100" s="673">
        <v>0</v>
      </c>
      <c r="I100" s="673">
        <v>0</v>
      </c>
      <c r="J100" s="673">
        <v>0</v>
      </c>
      <c r="K100" s="673">
        <v>0</v>
      </c>
      <c r="L100" s="673">
        <v>0</v>
      </c>
      <c r="M100" s="673">
        <v>0</v>
      </c>
      <c r="N100" s="673">
        <v>0</v>
      </c>
      <c r="O100" s="673">
        <v>0</v>
      </c>
    </row>
    <row r="101" spans="1:15" s="674" customFormat="1" x14ac:dyDescent="0.2">
      <c r="A101" s="674" t="s">
        <v>193</v>
      </c>
      <c r="B101" s="674" t="s">
        <v>93</v>
      </c>
      <c r="C101" s="674" t="s">
        <v>94</v>
      </c>
      <c r="D101" s="675" t="s">
        <v>95</v>
      </c>
      <c r="E101" s="673">
        <v>0</v>
      </c>
      <c r="F101" s="673">
        <v>0</v>
      </c>
      <c r="G101" s="673">
        <v>0</v>
      </c>
      <c r="H101" s="673">
        <v>0</v>
      </c>
      <c r="I101" s="673">
        <v>0</v>
      </c>
      <c r="J101" s="673">
        <v>0</v>
      </c>
      <c r="K101" s="673">
        <v>0</v>
      </c>
      <c r="L101" s="673">
        <v>0</v>
      </c>
      <c r="M101" s="673">
        <v>0</v>
      </c>
      <c r="N101" s="673">
        <v>0</v>
      </c>
      <c r="O101" s="673">
        <v>0</v>
      </c>
    </row>
    <row r="102" spans="1:15" s="674" customFormat="1" x14ac:dyDescent="0.2">
      <c r="A102" s="674" t="s">
        <v>193</v>
      </c>
      <c r="B102" s="674" t="s">
        <v>96</v>
      </c>
      <c r="C102" s="674" t="s">
        <v>179</v>
      </c>
      <c r="D102" s="675" t="s">
        <v>95</v>
      </c>
      <c r="E102" s="673">
        <v>0</v>
      </c>
      <c r="F102" s="673">
        <v>0</v>
      </c>
      <c r="G102" s="673">
        <v>0</v>
      </c>
      <c r="H102" s="673">
        <v>0</v>
      </c>
      <c r="I102" s="673">
        <v>0</v>
      </c>
      <c r="J102" s="673">
        <v>0</v>
      </c>
      <c r="K102" s="673">
        <v>0</v>
      </c>
      <c r="L102" s="673">
        <v>0</v>
      </c>
      <c r="M102" s="673">
        <v>0</v>
      </c>
      <c r="N102" s="673">
        <v>0</v>
      </c>
      <c r="O102" s="673">
        <v>0</v>
      </c>
    </row>
    <row r="103" spans="1:15" s="674" customFormat="1" x14ac:dyDescent="0.2">
      <c r="A103" s="674" t="s">
        <v>193</v>
      </c>
      <c r="B103" s="674" t="s">
        <v>98</v>
      </c>
      <c r="C103" s="674" t="s">
        <v>99</v>
      </c>
      <c r="D103" s="675" t="s">
        <v>95</v>
      </c>
      <c r="E103" s="673">
        <v>0</v>
      </c>
      <c r="F103" s="673">
        <v>0</v>
      </c>
      <c r="G103" s="673">
        <v>0</v>
      </c>
      <c r="H103" s="673">
        <v>0</v>
      </c>
      <c r="I103" s="673">
        <v>0</v>
      </c>
      <c r="J103" s="673">
        <v>0</v>
      </c>
      <c r="K103" s="673">
        <v>0</v>
      </c>
      <c r="L103" s="673">
        <v>0</v>
      </c>
      <c r="M103" s="673">
        <v>0</v>
      </c>
      <c r="N103" s="673">
        <v>0</v>
      </c>
      <c r="O103" s="673">
        <v>0</v>
      </c>
    </row>
    <row r="104" spans="1:15" s="674" customFormat="1" x14ac:dyDescent="0.2">
      <c r="A104" s="674" t="s">
        <v>193</v>
      </c>
      <c r="B104" s="674" t="s">
        <v>100</v>
      </c>
      <c r="C104" s="674" t="s">
        <v>101</v>
      </c>
      <c r="D104" s="675" t="s">
        <v>95</v>
      </c>
      <c r="E104" s="673">
        <v>0</v>
      </c>
      <c r="F104" s="673">
        <v>0</v>
      </c>
      <c r="G104" s="673">
        <v>0</v>
      </c>
      <c r="H104" s="673">
        <v>0</v>
      </c>
      <c r="I104" s="673">
        <v>0</v>
      </c>
      <c r="J104" s="673">
        <v>0</v>
      </c>
      <c r="K104" s="673">
        <v>0</v>
      </c>
      <c r="L104" s="673">
        <v>0</v>
      </c>
      <c r="M104" s="673">
        <v>0</v>
      </c>
      <c r="N104" s="673">
        <v>0</v>
      </c>
      <c r="O104" s="673">
        <v>0</v>
      </c>
    </row>
    <row r="105" spans="1:15" s="674" customFormat="1" x14ac:dyDescent="0.2">
      <c r="A105" s="674" t="s">
        <v>193</v>
      </c>
      <c r="B105" s="674" t="s">
        <v>106</v>
      </c>
      <c r="C105" s="674" t="s">
        <v>107</v>
      </c>
      <c r="D105" s="675" t="s">
        <v>104</v>
      </c>
      <c r="E105" s="673">
        <v>0</v>
      </c>
      <c r="F105" s="673">
        <v>0</v>
      </c>
      <c r="G105" s="673">
        <v>0</v>
      </c>
      <c r="H105" s="673">
        <v>0</v>
      </c>
      <c r="I105" s="673">
        <v>0</v>
      </c>
      <c r="J105" s="673">
        <v>0</v>
      </c>
      <c r="K105" s="673">
        <v>0</v>
      </c>
      <c r="L105" s="673">
        <v>0</v>
      </c>
      <c r="M105" s="673">
        <v>0</v>
      </c>
      <c r="N105" s="673">
        <v>0</v>
      </c>
      <c r="O105" s="673">
        <v>0</v>
      </c>
    </row>
    <row r="106" spans="1:15" s="674" customFormat="1" x14ac:dyDescent="0.2">
      <c r="A106" s="674" t="s">
        <v>193</v>
      </c>
      <c r="B106" s="674" t="s">
        <v>110</v>
      </c>
      <c r="C106" s="674" t="s">
        <v>111</v>
      </c>
      <c r="D106" s="675" t="s">
        <v>91</v>
      </c>
      <c r="E106" s="673">
        <v>0</v>
      </c>
      <c r="F106" s="673">
        <v>0</v>
      </c>
      <c r="G106" s="673">
        <v>0</v>
      </c>
      <c r="H106" s="673">
        <v>0</v>
      </c>
      <c r="I106" s="673">
        <v>0</v>
      </c>
      <c r="J106" s="673">
        <v>0</v>
      </c>
      <c r="K106" s="673">
        <v>0</v>
      </c>
      <c r="L106" s="673">
        <v>0</v>
      </c>
      <c r="M106" s="673">
        <v>0</v>
      </c>
      <c r="N106" s="673">
        <v>0</v>
      </c>
      <c r="O106" s="673">
        <v>0</v>
      </c>
    </row>
    <row r="107" spans="1:15" s="674" customFormat="1" x14ac:dyDescent="0.2">
      <c r="A107" s="674" t="s">
        <v>193</v>
      </c>
      <c r="B107" s="674" t="s">
        <v>102</v>
      </c>
      <c r="C107" s="674" t="s">
        <v>103</v>
      </c>
      <c r="D107" s="675" t="s">
        <v>104</v>
      </c>
      <c r="E107" s="673">
        <v>0</v>
      </c>
      <c r="F107" s="673">
        <v>0</v>
      </c>
      <c r="G107" s="673">
        <v>0</v>
      </c>
      <c r="H107" s="673">
        <v>0</v>
      </c>
      <c r="I107" s="673">
        <v>0</v>
      </c>
      <c r="J107" s="673">
        <v>0</v>
      </c>
      <c r="K107" s="673">
        <v>0</v>
      </c>
      <c r="L107" s="673">
        <v>0</v>
      </c>
      <c r="M107" s="673">
        <v>0</v>
      </c>
      <c r="N107" s="673">
        <v>0</v>
      </c>
      <c r="O107" s="673">
        <v>0</v>
      </c>
    </row>
    <row r="108" spans="1:15" s="674" customFormat="1" x14ac:dyDescent="0.2">
      <c r="A108" s="674" t="s">
        <v>193</v>
      </c>
      <c r="B108" s="674" t="s">
        <v>112</v>
      </c>
      <c r="C108" s="674" t="s">
        <v>113</v>
      </c>
      <c r="D108" s="675" t="s">
        <v>95</v>
      </c>
      <c r="E108" s="673">
        <v>0</v>
      </c>
      <c r="F108" s="673">
        <v>0</v>
      </c>
      <c r="G108" s="673">
        <v>0</v>
      </c>
      <c r="H108" s="673">
        <v>0</v>
      </c>
      <c r="I108" s="673">
        <v>0</v>
      </c>
      <c r="J108" s="673">
        <v>0</v>
      </c>
      <c r="K108" s="673">
        <v>0</v>
      </c>
      <c r="L108" s="673">
        <v>0</v>
      </c>
      <c r="M108" s="673">
        <v>0</v>
      </c>
      <c r="N108" s="673">
        <v>0</v>
      </c>
      <c r="O108" s="673">
        <v>0</v>
      </c>
    </row>
    <row r="109" spans="1:15" s="674" customFormat="1" x14ac:dyDescent="0.2">
      <c r="D109" s="675"/>
      <c r="E109" s="673"/>
      <c r="F109" s="673"/>
      <c r="G109" s="673"/>
      <c r="H109" s="673"/>
      <c r="I109" s="673"/>
      <c r="J109" s="673"/>
      <c r="K109" s="673"/>
      <c r="L109" s="673"/>
      <c r="M109" s="673"/>
      <c r="N109" s="673"/>
      <c r="O109" s="673"/>
    </row>
    <row r="110" spans="1:15" x14ac:dyDescent="0.2">
      <c r="D110" s="676"/>
    </row>
    <row r="111" spans="1:15" x14ac:dyDescent="0.2">
      <c r="D111" s="676"/>
    </row>
    <row r="112" spans="1:15" x14ac:dyDescent="0.2">
      <c r="D112" s="676"/>
    </row>
  </sheetData>
  <phoneticPr fontId="0" type="noConversion"/>
  <pageMargins left="0.75" right="0.75" top="1" bottom="1" header="0.5" footer="0.5"/>
  <pageSetup paperSize="9" orientation="landscape" horizontalDpi="1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C000"/>
  </sheetPr>
  <dimension ref="A1:AZ542"/>
  <sheetViews>
    <sheetView showFormulas="1" zoomScale="70" zoomScaleNormal="70" workbookViewId="0">
      <pane xSplit="2" ySplit="6" topLeftCell="C7" activePane="bottomRight" state="frozen"/>
      <selection pane="topRight" activeCell="C1" sqref="C1"/>
      <selection pane="bottomLeft" activeCell="A7" sqref="A7"/>
      <selection pane="bottomRight" activeCell="B28" sqref="B28"/>
    </sheetView>
  </sheetViews>
  <sheetFormatPr defaultColWidth="9.140625" defaultRowHeight="12" customHeight="1" x14ac:dyDescent="0.2"/>
  <cols>
    <col min="1" max="1" width="40.28515625" style="685" bestFit="1" customWidth="1"/>
    <col min="2" max="2" width="18.140625" style="685" bestFit="1" customWidth="1"/>
    <col min="3" max="3" width="50.7109375" style="685" bestFit="1" customWidth="1"/>
    <col min="4" max="4" width="22" style="686" bestFit="1" customWidth="1"/>
    <col min="5" max="5" width="10.7109375" style="686" bestFit="1" customWidth="1"/>
    <col min="6" max="6" width="13" style="686" bestFit="1" customWidth="1"/>
    <col min="7" max="8" width="17.28515625" style="685" bestFit="1" customWidth="1"/>
    <col min="9" max="10" width="17.42578125" style="685" bestFit="1" customWidth="1"/>
    <col min="11" max="11" width="12.5703125" style="685" bestFit="1" customWidth="1"/>
    <col min="12" max="13" width="11.7109375" style="685" bestFit="1" customWidth="1"/>
    <col min="14" max="14" width="15.85546875" style="685" bestFit="1" customWidth="1"/>
    <col min="15" max="21" width="12.140625" style="685" bestFit="1" customWidth="1"/>
    <col min="22" max="23" width="21.7109375" style="685" bestFit="1" customWidth="1"/>
    <col min="24" max="31" width="22.140625" style="685" bestFit="1" customWidth="1"/>
    <col min="32" max="32" width="14.85546875" style="685" bestFit="1" customWidth="1"/>
    <col min="33" max="37" width="25" style="685" bestFit="1" customWidth="1"/>
    <col min="38" max="38" width="14.42578125" style="685" bestFit="1" customWidth="1"/>
    <col min="39" max="40" width="20.5703125" style="685" bestFit="1" customWidth="1"/>
    <col min="41" max="48" width="21" style="685" bestFit="1" customWidth="1"/>
    <col min="49" max="51" width="9.140625" style="685"/>
    <col min="52" max="52" width="15.85546875" style="685" bestFit="1" customWidth="1"/>
    <col min="53" max="16384" width="9.140625" style="685"/>
  </cols>
  <sheetData>
    <row r="1" spans="1:52" ht="12" customHeight="1" x14ac:dyDescent="0.2">
      <c r="A1" s="684" t="s">
        <v>473</v>
      </c>
      <c r="B1" s="685" t="s">
        <v>7</v>
      </c>
      <c r="AJ1" s="684"/>
      <c r="AK1" s="684"/>
      <c r="AL1" s="684"/>
      <c r="AM1" s="684"/>
      <c r="AN1" s="684"/>
    </row>
    <row r="4" spans="1:52" ht="19.5" customHeight="1" x14ac:dyDescent="0.2"/>
    <row r="5" spans="1:52" ht="12" customHeight="1" x14ac:dyDescent="0.2">
      <c r="F5" s="681"/>
    </row>
    <row r="6" spans="1:52" ht="12" customHeight="1" x14ac:dyDescent="0.2">
      <c r="A6" s="691" t="s">
        <v>683</v>
      </c>
      <c r="B6" s="691" t="s">
        <v>158</v>
      </c>
      <c r="C6" s="691" t="s">
        <v>1721</v>
      </c>
      <c r="D6" s="691" t="s">
        <v>1678</v>
      </c>
      <c r="E6" s="691" t="s">
        <v>168</v>
      </c>
      <c r="F6" s="691" t="s">
        <v>169</v>
      </c>
      <c r="G6" s="691" t="s">
        <v>1719</v>
      </c>
      <c r="H6" s="691" t="s">
        <v>1679</v>
      </c>
      <c r="I6" s="691" t="s">
        <v>1680</v>
      </c>
      <c r="J6" s="691" t="s">
        <v>1681</v>
      </c>
      <c r="K6" s="691" t="s">
        <v>475</v>
      </c>
      <c r="L6" s="691" t="s">
        <v>1682</v>
      </c>
      <c r="M6" s="691" t="s">
        <v>1683</v>
      </c>
      <c r="N6" s="691" t="s">
        <v>1684</v>
      </c>
      <c r="O6" s="691" t="s">
        <v>1685</v>
      </c>
      <c r="P6" s="691" t="s">
        <v>1686</v>
      </c>
      <c r="Q6" s="691" t="s">
        <v>1687</v>
      </c>
      <c r="R6" s="691" t="s">
        <v>1688</v>
      </c>
      <c r="S6" s="691" t="s">
        <v>1689</v>
      </c>
      <c r="T6" s="691" t="s">
        <v>1690</v>
      </c>
      <c r="U6" s="691" t="s">
        <v>1691</v>
      </c>
      <c r="V6" s="691" t="s">
        <v>1692</v>
      </c>
      <c r="W6" s="691" t="s">
        <v>1693</v>
      </c>
      <c r="X6" s="691" t="s">
        <v>1694</v>
      </c>
      <c r="Y6" s="691" t="s">
        <v>1695</v>
      </c>
      <c r="Z6" s="691" t="s">
        <v>1696</v>
      </c>
      <c r="AA6" s="691" t="s">
        <v>1697</v>
      </c>
      <c r="AB6" s="691" t="s">
        <v>1698</v>
      </c>
      <c r="AC6" s="691" t="s">
        <v>1699</v>
      </c>
      <c r="AD6" s="691" t="s">
        <v>1700</v>
      </c>
      <c r="AE6" s="691" t="s">
        <v>1701</v>
      </c>
      <c r="AF6" s="691" t="s">
        <v>1702</v>
      </c>
      <c r="AG6" s="691" t="s">
        <v>1703</v>
      </c>
      <c r="AH6" s="691" t="s">
        <v>1704</v>
      </c>
      <c r="AI6" s="691" t="s">
        <v>1705</v>
      </c>
      <c r="AJ6" s="691" t="s">
        <v>1706</v>
      </c>
      <c r="AK6" s="691" t="s">
        <v>1707</v>
      </c>
      <c r="AL6" s="691" t="s">
        <v>1708</v>
      </c>
      <c r="AM6" s="691" t="s">
        <v>1709</v>
      </c>
      <c r="AN6" s="691" t="s">
        <v>1710</v>
      </c>
      <c r="AO6" s="691" t="s">
        <v>1711</v>
      </c>
      <c r="AP6" s="691" t="s">
        <v>1712</v>
      </c>
      <c r="AQ6" s="691" t="s">
        <v>1713</v>
      </c>
      <c r="AR6" s="691" t="s">
        <v>1714</v>
      </c>
      <c r="AS6" s="691" t="s">
        <v>1715</v>
      </c>
      <c r="AT6" s="691" t="s">
        <v>1716</v>
      </c>
      <c r="AU6" s="691" t="s">
        <v>1717</v>
      </c>
      <c r="AV6" s="691" t="s">
        <v>1718</v>
      </c>
      <c r="AZ6" s="691" t="s">
        <v>1680</v>
      </c>
    </row>
    <row r="7" spans="1:52" ht="12" customHeight="1" x14ac:dyDescent="0.2">
      <c r="A7" s="699" t="s">
        <v>1720</v>
      </c>
      <c r="B7" s="668"/>
      <c r="C7" s="668"/>
      <c r="D7" s="668"/>
      <c r="E7" s="668"/>
      <c r="F7" s="668"/>
      <c r="G7" s="700"/>
      <c r="H7" s="701"/>
      <c r="I7" s="701"/>
      <c r="J7" s="701"/>
      <c r="K7" s="701"/>
      <c r="L7" s="701"/>
      <c r="M7" s="701"/>
      <c r="N7" s="701"/>
      <c r="O7" s="701"/>
      <c r="P7" s="701"/>
      <c r="Q7" s="701"/>
      <c r="R7" s="701"/>
      <c r="S7" s="701"/>
      <c r="T7" s="701"/>
      <c r="U7" s="701"/>
      <c r="V7" s="701"/>
      <c r="W7" s="701"/>
      <c r="X7" s="701"/>
      <c r="Y7" s="701"/>
      <c r="Z7" s="701"/>
      <c r="AA7" s="701"/>
      <c r="AB7" s="701"/>
      <c r="AC7" s="701"/>
      <c r="AD7" s="701"/>
      <c r="AE7" s="701"/>
      <c r="AF7" s="701"/>
      <c r="AG7" s="701"/>
      <c r="AH7" s="701"/>
      <c r="AI7" s="701"/>
      <c r="AJ7" s="701"/>
      <c r="AK7" s="701"/>
      <c r="AL7" s="701"/>
      <c r="AM7" s="702"/>
      <c r="AN7" s="702"/>
      <c r="AO7" s="702"/>
      <c r="AP7" s="702"/>
      <c r="AQ7" s="702"/>
      <c r="AR7" s="702"/>
      <c r="AS7" s="702"/>
      <c r="AT7" s="702"/>
      <c r="AU7" s="702"/>
      <c r="AV7" s="702"/>
    </row>
    <row r="8" spans="1:52" ht="12" customHeight="1" x14ac:dyDescent="0.2">
      <c r="A8" s="666" t="str">
        <f>Technologies!B47</f>
        <v>R2,R3,R4,R5,R6</v>
      </c>
      <c r="B8" s="666" t="str">
        <f>Technologies!C47</f>
        <v>TAJE</v>
      </c>
      <c r="C8" s="666" t="str">
        <f>Technologies!D47</f>
        <v>Air Jet, Passenger Existing</v>
      </c>
      <c r="D8" s="666" t="s">
        <v>478</v>
      </c>
      <c r="E8" s="666" t="str">
        <f>Commodities!$C$31</f>
        <v>TRNJTF1</v>
      </c>
      <c r="F8" s="666" t="s">
        <v>89</v>
      </c>
      <c r="G8" s="692">
        <v>1</v>
      </c>
      <c r="H8" s="692">
        <v>2010</v>
      </c>
      <c r="I8" s="692">
        <f>AZ8+5</f>
        <v>17.5</v>
      </c>
      <c r="J8" s="692"/>
      <c r="K8" s="693">
        <f>'Air&amp;Marine'!J6</f>
        <v>0.4376230344297341</v>
      </c>
      <c r="L8" s="693"/>
      <c r="M8" s="693"/>
      <c r="N8" s="693"/>
      <c r="O8" s="693"/>
      <c r="P8" s="693"/>
      <c r="Q8" s="693"/>
      <c r="R8" s="693"/>
      <c r="S8" s="693"/>
      <c r="T8" s="693"/>
      <c r="U8" s="693"/>
      <c r="V8" s="692"/>
      <c r="W8" s="693"/>
      <c r="X8" s="693"/>
      <c r="Y8" s="693"/>
      <c r="Z8" s="693"/>
      <c r="AA8" s="693"/>
      <c r="AB8" s="693"/>
      <c r="AC8" s="693"/>
      <c r="AD8" s="693"/>
      <c r="AE8" s="693"/>
      <c r="AF8" s="694">
        <f>'Air&amp;Marine'!I6</f>
        <v>7.4625760131172711</v>
      </c>
      <c r="AG8" s="692"/>
      <c r="AH8" s="692"/>
      <c r="AI8" s="692"/>
      <c r="AJ8" s="692"/>
      <c r="AK8" s="692" t="e">
        <f>CommData!F70*1.1</f>
        <v>#REF!</v>
      </c>
      <c r="AL8" s="692">
        <v>1</v>
      </c>
      <c r="AM8" s="695"/>
      <c r="AN8" s="695"/>
      <c r="AO8" s="695">
        <v>0</v>
      </c>
      <c r="AP8" s="695">
        <v>0</v>
      </c>
      <c r="AQ8" s="695">
        <v>0</v>
      </c>
      <c r="AR8" s="695">
        <v>0</v>
      </c>
      <c r="AS8" s="695">
        <v>0</v>
      </c>
      <c r="AT8" s="695">
        <v>0</v>
      </c>
      <c r="AU8" s="695">
        <v>0</v>
      </c>
      <c r="AV8" s="695">
        <v>0</v>
      </c>
      <c r="AZ8" s="685">
        <f>'Air&amp;Marine'!G6</f>
        <v>12.5</v>
      </c>
    </row>
    <row r="9" spans="1:52" ht="12" customHeight="1" x14ac:dyDescent="0.2">
      <c r="A9" s="666" t="s">
        <v>115</v>
      </c>
      <c r="B9" s="666" t="str">
        <f>Technologies!C48</f>
        <v>TAPE</v>
      </c>
      <c r="C9" s="666" t="str">
        <f>Technologies!D48</f>
        <v>Airplane, General Aviation, exisiting</v>
      </c>
      <c r="D9" s="666" t="s">
        <v>478</v>
      </c>
      <c r="E9" s="666" t="s">
        <v>55</v>
      </c>
      <c r="F9" s="666" t="s">
        <v>89</v>
      </c>
      <c r="G9" s="692">
        <v>1</v>
      </c>
      <c r="H9" s="692">
        <v>2010</v>
      </c>
      <c r="I9" s="692">
        <f>AZ9+5</f>
        <v>25</v>
      </c>
      <c r="J9" s="692"/>
      <c r="K9" s="693"/>
      <c r="L9" s="693"/>
      <c r="M9" s="693"/>
      <c r="N9" s="693"/>
      <c r="O9" s="693"/>
      <c r="P9" s="693"/>
      <c r="Q9" s="693"/>
      <c r="R9" s="693"/>
      <c r="S9" s="693"/>
      <c r="T9" s="693"/>
      <c r="U9" s="693"/>
      <c r="V9" s="694"/>
      <c r="W9" s="694"/>
      <c r="X9" s="694"/>
      <c r="Y9" s="694"/>
      <c r="Z9" s="694"/>
      <c r="AA9" s="694"/>
      <c r="AB9" s="694"/>
      <c r="AC9" s="694"/>
      <c r="AD9" s="694"/>
      <c r="AE9" s="694"/>
      <c r="AF9" s="694">
        <f>'Air&amp;Marine'!I17</f>
        <v>1.7511000000000001</v>
      </c>
      <c r="AG9" s="692"/>
      <c r="AH9" s="692"/>
      <c r="AI9" s="692"/>
      <c r="AJ9" s="692"/>
      <c r="AK9" s="692"/>
      <c r="AL9" s="692">
        <v>1</v>
      </c>
      <c r="AM9" s="695">
        <v>0</v>
      </c>
      <c r="AN9" s="695">
        <v>0</v>
      </c>
      <c r="AO9" s="695">
        <v>0</v>
      </c>
      <c r="AP9" s="695">
        <v>0</v>
      </c>
      <c r="AQ9" s="695">
        <v>0</v>
      </c>
      <c r="AR9" s="695">
        <v>0</v>
      </c>
      <c r="AS9" s="695">
        <v>0</v>
      </c>
      <c r="AT9" s="695">
        <v>0</v>
      </c>
      <c r="AU9" s="695">
        <v>0</v>
      </c>
      <c r="AV9" s="695">
        <v>0</v>
      </c>
      <c r="AZ9" s="685">
        <v>20</v>
      </c>
    </row>
    <row r="10" spans="1:52" ht="12" customHeight="1" x14ac:dyDescent="0.2">
      <c r="A10" s="699" t="s">
        <v>479</v>
      </c>
      <c r="B10" s="668"/>
      <c r="C10" s="668"/>
      <c r="D10" s="668"/>
      <c r="E10" s="668"/>
      <c r="F10" s="668"/>
      <c r="G10" s="700"/>
      <c r="H10" s="701"/>
      <c r="I10" s="701"/>
      <c r="J10" s="701"/>
      <c r="K10" s="701"/>
      <c r="L10" s="701"/>
      <c r="M10" s="701"/>
      <c r="N10" s="701"/>
      <c r="O10" s="701"/>
      <c r="P10" s="701"/>
      <c r="Q10" s="701"/>
      <c r="R10" s="701"/>
      <c r="S10" s="701"/>
      <c r="T10" s="701"/>
      <c r="U10" s="701"/>
      <c r="V10" s="701"/>
      <c r="W10" s="701"/>
      <c r="X10" s="701"/>
      <c r="Y10" s="701"/>
      <c r="Z10" s="701"/>
      <c r="AA10" s="701"/>
      <c r="AB10" s="701"/>
      <c r="AC10" s="701"/>
      <c r="AD10" s="701"/>
      <c r="AE10" s="701"/>
      <c r="AF10" s="701"/>
      <c r="AG10" s="701"/>
      <c r="AH10" s="701"/>
      <c r="AI10" s="701"/>
      <c r="AJ10" s="701"/>
      <c r="AK10" s="701"/>
      <c r="AL10" s="701"/>
      <c r="AM10" s="702"/>
      <c r="AN10" s="702"/>
      <c r="AO10" s="702"/>
      <c r="AP10" s="702"/>
      <c r="AQ10" s="702"/>
      <c r="AR10" s="702"/>
      <c r="AS10" s="702"/>
      <c r="AT10" s="702"/>
      <c r="AU10" s="702"/>
      <c r="AV10" s="702"/>
    </row>
    <row r="11" spans="1:52" ht="12" customHeight="1" x14ac:dyDescent="0.2">
      <c r="A11" s="666" t="str">
        <f>Technologies!B57</f>
        <v>R2,R3,R4,R5,R6</v>
      </c>
      <c r="B11" s="666" t="str">
        <f>Technologies!C57</f>
        <v>TBDSLE</v>
      </c>
      <c r="C11" s="666" t="str">
        <f>'Rail&amp;Bus2'!B7</f>
        <v>Bus, Exisiting Diesel</v>
      </c>
      <c r="D11" s="666" t="s">
        <v>480</v>
      </c>
      <c r="E11" s="666" t="s">
        <v>39</v>
      </c>
      <c r="F11" s="666" t="s">
        <v>93</v>
      </c>
      <c r="G11" s="692">
        <v>1</v>
      </c>
      <c r="H11" s="692">
        <v>2010</v>
      </c>
      <c r="I11" s="692">
        <f>AZ11+5</f>
        <v>17</v>
      </c>
      <c r="J11" s="692"/>
      <c r="K11" s="693">
        <f>'Rail&amp;Bus2'!I7</f>
        <v>3.497096288537007E-2</v>
      </c>
      <c r="L11" s="693"/>
      <c r="M11" s="693"/>
      <c r="N11" s="693"/>
      <c r="O11" s="693"/>
      <c r="P11" s="693"/>
      <c r="Q11" s="693"/>
      <c r="R11" s="693"/>
      <c r="S11" s="693"/>
      <c r="T11" s="693"/>
      <c r="U11" s="693"/>
      <c r="V11" s="694"/>
      <c r="W11" s="694"/>
      <c r="X11" s="694"/>
      <c r="Y11" s="694"/>
      <c r="Z11" s="694"/>
      <c r="AA11" s="694"/>
      <c r="AB11" s="694"/>
      <c r="AC11" s="694"/>
      <c r="AD11" s="694"/>
      <c r="AE11" s="694"/>
      <c r="AF11" s="695">
        <f>'Rail&amp;Bus2'!H7</f>
        <v>555.05381199668852</v>
      </c>
      <c r="AG11" s="692">
        <f>TB!B32</f>
        <v>8.1783779474258814E-2</v>
      </c>
      <c r="AH11" s="692">
        <f>TB!B31</f>
        <v>4.4372626864011978E-2</v>
      </c>
      <c r="AI11" s="692">
        <f>TB!B33</f>
        <v>5.0804233953389392E-2</v>
      </c>
      <c r="AJ11" s="692">
        <f>TB!B35</f>
        <v>1.5015999755952846E-2</v>
      </c>
      <c r="AK11" s="692">
        <f>TB!B34</f>
        <v>7.2079938307540406E-2</v>
      </c>
      <c r="AL11" s="692">
        <v>1</v>
      </c>
      <c r="AM11" s="695">
        <v>0</v>
      </c>
      <c r="AN11" s="695">
        <v>0</v>
      </c>
      <c r="AO11" s="695">
        <v>0</v>
      </c>
      <c r="AP11" s="695">
        <v>0</v>
      </c>
      <c r="AQ11" s="695">
        <v>0</v>
      </c>
      <c r="AR11" s="695">
        <v>0</v>
      </c>
      <c r="AS11" s="695">
        <v>0</v>
      </c>
      <c r="AT11" s="695">
        <v>0</v>
      </c>
      <c r="AU11" s="695">
        <v>0</v>
      </c>
      <c r="AV11" s="695">
        <v>0</v>
      </c>
      <c r="AZ11" s="685">
        <f>'Rail&amp;Bus2'!F7</f>
        <v>12</v>
      </c>
    </row>
    <row r="12" spans="1:52" ht="9.75" customHeight="1" x14ac:dyDescent="0.2">
      <c r="A12" s="666" t="s">
        <v>115</v>
      </c>
      <c r="B12" s="666" t="str">
        <f>Technologies!C58</f>
        <v>TBGSLE</v>
      </c>
      <c r="C12" s="666" t="str">
        <f>'Rail&amp;Bus2'!B8</f>
        <v>Bus, Exisiting Gasoline</v>
      </c>
      <c r="D12" s="666" t="s">
        <v>480</v>
      </c>
      <c r="E12" s="666" t="s">
        <v>31</v>
      </c>
      <c r="F12" s="666" t="s">
        <v>93</v>
      </c>
      <c r="G12" s="692">
        <v>1</v>
      </c>
      <c r="H12" s="692">
        <v>2010</v>
      </c>
      <c r="I12" s="692">
        <f>AZ12+5</f>
        <v>17</v>
      </c>
      <c r="J12" s="692">
        <v>0.18</v>
      </c>
      <c r="K12" s="693">
        <f>'Rail&amp;Bus2'!I8</f>
        <v>3.7768639916199678E-2</v>
      </c>
      <c r="L12" s="693"/>
      <c r="M12" s="693"/>
      <c r="N12" s="693"/>
      <c r="O12" s="693"/>
      <c r="P12" s="693"/>
      <c r="Q12" s="693"/>
      <c r="R12" s="693"/>
      <c r="S12" s="693"/>
      <c r="T12" s="693"/>
      <c r="U12" s="693"/>
      <c r="V12" s="695">
        <f>'Rail&amp;Bus2'!G8</f>
        <v>10426.65660557352</v>
      </c>
      <c r="W12" s="695">
        <f t="shared" ref="W12:AE12" si="0">V12</f>
        <v>10426.65660557352</v>
      </c>
      <c r="X12" s="695">
        <f t="shared" si="0"/>
        <v>10426.65660557352</v>
      </c>
      <c r="Y12" s="695">
        <f t="shared" si="0"/>
        <v>10426.65660557352</v>
      </c>
      <c r="Z12" s="695">
        <f t="shared" si="0"/>
        <v>10426.65660557352</v>
      </c>
      <c r="AA12" s="695">
        <f t="shared" si="0"/>
        <v>10426.65660557352</v>
      </c>
      <c r="AB12" s="695">
        <f t="shared" si="0"/>
        <v>10426.65660557352</v>
      </c>
      <c r="AC12" s="695">
        <f t="shared" si="0"/>
        <v>10426.65660557352</v>
      </c>
      <c r="AD12" s="695">
        <f t="shared" si="0"/>
        <v>10426.65660557352</v>
      </c>
      <c r="AE12" s="695">
        <f t="shared" si="0"/>
        <v>10426.65660557352</v>
      </c>
      <c r="AF12" s="695">
        <f>'Rail&amp;Bus2'!H8</f>
        <v>555.05381199668852</v>
      </c>
      <c r="AG12" s="692"/>
      <c r="AH12" s="692"/>
      <c r="AI12" s="692"/>
      <c r="AJ12" s="692"/>
      <c r="AK12" s="692"/>
      <c r="AL12" s="692">
        <v>1</v>
      </c>
      <c r="AM12" s="692"/>
      <c r="AN12" s="692"/>
      <c r="AO12" s="692"/>
      <c r="AP12" s="692"/>
      <c r="AQ12" s="692"/>
      <c r="AR12" s="692"/>
      <c r="AS12" s="692"/>
      <c r="AT12" s="692"/>
      <c r="AU12" s="692"/>
      <c r="AV12" s="692"/>
      <c r="AZ12" s="685">
        <f>'Rail&amp;Bus2'!F8</f>
        <v>12</v>
      </c>
    </row>
    <row r="13" spans="1:52" ht="12" customHeight="1" x14ac:dyDescent="0.2">
      <c r="A13" s="666" t="str">
        <f>Technologies!B59</f>
        <v>R2,R3,R4,R5,R6</v>
      </c>
      <c r="B13" s="666" t="str">
        <f>Technologies!C59</f>
        <v>TBCNGE</v>
      </c>
      <c r="C13" s="666" t="s">
        <v>481</v>
      </c>
      <c r="D13" s="666" t="s">
        <v>480</v>
      </c>
      <c r="E13" s="666" t="s">
        <v>66</v>
      </c>
      <c r="F13" s="666" t="s">
        <v>93</v>
      </c>
      <c r="G13" s="692">
        <v>1</v>
      </c>
      <c r="H13" s="692">
        <v>2010</v>
      </c>
      <c r="I13" s="692">
        <f>AZ13+5</f>
        <v>17</v>
      </c>
      <c r="J13" s="692"/>
      <c r="K13" s="693">
        <f>'Rail&amp;Bus2'!I9</f>
        <v>2.9733765545048953E-2</v>
      </c>
      <c r="L13" s="693"/>
      <c r="M13" s="693"/>
      <c r="N13" s="693"/>
      <c r="O13" s="693"/>
      <c r="P13" s="693"/>
      <c r="Q13" s="693"/>
      <c r="R13" s="693"/>
      <c r="S13" s="693"/>
      <c r="T13" s="693"/>
      <c r="U13" s="693"/>
      <c r="V13" s="695"/>
      <c r="W13" s="695"/>
      <c r="X13" s="695"/>
      <c r="Y13" s="695"/>
      <c r="Z13" s="695"/>
      <c r="AA13" s="695"/>
      <c r="AB13" s="695"/>
      <c r="AC13" s="695"/>
      <c r="AD13" s="695"/>
      <c r="AE13" s="695"/>
      <c r="AF13" s="695">
        <f>'Rail&amp;Bus2'!H9</f>
        <v>639.72303755550536</v>
      </c>
      <c r="AG13" s="692">
        <f>TB!D32</f>
        <v>1.308611745476411E-2</v>
      </c>
      <c r="AH13" s="692">
        <f>TB!D31</f>
        <v>7.1000070020198133E-3</v>
      </c>
      <c r="AI13" s="692">
        <f>TB!D33</f>
        <v>8.1291201872447233E-3</v>
      </c>
      <c r="AJ13" s="692">
        <f>TB!D35</f>
        <v>2.402690824149992E-3</v>
      </c>
      <c r="AK13" s="692">
        <f>TB!D34</f>
        <v>1.1533418299914944E-2</v>
      </c>
      <c r="AL13" s="692">
        <v>1</v>
      </c>
      <c r="AM13" s="695"/>
      <c r="AN13" s="695">
        <v>0</v>
      </c>
      <c r="AO13" s="695">
        <v>0</v>
      </c>
      <c r="AP13" s="695">
        <v>0</v>
      </c>
      <c r="AQ13" s="695">
        <v>0</v>
      </c>
      <c r="AR13" s="695">
        <v>0</v>
      </c>
      <c r="AS13" s="695">
        <v>0</v>
      </c>
      <c r="AT13" s="695">
        <v>0</v>
      </c>
      <c r="AU13" s="695">
        <v>0</v>
      </c>
      <c r="AV13" s="695">
        <v>0</v>
      </c>
      <c r="AZ13" s="685">
        <v>12</v>
      </c>
    </row>
    <row r="14" spans="1:52" ht="12" customHeight="1" x14ac:dyDescent="0.2">
      <c r="A14" s="699" t="s">
        <v>482</v>
      </c>
      <c r="B14" s="668"/>
      <c r="C14" s="668"/>
      <c r="D14" s="668"/>
      <c r="E14" s="668"/>
      <c r="F14" s="668"/>
      <c r="G14" s="700"/>
      <c r="H14" s="701"/>
      <c r="I14" s="701"/>
      <c r="J14" s="701"/>
      <c r="K14" s="701"/>
      <c r="L14" s="701"/>
      <c r="M14" s="701"/>
      <c r="N14" s="701"/>
      <c r="O14" s="701"/>
      <c r="P14" s="701"/>
      <c r="Q14" s="701"/>
      <c r="R14" s="701"/>
      <c r="S14" s="701"/>
      <c r="T14" s="701"/>
      <c r="U14" s="701"/>
      <c r="V14" s="701"/>
      <c r="W14" s="701"/>
      <c r="X14" s="701"/>
      <c r="Y14" s="701"/>
      <c r="Z14" s="701"/>
      <c r="AA14" s="701"/>
      <c r="AB14" s="701"/>
      <c r="AC14" s="701"/>
      <c r="AD14" s="701"/>
      <c r="AE14" s="701"/>
      <c r="AF14" s="701"/>
      <c r="AG14" s="701"/>
      <c r="AH14" s="701"/>
      <c r="AI14" s="701"/>
      <c r="AJ14" s="701"/>
      <c r="AK14" s="701"/>
      <c r="AL14" s="701"/>
      <c r="AM14" s="702">
        <v>0</v>
      </c>
      <c r="AN14" s="702"/>
      <c r="AO14" s="702"/>
      <c r="AP14" s="702"/>
      <c r="AQ14" s="702"/>
      <c r="AR14" s="702"/>
      <c r="AS14" s="702"/>
      <c r="AT14" s="702"/>
      <c r="AU14" s="702"/>
      <c r="AV14" s="702"/>
      <c r="AZ14" s="689"/>
    </row>
    <row r="15" spans="1:52" ht="12" customHeight="1" x14ac:dyDescent="0.2">
      <c r="A15" s="666" t="s">
        <v>115</v>
      </c>
      <c r="B15" s="666" t="str">
        <f>Technologies!C79</f>
        <v>TCGSLE</v>
      </c>
      <c r="C15" s="666" t="str">
        <f>Technologies!D79</f>
        <v>Truck, Commerical, Exisiting Gasoline</v>
      </c>
      <c r="D15" s="666" t="s">
        <v>480</v>
      </c>
      <c r="E15" s="666" t="s">
        <v>33</v>
      </c>
      <c r="F15" s="666" t="str">
        <f>Commodities!C$18</f>
        <v>TC</v>
      </c>
      <c r="G15" s="692">
        <v>1</v>
      </c>
      <c r="H15" s="692">
        <v>2010</v>
      </c>
      <c r="I15" s="692">
        <f>AZ15+5</f>
        <v>20.5</v>
      </c>
      <c r="J15" s="692"/>
      <c r="K15" s="693">
        <f>Trucks!H66</f>
        <v>9.715370018975332E-2</v>
      </c>
      <c r="L15" s="693"/>
      <c r="M15" s="693"/>
      <c r="N15" s="693"/>
      <c r="O15" s="693"/>
      <c r="P15" s="693"/>
      <c r="Q15" s="693"/>
      <c r="R15" s="693"/>
      <c r="S15" s="693"/>
      <c r="T15" s="693"/>
      <c r="U15" s="693"/>
      <c r="V15" s="694"/>
      <c r="W15" s="694"/>
      <c r="X15" s="694"/>
      <c r="Y15" s="694"/>
      <c r="Z15" s="694"/>
      <c r="AA15" s="694"/>
      <c r="AB15" s="694"/>
      <c r="AC15" s="694"/>
      <c r="AD15" s="694"/>
      <c r="AE15" s="694"/>
      <c r="AF15" s="695">
        <f>Trucks!G66</f>
        <v>55.312877943174676</v>
      </c>
      <c r="AG15" s="694"/>
      <c r="AH15" s="694"/>
      <c r="AI15" s="694"/>
      <c r="AJ15" s="694"/>
      <c r="AK15" s="694"/>
      <c r="AL15" s="692">
        <v>1</v>
      </c>
      <c r="AM15" s="695">
        <v>0</v>
      </c>
      <c r="AN15" s="695">
        <v>0</v>
      </c>
      <c r="AO15" s="695">
        <v>0</v>
      </c>
      <c r="AP15" s="695">
        <v>0</v>
      </c>
      <c r="AQ15" s="695">
        <v>0</v>
      </c>
      <c r="AR15" s="695">
        <v>0</v>
      </c>
      <c r="AS15" s="695">
        <v>0</v>
      </c>
      <c r="AT15" s="695">
        <v>0</v>
      </c>
      <c r="AU15" s="695">
        <v>0</v>
      </c>
      <c r="AV15" s="695">
        <v>0</v>
      </c>
      <c r="AZ15" s="690">
        <f>Trucks!E66</f>
        <v>15.5</v>
      </c>
    </row>
    <row r="16" spans="1:52" ht="12" customHeight="1" x14ac:dyDescent="0.2">
      <c r="A16" s="666" t="s">
        <v>115</v>
      </c>
      <c r="B16" s="666" t="str">
        <f>Technologies!C80</f>
        <v>TCDSLE</v>
      </c>
      <c r="C16" s="666" t="str">
        <f>Technologies!D80</f>
        <v>Truck, Commerical, Existing Diesel</v>
      </c>
      <c r="D16" s="666" t="s">
        <v>480</v>
      </c>
      <c r="E16" s="666" t="s">
        <v>37</v>
      </c>
      <c r="F16" s="666" t="str">
        <f>Commodities!C$18</f>
        <v>TC</v>
      </c>
      <c r="G16" s="692">
        <v>1</v>
      </c>
      <c r="H16" s="692">
        <v>2010</v>
      </c>
      <c r="I16" s="692">
        <f>AZ16+5</f>
        <v>20.5</v>
      </c>
      <c r="J16" s="692"/>
      <c r="K16" s="693">
        <f>Trucks!H67</f>
        <v>0.11740133509890378</v>
      </c>
      <c r="L16" s="693"/>
      <c r="M16" s="693"/>
      <c r="N16" s="693"/>
      <c r="O16" s="693"/>
      <c r="P16" s="693"/>
      <c r="Q16" s="693"/>
      <c r="R16" s="693"/>
      <c r="S16" s="693"/>
      <c r="T16" s="693"/>
      <c r="U16" s="693"/>
      <c r="V16" s="692"/>
      <c r="W16" s="692"/>
      <c r="X16" s="692"/>
      <c r="Y16" s="692"/>
      <c r="Z16" s="692"/>
      <c r="AA16" s="692"/>
      <c r="AB16" s="692"/>
      <c r="AC16" s="692"/>
      <c r="AD16" s="692"/>
      <c r="AE16" s="692"/>
      <c r="AF16" s="695">
        <f>Trucks!G67</f>
        <v>55.312877943174676</v>
      </c>
      <c r="AG16" s="694"/>
      <c r="AH16" s="694"/>
      <c r="AI16" s="694"/>
      <c r="AJ16" s="694"/>
      <c r="AK16" s="694"/>
      <c r="AL16" s="692">
        <v>1</v>
      </c>
      <c r="AM16" s="695">
        <v>0</v>
      </c>
      <c r="AN16" s="695">
        <v>0</v>
      </c>
      <c r="AO16" s="695">
        <v>0</v>
      </c>
      <c r="AP16" s="695">
        <v>0</v>
      </c>
      <c r="AQ16" s="695">
        <v>0</v>
      </c>
      <c r="AR16" s="695">
        <v>0</v>
      </c>
      <c r="AS16" s="695">
        <v>0</v>
      </c>
      <c r="AT16" s="695">
        <v>0</v>
      </c>
      <c r="AU16" s="695">
        <v>0</v>
      </c>
      <c r="AV16" s="695">
        <v>0</v>
      </c>
      <c r="AZ16" s="690">
        <f>Trucks!E67</f>
        <v>15.5</v>
      </c>
    </row>
    <row r="17" spans="1:52" ht="12" customHeight="1" x14ac:dyDescent="0.2">
      <c r="A17" s="699" t="s">
        <v>483</v>
      </c>
      <c r="B17" s="668"/>
      <c r="C17" s="668"/>
      <c r="D17" s="668"/>
      <c r="E17" s="668"/>
      <c r="F17" s="668"/>
      <c r="G17" s="700"/>
      <c r="H17" s="701"/>
      <c r="I17" s="701"/>
      <c r="J17" s="701"/>
      <c r="K17" s="701"/>
      <c r="L17" s="701"/>
      <c r="M17" s="701"/>
      <c r="N17" s="701"/>
      <c r="O17" s="701"/>
      <c r="P17" s="701"/>
      <c r="Q17" s="701"/>
      <c r="R17" s="701"/>
      <c r="S17" s="701"/>
      <c r="T17" s="701"/>
      <c r="U17" s="701"/>
      <c r="V17" s="701"/>
      <c r="W17" s="701"/>
      <c r="X17" s="701"/>
      <c r="Y17" s="701"/>
      <c r="Z17" s="701"/>
      <c r="AA17" s="701"/>
      <c r="AB17" s="701"/>
      <c r="AC17" s="701"/>
      <c r="AD17" s="701"/>
      <c r="AE17" s="701"/>
      <c r="AF17" s="701"/>
      <c r="AG17" s="701"/>
      <c r="AH17" s="701"/>
      <c r="AI17" s="701"/>
      <c r="AJ17" s="701"/>
      <c r="AK17" s="701"/>
      <c r="AL17" s="701"/>
      <c r="AM17" s="702"/>
      <c r="AN17" s="702"/>
      <c r="AO17" s="702"/>
      <c r="AP17" s="702"/>
      <c r="AQ17" s="702"/>
      <c r="AR17" s="702"/>
      <c r="AS17" s="702"/>
      <c r="AT17" s="702"/>
      <c r="AU17" s="702"/>
      <c r="AV17" s="702"/>
    </row>
    <row r="18" spans="1:52" ht="12" customHeight="1" x14ac:dyDescent="0.2">
      <c r="A18" s="666" t="str">
        <f>Technologies!B110</f>
        <v>R2,R3,R4,R5,R6</v>
      </c>
      <c r="B18" s="666" t="str">
        <f>Technologies!C110</f>
        <v>TMGSLE</v>
      </c>
      <c r="C18" s="666" t="str">
        <f>Technologies!D110</f>
        <v>Medium Duty Truck, Existing Gasoline</v>
      </c>
      <c r="D18" s="666" t="s">
        <v>480</v>
      </c>
      <c r="E18" s="666" t="str">
        <f>Commodities!C39</f>
        <v>TMGSL</v>
      </c>
      <c r="F18" s="666" t="str">
        <f>Commodities!C$11</f>
        <v>TM</v>
      </c>
      <c r="G18" s="692">
        <v>1</v>
      </c>
      <c r="H18" s="692">
        <v>2010</v>
      </c>
      <c r="I18" s="692">
        <f>AZ18+5</f>
        <v>24</v>
      </c>
      <c r="J18" s="692"/>
      <c r="K18" s="693">
        <f>Trucks!H119</f>
        <v>5.9575136530156454E-2</v>
      </c>
      <c r="L18" s="693"/>
      <c r="M18" s="693"/>
      <c r="N18" s="693"/>
      <c r="O18" s="693"/>
      <c r="P18" s="693"/>
      <c r="Q18" s="693"/>
      <c r="R18" s="693"/>
      <c r="S18" s="693"/>
      <c r="T18" s="693"/>
      <c r="U18" s="693"/>
      <c r="V18" s="695"/>
      <c r="W18" s="695"/>
      <c r="X18" s="695"/>
      <c r="Y18" s="695"/>
      <c r="Z18" s="695"/>
      <c r="AA18" s="695"/>
      <c r="AB18" s="695"/>
      <c r="AC18" s="695"/>
      <c r="AD18" s="695"/>
      <c r="AE18" s="695"/>
      <c r="AF18" s="695">
        <f>Trucks!G119</f>
        <v>248.80470075014617</v>
      </c>
      <c r="AG18" s="697" t="e">
        <f>TM!B48</f>
        <v>#REF!</v>
      </c>
      <c r="AH18" s="697" t="e">
        <f>TM!B47</f>
        <v>#REF!</v>
      </c>
      <c r="AI18" s="697" t="e">
        <f>TM!B49</f>
        <v>#REF!</v>
      </c>
      <c r="AJ18" s="697" t="e">
        <f>TM!B51</f>
        <v>#REF!</v>
      </c>
      <c r="AK18" s="697" t="e">
        <f>TM!B50</f>
        <v>#REF!</v>
      </c>
      <c r="AL18" s="695">
        <v>1</v>
      </c>
      <c r="AM18" s="695">
        <v>0</v>
      </c>
      <c r="AN18" s="695">
        <v>0</v>
      </c>
      <c r="AO18" s="695">
        <v>0</v>
      </c>
      <c r="AP18" s="695">
        <v>0</v>
      </c>
      <c r="AQ18" s="695">
        <v>0</v>
      </c>
      <c r="AR18" s="695">
        <v>0</v>
      </c>
      <c r="AS18" s="695">
        <v>0</v>
      </c>
      <c r="AT18" s="695">
        <v>0</v>
      </c>
      <c r="AU18" s="695">
        <v>0</v>
      </c>
      <c r="AV18" s="695">
        <v>0</v>
      </c>
      <c r="AZ18" s="689">
        <f>Trucks!E119</f>
        <v>19</v>
      </c>
    </row>
    <row r="19" spans="1:52" ht="12" customHeight="1" x14ac:dyDescent="0.2">
      <c r="A19" s="666" t="str">
        <f>Technologies!B111</f>
        <v>R2,R3,R4,R5,R6</v>
      </c>
      <c r="B19" s="666" t="str">
        <f>Technologies!C111</f>
        <v>TMDSLE</v>
      </c>
      <c r="C19" s="666" t="str">
        <f>Technologies!D111</f>
        <v>Medium Duty Truck, Existing Diesel</v>
      </c>
      <c r="D19" s="666" t="s">
        <v>480</v>
      </c>
      <c r="E19" s="666" t="str">
        <f>Commodities!C42</f>
        <v>TMDSL</v>
      </c>
      <c r="F19" s="666" t="str">
        <f>Commodities!C$11</f>
        <v>TM</v>
      </c>
      <c r="G19" s="692">
        <v>1</v>
      </c>
      <c r="H19" s="692">
        <v>2010</v>
      </c>
      <c r="I19" s="692">
        <f>AZ19+5</f>
        <v>24</v>
      </c>
      <c r="J19" s="692"/>
      <c r="K19" s="693">
        <f>Trucks!H120</f>
        <v>6.0890110280658251E-2</v>
      </c>
      <c r="L19" s="693"/>
      <c r="M19" s="693"/>
      <c r="N19" s="693"/>
      <c r="O19" s="693"/>
      <c r="P19" s="693"/>
      <c r="Q19" s="693"/>
      <c r="R19" s="693"/>
      <c r="S19" s="693"/>
      <c r="T19" s="693"/>
      <c r="U19" s="693"/>
      <c r="V19" s="695"/>
      <c r="W19" s="695"/>
      <c r="X19" s="695"/>
      <c r="Y19" s="695"/>
      <c r="Z19" s="695"/>
      <c r="AA19" s="695"/>
      <c r="AB19" s="695"/>
      <c r="AC19" s="695"/>
      <c r="AD19" s="695"/>
      <c r="AE19" s="695"/>
      <c r="AF19" s="695">
        <f>Trucks!G120</f>
        <v>136.84258541258041</v>
      </c>
      <c r="AG19" s="697" t="e">
        <f>TM!B41</f>
        <v>#REF!</v>
      </c>
      <c r="AH19" s="697" t="e">
        <f>TM!B40</f>
        <v>#REF!</v>
      </c>
      <c r="AI19" s="697" t="e">
        <f>TM!B42</f>
        <v>#REF!</v>
      </c>
      <c r="AJ19" s="697" t="e">
        <f>TM!B44</f>
        <v>#REF!</v>
      </c>
      <c r="AK19" s="697" t="e">
        <f>TM!B43</f>
        <v>#REF!</v>
      </c>
      <c r="AL19" s="695">
        <v>1</v>
      </c>
      <c r="AM19" s="695">
        <v>0</v>
      </c>
      <c r="AN19" s="695">
        <v>0</v>
      </c>
      <c r="AO19" s="695">
        <v>0</v>
      </c>
      <c r="AP19" s="695">
        <v>0</v>
      </c>
      <c r="AQ19" s="695">
        <v>0</v>
      </c>
      <c r="AR19" s="695">
        <v>0</v>
      </c>
      <c r="AS19" s="695">
        <v>0</v>
      </c>
      <c r="AT19" s="695">
        <v>0</v>
      </c>
      <c r="AU19" s="695">
        <v>0</v>
      </c>
      <c r="AV19" s="695">
        <v>0</v>
      </c>
      <c r="AZ19" s="689">
        <f>Trucks!E120</f>
        <v>19</v>
      </c>
    </row>
    <row r="20" spans="1:52" ht="12" customHeight="1" x14ac:dyDescent="0.2">
      <c r="A20" s="666" t="str">
        <f>Technologies!B112</f>
        <v>R2,R3,R4,R5,R6</v>
      </c>
      <c r="B20" s="666" t="str">
        <f>Technologies!C112</f>
        <v>TMCNGE</v>
      </c>
      <c r="C20" s="666" t="str">
        <f>Technologies!D112</f>
        <v>Medium Duty Truck, Existing CNG</v>
      </c>
      <c r="D20" s="666" t="s">
        <v>480</v>
      </c>
      <c r="E20" s="666" t="str">
        <f>Commodities!C57</f>
        <v>TMCNG</v>
      </c>
      <c r="F20" s="666" t="str">
        <f>Commodities!C$11</f>
        <v>TM</v>
      </c>
      <c r="G20" s="692">
        <v>1</v>
      </c>
      <c r="H20" s="692">
        <v>2010</v>
      </c>
      <c r="I20" s="692">
        <f>AZ20+5</f>
        <v>24</v>
      </c>
      <c r="J20" s="692"/>
      <c r="K20" s="693">
        <f>Trucks!H122</f>
        <v>4.8739793512911696E-2</v>
      </c>
      <c r="L20" s="693"/>
      <c r="M20" s="693"/>
      <c r="N20" s="693"/>
      <c r="O20" s="693"/>
      <c r="P20" s="693"/>
      <c r="Q20" s="693"/>
      <c r="R20" s="693"/>
      <c r="S20" s="693"/>
      <c r="T20" s="693"/>
      <c r="U20" s="693"/>
      <c r="V20" s="695"/>
      <c r="W20" s="695"/>
      <c r="X20" s="695"/>
      <c r="Y20" s="695"/>
      <c r="Z20" s="695"/>
      <c r="AA20" s="695"/>
      <c r="AB20" s="695"/>
      <c r="AC20" s="695"/>
      <c r="AD20" s="695"/>
      <c r="AE20" s="695"/>
      <c r="AF20" s="695">
        <f>Trucks!G122</f>
        <v>248.80470075014617</v>
      </c>
      <c r="AG20" s="697" t="e">
        <f>TM!B34</f>
        <v>#REF!</v>
      </c>
      <c r="AH20" s="697" t="e">
        <f>TM!B33</f>
        <v>#REF!</v>
      </c>
      <c r="AI20" s="697" t="e">
        <f>TM!B35</f>
        <v>#REF!</v>
      </c>
      <c r="AJ20" s="697" t="e">
        <f>TM!B37</f>
        <v>#REF!</v>
      </c>
      <c r="AK20" s="697" t="e">
        <f>TM!B36</f>
        <v>#REF!</v>
      </c>
      <c r="AL20" s="695">
        <v>1</v>
      </c>
      <c r="AM20" s="695">
        <v>0</v>
      </c>
      <c r="AN20" s="695">
        <v>0</v>
      </c>
      <c r="AO20" s="695">
        <v>0</v>
      </c>
      <c r="AP20" s="695">
        <v>0</v>
      </c>
      <c r="AQ20" s="695">
        <v>0</v>
      </c>
      <c r="AR20" s="695">
        <v>0</v>
      </c>
      <c r="AS20" s="695">
        <v>0</v>
      </c>
      <c r="AT20" s="695">
        <v>0</v>
      </c>
      <c r="AU20" s="695">
        <v>0</v>
      </c>
      <c r="AV20" s="695">
        <v>0</v>
      </c>
      <c r="AZ20" s="689">
        <f>Trucks!E122</f>
        <v>19</v>
      </c>
    </row>
    <row r="21" spans="1:52" ht="12" customHeight="1" x14ac:dyDescent="0.2">
      <c r="A21" s="666" t="s">
        <v>115</v>
      </c>
      <c r="B21" s="666" t="str">
        <f>Technologies!C113</f>
        <v>TMLPGE</v>
      </c>
      <c r="C21" s="666" t="str">
        <f>Technologies!D113</f>
        <v>Medium Duty Truck, Existing LPG</v>
      </c>
      <c r="D21" s="666" t="s">
        <v>480</v>
      </c>
      <c r="E21" s="666" t="str">
        <f>Commodities!C29</f>
        <v>TRNLPG1</v>
      </c>
      <c r="F21" s="666" t="str">
        <f>Commodities!C$11</f>
        <v>TM</v>
      </c>
      <c r="G21" s="692">
        <v>1</v>
      </c>
      <c r="H21" s="692">
        <v>2010</v>
      </c>
      <c r="I21" s="692">
        <f>AZ21+5</f>
        <v>24</v>
      </c>
      <c r="J21" s="692"/>
      <c r="K21" s="693">
        <f>Trucks!H121</f>
        <v>5.3551660595109893E-2</v>
      </c>
      <c r="L21" s="693"/>
      <c r="M21" s="693"/>
      <c r="N21" s="693"/>
      <c r="O21" s="693"/>
      <c r="P21" s="693"/>
      <c r="Q21" s="693"/>
      <c r="R21" s="693"/>
      <c r="S21" s="693"/>
      <c r="T21" s="693"/>
      <c r="U21" s="693"/>
      <c r="V21" s="695"/>
      <c r="W21" s="695"/>
      <c r="X21" s="695"/>
      <c r="Y21" s="695"/>
      <c r="Z21" s="695"/>
      <c r="AA21" s="695"/>
      <c r="AB21" s="695"/>
      <c r="AC21" s="695"/>
      <c r="AD21" s="695"/>
      <c r="AE21" s="695"/>
      <c r="AF21" s="695">
        <f>Trucks!G121</f>
        <v>248.80470075014617</v>
      </c>
      <c r="AG21" s="694"/>
      <c r="AH21" s="694"/>
      <c r="AI21" s="694"/>
      <c r="AJ21" s="694"/>
      <c r="AK21" s="694"/>
      <c r="AL21" s="695">
        <v>1</v>
      </c>
      <c r="AM21" s="695">
        <v>0</v>
      </c>
      <c r="AN21" s="695">
        <v>0</v>
      </c>
      <c r="AO21" s="695">
        <v>0</v>
      </c>
      <c r="AP21" s="695">
        <v>0</v>
      </c>
      <c r="AQ21" s="695">
        <v>0</v>
      </c>
      <c r="AR21" s="695">
        <v>0</v>
      </c>
      <c r="AS21" s="695">
        <v>0</v>
      </c>
      <c r="AT21" s="695">
        <v>0</v>
      </c>
      <c r="AU21" s="695">
        <v>0</v>
      </c>
      <c r="AV21" s="695">
        <v>0</v>
      </c>
      <c r="AZ21" s="689">
        <f>Trucks!E121</f>
        <v>19</v>
      </c>
    </row>
    <row r="22" spans="1:52" ht="12" customHeight="1" x14ac:dyDescent="0.2">
      <c r="A22" s="699" t="s">
        <v>484</v>
      </c>
      <c r="B22" s="668"/>
      <c r="C22" s="668"/>
      <c r="D22" s="668"/>
      <c r="E22" s="668"/>
      <c r="F22" s="668"/>
      <c r="G22" s="700"/>
      <c r="H22" s="701"/>
      <c r="I22" s="701"/>
      <c r="J22" s="701"/>
      <c r="K22" s="701"/>
      <c r="L22" s="701"/>
      <c r="M22" s="701"/>
      <c r="N22" s="701"/>
      <c r="O22" s="701"/>
      <c r="P22" s="701"/>
      <c r="Q22" s="701"/>
      <c r="R22" s="701"/>
      <c r="S22" s="701"/>
      <c r="T22" s="701"/>
      <c r="U22" s="701"/>
      <c r="V22" s="701"/>
      <c r="W22" s="701"/>
      <c r="X22" s="701"/>
      <c r="Y22" s="701"/>
      <c r="Z22" s="701"/>
      <c r="AA22" s="701"/>
      <c r="AB22" s="701"/>
      <c r="AC22" s="701"/>
      <c r="AD22" s="701"/>
      <c r="AE22" s="701"/>
      <c r="AF22" s="701"/>
      <c r="AG22" s="701"/>
      <c r="AH22" s="701"/>
      <c r="AI22" s="701"/>
      <c r="AJ22" s="701"/>
      <c r="AK22" s="701"/>
      <c r="AL22" s="701"/>
      <c r="AM22" s="702"/>
      <c r="AN22" s="702"/>
      <c r="AO22" s="702"/>
      <c r="AP22" s="702"/>
      <c r="AQ22" s="702"/>
      <c r="AR22" s="702"/>
      <c r="AS22" s="702"/>
      <c r="AT22" s="702"/>
      <c r="AU22" s="702"/>
      <c r="AV22" s="702"/>
      <c r="AZ22" s="689"/>
    </row>
    <row r="23" spans="1:52" ht="12" customHeight="1" x14ac:dyDescent="0.2">
      <c r="A23" s="666" t="str">
        <f>Technologies!B136</f>
        <v>R2,R3,R4,R5,R6</v>
      </c>
      <c r="B23" s="666" t="str">
        <f>Technologies!C136</f>
        <v>THSGSLE</v>
      </c>
      <c r="C23" s="666" t="str">
        <f>Technologies!D136</f>
        <v>Heavy Truck, Short Haul, Gasoline exisiting</v>
      </c>
      <c r="D23" s="666" t="s">
        <v>480</v>
      </c>
      <c r="E23" s="666" t="str">
        <f>Commodities!C47</f>
        <v>THGSL</v>
      </c>
      <c r="F23" s="666" t="str">
        <f>Commodities!C$12</f>
        <v>THS</v>
      </c>
      <c r="G23" s="692">
        <v>1</v>
      </c>
      <c r="H23" s="695">
        <v>2010</v>
      </c>
      <c r="I23" s="692">
        <f>AZ23+5</f>
        <v>24</v>
      </c>
      <c r="J23" s="692"/>
      <c r="K23" s="693" t="e">
        <f>Trucks!H162</f>
        <v>#REF!</v>
      </c>
      <c r="L23" s="693"/>
      <c r="M23" s="693"/>
      <c r="N23" s="693"/>
      <c r="O23" s="693"/>
      <c r="P23" s="693"/>
      <c r="Q23" s="693"/>
      <c r="R23" s="693"/>
      <c r="S23" s="693"/>
      <c r="T23" s="693"/>
      <c r="U23" s="693"/>
      <c r="V23" s="692"/>
      <c r="W23" s="695"/>
      <c r="X23" s="695"/>
      <c r="Y23" s="695"/>
      <c r="Z23" s="695"/>
      <c r="AA23" s="695"/>
      <c r="AB23" s="695"/>
      <c r="AC23" s="695"/>
      <c r="AD23" s="695"/>
      <c r="AE23" s="695"/>
      <c r="AF23" s="695">
        <f>Trucks!G162</f>
        <v>301.42015264225682</v>
      </c>
      <c r="AG23" s="694"/>
      <c r="AH23" s="694"/>
      <c r="AI23" s="694"/>
      <c r="AJ23" s="694"/>
      <c r="AK23" s="694"/>
      <c r="AL23" s="695">
        <v>1</v>
      </c>
      <c r="AM23" s="695">
        <v>0</v>
      </c>
      <c r="AN23" s="695">
        <v>0</v>
      </c>
      <c r="AO23" s="695">
        <v>0</v>
      </c>
      <c r="AP23" s="695">
        <v>0</v>
      </c>
      <c r="AQ23" s="695">
        <v>0</v>
      </c>
      <c r="AR23" s="695">
        <v>0</v>
      </c>
      <c r="AS23" s="695">
        <v>0</v>
      </c>
      <c r="AT23" s="695">
        <v>0</v>
      </c>
      <c r="AU23" s="695">
        <v>0</v>
      </c>
      <c r="AV23" s="695">
        <v>0</v>
      </c>
      <c r="AZ23" s="689">
        <f>Trucks!E162</f>
        <v>19</v>
      </c>
    </row>
    <row r="24" spans="1:52" ht="12" customHeight="1" x14ac:dyDescent="0.2">
      <c r="A24" s="666" t="str">
        <f>Technologies!B137</f>
        <v>R2,R3,R4,R5,R6</v>
      </c>
      <c r="B24" s="666" t="str">
        <f>Technologies!C137</f>
        <v>THSDSLE</v>
      </c>
      <c r="C24" s="666" t="str">
        <f>Technologies!D137</f>
        <v>Heavy Truck, Short Haul, Diesel exisiting</v>
      </c>
      <c r="D24" s="666" t="s">
        <v>480</v>
      </c>
      <c r="E24" s="666" t="str">
        <f>Commodities!$C$44</f>
        <v>THDSL</v>
      </c>
      <c r="F24" s="666" t="str">
        <f>Commodities!C$12</f>
        <v>THS</v>
      </c>
      <c r="G24" s="692">
        <v>1</v>
      </c>
      <c r="H24" s="695">
        <v>2010</v>
      </c>
      <c r="I24" s="692">
        <f>AZ24+5</f>
        <v>24</v>
      </c>
      <c r="J24" s="692"/>
      <c r="K24" s="693" t="e">
        <f>THS!G5</f>
        <v>#REF!</v>
      </c>
      <c r="L24" s="693"/>
      <c r="M24" s="693"/>
      <c r="N24" s="693"/>
      <c r="O24" s="693"/>
      <c r="P24" s="693"/>
      <c r="Q24" s="693"/>
      <c r="R24" s="693"/>
      <c r="S24" s="693"/>
      <c r="T24" s="693"/>
      <c r="U24" s="693"/>
      <c r="V24" s="692"/>
      <c r="W24" s="695"/>
      <c r="X24" s="695"/>
      <c r="Y24" s="695"/>
      <c r="Z24" s="695"/>
      <c r="AA24" s="695"/>
      <c r="AB24" s="695"/>
      <c r="AC24" s="695"/>
      <c r="AD24" s="695"/>
      <c r="AE24" s="695"/>
      <c r="AF24" s="695">
        <f>Trucks!G163</f>
        <v>165.78108395324125</v>
      </c>
      <c r="AG24" s="693">
        <f>THS!B23</f>
        <v>0.19945283536028208</v>
      </c>
      <c r="AH24" s="693">
        <f>THS!B22</f>
        <v>0.1082151778421612</v>
      </c>
      <c r="AI24" s="693">
        <f>THS!B24</f>
        <v>0.12390046749429048</v>
      </c>
      <c r="AJ24" s="693">
        <f>THS!B26</f>
        <v>3.662075470646059E-2</v>
      </c>
      <c r="AK24" s="693">
        <f>THS!B25</f>
        <v>0.17578727909680572</v>
      </c>
      <c r="AL24" s="695">
        <v>1</v>
      </c>
      <c r="AM24" s="695"/>
      <c r="AN24" s="695">
        <v>0</v>
      </c>
      <c r="AO24" s="695">
        <v>0</v>
      </c>
      <c r="AP24" s="695">
        <v>0</v>
      </c>
      <c r="AQ24" s="695">
        <v>0</v>
      </c>
      <c r="AR24" s="695">
        <v>0</v>
      </c>
      <c r="AS24" s="695">
        <v>0</v>
      </c>
      <c r="AT24" s="695">
        <v>0</v>
      </c>
      <c r="AU24" s="695">
        <v>0</v>
      </c>
      <c r="AV24" s="695">
        <v>0</v>
      </c>
      <c r="AZ24" s="689">
        <f>Trucks!E163</f>
        <v>19</v>
      </c>
    </row>
    <row r="25" spans="1:52" ht="12" customHeight="1" x14ac:dyDescent="0.2">
      <c r="A25" s="666" t="s">
        <v>115</v>
      </c>
      <c r="B25" s="666" t="str">
        <f>Technologies!C138</f>
        <v>THSDSLE2</v>
      </c>
      <c r="C25" s="666" t="str">
        <f>Technologies!D138</f>
        <v>Heavy Truck, Short Haul, Diesel exisiting MSW</v>
      </c>
      <c r="D25" s="666" t="s">
        <v>480</v>
      </c>
      <c r="E25" s="666" t="str">
        <f>Commodities!$C$46</f>
        <v>TWDSL</v>
      </c>
      <c r="F25" s="666" t="str">
        <f>Commodities!$C$16</f>
        <v>TSW</v>
      </c>
      <c r="G25" s="692">
        <v>1</v>
      </c>
      <c r="H25" s="695">
        <v>2010</v>
      </c>
      <c r="I25" s="692">
        <v>24</v>
      </c>
      <c r="J25" s="692"/>
      <c r="K25" s="693">
        <v>3.9439301070208731E-2</v>
      </c>
      <c r="L25" s="693"/>
      <c r="M25" s="693"/>
      <c r="N25" s="693"/>
      <c r="O25" s="693"/>
      <c r="P25" s="693"/>
      <c r="Q25" s="693"/>
      <c r="R25" s="693"/>
      <c r="S25" s="693"/>
      <c r="T25" s="693"/>
      <c r="U25" s="693"/>
      <c r="V25" s="692"/>
      <c r="W25" s="695"/>
      <c r="X25" s="695"/>
      <c r="Y25" s="695"/>
      <c r="Z25" s="695"/>
      <c r="AA25" s="695"/>
      <c r="AB25" s="695"/>
      <c r="AC25" s="695"/>
      <c r="AD25" s="695"/>
      <c r="AE25" s="695"/>
      <c r="AF25" s="695">
        <v>165.78108395324125</v>
      </c>
      <c r="AG25" s="693">
        <f>TSW!C62</f>
        <v>1.3386394102397626E-2</v>
      </c>
      <c r="AH25" s="693">
        <f>TSW!C61</f>
        <v>7.0042361553582519E-3</v>
      </c>
      <c r="AI25" s="693">
        <f>TSW!C63</f>
        <v>8.6552156844737667E-3</v>
      </c>
      <c r="AJ25" s="693">
        <f>TSW!C65</f>
        <v>2.2050744818645162E-3</v>
      </c>
      <c r="AK25" s="693">
        <f>TSW!C64</f>
        <v>1.1355356522052331E-2</v>
      </c>
      <c r="AL25" s="695">
        <v>1</v>
      </c>
      <c r="AM25" s="695"/>
      <c r="AN25" s="695"/>
      <c r="AO25" s="695"/>
      <c r="AP25" s="695"/>
      <c r="AQ25" s="695"/>
      <c r="AR25" s="695"/>
      <c r="AS25" s="695"/>
      <c r="AT25" s="695"/>
      <c r="AU25" s="695"/>
      <c r="AV25" s="695"/>
      <c r="AZ25" s="689">
        <v>19</v>
      </c>
    </row>
    <row r="26" spans="1:52" ht="12" customHeight="1" x14ac:dyDescent="0.2">
      <c r="A26" s="666" t="s">
        <v>115</v>
      </c>
      <c r="B26" s="666" t="str">
        <f>Technologies!C140</f>
        <v>THSCNGE2</v>
      </c>
      <c r="C26" s="666" t="str">
        <f>Technologies!D140</f>
        <v>Heavy Truck, Short Haul, CNG exisiting MSW</v>
      </c>
      <c r="D26" s="666" t="s">
        <v>480</v>
      </c>
      <c r="E26" s="666" t="str">
        <f>Commodities!$C$46</f>
        <v>TWDSL</v>
      </c>
      <c r="F26" s="666" t="str">
        <f>Commodities!$C$16</f>
        <v>TSW</v>
      </c>
      <c r="G26" s="692">
        <v>1</v>
      </c>
      <c r="H26" s="695">
        <v>2010</v>
      </c>
      <c r="I26" s="692">
        <v>24</v>
      </c>
      <c r="J26" s="692"/>
      <c r="K26" s="693">
        <v>3.9547347278937377E-2</v>
      </c>
      <c r="L26" s="693"/>
      <c r="M26" s="693"/>
      <c r="N26" s="693"/>
      <c r="O26" s="693"/>
      <c r="P26" s="693"/>
      <c r="Q26" s="693"/>
      <c r="R26" s="693"/>
      <c r="S26" s="693"/>
      <c r="T26" s="693"/>
      <c r="U26" s="693"/>
      <c r="V26" s="692"/>
      <c r="W26" s="695"/>
      <c r="X26" s="695"/>
      <c r="Y26" s="695"/>
      <c r="Z26" s="695"/>
      <c r="AA26" s="695"/>
      <c r="AB26" s="695"/>
      <c r="AC26" s="695"/>
      <c r="AD26" s="695"/>
      <c r="AE26" s="695"/>
      <c r="AF26" s="695">
        <v>248.80470075014617</v>
      </c>
      <c r="AG26" s="694"/>
      <c r="AH26" s="694"/>
      <c r="AI26" s="694"/>
      <c r="AJ26" s="694"/>
      <c r="AK26" s="694"/>
      <c r="AL26" s="695">
        <v>1</v>
      </c>
      <c r="AM26" s="695">
        <v>0</v>
      </c>
      <c r="AN26" s="695">
        <v>0</v>
      </c>
      <c r="AO26" s="695">
        <v>0</v>
      </c>
      <c r="AP26" s="695">
        <v>0</v>
      </c>
      <c r="AQ26" s="695">
        <v>0</v>
      </c>
      <c r="AR26" s="695">
        <v>0</v>
      </c>
      <c r="AS26" s="695">
        <v>0</v>
      </c>
      <c r="AT26" s="695">
        <v>0</v>
      </c>
      <c r="AU26" s="695">
        <v>0</v>
      </c>
      <c r="AV26" s="695">
        <v>0</v>
      </c>
      <c r="AZ26" s="689">
        <v>19</v>
      </c>
    </row>
    <row r="27" spans="1:52" ht="12" customHeight="1" x14ac:dyDescent="0.2">
      <c r="A27" s="699" t="s">
        <v>485</v>
      </c>
      <c r="B27" s="668"/>
      <c r="C27" s="668"/>
      <c r="D27" s="668"/>
      <c r="E27" s="668"/>
      <c r="F27" s="668"/>
      <c r="G27" s="700"/>
      <c r="H27" s="701"/>
      <c r="I27" s="701"/>
      <c r="J27" s="701"/>
      <c r="K27" s="701"/>
      <c r="L27" s="701"/>
      <c r="M27" s="701"/>
      <c r="N27" s="701"/>
      <c r="O27" s="701"/>
      <c r="P27" s="701"/>
      <c r="Q27" s="701"/>
      <c r="R27" s="701"/>
      <c r="S27" s="701"/>
      <c r="T27" s="701"/>
      <c r="U27" s="701"/>
      <c r="V27" s="701"/>
      <c r="W27" s="701"/>
      <c r="X27" s="701"/>
      <c r="Y27" s="701"/>
      <c r="Z27" s="701"/>
      <c r="AA27" s="701"/>
      <c r="AB27" s="701"/>
      <c r="AC27" s="701"/>
      <c r="AD27" s="701"/>
      <c r="AE27" s="701"/>
      <c r="AF27" s="701"/>
      <c r="AG27" s="701"/>
      <c r="AH27" s="701"/>
      <c r="AI27" s="701"/>
      <c r="AJ27" s="701"/>
      <c r="AK27" s="701"/>
      <c r="AL27" s="701"/>
      <c r="AM27" s="702"/>
      <c r="AN27" s="702"/>
      <c r="AO27" s="702"/>
      <c r="AP27" s="702"/>
      <c r="AQ27" s="702"/>
      <c r="AR27" s="702"/>
      <c r="AS27" s="702"/>
      <c r="AT27" s="702"/>
      <c r="AU27" s="702"/>
      <c r="AV27" s="702"/>
    </row>
    <row r="28" spans="1:52" ht="12" customHeight="1" x14ac:dyDescent="0.2">
      <c r="A28" s="666" t="str">
        <f>Technologies!B191</f>
        <v>R2,R3,R4,R5,R6</v>
      </c>
      <c r="B28" s="666" t="str">
        <f>Technologies!C191</f>
        <v>TPDSLCR</v>
      </c>
      <c r="C28" s="666" t="str">
        <f>Technologies!D191</f>
        <v>Commuter Rail, Diesel</v>
      </c>
      <c r="D28" s="666" t="s">
        <v>478</v>
      </c>
      <c r="E28" s="666" t="s">
        <v>13</v>
      </c>
      <c r="F28" s="666" t="s">
        <v>110</v>
      </c>
      <c r="G28" s="692">
        <v>1</v>
      </c>
      <c r="H28" s="692">
        <v>2010</v>
      </c>
      <c r="I28" s="692">
        <v>20</v>
      </c>
      <c r="J28" s="692"/>
      <c r="K28" s="692"/>
      <c r="L28" s="697">
        <f>'Rail&amp;Bus2'!H61</f>
        <v>0.63495881767725038</v>
      </c>
      <c r="M28" s="697">
        <f>L28</f>
        <v>0.63495881767725038</v>
      </c>
      <c r="N28" s="697">
        <f>L28</f>
        <v>0.63495881767725038</v>
      </c>
      <c r="O28" s="697">
        <f t="shared" ref="O28:U28" si="1">N28</f>
        <v>0.63495881767725038</v>
      </c>
      <c r="P28" s="697">
        <f t="shared" si="1"/>
        <v>0.63495881767725038</v>
      </c>
      <c r="Q28" s="697">
        <f t="shared" si="1"/>
        <v>0.63495881767725038</v>
      </c>
      <c r="R28" s="697">
        <f t="shared" si="1"/>
        <v>0.63495881767725038</v>
      </c>
      <c r="S28" s="697">
        <f t="shared" si="1"/>
        <v>0.63495881767725038</v>
      </c>
      <c r="T28" s="697">
        <f t="shared" si="1"/>
        <v>0.63495881767725038</v>
      </c>
      <c r="U28" s="697">
        <f t="shared" si="1"/>
        <v>0.63495881767725038</v>
      </c>
      <c r="V28" s="692">
        <f>'Rail&amp;Bus2'!F61</f>
        <v>1284.7941201945534</v>
      </c>
      <c r="W28" s="692">
        <f t="shared" ref="W28:AE28" si="2">V28</f>
        <v>1284.7941201945534</v>
      </c>
      <c r="X28" s="692">
        <f t="shared" si="2"/>
        <v>1284.7941201945534</v>
      </c>
      <c r="Y28" s="692">
        <f t="shared" si="2"/>
        <v>1284.7941201945534</v>
      </c>
      <c r="Z28" s="692">
        <f t="shared" si="2"/>
        <v>1284.7941201945534</v>
      </c>
      <c r="AA28" s="692">
        <f t="shared" si="2"/>
        <v>1284.7941201945534</v>
      </c>
      <c r="AB28" s="692">
        <f t="shared" si="2"/>
        <v>1284.7941201945534</v>
      </c>
      <c r="AC28" s="692">
        <f t="shared" si="2"/>
        <v>1284.7941201945534</v>
      </c>
      <c r="AD28" s="692">
        <f t="shared" si="2"/>
        <v>1284.7941201945534</v>
      </c>
      <c r="AE28" s="692">
        <f t="shared" si="2"/>
        <v>1284.7941201945534</v>
      </c>
      <c r="AF28" s="692">
        <f>'Rail&amp;Bus2'!G61</f>
        <v>128.47941201945534</v>
      </c>
      <c r="AG28" s="692">
        <f>TRP!C31</f>
        <v>3.8496365877428079E-2</v>
      </c>
      <c r="AH28" s="692">
        <f>TRP!C30</f>
        <v>2.088659743631981E-2</v>
      </c>
      <c r="AI28" s="692">
        <f>TRP!C32</f>
        <v>2.3914013157189769E-2</v>
      </c>
      <c r="AJ28" s="692">
        <f>TRP!C34</f>
        <v>7.0681671150019968E-3</v>
      </c>
      <c r="AK28" s="692">
        <f>TRP!C33</f>
        <v>3.3928679933199764E-2</v>
      </c>
      <c r="AL28" s="692">
        <v>1</v>
      </c>
      <c r="AM28" s="695">
        <v>0</v>
      </c>
      <c r="AN28" s="695"/>
      <c r="AO28" s="695"/>
      <c r="AP28" s="695"/>
      <c r="AQ28" s="695"/>
      <c r="AR28" s="695"/>
      <c r="AS28" s="695"/>
      <c r="AT28" s="695"/>
      <c r="AU28" s="695"/>
      <c r="AV28" s="695"/>
      <c r="AZ28" s="685">
        <v>20</v>
      </c>
    </row>
    <row r="29" spans="1:52" ht="12" customHeight="1" x14ac:dyDescent="0.2">
      <c r="A29" s="666" t="str">
        <f>Technologies!B193</f>
        <v>R2,R3,R4,R5,R6</v>
      </c>
      <c r="B29" s="666" t="str">
        <f>Technologies!C193</f>
        <v>TPELCSUB</v>
      </c>
      <c r="C29" s="666" t="str">
        <f>Technologies!D193</f>
        <v>Subways and Streetcars, Electricity</v>
      </c>
      <c r="D29" s="666" t="s">
        <v>478</v>
      </c>
      <c r="E29" s="666" t="s">
        <v>9</v>
      </c>
      <c r="F29" s="666" t="s">
        <v>110</v>
      </c>
      <c r="G29" s="692">
        <v>1</v>
      </c>
      <c r="H29" s="692">
        <v>2010</v>
      </c>
      <c r="I29" s="692">
        <v>20</v>
      </c>
      <c r="J29" s="692"/>
      <c r="K29" s="692"/>
      <c r="L29" s="697">
        <f>'Rail&amp;Bus2'!H59</f>
        <v>1.147236643778262</v>
      </c>
      <c r="M29" s="697">
        <f>L29</f>
        <v>1.147236643778262</v>
      </c>
      <c r="N29" s="697">
        <v>1.3846865095709378</v>
      </c>
      <c r="O29" s="697">
        <f>N29+(Q29-N29)/3</f>
        <v>1.4802185655612092</v>
      </c>
      <c r="P29" s="697">
        <f>O29+(Q29-N29)/3</f>
        <v>1.5757506215514807</v>
      </c>
      <c r="Q29" s="697">
        <f>N29*N29/L29</f>
        <v>1.671282677541752</v>
      </c>
      <c r="R29" s="697">
        <f>Q29</f>
        <v>1.671282677541752</v>
      </c>
      <c r="S29" s="697">
        <f>R29</f>
        <v>1.671282677541752</v>
      </c>
      <c r="T29" s="697">
        <f>S29</f>
        <v>1.671282677541752</v>
      </c>
      <c r="U29" s="697">
        <f>T29</f>
        <v>1.671282677541752</v>
      </c>
      <c r="V29" s="692">
        <f>'Rail&amp;Bus2'!F59</f>
        <v>216.10599999999999</v>
      </c>
      <c r="W29" s="692">
        <f t="shared" ref="W29:AE29" si="3">V29</f>
        <v>216.10599999999999</v>
      </c>
      <c r="X29" s="692">
        <f t="shared" si="3"/>
        <v>216.10599999999999</v>
      </c>
      <c r="Y29" s="692">
        <f t="shared" si="3"/>
        <v>216.10599999999999</v>
      </c>
      <c r="Z29" s="692">
        <f t="shared" si="3"/>
        <v>216.10599999999999</v>
      </c>
      <c r="AA29" s="692">
        <f t="shared" si="3"/>
        <v>216.10599999999999</v>
      </c>
      <c r="AB29" s="692">
        <f t="shared" si="3"/>
        <v>216.10599999999999</v>
      </c>
      <c r="AC29" s="692">
        <f t="shared" si="3"/>
        <v>216.10599999999999</v>
      </c>
      <c r="AD29" s="692">
        <f t="shared" si="3"/>
        <v>216.10599999999999</v>
      </c>
      <c r="AE29" s="692">
        <f t="shared" si="3"/>
        <v>216.10599999999999</v>
      </c>
      <c r="AF29" s="692">
        <f>'Rail&amp;Bus2'!G59</f>
        <v>10.805</v>
      </c>
      <c r="AG29" s="692">
        <f>TRP!C39</f>
        <v>9.0368974198712291</v>
      </c>
      <c r="AH29" s="692">
        <f>TRP!C38</f>
        <v>4.9030612157819036</v>
      </c>
      <c r="AI29" s="692">
        <f>TRP!C40</f>
        <v>5.6137372677478545</v>
      </c>
      <c r="AJ29" s="692">
        <f>TRP!C42</f>
        <v>1.6592293768236499</v>
      </c>
      <c r="AK29" s="692">
        <f>TRP!C41</f>
        <v>7.9646479131098209</v>
      </c>
      <c r="AL29" s="692">
        <v>1</v>
      </c>
      <c r="AM29" s="695">
        <v>0</v>
      </c>
      <c r="AN29" s="695"/>
      <c r="AO29" s="695"/>
      <c r="AP29" s="695"/>
      <c r="AQ29" s="695"/>
      <c r="AR29" s="695"/>
      <c r="AS29" s="695"/>
      <c r="AT29" s="695"/>
      <c r="AU29" s="695"/>
      <c r="AV29" s="695"/>
      <c r="AZ29" s="685">
        <v>20</v>
      </c>
    </row>
    <row r="30" spans="1:52" ht="12" customHeight="1" x14ac:dyDescent="0.2">
      <c r="A30" s="699" t="s">
        <v>486</v>
      </c>
      <c r="B30" s="668"/>
      <c r="C30" s="668"/>
      <c r="D30" s="668"/>
      <c r="E30" s="668"/>
      <c r="F30" s="668"/>
      <c r="G30" s="700"/>
      <c r="H30" s="701"/>
      <c r="I30" s="701"/>
      <c r="J30" s="701"/>
      <c r="K30" s="701"/>
      <c r="L30" s="701"/>
      <c r="M30" s="701"/>
      <c r="N30" s="701"/>
      <c r="O30" s="701"/>
      <c r="P30" s="701"/>
      <c r="Q30" s="701"/>
      <c r="R30" s="701"/>
      <c r="S30" s="701"/>
      <c r="T30" s="701"/>
      <c r="U30" s="701"/>
      <c r="V30" s="701"/>
      <c r="W30" s="701"/>
      <c r="X30" s="701"/>
      <c r="Y30" s="701"/>
      <c r="Z30" s="701"/>
      <c r="AA30" s="701"/>
      <c r="AB30" s="701"/>
      <c r="AC30" s="701"/>
      <c r="AD30" s="701"/>
      <c r="AE30" s="701"/>
      <c r="AF30" s="701"/>
      <c r="AG30" s="701"/>
      <c r="AH30" s="701"/>
      <c r="AI30" s="701"/>
      <c r="AJ30" s="701"/>
      <c r="AK30" s="701"/>
      <c r="AL30" s="701"/>
      <c r="AM30" s="702"/>
      <c r="AN30" s="702"/>
      <c r="AO30" s="702"/>
      <c r="AP30" s="702"/>
      <c r="AQ30" s="702"/>
      <c r="AR30" s="702"/>
      <c r="AS30" s="702"/>
      <c r="AT30" s="702"/>
      <c r="AU30" s="702"/>
      <c r="AV30" s="702"/>
    </row>
    <row r="31" spans="1:52" ht="12" customHeight="1" x14ac:dyDescent="0.2">
      <c r="A31" s="666" t="s">
        <v>115</v>
      </c>
      <c r="B31" s="666" t="str">
        <f>Technologies!C195</f>
        <v>TRFDSLE</v>
      </c>
      <c r="C31" s="666" t="str">
        <f>Technologies!D195</f>
        <v>Rail Freight, Diesel Existing</v>
      </c>
      <c r="D31" s="666" t="s">
        <v>487</v>
      </c>
      <c r="E31" s="666" t="s">
        <v>13</v>
      </c>
      <c r="F31" s="666" t="s">
        <v>106</v>
      </c>
      <c r="G31" s="692">
        <v>1</v>
      </c>
      <c r="H31" s="692">
        <v>2010</v>
      </c>
      <c r="I31" s="692">
        <v>30</v>
      </c>
      <c r="J31" s="692"/>
      <c r="K31" s="693">
        <f>Freight!H5</f>
        <v>2.7635668727577114</v>
      </c>
      <c r="L31" s="692"/>
      <c r="M31" s="692"/>
      <c r="N31" s="692"/>
      <c r="O31" s="692"/>
      <c r="P31" s="692"/>
      <c r="Q31" s="692"/>
      <c r="R31" s="692"/>
      <c r="S31" s="692"/>
      <c r="T31" s="692"/>
      <c r="U31" s="692"/>
      <c r="V31" s="692"/>
      <c r="W31" s="692"/>
      <c r="X31" s="692"/>
      <c r="Y31" s="692"/>
      <c r="Z31" s="692"/>
      <c r="AA31" s="692"/>
      <c r="AB31" s="692"/>
      <c r="AC31" s="692"/>
      <c r="AD31" s="692"/>
      <c r="AE31" s="692"/>
      <c r="AF31" s="693">
        <f>Freight!G5</f>
        <v>1.43057919042252</v>
      </c>
      <c r="AG31" s="692"/>
      <c r="AH31" s="692"/>
      <c r="AI31" s="692"/>
      <c r="AJ31" s="692"/>
      <c r="AK31" s="692"/>
      <c r="AL31" s="692">
        <v>1</v>
      </c>
      <c r="AM31" s="695"/>
      <c r="AN31" s="695"/>
      <c r="AO31" s="695"/>
      <c r="AP31" s="695"/>
      <c r="AQ31" s="695"/>
      <c r="AR31" s="695"/>
      <c r="AS31" s="695"/>
      <c r="AT31" s="695"/>
      <c r="AU31" s="695"/>
      <c r="AV31" s="695"/>
      <c r="AZ31" s="685">
        <f>Freight!E5</f>
        <v>30</v>
      </c>
    </row>
    <row r="32" spans="1:52" ht="12" customHeight="1" x14ac:dyDescent="0.2">
      <c r="A32" s="666" t="s">
        <v>115</v>
      </c>
      <c r="B32" s="666" t="str">
        <f>Technologies!C196</f>
        <v>TRFDSLE2</v>
      </c>
      <c r="C32" s="666" t="str">
        <f>Technologies!D196</f>
        <v>Rail Freight, Diesel Existing-MSW</v>
      </c>
      <c r="D32" s="666" t="s">
        <v>480</v>
      </c>
      <c r="E32" s="666" t="str">
        <f>Commodities!$C$46</f>
        <v>TWDSL</v>
      </c>
      <c r="F32" s="666" t="str">
        <f>Commodities!$C$16</f>
        <v>TSW</v>
      </c>
      <c r="G32" s="666">
        <f>G31</f>
        <v>1</v>
      </c>
      <c r="H32" s="666">
        <f>H31</f>
        <v>2010</v>
      </c>
      <c r="I32" s="666">
        <f>I31</f>
        <v>30</v>
      </c>
      <c r="J32" s="666"/>
      <c r="K32" s="666">
        <f>K31</f>
        <v>2.7635668727577114</v>
      </c>
      <c r="L32" s="666"/>
      <c r="M32" s="666"/>
      <c r="N32" s="666"/>
      <c r="O32" s="666"/>
      <c r="P32" s="666"/>
      <c r="Q32" s="666"/>
      <c r="R32" s="666"/>
      <c r="S32" s="666"/>
      <c r="T32" s="666"/>
      <c r="U32" s="666"/>
      <c r="V32" s="666"/>
      <c r="W32" s="666"/>
      <c r="X32" s="666"/>
      <c r="Y32" s="666"/>
      <c r="Z32" s="666"/>
      <c r="AA32" s="666"/>
      <c r="AB32" s="666"/>
      <c r="AC32" s="666"/>
      <c r="AD32" s="666"/>
      <c r="AE32" s="666"/>
      <c r="AF32" s="666">
        <f>AF31</f>
        <v>1.43057919042252</v>
      </c>
      <c r="AG32" s="692">
        <f>TSW!C47</f>
        <v>0.19037655616585591</v>
      </c>
      <c r="AH32" s="692">
        <f>TSW!C46</f>
        <v>9.9611766068552196E-2</v>
      </c>
      <c r="AI32" s="692">
        <f>TSW!C48</f>
        <v>0.12309141224130628</v>
      </c>
      <c r="AJ32" s="692">
        <f>TSW!C50</f>
        <v>3.1359788359389976E-2</v>
      </c>
      <c r="AK32" s="692">
        <f>TSW!C49</f>
        <v>0.16149185898513302</v>
      </c>
      <c r="AL32" s="692">
        <v>1</v>
      </c>
      <c r="AM32" s="695"/>
      <c r="AN32" s="695"/>
      <c r="AO32" s="695"/>
      <c r="AP32" s="695"/>
      <c r="AQ32" s="695"/>
      <c r="AR32" s="695"/>
      <c r="AS32" s="695"/>
      <c r="AT32" s="695"/>
      <c r="AU32" s="695"/>
      <c r="AV32" s="695"/>
      <c r="AZ32" s="661">
        <f>AZ31</f>
        <v>30</v>
      </c>
    </row>
    <row r="33" spans="1:52" ht="12" customHeight="1" x14ac:dyDescent="0.2">
      <c r="A33" s="666" t="str">
        <f>Technologies!B210</f>
        <v>R2,R3,R4,R5,R6</v>
      </c>
      <c r="B33" s="666" t="str">
        <f>Technologies!C210</f>
        <v>TSDSLE</v>
      </c>
      <c r="C33" s="666" t="str">
        <f>Technologies!D210</f>
        <v>Water Shipping, Diesel exisiting</v>
      </c>
      <c r="D33" s="666" t="s">
        <v>487</v>
      </c>
      <c r="E33" s="666" t="str">
        <f>Commodities!C43</f>
        <v>TSDSL</v>
      </c>
      <c r="F33" s="666" t="s">
        <v>102</v>
      </c>
      <c r="G33" s="692">
        <v>1</v>
      </c>
      <c r="H33" s="692">
        <v>2010</v>
      </c>
      <c r="I33" s="692">
        <v>30</v>
      </c>
      <c r="J33" s="692">
        <v>0.18</v>
      </c>
      <c r="K33" s="693">
        <f>'Air&amp;Marine'!J32</f>
        <v>1.9172146697629859</v>
      </c>
      <c r="L33" s="692"/>
      <c r="M33" s="692"/>
      <c r="N33" s="692"/>
      <c r="O33" s="692"/>
      <c r="P33" s="692"/>
      <c r="Q33" s="692"/>
      <c r="R33" s="692"/>
      <c r="S33" s="692"/>
      <c r="T33" s="692"/>
      <c r="U33" s="692"/>
      <c r="V33" s="694">
        <f>'Air&amp;Marine'!H32</f>
        <v>20.108902754128071</v>
      </c>
      <c r="W33" s="694">
        <f t="shared" ref="W33:AE33" si="4">V33</f>
        <v>20.108902754128071</v>
      </c>
      <c r="X33" s="694">
        <f t="shared" si="4"/>
        <v>20.108902754128071</v>
      </c>
      <c r="Y33" s="694">
        <f t="shared" si="4"/>
        <v>20.108902754128071</v>
      </c>
      <c r="Z33" s="694">
        <f t="shared" si="4"/>
        <v>20.108902754128071</v>
      </c>
      <c r="AA33" s="694">
        <f t="shared" si="4"/>
        <v>20.108902754128071</v>
      </c>
      <c r="AB33" s="694">
        <f t="shared" si="4"/>
        <v>20.108902754128071</v>
      </c>
      <c r="AC33" s="694">
        <f t="shared" si="4"/>
        <v>20.108902754128071</v>
      </c>
      <c r="AD33" s="694">
        <f t="shared" si="4"/>
        <v>20.108902754128071</v>
      </c>
      <c r="AE33" s="694">
        <f t="shared" si="4"/>
        <v>20.108902754128071</v>
      </c>
      <c r="AF33" s="694">
        <f>'Air&amp;Marine'!I32</f>
        <v>1.0054451377064035</v>
      </c>
      <c r="AG33" s="692">
        <f>'2015 GHG'!C43</f>
        <v>0.875880192</v>
      </c>
      <c r="AH33" s="692"/>
      <c r="AI33" s="692"/>
      <c r="AJ33" s="692"/>
      <c r="AK33" s="692"/>
      <c r="AL33" s="692">
        <v>1</v>
      </c>
      <c r="AM33" s="695"/>
      <c r="AN33" s="695">
        <v>0</v>
      </c>
      <c r="AO33" s="695">
        <v>0</v>
      </c>
      <c r="AP33" s="695">
        <v>0</v>
      </c>
      <c r="AQ33" s="695">
        <v>0</v>
      </c>
      <c r="AR33" s="695">
        <v>0</v>
      </c>
      <c r="AS33" s="695">
        <v>0</v>
      </c>
      <c r="AT33" s="695">
        <v>0</v>
      </c>
      <c r="AU33" s="695">
        <v>0</v>
      </c>
      <c r="AV33" s="695">
        <v>0</v>
      </c>
      <c r="AZ33" s="685">
        <f>'Air&amp;Marine'!G32</f>
        <v>30</v>
      </c>
    </row>
    <row r="34" spans="1:52" ht="12" customHeight="1" x14ac:dyDescent="0.2">
      <c r="A34" s="661"/>
      <c r="B34" s="661"/>
      <c r="C34" s="661"/>
      <c r="D34" s="661"/>
      <c r="E34" s="661"/>
      <c r="F34" s="661"/>
      <c r="N34" s="687"/>
      <c r="Y34" s="688"/>
      <c r="Z34" s="688"/>
      <c r="AA34" s="688"/>
      <c r="AB34" s="688"/>
      <c r="AC34" s="688"/>
      <c r="AD34" s="688"/>
      <c r="AE34" s="688"/>
      <c r="AF34" s="688"/>
      <c r="AG34" s="688"/>
      <c r="AH34" s="688"/>
      <c r="AI34" s="688"/>
      <c r="AP34" s="689"/>
      <c r="AQ34" s="689"/>
      <c r="AR34" s="689"/>
      <c r="AS34" s="689"/>
      <c r="AT34" s="689"/>
      <c r="AU34" s="689"/>
      <c r="AV34" s="689"/>
    </row>
    <row r="35" spans="1:52" ht="12" customHeight="1" x14ac:dyDescent="0.2">
      <c r="A35" s="661"/>
      <c r="B35" s="661"/>
      <c r="C35" s="661"/>
      <c r="D35" s="661"/>
      <c r="E35" s="661"/>
      <c r="F35" s="661"/>
      <c r="N35" s="687"/>
      <c r="Y35" s="688"/>
      <c r="Z35" s="688"/>
      <c r="AA35" s="688"/>
      <c r="AB35" s="688"/>
      <c r="AC35" s="688"/>
      <c r="AD35" s="688"/>
      <c r="AE35" s="688"/>
      <c r="AF35" s="688"/>
      <c r="AG35" s="688"/>
      <c r="AH35" s="688"/>
      <c r="AI35" s="688"/>
      <c r="AP35" s="689"/>
      <c r="AQ35" s="689"/>
      <c r="AR35" s="689"/>
      <c r="AS35" s="689"/>
      <c r="AT35" s="689"/>
      <c r="AU35" s="689"/>
      <c r="AV35" s="689"/>
    </row>
    <row r="36" spans="1:52" ht="12" customHeight="1" x14ac:dyDescent="0.2">
      <c r="A36" s="661"/>
      <c r="B36" s="661"/>
      <c r="C36" s="661"/>
      <c r="D36" s="661"/>
      <c r="E36" s="661"/>
      <c r="F36" s="661"/>
      <c r="N36" s="687"/>
      <c r="Y36" s="688"/>
      <c r="Z36" s="688"/>
      <c r="AA36" s="688"/>
      <c r="AB36" s="688"/>
      <c r="AC36" s="688"/>
      <c r="AD36" s="688"/>
      <c r="AE36" s="688"/>
      <c r="AF36" s="688"/>
      <c r="AG36" s="688"/>
      <c r="AH36" s="688"/>
      <c r="AI36" s="688"/>
      <c r="AK36" s="685">
        <f>AK28/($AK$29+$AK$28)</f>
        <v>4.2418397246717816E-3</v>
      </c>
      <c r="AP36" s="689"/>
      <c r="AQ36" s="689"/>
      <c r="AR36" s="689"/>
      <c r="AS36" s="689"/>
      <c r="AT36" s="689"/>
      <c r="AU36" s="689"/>
      <c r="AV36" s="689"/>
    </row>
    <row r="37" spans="1:52" ht="12" customHeight="1" x14ac:dyDescent="0.2">
      <c r="A37" s="661"/>
      <c r="B37" s="661"/>
      <c r="C37" s="661"/>
      <c r="D37" s="661"/>
      <c r="E37" s="661"/>
      <c r="F37" s="661"/>
      <c r="N37" s="687"/>
      <c r="Y37" s="688"/>
      <c r="Z37" s="688"/>
      <c r="AA37" s="688"/>
      <c r="AB37" s="688"/>
      <c r="AC37" s="688"/>
      <c r="AD37" s="688"/>
      <c r="AE37" s="688"/>
      <c r="AF37" s="688"/>
      <c r="AG37" s="688"/>
      <c r="AH37" s="688"/>
      <c r="AI37" s="688"/>
      <c r="AK37" s="685">
        <f>AK29/($AK$29+$AK$28)</f>
        <v>0.99575816027532815</v>
      </c>
      <c r="AP37" s="689"/>
      <c r="AQ37" s="689"/>
      <c r="AR37" s="689"/>
      <c r="AS37" s="689"/>
      <c r="AT37" s="689"/>
      <c r="AU37" s="689"/>
      <c r="AV37" s="689"/>
    </row>
    <row r="38" spans="1:52" ht="12" customHeight="1" x14ac:dyDescent="0.2">
      <c r="F38" s="681"/>
      <c r="AK38" s="685">
        <f>AK30/(AK30+AK29)</f>
        <v>0</v>
      </c>
    </row>
    <row r="39" spans="1:52" ht="12" customHeight="1" x14ac:dyDescent="0.2">
      <c r="A39" s="691" t="s">
        <v>683</v>
      </c>
      <c r="B39" s="691" t="s">
        <v>158</v>
      </c>
      <c r="C39" s="691" t="s">
        <v>159</v>
      </c>
      <c r="D39" s="691" t="s">
        <v>165</v>
      </c>
      <c r="E39" s="691" t="s">
        <v>168</v>
      </c>
      <c r="F39" s="691" t="s">
        <v>169</v>
      </c>
      <c r="G39" s="691" t="s">
        <v>1679</v>
      </c>
      <c r="H39" s="691" t="s">
        <v>1680</v>
      </c>
      <c r="I39" s="691" t="s">
        <v>1681</v>
      </c>
      <c r="J39" s="691" t="s">
        <v>475</v>
      </c>
      <c r="N39" s="691" t="s">
        <v>1680</v>
      </c>
    </row>
    <row r="40" spans="1:52" ht="12" customHeight="1" x14ac:dyDescent="0.2">
      <c r="A40" s="699" t="s">
        <v>488</v>
      </c>
      <c r="B40" s="668"/>
      <c r="C40" s="668"/>
      <c r="D40" s="668"/>
      <c r="E40" s="668"/>
      <c r="F40" s="668"/>
      <c r="G40" s="702"/>
      <c r="H40" s="701"/>
      <c r="I40" s="701"/>
      <c r="J40" s="701"/>
    </row>
    <row r="41" spans="1:52" ht="12" customHeight="1" x14ac:dyDescent="0.2">
      <c r="A41" s="666" t="s">
        <v>115</v>
      </c>
      <c r="B41" s="666" t="str">
        <f>Technologies!C216</f>
        <v>SETRB20</v>
      </c>
      <c r="C41" s="666" t="str">
        <f>Technologies!D216</f>
        <v>Emissions: B20 Rail fuel to TRB20X</v>
      </c>
      <c r="D41" s="666" t="s">
        <v>489</v>
      </c>
      <c r="E41" s="666" t="s">
        <v>74</v>
      </c>
      <c r="F41" s="666" t="str">
        <f>Commodities!C$64</f>
        <v>TRB20X</v>
      </c>
      <c r="G41" s="692">
        <v>2010</v>
      </c>
      <c r="H41" s="692">
        <v>50</v>
      </c>
      <c r="I41" s="692"/>
      <c r="J41" s="692">
        <v>1</v>
      </c>
      <c r="N41" s="685">
        <v>50</v>
      </c>
    </row>
    <row r="42" spans="1:52" ht="12" customHeight="1" x14ac:dyDescent="0.2">
      <c r="A42" s="666" t="str">
        <f>Technologies!B215</f>
        <v>R2,R3,R4,R5,R6</v>
      </c>
      <c r="B42" s="666" t="str">
        <f>Technologies!C215</f>
        <v>SETRDSL</v>
      </c>
      <c r="C42" s="666" t="str">
        <f>Technologies!D215</f>
        <v>Emissions: DSL Rail fuel to TRDSL</v>
      </c>
      <c r="D42" s="666" t="s">
        <v>489</v>
      </c>
      <c r="E42" s="666" t="s">
        <v>13</v>
      </c>
      <c r="F42" s="666" t="s">
        <v>47</v>
      </c>
      <c r="G42" s="695">
        <v>2010</v>
      </c>
      <c r="H42" s="692">
        <v>50</v>
      </c>
      <c r="I42" s="692"/>
      <c r="J42" s="692">
        <v>1</v>
      </c>
      <c r="N42" s="685">
        <v>50</v>
      </c>
    </row>
    <row r="43" spans="1:52" ht="12" customHeight="1" x14ac:dyDescent="0.2">
      <c r="A43" s="661"/>
      <c r="B43" s="661"/>
      <c r="C43" s="661"/>
      <c r="D43" s="661"/>
      <c r="E43" s="661"/>
      <c r="F43" s="661"/>
      <c r="K43" s="689"/>
    </row>
    <row r="44" spans="1:52" ht="12" customHeight="1" x14ac:dyDescent="0.2">
      <c r="A44" s="661"/>
      <c r="B44" s="661"/>
      <c r="C44" s="661"/>
      <c r="D44" s="661"/>
      <c r="E44" s="661"/>
      <c r="F44" s="661"/>
      <c r="N44" s="687"/>
      <c r="Y44" s="688"/>
      <c r="Z44" s="688"/>
      <c r="AA44" s="688"/>
      <c r="AB44" s="688"/>
      <c r="AC44" s="688"/>
      <c r="AD44" s="688"/>
      <c r="AE44" s="688"/>
      <c r="AF44" s="688"/>
      <c r="AG44" s="688"/>
      <c r="AH44" s="688"/>
      <c r="AI44" s="688"/>
      <c r="AP44" s="689"/>
      <c r="AQ44" s="689"/>
      <c r="AR44" s="689"/>
      <c r="AS44" s="689"/>
      <c r="AT44" s="689"/>
      <c r="AU44" s="689"/>
      <c r="AV44" s="689"/>
    </row>
    <row r="45" spans="1:52" ht="12" customHeight="1" x14ac:dyDescent="0.2">
      <c r="F45" s="681" t="s">
        <v>1722</v>
      </c>
    </row>
    <row r="46" spans="1:52" ht="12" customHeight="1" x14ac:dyDescent="0.2">
      <c r="A46" s="691" t="s">
        <v>683</v>
      </c>
      <c r="B46" s="691" t="s">
        <v>158</v>
      </c>
      <c r="C46" s="691" t="s">
        <v>159</v>
      </c>
      <c r="D46" s="691" t="s">
        <v>165</v>
      </c>
      <c r="E46" s="691" t="s">
        <v>168</v>
      </c>
      <c r="F46" s="691" t="s">
        <v>169</v>
      </c>
      <c r="G46" s="691" t="s">
        <v>475</v>
      </c>
      <c r="H46" s="691" t="s">
        <v>1702</v>
      </c>
    </row>
    <row r="47" spans="1:52" ht="12" customHeight="1" x14ac:dyDescent="0.2">
      <c r="A47" s="703" t="s">
        <v>490</v>
      </c>
      <c r="B47" s="666"/>
      <c r="C47" s="666"/>
      <c r="D47" s="666"/>
      <c r="E47" s="666"/>
      <c r="F47" s="666"/>
      <c r="G47" s="692"/>
      <c r="H47" s="692"/>
    </row>
    <row r="48" spans="1:52" ht="12" customHeight="1" x14ac:dyDescent="0.2">
      <c r="A48" s="666" t="str">
        <f>Technologies!B218</f>
        <v>R2,R3,R4,R5,R6</v>
      </c>
      <c r="B48" s="666" t="str">
        <f>Technologies!C218</f>
        <v>ZZTB</v>
      </c>
      <c r="C48" s="666" t="str">
        <f>Technologies!D218</f>
        <v>Transportation Buses - ZZINFES backstop</v>
      </c>
      <c r="D48" s="666" t="s">
        <v>480</v>
      </c>
      <c r="E48" s="666" t="s">
        <v>491</v>
      </c>
      <c r="F48" s="666" t="s">
        <v>93</v>
      </c>
      <c r="G48" s="692">
        <v>1</v>
      </c>
      <c r="H48" s="692">
        <v>9999</v>
      </c>
    </row>
    <row r="49" spans="1:11" ht="12" customHeight="1" x14ac:dyDescent="0.2">
      <c r="A49" s="666" t="str">
        <f>Technologies!B219</f>
        <v>*R2,R3,R4,R5,R6</v>
      </c>
      <c r="B49" s="666" t="str">
        <f>Technologies!C219</f>
        <v>ZZTC</v>
      </c>
      <c r="C49" s="666" t="str">
        <f>Technologies!D219</f>
        <v>Transportation Commercial Trucks - ZZINFES backstop</v>
      </c>
      <c r="D49" s="666" t="s">
        <v>480</v>
      </c>
      <c r="E49" s="666" t="s">
        <v>491</v>
      </c>
      <c r="F49" s="666" t="s">
        <v>112</v>
      </c>
      <c r="G49" s="692">
        <v>1</v>
      </c>
      <c r="H49" s="692">
        <v>9999</v>
      </c>
    </row>
    <row r="50" spans="1:11" ht="12" customHeight="1" x14ac:dyDescent="0.2">
      <c r="A50" s="666" t="str">
        <f>Technologies!B220</f>
        <v>R2,R3,R4,R5,R6</v>
      </c>
      <c r="B50" s="666" t="str">
        <f>Technologies!C220</f>
        <v>ZZTM</v>
      </c>
      <c r="C50" s="666" t="str">
        <f>Technologies!D220</f>
        <v>Transportation Medium Trucks - ZZINFES backstop</v>
      </c>
      <c r="D50" s="666" t="s">
        <v>480</v>
      </c>
      <c r="E50" s="666" t="s">
        <v>491</v>
      </c>
      <c r="F50" s="666" t="s">
        <v>96</v>
      </c>
      <c r="G50" s="692">
        <v>1</v>
      </c>
      <c r="H50" s="692">
        <v>9999</v>
      </c>
    </row>
    <row r="51" spans="1:11" ht="12" customHeight="1" x14ac:dyDescent="0.2">
      <c r="A51" s="666" t="str">
        <f>Technologies!B221</f>
        <v>R2,R3,R4,R5,R6</v>
      </c>
      <c r="B51" s="666" t="str">
        <f>Technologies!C221</f>
        <v>ZZTHS</v>
      </c>
      <c r="C51" s="666" t="str">
        <f>Technologies!D221</f>
        <v>Transportation Heavy Short Haul - ZZINFES backstop</v>
      </c>
      <c r="D51" s="666" t="s">
        <v>480</v>
      </c>
      <c r="E51" s="666" t="s">
        <v>491</v>
      </c>
      <c r="F51" s="666" t="s">
        <v>98</v>
      </c>
      <c r="G51" s="692">
        <v>1</v>
      </c>
      <c r="H51" s="692">
        <v>9999</v>
      </c>
    </row>
    <row r="52" spans="1:11" ht="12" customHeight="1" x14ac:dyDescent="0.2">
      <c r="A52" s="666" t="str">
        <f>Technologies!B222</f>
        <v>R2,R3,R4,R5,R6</v>
      </c>
      <c r="B52" s="666" t="str">
        <f>Technologies!C222</f>
        <v>ZZTRP</v>
      </c>
      <c r="C52" s="666" t="str">
        <f>Technologies!D222</f>
        <v>Transportation Rail Passenger - ZZINFES backstop</v>
      </c>
      <c r="D52" s="666" t="s">
        <v>480</v>
      </c>
      <c r="E52" s="666" t="s">
        <v>491</v>
      </c>
      <c r="F52" s="666" t="s">
        <v>110</v>
      </c>
      <c r="G52" s="692">
        <v>1</v>
      </c>
      <c r="H52" s="692">
        <v>9999</v>
      </c>
    </row>
    <row r="53" spans="1:11" ht="12" customHeight="1" x14ac:dyDescent="0.2">
      <c r="A53" s="666" t="str">
        <f>Technologies!B223</f>
        <v>*R2,R3,R4,R5,R6</v>
      </c>
      <c r="B53" s="666" t="str">
        <f>Technologies!C223</f>
        <v>ZZTHL</v>
      </c>
      <c r="C53" s="666" t="str">
        <f>Technologies!D223</f>
        <v>Transportation Rail Freight - ZZINFES backstop</v>
      </c>
      <c r="D53" s="666" t="s">
        <v>480</v>
      </c>
      <c r="E53" s="666" t="s">
        <v>491</v>
      </c>
      <c r="F53" s="666" t="s">
        <v>100</v>
      </c>
      <c r="G53" s="692">
        <v>1</v>
      </c>
      <c r="H53" s="692">
        <v>9999</v>
      </c>
    </row>
    <row r="54" spans="1:11" ht="12" customHeight="1" x14ac:dyDescent="0.2">
      <c r="A54" s="666" t="str">
        <f>Technologies!B224</f>
        <v>R2,R3,R4,R5,R6</v>
      </c>
      <c r="B54" s="666" t="str">
        <f>Technologies!C224</f>
        <v>ZZTS</v>
      </c>
      <c r="C54" s="666" t="str">
        <f>Technologies!D224</f>
        <v>Transportation Water Shipping - ZZINFES backstop</v>
      </c>
      <c r="D54" s="666" t="s">
        <v>487</v>
      </c>
      <c r="E54" s="666" t="s">
        <v>491</v>
      </c>
      <c r="F54" s="666" t="s">
        <v>102</v>
      </c>
      <c r="G54" s="692">
        <v>1</v>
      </c>
      <c r="H54" s="692">
        <v>9999</v>
      </c>
    </row>
    <row r="55" spans="1:11" ht="12" customHeight="1" x14ac:dyDescent="0.2">
      <c r="A55" s="692" t="str">
        <f>Technologies!B225</f>
        <v>*R2,R3,R4,R5,R6</v>
      </c>
      <c r="B55" s="692" t="str">
        <f>Technologies!C225</f>
        <v>ZZTSW</v>
      </c>
      <c r="C55" s="692" t="str">
        <f>Technologies!D225</f>
        <v>Transportation MSW  - ZZINFES backstop</v>
      </c>
      <c r="D55" s="666" t="s">
        <v>487</v>
      </c>
      <c r="E55" s="666" t="s">
        <v>491</v>
      </c>
      <c r="F55" s="666" t="str">
        <f>Commodities!$C$16</f>
        <v>TSW</v>
      </c>
      <c r="G55" s="692">
        <v>1</v>
      </c>
      <c r="H55" s="692"/>
    </row>
    <row r="56" spans="1:11" ht="12" customHeight="1" x14ac:dyDescent="0.2">
      <c r="K56" s="689"/>
    </row>
    <row r="57" spans="1:11" ht="12" customHeight="1" x14ac:dyDescent="0.2">
      <c r="K57" s="689"/>
    </row>
    <row r="58" spans="1:11" ht="12" customHeight="1" x14ac:dyDescent="0.2">
      <c r="K58" s="689"/>
    </row>
    <row r="59" spans="1:11" ht="12" customHeight="1" x14ac:dyDescent="0.2">
      <c r="K59" s="689"/>
    </row>
    <row r="60" spans="1:11" ht="12" customHeight="1" x14ac:dyDescent="0.2">
      <c r="K60" s="689"/>
    </row>
    <row r="61" spans="1:11" ht="12" customHeight="1" x14ac:dyDescent="0.2">
      <c r="K61" s="689"/>
    </row>
    <row r="62" spans="1:11" ht="12" customHeight="1" x14ac:dyDescent="0.2">
      <c r="K62" s="689"/>
    </row>
    <row r="63" spans="1:11" ht="12" customHeight="1" x14ac:dyDescent="0.2">
      <c r="A63" s="684"/>
      <c r="K63" s="689"/>
    </row>
    <row r="64" spans="1:11" ht="12" customHeight="1" x14ac:dyDescent="0.2">
      <c r="K64" s="689"/>
    </row>
    <row r="65" spans="1:40" ht="12" customHeight="1" x14ac:dyDescent="0.2">
      <c r="K65" s="689"/>
    </row>
    <row r="66" spans="1:40" ht="12" customHeight="1" x14ac:dyDescent="0.2">
      <c r="K66" s="689"/>
    </row>
    <row r="67" spans="1:40" ht="12" customHeight="1" x14ac:dyDescent="0.2">
      <c r="K67" s="689"/>
    </row>
    <row r="68" spans="1:40" ht="12" customHeight="1" x14ac:dyDescent="0.2">
      <c r="K68" s="689"/>
    </row>
    <row r="69" spans="1:40" ht="12" customHeight="1" x14ac:dyDescent="0.2">
      <c r="K69" s="689"/>
    </row>
    <row r="70" spans="1:40" ht="12" customHeight="1" x14ac:dyDescent="0.2">
      <c r="K70" s="689"/>
    </row>
    <row r="71" spans="1:40" ht="12" customHeight="1" x14ac:dyDescent="0.2">
      <c r="K71" s="689"/>
      <c r="AJ71" s="687"/>
      <c r="AK71" s="687"/>
      <c r="AL71" s="687"/>
      <c r="AM71" s="687"/>
      <c r="AN71" s="687"/>
    </row>
    <row r="72" spans="1:40" ht="12" customHeight="1" x14ac:dyDescent="0.2">
      <c r="K72" s="689"/>
    </row>
    <row r="73" spans="1:40" ht="12" customHeight="1" x14ac:dyDescent="0.2">
      <c r="K73" s="689"/>
    </row>
    <row r="74" spans="1:40" ht="12" customHeight="1" x14ac:dyDescent="0.2">
      <c r="A74" s="684"/>
      <c r="K74" s="689"/>
    </row>
    <row r="75" spans="1:40" ht="12" customHeight="1" x14ac:dyDescent="0.2">
      <c r="K75" s="689"/>
    </row>
    <row r="76" spans="1:40" ht="12" customHeight="1" x14ac:dyDescent="0.2">
      <c r="K76" s="689"/>
    </row>
    <row r="77" spans="1:40" ht="12" customHeight="1" x14ac:dyDescent="0.2">
      <c r="K77" s="689"/>
    </row>
    <row r="78" spans="1:40" ht="12" customHeight="1" x14ac:dyDescent="0.2">
      <c r="K78" s="689"/>
    </row>
    <row r="79" spans="1:40" ht="12" customHeight="1" x14ac:dyDescent="0.2">
      <c r="K79" s="689"/>
      <c r="AJ79" s="687"/>
      <c r="AK79" s="687"/>
      <c r="AL79" s="687"/>
      <c r="AM79" s="687"/>
      <c r="AN79" s="687"/>
    </row>
    <row r="80" spans="1:40" ht="12" customHeight="1" x14ac:dyDescent="0.2">
      <c r="K80" s="689"/>
    </row>
    <row r="81" spans="1:40" ht="12" customHeight="1" x14ac:dyDescent="0.2">
      <c r="K81" s="689"/>
    </row>
    <row r="82" spans="1:40" ht="12" customHeight="1" x14ac:dyDescent="0.2">
      <c r="K82" s="689"/>
    </row>
    <row r="83" spans="1:40" ht="12" customHeight="1" x14ac:dyDescent="0.2">
      <c r="K83" s="689"/>
    </row>
    <row r="84" spans="1:40" ht="12" customHeight="1" x14ac:dyDescent="0.2">
      <c r="A84" s="684"/>
      <c r="K84" s="689"/>
    </row>
    <row r="85" spans="1:40" ht="12" customHeight="1" x14ac:dyDescent="0.2">
      <c r="K85" s="689"/>
    </row>
    <row r="86" spans="1:40" ht="12" customHeight="1" x14ac:dyDescent="0.2">
      <c r="K86" s="689"/>
    </row>
    <row r="87" spans="1:40" ht="12" customHeight="1" x14ac:dyDescent="0.2">
      <c r="K87" s="689"/>
    </row>
    <row r="88" spans="1:40" ht="12" customHeight="1" x14ac:dyDescent="0.2">
      <c r="K88" s="689"/>
    </row>
    <row r="89" spans="1:40" ht="12" customHeight="1" x14ac:dyDescent="0.2">
      <c r="K89" s="689"/>
    </row>
    <row r="90" spans="1:40" ht="12" customHeight="1" x14ac:dyDescent="0.2">
      <c r="K90" s="689"/>
    </row>
    <row r="91" spans="1:40" ht="12" customHeight="1" x14ac:dyDescent="0.2">
      <c r="K91" s="689"/>
    </row>
    <row r="92" spans="1:40" ht="12" customHeight="1" x14ac:dyDescent="0.2">
      <c r="K92" s="689"/>
    </row>
    <row r="93" spans="1:40" ht="12" customHeight="1" x14ac:dyDescent="0.2">
      <c r="K93" s="689"/>
    </row>
    <row r="94" spans="1:40" ht="12" customHeight="1" x14ac:dyDescent="0.2">
      <c r="A94" s="684"/>
      <c r="K94" s="689"/>
      <c r="AJ94" s="687"/>
      <c r="AK94" s="687"/>
      <c r="AL94" s="687"/>
      <c r="AM94" s="687"/>
      <c r="AN94" s="687"/>
    </row>
    <row r="95" spans="1:40" ht="12" customHeight="1" x14ac:dyDescent="0.2">
      <c r="A95" s="684"/>
      <c r="K95" s="689"/>
      <c r="AJ95" s="687"/>
      <c r="AK95" s="687"/>
      <c r="AL95" s="687"/>
      <c r="AM95" s="687"/>
      <c r="AN95" s="687"/>
    </row>
    <row r="96" spans="1:40" ht="12" customHeight="1" x14ac:dyDescent="0.2">
      <c r="A96" s="684"/>
      <c r="K96" s="689"/>
    </row>
    <row r="97" spans="1:40" ht="12" customHeight="1" x14ac:dyDescent="0.2">
      <c r="A97" s="684"/>
      <c r="K97" s="689"/>
    </row>
    <row r="98" spans="1:40" ht="12" customHeight="1" x14ac:dyDescent="0.2">
      <c r="K98" s="689"/>
    </row>
    <row r="99" spans="1:40" ht="12" customHeight="1" x14ac:dyDescent="0.2">
      <c r="K99" s="689"/>
    </row>
    <row r="100" spans="1:40" ht="12" customHeight="1" x14ac:dyDescent="0.2">
      <c r="K100" s="689"/>
    </row>
    <row r="101" spans="1:40" ht="12" customHeight="1" x14ac:dyDescent="0.2">
      <c r="K101" s="689"/>
    </row>
    <row r="102" spans="1:40" ht="12" customHeight="1" x14ac:dyDescent="0.2">
      <c r="A102" s="684"/>
      <c r="K102" s="689"/>
    </row>
    <row r="103" spans="1:40" ht="12" customHeight="1" x14ac:dyDescent="0.2">
      <c r="A103" s="684"/>
      <c r="K103" s="689"/>
    </row>
    <row r="104" spans="1:40" ht="12" customHeight="1" x14ac:dyDescent="0.2">
      <c r="K104" s="689"/>
    </row>
    <row r="105" spans="1:40" ht="12" customHeight="1" x14ac:dyDescent="0.2">
      <c r="K105" s="689"/>
    </row>
    <row r="106" spans="1:40" ht="12" customHeight="1" x14ac:dyDescent="0.2">
      <c r="K106" s="689"/>
    </row>
    <row r="107" spans="1:40" ht="12" customHeight="1" x14ac:dyDescent="0.2">
      <c r="K107" s="689"/>
    </row>
    <row r="108" spans="1:40" ht="12" customHeight="1" x14ac:dyDescent="0.2">
      <c r="K108" s="689"/>
      <c r="AJ108" s="687"/>
      <c r="AK108" s="687"/>
      <c r="AL108" s="687"/>
      <c r="AM108" s="687"/>
      <c r="AN108" s="687"/>
    </row>
    <row r="109" spans="1:40" ht="12" customHeight="1" x14ac:dyDescent="0.2">
      <c r="K109" s="689"/>
    </row>
    <row r="110" spans="1:40" ht="12" customHeight="1" x14ac:dyDescent="0.2">
      <c r="K110" s="689"/>
    </row>
    <row r="111" spans="1:40" ht="12" customHeight="1" x14ac:dyDescent="0.2">
      <c r="K111" s="689"/>
    </row>
    <row r="112" spans="1:40" ht="12" customHeight="1" x14ac:dyDescent="0.2">
      <c r="K112" s="689"/>
    </row>
    <row r="113" spans="1:40" ht="12" customHeight="1" x14ac:dyDescent="0.2">
      <c r="K113" s="689"/>
    </row>
    <row r="114" spans="1:40" ht="12" customHeight="1" x14ac:dyDescent="0.2">
      <c r="K114" s="689"/>
    </row>
    <row r="115" spans="1:40" ht="12" customHeight="1" x14ac:dyDescent="0.2">
      <c r="K115" s="689"/>
    </row>
    <row r="116" spans="1:40" ht="12" customHeight="1" x14ac:dyDescent="0.2">
      <c r="A116" s="684"/>
      <c r="K116" s="689"/>
    </row>
    <row r="117" spans="1:40" ht="12" customHeight="1" x14ac:dyDescent="0.2">
      <c r="K117" s="689"/>
    </row>
    <row r="118" spans="1:40" ht="12" customHeight="1" x14ac:dyDescent="0.2">
      <c r="K118" s="689"/>
    </row>
    <row r="119" spans="1:40" ht="12" customHeight="1" x14ac:dyDescent="0.2">
      <c r="K119" s="689"/>
    </row>
    <row r="120" spans="1:40" ht="12" customHeight="1" x14ac:dyDescent="0.2">
      <c r="K120" s="689"/>
      <c r="AJ120" s="687"/>
      <c r="AK120" s="687"/>
      <c r="AL120" s="687"/>
      <c r="AM120" s="687"/>
      <c r="AN120" s="687"/>
    </row>
    <row r="121" spans="1:40" ht="12" customHeight="1" x14ac:dyDescent="0.2">
      <c r="K121" s="689"/>
    </row>
    <row r="122" spans="1:40" ht="12" customHeight="1" x14ac:dyDescent="0.2">
      <c r="K122" s="689"/>
    </row>
    <row r="123" spans="1:40" ht="12" customHeight="1" x14ac:dyDescent="0.2">
      <c r="K123" s="689"/>
    </row>
    <row r="124" spans="1:40" ht="12" customHeight="1" x14ac:dyDescent="0.2">
      <c r="K124" s="689"/>
    </row>
    <row r="125" spans="1:40" ht="12" customHeight="1" x14ac:dyDescent="0.2">
      <c r="K125" s="689"/>
    </row>
    <row r="126" spans="1:40" ht="12" customHeight="1" x14ac:dyDescent="0.2">
      <c r="K126" s="689"/>
    </row>
    <row r="127" spans="1:40" ht="12" customHeight="1" x14ac:dyDescent="0.2">
      <c r="K127" s="689"/>
    </row>
    <row r="128" spans="1:40" ht="12" customHeight="1" x14ac:dyDescent="0.2">
      <c r="K128" s="689"/>
    </row>
    <row r="129" spans="1:40" ht="12" customHeight="1" x14ac:dyDescent="0.2">
      <c r="K129" s="689"/>
    </row>
    <row r="130" spans="1:40" ht="12" customHeight="1" x14ac:dyDescent="0.2">
      <c r="K130" s="689"/>
    </row>
    <row r="131" spans="1:40" ht="12" customHeight="1" x14ac:dyDescent="0.2">
      <c r="K131" s="689"/>
      <c r="AJ131" s="687"/>
      <c r="AK131" s="687"/>
      <c r="AL131" s="687"/>
      <c r="AM131" s="687"/>
      <c r="AN131" s="687"/>
    </row>
    <row r="132" spans="1:40" ht="12" customHeight="1" x14ac:dyDescent="0.2">
      <c r="A132" s="684"/>
      <c r="K132" s="689"/>
    </row>
    <row r="133" spans="1:40" ht="12" customHeight="1" x14ac:dyDescent="0.2">
      <c r="K133" s="689"/>
    </row>
    <row r="134" spans="1:40" ht="12" customHeight="1" x14ac:dyDescent="0.2">
      <c r="K134" s="689"/>
    </row>
    <row r="135" spans="1:40" ht="12" customHeight="1" x14ac:dyDescent="0.2">
      <c r="K135" s="689"/>
    </row>
    <row r="136" spans="1:40" ht="12" customHeight="1" x14ac:dyDescent="0.2">
      <c r="K136" s="689"/>
    </row>
    <row r="137" spans="1:40" ht="12" customHeight="1" x14ac:dyDescent="0.2">
      <c r="K137" s="689"/>
    </row>
    <row r="138" spans="1:40" ht="12" customHeight="1" x14ac:dyDescent="0.2">
      <c r="K138" s="689"/>
    </row>
    <row r="139" spans="1:40" ht="12" customHeight="1" x14ac:dyDescent="0.2">
      <c r="K139" s="689"/>
    </row>
    <row r="140" spans="1:40" ht="12" customHeight="1" x14ac:dyDescent="0.2">
      <c r="K140" s="689"/>
    </row>
    <row r="141" spans="1:40" ht="12" customHeight="1" x14ac:dyDescent="0.2">
      <c r="K141" s="689"/>
    </row>
    <row r="142" spans="1:40" ht="12" customHeight="1" x14ac:dyDescent="0.2">
      <c r="K142" s="689"/>
    </row>
    <row r="143" spans="1:40" ht="12" customHeight="1" x14ac:dyDescent="0.2">
      <c r="K143" s="689"/>
    </row>
    <row r="144" spans="1:40" ht="12" customHeight="1" x14ac:dyDescent="0.2">
      <c r="A144" s="684"/>
      <c r="K144" s="689"/>
      <c r="AJ144" s="687"/>
      <c r="AK144" s="687"/>
      <c r="AL144" s="687"/>
      <c r="AM144" s="687"/>
      <c r="AN144" s="687"/>
    </row>
    <row r="145" spans="1:11" ht="12" customHeight="1" x14ac:dyDescent="0.2">
      <c r="K145" s="689"/>
    </row>
    <row r="146" spans="1:11" ht="12" customHeight="1" x14ac:dyDescent="0.2">
      <c r="K146" s="689"/>
    </row>
    <row r="147" spans="1:11" ht="12" customHeight="1" x14ac:dyDescent="0.2">
      <c r="K147" s="689"/>
    </row>
    <row r="148" spans="1:11" ht="12" customHeight="1" x14ac:dyDescent="0.2">
      <c r="A148" s="684"/>
      <c r="K148" s="689"/>
    </row>
    <row r="149" spans="1:11" ht="12" customHeight="1" x14ac:dyDescent="0.2">
      <c r="A149" s="684"/>
      <c r="K149" s="689"/>
    </row>
    <row r="150" spans="1:11" ht="12" customHeight="1" x14ac:dyDescent="0.2">
      <c r="K150" s="689"/>
    </row>
    <row r="151" spans="1:11" ht="12" customHeight="1" x14ac:dyDescent="0.2">
      <c r="K151" s="689"/>
    </row>
    <row r="152" spans="1:11" ht="12" customHeight="1" x14ac:dyDescent="0.2">
      <c r="K152" s="689"/>
    </row>
    <row r="153" spans="1:11" ht="12" customHeight="1" x14ac:dyDescent="0.2">
      <c r="K153" s="689"/>
    </row>
    <row r="154" spans="1:11" ht="12" customHeight="1" x14ac:dyDescent="0.2">
      <c r="K154" s="689"/>
    </row>
    <row r="155" spans="1:11" ht="12" customHeight="1" x14ac:dyDescent="0.2">
      <c r="K155" s="689"/>
    </row>
    <row r="156" spans="1:11" ht="12" customHeight="1" x14ac:dyDescent="0.2">
      <c r="K156" s="689"/>
    </row>
    <row r="157" spans="1:11" ht="12" customHeight="1" x14ac:dyDescent="0.2">
      <c r="K157" s="689"/>
    </row>
    <row r="158" spans="1:11" ht="12" customHeight="1" x14ac:dyDescent="0.2">
      <c r="K158" s="689"/>
    </row>
    <row r="159" spans="1:11" ht="12" customHeight="1" x14ac:dyDescent="0.2">
      <c r="K159" s="689"/>
    </row>
    <row r="160" spans="1:11" ht="12" customHeight="1" x14ac:dyDescent="0.2">
      <c r="A160" s="684"/>
      <c r="K160" s="689"/>
    </row>
    <row r="161" spans="1:40" ht="12" customHeight="1" x14ac:dyDescent="0.2">
      <c r="A161" s="684"/>
      <c r="K161" s="689"/>
    </row>
    <row r="162" spans="1:40" ht="12" customHeight="1" x14ac:dyDescent="0.2">
      <c r="K162" s="689"/>
    </row>
    <row r="163" spans="1:40" ht="12" customHeight="1" x14ac:dyDescent="0.2">
      <c r="K163" s="689"/>
    </row>
    <row r="164" spans="1:40" ht="12" customHeight="1" x14ac:dyDescent="0.2">
      <c r="K164" s="689"/>
    </row>
    <row r="165" spans="1:40" ht="12" customHeight="1" x14ac:dyDescent="0.2">
      <c r="K165" s="689"/>
    </row>
    <row r="166" spans="1:40" ht="12" customHeight="1" x14ac:dyDescent="0.2">
      <c r="K166" s="689"/>
      <c r="AJ166" s="687"/>
      <c r="AK166" s="687"/>
      <c r="AL166" s="687"/>
      <c r="AM166" s="687"/>
      <c r="AN166" s="687"/>
    </row>
    <row r="167" spans="1:40" ht="12" customHeight="1" x14ac:dyDescent="0.2">
      <c r="A167" s="684"/>
      <c r="K167" s="689"/>
    </row>
    <row r="168" spans="1:40" ht="12" customHeight="1" x14ac:dyDescent="0.2">
      <c r="A168" s="684"/>
      <c r="K168" s="689"/>
    </row>
    <row r="169" spans="1:40" ht="12" customHeight="1" x14ac:dyDescent="0.2">
      <c r="K169" s="689"/>
    </row>
    <row r="170" spans="1:40" ht="12" customHeight="1" x14ac:dyDescent="0.2">
      <c r="K170" s="689"/>
      <c r="AJ170" s="687"/>
      <c r="AK170" s="687"/>
      <c r="AL170" s="687"/>
      <c r="AM170" s="687"/>
      <c r="AN170" s="687"/>
    </row>
    <row r="171" spans="1:40" ht="12" customHeight="1" x14ac:dyDescent="0.2">
      <c r="A171" s="684"/>
      <c r="K171" s="689"/>
    </row>
    <row r="172" spans="1:40" ht="12" customHeight="1" x14ac:dyDescent="0.2">
      <c r="K172" s="689"/>
    </row>
    <row r="173" spans="1:40" ht="12" customHeight="1" x14ac:dyDescent="0.2">
      <c r="K173" s="689"/>
    </row>
    <row r="174" spans="1:40" ht="12" customHeight="1" x14ac:dyDescent="0.2">
      <c r="K174" s="689"/>
    </row>
    <row r="175" spans="1:40" ht="12" customHeight="1" x14ac:dyDescent="0.2">
      <c r="K175" s="689"/>
    </row>
    <row r="176" spans="1:40" ht="12" customHeight="1" x14ac:dyDescent="0.2">
      <c r="A176" s="684"/>
      <c r="K176" s="689"/>
    </row>
    <row r="177" spans="1:40" ht="12" customHeight="1" x14ac:dyDescent="0.2">
      <c r="K177" s="689"/>
    </row>
    <row r="178" spans="1:40" ht="12" customHeight="1" x14ac:dyDescent="0.2">
      <c r="K178" s="689"/>
    </row>
    <row r="179" spans="1:40" ht="12" customHeight="1" x14ac:dyDescent="0.2">
      <c r="K179" s="689"/>
    </row>
    <row r="180" spans="1:40" ht="12" customHeight="1" x14ac:dyDescent="0.2">
      <c r="A180" s="684"/>
      <c r="K180" s="689"/>
    </row>
    <row r="181" spans="1:40" ht="12" customHeight="1" x14ac:dyDescent="0.2">
      <c r="K181" s="689"/>
    </row>
    <row r="182" spans="1:40" ht="12" customHeight="1" x14ac:dyDescent="0.2">
      <c r="K182" s="689"/>
    </row>
    <row r="183" spans="1:40" ht="12" customHeight="1" x14ac:dyDescent="0.2">
      <c r="K183" s="689"/>
    </row>
    <row r="184" spans="1:40" ht="12" customHeight="1" x14ac:dyDescent="0.2">
      <c r="K184" s="689"/>
    </row>
    <row r="185" spans="1:40" ht="12" customHeight="1" x14ac:dyDescent="0.2">
      <c r="K185" s="689"/>
    </row>
    <row r="186" spans="1:40" ht="12" customHeight="1" x14ac:dyDescent="0.2">
      <c r="K186" s="689"/>
    </row>
    <row r="187" spans="1:40" ht="12" customHeight="1" x14ac:dyDescent="0.2">
      <c r="K187" s="689"/>
    </row>
    <row r="188" spans="1:40" ht="12" customHeight="1" x14ac:dyDescent="0.2">
      <c r="A188" s="684"/>
      <c r="K188" s="689"/>
    </row>
    <row r="189" spans="1:40" ht="12" customHeight="1" x14ac:dyDescent="0.2">
      <c r="A189" s="684"/>
      <c r="K189" s="689"/>
    </row>
    <row r="190" spans="1:40" ht="12" customHeight="1" x14ac:dyDescent="0.2">
      <c r="K190" s="689"/>
      <c r="AJ190" s="687"/>
      <c r="AK190" s="687"/>
      <c r="AL190" s="687"/>
      <c r="AM190" s="687"/>
      <c r="AN190" s="687"/>
    </row>
    <row r="191" spans="1:40" ht="12" customHeight="1" x14ac:dyDescent="0.2">
      <c r="K191" s="689"/>
    </row>
    <row r="192" spans="1:40" ht="12" customHeight="1" x14ac:dyDescent="0.2">
      <c r="A192" s="684"/>
      <c r="K192" s="689"/>
    </row>
    <row r="193" spans="1:40" ht="12" customHeight="1" x14ac:dyDescent="0.2">
      <c r="K193" s="689"/>
      <c r="AJ193" s="687"/>
      <c r="AK193" s="687"/>
      <c r="AL193" s="687"/>
      <c r="AM193" s="687"/>
      <c r="AN193" s="687"/>
    </row>
    <row r="194" spans="1:40" ht="12" customHeight="1" x14ac:dyDescent="0.2">
      <c r="K194" s="689"/>
    </row>
    <row r="195" spans="1:40" ht="12" customHeight="1" x14ac:dyDescent="0.2">
      <c r="K195" s="689"/>
    </row>
    <row r="196" spans="1:40" ht="12" customHeight="1" x14ac:dyDescent="0.2">
      <c r="K196" s="689"/>
    </row>
    <row r="197" spans="1:40" ht="12" customHeight="1" x14ac:dyDescent="0.2">
      <c r="A197" s="684"/>
      <c r="K197" s="689"/>
    </row>
    <row r="198" spans="1:40" ht="12" customHeight="1" x14ac:dyDescent="0.2">
      <c r="A198" s="684"/>
      <c r="K198" s="689"/>
    </row>
    <row r="199" spans="1:40" ht="12" customHeight="1" x14ac:dyDescent="0.2">
      <c r="K199" s="689"/>
    </row>
    <row r="200" spans="1:40" ht="12" customHeight="1" x14ac:dyDescent="0.2">
      <c r="K200" s="689"/>
    </row>
    <row r="201" spans="1:40" ht="12" customHeight="1" x14ac:dyDescent="0.2">
      <c r="K201" s="689"/>
    </row>
    <row r="202" spans="1:40" ht="12" customHeight="1" x14ac:dyDescent="0.2">
      <c r="K202" s="689"/>
    </row>
    <row r="203" spans="1:40" ht="12" customHeight="1" x14ac:dyDescent="0.2">
      <c r="K203" s="689"/>
    </row>
    <row r="204" spans="1:40" ht="12" customHeight="1" x14ac:dyDescent="0.2">
      <c r="K204" s="689"/>
    </row>
    <row r="205" spans="1:40" ht="12" customHeight="1" x14ac:dyDescent="0.2">
      <c r="A205" s="684"/>
      <c r="K205" s="689"/>
    </row>
    <row r="206" spans="1:40" ht="12" customHeight="1" x14ac:dyDescent="0.2">
      <c r="A206" s="684"/>
      <c r="K206" s="689"/>
    </row>
    <row r="207" spans="1:40" ht="12" customHeight="1" x14ac:dyDescent="0.2">
      <c r="K207" s="689"/>
      <c r="AJ207" s="687"/>
      <c r="AK207" s="687"/>
      <c r="AL207" s="687"/>
      <c r="AM207" s="687"/>
      <c r="AN207" s="687"/>
    </row>
    <row r="208" spans="1:40" ht="12" customHeight="1" x14ac:dyDescent="0.2">
      <c r="K208" s="689"/>
      <c r="AJ208" s="687"/>
      <c r="AK208" s="687"/>
      <c r="AL208" s="687"/>
      <c r="AM208" s="687"/>
      <c r="AN208" s="687"/>
    </row>
    <row r="209" spans="1:40" ht="12" customHeight="1" x14ac:dyDescent="0.2">
      <c r="A209" s="684"/>
      <c r="K209" s="689"/>
    </row>
    <row r="210" spans="1:40" ht="12" customHeight="1" x14ac:dyDescent="0.2">
      <c r="K210" s="689"/>
      <c r="AJ210" s="687"/>
      <c r="AK210" s="687"/>
      <c r="AL210" s="687"/>
      <c r="AM210" s="687"/>
      <c r="AN210" s="687"/>
    </row>
    <row r="211" spans="1:40" ht="12" customHeight="1" x14ac:dyDescent="0.2">
      <c r="A211" s="684"/>
      <c r="K211" s="689"/>
    </row>
    <row r="212" spans="1:40" ht="12" customHeight="1" x14ac:dyDescent="0.2">
      <c r="K212" s="689"/>
      <c r="AJ212" s="687"/>
      <c r="AK212" s="687"/>
      <c r="AL212" s="687"/>
      <c r="AM212" s="687"/>
      <c r="AN212" s="687"/>
    </row>
    <row r="213" spans="1:40" ht="12" customHeight="1" x14ac:dyDescent="0.2">
      <c r="A213" s="684"/>
      <c r="K213" s="689"/>
    </row>
    <row r="214" spans="1:40" ht="12" customHeight="1" x14ac:dyDescent="0.2">
      <c r="K214" s="689"/>
      <c r="AJ214" s="687"/>
      <c r="AK214" s="687"/>
      <c r="AL214" s="687"/>
      <c r="AM214" s="687"/>
      <c r="AN214" s="687"/>
    </row>
    <row r="215" spans="1:40" ht="12" customHeight="1" x14ac:dyDescent="0.2">
      <c r="K215" s="689"/>
      <c r="AJ215" s="687"/>
      <c r="AK215" s="687"/>
      <c r="AL215" s="687"/>
      <c r="AM215" s="687"/>
      <c r="AN215" s="687"/>
    </row>
    <row r="216" spans="1:40" ht="12" customHeight="1" x14ac:dyDescent="0.2">
      <c r="K216" s="689"/>
      <c r="AJ216" s="687"/>
      <c r="AK216" s="687"/>
      <c r="AL216" s="687"/>
      <c r="AM216" s="687"/>
      <c r="AN216" s="687"/>
    </row>
    <row r="217" spans="1:40" ht="12" customHeight="1" x14ac:dyDescent="0.2">
      <c r="K217" s="689"/>
      <c r="AJ217" s="687"/>
      <c r="AK217" s="687"/>
      <c r="AL217" s="687"/>
      <c r="AM217" s="687"/>
      <c r="AN217" s="687"/>
    </row>
    <row r="218" spans="1:40" ht="12" customHeight="1" x14ac:dyDescent="0.2">
      <c r="A218" s="684"/>
      <c r="K218" s="689"/>
    </row>
    <row r="219" spans="1:40" ht="12" customHeight="1" x14ac:dyDescent="0.2">
      <c r="K219" s="689"/>
      <c r="AJ219" s="687"/>
      <c r="AK219" s="687"/>
      <c r="AL219" s="687"/>
      <c r="AM219" s="687"/>
      <c r="AN219" s="687"/>
    </row>
    <row r="220" spans="1:40" ht="12" customHeight="1" x14ac:dyDescent="0.2">
      <c r="K220" s="689"/>
      <c r="AJ220" s="687"/>
      <c r="AK220" s="687"/>
      <c r="AL220" s="687"/>
      <c r="AM220" s="687"/>
      <c r="AN220" s="687"/>
    </row>
    <row r="221" spans="1:40" ht="12" customHeight="1" x14ac:dyDescent="0.2">
      <c r="K221" s="689"/>
      <c r="AJ221" s="687"/>
      <c r="AK221" s="687"/>
      <c r="AL221" s="687"/>
      <c r="AM221" s="687"/>
      <c r="AN221" s="687"/>
    </row>
    <row r="222" spans="1:40" ht="12" customHeight="1" x14ac:dyDescent="0.2">
      <c r="K222" s="689"/>
      <c r="AJ222" s="687"/>
      <c r="AK222" s="687"/>
      <c r="AL222" s="687"/>
      <c r="AM222" s="687"/>
      <c r="AN222" s="687"/>
    </row>
    <row r="223" spans="1:40" ht="12" customHeight="1" x14ac:dyDescent="0.2">
      <c r="K223" s="689"/>
      <c r="AJ223" s="687"/>
      <c r="AK223" s="687"/>
      <c r="AL223" s="687"/>
      <c r="AM223" s="687"/>
      <c r="AN223" s="687"/>
    </row>
    <row r="224" spans="1:40" ht="12" customHeight="1" x14ac:dyDescent="0.2">
      <c r="K224" s="689"/>
      <c r="AJ224" s="687"/>
      <c r="AK224" s="687"/>
      <c r="AL224" s="687"/>
      <c r="AM224" s="687"/>
      <c r="AN224" s="687"/>
    </row>
    <row r="225" spans="1:40" ht="12" customHeight="1" x14ac:dyDescent="0.2">
      <c r="K225" s="689"/>
      <c r="AJ225" s="687"/>
      <c r="AK225" s="687"/>
      <c r="AL225" s="687"/>
      <c r="AM225" s="687"/>
      <c r="AN225" s="687"/>
    </row>
    <row r="226" spans="1:40" ht="12" customHeight="1" x14ac:dyDescent="0.2">
      <c r="K226" s="689"/>
    </row>
    <row r="227" spans="1:40" ht="12" customHeight="1" x14ac:dyDescent="0.2">
      <c r="K227" s="689"/>
    </row>
    <row r="228" spans="1:40" ht="12" customHeight="1" x14ac:dyDescent="0.2">
      <c r="K228" s="689"/>
    </row>
    <row r="229" spans="1:40" ht="12" customHeight="1" x14ac:dyDescent="0.2">
      <c r="K229" s="689"/>
    </row>
    <row r="230" spans="1:40" ht="12" customHeight="1" x14ac:dyDescent="0.2">
      <c r="K230" s="689"/>
    </row>
    <row r="231" spans="1:40" ht="12" customHeight="1" x14ac:dyDescent="0.2">
      <c r="K231" s="689"/>
    </row>
    <row r="232" spans="1:40" ht="12" customHeight="1" x14ac:dyDescent="0.2">
      <c r="K232" s="689"/>
    </row>
    <row r="233" spans="1:40" ht="12" customHeight="1" x14ac:dyDescent="0.2">
      <c r="K233" s="689"/>
    </row>
    <row r="234" spans="1:40" ht="12" customHeight="1" x14ac:dyDescent="0.2">
      <c r="K234" s="689"/>
    </row>
    <row r="235" spans="1:40" ht="12" customHeight="1" x14ac:dyDescent="0.2">
      <c r="A235" s="684"/>
      <c r="K235" s="689"/>
    </row>
    <row r="236" spans="1:40" ht="12" customHeight="1" x14ac:dyDescent="0.2">
      <c r="A236" s="684"/>
      <c r="K236" s="689"/>
    </row>
    <row r="237" spans="1:40" ht="12" customHeight="1" x14ac:dyDescent="0.2">
      <c r="K237" s="689"/>
      <c r="AJ237" s="687"/>
      <c r="AK237" s="687"/>
      <c r="AL237" s="687"/>
      <c r="AM237" s="687"/>
      <c r="AN237" s="687"/>
    </row>
    <row r="238" spans="1:40" ht="12" customHeight="1" x14ac:dyDescent="0.2">
      <c r="K238" s="689"/>
    </row>
    <row r="239" spans="1:40" ht="12" customHeight="1" x14ac:dyDescent="0.2">
      <c r="K239" s="689"/>
    </row>
    <row r="240" spans="1:40" ht="12" customHeight="1" x14ac:dyDescent="0.2">
      <c r="K240" s="689"/>
    </row>
    <row r="241" spans="1:40" ht="12" customHeight="1" x14ac:dyDescent="0.2">
      <c r="K241" s="689"/>
    </row>
    <row r="242" spans="1:40" ht="12" customHeight="1" x14ac:dyDescent="0.2">
      <c r="A242" s="684"/>
      <c r="K242" s="689"/>
    </row>
    <row r="243" spans="1:40" ht="12" customHeight="1" x14ac:dyDescent="0.2">
      <c r="A243" s="684"/>
      <c r="K243" s="689"/>
    </row>
    <row r="244" spans="1:40" ht="12" customHeight="1" x14ac:dyDescent="0.2">
      <c r="K244" s="689"/>
      <c r="AJ244" s="687"/>
      <c r="AK244" s="687"/>
      <c r="AL244" s="687"/>
      <c r="AM244" s="687"/>
      <c r="AN244" s="687"/>
    </row>
    <row r="245" spans="1:40" ht="12" customHeight="1" x14ac:dyDescent="0.2">
      <c r="K245" s="689"/>
    </row>
    <row r="246" spans="1:40" ht="12" customHeight="1" x14ac:dyDescent="0.2">
      <c r="A246" s="684"/>
      <c r="K246" s="689"/>
    </row>
    <row r="247" spans="1:40" ht="12" customHeight="1" x14ac:dyDescent="0.2">
      <c r="K247" s="689"/>
      <c r="AJ247" s="687"/>
      <c r="AK247" s="687"/>
      <c r="AL247" s="687"/>
      <c r="AM247" s="687"/>
      <c r="AN247" s="687"/>
    </row>
    <row r="248" spans="1:40" ht="12" customHeight="1" x14ac:dyDescent="0.2">
      <c r="K248" s="689"/>
    </row>
    <row r="249" spans="1:40" ht="12" customHeight="1" x14ac:dyDescent="0.2">
      <c r="K249" s="689"/>
    </row>
    <row r="250" spans="1:40" ht="12" customHeight="1" x14ac:dyDescent="0.2">
      <c r="K250" s="689"/>
    </row>
    <row r="251" spans="1:40" ht="12" customHeight="1" x14ac:dyDescent="0.2">
      <c r="A251" s="684"/>
      <c r="K251" s="689"/>
    </row>
    <row r="252" spans="1:40" ht="12" customHeight="1" x14ac:dyDescent="0.2">
      <c r="K252" s="689"/>
    </row>
    <row r="253" spans="1:40" ht="12" customHeight="1" x14ac:dyDescent="0.2">
      <c r="K253" s="689"/>
    </row>
    <row r="254" spans="1:40" ht="12" customHeight="1" x14ac:dyDescent="0.2">
      <c r="K254" s="689"/>
    </row>
    <row r="255" spans="1:40" ht="12" customHeight="1" x14ac:dyDescent="0.2">
      <c r="A255" s="684"/>
      <c r="K255" s="689"/>
    </row>
    <row r="256" spans="1:40" ht="12" customHeight="1" x14ac:dyDescent="0.2">
      <c r="K256" s="689"/>
      <c r="AJ256" s="687"/>
      <c r="AK256" s="687"/>
      <c r="AL256" s="687"/>
      <c r="AM256" s="687"/>
      <c r="AN256" s="687"/>
    </row>
    <row r="257" spans="1:40" ht="12" customHeight="1" x14ac:dyDescent="0.2">
      <c r="A257" s="684"/>
      <c r="K257" s="689"/>
    </row>
    <row r="258" spans="1:40" ht="12" customHeight="1" x14ac:dyDescent="0.2">
      <c r="K258" s="689"/>
      <c r="AJ258" s="687"/>
      <c r="AK258" s="687"/>
      <c r="AL258" s="687"/>
      <c r="AM258" s="687"/>
      <c r="AN258" s="687"/>
    </row>
    <row r="259" spans="1:40" ht="12" customHeight="1" x14ac:dyDescent="0.2">
      <c r="A259" s="684"/>
      <c r="K259" s="689"/>
    </row>
    <row r="260" spans="1:40" ht="12" customHeight="1" x14ac:dyDescent="0.2">
      <c r="K260" s="689"/>
      <c r="AJ260" s="687"/>
      <c r="AK260" s="687"/>
      <c r="AL260" s="687"/>
      <c r="AM260" s="687"/>
      <c r="AN260" s="687"/>
    </row>
    <row r="261" spans="1:40" ht="12" customHeight="1" x14ac:dyDescent="0.2">
      <c r="A261" s="684"/>
      <c r="K261" s="689"/>
    </row>
    <row r="262" spans="1:40" ht="12" customHeight="1" x14ac:dyDescent="0.2">
      <c r="K262" s="689"/>
      <c r="AJ262" s="687"/>
      <c r="AK262" s="687"/>
      <c r="AL262" s="687"/>
      <c r="AM262" s="687"/>
      <c r="AN262" s="687"/>
    </row>
    <row r="263" spans="1:40" ht="12" customHeight="1" x14ac:dyDescent="0.2">
      <c r="K263" s="689"/>
      <c r="AJ263" s="687"/>
      <c r="AK263" s="687"/>
      <c r="AL263" s="687"/>
      <c r="AM263" s="687"/>
      <c r="AN263" s="687"/>
    </row>
    <row r="264" spans="1:40" ht="12" customHeight="1" x14ac:dyDescent="0.2">
      <c r="K264" s="689"/>
      <c r="AJ264" s="687"/>
      <c r="AK264" s="687"/>
      <c r="AL264" s="687"/>
      <c r="AM264" s="687"/>
      <c r="AN264" s="687"/>
    </row>
    <row r="265" spans="1:40" ht="12" customHeight="1" x14ac:dyDescent="0.2">
      <c r="K265" s="689"/>
      <c r="AJ265" s="687"/>
      <c r="AK265" s="687"/>
      <c r="AL265" s="687"/>
      <c r="AM265" s="687"/>
      <c r="AN265" s="687"/>
    </row>
    <row r="266" spans="1:40" ht="12" customHeight="1" x14ac:dyDescent="0.2">
      <c r="A266" s="684"/>
      <c r="K266" s="689"/>
    </row>
    <row r="267" spans="1:40" ht="12" customHeight="1" x14ac:dyDescent="0.2">
      <c r="K267" s="689"/>
      <c r="AJ267" s="687"/>
      <c r="AK267" s="687"/>
      <c r="AL267" s="687"/>
      <c r="AM267" s="687"/>
      <c r="AN267" s="687"/>
    </row>
    <row r="268" spans="1:40" ht="12" customHeight="1" x14ac:dyDescent="0.2">
      <c r="K268" s="689"/>
      <c r="AJ268" s="687"/>
      <c r="AK268" s="687"/>
      <c r="AL268" s="687"/>
      <c r="AM268" s="687"/>
      <c r="AN268" s="687"/>
    </row>
    <row r="269" spans="1:40" ht="12" customHeight="1" x14ac:dyDescent="0.2">
      <c r="K269" s="689"/>
      <c r="AJ269" s="687"/>
      <c r="AK269" s="687"/>
      <c r="AL269" s="687"/>
      <c r="AM269" s="687"/>
      <c r="AN269" s="687"/>
    </row>
    <row r="270" spans="1:40" ht="12" customHeight="1" x14ac:dyDescent="0.2">
      <c r="K270" s="689"/>
      <c r="AJ270" s="687"/>
      <c r="AK270" s="687"/>
      <c r="AL270" s="687"/>
      <c r="AM270" s="687"/>
      <c r="AN270" s="687"/>
    </row>
    <row r="271" spans="1:40" ht="12" customHeight="1" x14ac:dyDescent="0.2">
      <c r="K271" s="689"/>
      <c r="AJ271" s="687"/>
      <c r="AK271" s="687"/>
      <c r="AL271" s="687"/>
      <c r="AM271" s="687"/>
      <c r="AN271" s="687"/>
    </row>
    <row r="272" spans="1:40" ht="12" customHeight="1" x14ac:dyDescent="0.2">
      <c r="K272" s="689"/>
      <c r="AJ272" s="687"/>
      <c r="AK272" s="687"/>
      <c r="AL272" s="687"/>
      <c r="AM272" s="687"/>
      <c r="AN272" s="687"/>
    </row>
    <row r="273" spans="11:40" ht="12" customHeight="1" x14ac:dyDescent="0.2">
      <c r="K273" s="689"/>
      <c r="AJ273" s="687"/>
      <c r="AK273" s="687"/>
      <c r="AL273" s="687"/>
      <c r="AM273" s="687"/>
      <c r="AN273" s="687"/>
    </row>
    <row r="274" spans="11:40" ht="12" customHeight="1" x14ac:dyDescent="0.2">
      <c r="K274" s="689"/>
    </row>
    <row r="275" spans="11:40" ht="12" customHeight="1" x14ac:dyDescent="0.2">
      <c r="K275" s="689"/>
    </row>
    <row r="276" spans="11:40" ht="12" customHeight="1" x14ac:dyDescent="0.2">
      <c r="K276" s="689"/>
    </row>
    <row r="277" spans="11:40" ht="12" customHeight="1" x14ac:dyDescent="0.2">
      <c r="K277" s="689"/>
    </row>
    <row r="278" spans="11:40" ht="12" customHeight="1" x14ac:dyDescent="0.2">
      <c r="K278" s="689"/>
    </row>
    <row r="279" spans="11:40" ht="12" customHeight="1" x14ac:dyDescent="0.2">
      <c r="K279" s="689"/>
    </row>
    <row r="280" spans="11:40" ht="12" customHeight="1" x14ac:dyDescent="0.2">
      <c r="K280" s="689"/>
    </row>
    <row r="281" spans="11:40" ht="12" customHeight="1" x14ac:dyDescent="0.2">
      <c r="K281" s="689"/>
    </row>
    <row r="282" spans="11:40" ht="12" customHeight="1" x14ac:dyDescent="0.2">
      <c r="K282" s="689"/>
    </row>
    <row r="283" spans="11:40" ht="12" customHeight="1" x14ac:dyDescent="0.2">
      <c r="K283" s="689"/>
    </row>
    <row r="284" spans="11:40" ht="12" customHeight="1" x14ac:dyDescent="0.2">
      <c r="K284" s="689"/>
    </row>
    <row r="285" spans="11:40" ht="12" customHeight="1" x14ac:dyDescent="0.2">
      <c r="K285" s="689"/>
    </row>
    <row r="286" spans="11:40" ht="12" customHeight="1" x14ac:dyDescent="0.2">
      <c r="K286" s="689"/>
    </row>
    <row r="287" spans="11:40" ht="12" customHeight="1" x14ac:dyDescent="0.2">
      <c r="K287" s="689"/>
    </row>
    <row r="288" spans="11:40" ht="12" customHeight="1" x14ac:dyDescent="0.2">
      <c r="K288" s="689"/>
    </row>
    <row r="289" spans="11:11" ht="12" customHeight="1" x14ac:dyDescent="0.2">
      <c r="K289" s="689"/>
    </row>
    <row r="290" spans="11:11" ht="12" customHeight="1" x14ac:dyDescent="0.2">
      <c r="K290" s="689"/>
    </row>
    <row r="291" spans="11:11" ht="12" customHeight="1" x14ac:dyDescent="0.2">
      <c r="K291" s="689"/>
    </row>
    <row r="292" spans="11:11" ht="12" customHeight="1" x14ac:dyDescent="0.2">
      <c r="K292" s="689"/>
    </row>
    <row r="293" spans="11:11" ht="12" customHeight="1" x14ac:dyDescent="0.2">
      <c r="K293" s="689"/>
    </row>
    <row r="294" spans="11:11" ht="12" customHeight="1" x14ac:dyDescent="0.2">
      <c r="K294" s="689"/>
    </row>
    <row r="295" spans="11:11" ht="12" customHeight="1" x14ac:dyDescent="0.2">
      <c r="K295" s="689"/>
    </row>
    <row r="296" spans="11:11" ht="12" customHeight="1" x14ac:dyDescent="0.2">
      <c r="K296" s="689"/>
    </row>
    <row r="297" spans="11:11" ht="12" customHeight="1" x14ac:dyDescent="0.2">
      <c r="K297" s="689"/>
    </row>
    <row r="298" spans="11:11" ht="12" customHeight="1" x14ac:dyDescent="0.2">
      <c r="K298" s="689"/>
    </row>
    <row r="299" spans="11:11" ht="12" customHeight="1" x14ac:dyDescent="0.2">
      <c r="K299" s="689"/>
    </row>
    <row r="300" spans="11:11" ht="12" customHeight="1" x14ac:dyDescent="0.2">
      <c r="K300" s="689"/>
    </row>
    <row r="301" spans="11:11" ht="12" customHeight="1" x14ac:dyDescent="0.2">
      <c r="K301" s="689"/>
    </row>
    <row r="302" spans="11:11" ht="12" customHeight="1" x14ac:dyDescent="0.2">
      <c r="K302" s="689"/>
    </row>
    <row r="303" spans="11:11" ht="12" customHeight="1" x14ac:dyDescent="0.2">
      <c r="K303" s="689"/>
    </row>
    <row r="304" spans="11:11" ht="12" customHeight="1" x14ac:dyDescent="0.2">
      <c r="K304" s="689"/>
    </row>
    <row r="305" spans="11:11" ht="12" customHeight="1" x14ac:dyDescent="0.2">
      <c r="K305" s="689"/>
    </row>
    <row r="306" spans="11:11" ht="12" customHeight="1" x14ac:dyDescent="0.2">
      <c r="K306" s="689"/>
    </row>
    <row r="307" spans="11:11" ht="12" customHeight="1" x14ac:dyDescent="0.2">
      <c r="K307" s="689"/>
    </row>
    <row r="308" spans="11:11" ht="12" customHeight="1" x14ac:dyDescent="0.2">
      <c r="K308" s="689"/>
    </row>
    <row r="309" spans="11:11" ht="12" customHeight="1" x14ac:dyDescent="0.2">
      <c r="K309" s="689"/>
    </row>
    <row r="310" spans="11:11" ht="12" customHeight="1" x14ac:dyDescent="0.2">
      <c r="K310" s="689"/>
    </row>
    <row r="311" spans="11:11" ht="12" customHeight="1" x14ac:dyDescent="0.2">
      <c r="K311" s="689"/>
    </row>
    <row r="312" spans="11:11" ht="12" customHeight="1" x14ac:dyDescent="0.2">
      <c r="K312" s="689"/>
    </row>
    <row r="313" spans="11:11" ht="12" customHeight="1" x14ac:dyDescent="0.2">
      <c r="K313" s="689"/>
    </row>
    <row r="314" spans="11:11" ht="12" customHeight="1" x14ac:dyDescent="0.2">
      <c r="K314" s="689"/>
    </row>
    <row r="315" spans="11:11" ht="12" customHeight="1" x14ac:dyDescent="0.2">
      <c r="K315" s="689"/>
    </row>
    <row r="316" spans="11:11" ht="12" customHeight="1" x14ac:dyDescent="0.2">
      <c r="K316" s="689"/>
    </row>
    <row r="317" spans="11:11" ht="12" customHeight="1" x14ac:dyDescent="0.2">
      <c r="K317" s="689"/>
    </row>
    <row r="318" spans="11:11" ht="12" customHeight="1" x14ac:dyDescent="0.2">
      <c r="K318" s="689"/>
    </row>
    <row r="319" spans="11:11" ht="12" customHeight="1" x14ac:dyDescent="0.2">
      <c r="K319" s="689"/>
    </row>
    <row r="320" spans="11:11" ht="12" customHeight="1" x14ac:dyDescent="0.2">
      <c r="K320" s="689"/>
    </row>
    <row r="321" spans="11:11" ht="12" customHeight="1" x14ac:dyDescent="0.2">
      <c r="K321" s="689"/>
    </row>
    <row r="322" spans="11:11" ht="12" customHeight="1" x14ac:dyDescent="0.2">
      <c r="K322" s="689"/>
    </row>
    <row r="323" spans="11:11" ht="12" customHeight="1" x14ac:dyDescent="0.2">
      <c r="K323" s="689"/>
    </row>
    <row r="324" spans="11:11" ht="12" customHeight="1" x14ac:dyDescent="0.2">
      <c r="K324" s="689"/>
    </row>
    <row r="325" spans="11:11" ht="12" customHeight="1" x14ac:dyDescent="0.2">
      <c r="K325" s="689"/>
    </row>
    <row r="326" spans="11:11" ht="12" customHeight="1" x14ac:dyDescent="0.2">
      <c r="K326" s="689"/>
    </row>
    <row r="327" spans="11:11" ht="12" customHeight="1" x14ac:dyDescent="0.2">
      <c r="K327" s="689"/>
    </row>
    <row r="328" spans="11:11" ht="12" customHeight="1" x14ac:dyDescent="0.2">
      <c r="K328" s="689"/>
    </row>
    <row r="329" spans="11:11" ht="12" customHeight="1" x14ac:dyDescent="0.2">
      <c r="K329" s="689"/>
    </row>
    <row r="330" spans="11:11" ht="12" customHeight="1" x14ac:dyDescent="0.2">
      <c r="K330" s="689"/>
    </row>
    <row r="331" spans="11:11" ht="12" customHeight="1" x14ac:dyDescent="0.2">
      <c r="K331" s="689"/>
    </row>
    <row r="332" spans="11:11" ht="12" customHeight="1" x14ac:dyDescent="0.2">
      <c r="K332" s="689"/>
    </row>
    <row r="333" spans="11:11" ht="12" customHeight="1" x14ac:dyDescent="0.2">
      <c r="K333" s="689"/>
    </row>
    <row r="334" spans="11:11" ht="12" customHeight="1" x14ac:dyDescent="0.2">
      <c r="K334" s="689"/>
    </row>
    <row r="335" spans="11:11" ht="12" customHeight="1" x14ac:dyDescent="0.2">
      <c r="K335" s="689"/>
    </row>
    <row r="336" spans="11:11" ht="12" customHeight="1" x14ac:dyDescent="0.2">
      <c r="K336" s="689"/>
    </row>
    <row r="337" spans="11:11" ht="12" customHeight="1" x14ac:dyDescent="0.2">
      <c r="K337" s="689"/>
    </row>
    <row r="338" spans="11:11" ht="12" customHeight="1" x14ac:dyDescent="0.2">
      <c r="K338" s="689"/>
    </row>
    <row r="339" spans="11:11" ht="12" customHeight="1" x14ac:dyDescent="0.2">
      <c r="K339" s="689"/>
    </row>
    <row r="340" spans="11:11" ht="12" customHeight="1" x14ac:dyDescent="0.2">
      <c r="K340" s="689"/>
    </row>
    <row r="341" spans="11:11" ht="12" customHeight="1" x14ac:dyDescent="0.2">
      <c r="K341" s="689"/>
    </row>
    <row r="342" spans="11:11" ht="12" customHeight="1" x14ac:dyDescent="0.2">
      <c r="K342" s="689"/>
    </row>
    <row r="343" spans="11:11" ht="12" customHeight="1" x14ac:dyDescent="0.2">
      <c r="K343" s="689"/>
    </row>
    <row r="344" spans="11:11" ht="12" customHeight="1" x14ac:dyDescent="0.2">
      <c r="K344" s="689"/>
    </row>
    <row r="345" spans="11:11" ht="12" customHeight="1" x14ac:dyDescent="0.2">
      <c r="K345" s="689"/>
    </row>
    <row r="346" spans="11:11" ht="12" customHeight="1" x14ac:dyDescent="0.2">
      <c r="K346" s="689"/>
    </row>
    <row r="347" spans="11:11" ht="12" customHeight="1" x14ac:dyDescent="0.2">
      <c r="K347" s="689"/>
    </row>
    <row r="348" spans="11:11" ht="12" customHeight="1" x14ac:dyDescent="0.2">
      <c r="K348" s="689"/>
    </row>
    <row r="349" spans="11:11" ht="12" customHeight="1" x14ac:dyDescent="0.2">
      <c r="K349" s="689"/>
    </row>
    <row r="350" spans="11:11" ht="12" customHeight="1" x14ac:dyDescent="0.2">
      <c r="K350" s="689"/>
    </row>
    <row r="351" spans="11:11" ht="12" customHeight="1" x14ac:dyDescent="0.2">
      <c r="K351" s="689"/>
    </row>
    <row r="352" spans="11:11" ht="12" customHeight="1" x14ac:dyDescent="0.2">
      <c r="K352" s="689"/>
    </row>
    <row r="353" spans="11:11" ht="12" customHeight="1" x14ac:dyDescent="0.2">
      <c r="K353" s="689"/>
    </row>
    <row r="354" spans="11:11" ht="12" customHeight="1" x14ac:dyDescent="0.2">
      <c r="K354" s="689"/>
    </row>
    <row r="355" spans="11:11" ht="12" customHeight="1" x14ac:dyDescent="0.2">
      <c r="K355" s="689"/>
    </row>
    <row r="356" spans="11:11" ht="12" customHeight="1" x14ac:dyDescent="0.2">
      <c r="K356" s="689"/>
    </row>
    <row r="357" spans="11:11" ht="12" customHeight="1" x14ac:dyDescent="0.2">
      <c r="K357" s="689"/>
    </row>
    <row r="358" spans="11:11" ht="12" customHeight="1" x14ac:dyDescent="0.2">
      <c r="K358" s="689"/>
    </row>
    <row r="359" spans="11:11" ht="12" customHeight="1" x14ac:dyDescent="0.2">
      <c r="K359" s="689"/>
    </row>
    <row r="360" spans="11:11" ht="12" customHeight="1" x14ac:dyDescent="0.2">
      <c r="K360" s="689"/>
    </row>
    <row r="361" spans="11:11" ht="12" customHeight="1" x14ac:dyDescent="0.2">
      <c r="K361" s="689"/>
    </row>
    <row r="362" spans="11:11" ht="12" customHeight="1" x14ac:dyDescent="0.2">
      <c r="K362" s="689"/>
    </row>
    <row r="363" spans="11:11" ht="12" customHeight="1" x14ac:dyDescent="0.2">
      <c r="K363" s="689"/>
    </row>
    <row r="364" spans="11:11" ht="12" customHeight="1" x14ac:dyDescent="0.2">
      <c r="K364" s="689"/>
    </row>
    <row r="365" spans="11:11" ht="12" customHeight="1" x14ac:dyDescent="0.2">
      <c r="K365" s="689"/>
    </row>
    <row r="366" spans="11:11" ht="12" customHeight="1" x14ac:dyDescent="0.2">
      <c r="K366" s="689"/>
    </row>
    <row r="367" spans="11:11" ht="12" customHeight="1" x14ac:dyDescent="0.2">
      <c r="K367" s="689"/>
    </row>
    <row r="368" spans="11:11" ht="12" customHeight="1" x14ac:dyDescent="0.2">
      <c r="K368" s="689"/>
    </row>
    <row r="369" spans="11:11" ht="12" customHeight="1" x14ac:dyDescent="0.2">
      <c r="K369" s="689"/>
    </row>
    <row r="370" spans="11:11" ht="12" customHeight="1" x14ac:dyDescent="0.2">
      <c r="K370" s="689"/>
    </row>
    <row r="371" spans="11:11" ht="12" customHeight="1" x14ac:dyDescent="0.2">
      <c r="K371" s="689"/>
    </row>
    <row r="372" spans="11:11" ht="12" customHeight="1" x14ac:dyDescent="0.2">
      <c r="K372" s="689"/>
    </row>
    <row r="373" spans="11:11" ht="12" customHeight="1" x14ac:dyDescent="0.2">
      <c r="K373" s="689"/>
    </row>
    <row r="374" spans="11:11" ht="12" customHeight="1" x14ac:dyDescent="0.2">
      <c r="K374" s="689"/>
    </row>
    <row r="375" spans="11:11" ht="12" customHeight="1" x14ac:dyDescent="0.2">
      <c r="K375" s="689"/>
    </row>
    <row r="376" spans="11:11" ht="12" customHeight="1" x14ac:dyDescent="0.2">
      <c r="K376" s="689"/>
    </row>
    <row r="377" spans="11:11" ht="12" customHeight="1" x14ac:dyDescent="0.2">
      <c r="K377" s="689"/>
    </row>
    <row r="378" spans="11:11" ht="12" customHeight="1" x14ac:dyDescent="0.2">
      <c r="K378" s="689"/>
    </row>
    <row r="379" spans="11:11" ht="12" customHeight="1" x14ac:dyDescent="0.2">
      <c r="K379" s="689"/>
    </row>
    <row r="380" spans="11:11" ht="12" customHeight="1" x14ac:dyDescent="0.2">
      <c r="K380" s="689"/>
    </row>
    <row r="381" spans="11:11" ht="12" customHeight="1" x14ac:dyDescent="0.2">
      <c r="K381" s="689"/>
    </row>
    <row r="382" spans="11:11" ht="12" customHeight="1" x14ac:dyDescent="0.2">
      <c r="K382" s="689"/>
    </row>
    <row r="383" spans="11:11" ht="12" customHeight="1" x14ac:dyDescent="0.2">
      <c r="K383" s="689"/>
    </row>
    <row r="384" spans="11:11" ht="12" customHeight="1" x14ac:dyDescent="0.2">
      <c r="K384" s="689"/>
    </row>
    <row r="385" spans="11:11" ht="12" customHeight="1" x14ac:dyDescent="0.2">
      <c r="K385" s="689"/>
    </row>
    <row r="386" spans="11:11" ht="12" customHeight="1" x14ac:dyDescent="0.2">
      <c r="K386" s="689"/>
    </row>
    <row r="387" spans="11:11" ht="12" customHeight="1" x14ac:dyDescent="0.2">
      <c r="K387" s="689"/>
    </row>
    <row r="388" spans="11:11" ht="12" customHeight="1" x14ac:dyDescent="0.2">
      <c r="K388" s="689"/>
    </row>
    <row r="389" spans="11:11" ht="12" customHeight="1" x14ac:dyDescent="0.2">
      <c r="K389" s="689"/>
    </row>
    <row r="390" spans="11:11" ht="12" customHeight="1" x14ac:dyDescent="0.2">
      <c r="K390" s="689"/>
    </row>
    <row r="391" spans="11:11" ht="12" customHeight="1" x14ac:dyDescent="0.2">
      <c r="K391" s="689"/>
    </row>
    <row r="392" spans="11:11" ht="12" customHeight="1" x14ac:dyDescent="0.2">
      <c r="K392" s="689"/>
    </row>
    <row r="393" spans="11:11" ht="12" customHeight="1" x14ac:dyDescent="0.2">
      <c r="K393" s="689"/>
    </row>
    <row r="394" spans="11:11" ht="12" customHeight="1" x14ac:dyDescent="0.2">
      <c r="K394" s="689"/>
    </row>
    <row r="395" spans="11:11" ht="12" customHeight="1" x14ac:dyDescent="0.2">
      <c r="K395" s="689"/>
    </row>
    <row r="396" spans="11:11" ht="12" customHeight="1" x14ac:dyDescent="0.2">
      <c r="K396" s="689"/>
    </row>
    <row r="397" spans="11:11" ht="12" customHeight="1" x14ac:dyDescent="0.2">
      <c r="K397" s="689"/>
    </row>
    <row r="398" spans="11:11" ht="12" customHeight="1" x14ac:dyDescent="0.2">
      <c r="K398" s="689"/>
    </row>
    <row r="399" spans="11:11" ht="12" customHeight="1" x14ac:dyDescent="0.2">
      <c r="K399" s="689"/>
    </row>
    <row r="400" spans="11:11" ht="12" customHeight="1" x14ac:dyDescent="0.2">
      <c r="K400" s="689"/>
    </row>
    <row r="401" spans="11:11" ht="12" customHeight="1" x14ac:dyDescent="0.2">
      <c r="K401" s="689"/>
    </row>
    <row r="402" spans="11:11" ht="12" customHeight="1" x14ac:dyDescent="0.2">
      <c r="K402" s="689"/>
    </row>
    <row r="403" spans="11:11" ht="12" customHeight="1" x14ac:dyDescent="0.2">
      <c r="K403" s="689"/>
    </row>
    <row r="404" spans="11:11" ht="12" customHeight="1" x14ac:dyDescent="0.2">
      <c r="K404" s="689"/>
    </row>
    <row r="405" spans="11:11" ht="12" customHeight="1" x14ac:dyDescent="0.2">
      <c r="K405" s="689"/>
    </row>
    <row r="406" spans="11:11" ht="12" customHeight="1" x14ac:dyDescent="0.2">
      <c r="K406" s="689"/>
    </row>
    <row r="407" spans="11:11" ht="12" customHeight="1" x14ac:dyDescent="0.2">
      <c r="K407" s="689"/>
    </row>
    <row r="408" spans="11:11" ht="12" customHeight="1" x14ac:dyDescent="0.2">
      <c r="K408" s="689"/>
    </row>
    <row r="409" spans="11:11" ht="12" customHeight="1" x14ac:dyDescent="0.2">
      <c r="K409" s="689"/>
    </row>
    <row r="410" spans="11:11" ht="12" customHeight="1" x14ac:dyDescent="0.2">
      <c r="K410" s="689"/>
    </row>
    <row r="411" spans="11:11" ht="12" customHeight="1" x14ac:dyDescent="0.2">
      <c r="K411" s="689"/>
    </row>
    <row r="412" spans="11:11" ht="12" customHeight="1" x14ac:dyDescent="0.2">
      <c r="K412" s="689"/>
    </row>
    <row r="413" spans="11:11" ht="12" customHeight="1" x14ac:dyDescent="0.2">
      <c r="K413" s="689"/>
    </row>
    <row r="414" spans="11:11" ht="12" customHeight="1" x14ac:dyDescent="0.2">
      <c r="K414" s="689"/>
    </row>
    <row r="415" spans="11:11" ht="12" customHeight="1" x14ac:dyDescent="0.2">
      <c r="K415" s="689"/>
    </row>
    <row r="416" spans="11:11" ht="12" customHeight="1" x14ac:dyDescent="0.2">
      <c r="K416" s="689"/>
    </row>
    <row r="417" spans="11:11" ht="12" customHeight="1" x14ac:dyDescent="0.2">
      <c r="K417" s="689"/>
    </row>
    <row r="418" spans="11:11" ht="12" customHeight="1" x14ac:dyDescent="0.2">
      <c r="K418" s="689"/>
    </row>
    <row r="419" spans="11:11" ht="12" customHeight="1" x14ac:dyDescent="0.2">
      <c r="K419" s="689"/>
    </row>
    <row r="420" spans="11:11" ht="12" customHeight="1" x14ac:dyDescent="0.2">
      <c r="K420" s="689"/>
    </row>
    <row r="421" spans="11:11" ht="12" customHeight="1" x14ac:dyDescent="0.2">
      <c r="K421" s="689"/>
    </row>
    <row r="422" spans="11:11" ht="12" customHeight="1" x14ac:dyDescent="0.2">
      <c r="K422" s="689"/>
    </row>
    <row r="423" spans="11:11" ht="12" customHeight="1" x14ac:dyDescent="0.2">
      <c r="K423" s="689"/>
    </row>
    <row r="424" spans="11:11" ht="12" customHeight="1" x14ac:dyDescent="0.2">
      <c r="K424" s="689"/>
    </row>
    <row r="425" spans="11:11" ht="12" customHeight="1" x14ac:dyDescent="0.2">
      <c r="K425" s="689"/>
    </row>
    <row r="426" spans="11:11" ht="12" customHeight="1" x14ac:dyDescent="0.2">
      <c r="K426" s="689"/>
    </row>
    <row r="427" spans="11:11" ht="12" customHeight="1" x14ac:dyDescent="0.2">
      <c r="K427" s="689"/>
    </row>
    <row r="428" spans="11:11" ht="12" customHeight="1" x14ac:dyDescent="0.2">
      <c r="K428" s="689"/>
    </row>
    <row r="429" spans="11:11" ht="12" customHeight="1" x14ac:dyDescent="0.2">
      <c r="K429" s="689"/>
    </row>
    <row r="430" spans="11:11" ht="12" customHeight="1" x14ac:dyDescent="0.2">
      <c r="K430" s="689"/>
    </row>
    <row r="431" spans="11:11" ht="12" customHeight="1" x14ac:dyDescent="0.2">
      <c r="K431" s="689"/>
    </row>
    <row r="432" spans="11:11" ht="12" customHeight="1" x14ac:dyDescent="0.2">
      <c r="K432" s="689"/>
    </row>
    <row r="433" spans="11:11" ht="12" customHeight="1" x14ac:dyDescent="0.2">
      <c r="K433" s="689"/>
    </row>
    <row r="434" spans="11:11" ht="12" customHeight="1" x14ac:dyDescent="0.2">
      <c r="K434" s="689"/>
    </row>
    <row r="435" spans="11:11" ht="12" customHeight="1" x14ac:dyDescent="0.2">
      <c r="K435" s="689"/>
    </row>
    <row r="436" spans="11:11" ht="12" customHeight="1" x14ac:dyDescent="0.2">
      <c r="K436" s="689"/>
    </row>
    <row r="437" spans="11:11" ht="12" customHeight="1" x14ac:dyDescent="0.2">
      <c r="K437" s="689"/>
    </row>
    <row r="438" spans="11:11" ht="12" customHeight="1" x14ac:dyDescent="0.2">
      <c r="K438" s="689"/>
    </row>
    <row r="439" spans="11:11" ht="12" customHeight="1" x14ac:dyDescent="0.2">
      <c r="K439" s="689"/>
    </row>
    <row r="440" spans="11:11" ht="12" customHeight="1" x14ac:dyDescent="0.2">
      <c r="K440" s="689"/>
    </row>
    <row r="441" spans="11:11" ht="12" customHeight="1" x14ac:dyDescent="0.2">
      <c r="K441" s="689"/>
    </row>
    <row r="442" spans="11:11" ht="12" customHeight="1" x14ac:dyDescent="0.2">
      <c r="K442" s="689"/>
    </row>
    <row r="443" spans="11:11" ht="12" customHeight="1" x14ac:dyDescent="0.2">
      <c r="K443" s="689"/>
    </row>
    <row r="444" spans="11:11" ht="12" customHeight="1" x14ac:dyDescent="0.2">
      <c r="K444" s="689"/>
    </row>
    <row r="445" spans="11:11" ht="12" customHeight="1" x14ac:dyDescent="0.2">
      <c r="K445" s="689"/>
    </row>
    <row r="446" spans="11:11" ht="12" customHeight="1" x14ac:dyDescent="0.2">
      <c r="K446" s="689"/>
    </row>
    <row r="447" spans="11:11" ht="12" customHeight="1" x14ac:dyDescent="0.2">
      <c r="K447" s="689"/>
    </row>
    <row r="448" spans="11:11" ht="12" customHeight="1" x14ac:dyDescent="0.2">
      <c r="K448" s="689"/>
    </row>
    <row r="449" spans="11:11" ht="12" customHeight="1" x14ac:dyDescent="0.2">
      <c r="K449" s="689"/>
    </row>
    <row r="450" spans="11:11" ht="12" customHeight="1" x14ac:dyDescent="0.2">
      <c r="K450" s="689"/>
    </row>
    <row r="451" spans="11:11" ht="12" customHeight="1" x14ac:dyDescent="0.2">
      <c r="K451" s="689"/>
    </row>
    <row r="452" spans="11:11" ht="12" customHeight="1" x14ac:dyDescent="0.2">
      <c r="K452" s="689"/>
    </row>
    <row r="453" spans="11:11" ht="12" customHeight="1" x14ac:dyDescent="0.2">
      <c r="K453" s="689"/>
    </row>
    <row r="454" spans="11:11" ht="12" customHeight="1" x14ac:dyDescent="0.2">
      <c r="K454" s="689"/>
    </row>
    <row r="455" spans="11:11" ht="12" customHeight="1" x14ac:dyDescent="0.2">
      <c r="K455" s="689"/>
    </row>
    <row r="456" spans="11:11" ht="12" customHeight="1" x14ac:dyDescent="0.2">
      <c r="K456" s="689"/>
    </row>
    <row r="457" spans="11:11" ht="12" customHeight="1" x14ac:dyDescent="0.2">
      <c r="K457" s="689"/>
    </row>
    <row r="458" spans="11:11" ht="12" customHeight="1" x14ac:dyDescent="0.2">
      <c r="K458" s="689"/>
    </row>
    <row r="459" spans="11:11" ht="12" customHeight="1" x14ac:dyDescent="0.2">
      <c r="K459" s="689"/>
    </row>
    <row r="460" spans="11:11" ht="12" customHeight="1" x14ac:dyDescent="0.2">
      <c r="K460" s="689"/>
    </row>
    <row r="461" spans="11:11" ht="12" customHeight="1" x14ac:dyDescent="0.2">
      <c r="K461" s="689"/>
    </row>
    <row r="462" spans="11:11" ht="12" customHeight="1" x14ac:dyDescent="0.2">
      <c r="K462" s="689"/>
    </row>
    <row r="463" spans="11:11" ht="12" customHeight="1" x14ac:dyDescent="0.2">
      <c r="K463" s="689"/>
    </row>
    <row r="464" spans="11:11" ht="12" customHeight="1" x14ac:dyDescent="0.2">
      <c r="K464" s="689"/>
    </row>
    <row r="465" spans="11:11" ht="12" customHeight="1" x14ac:dyDescent="0.2">
      <c r="K465" s="689"/>
    </row>
    <row r="466" spans="11:11" ht="12" customHeight="1" x14ac:dyDescent="0.2">
      <c r="K466" s="689"/>
    </row>
    <row r="467" spans="11:11" ht="12" customHeight="1" x14ac:dyDescent="0.2">
      <c r="K467" s="689"/>
    </row>
    <row r="468" spans="11:11" ht="12" customHeight="1" x14ac:dyDescent="0.2">
      <c r="K468" s="689"/>
    </row>
    <row r="469" spans="11:11" ht="12" customHeight="1" x14ac:dyDescent="0.2">
      <c r="K469" s="689"/>
    </row>
    <row r="470" spans="11:11" ht="12" customHeight="1" x14ac:dyDescent="0.2">
      <c r="K470" s="689"/>
    </row>
    <row r="471" spans="11:11" ht="12" customHeight="1" x14ac:dyDescent="0.2">
      <c r="K471" s="689"/>
    </row>
    <row r="472" spans="11:11" ht="12" customHeight="1" x14ac:dyDescent="0.2">
      <c r="K472" s="689"/>
    </row>
    <row r="473" spans="11:11" ht="12" customHeight="1" x14ac:dyDescent="0.2">
      <c r="K473" s="689"/>
    </row>
    <row r="474" spans="11:11" ht="12" customHeight="1" x14ac:dyDescent="0.2">
      <c r="K474" s="689"/>
    </row>
    <row r="475" spans="11:11" ht="12" customHeight="1" x14ac:dyDescent="0.2">
      <c r="K475" s="689"/>
    </row>
    <row r="476" spans="11:11" ht="12" customHeight="1" x14ac:dyDescent="0.2">
      <c r="K476" s="689"/>
    </row>
    <row r="477" spans="11:11" ht="12" customHeight="1" x14ac:dyDescent="0.2">
      <c r="K477" s="689"/>
    </row>
    <row r="478" spans="11:11" ht="12" customHeight="1" x14ac:dyDescent="0.2">
      <c r="K478" s="689"/>
    </row>
    <row r="479" spans="11:11" ht="12" customHeight="1" x14ac:dyDescent="0.2">
      <c r="K479" s="689"/>
    </row>
    <row r="480" spans="11:11" ht="12" customHeight="1" x14ac:dyDescent="0.2">
      <c r="K480" s="689"/>
    </row>
    <row r="481" spans="11:11" ht="12" customHeight="1" x14ac:dyDescent="0.2">
      <c r="K481" s="689"/>
    </row>
    <row r="482" spans="11:11" ht="12" customHeight="1" x14ac:dyDescent="0.2">
      <c r="K482" s="689"/>
    </row>
    <row r="483" spans="11:11" ht="12" customHeight="1" x14ac:dyDescent="0.2">
      <c r="K483" s="689"/>
    </row>
    <row r="484" spans="11:11" ht="12" customHeight="1" x14ac:dyDescent="0.2">
      <c r="K484" s="689"/>
    </row>
    <row r="485" spans="11:11" ht="12" customHeight="1" x14ac:dyDescent="0.2">
      <c r="K485" s="689"/>
    </row>
    <row r="486" spans="11:11" ht="12" customHeight="1" x14ac:dyDescent="0.2">
      <c r="K486" s="689"/>
    </row>
    <row r="487" spans="11:11" ht="12" customHeight="1" x14ac:dyDescent="0.2">
      <c r="K487" s="689"/>
    </row>
    <row r="488" spans="11:11" ht="12" customHeight="1" x14ac:dyDescent="0.2">
      <c r="K488" s="689"/>
    </row>
    <row r="489" spans="11:11" ht="12" customHeight="1" x14ac:dyDescent="0.2">
      <c r="K489" s="689"/>
    </row>
    <row r="490" spans="11:11" ht="12" customHeight="1" x14ac:dyDescent="0.2">
      <c r="K490" s="689"/>
    </row>
    <row r="491" spans="11:11" ht="12" customHeight="1" x14ac:dyDescent="0.2">
      <c r="K491" s="689"/>
    </row>
    <row r="492" spans="11:11" ht="12" customHeight="1" x14ac:dyDescent="0.2">
      <c r="K492" s="689"/>
    </row>
    <row r="493" spans="11:11" ht="12" customHeight="1" x14ac:dyDescent="0.2">
      <c r="K493" s="689"/>
    </row>
    <row r="494" spans="11:11" ht="12" customHeight="1" x14ac:dyDescent="0.2">
      <c r="K494" s="689"/>
    </row>
    <row r="495" spans="11:11" ht="12" customHeight="1" x14ac:dyDescent="0.2">
      <c r="K495" s="689"/>
    </row>
    <row r="496" spans="11:11" ht="12" customHeight="1" x14ac:dyDescent="0.2">
      <c r="K496" s="689"/>
    </row>
    <row r="497" spans="11:11" ht="12" customHeight="1" x14ac:dyDescent="0.2">
      <c r="K497" s="689"/>
    </row>
    <row r="498" spans="11:11" ht="12" customHeight="1" x14ac:dyDescent="0.2">
      <c r="K498" s="689"/>
    </row>
    <row r="499" spans="11:11" ht="12" customHeight="1" x14ac:dyDescent="0.2">
      <c r="K499" s="689"/>
    </row>
    <row r="500" spans="11:11" ht="12" customHeight="1" x14ac:dyDescent="0.2">
      <c r="K500" s="689"/>
    </row>
    <row r="501" spans="11:11" ht="12" customHeight="1" x14ac:dyDescent="0.2">
      <c r="K501" s="689"/>
    </row>
    <row r="502" spans="11:11" ht="12" customHeight="1" x14ac:dyDescent="0.2">
      <c r="K502" s="689"/>
    </row>
    <row r="503" spans="11:11" ht="12" customHeight="1" x14ac:dyDescent="0.2">
      <c r="K503" s="689"/>
    </row>
    <row r="504" spans="11:11" ht="12" customHeight="1" x14ac:dyDescent="0.2">
      <c r="K504" s="689"/>
    </row>
    <row r="505" spans="11:11" ht="12" customHeight="1" x14ac:dyDescent="0.2">
      <c r="K505" s="689"/>
    </row>
    <row r="506" spans="11:11" ht="12" customHeight="1" x14ac:dyDescent="0.2">
      <c r="K506" s="689"/>
    </row>
    <row r="507" spans="11:11" ht="12" customHeight="1" x14ac:dyDescent="0.2">
      <c r="K507" s="689"/>
    </row>
    <row r="508" spans="11:11" ht="12" customHeight="1" x14ac:dyDescent="0.2">
      <c r="K508" s="689"/>
    </row>
    <row r="509" spans="11:11" ht="12" customHeight="1" x14ac:dyDescent="0.2">
      <c r="K509" s="689"/>
    </row>
    <row r="510" spans="11:11" ht="12" customHeight="1" x14ac:dyDescent="0.2">
      <c r="K510" s="689"/>
    </row>
    <row r="511" spans="11:11" ht="12" customHeight="1" x14ac:dyDescent="0.2">
      <c r="K511" s="689"/>
    </row>
    <row r="512" spans="11:11" ht="12" customHeight="1" x14ac:dyDescent="0.2">
      <c r="K512" s="689"/>
    </row>
    <row r="513" spans="11:11" ht="12" customHeight="1" x14ac:dyDescent="0.2">
      <c r="K513" s="689"/>
    </row>
    <row r="514" spans="11:11" ht="12" customHeight="1" x14ac:dyDescent="0.2">
      <c r="K514" s="689"/>
    </row>
    <row r="515" spans="11:11" ht="12" customHeight="1" x14ac:dyDescent="0.2">
      <c r="K515" s="689"/>
    </row>
    <row r="516" spans="11:11" ht="12" customHeight="1" x14ac:dyDescent="0.2">
      <c r="K516" s="689"/>
    </row>
    <row r="517" spans="11:11" ht="12" customHeight="1" x14ac:dyDescent="0.2">
      <c r="K517" s="689"/>
    </row>
    <row r="518" spans="11:11" ht="12" customHeight="1" x14ac:dyDescent="0.2">
      <c r="K518" s="689"/>
    </row>
    <row r="519" spans="11:11" ht="12" customHeight="1" x14ac:dyDescent="0.2">
      <c r="K519" s="689"/>
    </row>
    <row r="520" spans="11:11" ht="12" customHeight="1" x14ac:dyDescent="0.2">
      <c r="K520" s="689"/>
    </row>
    <row r="521" spans="11:11" ht="12" customHeight="1" x14ac:dyDescent="0.2">
      <c r="K521" s="689"/>
    </row>
    <row r="522" spans="11:11" ht="12" customHeight="1" x14ac:dyDescent="0.2">
      <c r="K522" s="689"/>
    </row>
    <row r="523" spans="11:11" ht="12" customHeight="1" x14ac:dyDescent="0.2">
      <c r="K523" s="689"/>
    </row>
    <row r="524" spans="11:11" ht="12" customHeight="1" x14ac:dyDescent="0.2">
      <c r="K524" s="689"/>
    </row>
    <row r="525" spans="11:11" ht="12" customHeight="1" x14ac:dyDescent="0.2">
      <c r="K525" s="689"/>
    </row>
    <row r="526" spans="11:11" ht="12" customHeight="1" x14ac:dyDescent="0.2">
      <c r="K526" s="689"/>
    </row>
    <row r="527" spans="11:11" ht="12" customHeight="1" x14ac:dyDescent="0.2">
      <c r="K527" s="689"/>
    </row>
    <row r="528" spans="11:11" ht="12" customHeight="1" x14ac:dyDescent="0.2">
      <c r="K528" s="689"/>
    </row>
    <row r="529" spans="11:11" ht="12" customHeight="1" x14ac:dyDescent="0.2">
      <c r="K529" s="689"/>
    </row>
    <row r="530" spans="11:11" ht="12" customHeight="1" x14ac:dyDescent="0.2">
      <c r="K530" s="689"/>
    </row>
    <row r="531" spans="11:11" ht="12" customHeight="1" x14ac:dyDescent="0.2">
      <c r="K531" s="689"/>
    </row>
    <row r="532" spans="11:11" ht="12" customHeight="1" x14ac:dyDescent="0.2">
      <c r="K532" s="689"/>
    </row>
    <row r="533" spans="11:11" ht="12" customHeight="1" x14ac:dyDescent="0.2">
      <c r="K533" s="689"/>
    </row>
    <row r="534" spans="11:11" ht="12" customHeight="1" x14ac:dyDescent="0.2">
      <c r="K534" s="689"/>
    </row>
    <row r="535" spans="11:11" ht="12" customHeight="1" x14ac:dyDescent="0.2">
      <c r="K535" s="689"/>
    </row>
    <row r="536" spans="11:11" ht="12" customHeight="1" x14ac:dyDescent="0.2">
      <c r="K536" s="689"/>
    </row>
    <row r="537" spans="11:11" ht="12" customHeight="1" x14ac:dyDescent="0.2">
      <c r="K537" s="689"/>
    </row>
    <row r="538" spans="11:11" ht="12" customHeight="1" x14ac:dyDescent="0.2">
      <c r="K538" s="689"/>
    </row>
    <row r="539" spans="11:11" ht="12" customHeight="1" x14ac:dyDescent="0.2">
      <c r="K539" s="689"/>
    </row>
    <row r="540" spans="11:11" ht="12" customHeight="1" x14ac:dyDescent="0.2">
      <c r="K540" s="689"/>
    </row>
    <row r="541" spans="11:11" ht="12" customHeight="1" x14ac:dyDescent="0.2">
      <c r="K541" s="689"/>
    </row>
    <row r="542" spans="11:11" ht="12" customHeight="1" x14ac:dyDescent="0.2">
      <c r="K542" s="689"/>
    </row>
  </sheetData>
  <phoneticPr fontId="0" type="noConversion"/>
  <pageMargins left="0.75" right="0.75" top="1" bottom="1" header="0.5" footer="0.5"/>
  <pageSetup paperSize="9" orientation="landscape" horizontalDpi="1200"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AN419"/>
  <sheetViews>
    <sheetView topLeftCell="A6" zoomScaleNormal="100" workbookViewId="0">
      <pane ySplit="2" topLeftCell="A147" activePane="bottomLeft" state="frozen"/>
      <selection activeCell="A6" sqref="A6"/>
      <selection pane="bottomLeft" activeCell="Q173" sqref="Q173"/>
    </sheetView>
  </sheetViews>
  <sheetFormatPr defaultColWidth="9.140625" defaultRowHeight="11.25" x14ac:dyDescent="0.2"/>
  <cols>
    <col min="1" max="1" width="25.5703125" style="12" customWidth="1"/>
    <col min="2" max="3" width="9.28515625" style="12" bestFit="1" customWidth="1"/>
    <col min="4" max="9" width="11.7109375" style="12" bestFit="1" customWidth="1"/>
    <col min="10" max="13" width="9.28515625" style="12" bestFit="1" customWidth="1"/>
    <col min="14" max="14" width="10.7109375" style="12" customWidth="1"/>
    <col min="15" max="20" width="11.5703125" style="12" bestFit="1" customWidth="1"/>
    <col min="21" max="36" width="9.28515625" style="12" bestFit="1" customWidth="1"/>
    <col min="37" max="16384" width="9.140625" style="12"/>
  </cols>
  <sheetData>
    <row r="1" spans="1:39" x14ac:dyDescent="0.2">
      <c r="A1" s="66"/>
      <c r="B1" s="125" t="s">
        <v>503</v>
      </c>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row>
    <row r="2" spans="1:39" x14ac:dyDescent="0.2">
      <c r="A2" s="12" t="s">
        <v>504</v>
      </c>
      <c r="B2" s="251"/>
      <c r="G2" s="251"/>
      <c r="L2" s="251"/>
      <c r="Q2" s="251"/>
      <c r="V2" s="251"/>
      <c r="AA2" s="251"/>
      <c r="AF2" s="251"/>
    </row>
    <row r="3" spans="1:39" x14ac:dyDescent="0.2">
      <c r="A3" s="107" t="s">
        <v>505</v>
      </c>
      <c r="B3" s="251"/>
      <c r="G3" s="251"/>
      <c r="L3" s="251"/>
      <c r="Q3" s="251"/>
      <c r="V3" s="251"/>
      <c r="AA3" s="251"/>
      <c r="AB3" s="17"/>
      <c r="AF3" s="251"/>
    </row>
    <row r="4" spans="1:39" x14ac:dyDescent="0.2">
      <c r="A4" s="13" t="s">
        <v>506</v>
      </c>
      <c r="B4" s="251"/>
      <c r="G4" s="251"/>
      <c r="L4" s="251"/>
      <c r="Q4" s="251"/>
      <c r="V4" s="251"/>
      <c r="AA4" s="251"/>
      <c r="AB4" s="17"/>
      <c r="AF4" s="251"/>
    </row>
    <row r="5" spans="1:39" x14ac:dyDescent="0.2">
      <c r="A5" s="12" t="s">
        <v>507</v>
      </c>
      <c r="B5" s="251"/>
      <c r="G5" s="251"/>
      <c r="L5" s="251"/>
      <c r="Q5" s="251"/>
      <c r="V5" s="251"/>
      <c r="AA5" s="251"/>
      <c r="AB5" s="17"/>
      <c r="AF5" s="251"/>
    </row>
    <row r="6" spans="1:39" x14ac:dyDescent="0.2">
      <c r="B6" s="12" t="s">
        <v>508</v>
      </c>
      <c r="G6" s="251"/>
      <c r="L6" s="251"/>
      <c r="Q6" s="251"/>
      <c r="V6" s="251"/>
      <c r="AA6" s="251"/>
      <c r="AB6" s="25" t="s">
        <v>509</v>
      </c>
      <c r="AC6" s="25" t="s">
        <v>509</v>
      </c>
      <c r="AD6" s="25" t="s">
        <v>509</v>
      </c>
      <c r="AE6" s="25" t="s">
        <v>509</v>
      </c>
      <c r="AF6" s="57" t="s">
        <v>509</v>
      </c>
      <c r="AG6" s="25" t="s">
        <v>510</v>
      </c>
    </row>
    <row r="7" spans="1:39" x14ac:dyDescent="0.2">
      <c r="B7" s="57" t="s">
        <v>172</v>
      </c>
      <c r="C7" s="25" t="s">
        <v>511</v>
      </c>
      <c r="D7" s="25" t="s">
        <v>512</v>
      </c>
      <c r="E7" s="25" t="s">
        <v>513</v>
      </c>
      <c r="F7" s="25" t="s">
        <v>514</v>
      </c>
      <c r="G7" s="57" t="s">
        <v>173</v>
      </c>
      <c r="H7" s="25" t="s">
        <v>515</v>
      </c>
      <c r="I7" s="25" t="s">
        <v>516</v>
      </c>
      <c r="J7" s="25" t="s">
        <v>517</v>
      </c>
      <c r="K7" s="25" t="s">
        <v>518</v>
      </c>
      <c r="L7" s="57" t="s">
        <v>174</v>
      </c>
      <c r="M7" s="25" t="s">
        <v>519</v>
      </c>
      <c r="N7" s="25" t="s">
        <v>520</v>
      </c>
      <c r="O7" s="25" t="s">
        <v>521</v>
      </c>
      <c r="P7" s="25" t="s">
        <v>522</v>
      </c>
      <c r="Q7" s="57" t="s">
        <v>175</v>
      </c>
      <c r="R7" s="25" t="s">
        <v>523</v>
      </c>
      <c r="S7" s="25" t="s">
        <v>524</v>
      </c>
      <c r="T7" s="25" t="s">
        <v>525</v>
      </c>
      <c r="U7" s="25" t="s">
        <v>526</v>
      </c>
      <c r="V7" s="57" t="s">
        <v>176</v>
      </c>
      <c r="W7" s="25" t="s">
        <v>527</v>
      </c>
      <c r="X7" s="25" t="s">
        <v>528</v>
      </c>
      <c r="Y7" s="25" t="s">
        <v>529</v>
      </c>
      <c r="Z7" s="25" t="s">
        <v>530</v>
      </c>
      <c r="AA7" s="57" t="s">
        <v>177</v>
      </c>
      <c r="AB7" s="13">
        <v>2031</v>
      </c>
      <c r="AC7" s="13">
        <v>2032</v>
      </c>
      <c r="AD7" s="13">
        <v>2033</v>
      </c>
      <c r="AE7" s="13">
        <v>2034</v>
      </c>
      <c r="AF7" s="58">
        <v>2035</v>
      </c>
      <c r="AG7" s="13">
        <v>2035</v>
      </c>
    </row>
    <row r="8" spans="1:39" x14ac:dyDescent="0.2">
      <c r="B8" s="251"/>
      <c r="G8" s="251"/>
      <c r="L8" s="251"/>
      <c r="Q8" s="251"/>
      <c r="V8" s="251"/>
      <c r="AA8" s="251"/>
      <c r="AF8" s="251"/>
    </row>
    <row r="9" spans="1:39" x14ac:dyDescent="0.2">
      <c r="A9" s="13" t="s">
        <v>531</v>
      </c>
      <c r="B9" s="251"/>
      <c r="G9" s="251"/>
      <c r="L9" s="251"/>
      <c r="Q9" s="251"/>
      <c r="V9" s="251"/>
      <c r="AA9" s="251"/>
      <c r="AF9" s="251"/>
    </row>
    <row r="10" spans="1:39" x14ac:dyDescent="0.2">
      <c r="A10" s="107" t="s">
        <v>532</v>
      </c>
      <c r="B10" s="251"/>
      <c r="G10" s="251"/>
      <c r="L10" s="251"/>
      <c r="Q10" s="251"/>
      <c r="V10" s="251"/>
      <c r="AA10" s="251"/>
      <c r="AF10" s="251"/>
    </row>
    <row r="11" spans="1:39" x14ac:dyDescent="0.2">
      <c r="B11" s="251"/>
      <c r="G11" s="251"/>
      <c r="L11" s="251"/>
      <c r="Q11" s="251"/>
      <c r="V11" s="251"/>
      <c r="AA11" s="251"/>
      <c r="AF11" s="251"/>
      <c r="AI11" s="12" t="s">
        <v>533</v>
      </c>
    </row>
    <row r="12" spans="1:39" x14ac:dyDescent="0.2">
      <c r="A12" s="107" t="s">
        <v>534</v>
      </c>
      <c r="B12" s="251"/>
      <c r="G12" s="251"/>
      <c r="L12" s="251"/>
      <c r="Q12" s="251"/>
      <c r="V12" s="251"/>
      <c r="AA12" s="251"/>
      <c r="AF12" s="251"/>
    </row>
    <row r="13" spans="1:39" x14ac:dyDescent="0.2">
      <c r="A13" s="107" t="s">
        <v>535</v>
      </c>
      <c r="B13" s="251"/>
      <c r="G13" s="251"/>
      <c r="L13" s="251"/>
      <c r="Q13" s="251"/>
      <c r="V13" s="251"/>
      <c r="AA13" s="251"/>
      <c r="AF13" s="251"/>
      <c r="AI13" s="12">
        <v>2010</v>
      </c>
      <c r="AJ13" s="12">
        <v>2035</v>
      </c>
    </row>
    <row r="14" spans="1:39" x14ac:dyDescent="0.2">
      <c r="A14" s="107" t="s">
        <v>536</v>
      </c>
      <c r="B14" s="362">
        <v>34.663028717041001</v>
      </c>
      <c r="C14" s="129">
        <v>34.960433959960902</v>
      </c>
      <c r="D14" s="51">
        <v>39.681533999999999</v>
      </c>
      <c r="E14" s="51">
        <v>37.897689999999997</v>
      </c>
      <c r="F14" s="51">
        <v>40.569000000000003</v>
      </c>
      <c r="G14" s="363">
        <v>41.288643</v>
      </c>
      <c r="H14" s="51">
        <v>44.353400999999998</v>
      </c>
      <c r="I14" s="51">
        <v>45.805466000000003</v>
      </c>
      <c r="J14" s="51">
        <v>48.473838999999998</v>
      </c>
      <c r="K14" s="51">
        <v>51.497574</v>
      </c>
      <c r="L14" s="363">
        <v>53.835396000000003</v>
      </c>
      <c r="M14" s="51">
        <v>55.801968000000002</v>
      </c>
      <c r="N14" s="51">
        <v>57.315781000000001</v>
      </c>
      <c r="O14" s="51">
        <v>58.234673000000001</v>
      </c>
      <c r="P14" s="51">
        <v>59.324806000000002</v>
      </c>
      <c r="Q14" s="363">
        <v>60.412047999999999</v>
      </c>
      <c r="R14" s="51">
        <v>61.716071999999997</v>
      </c>
      <c r="S14" s="51">
        <v>63.278354999999998</v>
      </c>
      <c r="T14" s="51">
        <v>64.195815999999994</v>
      </c>
      <c r="U14" s="51">
        <v>64.657852000000005</v>
      </c>
      <c r="V14" s="363">
        <v>65.249808999999999</v>
      </c>
      <c r="W14" s="51">
        <v>65.877380000000002</v>
      </c>
      <c r="X14" s="51">
        <v>66.423644999999993</v>
      </c>
      <c r="Y14" s="51">
        <v>66.859650000000002</v>
      </c>
      <c r="Z14" s="51">
        <v>67.260185000000007</v>
      </c>
      <c r="AA14" s="363">
        <v>67.745688999999999</v>
      </c>
      <c r="AB14" s="51">
        <v>68.260002</v>
      </c>
      <c r="AC14" s="51">
        <v>68.633087000000003</v>
      </c>
      <c r="AD14" s="51">
        <v>69.192543000000001</v>
      </c>
      <c r="AE14" s="51">
        <v>69.744438000000002</v>
      </c>
      <c r="AF14" s="363">
        <v>70.193969999999993</v>
      </c>
      <c r="AG14" s="364">
        <v>2.1454000000000001E-2</v>
      </c>
      <c r="AI14" s="27">
        <f>G14/G$18</f>
        <v>0.69905270927382568</v>
      </c>
      <c r="AJ14" s="27">
        <f>AF14/AF$18</f>
        <v>0.76369066569834254</v>
      </c>
      <c r="AK14" s="107" t="s">
        <v>536</v>
      </c>
    </row>
    <row r="15" spans="1:39" x14ac:dyDescent="0.2">
      <c r="A15" s="107" t="s">
        <v>537</v>
      </c>
      <c r="B15" s="362">
        <v>14.1160936355591</v>
      </c>
      <c r="C15" s="129">
        <v>13.649705886840801</v>
      </c>
      <c r="D15" s="51">
        <v>15.783099999999999</v>
      </c>
      <c r="E15" s="51">
        <v>15.796631</v>
      </c>
      <c r="F15" s="51">
        <v>19.966571999999999</v>
      </c>
      <c r="G15" s="363">
        <v>16.918002999999999</v>
      </c>
      <c r="H15" s="51">
        <v>17.834551000000001</v>
      </c>
      <c r="I15" s="51">
        <v>17.951343999999999</v>
      </c>
      <c r="J15" s="51">
        <v>18.518692000000001</v>
      </c>
      <c r="K15" s="51">
        <v>19.081634999999999</v>
      </c>
      <c r="L15" s="363">
        <v>19.315619000000002</v>
      </c>
      <c r="M15" s="51">
        <v>19.436008000000001</v>
      </c>
      <c r="N15" s="51">
        <v>19.447486999999999</v>
      </c>
      <c r="O15" s="51">
        <v>19.288515</v>
      </c>
      <c r="P15" s="51">
        <v>19.208214000000002</v>
      </c>
      <c r="Q15" s="363">
        <v>19.172118999999999</v>
      </c>
      <c r="R15" s="51">
        <v>19.224976000000002</v>
      </c>
      <c r="S15" s="51">
        <v>19.361560999999998</v>
      </c>
      <c r="T15" s="51">
        <v>19.296471</v>
      </c>
      <c r="U15" s="51">
        <v>19.121970999999998</v>
      </c>
      <c r="V15" s="363">
        <v>19.025997</v>
      </c>
      <c r="W15" s="51">
        <v>18.952034000000001</v>
      </c>
      <c r="X15" s="51">
        <v>18.876987</v>
      </c>
      <c r="Y15" s="51">
        <v>18.795649000000001</v>
      </c>
      <c r="Z15" s="51">
        <v>18.740780000000001</v>
      </c>
      <c r="AA15" s="363">
        <v>18.716656</v>
      </c>
      <c r="AB15" s="51">
        <v>18.723572000000001</v>
      </c>
      <c r="AC15" s="51">
        <v>18.715553</v>
      </c>
      <c r="AD15" s="51">
        <v>18.755732999999999</v>
      </c>
      <c r="AE15" s="51">
        <v>18.791843</v>
      </c>
      <c r="AF15" s="363">
        <v>18.821131000000001</v>
      </c>
      <c r="AG15" s="364">
        <v>4.2729999999999999E-3</v>
      </c>
      <c r="AI15" s="27">
        <f>G15/G$18</f>
        <v>0.28643653492445148</v>
      </c>
      <c r="AJ15" s="27">
        <f>AF15/AF$18</f>
        <v>0.20476861563159504</v>
      </c>
      <c r="AK15" s="107" t="s">
        <v>537</v>
      </c>
    </row>
    <row r="16" spans="1:39" x14ac:dyDescent="0.2">
      <c r="A16" s="107" t="s">
        <v>538</v>
      </c>
      <c r="B16" s="362">
        <v>0.35084646940231301</v>
      </c>
      <c r="C16" s="129">
        <v>0.367501080036163</v>
      </c>
      <c r="D16" s="51">
        <v>0.340947</v>
      </c>
      <c r="E16" s="51">
        <v>0.31032900000000002</v>
      </c>
      <c r="F16" s="51">
        <v>0.48998599999999998</v>
      </c>
      <c r="G16" s="363">
        <v>0.40219700000000003</v>
      </c>
      <c r="H16" s="51">
        <v>0.417491</v>
      </c>
      <c r="I16" s="51">
        <v>0.41837600000000003</v>
      </c>
      <c r="J16" s="51">
        <v>0.44021100000000002</v>
      </c>
      <c r="K16" s="51">
        <v>0.46605600000000003</v>
      </c>
      <c r="L16" s="363">
        <v>0.48468800000000001</v>
      </c>
      <c r="M16" s="51">
        <v>0.50787899999999997</v>
      </c>
      <c r="N16" s="51">
        <v>0.53335399999999999</v>
      </c>
      <c r="O16" s="51">
        <v>0.55982299999999996</v>
      </c>
      <c r="P16" s="51">
        <v>0.59242099999999998</v>
      </c>
      <c r="Q16" s="363">
        <v>0.629776</v>
      </c>
      <c r="R16" s="51">
        <v>0.67264199999999996</v>
      </c>
      <c r="S16" s="51">
        <v>0.72144799999999998</v>
      </c>
      <c r="T16" s="51">
        <v>0.76392899999999997</v>
      </c>
      <c r="U16" s="51">
        <v>0.80128900000000003</v>
      </c>
      <c r="V16" s="363">
        <v>0.84243500000000004</v>
      </c>
      <c r="W16" s="51">
        <v>0.88694799999999996</v>
      </c>
      <c r="X16" s="51">
        <v>0.93302200000000002</v>
      </c>
      <c r="Y16" s="51">
        <v>0.97960999999999998</v>
      </c>
      <c r="Z16" s="51">
        <v>1.02545</v>
      </c>
      <c r="AA16" s="363">
        <v>1.0716570000000001</v>
      </c>
      <c r="AB16" s="51">
        <v>1.1166290000000001</v>
      </c>
      <c r="AC16" s="51">
        <v>1.157524</v>
      </c>
      <c r="AD16" s="51">
        <v>1.1983239999999999</v>
      </c>
      <c r="AE16" s="51">
        <v>1.2340370000000001</v>
      </c>
      <c r="AF16" s="363">
        <v>1.263336</v>
      </c>
      <c r="AG16" s="364">
        <v>4.6847E-2</v>
      </c>
      <c r="AI16" s="27">
        <f>G16/G$18</f>
        <v>6.8095457269400899E-3</v>
      </c>
      <c r="AJ16" s="27">
        <f>AF16/AF$18</f>
        <v>1.3744740621461948E-2</v>
      </c>
      <c r="AK16" s="107" t="s">
        <v>538</v>
      </c>
    </row>
    <row r="17" spans="1:40" x14ac:dyDescent="0.2">
      <c r="A17" s="107" t="s">
        <v>539</v>
      </c>
      <c r="B17" s="362">
        <v>0.25121560692787198</v>
      </c>
      <c r="C17" s="129">
        <v>0.32437503337860102</v>
      </c>
      <c r="D17" s="51">
        <v>0.32399299999999998</v>
      </c>
      <c r="E17" s="51">
        <v>0.30029299999999998</v>
      </c>
      <c r="F17" s="51">
        <v>0.576098</v>
      </c>
      <c r="G17" s="363">
        <v>0.454878</v>
      </c>
      <c r="H17" s="51">
        <v>0.431425</v>
      </c>
      <c r="I17" s="51">
        <v>0.40191199999999999</v>
      </c>
      <c r="J17" s="51">
        <v>0.39066499999999998</v>
      </c>
      <c r="K17" s="51">
        <v>0.38464500000000001</v>
      </c>
      <c r="L17" s="363">
        <v>0.37958799999999998</v>
      </c>
      <c r="M17" s="51">
        <v>0.38075999999999999</v>
      </c>
      <c r="N17" s="51">
        <v>0.38741500000000001</v>
      </c>
      <c r="O17" s="51">
        <v>0.428647</v>
      </c>
      <c r="P17" s="51">
        <v>0.48207</v>
      </c>
      <c r="Q17" s="363">
        <v>0.54332499999999995</v>
      </c>
      <c r="R17" s="51">
        <v>0.61339900000000003</v>
      </c>
      <c r="S17" s="51">
        <v>0.69206699999999999</v>
      </c>
      <c r="T17" s="51">
        <v>0.76492400000000005</v>
      </c>
      <c r="U17" s="51">
        <v>0.83102600000000004</v>
      </c>
      <c r="V17" s="363">
        <v>0.89720299999999997</v>
      </c>
      <c r="W17" s="51">
        <v>0.961924</v>
      </c>
      <c r="X17" s="51">
        <v>1.022416</v>
      </c>
      <c r="Y17" s="51">
        <v>1.0776319999999999</v>
      </c>
      <c r="Z17" s="51">
        <v>1.1279269999999999</v>
      </c>
      <c r="AA17" s="363">
        <v>1.229806</v>
      </c>
      <c r="AB17" s="51">
        <v>1.3278829999999999</v>
      </c>
      <c r="AC17" s="51">
        <v>1.4157310000000001</v>
      </c>
      <c r="AD17" s="51">
        <v>1.4992620000000001</v>
      </c>
      <c r="AE17" s="51">
        <v>1.57267</v>
      </c>
      <c r="AF17" s="363">
        <v>1.6356599999999999</v>
      </c>
      <c r="AG17" s="364">
        <v>5.2524000000000001E-2</v>
      </c>
      <c r="AI17" s="27">
        <f>G17/G$18</f>
        <v>7.7014809687269026E-3</v>
      </c>
      <c r="AJ17" s="27">
        <f>AF17/AF$18</f>
        <v>1.7795521100404367E-2</v>
      </c>
      <c r="AK17" s="107" t="s">
        <v>539</v>
      </c>
    </row>
    <row r="18" spans="1:40" x14ac:dyDescent="0.2">
      <c r="A18" s="107" t="s">
        <v>540</v>
      </c>
      <c r="B18" s="362">
        <v>49.381179809570298</v>
      </c>
      <c r="C18" s="129">
        <v>49.302024841308601</v>
      </c>
      <c r="D18" s="51">
        <v>56.129570000000001</v>
      </c>
      <c r="E18" s="51">
        <v>54.304946999999999</v>
      </c>
      <c r="F18" s="51">
        <v>61.601677000000002</v>
      </c>
      <c r="G18" s="363">
        <v>59.063704999999999</v>
      </c>
      <c r="H18" s="51">
        <v>63.036864999999999</v>
      </c>
      <c r="I18" s="51">
        <v>64.577110000000005</v>
      </c>
      <c r="J18" s="51">
        <v>67.823402000000002</v>
      </c>
      <c r="K18" s="51">
        <v>71.429931999999994</v>
      </c>
      <c r="L18" s="363">
        <v>74.015288999999996</v>
      </c>
      <c r="M18" s="51">
        <v>76.126609999999999</v>
      </c>
      <c r="N18" s="51">
        <v>77.684005999999997</v>
      </c>
      <c r="O18" s="51">
        <v>78.511657999999997</v>
      </c>
      <c r="P18" s="51">
        <v>79.607483000000002</v>
      </c>
      <c r="Q18" s="363">
        <v>80.757277999999999</v>
      </c>
      <c r="R18" s="51">
        <v>82.227097000000001</v>
      </c>
      <c r="S18" s="51">
        <v>84.053382999999997</v>
      </c>
      <c r="T18" s="51">
        <v>85.021148999999994</v>
      </c>
      <c r="U18" s="51">
        <v>85.412139999999994</v>
      </c>
      <c r="V18" s="363">
        <v>86.015427000000003</v>
      </c>
      <c r="W18" s="51">
        <v>86.678284000000005</v>
      </c>
      <c r="X18" s="51">
        <v>87.256073000000001</v>
      </c>
      <c r="Y18" s="51">
        <v>87.712554999999995</v>
      </c>
      <c r="Z18" s="51">
        <v>88.154358000000002</v>
      </c>
      <c r="AA18" s="363">
        <v>88.763779</v>
      </c>
      <c r="AB18" s="51">
        <v>89.428100999999998</v>
      </c>
      <c r="AC18" s="51">
        <v>89.921913000000004</v>
      </c>
      <c r="AD18" s="51">
        <v>90.645859000000002</v>
      </c>
      <c r="AE18" s="51">
        <v>91.342995000000002</v>
      </c>
      <c r="AF18" s="363">
        <v>91.914139000000006</v>
      </c>
      <c r="AG18" s="364">
        <v>1.7846999999999998E-2</v>
      </c>
    </row>
    <row r="19" spans="1:40" x14ac:dyDescent="0.2">
      <c r="A19" s="107" t="s">
        <v>541</v>
      </c>
      <c r="B19" s="251"/>
      <c r="G19" s="251"/>
      <c r="L19" s="251"/>
      <c r="Q19" s="251"/>
      <c r="V19" s="251"/>
      <c r="AA19" s="251"/>
      <c r="AF19" s="251"/>
      <c r="AI19" s="12">
        <v>2010</v>
      </c>
      <c r="AJ19" s="12">
        <v>2035</v>
      </c>
    </row>
    <row r="20" spans="1:40" x14ac:dyDescent="0.2">
      <c r="A20" s="107" t="s">
        <v>536</v>
      </c>
      <c r="B20" s="362">
        <v>176.78933715820301</v>
      </c>
      <c r="C20" s="129">
        <v>183.60368347168</v>
      </c>
      <c r="D20" s="51">
        <v>177.66456600000001</v>
      </c>
      <c r="E20" s="51">
        <v>166.054123</v>
      </c>
      <c r="F20" s="51">
        <v>172.040222</v>
      </c>
      <c r="G20" s="363">
        <v>169.428787</v>
      </c>
      <c r="H20" s="51">
        <v>172.95489499999999</v>
      </c>
      <c r="I20" s="51">
        <v>173.84170499999999</v>
      </c>
      <c r="J20" s="51">
        <v>179.80900600000001</v>
      </c>
      <c r="K20" s="51">
        <v>188.03845200000001</v>
      </c>
      <c r="L20" s="363">
        <v>194.69035299999999</v>
      </c>
      <c r="M20" s="51">
        <v>200.12217699999999</v>
      </c>
      <c r="N20" s="51">
        <v>203.98966999999999</v>
      </c>
      <c r="O20" s="51">
        <v>206.226181</v>
      </c>
      <c r="P20" s="51">
        <v>209.057312</v>
      </c>
      <c r="Q20" s="363">
        <v>211.45517000000001</v>
      </c>
      <c r="R20" s="51">
        <v>214.38797</v>
      </c>
      <c r="S20" s="51">
        <v>218.63294999999999</v>
      </c>
      <c r="T20" s="51">
        <v>221.66980000000001</v>
      </c>
      <c r="U20" s="51">
        <v>223.79960600000001</v>
      </c>
      <c r="V20" s="363">
        <v>226.495667</v>
      </c>
      <c r="W20" s="51">
        <v>229.15974399999999</v>
      </c>
      <c r="X20" s="51">
        <v>231.37887599999999</v>
      </c>
      <c r="Y20" s="51">
        <v>233.061035</v>
      </c>
      <c r="Z20" s="51">
        <v>234.4879</v>
      </c>
      <c r="AA20" s="363">
        <v>236.39494300000001</v>
      </c>
      <c r="AB20" s="51">
        <v>238.288025</v>
      </c>
      <c r="AC20" s="51">
        <v>239.852081</v>
      </c>
      <c r="AD20" s="51">
        <v>242.26164199999999</v>
      </c>
      <c r="AE20" s="51">
        <v>245.065338</v>
      </c>
      <c r="AF20" s="363">
        <v>247.798462</v>
      </c>
      <c r="AG20" s="364">
        <v>1.5324000000000001E-2</v>
      </c>
      <c r="AI20" s="27" t="e">
        <f>(G20-#REF!)/G$24</f>
        <v>#REF!</v>
      </c>
      <c r="AJ20" s="27" t="e">
        <f>(AF20-#REF!)/AF$24</f>
        <v>#REF!</v>
      </c>
      <c r="AK20" s="107" t="s">
        <v>536</v>
      </c>
      <c r="AN20" s="27"/>
    </row>
    <row r="21" spans="1:40" x14ac:dyDescent="0.2">
      <c r="A21" s="107" t="s">
        <v>537</v>
      </c>
      <c r="B21" s="362">
        <v>1.80298852920532</v>
      </c>
      <c r="C21" s="129">
        <v>1.8428202867507899</v>
      </c>
      <c r="D21" s="51">
        <v>6.49458</v>
      </c>
      <c r="E21" s="51">
        <v>6.3707969999999996</v>
      </c>
      <c r="F21" s="51">
        <v>5.8514090000000003</v>
      </c>
      <c r="G21" s="363">
        <v>4.5641489999999996</v>
      </c>
      <c r="H21" s="51">
        <v>4.5015320000000001</v>
      </c>
      <c r="I21" s="51">
        <v>4.2701950000000002</v>
      </c>
      <c r="J21" s="51">
        <v>4.141235</v>
      </c>
      <c r="K21" s="51">
        <v>4.0204000000000004</v>
      </c>
      <c r="L21" s="363">
        <v>3.8615740000000001</v>
      </c>
      <c r="M21" s="51">
        <v>3.7112069999999999</v>
      </c>
      <c r="N21" s="51">
        <v>3.5850919999999999</v>
      </c>
      <c r="O21" s="51">
        <v>3.4758499999999999</v>
      </c>
      <c r="P21" s="51">
        <v>3.4217659999999999</v>
      </c>
      <c r="Q21" s="363">
        <v>3.3917980000000001</v>
      </c>
      <c r="R21" s="51">
        <v>3.400887</v>
      </c>
      <c r="S21" s="51">
        <v>3.4470260000000001</v>
      </c>
      <c r="T21" s="51">
        <v>3.4669379999999999</v>
      </c>
      <c r="U21" s="51">
        <v>3.4655659999999999</v>
      </c>
      <c r="V21" s="363">
        <v>3.4833539999999998</v>
      </c>
      <c r="W21" s="51">
        <v>3.5106389999999998</v>
      </c>
      <c r="X21" s="51">
        <v>3.520416</v>
      </c>
      <c r="Y21" s="51">
        <v>3.5244879999999998</v>
      </c>
      <c r="Z21" s="51">
        <v>3.5276360000000002</v>
      </c>
      <c r="AA21" s="363">
        <v>3.5373649999999999</v>
      </c>
      <c r="AB21" s="51">
        <v>3.5356350000000001</v>
      </c>
      <c r="AC21" s="51">
        <v>3.536368</v>
      </c>
      <c r="AD21" s="51">
        <v>3.5490849999999998</v>
      </c>
      <c r="AE21" s="51">
        <v>3.560289</v>
      </c>
      <c r="AF21" s="363">
        <v>3.5664319999999998</v>
      </c>
      <c r="AG21" s="364">
        <v>-9.8180000000000003E-3</v>
      </c>
      <c r="AI21" s="27">
        <f>G21/G$24</f>
        <v>2.6124388244067931E-2</v>
      </c>
      <c r="AJ21" s="27">
        <f>AF21/AF$24</f>
        <v>1.4078889701601312E-2</v>
      </c>
      <c r="AK21" s="107" t="s">
        <v>537</v>
      </c>
      <c r="AN21" s="27"/>
    </row>
    <row r="22" spans="1:40" x14ac:dyDescent="0.2">
      <c r="A22" s="107" t="s">
        <v>538</v>
      </c>
      <c r="B22" s="362">
        <v>0.17936179041862499</v>
      </c>
      <c r="C22" s="129">
        <v>0.20611794292926799</v>
      </c>
      <c r="D22" s="51">
        <v>0.705426</v>
      </c>
      <c r="E22" s="51">
        <v>0.58397399999999999</v>
      </c>
      <c r="F22" s="51">
        <v>0.82510399999999995</v>
      </c>
      <c r="G22" s="363">
        <v>0.62343199999999999</v>
      </c>
      <c r="H22" s="51">
        <v>0.58957599999999999</v>
      </c>
      <c r="I22" s="51">
        <v>0.534744</v>
      </c>
      <c r="J22" s="51">
        <v>0.50366100000000003</v>
      </c>
      <c r="K22" s="51">
        <v>0.47417399999999998</v>
      </c>
      <c r="L22" s="363">
        <v>0.44156899999999999</v>
      </c>
      <c r="M22" s="51">
        <v>0.41182299999999999</v>
      </c>
      <c r="N22" s="51">
        <v>0.38524900000000001</v>
      </c>
      <c r="O22" s="51">
        <v>0.359462</v>
      </c>
      <c r="P22" s="51">
        <v>0.33876499999999998</v>
      </c>
      <c r="Q22" s="363">
        <v>0.322577</v>
      </c>
      <c r="R22" s="51">
        <v>0.31470100000000001</v>
      </c>
      <c r="S22" s="51">
        <v>0.31552200000000002</v>
      </c>
      <c r="T22" s="51">
        <v>0.31085000000000002</v>
      </c>
      <c r="U22" s="51">
        <v>0.30618499999999998</v>
      </c>
      <c r="V22" s="363">
        <v>0.305894</v>
      </c>
      <c r="W22" s="51">
        <v>0.31117600000000001</v>
      </c>
      <c r="X22" s="51">
        <v>0.31305500000000003</v>
      </c>
      <c r="Y22" s="51">
        <v>0.31421100000000002</v>
      </c>
      <c r="Z22" s="51">
        <v>0.316139</v>
      </c>
      <c r="AA22" s="363">
        <v>0.31824400000000003</v>
      </c>
      <c r="AB22" s="51">
        <v>0.321855</v>
      </c>
      <c r="AC22" s="51">
        <v>0.32464199999999999</v>
      </c>
      <c r="AD22" s="51">
        <v>0.32847799999999999</v>
      </c>
      <c r="AE22" s="51">
        <v>0.33174700000000001</v>
      </c>
      <c r="AF22" s="363">
        <v>0.334476</v>
      </c>
      <c r="AG22" s="364">
        <v>-2.4598999999999999E-2</v>
      </c>
      <c r="AI22" s="27">
        <f>G22/G$24</f>
        <v>3.5684154070727662E-3</v>
      </c>
      <c r="AJ22" s="27">
        <f>AF22/AF$24</f>
        <v>1.3203814657990957E-3</v>
      </c>
      <c r="AK22" s="107" t="s">
        <v>538</v>
      </c>
      <c r="AN22" s="27"/>
    </row>
    <row r="23" spans="1:40" x14ac:dyDescent="0.2">
      <c r="A23" s="107" t="s">
        <v>539</v>
      </c>
      <c r="B23" s="362">
        <v>0.23658041656017301</v>
      </c>
      <c r="C23" s="129">
        <v>0.31865936517715499</v>
      </c>
      <c r="D23" s="51">
        <v>6.7993999999999999E-2</v>
      </c>
      <c r="E23" s="51">
        <v>8.7350999999999998E-2</v>
      </c>
      <c r="F23" s="51">
        <v>0.101836</v>
      </c>
      <c r="G23" s="363">
        <v>9.2052999999999996E-2</v>
      </c>
      <c r="H23" s="51">
        <v>0.114277</v>
      </c>
      <c r="I23" s="51">
        <v>0.140463</v>
      </c>
      <c r="J23" s="51">
        <v>0.23663200000000001</v>
      </c>
      <c r="K23" s="51">
        <v>0.29417399999999999</v>
      </c>
      <c r="L23" s="363">
        <v>0.35567599999999999</v>
      </c>
      <c r="M23" s="51">
        <v>0.418568</v>
      </c>
      <c r="N23" s="51">
        <v>0.48046</v>
      </c>
      <c r="O23" s="51">
        <v>0.54323699999999997</v>
      </c>
      <c r="P23" s="51">
        <v>0.61316499999999996</v>
      </c>
      <c r="Q23" s="363">
        <v>0.68588899999999997</v>
      </c>
      <c r="R23" s="51">
        <v>0.76490499999999995</v>
      </c>
      <c r="S23" s="51">
        <v>0.853244</v>
      </c>
      <c r="T23" s="51">
        <v>0.93850699999999998</v>
      </c>
      <c r="U23" s="51">
        <v>1.0161979999999999</v>
      </c>
      <c r="V23" s="363">
        <v>1.090838</v>
      </c>
      <c r="W23" s="51">
        <v>1.1610549999999999</v>
      </c>
      <c r="X23" s="51">
        <v>1.2256720000000001</v>
      </c>
      <c r="Y23" s="51">
        <v>1.283606</v>
      </c>
      <c r="Z23" s="51">
        <v>1.336735</v>
      </c>
      <c r="AA23" s="363">
        <v>1.3887229999999999</v>
      </c>
      <c r="AB23" s="51">
        <v>1.438493</v>
      </c>
      <c r="AC23" s="51">
        <v>1.4840260000000001</v>
      </c>
      <c r="AD23" s="51">
        <v>1.531819</v>
      </c>
      <c r="AE23" s="51">
        <v>1.5777410000000001</v>
      </c>
      <c r="AF23" s="363">
        <v>1.618366</v>
      </c>
      <c r="AG23" s="364">
        <v>0.121506</v>
      </c>
      <c r="AI23" s="27">
        <f>G23/G$24</f>
        <v>5.2689522428632052E-4</v>
      </c>
      <c r="AJ23" s="27">
        <f>AF23/AF$24</f>
        <v>6.388681015317749E-3</v>
      </c>
      <c r="AK23" s="107" t="s">
        <v>539</v>
      </c>
      <c r="AN23" s="27"/>
    </row>
    <row r="24" spans="1:40" x14ac:dyDescent="0.2">
      <c r="A24" s="107" t="s">
        <v>542</v>
      </c>
      <c r="B24" s="362">
        <v>179.00827026367199</v>
      </c>
      <c r="C24" s="129">
        <v>185.97129821777301</v>
      </c>
      <c r="D24" s="51">
        <v>184.932526</v>
      </c>
      <c r="E24" s="51">
        <v>173.09625199999999</v>
      </c>
      <c r="F24" s="51">
        <v>178.81852699999999</v>
      </c>
      <c r="G24" s="363">
        <v>174.708359</v>
      </c>
      <c r="H24" s="51">
        <v>178.16021699999999</v>
      </c>
      <c r="I24" s="51">
        <v>178.787094</v>
      </c>
      <c r="J24" s="51">
        <v>184.690552</v>
      </c>
      <c r="K24" s="51">
        <v>192.82704200000001</v>
      </c>
      <c r="L24" s="363">
        <v>199.34922800000001</v>
      </c>
      <c r="M24" s="51">
        <v>204.66377299999999</v>
      </c>
      <c r="N24" s="51">
        <v>208.44042999999999</v>
      </c>
      <c r="O24" s="51">
        <v>210.604736</v>
      </c>
      <c r="P24" s="51">
        <v>213.430969</v>
      </c>
      <c r="Q24" s="363">
        <v>215.855301</v>
      </c>
      <c r="R24" s="51">
        <v>218.868469</v>
      </c>
      <c r="S24" s="51">
        <v>223.24870300000001</v>
      </c>
      <c r="T24" s="51">
        <v>226.386124</v>
      </c>
      <c r="U24" s="51">
        <v>228.58753999999999</v>
      </c>
      <c r="V24" s="363">
        <v>231.375687</v>
      </c>
      <c r="W24" s="51">
        <v>234.14269999999999</v>
      </c>
      <c r="X24" s="51">
        <v>236.43808000000001</v>
      </c>
      <c r="Y24" s="51">
        <v>238.183289</v>
      </c>
      <c r="Z24" s="51">
        <v>239.66842700000001</v>
      </c>
      <c r="AA24" s="363">
        <v>241.63931299999999</v>
      </c>
      <c r="AB24" s="51">
        <v>243.58393899999999</v>
      </c>
      <c r="AC24" s="51">
        <v>245.19697600000001</v>
      </c>
      <c r="AD24" s="51">
        <v>247.67103599999999</v>
      </c>
      <c r="AE24" s="51">
        <v>250.53512599999999</v>
      </c>
      <c r="AF24" s="363">
        <v>253.31770299999999</v>
      </c>
      <c r="AG24" s="364">
        <v>1.4971999999999999E-2</v>
      </c>
      <c r="AI24" s="51"/>
    </row>
    <row r="25" spans="1:40" x14ac:dyDescent="0.2">
      <c r="A25" s="107" t="s">
        <v>543</v>
      </c>
      <c r="B25" s="362">
        <v>228.38946533203099</v>
      </c>
      <c r="C25" s="129">
        <v>235.27334594726599</v>
      </c>
      <c r="D25" s="51">
        <v>241.062164</v>
      </c>
      <c r="E25" s="51">
        <v>227.40121500000001</v>
      </c>
      <c r="F25" s="51">
        <v>240.42022700000001</v>
      </c>
      <c r="G25" s="363">
        <v>233.77207899999999</v>
      </c>
      <c r="H25" s="51">
        <v>241.19708299999999</v>
      </c>
      <c r="I25" s="51">
        <v>243.36421200000001</v>
      </c>
      <c r="J25" s="51">
        <v>252.51397700000001</v>
      </c>
      <c r="K25" s="51">
        <v>264.25711100000001</v>
      </c>
      <c r="L25" s="363">
        <v>273.36447099999998</v>
      </c>
      <c r="M25" s="51">
        <v>280.790527</v>
      </c>
      <c r="N25" s="51">
        <v>286.12435900000003</v>
      </c>
      <c r="O25" s="51">
        <v>289.11648600000001</v>
      </c>
      <c r="P25" s="51">
        <v>293.038208</v>
      </c>
      <c r="Q25" s="363">
        <v>296.61282299999999</v>
      </c>
      <c r="R25" s="51">
        <v>301.09570300000001</v>
      </c>
      <c r="S25" s="51">
        <v>307.30230699999998</v>
      </c>
      <c r="T25" s="51">
        <v>311.40713499999998</v>
      </c>
      <c r="U25" s="51">
        <v>313.99951199999998</v>
      </c>
      <c r="V25" s="363">
        <v>317.39135700000003</v>
      </c>
      <c r="W25" s="51">
        <v>320.82074</v>
      </c>
      <c r="X25" s="51">
        <v>323.69369499999999</v>
      </c>
      <c r="Y25" s="51">
        <v>325.89599600000003</v>
      </c>
      <c r="Z25" s="51">
        <v>327.82290599999999</v>
      </c>
      <c r="AA25" s="363">
        <v>330.40283199999999</v>
      </c>
      <c r="AB25" s="51">
        <v>333.01217700000001</v>
      </c>
      <c r="AC25" s="51">
        <v>335.11914100000001</v>
      </c>
      <c r="AD25" s="51">
        <v>338.31707799999998</v>
      </c>
      <c r="AE25" s="51">
        <v>341.87820399999998</v>
      </c>
      <c r="AF25" s="363">
        <v>345.231537</v>
      </c>
      <c r="AG25" s="364">
        <v>1.5716999999999998E-2</v>
      </c>
    </row>
    <row r="26" spans="1:40" x14ac:dyDescent="0.2">
      <c r="B26" s="251">
        <f>B14/B20</f>
        <v>0.19606967973426015</v>
      </c>
      <c r="C26" s="12">
        <f>C14/C20</f>
        <v>0.19041248682439088</v>
      </c>
      <c r="D26" s="12">
        <f>D14/D20</f>
        <v>0.22335086220850586</v>
      </c>
      <c r="E26" s="12">
        <f>E14/E20</f>
        <v>0.22822492639944866</v>
      </c>
      <c r="G26" s="251"/>
      <c r="L26" s="251"/>
      <c r="Q26" s="251"/>
      <c r="V26" s="251"/>
      <c r="AA26" s="251"/>
      <c r="AF26" s="251"/>
    </row>
    <row r="27" spans="1:40" x14ac:dyDescent="0.2">
      <c r="A27" s="107" t="s">
        <v>544</v>
      </c>
      <c r="B27" s="251"/>
      <c r="G27" s="251"/>
      <c r="L27" s="251"/>
      <c r="Q27" s="251"/>
      <c r="V27" s="251"/>
      <c r="AA27" s="251"/>
      <c r="AF27" s="251"/>
      <c r="AI27" s="12" t="s">
        <v>545</v>
      </c>
    </row>
    <row r="28" spans="1:40" x14ac:dyDescent="0.2">
      <c r="A28" s="107" t="s">
        <v>546</v>
      </c>
      <c r="B28" s="251"/>
      <c r="G28" s="251"/>
      <c r="L28" s="251"/>
      <c r="Q28" s="251"/>
      <c r="V28" s="251"/>
      <c r="AA28" s="251"/>
      <c r="AF28" s="251"/>
      <c r="AI28" s="12">
        <v>2010</v>
      </c>
      <c r="AJ28" s="12">
        <v>2035</v>
      </c>
    </row>
    <row r="29" spans="1:40" x14ac:dyDescent="0.2">
      <c r="A29" s="107" t="s">
        <v>536</v>
      </c>
      <c r="B29" s="362">
        <v>519.48193359375</v>
      </c>
      <c r="C29" s="129">
        <v>522.79815673828102</v>
      </c>
      <c r="D29" s="51">
        <v>618.30261199999995</v>
      </c>
      <c r="E29" s="51">
        <v>590.83520499999997</v>
      </c>
      <c r="F29" s="51">
        <v>548.52972399999999</v>
      </c>
      <c r="G29" s="363">
        <v>557.60723900000005</v>
      </c>
      <c r="H29" s="51">
        <v>596.31542999999999</v>
      </c>
      <c r="I29" s="51">
        <v>615.83593800000006</v>
      </c>
      <c r="J29" s="51">
        <v>651.200378</v>
      </c>
      <c r="K29" s="51">
        <v>690.64050299999997</v>
      </c>
      <c r="L29" s="363">
        <v>719.28680399999996</v>
      </c>
      <c r="M29" s="51">
        <v>740.18817100000001</v>
      </c>
      <c r="N29" s="51">
        <v>752.70599400000003</v>
      </c>
      <c r="O29" s="51">
        <v>757.21679700000004</v>
      </c>
      <c r="P29" s="51">
        <v>763.82440199999996</v>
      </c>
      <c r="Q29" s="363">
        <v>770.42938200000003</v>
      </c>
      <c r="R29" s="51">
        <v>780.03936799999997</v>
      </c>
      <c r="S29" s="51">
        <v>793.19750999999997</v>
      </c>
      <c r="T29" s="51">
        <v>798.95056199999999</v>
      </c>
      <c r="U29" s="51">
        <v>799.53265399999998</v>
      </c>
      <c r="V29" s="363">
        <v>802.05401600000005</v>
      </c>
      <c r="W29" s="51">
        <v>805.39904799999999</v>
      </c>
      <c r="X29" s="51">
        <v>808.19311500000003</v>
      </c>
      <c r="Y29" s="51">
        <v>810.100098</v>
      </c>
      <c r="Z29" s="51">
        <v>811.96087599999998</v>
      </c>
      <c r="AA29" s="363">
        <v>815.52313200000003</v>
      </c>
      <c r="AB29" s="51">
        <v>819.94348100000002</v>
      </c>
      <c r="AC29" s="51">
        <v>823.10943599999996</v>
      </c>
      <c r="AD29" s="51">
        <v>829.04797399999995</v>
      </c>
      <c r="AE29" s="51">
        <v>835.40039100000001</v>
      </c>
      <c r="AF29" s="363">
        <v>840.79925500000002</v>
      </c>
      <c r="AG29" s="364">
        <v>1.6563999999999999E-2</v>
      </c>
      <c r="AI29" s="27">
        <f>G29/G$33</f>
        <v>0.67111333698424203</v>
      </c>
      <c r="AJ29" s="27">
        <f>AF29/AF$33</f>
        <v>0.73790034861451836</v>
      </c>
      <c r="AK29" s="107" t="s">
        <v>536</v>
      </c>
    </row>
    <row r="30" spans="1:40" x14ac:dyDescent="0.2">
      <c r="A30" s="107" t="s">
        <v>537</v>
      </c>
      <c r="B30" s="362">
        <v>205.95259094238301</v>
      </c>
      <c r="C30" s="129">
        <v>198.61874389648401</v>
      </c>
      <c r="D30" s="51">
        <v>251.35449199999999</v>
      </c>
      <c r="E30" s="51">
        <v>252.37237500000001</v>
      </c>
      <c r="F30" s="51">
        <v>310.95208700000001</v>
      </c>
      <c r="G30" s="363">
        <v>258.51861600000001</v>
      </c>
      <c r="H30" s="51">
        <v>272.062408</v>
      </c>
      <c r="I30" s="51">
        <v>274.20837399999999</v>
      </c>
      <c r="J30" s="51">
        <v>283.52981599999998</v>
      </c>
      <c r="K30" s="51">
        <v>293.25277699999998</v>
      </c>
      <c r="L30" s="363">
        <v>297.93335000000002</v>
      </c>
      <c r="M30" s="51">
        <v>300.23584</v>
      </c>
      <c r="N30" s="51">
        <v>300.33923299999998</v>
      </c>
      <c r="O30" s="51">
        <v>297.62905899999998</v>
      </c>
      <c r="P30" s="51">
        <v>295.91802999999999</v>
      </c>
      <c r="Q30" s="363">
        <v>294.61273199999999</v>
      </c>
      <c r="R30" s="51">
        <v>294.54153400000001</v>
      </c>
      <c r="S30" s="51">
        <v>295.66467299999999</v>
      </c>
      <c r="T30" s="51">
        <v>293.587311</v>
      </c>
      <c r="U30" s="51">
        <v>289.64538599999997</v>
      </c>
      <c r="V30" s="363">
        <v>286.59124800000001</v>
      </c>
      <c r="W30" s="51">
        <v>283.50845299999997</v>
      </c>
      <c r="X30" s="51">
        <v>280.07595800000001</v>
      </c>
      <c r="Y30" s="51">
        <v>276.205353</v>
      </c>
      <c r="Z30" s="51">
        <v>272.50366200000002</v>
      </c>
      <c r="AA30" s="363">
        <v>269.41751099999999</v>
      </c>
      <c r="AB30" s="51">
        <v>267.03625499999998</v>
      </c>
      <c r="AC30" s="51">
        <v>264.68710299999998</v>
      </c>
      <c r="AD30" s="51">
        <v>263.22454800000003</v>
      </c>
      <c r="AE30" s="51">
        <v>261.87042200000002</v>
      </c>
      <c r="AF30" s="363">
        <v>260.63168300000001</v>
      </c>
      <c r="AG30" s="364">
        <v>3.2600000000000001E-4</v>
      </c>
      <c r="AI30" s="27">
        <f>G30/G$33</f>
        <v>0.31114246538020257</v>
      </c>
      <c r="AJ30" s="27">
        <f>AF30/AF$33</f>
        <v>0.22873499066752698</v>
      </c>
      <c r="AK30" s="107" t="s">
        <v>537</v>
      </c>
    </row>
    <row r="31" spans="1:40" x14ac:dyDescent="0.2">
      <c r="A31" s="107" t="s">
        <v>538</v>
      </c>
      <c r="B31" s="362">
        <v>6.3498687744140598</v>
      </c>
      <c r="C31" s="129">
        <v>6.4819750785827601</v>
      </c>
      <c r="D31" s="51">
        <v>6.0405059999999997</v>
      </c>
      <c r="E31" s="51">
        <v>5.4870710000000003</v>
      </c>
      <c r="F31" s="51">
        <v>8.3932699999999993</v>
      </c>
      <c r="G31" s="363">
        <v>6.8051409999999999</v>
      </c>
      <c r="H31" s="51">
        <v>6.9852369999999997</v>
      </c>
      <c r="I31" s="51">
        <v>6.9441030000000001</v>
      </c>
      <c r="J31" s="51">
        <v>7.2414059999999996</v>
      </c>
      <c r="K31" s="51">
        <v>7.6029929999999997</v>
      </c>
      <c r="L31" s="363">
        <v>7.8405769999999997</v>
      </c>
      <c r="M31" s="51">
        <v>8.1305840000000007</v>
      </c>
      <c r="N31" s="51">
        <v>8.4404869999999992</v>
      </c>
      <c r="O31" s="51">
        <v>8.7615789999999993</v>
      </c>
      <c r="P31" s="51">
        <v>9.1736970000000007</v>
      </c>
      <c r="Q31" s="363">
        <v>9.6440190000000001</v>
      </c>
      <c r="R31" s="51">
        <v>10.19289</v>
      </c>
      <c r="S31" s="51">
        <v>10.820316</v>
      </c>
      <c r="T31" s="51">
        <v>11.335872</v>
      </c>
      <c r="U31" s="51">
        <v>11.758489000000001</v>
      </c>
      <c r="V31" s="363">
        <v>12.212474</v>
      </c>
      <c r="W31" s="51">
        <v>12.684711999999999</v>
      </c>
      <c r="X31" s="51">
        <v>13.145295000000001</v>
      </c>
      <c r="Y31" s="51">
        <v>13.580814</v>
      </c>
      <c r="Z31" s="51">
        <v>13.973299000000001</v>
      </c>
      <c r="AA31" s="363">
        <v>14.391781999999999</v>
      </c>
      <c r="AB31" s="51">
        <v>14.813559</v>
      </c>
      <c r="AC31" s="51">
        <v>15.195923000000001</v>
      </c>
      <c r="AD31" s="51">
        <v>15.593773000000001</v>
      </c>
      <c r="AE31" s="51">
        <v>15.9422</v>
      </c>
      <c r="AF31" s="363">
        <v>16.222940000000001</v>
      </c>
      <c r="AG31" s="364">
        <v>3.5360999999999997E-2</v>
      </c>
      <c r="AI31" s="27">
        <f>G31/G$33</f>
        <v>8.1903902347980114E-3</v>
      </c>
      <c r="AJ31" s="27">
        <f>AF31/AF$33</f>
        <v>1.4237540067221414E-2</v>
      </c>
      <c r="AK31" s="107" t="s">
        <v>538</v>
      </c>
    </row>
    <row r="32" spans="1:40" x14ac:dyDescent="0.2">
      <c r="A32" s="107" t="s">
        <v>539</v>
      </c>
      <c r="B32" s="362">
        <v>4.05958795547485</v>
      </c>
      <c r="C32" s="129">
        <v>5.2013621330261204</v>
      </c>
      <c r="D32" s="51">
        <v>6.3068330000000001</v>
      </c>
      <c r="E32" s="51">
        <v>5.8346679999999997</v>
      </c>
      <c r="F32" s="51">
        <v>10.058491</v>
      </c>
      <c r="G32" s="363">
        <v>7.9379530000000003</v>
      </c>
      <c r="H32" s="51">
        <v>7.5185240000000002</v>
      </c>
      <c r="I32" s="51">
        <v>6.980245</v>
      </c>
      <c r="J32" s="51">
        <v>6.7495390000000004</v>
      </c>
      <c r="K32" s="51">
        <v>6.6000550000000002</v>
      </c>
      <c r="L32" s="363">
        <v>6.4528080000000001</v>
      </c>
      <c r="M32" s="51">
        <v>6.3901209999999997</v>
      </c>
      <c r="N32" s="51">
        <v>6.4000690000000002</v>
      </c>
      <c r="O32" s="51">
        <v>6.8301889999999998</v>
      </c>
      <c r="P32" s="51">
        <v>7.437093</v>
      </c>
      <c r="Q32" s="363">
        <v>8.162941</v>
      </c>
      <c r="R32" s="51">
        <v>9.0249959999999998</v>
      </c>
      <c r="S32" s="51">
        <v>10.017434</v>
      </c>
      <c r="T32" s="51">
        <v>10.935957</v>
      </c>
      <c r="U32" s="51">
        <v>11.767343</v>
      </c>
      <c r="V32" s="363">
        <v>12.606529</v>
      </c>
      <c r="W32" s="51">
        <v>13.431303</v>
      </c>
      <c r="X32" s="51">
        <v>14.206797</v>
      </c>
      <c r="Y32" s="51">
        <v>14.919250999999999</v>
      </c>
      <c r="Z32" s="51">
        <v>15.568892999999999</v>
      </c>
      <c r="AA32" s="363">
        <v>16.805427999999999</v>
      </c>
      <c r="AB32" s="51">
        <v>17.99897</v>
      </c>
      <c r="AC32" s="51">
        <v>19.070122000000001</v>
      </c>
      <c r="AD32" s="51">
        <v>20.100200999999998</v>
      </c>
      <c r="AE32" s="51">
        <v>21.008472000000001</v>
      </c>
      <c r="AF32" s="363">
        <v>21.794453000000001</v>
      </c>
      <c r="AG32" s="364">
        <v>4.1227E-2</v>
      </c>
      <c r="AI32" s="27">
        <f>G32/G$33</f>
        <v>9.5537965687243782E-3</v>
      </c>
      <c r="AJ32" s="27">
        <f>AF32/AF$33</f>
        <v>1.9127198758712907E-2</v>
      </c>
      <c r="AK32" s="107" t="s">
        <v>539</v>
      </c>
    </row>
    <row r="33" spans="1:37" x14ac:dyDescent="0.2">
      <c r="A33" s="107" t="s">
        <v>540</v>
      </c>
      <c r="B33" s="362">
        <v>735.84393310546898</v>
      </c>
      <c r="C33" s="129">
        <v>733.10021972656295</v>
      </c>
      <c r="D33" s="51">
        <v>882.00439500000005</v>
      </c>
      <c r="E33" s="51">
        <v>854.52929700000004</v>
      </c>
      <c r="F33" s="51">
        <v>877.93359399999997</v>
      </c>
      <c r="G33" s="363">
        <v>830.86895800000002</v>
      </c>
      <c r="H33" s="51">
        <v>882.88159199999996</v>
      </c>
      <c r="I33" s="51">
        <v>903.96856700000001</v>
      </c>
      <c r="J33" s="51">
        <v>948.72106900000006</v>
      </c>
      <c r="K33" s="51">
        <v>998.09631300000001</v>
      </c>
      <c r="L33" s="363">
        <v>1031.5135499999999</v>
      </c>
      <c r="M33" s="51">
        <v>1054.944702</v>
      </c>
      <c r="N33" s="51">
        <v>1067.8857419999999</v>
      </c>
      <c r="O33" s="51">
        <v>1070.4375</v>
      </c>
      <c r="P33" s="51">
        <v>1076.3532709999999</v>
      </c>
      <c r="Q33" s="363">
        <v>1082.849121</v>
      </c>
      <c r="R33" s="51">
        <v>1093.798828</v>
      </c>
      <c r="S33" s="51">
        <v>1109.6999510000001</v>
      </c>
      <c r="T33" s="51">
        <v>1114.8095699999999</v>
      </c>
      <c r="U33" s="51">
        <v>1112.703857</v>
      </c>
      <c r="V33" s="363">
        <v>1113.4643550000001</v>
      </c>
      <c r="W33" s="51">
        <v>1115.0235600000001</v>
      </c>
      <c r="X33" s="51">
        <v>1115.6210940000001</v>
      </c>
      <c r="Y33" s="51">
        <v>1114.8054199999999</v>
      </c>
      <c r="Z33" s="51">
        <v>1114.0067140000001</v>
      </c>
      <c r="AA33" s="363">
        <v>1116.137817</v>
      </c>
      <c r="AB33" s="51">
        <v>1119.7923579999999</v>
      </c>
      <c r="AC33" s="51">
        <v>1122.0626219999999</v>
      </c>
      <c r="AD33" s="51">
        <v>1127.9664310000001</v>
      </c>
      <c r="AE33" s="51">
        <v>1134.221436</v>
      </c>
      <c r="AF33" s="363">
        <v>1139.4482419999999</v>
      </c>
      <c r="AG33" s="364">
        <v>1.2713E-2</v>
      </c>
      <c r="AI33" s="51"/>
    </row>
    <row r="34" spans="1:37" x14ac:dyDescent="0.2">
      <c r="A34" s="107" t="s">
        <v>541</v>
      </c>
      <c r="B34" s="251"/>
      <c r="G34" s="251"/>
      <c r="L34" s="251"/>
      <c r="Q34" s="251"/>
      <c r="V34" s="251"/>
      <c r="AA34" s="251"/>
      <c r="AF34" s="251"/>
    </row>
    <row r="35" spans="1:37" x14ac:dyDescent="0.2">
      <c r="A35" s="107" t="s">
        <v>536</v>
      </c>
      <c r="B35" s="362">
        <v>3970.11889648438</v>
      </c>
      <c r="C35" s="129">
        <v>4118.05078125</v>
      </c>
      <c r="D35" s="51">
        <v>4011.2553710000002</v>
      </c>
      <c r="E35" s="51">
        <v>3750.5720209999999</v>
      </c>
      <c r="F35" s="51">
        <v>3910.343018</v>
      </c>
      <c r="G35" s="363">
        <v>3868.5620119999999</v>
      </c>
      <c r="H35" s="51">
        <v>3960.4333499999998</v>
      </c>
      <c r="I35" s="51">
        <v>3993.1357419999999</v>
      </c>
      <c r="J35" s="51">
        <v>4142.7895509999998</v>
      </c>
      <c r="K35" s="51">
        <v>4279.7714839999999</v>
      </c>
      <c r="L35" s="363">
        <v>4364.7714839999999</v>
      </c>
      <c r="M35" s="51">
        <v>4414.7314450000003</v>
      </c>
      <c r="N35" s="51">
        <v>4425.9741210000002</v>
      </c>
      <c r="O35" s="51">
        <v>4403.1528319999998</v>
      </c>
      <c r="P35" s="51">
        <v>4395.5410160000001</v>
      </c>
      <c r="Q35" s="363">
        <v>4383.7631840000004</v>
      </c>
      <c r="R35" s="51">
        <v>4386.7338870000003</v>
      </c>
      <c r="S35" s="51">
        <v>4418.0239259999998</v>
      </c>
      <c r="T35" s="51">
        <v>4426.7104490000002</v>
      </c>
      <c r="U35" s="51">
        <v>4421.1025390000004</v>
      </c>
      <c r="V35" s="363">
        <v>4431.3081050000001</v>
      </c>
      <c r="W35" s="51">
        <v>4443.8930659999996</v>
      </c>
      <c r="X35" s="51">
        <v>4450.75</v>
      </c>
      <c r="Y35" s="51">
        <v>4450.626953</v>
      </c>
      <c r="Z35" s="51">
        <v>4449.0390619999998</v>
      </c>
      <c r="AA35" s="363">
        <v>4460.1347660000001</v>
      </c>
      <c r="AB35" s="51">
        <v>4473.5771480000003</v>
      </c>
      <c r="AC35" s="51">
        <v>4483.0815430000002</v>
      </c>
      <c r="AD35" s="51">
        <v>4509.5439450000003</v>
      </c>
      <c r="AE35" s="51">
        <v>4545.4946289999998</v>
      </c>
      <c r="AF35" s="363">
        <v>4582.5649409999996</v>
      </c>
      <c r="AG35" s="364">
        <v>6.7980000000000002E-3</v>
      </c>
      <c r="AI35" s="27">
        <f>G35/G$39</f>
        <v>0.96919999386576516</v>
      </c>
      <c r="AJ35" s="27">
        <f>AF35/AF$39</f>
        <v>0.97414720924420717</v>
      </c>
      <c r="AK35" s="107" t="s">
        <v>536</v>
      </c>
    </row>
    <row r="36" spans="1:37" x14ac:dyDescent="0.2">
      <c r="A36" s="107" t="s">
        <v>537</v>
      </c>
      <c r="B36" s="362">
        <v>31.1826076507568</v>
      </c>
      <c r="C36" s="129">
        <v>31.7300109863281</v>
      </c>
      <c r="D36" s="51">
        <v>101.158867</v>
      </c>
      <c r="E36" s="51">
        <v>98.926308000000006</v>
      </c>
      <c r="F36" s="51">
        <v>136.55517599999999</v>
      </c>
      <c r="G36" s="363">
        <v>106.485527</v>
      </c>
      <c r="H36" s="51">
        <v>105.10256200000001</v>
      </c>
      <c r="I36" s="51">
        <v>99.826881</v>
      </c>
      <c r="J36" s="51">
        <v>96.985686999999999</v>
      </c>
      <c r="K36" s="51">
        <v>94.196067999999997</v>
      </c>
      <c r="L36" s="363">
        <v>90.501853999999994</v>
      </c>
      <c r="M36" s="51">
        <v>87.002212999999998</v>
      </c>
      <c r="N36" s="51">
        <v>84.050849999999997</v>
      </c>
      <c r="O36" s="51">
        <v>81.469077999999996</v>
      </c>
      <c r="P36" s="51">
        <v>80.137282999999996</v>
      </c>
      <c r="Q36" s="363">
        <v>79.367965999999996</v>
      </c>
      <c r="R36" s="51">
        <v>79.492485000000002</v>
      </c>
      <c r="S36" s="51">
        <v>80.469299000000007</v>
      </c>
      <c r="T36" s="51">
        <v>80.812331999999998</v>
      </c>
      <c r="U36" s="51">
        <v>80.660163999999995</v>
      </c>
      <c r="V36" s="363">
        <v>80.945144999999997</v>
      </c>
      <c r="W36" s="51">
        <v>81.453659000000002</v>
      </c>
      <c r="X36" s="51">
        <v>81.561477999999994</v>
      </c>
      <c r="Y36" s="51">
        <v>81.542831000000007</v>
      </c>
      <c r="Z36" s="51">
        <v>81.512054000000006</v>
      </c>
      <c r="AA36" s="363">
        <v>81.651268000000002</v>
      </c>
      <c r="AB36" s="51">
        <v>81.525261</v>
      </c>
      <c r="AC36" s="51">
        <v>81.464371</v>
      </c>
      <c r="AD36" s="51">
        <v>81.682213000000004</v>
      </c>
      <c r="AE36" s="51">
        <v>81.883674999999997</v>
      </c>
      <c r="AF36" s="363">
        <v>81.971717999999996</v>
      </c>
      <c r="AG36" s="364">
        <v>-1.0411E-2</v>
      </c>
      <c r="AI36" s="27">
        <f>G36/G$39</f>
        <v>2.667807102356274E-2</v>
      </c>
      <c r="AJ36" s="27">
        <f>AF36/AF$39</f>
        <v>1.74252894077324E-2</v>
      </c>
      <c r="AK36" s="107" t="s">
        <v>537</v>
      </c>
    </row>
    <row r="37" spans="1:37" x14ac:dyDescent="0.2">
      <c r="A37" s="107" t="s">
        <v>538</v>
      </c>
      <c r="B37" s="362">
        <v>3.3519840240478498</v>
      </c>
      <c r="C37" s="129">
        <v>3.7799224853515598</v>
      </c>
      <c r="D37" s="51">
        <v>16.854807000000001</v>
      </c>
      <c r="E37" s="51">
        <v>13.963946999999999</v>
      </c>
      <c r="F37" s="51">
        <v>18.985469999999999</v>
      </c>
      <c r="G37" s="363">
        <v>14.362627</v>
      </c>
      <c r="H37" s="51">
        <v>13.592226</v>
      </c>
      <c r="I37" s="51">
        <v>12.337058000000001</v>
      </c>
      <c r="J37" s="51">
        <v>11.630523</v>
      </c>
      <c r="K37" s="51">
        <v>10.939959</v>
      </c>
      <c r="L37" s="363">
        <v>10.171037999999999</v>
      </c>
      <c r="M37" s="51">
        <v>9.4677199999999999</v>
      </c>
      <c r="N37" s="51">
        <v>8.8367540000000009</v>
      </c>
      <c r="O37" s="51">
        <v>8.2234970000000001</v>
      </c>
      <c r="P37" s="51">
        <v>7.7258620000000002</v>
      </c>
      <c r="Q37" s="363">
        <v>7.3301470000000002</v>
      </c>
      <c r="R37" s="51">
        <v>7.1220829999999999</v>
      </c>
      <c r="S37" s="51">
        <v>7.1089729999999998</v>
      </c>
      <c r="T37" s="51">
        <v>6.9699980000000004</v>
      </c>
      <c r="U37" s="51">
        <v>6.8347499999999997</v>
      </c>
      <c r="V37" s="363">
        <v>6.8041119999999999</v>
      </c>
      <c r="W37" s="51">
        <v>6.9084510000000003</v>
      </c>
      <c r="X37" s="51">
        <v>6.9339560000000002</v>
      </c>
      <c r="Y37" s="51">
        <v>6.94564</v>
      </c>
      <c r="Z37" s="51">
        <v>6.9755849999999997</v>
      </c>
      <c r="AA37" s="363">
        <v>7.0116889999999996</v>
      </c>
      <c r="AB37" s="51">
        <v>7.0810890000000004</v>
      </c>
      <c r="AC37" s="51">
        <v>7.1333840000000004</v>
      </c>
      <c r="AD37" s="51">
        <v>7.2097090000000001</v>
      </c>
      <c r="AE37" s="51">
        <v>7.2745009999999999</v>
      </c>
      <c r="AF37" s="363">
        <v>7.3283940000000003</v>
      </c>
      <c r="AG37" s="364">
        <v>-2.6556E-2</v>
      </c>
      <c r="AI37" s="27">
        <f>G37/G$39</f>
        <v>3.5983029242174841E-3</v>
      </c>
      <c r="AJ37" s="27">
        <f>AF37/AF$39</f>
        <v>1.5578468947532573E-3</v>
      </c>
      <c r="AK37" s="107" t="s">
        <v>538</v>
      </c>
    </row>
    <row r="38" spans="1:37" x14ac:dyDescent="0.2">
      <c r="A38" s="107" t="s">
        <v>539</v>
      </c>
      <c r="B38" s="362">
        <v>4.1806263923645002</v>
      </c>
      <c r="C38" s="129">
        <v>5.5803079605102504</v>
      </c>
      <c r="D38" s="51">
        <v>1.530951</v>
      </c>
      <c r="E38" s="51">
        <v>1.965382</v>
      </c>
      <c r="F38" s="51">
        <v>2.3167930000000001</v>
      </c>
      <c r="G38" s="363">
        <v>2.0899139999999998</v>
      </c>
      <c r="H38" s="51">
        <v>2.5783879999999999</v>
      </c>
      <c r="I38" s="51">
        <v>3.1559819999999998</v>
      </c>
      <c r="J38" s="51">
        <v>5.294829</v>
      </c>
      <c r="K38" s="51">
        <v>6.507142</v>
      </c>
      <c r="L38" s="363">
        <v>7.7684009999999999</v>
      </c>
      <c r="M38" s="51">
        <v>9.0223049999999994</v>
      </c>
      <c r="N38" s="51">
        <v>10.215626</v>
      </c>
      <c r="O38" s="51">
        <v>11.410223999999999</v>
      </c>
      <c r="P38" s="51">
        <v>12.747334</v>
      </c>
      <c r="Q38" s="363">
        <v>14.143552</v>
      </c>
      <c r="R38" s="51">
        <v>15.672101</v>
      </c>
      <c r="S38" s="51">
        <v>17.39076</v>
      </c>
      <c r="T38" s="51">
        <v>19.046858</v>
      </c>
      <c r="U38" s="51">
        <v>20.552734000000001</v>
      </c>
      <c r="V38" s="363">
        <v>22.001418999999999</v>
      </c>
      <c r="W38" s="51">
        <v>23.363918000000002</v>
      </c>
      <c r="X38" s="51">
        <v>24.616351999999999</v>
      </c>
      <c r="Y38" s="51">
        <v>25.736778000000001</v>
      </c>
      <c r="Z38" s="51">
        <v>26.764385000000001</v>
      </c>
      <c r="AA38" s="363">
        <v>27.772933999999999</v>
      </c>
      <c r="AB38" s="51">
        <v>28.750916</v>
      </c>
      <c r="AC38" s="51">
        <v>29.641421999999999</v>
      </c>
      <c r="AD38" s="51">
        <v>30.586860999999999</v>
      </c>
      <c r="AE38" s="51">
        <v>31.501743000000001</v>
      </c>
      <c r="AF38" s="363">
        <v>32.315826000000001</v>
      </c>
      <c r="AG38" s="364">
        <v>0.115762</v>
      </c>
      <c r="AI38" s="27">
        <f>G38/G$39</f>
        <v>5.235910991466295E-4</v>
      </c>
      <c r="AJ38" s="27">
        <f>AF38/AF$39</f>
        <v>6.8695964198276695E-3</v>
      </c>
      <c r="AK38" s="107" t="s">
        <v>539</v>
      </c>
    </row>
    <row r="39" spans="1:37" x14ac:dyDescent="0.2">
      <c r="A39" s="107" t="s">
        <v>542</v>
      </c>
      <c r="B39" s="362">
        <v>4008.833984375</v>
      </c>
      <c r="C39" s="129">
        <v>4159.14111328125</v>
      </c>
      <c r="D39" s="51">
        <v>4130.8002930000002</v>
      </c>
      <c r="E39" s="51">
        <v>3865.4277339999999</v>
      </c>
      <c r="F39" s="51">
        <v>4068.2006839999999</v>
      </c>
      <c r="G39" s="363">
        <v>3991.5002439999998</v>
      </c>
      <c r="H39" s="51">
        <v>4081.7065429999998</v>
      </c>
      <c r="I39" s="51">
        <v>4108.4555659999996</v>
      </c>
      <c r="J39" s="51">
        <v>4256.7006840000004</v>
      </c>
      <c r="K39" s="51">
        <v>4391.4140619999998</v>
      </c>
      <c r="L39" s="363">
        <v>4473.2124020000001</v>
      </c>
      <c r="M39" s="51">
        <v>4520.2236329999996</v>
      </c>
      <c r="N39" s="51">
        <v>4529.0771480000003</v>
      </c>
      <c r="O39" s="51">
        <v>4504.2563479999999</v>
      </c>
      <c r="P39" s="51">
        <v>4496.1513670000004</v>
      </c>
      <c r="Q39" s="363">
        <v>4484.6044920000004</v>
      </c>
      <c r="R39" s="51">
        <v>4489.0200199999999</v>
      </c>
      <c r="S39" s="51">
        <v>4522.9931640000004</v>
      </c>
      <c r="T39" s="51">
        <v>4533.5395509999998</v>
      </c>
      <c r="U39" s="51">
        <v>4529.1499020000001</v>
      </c>
      <c r="V39" s="363">
        <v>4541.0576170000004</v>
      </c>
      <c r="W39" s="51">
        <v>4555.6196289999998</v>
      </c>
      <c r="X39" s="51">
        <v>4563.8618159999996</v>
      </c>
      <c r="Y39" s="51">
        <v>4564.8520509999998</v>
      </c>
      <c r="Z39" s="51">
        <v>4564.2915039999998</v>
      </c>
      <c r="AA39" s="363">
        <v>4576.5708009999998</v>
      </c>
      <c r="AB39" s="51">
        <v>4590.9340819999998</v>
      </c>
      <c r="AC39" s="51">
        <v>4601.3203119999998</v>
      </c>
      <c r="AD39" s="51">
        <v>4629.0224609999996</v>
      </c>
      <c r="AE39" s="51">
        <v>4666.154297</v>
      </c>
      <c r="AF39" s="363">
        <v>4704.1811520000001</v>
      </c>
      <c r="AG39" s="364">
        <v>6.5929999999999999E-3</v>
      </c>
    </row>
    <row r="40" spans="1:37" x14ac:dyDescent="0.2">
      <c r="A40" s="107" t="s">
        <v>547</v>
      </c>
      <c r="B40" s="251"/>
      <c r="G40" s="251"/>
      <c r="L40" s="251"/>
      <c r="Q40" s="251"/>
      <c r="V40" s="251"/>
      <c r="AA40" s="251"/>
      <c r="AF40" s="251"/>
    </row>
    <row r="41" spans="1:37" x14ac:dyDescent="0.2">
      <c r="A41" s="107" t="s">
        <v>536</v>
      </c>
      <c r="B41" s="362">
        <v>4489.6005859375</v>
      </c>
      <c r="C41" s="129">
        <v>4640.84912109375</v>
      </c>
      <c r="D41" s="51">
        <v>4629.5581050000001</v>
      </c>
      <c r="E41" s="51">
        <v>4341.4072269999997</v>
      </c>
      <c r="F41" s="51">
        <v>4458.8725590000004</v>
      </c>
      <c r="G41" s="363">
        <v>4426.1694340000004</v>
      </c>
      <c r="H41" s="51">
        <v>4556.7490230000003</v>
      </c>
      <c r="I41" s="51">
        <v>4608.9716799999997</v>
      </c>
      <c r="J41" s="51">
        <v>4793.9897460000002</v>
      </c>
      <c r="K41" s="51">
        <v>4970.4121089999999</v>
      </c>
      <c r="L41" s="363">
        <v>5084.0581050000001</v>
      </c>
      <c r="M41" s="51">
        <v>5154.9194340000004</v>
      </c>
      <c r="N41" s="51">
        <v>5178.6801759999998</v>
      </c>
      <c r="O41" s="51">
        <v>5160.3696289999998</v>
      </c>
      <c r="P41" s="51">
        <v>5159.3652339999999</v>
      </c>
      <c r="Q41" s="363">
        <v>5154.1923829999996</v>
      </c>
      <c r="R41" s="51">
        <v>5166.7734380000002</v>
      </c>
      <c r="S41" s="51">
        <v>5211.2216799999997</v>
      </c>
      <c r="T41" s="51">
        <v>5225.6611329999996</v>
      </c>
      <c r="U41" s="51">
        <v>5220.6352539999998</v>
      </c>
      <c r="V41" s="363">
        <v>5233.3623049999997</v>
      </c>
      <c r="W41" s="51">
        <v>5249.2919920000004</v>
      </c>
      <c r="X41" s="51">
        <v>5258.9433589999999</v>
      </c>
      <c r="Y41" s="51">
        <v>5260.7270509999998</v>
      </c>
      <c r="Z41" s="51">
        <v>5261</v>
      </c>
      <c r="AA41" s="363">
        <v>5275.6577150000003</v>
      </c>
      <c r="AB41" s="51">
        <v>5293.5205079999996</v>
      </c>
      <c r="AC41" s="51">
        <v>5306.1909180000002</v>
      </c>
      <c r="AD41" s="51">
        <v>5338.591797</v>
      </c>
      <c r="AE41" s="51">
        <v>5380.8950199999999</v>
      </c>
      <c r="AF41" s="363">
        <v>5423.3642579999996</v>
      </c>
      <c r="AG41" s="364">
        <v>8.1600000000000006E-3</v>
      </c>
    </row>
    <row r="42" spans="1:37" x14ac:dyDescent="0.2">
      <c r="A42" s="107" t="s">
        <v>537</v>
      </c>
      <c r="B42" s="362">
        <v>237.13519287109401</v>
      </c>
      <c r="C42" s="129">
        <v>230.34875488281301</v>
      </c>
      <c r="D42" s="51">
        <v>352.51336700000002</v>
      </c>
      <c r="E42" s="51">
        <v>351.298676</v>
      </c>
      <c r="F42" s="51">
        <v>447.50726300000002</v>
      </c>
      <c r="G42" s="363">
        <v>365.00414999999998</v>
      </c>
      <c r="H42" s="51">
        <v>377.16497800000002</v>
      </c>
      <c r="I42" s="51">
        <v>374.03524800000002</v>
      </c>
      <c r="J42" s="51">
        <v>380.51550300000002</v>
      </c>
      <c r="K42" s="51">
        <v>387.44885299999999</v>
      </c>
      <c r="L42" s="363">
        <v>388.43521099999998</v>
      </c>
      <c r="M42" s="51">
        <v>387.23803700000002</v>
      </c>
      <c r="N42" s="51">
        <v>384.39007600000002</v>
      </c>
      <c r="O42" s="51">
        <v>379.09814499999999</v>
      </c>
      <c r="P42" s="51">
        <v>376.05529799999999</v>
      </c>
      <c r="Q42" s="363">
        <v>373.98071299999998</v>
      </c>
      <c r="R42" s="51">
        <v>374.03402699999998</v>
      </c>
      <c r="S42" s="51">
        <v>376.13397200000003</v>
      </c>
      <c r="T42" s="51">
        <v>374.39965799999999</v>
      </c>
      <c r="U42" s="51">
        <v>370.305542</v>
      </c>
      <c r="V42" s="363">
        <v>367.53637700000002</v>
      </c>
      <c r="W42" s="51">
        <v>364.96209700000003</v>
      </c>
      <c r="X42" s="51">
        <v>361.637451</v>
      </c>
      <c r="Y42" s="51">
        <v>357.74816900000002</v>
      </c>
      <c r="Z42" s="51">
        <v>354.015717</v>
      </c>
      <c r="AA42" s="363">
        <v>351.06878699999999</v>
      </c>
      <c r="AB42" s="51">
        <v>348.56152300000002</v>
      </c>
      <c r="AC42" s="51">
        <v>346.15148900000003</v>
      </c>
      <c r="AD42" s="51">
        <v>344.906769</v>
      </c>
      <c r="AE42" s="51">
        <v>343.75408900000002</v>
      </c>
      <c r="AF42" s="363">
        <v>342.60339399999998</v>
      </c>
      <c r="AG42" s="364">
        <v>-2.5300000000000001E-3</v>
      </c>
    </row>
    <row r="43" spans="1:37" x14ac:dyDescent="0.2">
      <c r="A43" s="107" t="s">
        <v>538</v>
      </c>
      <c r="B43" s="362">
        <v>9.7018527984619105</v>
      </c>
      <c r="C43" s="129">
        <v>10.2618980407715</v>
      </c>
      <c r="D43" s="51">
        <v>22.895313000000002</v>
      </c>
      <c r="E43" s="51">
        <v>19.451018999999999</v>
      </c>
      <c r="F43" s="51">
        <v>27.378740000000001</v>
      </c>
      <c r="G43" s="363">
        <v>21.167767999999999</v>
      </c>
      <c r="H43" s="51">
        <v>20.577463000000002</v>
      </c>
      <c r="I43" s="51">
        <v>19.281161999999998</v>
      </c>
      <c r="J43" s="51">
        <v>18.871929000000002</v>
      </c>
      <c r="K43" s="51">
        <v>18.542952</v>
      </c>
      <c r="L43" s="363">
        <v>18.011616</v>
      </c>
      <c r="M43" s="51">
        <v>17.598305</v>
      </c>
      <c r="N43" s="51">
        <v>17.277241</v>
      </c>
      <c r="O43" s="51">
        <v>16.985077</v>
      </c>
      <c r="P43" s="51">
        <v>16.899559</v>
      </c>
      <c r="Q43" s="363">
        <v>16.974167000000001</v>
      </c>
      <c r="R43" s="51">
        <v>17.314972000000001</v>
      </c>
      <c r="S43" s="51">
        <v>17.929289000000001</v>
      </c>
      <c r="T43" s="51">
        <v>18.305869999999999</v>
      </c>
      <c r="U43" s="51">
        <v>18.593239000000001</v>
      </c>
      <c r="V43" s="363">
        <v>19.016586</v>
      </c>
      <c r="W43" s="51">
        <v>19.593163000000001</v>
      </c>
      <c r="X43" s="51">
        <v>20.079249999999998</v>
      </c>
      <c r="Y43" s="51">
        <v>20.526454999999999</v>
      </c>
      <c r="Z43" s="51">
        <v>20.948882999999999</v>
      </c>
      <c r="AA43" s="363">
        <v>21.403471</v>
      </c>
      <c r="AB43" s="51">
        <v>21.894648</v>
      </c>
      <c r="AC43" s="51">
        <v>22.329308000000001</v>
      </c>
      <c r="AD43" s="51">
        <v>22.803481999999999</v>
      </c>
      <c r="AE43" s="51">
        <v>23.216702000000002</v>
      </c>
      <c r="AF43" s="363">
        <v>23.551334000000001</v>
      </c>
      <c r="AG43" s="364">
        <v>4.2770000000000004E-3</v>
      </c>
    </row>
    <row r="44" spans="1:37" x14ac:dyDescent="0.2">
      <c r="A44" s="107" t="s">
        <v>539</v>
      </c>
      <c r="B44" s="362">
        <v>8.2402143478393608</v>
      </c>
      <c r="C44" s="129">
        <v>10.781669616699199</v>
      </c>
      <c r="D44" s="51">
        <v>7.8377850000000002</v>
      </c>
      <c r="E44" s="51">
        <v>7.8000509999999998</v>
      </c>
      <c r="F44" s="51">
        <v>12.375283</v>
      </c>
      <c r="G44" s="363">
        <v>10.027866</v>
      </c>
      <c r="H44" s="51">
        <v>10.096912</v>
      </c>
      <c r="I44" s="51">
        <v>10.136227</v>
      </c>
      <c r="J44" s="51">
        <v>12.044369</v>
      </c>
      <c r="K44" s="51">
        <v>13.107196999999999</v>
      </c>
      <c r="L44" s="363">
        <v>14.221209999999999</v>
      </c>
      <c r="M44" s="51">
        <v>15.412426</v>
      </c>
      <c r="N44" s="51">
        <v>16.615694000000001</v>
      </c>
      <c r="O44" s="51">
        <v>18.240414000000001</v>
      </c>
      <c r="P44" s="51">
        <v>20.184426999999999</v>
      </c>
      <c r="Q44" s="363">
        <v>22.306491999999999</v>
      </c>
      <c r="R44" s="51">
        <v>24.697098</v>
      </c>
      <c r="S44" s="51">
        <v>27.408194999999999</v>
      </c>
      <c r="T44" s="51">
        <v>29.982814999999999</v>
      </c>
      <c r="U44" s="51">
        <v>32.320076</v>
      </c>
      <c r="V44" s="363">
        <v>34.607948</v>
      </c>
      <c r="W44" s="51">
        <v>36.795219000000003</v>
      </c>
      <c r="X44" s="51">
        <v>38.823151000000003</v>
      </c>
      <c r="Y44" s="51">
        <v>40.656028999999997</v>
      </c>
      <c r="Z44" s="51">
        <v>42.333278999999997</v>
      </c>
      <c r="AA44" s="363">
        <v>44.578361999999998</v>
      </c>
      <c r="AB44" s="51">
        <v>46.749885999999996</v>
      </c>
      <c r="AC44" s="51">
        <v>48.711544000000004</v>
      </c>
      <c r="AD44" s="51">
        <v>50.687061</v>
      </c>
      <c r="AE44" s="51">
        <v>52.510216</v>
      </c>
      <c r="AF44" s="363">
        <v>54.110278999999998</v>
      </c>
      <c r="AG44" s="364">
        <v>6.9750999999999994E-2</v>
      </c>
    </row>
    <row r="45" spans="1:37" x14ac:dyDescent="0.2">
      <c r="A45" s="107" t="s">
        <v>548</v>
      </c>
      <c r="B45" s="362">
        <v>4744.677734375</v>
      </c>
      <c r="C45" s="129">
        <v>4892.2412109375</v>
      </c>
      <c r="D45" s="61">
        <v>5012.8046880000002</v>
      </c>
      <c r="E45" s="61">
        <v>4719.9575199999999</v>
      </c>
      <c r="F45" s="61">
        <v>4946.1333009999998</v>
      </c>
      <c r="G45" s="365">
        <v>4822.3691410000001</v>
      </c>
      <c r="H45" s="61">
        <v>4964.5883789999998</v>
      </c>
      <c r="I45" s="61">
        <v>5012.4248049999997</v>
      </c>
      <c r="J45" s="61">
        <v>5205.421875</v>
      </c>
      <c r="K45" s="61">
        <v>5389.5102539999998</v>
      </c>
      <c r="L45" s="365">
        <v>5504.7260740000002</v>
      </c>
      <c r="M45" s="61">
        <v>5575.1684569999998</v>
      </c>
      <c r="N45" s="61">
        <v>5596.9633789999998</v>
      </c>
      <c r="O45" s="61">
        <v>5574.6933589999999</v>
      </c>
      <c r="P45" s="61">
        <v>5572.5043949999999</v>
      </c>
      <c r="Q45" s="365">
        <v>5567.4541019999997</v>
      </c>
      <c r="R45" s="61">
        <v>5582.8188479999999</v>
      </c>
      <c r="S45" s="61">
        <v>5632.6933589999999</v>
      </c>
      <c r="T45" s="61">
        <v>5648.3491210000002</v>
      </c>
      <c r="U45" s="61">
        <v>5641.8535160000001</v>
      </c>
      <c r="V45" s="365">
        <v>5654.5219729999999</v>
      </c>
      <c r="W45" s="61">
        <v>5670.6430659999996</v>
      </c>
      <c r="X45" s="61">
        <v>5679.4833980000003</v>
      </c>
      <c r="Y45" s="61">
        <v>5679.6572269999997</v>
      </c>
      <c r="Z45" s="61">
        <v>5678.2983400000003</v>
      </c>
      <c r="AA45" s="365">
        <v>5692.7084960000002</v>
      </c>
      <c r="AB45" s="61">
        <v>5710.7265619999998</v>
      </c>
      <c r="AC45" s="61">
        <v>5723.3833009999998</v>
      </c>
      <c r="AD45" s="61">
        <v>5756.9892579999996</v>
      </c>
      <c r="AE45" s="61">
        <v>5800.3759769999997</v>
      </c>
      <c r="AF45" s="365">
        <v>5843.6289059999999</v>
      </c>
      <c r="AG45" s="366">
        <v>7.7130000000000002E-3</v>
      </c>
    </row>
    <row r="46" spans="1:37" x14ac:dyDescent="0.2">
      <c r="B46" s="251"/>
      <c r="G46" s="251"/>
      <c r="L46" s="251"/>
      <c r="Q46" s="251"/>
      <c r="V46" s="251"/>
      <c r="AA46" s="251"/>
      <c r="AF46" s="251"/>
    </row>
    <row r="47" spans="1:37" x14ac:dyDescent="0.2">
      <c r="A47" s="107" t="s">
        <v>549</v>
      </c>
      <c r="B47" s="251"/>
      <c r="G47" s="251"/>
      <c r="L47" s="251"/>
      <c r="Q47" s="251"/>
      <c r="V47" s="251"/>
      <c r="AA47" s="251"/>
      <c r="AF47" s="251"/>
    </row>
    <row r="48" spans="1:37" x14ac:dyDescent="0.2">
      <c r="A48" s="107" t="s">
        <v>535</v>
      </c>
      <c r="B48" s="251"/>
      <c r="G48" s="251"/>
      <c r="L48" s="251"/>
      <c r="Q48" s="251"/>
      <c r="V48" s="251"/>
      <c r="AA48" s="251"/>
      <c r="AF48" s="251"/>
    </row>
    <row r="49" spans="1:33" x14ac:dyDescent="0.2">
      <c r="A49" s="107" t="s">
        <v>536</v>
      </c>
      <c r="B49" s="362">
        <v>8.3741769790649396</v>
      </c>
      <c r="C49" s="129">
        <v>8.3872251510620099</v>
      </c>
      <c r="D49" s="51">
        <v>8.0514860000000006</v>
      </c>
      <c r="E49" s="51">
        <v>8.0461500000000008</v>
      </c>
      <c r="F49" s="51">
        <v>13.941272</v>
      </c>
      <c r="G49" s="363">
        <v>13.873877999999999</v>
      </c>
      <c r="H49" s="51">
        <v>13.812996</v>
      </c>
      <c r="I49" s="51">
        <v>13.787825</v>
      </c>
      <c r="J49" s="51">
        <v>13.788589</v>
      </c>
      <c r="K49" s="51">
        <v>13.821984</v>
      </c>
      <c r="L49" s="363">
        <v>13.895642</v>
      </c>
      <c r="M49" s="51">
        <v>14.014388</v>
      </c>
      <c r="N49" s="51">
        <v>14.175454999999999</v>
      </c>
      <c r="O49" s="51">
        <v>14.354706999999999</v>
      </c>
      <c r="P49" s="51">
        <v>14.549474</v>
      </c>
      <c r="Q49" s="363">
        <v>14.740007</v>
      </c>
      <c r="R49" s="51">
        <v>14.921288000000001</v>
      </c>
      <c r="S49" s="51">
        <v>15.094569</v>
      </c>
      <c r="T49" s="51">
        <v>15.256893</v>
      </c>
      <c r="U49" s="51">
        <v>15.407249</v>
      </c>
      <c r="V49" s="363">
        <v>15.544876</v>
      </c>
      <c r="W49" s="51">
        <v>15.669857</v>
      </c>
      <c r="X49" s="51">
        <v>15.782177000000001</v>
      </c>
      <c r="Y49" s="51">
        <v>15.88133</v>
      </c>
      <c r="Z49" s="51">
        <v>15.967166000000001</v>
      </c>
      <c r="AA49" s="363">
        <v>16.040457</v>
      </c>
      <c r="AB49" s="51">
        <v>16.103255999999998</v>
      </c>
      <c r="AC49" s="51">
        <v>16.156956000000001</v>
      </c>
      <c r="AD49" s="51">
        <v>16.201810999999999</v>
      </c>
      <c r="AE49" s="51">
        <v>16.238728999999999</v>
      </c>
      <c r="AF49" s="363">
        <v>16.268749</v>
      </c>
      <c r="AG49" s="364">
        <v>6.3899999999999998E-3</v>
      </c>
    </row>
    <row r="50" spans="1:33" x14ac:dyDescent="0.2">
      <c r="A50" s="107" t="s">
        <v>537</v>
      </c>
      <c r="B50" s="362">
        <v>8.5568742752075195</v>
      </c>
      <c r="C50" s="129">
        <v>8.5765132904052699</v>
      </c>
      <c r="D50" s="51">
        <v>7.8983220000000003</v>
      </c>
      <c r="E50" s="51">
        <v>7.8650320000000002</v>
      </c>
      <c r="F50" s="51">
        <v>9.0928959999999996</v>
      </c>
      <c r="G50" s="363">
        <v>9.232863</v>
      </c>
      <c r="H50" s="51">
        <v>9.3282439999999998</v>
      </c>
      <c r="I50" s="51">
        <v>9.4098690000000005</v>
      </c>
      <c r="J50" s="51">
        <v>9.4922769999999996</v>
      </c>
      <c r="K50" s="51">
        <v>9.5755700000000008</v>
      </c>
      <c r="L50" s="363">
        <v>9.6633449999999996</v>
      </c>
      <c r="M50" s="51">
        <v>9.7573089999999993</v>
      </c>
      <c r="N50" s="51">
        <v>9.8587559999999996</v>
      </c>
      <c r="O50" s="51">
        <v>9.9649219999999996</v>
      </c>
      <c r="P50" s="51">
        <v>10.076549</v>
      </c>
      <c r="Q50" s="363">
        <v>10.193218999999999</v>
      </c>
      <c r="R50" s="51">
        <v>10.312701000000001</v>
      </c>
      <c r="S50" s="51">
        <v>10.435452</v>
      </c>
      <c r="T50" s="51">
        <v>10.560364999999999</v>
      </c>
      <c r="U50" s="51">
        <v>10.688254000000001</v>
      </c>
      <c r="V50" s="363">
        <v>10.820406</v>
      </c>
      <c r="W50" s="51">
        <v>10.961319</v>
      </c>
      <c r="X50" s="51">
        <v>11.113746000000001</v>
      </c>
      <c r="Y50" s="51">
        <v>11.279361</v>
      </c>
      <c r="Z50" s="51">
        <v>11.456569</v>
      </c>
      <c r="AA50" s="363">
        <v>11.629659</v>
      </c>
      <c r="AB50" s="51">
        <v>11.794188999999999</v>
      </c>
      <c r="AC50" s="51">
        <v>11.948489</v>
      </c>
      <c r="AD50" s="51">
        <v>12.093949</v>
      </c>
      <c r="AE50" s="51">
        <v>12.228524999999999</v>
      </c>
      <c r="AF50" s="363">
        <v>12.351212</v>
      </c>
      <c r="AG50" s="364">
        <v>1.1707E-2</v>
      </c>
    </row>
    <row r="51" spans="1:33" x14ac:dyDescent="0.2">
      <c r="A51" s="107" t="s">
        <v>538</v>
      </c>
      <c r="B51" s="362">
        <v>6.9267544746398899</v>
      </c>
      <c r="C51" s="129">
        <v>7.0551457405090297</v>
      </c>
      <c r="D51" s="51">
        <v>6.918806</v>
      </c>
      <c r="E51" s="51">
        <v>6.936064</v>
      </c>
      <c r="F51" s="51">
        <v>8.4629370000000002</v>
      </c>
      <c r="G51" s="363">
        <v>8.6685479999999995</v>
      </c>
      <c r="H51" s="51">
        <v>8.8661779999999997</v>
      </c>
      <c r="I51" s="51">
        <v>9.0430580000000003</v>
      </c>
      <c r="J51" s="51">
        <v>9.2310560000000006</v>
      </c>
      <c r="K51" s="51">
        <v>9.4139160000000004</v>
      </c>
      <c r="L51" s="363">
        <v>9.5928939999999994</v>
      </c>
      <c r="M51" s="51">
        <v>9.7857280000000006</v>
      </c>
      <c r="N51" s="51">
        <v>9.9793679999999991</v>
      </c>
      <c r="O51" s="51">
        <v>10.164808000000001</v>
      </c>
      <c r="P51" s="51">
        <v>10.345886</v>
      </c>
      <c r="Q51" s="363">
        <v>10.526769</v>
      </c>
      <c r="R51" s="51">
        <v>10.693871</v>
      </c>
      <c r="S51" s="51">
        <v>10.850225999999999</v>
      </c>
      <c r="T51" s="51">
        <v>11.000893</v>
      </c>
      <c r="U51" s="51">
        <v>11.156801</v>
      </c>
      <c r="V51" s="363">
        <v>11.313601</v>
      </c>
      <c r="W51" s="51">
        <v>11.478806000000001</v>
      </c>
      <c r="X51" s="51">
        <v>11.658182</v>
      </c>
      <c r="Y51" s="51">
        <v>11.85397</v>
      </c>
      <c r="Z51" s="51">
        <v>12.060943</v>
      </c>
      <c r="AA51" s="363">
        <v>12.244344999999999</v>
      </c>
      <c r="AB51" s="51">
        <v>12.403930000000001</v>
      </c>
      <c r="AC51" s="51">
        <v>12.545403</v>
      </c>
      <c r="AD51" s="51">
        <v>12.670261</v>
      </c>
      <c r="AE51" s="51">
        <v>12.780468000000001</v>
      </c>
      <c r="AF51" s="363">
        <v>12.878292999999999</v>
      </c>
      <c r="AG51" s="364">
        <v>1.5959999999999998E-2</v>
      </c>
    </row>
    <row r="52" spans="1:33" x14ac:dyDescent="0.2">
      <c r="A52" s="107" t="s">
        <v>539</v>
      </c>
      <c r="B52" s="362">
        <v>7.7168469429016104</v>
      </c>
      <c r="C52" s="129">
        <v>7.7738347053527797</v>
      </c>
      <c r="D52" s="51">
        <v>5.9772910000000001</v>
      </c>
      <c r="E52" s="51">
        <v>5.9762320000000004</v>
      </c>
      <c r="F52" s="51">
        <v>8.6825460000000003</v>
      </c>
      <c r="G52" s="363">
        <v>8.6917980000000004</v>
      </c>
      <c r="H52" s="51">
        <v>8.7164710000000003</v>
      </c>
      <c r="I52" s="51">
        <v>8.7685659999999999</v>
      </c>
      <c r="J52" s="51">
        <v>8.8393730000000001</v>
      </c>
      <c r="K52" s="51">
        <v>8.9326209999999993</v>
      </c>
      <c r="L52" s="363">
        <v>9.0563059999999993</v>
      </c>
      <c r="M52" s="51">
        <v>9.2173040000000004</v>
      </c>
      <c r="N52" s="51">
        <v>9.4152740000000001</v>
      </c>
      <c r="O52" s="51">
        <v>9.7785499999999992</v>
      </c>
      <c r="P52" s="51">
        <v>10.090028999999999</v>
      </c>
      <c r="Q52" s="363">
        <v>10.326328</v>
      </c>
      <c r="R52" s="51">
        <v>10.506669</v>
      </c>
      <c r="S52" s="51">
        <v>10.640677</v>
      </c>
      <c r="T52" s="51">
        <v>10.743276</v>
      </c>
      <c r="U52" s="51">
        <v>10.821503999999999</v>
      </c>
      <c r="V52" s="363">
        <v>10.880049</v>
      </c>
      <c r="W52" s="51">
        <v>10.923505</v>
      </c>
      <c r="X52" s="51">
        <v>10.956263</v>
      </c>
      <c r="Y52" s="51">
        <v>10.980499</v>
      </c>
      <c r="Z52" s="51">
        <v>10.999079999999999</v>
      </c>
      <c r="AA52" s="363">
        <v>11.017599000000001</v>
      </c>
      <c r="AB52" s="51">
        <v>11.030868999999999</v>
      </c>
      <c r="AC52" s="51">
        <v>11.040463000000001</v>
      </c>
      <c r="AD52" s="51">
        <v>11.047701</v>
      </c>
      <c r="AE52" s="51">
        <v>11.053471999999999</v>
      </c>
      <c r="AF52" s="363">
        <v>11.057638000000001</v>
      </c>
      <c r="AG52" s="364">
        <v>9.6760000000000006E-3</v>
      </c>
    </row>
    <row r="53" spans="1:33" x14ac:dyDescent="0.2">
      <c r="A53" s="107" t="s">
        <v>550</v>
      </c>
      <c r="B53" s="362">
        <v>8.4131669998168892</v>
      </c>
      <c r="C53" s="129">
        <v>8.4269866943359393</v>
      </c>
      <c r="D53" s="51">
        <v>7.9584859999999997</v>
      </c>
      <c r="E53" s="51">
        <v>7.9426389999999998</v>
      </c>
      <c r="F53" s="51">
        <v>11.214619000000001</v>
      </c>
      <c r="G53" s="363">
        <v>11.479673999999999</v>
      </c>
      <c r="H53" s="51">
        <v>11.596023000000001</v>
      </c>
      <c r="I53" s="51">
        <v>11.694876000000001</v>
      </c>
      <c r="J53" s="51">
        <v>11.80119</v>
      </c>
      <c r="K53" s="51">
        <v>11.926536</v>
      </c>
      <c r="L53" s="363">
        <v>12.07353</v>
      </c>
      <c r="M53" s="51">
        <v>12.24478</v>
      </c>
      <c r="N53" s="51">
        <v>12.43797</v>
      </c>
      <c r="O53" s="51">
        <v>12.636350999999999</v>
      </c>
      <c r="P53" s="51">
        <v>12.842038000000001</v>
      </c>
      <c r="Q53" s="363">
        <v>13.044537</v>
      </c>
      <c r="R53" s="51">
        <v>13.239943999999999</v>
      </c>
      <c r="S53" s="51">
        <v>13.429525</v>
      </c>
      <c r="T53" s="51">
        <v>13.610018999999999</v>
      </c>
      <c r="U53" s="51">
        <v>13.780581</v>
      </c>
      <c r="V53" s="363">
        <v>13.940573000000001</v>
      </c>
      <c r="W53" s="51">
        <v>14.093256999999999</v>
      </c>
      <c r="X53" s="51">
        <v>14.239637</v>
      </c>
      <c r="Y53" s="51">
        <v>14.379625000000001</v>
      </c>
      <c r="Z53" s="51">
        <v>14.512282000000001</v>
      </c>
      <c r="AA53" s="363">
        <v>14.624492999999999</v>
      </c>
      <c r="AB53" s="51">
        <v>14.722721</v>
      </c>
      <c r="AC53" s="51">
        <v>14.808336000000001</v>
      </c>
      <c r="AD53" s="51">
        <v>14.883744999999999</v>
      </c>
      <c r="AE53" s="51">
        <v>14.949095</v>
      </c>
      <c r="AF53" s="363">
        <v>15.004977999999999</v>
      </c>
      <c r="AG53" s="364">
        <v>1.077E-2</v>
      </c>
    </row>
    <row r="54" spans="1:33" x14ac:dyDescent="0.2">
      <c r="A54" s="107" t="s">
        <v>541</v>
      </c>
      <c r="B54" s="251"/>
      <c r="G54" s="251"/>
      <c r="L54" s="251"/>
      <c r="Q54" s="251"/>
      <c r="V54" s="251"/>
      <c r="AA54" s="251"/>
      <c r="AF54" s="251"/>
    </row>
    <row r="55" spans="1:33" x14ac:dyDescent="0.2">
      <c r="A55" s="107" t="s">
        <v>536</v>
      </c>
      <c r="B55" s="362">
        <v>5.5694117546081499</v>
      </c>
      <c r="C55" s="129">
        <v>5.5763034820556596</v>
      </c>
      <c r="D55" s="51">
        <v>5.5395820000000002</v>
      </c>
      <c r="E55" s="51">
        <v>5.537439</v>
      </c>
      <c r="F55" s="51">
        <v>6.1022730000000003</v>
      </c>
      <c r="G55" s="363">
        <v>6.0745500000000003</v>
      </c>
      <c r="H55" s="51">
        <v>6.0571219999999997</v>
      </c>
      <c r="I55" s="51">
        <v>6.0383240000000002</v>
      </c>
      <c r="J55" s="51">
        <v>6.0199809999999996</v>
      </c>
      <c r="K55" s="51">
        <v>6.0940029999999998</v>
      </c>
      <c r="L55" s="363">
        <v>6.1867029999999996</v>
      </c>
      <c r="M55" s="51">
        <v>6.287344</v>
      </c>
      <c r="N55" s="51">
        <v>6.392576</v>
      </c>
      <c r="O55" s="51">
        <v>6.4961599999999997</v>
      </c>
      <c r="P55" s="51">
        <v>6.5967409999999997</v>
      </c>
      <c r="Q55" s="363">
        <v>6.690334</v>
      </c>
      <c r="R55" s="51">
        <v>6.7785320000000002</v>
      </c>
      <c r="S55" s="51">
        <v>6.8637879999999996</v>
      </c>
      <c r="T55" s="51">
        <v>6.9454739999999999</v>
      </c>
      <c r="U55" s="51">
        <v>7.0211009999999998</v>
      </c>
      <c r="V55" s="363">
        <v>7.089315</v>
      </c>
      <c r="W55" s="51">
        <v>7.1523899999999996</v>
      </c>
      <c r="X55" s="51">
        <v>7.2105259999999998</v>
      </c>
      <c r="Y55" s="51">
        <v>7.2631480000000002</v>
      </c>
      <c r="Z55" s="51">
        <v>7.3102229999999997</v>
      </c>
      <c r="AA55" s="363">
        <v>7.351343</v>
      </c>
      <c r="AB55" s="51">
        <v>7.3879469999999996</v>
      </c>
      <c r="AC55" s="51">
        <v>7.420674</v>
      </c>
      <c r="AD55" s="51">
        <v>7.4512400000000003</v>
      </c>
      <c r="AE55" s="51">
        <v>7.4778599999999997</v>
      </c>
      <c r="AF55" s="363">
        <v>7.5000879999999999</v>
      </c>
      <c r="AG55" s="364">
        <v>8.4679999999999998E-3</v>
      </c>
    </row>
    <row r="56" spans="1:33" x14ac:dyDescent="0.2">
      <c r="A56" s="107" t="s">
        <v>537</v>
      </c>
      <c r="B56" s="362">
        <v>7.2316441535949698</v>
      </c>
      <c r="C56" s="129">
        <v>7.26389455795288</v>
      </c>
      <c r="D56" s="51">
        <v>8.0297830000000001</v>
      </c>
      <c r="E56" s="51">
        <v>8.0545019999999994</v>
      </c>
      <c r="F56" s="51">
        <v>5.3593109999999999</v>
      </c>
      <c r="G56" s="363">
        <v>5.3607529999999999</v>
      </c>
      <c r="H56" s="51">
        <v>5.3567780000000003</v>
      </c>
      <c r="I56" s="51">
        <v>5.3500360000000002</v>
      </c>
      <c r="J56" s="51">
        <v>5.3404639999999999</v>
      </c>
      <c r="K56" s="51">
        <v>5.3381769999999999</v>
      </c>
      <c r="L56" s="363">
        <v>5.3365859999999996</v>
      </c>
      <c r="M56" s="51">
        <v>5.3350860000000004</v>
      </c>
      <c r="N56" s="51">
        <v>5.3347600000000002</v>
      </c>
      <c r="O56" s="51">
        <v>5.3361099999999997</v>
      </c>
      <c r="P56" s="51">
        <v>5.3403840000000002</v>
      </c>
      <c r="Q56" s="363">
        <v>5.3449220000000004</v>
      </c>
      <c r="R56" s="51">
        <v>5.3508509999999996</v>
      </c>
      <c r="S56" s="51">
        <v>5.3576090000000001</v>
      </c>
      <c r="T56" s="51">
        <v>5.3656819999999996</v>
      </c>
      <c r="U56" s="51">
        <v>5.3736790000000001</v>
      </c>
      <c r="V56" s="363">
        <v>5.3822450000000002</v>
      </c>
      <c r="W56" s="51">
        <v>5.3905390000000004</v>
      </c>
      <c r="X56" s="51">
        <v>5.3984050000000003</v>
      </c>
      <c r="Y56" s="51">
        <v>5.4058859999999997</v>
      </c>
      <c r="Z56" s="51">
        <v>5.412757</v>
      </c>
      <c r="AA56" s="363">
        <v>5.4184330000000003</v>
      </c>
      <c r="AB56" s="51">
        <v>5.42415</v>
      </c>
      <c r="AC56" s="51">
        <v>5.4293319999999996</v>
      </c>
      <c r="AD56" s="51">
        <v>5.4343240000000002</v>
      </c>
      <c r="AE56" s="51">
        <v>5.4380649999999999</v>
      </c>
      <c r="AF56" s="363">
        <v>5.4416000000000002</v>
      </c>
      <c r="AG56" s="364">
        <v>5.9900000000000003E-4</v>
      </c>
    </row>
    <row r="57" spans="1:33" x14ac:dyDescent="0.2">
      <c r="A57" s="107" t="s">
        <v>538</v>
      </c>
      <c r="B57" s="362">
        <v>6.6924419403076199</v>
      </c>
      <c r="C57" s="129">
        <v>6.8200793266296396</v>
      </c>
      <c r="D57" s="51">
        <v>5.2346050000000002</v>
      </c>
      <c r="E57" s="51">
        <v>5.2304820000000003</v>
      </c>
      <c r="F57" s="51">
        <v>5.4355529999999996</v>
      </c>
      <c r="G57" s="363">
        <v>5.4288970000000001</v>
      </c>
      <c r="H57" s="51">
        <v>5.4250790000000002</v>
      </c>
      <c r="I57" s="51">
        <v>5.4211419999999997</v>
      </c>
      <c r="J57" s="51">
        <v>5.4162169999999996</v>
      </c>
      <c r="K57" s="51">
        <v>5.4209959999999997</v>
      </c>
      <c r="L57" s="363">
        <v>5.4298739999999999</v>
      </c>
      <c r="M57" s="51">
        <v>5.4402920000000003</v>
      </c>
      <c r="N57" s="51">
        <v>5.4526260000000004</v>
      </c>
      <c r="O57" s="51">
        <v>5.4670500000000004</v>
      </c>
      <c r="P57" s="51">
        <v>5.4841350000000002</v>
      </c>
      <c r="Q57" s="363">
        <v>5.5039949999999997</v>
      </c>
      <c r="R57" s="51">
        <v>5.5264730000000002</v>
      </c>
      <c r="S57" s="51">
        <v>5.551094</v>
      </c>
      <c r="T57" s="51">
        <v>5.5779519999999998</v>
      </c>
      <c r="U57" s="51">
        <v>5.6029619999999998</v>
      </c>
      <c r="V57" s="363">
        <v>5.6228449999999999</v>
      </c>
      <c r="W57" s="51">
        <v>5.6335540000000002</v>
      </c>
      <c r="X57" s="51">
        <v>5.6467219999999996</v>
      </c>
      <c r="Y57" s="51">
        <v>5.6580459999999997</v>
      </c>
      <c r="Z57" s="51">
        <v>5.6683149999999998</v>
      </c>
      <c r="AA57" s="363">
        <v>5.6766779999999999</v>
      </c>
      <c r="AB57" s="51">
        <v>5.6848289999999997</v>
      </c>
      <c r="AC57" s="51">
        <v>5.6920080000000004</v>
      </c>
      <c r="AD57" s="51">
        <v>5.6982980000000003</v>
      </c>
      <c r="AE57" s="51">
        <v>5.7037500000000003</v>
      </c>
      <c r="AF57" s="363">
        <v>5.7083849999999998</v>
      </c>
      <c r="AG57" s="364">
        <v>2.0100000000000001E-3</v>
      </c>
    </row>
    <row r="58" spans="1:33" x14ac:dyDescent="0.2">
      <c r="A58" s="107" t="s">
        <v>539</v>
      </c>
      <c r="B58" s="362">
        <v>7.0777316093444798</v>
      </c>
      <c r="C58" s="129">
        <v>7.1420869827270499</v>
      </c>
      <c r="D58" s="51">
        <v>5.5547579999999996</v>
      </c>
      <c r="E58" s="51">
        <v>5.5587780000000002</v>
      </c>
      <c r="F58" s="51">
        <v>5.4975820000000004</v>
      </c>
      <c r="G58" s="363">
        <v>5.5089059999999996</v>
      </c>
      <c r="H58" s="51">
        <v>5.5433029999999999</v>
      </c>
      <c r="I58" s="51">
        <v>5.5665149999999999</v>
      </c>
      <c r="J58" s="51">
        <v>5.5895700000000001</v>
      </c>
      <c r="K58" s="51">
        <v>5.654191</v>
      </c>
      <c r="L58" s="363">
        <v>5.7263739999999999</v>
      </c>
      <c r="M58" s="51">
        <v>5.8023600000000002</v>
      </c>
      <c r="N58" s="51">
        <v>5.8823270000000001</v>
      </c>
      <c r="O58" s="51">
        <v>5.9545890000000004</v>
      </c>
      <c r="P58" s="51">
        <v>6.0160980000000004</v>
      </c>
      <c r="Q58" s="363">
        <v>6.0652980000000003</v>
      </c>
      <c r="R58" s="51">
        <v>6.1043149999999997</v>
      </c>
      <c r="S58" s="51">
        <v>6.1363649999999996</v>
      </c>
      <c r="T58" s="51">
        <v>6.1627000000000001</v>
      </c>
      <c r="U58" s="51">
        <v>6.1839389999999996</v>
      </c>
      <c r="V58" s="363">
        <v>6.2010620000000003</v>
      </c>
      <c r="W58" s="51">
        <v>6.2153219999999996</v>
      </c>
      <c r="X58" s="51">
        <v>6.2274050000000001</v>
      </c>
      <c r="Y58" s="51">
        <v>6.2378410000000004</v>
      </c>
      <c r="Z58" s="51">
        <v>6.2466160000000004</v>
      </c>
      <c r="AA58" s="363">
        <v>6.2538919999999996</v>
      </c>
      <c r="AB58" s="51">
        <v>6.2576689999999999</v>
      </c>
      <c r="AC58" s="51">
        <v>6.2618010000000002</v>
      </c>
      <c r="AD58" s="51">
        <v>6.2636710000000004</v>
      </c>
      <c r="AE58" s="51">
        <v>6.2640890000000002</v>
      </c>
      <c r="AF58" s="363">
        <v>6.2635129999999997</v>
      </c>
      <c r="AG58" s="364">
        <v>5.1479999999999998E-3</v>
      </c>
    </row>
    <row r="59" spans="1:33" x14ac:dyDescent="0.2">
      <c r="A59" s="107" t="s">
        <v>551</v>
      </c>
      <c r="B59" s="362">
        <v>5.5848541259765598</v>
      </c>
      <c r="C59" s="129">
        <v>5.5924091339111301</v>
      </c>
      <c r="D59" s="51">
        <v>5.5993259999999996</v>
      </c>
      <c r="E59" s="51">
        <v>5.6007600000000002</v>
      </c>
      <c r="F59" s="51">
        <v>6.0709169999999997</v>
      </c>
      <c r="G59" s="363">
        <v>6.0506080000000004</v>
      </c>
      <c r="H59" s="51">
        <v>6.0345019999999998</v>
      </c>
      <c r="I59" s="51">
        <v>6.0173839999999998</v>
      </c>
      <c r="J59" s="51">
        <v>6.0004460000000002</v>
      </c>
      <c r="K59" s="51">
        <v>6.073499</v>
      </c>
      <c r="L59" s="363">
        <v>6.1648930000000002</v>
      </c>
      <c r="M59" s="51">
        <v>6.2640380000000002</v>
      </c>
      <c r="N59" s="51">
        <v>6.3675579999999998</v>
      </c>
      <c r="O59" s="51">
        <v>6.4693519999999998</v>
      </c>
      <c r="P59" s="51">
        <v>6.5680319999999996</v>
      </c>
      <c r="Q59" s="363">
        <v>6.6596669999999998</v>
      </c>
      <c r="R59" s="51">
        <v>6.7457630000000002</v>
      </c>
      <c r="S59" s="51">
        <v>6.8287699999999996</v>
      </c>
      <c r="T59" s="51">
        <v>6.9083620000000003</v>
      </c>
      <c r="U59" s="51">
        <v>6.9820799999999998</v>
      </c>
      <c r="V59" s="363">
        <v>7.04847</v>
      </c>
      <c r="W59" s="51">
        <v>7.109686</v>
      </c>
      <c r="X59" s="51">
        <v>7.1662160000000004</v>
      </c>
      <c r="Y59" s="51">
        <v>7.2173610000000004</v>
      </c>
      <c r="Z59" s="51">
        <v>7.2630739999999996</v>
      </c>
      <c r="AA59" s="363">
        <v>7.3030020000000002</v>
      </c>
      <c r="AB59" s="51">
        <v>7.3386469999999999</v>
      </c>
      <c r="AC59" s="51">
        <v>7.3704669999999997</v>
      </c>
      <c r="AD59" s="51">
        <v>7.4001859999999997</v>
      </c>
      <c r="AE59" s="51">
        <v>7.4261559999999998</v>
      </c>
      <c r="AF59" s="363">
        <v>7.44794</v>
      </c>
      <c r="AG59" s="364">
        <v>8.3459999999999993E-3</v>
      </c>
    </row>
    <row r="60" spans="1:33" x14ac:dyDescent="0.2">
      <c r="A60" s="107" t="s">
        <v>552</v>
      </c>
      <c r="B60" s="362">
        <v>6.0204105377197301</v>
      </c>
      <c r="C60" s="129">
        <v>6.0148034095764196</v>
      </c>
      <c r="D60" s="51">
        <v>6.0145730000000004</v>
      </c>
      <c r="E60" s="51">
        <v>6.0257550000000002</v>
      </c>
      <c r="F60" s="51">
        <v>6.6702830000000004</v>
      </c>
      <c r="G60" s="363">
        <v>6.6640449999999998</v>
      </c>
      <c r="H60" s="51">
        <v>6.6787419999999997</v>
      </c>
      <c r="I60" s="51">
        <v>6.6756380000000002</v>
      </c>
      <c r="J60" s="51">
        <v>6.6708550000000004</v>
      </c>
      <c r="K60" s="51">
        <v>6.7435609999999997</v>
      </c>
      <c r="L60" s="363">
        <v>6.8309499999999996</v>
      </c>
      <c r="M60" s="51">
        <v>6.9286380000000003</v>
      </c>
      <c r="N60" s="51">
        <v>7.0332600000000003</v>
      </c>
      <c r="O60" s="51">
        <v>7.1355139999999997</v>
      </c>
      <c r="P60" s="51">
        <v>7.2352920000000003</v>
      </c>
      <c r="Q60" s="363">
        <v>7.3301179999999997</v>
      </c>
      <c r="R60" s="51">
        <v>7.420185</v>
      </c>
      <c r="S60" s="51">
        <v>7.5058369999999996</v>
      </c>
      <c r="T60" s="51">
        <v>7.5850160000000004</v>
      </c>
      <c r="U60" s="51">
        <v>7.6571100000000003</v>
      </c>
      <c r="V60" s="363">
        <v>7.72262</v>
      </c>
      <c r="W60" s="51">
        <v>7.7840299999999996</v>
      </c>
      <c r="X60" s="51">
        <v>7.8417349999999999</v>
      </c>
      <c r="Y60" s="51">
        <v>7.8950769999999997</v>
      </c>
      <c r="Z60" s="51">
        <v>7.9438909999999998</v>
      </c>
      <c r="AA60" s="363">
        <v>7.9863489999999997</v>
      </c>
      <c r="AB60" s="51">
        <v>8.0241919999999993</v>
      </c>
      <c r="AC60" s="51">
        <v>8.0572490000000005</v>
      </c>
      <c r="AD60" s="51">
        <v>8.0868409999999997</v>
      </c>
      <c r="AE60" s="51">
        <v>8.1111540000000009</v>
      </c>
      <c r="AF60" s="363">
        <v>8.1304449999999999</v>
      </c>
      <c r="AG60" s="364">
        <v>7.9869999999999993E-3</v>
      </c>
    </row>
    <row r="61" spans="1:33" x14ac:dyDescent="0.2">
      <c r="B61" s="251"/>
      <c r="G61" s="251"/>
      <c r="L61" s="251"/>
      <c r="Q61" s="251"/>
      <c r="V61" s="251"/>
      <c r="AA61" s="251"/>
      <c r="AF61" s="251"/>
    </row>
    <row r="62" spans="1:33" x14ac:dyDescent="0.2">
      <c r="A62" s="107" t="s">
        <v>553</v>
      </c>
      <c r="B62" s="251"/>
      <c r="G62" s="251"/>
      <c r="L62" s="251"/>
      <c r="Q62" s="251"/>
      <c r="V62" s="251"/>
      <c r="AA62" s="251"/>
      <c r="AF62" s="251"/>
    </row>
    <row r="63" spans="1:33" x14ac:dyDescent="0.2">
      <c r="A63" s="107" t="s">
        <v>535</v>
      </c>
      <c r="B63" s="251"/>
      <c r="G63" s="251"/>
      <c r="L63" s="251"/>
      <c r="Q63" s="251"/>
      <c r="V63" s="251"/>
      <c r="AA63" s="251"/>
      <c r="AF63" s="251"/>
    </row>
    <row r="64" spans="1:33" x14ac:dyDescent="0.2">
      <c r="A64" s="107" t="s">
        <v>536</v>
      </c>
      <c r="B64" s="362">
        <v>2.2839496135711701</v>
      </c>
      <c r="C64" s="129">
        <v>2.3639793395996098</v>
      </c>
      <c r="D64" s="51">
        <v>2.2367530000000002</v>
      </c>
      <c r="E64" s="51">
        <v>2.270178</v>
      </c>
      <c r="F64" s="51">
        <v>2.416344</v>
      </c>
      <c r="G64" s="363">
        <v>2.424185</v>
      </c>
      <c r="H64" s="51">
        <v>2.4907219999999999</v>
      </c>
      <c r="I64" s="51">
        <v>2.530332</v>
      </c>
      <c r="J64" s="51">
        <v>2.583196</v>
      </c>
      <c r="K64" s="51">
        <v>2.656631</v>
      </c>
      <c r="L64" s="363">
        <v>2.7396760000000002</v>
      </c>
      <c r="M64" s="51">
        <v>2.8190770000000001</v>
      </c>
      <c r="N64" s="51">
        <v>2.889465</v>
      </c>
      <c r="O64" s="51">
        <v>2.9510589999999999</v>
      </c>
      <c r="P64" s="51">
        <v>3.011136</v>
      </c>
      <c r="Q64" s="363">
        <v>3.068092</v>
      </c>
      <c r="R64" s="51">
        <v>3.125289</v>
      </c>
      <c r="S64" s="51">
        <v>3.1901229999999998</v>
      </c>
      <c r="T64" s="51">
        <v>3.2633399999999999</v>
      </c>
      <c r="U64" s="51">
        <v>3.3408250000000002</v>
      </c>
      <c r="V64" s="363">
        <v>3.4190399999999999</v>
      </c>
      <c r="W64" s="51">
        <v>3.498224</v>
      </c>
      <c r="X64" s="51">
        <v>3.5789490000000002</v>
      </c>
      <c r="Y64" s="51">
        <v>3.6594000000000002</v>
      </c>
      <c r="Z64" s="51">
        <v>3.7362229999999998</v>
      </c>
      <c r="AA64" s="363">
        <v>3.8125429999999998</v>
      </c>
      <c r="AB64" s="51">
        <v>3.8918170000000001</v>
      </c>
      <c r="AC64" s="51">
        <v>3.9680550000000001</v>
      </c>
      <c r="AD64" s="51">
        <v>4.0485309999999997</v>
      </c>
      <c r="AE64" s="51">
        <v>4.1338710000000001</v>
      </c>
      <c r="AF64" s="363">
        <v>4.2200839999999999</v>
      </c>
      <c r="AG64" s="364">
        <v>2.2422000000000001E-2</v>
      </c>
    </row>
    <row r="65" spans="1:33" x14ac:dyDescent="0.2">
      <c r="A65" s="107" t="s">
        <v>537</v>
      </c>
      <c r="B65" s="362">
        <v>1.8989447355270399</v>
      </c>
      <c r="C65" s="129">
        <v>1.8685606718063399</v>
      </c>
      <c r="D65" s="51">
        <v>1.5123329999999999</v>
      </c>
      <c r="E65" s="51">
        <v>1.546797</v>
      </c>
      <c r="F65" s="51">
        <v>1.430796</v>
      </c>
      <c r="G65" s="363">
        <v>1.406075</v>
      </c>
      <c r="H65" s="51">
        <v>1.3889400000000001</v>
      </c>
      <c r="I65" s="51">
        <v>1.364479</v>
      </c>
      <c r="J65" s="51">
        <v>1.348981</v>
      </c>
      <c r="K65" s="51">
        <v>1.3459719999999999</v>
      </c>
      <c r="L65" s="363">
        <v>1.348163</v>
      </c>
      <c r="M65" s="51">
        <v>1.3504929999999999</v>
      </c>
      <c r="N65" s="51">
        <v>1.350474</v>
      </c>
      <c r="O65" s="51">
        <v>1.3472740000000001</v>
      </c>
      <c r="P65" s="51">
        <v>1.3440989999999999</v>
      </c>
      <c r="Q65" s="363">
        <v>1.3399490000000001</v>
      </c>
      <c r="R65" s="51">
        <v>1.33701</v>
      </c>
      <c r="S65" s="51">
        <v>1.3377110000000001</v>
      </c>
      <c r="T65" s="51">
        <v>1.3418639999999999</v>
      </c>
      <c r="U65" s="51">
        <v>1.3483769999999999</v>
      </c>
      <c r="V65" s="363">
        <v>1.3567990000000001</v>
      </c>
      <c r="W65" s="51">
        <v>1.3664700000000001</v>
      </c>
      <c r="X65" s="51">
        <v>1.3770519999999999</v>
      </c>
      <c r="Y65" s="51">
        <v>1.3876759999999999</v>
      </c>
      <c r="Z65" s="51">
        <v>1.398385</v>
      </c>
      <c r="AA65" s="363">
        <v>1.410919</v>
      </c>
      <c r="AB65" s="51">
        <v>1.4263349999999999</v>
      </c>
      <c r="AC65" s="51">
        <v>1.4435119999999999</v>
      </c>
      <c r="AD65" s="51">
        <v>1.4623170000000001</v>
      </c>
      <c r="AE65" s="51">
        <v>1.4821580000000001</v>
      </c>
      <c r="AF65" s="363">
        <v>1.5045949999999999</v>
      </c>
      <c r="AG65" s="364">
        <v>2.712E-3</v>
      </c>
    </row>
    <row r="66" spans="1:33" x14ac:dyDescent="0.2">
      <c r="A66" s="107" t="s">
        <v>538</v>
      </c>
      <c r="B66" s="362">
        <v>3.8607131689786897E-2</v>
      </c>
      <c r="C66" s="129">
        <v>4.01168763637543E-2</v>
      </c>
      <c r="D66" s="51">
        <v>3.1928999999999999E-2</v>
      </c>
      <c r="E66" s="51">
        <v>3.1067999999999998E-2</v>
      </c>
      <c r="F66" s="51">
        <v>3.7051000000000001E-2</v>
      </c>
      <c r="G66" s="363">
        <v>3.5859000000000002E-2</v>
      </c>
      <c r="H66" s="51">
        <v>3.4884999999999999E-2</v>
      </c>
      <c r="I66" s="51">
        <v>3.4129E-2</v>
      </c>
      <c r="J66" s="51">
        <v>3.3709999999999997E-2</v>
      </c>
      <c r="K66" s="51">
        <v>3.3624000000000001E-2</v>
      </c>
      <c r="L66" s="363">
        <v>3.3654000000000003E-2</v>
      </c>
      <c r="M66" s="51">
        <v>3.3974999999999998E-2</v>
      </c>
      <c r="N66" s="51">
        <v>3.4473999999999998E-2</v>
      </c>
      <c r="O66" s="51">
        <v>3.5131000000000003E-2</v>
      </c>
      <c r="P66" s="51">
        <v>3.5985999999999997E-2</v>
      </c>
      <c r="Q66" s="363">
        <v>3.7012000000000003E-2</v>
      </c>
      <c r="R66" s="51">
        <v>3.8306E-2</v>
      </c>
      <c r="S66" s="51">
        <v>3.9954000000000003E-2</v>
      </c>
      <c r="T66" s="51">
        <v>4.1956E-2</v>
      </c>
      <c r="U66" s="51">
        <v>4.4234999999999997E-2</v>
      </c>
      <c r="V66" s="363">
        <v>4.6793000000000001E-2</v>
      </c>
      <c r="W66" s="51">
        <v>4.9626999999999998E-2</v>
      </c>
      <c r="X66" s="51">
        <v>5.271E-2</v>
      </c>
      <c r="Y66" s="51">
        <v>5.5982999999999998E-2</v>
      </c>
      <c r="Z66" s="51">
        <v>5.9131999999999997E-2</v>
      </c>
      <c r="AA66" s="363">
        <v>6.2507999999999994E-2</v>
      </c>
      <c r="AB66" s="51">
        <v>6.6055000000000003E-2</v>
      </c>
      <c r="AC66" s="51">
        <v>6.9582000000000005E-2</v>
      </c>
      <c r="AD66" s="51">
        <v>7.3183999999999999E-2</v>
      </c>
      <c r="AE66" s="51">
        <v>7.6757000000000006E-2</v>
      </c>
      <c r="AF66" s="363">
        <v>8.0281000000000005E-2</v>
      </c>
      <c r="AG66" s="364">
        <v>3.2763E-2</v>
      </c>
    </row>
    <row r="67" spans="1:33" x14ac:dyDescent="0.2">
      <c r="A67" s="107" t="s">
        <v>539</v>
      </c>
      <c r="B67" s="362">
        <v>2.3326493799686401E-2</v>
      </c>
      <c r="C67" s="129">
        <v>2.7588060125708601E-2</v>
      </c>
      <c r="D67" s="51">
        <v>2.2970000000000001E-2</v>
      </c>
      <c r="E67" s="51">
        <v>2.2759999999999999E-2</v>
      </c>
      <c r="F67" s="51">
        <v>3.4257000000000003E-2</v>
      </c>
      <c r="G67" s="363">
        <v>3.3745999999999998E-2</v>
      </c>
      <c r="H67" s="51">
        <v>3.2167000000000001E-2</v>
      </c>
      <c r="I67" s="51">
        <v>3.1122E-2</v>
      </c>
      <c r="J67" s="51">
        <v>3.0213E-2</v>
      </c>
      <c r="K67" s="51">
        <v>2.9488E-2</v>
      </c>
      <c r="L67" s="363">
        <v>2.8958000000000001E-2</v>
      </c>
      <c r="M67" s="51">
        <v>2.8589E-2</v>
      </c>
      <c r="N67" s="51">
        <v>2.8361000000000001E-2</v>
      </c>
      <c r="O67" s="51">
        <v>2.9437000000000001E-2</v>
      </c>
      <c r="P67" s="51">
        <v>3.0868E-2</v>
      </c>
      <c r="Q67" s="363">
        <v>3.2646000000000001E-2</v>
      </c>
      <c r="R67" s="51">
        <v>3.4818000000000002E-2</v>
      </c>
      <c r="S67" s="51">
        <v>3.7482000000000001E-2</v>
      </c>
      <c r="T67" s="51">
        <v>4.0578000000000003E-2</v>
      </c>
      <c r="U67" s="51">
        <v>4.4014999999999999E-2</v>
      </c>
      <c r="V67" s="363">
        <v>4.7702000000000001E-2</v>
      </c>
      <c r="W67" s="51">
        <v>5.16E-2</v>
      </c>
      <c r="X67" s="51">
        <v>5.5663999999999998E-2</v>
      </c>
      <c r="Y67" s="51">
        <v>5.9803000000000002E-2</v>
      </c>
      <c r="Z67" s="51">
        <v>6.3839999999999994E-2</v>
      </c>
      <c r="AA67" s="363">
        <v>7.0058999999999996E-2</v>
      </c>
      <c r="AB67" s="51">
        <v>7.6261999999999996E-2</v>
      </c>
      <c r="AC67" s="51">
        <v>8.2450999999999997E-2</v>
      </c>
      <c r="AD67" s="51">
        <v>8.8707999999999995E-2</v>
      </c>
      <c r="AE67" s="51">
        <v>9.4772999999999996E-2</v>
      </c>
      <c r="AF67" s="363">
        <v>0.100837</v>
      </c>
      <c r="AG67" s="364">
        <v>4.4759E-2</v>
      </c>
    </row>
    <row r="68" spans="1:33" x14ac:dyDescent="0.2">
      <c r="A68" s="107" t="s">
        <v>540</v>
      </c>
      <c r="B68" s="362">
        <v>4.2448282241821298</v>
      </c>
      <c r="C68" s="129">
        <v>4.3002452850341797</v>
      </c>
      <c r="D68" s="51">
        <v>3.8039830000000001</v>
      </c>
      <c r="E68" s="51">
        <v>3.870803</v>
      </c>
      <c r="F68" s="51">
        <v>3.9184489999999998</v>
      </c>
      <c r="G68" s="363">
        <v>3.8998650000000001</v>
      </c>
      <c r="H68" s="51">
        <v>3.9467159999999999</v>
      </c>
      <c r="I68" s="51">
        <v>3.960064</v>
      </c>
      <c r="J68" s="51">
        <v>3.9961000000000002</v>
      </c>
      <c r="K68" s="51">
        <v>4.065715</v>
      </c>
      <c r="L68" s="363">
        <v>4.1504529999999997</v>
      </c>
      <c r="M68" s="51">
        <v>4.2321350000000004</v>
      </c>
      <c r="N68" s="51">
        <v>4.3027740000000003</v>
      </c>
      <c r="O68" s="51">
        <v>4.3629009999999999</v>
      </c>
      <c r="P68" s="51">
        <v>4.4220889999999997</v>
      </c>
      <c r="Q68" s="363">
        <v>4.4776990000000003</v>
      </c>
      <c r="R68" s="51">
        <v>4.5354219999999996</v>
      </c>
      <c r="S68" s="51">
        <v>4.6052710000000001</v>
      </c>
      <c r="T68" s="51">
        <v>4.6877380000000004</v>
      </c>
      <c r="U68" s="51">
        <v>4.7774520000000003</v>
      </c>
      <c r="V68" s="363">
        <v>4.8703320000000003</v>
      </c>
      <c r="W68" s="51">
        <v>4.9659209999999998</v>
      </c>
      <c r="X68" s="51">
        <v>5.0643760000000002</v>
      </c>
      <c r="Y68" s="51">
        <v>5.1628590000000001</v>
      </c>
      <c r="Z68" s="51">
        <v>5.2575820000000002</v>
      </c>
      <c r="AA68" s="363">
        <v>5.3560299999999996</v>
      </c>
      <c r="AB68" s="51">
        <v>5.4604679999999997</v>
      </c>
      <c r="AC68" s="51">
        <v>5.5636010000000002</v>
      </c>
      <c r="AD68" s="51">
        <v>5.6727410000000003</v>
      </c>
      <c r="AE68" s="51">
        <v>5.7875569999999996</v>
      </c>
      <c r="AF68" s="363">
        <v>5.9057979999999999</v>
      </c>
      <c r="AG68" s="364">
        <v>1.6737999999999999E-2</v>
      </c>
    </row>
    <row r="69" spans="1:33" x14ac:dyDescent="0.2">
      <c r="A69" s="107" t="s">
        <v>541</v>
      </c>
      <c r="B69" s="251"/>
      <c r="G69" s="251"/>
      <c r="L69" s="251"/>
      <c r="Q69" s="251"/>
      <c r="V69" s="251"/>
      <c r="AA69" s="251"/>
      <c r="AF69" s="251"/>
    </row>
    <row r="70" spans="1:33" x14ac:dyDescent="0.2">
      <c r="A70" s="107" t="s">
        <v>536</v>
      </c>
      <c r="B70" s="362">
        <v>4.61373090744019</v>
      </c>
      <c r="C70" s="129">
        <v>4.8187537193298304</v>
      </c>
      <c r="D70" s="51">
        <v>4.2511960000000002</v>
      </c>
      <c r="E70" s="51">
        <v>4.2523359999999997</v>
      </c>
      <c r="F70" s="51">
        <v>4.594481</v>
      </c>
      <c r="G70" s="363">
        <v>4.5690179999999998</v>
      </c>
      <c r="H70" s="51">
        <v>4.579955</v>
      </c>
      <c r="I70" s="51">
        <v>4.588724</v>
      </c>
      <c r="J70" s="51">
        <v>4.6067400000000003</v>
      </c>
      <c r="K70" s="51">
        <v>4.6516659999999996</v>
      </c>
      <c r="L70" s="363">
        <v>4.7145429999999999</v>
      </c>
      <c r="M70" s="51">
        <v>4.772062</v>
      </c>
      <c r="N70" s="51">
        <v>4.8206410000000002</v>
      </c>
      <c r="O70" s="51">
        <v>4.8602879999999997</v>
      </c>
      <c r="P70" s="51">
        <v>4.8986159999999996</v>
      </c>
      <c r="Q70" s="363">
        <v>4.9328659999999998</v>
      </c>
      <c r="R70" s="51">
        <v>4.967085</v>
      </c>
      <c r="S70" s="51">
        <v>5.0168970000000002</v>
      </c>
      <c r="T70" s="51">
        <v>5.0854819999999998</v>
      </c>
      <c r="U70" s="51">
        <v>5.1628699999999998</v>
      </c>
      <c r="V70" s="363">
        <v>5.245355</v>
      </c>
      <c r="W70" s="51">
        <v>5.3341469999999997</v>
      </c>
      <c r="X70" s="51">
        <v>5.4263199999999996</v>
      </c>
      <c r="Y70" s="51">
        <v>5.519819</v>
      </c>
      <c r="Z70" s="51">
        <v>5.6051479999999998</v>
      </c>
      <c r="AA70" s="363">
        <v>5.700088</v>
      </c>
      <c r="AB70" s="51">
        <v>5.7882069999999999</v>
      </c>
      <c r="AC70" s="51">
        <v>5.8813810000000002</v>
      </c>
      <c r="AD70" s="51">
        <v>5.9749470000000002</v>
      </c>
      <c r="AE70" s="51">
        <v>6.0875199999999996</v>
      </c>
      <c r="AF70" s="363">
        <v>6.2208779999999999</v>
      </c>
      <c r="AG70" s="364">
        <v>1.2421E-2</v>
      </c>
    </row>
    <row r="71" spans="1:33" x14ac:dyDescent="0.2">
      <c r="A71" s="107" t="s">
        <v>537</v>
      </c>
      <c r="B71" s="362">
        <v>0.290865898132324</v>
      </c>
      <c r="C71" s="129">
        <v>0.28495445847511303</v>
      </c>
      <c r="D71" s="51">
        <v>0.50868400000000003</v>
      </c>
      <c r="E71" s="51">
        <v>0.51365400000000005</v>
      </c>
      <c r="F71" s="51">
        <v>0.41312700000000002</v>
      </c>
      <c r="G71" s="363">
        <v>0.39325900000000003</v>
      </c>
      <c r="H71" s="51">
        <v>0.38164500000000001</v>
      </c>
      <c r="I71" s="51">
        <v>0.36921700000000002</v>
      </c>
      <c r="J71" s="51">
        <v>0.35759099999999999</v>
      </c>
      <c r="K71" s="51">
        <v>0.34798200000000001</v>
      </c>
      <c r="L71" s="363">
        <v>0.339341</v>
      </c>
      <c r="M71" s="51">
        <v>0.33094200000000001</v>
      </c>
      <c r="N71" s="51">
        <v>0.32241500000000001</v>
      </c>
      <c r="O71" s="51">
        <v>0.31279699999999999</v>
      </c>
      <c r="P71" s="51">
        <v>0.30312899999999998</v>
      </c>
      <c r="Q71" s="363">
        <v>0.29429499999999997</v>
      </c>
      <c r="R71" s="51">
        <v>0.28628700000000001</v>
      </c>
      <c r="S71" s="51">
        <v>0.27991100000000002</v>
      </c>
      <c r="T71" s="51">
        <v>0.27570800000000001</v>
      </c>
      <c r="U71" s="51">
        <v>0.27261999999999997</v>
      </c>
      <c r="V71" s="363">
        <v>0.27076600000000001</v>
      </c>
      <c r="W71" s="51">
        <v>0.26991100000000001</v>
      </c>
      <c r="X71" s="51">
        <v>0.26915099999999997</v>
      </c>
      <c r="Y71" s="51">
        <v>0.26855699999999999</v>
      </c>
      <c r="Z71" s="51">
        <v>0.26770500000000003</v>
      </c>
      <c r="AA71" s="363">
        <v>0.26724599999999998</v>
      </c>
      <c r="AB71" s="51">
        <v>0.26527299999999998</v>
      </c>
      <c r="AC71" s="51">
        <v>0.26519700000000002</v>
      </c>
      <c r="AD71" s="51">
        <v>0.26566600000000001</v>
      </c>
      <c r="AE71" s="51">
        <v>0.26640599999999998</v>
      </c>
      <c r="AF71" s="363">
        <v>0.26717800000000003</v>
      </c>
      <c r="AG71" s="364">
        <v>-1.5343000000000001E-2</v>
      </c>
    </row>
    <row r="72" spans="1:33" x14ac:dyDescent="0.2">
      <c r="A72" s="107" t="s">
        <v>538</v>
      </c>
      <c r="B72" s="362">
        <v>2.7103533968329398E-2</v>
      </c>
      <c r="C72" s="129">
        <v>2.6443067938089398E-2</v>
      </c>
      <c r="D72" s="51">
        <v>3.9266000000000002E-2</v>
      </c>
      <c r="E72" s="51">
        <v>3.6282000000000002E-2</v>
      </c>
      <c r="F72" s="51">
        <v>4.1015999999999997E-2</v>
      </c>
      <c r="G72" s="363">
        <v>3.9761999999999999E-2</v>
      </c>
      <c r="H72" s="51">
        <v>3.8563E-2</v>
      </c>
      <c r="I72" s="51">
        <v>3.7345999999999997E-2</v>
      </c>
      <c r="J72" s="51">
        <v>3.6108000000000001E-2</v>
      </c>
      <c r="K72" s="51">
        <v>3.4869999999999998E-2</v>
      </c>
      <c r="L72" s="363">
        <v>3.3671E-2</v>
      </c>
      <c r="M72" s="51">
        <v>3.2535000000000001E-2</v>
      </c>
      <c r="N72" s="51">
        <v>3.1433000000000003E-2</v>
      </c>
      <c r="O72" s="51">
        <v>3.0265E-2</v>
      </c>
      <c r="P72" s="51">
        <v>2.9085E-2</v>
      </c>
      <c r="Q72" s="363">
        <v>2.7931999999999998E-2</v>
      </c>
      <c r="R72" s="51">
        <v>2.6797000000000001E-2</v>
      </c>
      <c r="S72" s="51">
        <v>2.5746000000000002E-2</v>
      </c>
      <c r="T72" s="51">
        <v>2.4802000000000001E-2</v>
      </c>
      <c r="U72" s="51">
        <v>2.3962000000000001E-2</v>
      </c>
      <c r="V72" s="363">
        <v>2.3248999999999999E-2</v>
      </c>
      <c r="W72" s="51">
        <v>2.2657E-2</v>
      </c>
      <c r="X72" s="51">
        <v>2.213E-2</v>
      </c>
      <c r="Y72" s="51">
        <v>2.1651E-2</v>
      </c>
      <c r="Z72" s="51">
        <v>2.1413999999999999E-2</v>
      </c>
      <c r="AA72" s="363">
        <v>2.1148E-2</v>
      </c>
      <c r="AB72" s="51">
        <v>2.1142999999999999E-2</v>
      </c>
      <c r="AC72" s="51">
        <v>2.1055999999999998E-2</v>
      </c>
      <c r="AD72" s="51">
        <v>2.1054E-2</v>
      </c>
      <c r="AE72" s="51">
        <v>2.1093000000000001E-2</v>
      </c>
      <c r="AF72" s="363">
        <v>2.1307E-2</v>
      </c>
      <c r="AG72" s="364">
        <v>-2.4646000000000001E-2</v>
      </c>
    </row>
    <row r="73" spans="1:33" x14ac:dyDescent="0.2">
      <c r="A73" s="107" t="s">
        <v>539</v>
      </c>
      <c r="B73" s="362">
        <v>1.5944212675094601E-2</v>
      </c>
      <c r="C73" s="129">
        <v>1.8486620858311702E-2</v>
      </c>
      <c r="D73" s="51">
        <v>3.5660000000000002E-3</v>
      </c>
      <c r="E73" s="51">
        <v>4.3489999999999996E-3</v>
      </c>
      <c r="F73" s="51">
        <v>4.4549999999999998E-3</v>
      </c>
      <c r="G73" s="363">
        <v>4.751E-3</v>
      </c>
      <c r="H73" s="51">
        <v>5.3309999999999998E-3</v>
      </c>
      <c r="I73" s="51">
        <v>6.123E-3</v>
      </c>
      <c r="J73" s="51">
        <v>8.5939999999999992E-3</v>
      </c>
      <c r="K73" s="51">
        <v>9.9880000000000004E-3</v>
      </c>
      <c r="L73" s="363">
        <v>1.1723000000000001E-2</v>
      </c>
      <c r="M73" s="51">
        <v>1.3646999999999999E-2</v>
      </c>
      <c r="N73" s="51">
        <v>1.5696000000000002E-2</v>
      </c>
      <c r="O73" s="51">
        <v>1.7968999999999999E-2</v>
      </c>
      <c r="P73" s="51">
        <v>2.0492E-2</v>
      </c>
      <c r="Q73" s="363">
        <v>2.3178000000000001E-2</v>
      </c>
      <c r="R73" s="51">
        <v>2.6061000000000001E-2</v>
      </c>
      <c r="S73" s="51">
        <v>2.9286E-2</v>
      </c>
      <c r="T73" s="51">
        <v>3.2870000000000003E-2</v>
      </c>
      <c r="U73" s="51">
        <v>3.6648E-2</v>
      </c>
      <c r="V73" s="363">
        <v>4.0481999999999997E-2</v>
      </c>
      <c r="W73" s="51">
        <v>4.4384E-2</v>
      </c>
      <c r="X73" s="51">
        <v>4.8377999999999997E-2</v>
      </c>
      <c r="Y73" s="51">
        <v>5.2417999999999999E-2</v>
      </c>
      <c r="Z73" s="51">
        <v>5.6469999999999999E-2</v>
      </c>
      <c r="AA73" s="363">
        <v>6.0504000000000002E-2</v>
      </c>
      <c r="AB73" s="51">
        <v>6.4543000000000003E-2</v>
      </c>
      <c r="AC73" s="51">
        <v>6.8581000000000003E-2</v>
      </c>
      <c r="AD73" s="51">
        <v>7.2735999999999995E-2</v>
      </c>
      <c r="AE73" s="51">
        <v>7.6953999999999995E-2</v>
      </c>
      <c r="AF73" s="363">
        <v>8.1198999999999993E-2</v>
      </c>
      <c r="AG73" s="364">
        <v>0.120243</v>
      </c>
    </row>
    <row r="74" spans="1:33" x14ac:dyDescent="0.2">
      <c r="A74" s="107" t="s">
        <v>542</v>
      </c>
      <c r="B74" s="362">
        <v>4.9476432800293004</v>
      </c>
      <c r="C74" s="129">
        <v>5.1486387252807599</v>
      </c>
      <c r="D74" s="51">
        <v>4.8027129999999998</v>
      </c>
      <c r="E74" s="51">
        <v>4.8066209999999998</v>
      </c>
      <c r="F74" s="51">
        <v>5.0530759999999999</v>
      </c>
      <c r="G74" s="363">
        <v>5.0067909999999998</v>
      </c>
      <c r="H74" s="51">
        <v>5.0054970000000001</v>
      </c>
      <c r="I74" s="51">
        <v>5.0014089999999998</v>
      </c>
      <c r="J74" s="51">
        <v>5.0090349999999999</v>
      </c>
      <c r="K74" s="51">
        <v>5.0445039999999999</v>
      </c>
      <c r="L74" s="363">
        <v>5.0992769999999998</v>
      </c>
      <c r="M74" s="51">
        <v>5.1491850000000001</v>
      </c>
      <c r="N74" s="51">
        <v>5.1901859999999997</v>
      </c>
      <c r="O74" s="51">
        <v>5.2213200000000004</v>
      </c>
      <c r="P74" s="51">
        <v>5.251322</v>
      </c>
      <c r="Q74" s="363">
        <v>5.2782710000000002</v>
      </c>
      <c r="R74" s="51">
        <v>5.3062269999999998</v>
      </c>
      <c r="S74" s="51">
        <v>5.3518400000000002</v>
      </c>
      <c r="T74" s="51">
        <v>5.4188650000000003</v>
      </c>
      <c r="U74" s="51">
        <v>5.4961039999999999</v>
      </c>
      <c r="V74" s="363">
        <v>5.5798540000000001</v>
      </c>
      <c r="W74" s="51">
        <v>5.6711020000000003</v>
      </c>
      <c r="X74" s="51">
        <v>5.7659789999999997</v>
      </c>
      <c r="Y74" s="51">
        <v>5.8624470000000004</v>
      </c>
      <c r="Z74" s="51">
        <v>5.950736</v>
      </c>
      <c r="AA74" s="363">
        <v>6.0489879999999996</v>
      </c>
      <c r="AB74" s="51">
        <v>6.1391640000000001</v>
      </c>
      <c r="AC74" s="51">
        <v>6.2362169999999999</v>
      </c>
      <c r="AD74" s="51">
        <v>6.334403</v>
      </c>
      <c r="AE74" s="51">
        <v>6.4519690000000001</v>
      </c>
      <c r="AF74" s="363">
        <v>6.5905620000000003</v>
      </c>
      <c r="AG74" s="364">
        <v>1.1054E-2</v>
      </c>
    </row>
    <row r="75" spans="1:33" x14ac:dyDescent="0.2">
      <c r="A75" s="107" t="s">
        <v>554</v>
      </c>
      <c r="B75" s="362">
        <v>9.1924724578857404</v>
      </c>
      <c r="C75" s="129">
        <v>9.4488821029663104</v>
      </c>
      <c r="D75" s="51">
        <v>8.6066970000000005</v>
      </c>
      <c r="E75" s="51">
        <v>8.6774280000000008</v>
      </c>
      <c r="F75" s="51">
        <v>8.9715290000000003</v>
      </c>
      <c r="G75" s="363">
        <v>8.9066510000000001</v>
      </c>
      <c r="H75" s="51">
        <v>8.9522069999999996</v>
      </c>
      <c r="I75" s="51">
        <v>8.9614729999999998</v>
      </c>
      <c r="J75" s="51">
        <v>9.0051360000000003</v>
      </c>
      <c r="K75" s="51">
        <v>9.1102240000000005</v>
      </c>
      <c r="L75" s="363">
        <v>9.2497260000000008</v>
      </c>
      <c r="M75" s="51">
        <v>9.3813239999999993</v>
      </c>
      <c r="N75" s="51">
        <v>9.4929559999999995</v>
      </c>
      <c r="O75" s="51">
        <v>9.5842270000000003</v>
      </c>
      <c r="P75" s="51">
        <v>9.6734220000000004</v>
      </c>
      <c r="Q75" s="363">
        <v>9.7559769999999997</v>
      </c>
      <c r="R75" s="51">
        <v>9.8416540000000001</v>
      </c>
      <c r="S75" s="51">
        <v>9.9571100000000001</v>
      </c>
      <c r="T75" s="51">
        <v>10.106593</v>
      </c>
      <c r="U75" s="51">
        <v>10.273548</v>
      </c>
      <c r="V75" s="363">
        <v>10.450186</v>
      </c>
      <c r="W75" s="51">
        <v>10.637019</v>
      </c>
      <c r="X75" s="51">
        <v>10.830365</v>
      </c>
      <c r="Y75" s="51">
        <v>11.025308000000001</v>
      </c>
      <c r="Z75" s="51">
        <v>11.208316</v>
      </c>
      <c r="AA75" s="363">
        <v>11.405009</v>
      </c>
      <c r="AB75" s="51">
        <v>11.599633000000001</v>
      </c>
      <c r="AC75" s="51">
        <v>11.799815000000001</v>
      </c>
      <c r="AD75" s="51">
        <v>12.007154</v>
      </c>
      <c r="AE75" s="51">
        <v>12.239523999999999</v>
      </c>
      <c r="AF75" s="363">
        <v>12.496357</v>
      </c>
      <c r="AG75" s="364">
        <v>1.3638000000000001E-2</v>
      </c>
    </row>
    <row r="76" spans="1:33" x14ac:dyDescent="0.2">
      <c r="B76" s="251"/>
      <c r="G76" s="251"/>
      <c r="L76" s="251"/>
      <c r="Q76" s="251"/>
      <c r="V76" s="251"/>
      <c r="AA76" s="251"/>
      <c r="AF76" s="251"/>
    </row>
    <row r="77" spans="1:33" x14ac:dyDescent="0.2">
      <c r="A77" s="107" t="s">
        <v>555</v>
      </c>
      <c r="B77" s="251"/>
      <c r="G77" s="251"/>
      <c r="L77" s="251"/>
      <c r="Q77" s="251"/>
      <c r="V77" s="251"/>
      <c r="AA77" s="251"/>
      <c r="AF77" s="251"/>
    </row>
    <row r="78" spans="1:33" x14ac:dyDescent="0.2">
      <c r="B78" s="251"/>
      <c r="G78" s="251"/>
      <c r="L78" s="251"/>
      <c r="Q78" s="251"/>
      <c r="V78" s="251"/>
      <c r="AA78" s="251"/>
      <c r="AF78" s="251"/>
    </row>
    <row r="79" spans="1:33" x14ac:dyDescent="0.2">
      <c r="A79" s="107" t="s">
        <v>549</v>
      </c>
      <c r="B79" s="251"/>
      <c r="G79" s="251"/>
      <c r="L79" s="251"/>
      <c r="Q79" s="251"/>
      <c r="V79" s="251"/>
      <c r="AA79" s="251"/>
      <c r="AF79" s="251"/>
    </row>
    <row r="80" spans="1:33" x14ac:dyDescent="0.2">
      <c r="A80" s="107" t="s">
        <v>535</v>
      </c>
      <c r="B80" s="251"/>
      <c r="G80" s="251"/>
      <c r="L80" s="251"/>
      <c r="Q80" s="251"/>
      <c r="V80" s="251"/>
      <c r="AA80" s="251"/>
      <c r="AF80" s="251"/>
    </row>
    <row r="81" spans="1:34" x14ac:dyDescent="0.2">
      <c r="A81" s="107" t="s">
        <v>536</v>
      </c>
      <c r="B81" s="362">
        <v>8.5112466812133807</v>
      </c>
      <c r="C81" s="129">
        <v>8.4965276718139595</v>
      </c>
      <c r="D81" s="51">
        <v>7.9943309999999999</v>
      </c>
      <c r="E81" s="51">
        <v>7.9963850000000001</v>
      </c>
      <c r="F81" s="51">
        <v>13.149324999999999</v>
      </c>
      <c r="G81" s="363">
        <v>13.5</v>
      </c>
      <c r="H81" s="51">
        <v>13.580309</v>
      </c>
      <c r="I81" s="51">
        <v>13.725611000000001</v>
      </c>
      <c r="J81" s="51">
        <v>13.906098</v>
      </c>
      <c r="K81" s="51">
        <v>14.156351000000001</v>
      </c>
      <c r="L81" s="363">
        <v>14.492471</v>
      </c>
      <c r="M81" s="51">
        <v>14.915016</v>
      </c>
      <c r="N81" s="51">
        <v>15.405138000000001</v>
      </c>
      <c r="O81" s="51">
        <v>15.761526999999999</v>
      </c>
      <c r="P81" s="51">
        <v>16.057547</v>
      </c>
      <c r="Q81" s="363">
        <v>16.130917</v>
      </c>
      <c r="R81" s="51">
        <v>16.165217999999999</v>
      </c>
      <c r="S81" s="51">
        <v>16.198839</v>
      </c>
      <c r="T81" s="51">
        <v>16.232973000000001</v>
      </c>
      <c r="U81" s="51">
        <v>16.263807</v>
      </c>
      <c r="V81" s="363">
        <v>16.290631999999999</v>
      </c>
      <c r="W81" s="51">
        <v>16.313976</v>
      </c>
      <c r="X81" s="51">
        <v>16.332716000000001</v>
      </c>
      <c r="Y81" s="51">
        <v>16.34676</v>
      </c>
      <c r="Z81" s="51">
        <v>16.357130000000002</v>
      </c>
      <c r="AA81" s="363">
        <v>16.365407999999999</v>
      </c>
      <c r="AB81" s="51">
        <v>16.372475000000001</v>
      </c>
      <c r="AC81" s="51">
        <v>16.374706</v>
      </c>
      <c r="AD81" s="51">
        <v>16.375612</v>
      </c>
      <c r="AE81" s="51">
        <v>16.375651999999999</v>
      </c>
      <c r="AF81" s="363">
        <v>16.375273</v>
      </c>
      <c r="AG81" s="364">
        <v>7.7530000000000003E-3</v>
      </c>
      <c r="AH81" s="107" t="s">
        <v>536</v>
      </c>
    </row>
    <row r="82" spans="1:34" x14ac:dyDescent="0.2">
      <c r="A82" s="107" t="s">
        <v>537</v>
      </c>
      <c r="B82" s="362">
        <v>8.9401903152465803</v>
      </c>
      <c r="C82" s="129">
        <v>8.9386768341064506</v>
      </c>
      <c r="D82" s="51">
        <v>7.5647640000000003</v>
      </c>
      <c r="E82" s="51">
        <v>7.6450579999999997</v>
      </c>
      <c r="F82" s="51">
        <v>10.239668</v>
      </c>
      <c r="G82" s="363">
        <v>10.130000000000001</v>
      </c>
      <c r="H82" s="51">
        <v>10.075488999999999</v>
      </c>
      <c r="I82" s="51">
        <v>10.146146</v>
      </c>
      <c r="J82" s="51">
        <v>10.228024</v>
      </c>
      <c r="K82" s="51">
        <v>10.340999</v>
      </c>
      <c r="L82" s="363">
        <v>10.490849000000001</v>
      </c>
      <c r="M82" s="51">
        <v>10.674357000000001</v>
      </c>
      <c r="N82" s="51">
        <v>10.881918000000001</v>
      </c>
      <c r="O82" s="51">
        <v>11.041586000000001</v>
      </c>
      <c r="P82" s="51">
        <v>11.174891000000001</v>
      </c>
      <c r="Q82" s="363">
        <v>11.313167999999999</v>
      </c>
      <c r="R82" s="51">
        <v>11.397017</v>
      </c>
      <c r="S82" s="51">
        <v>11.475936000000001</v>
      </c>
      <c r="T82" s="51">
        <v>11.569747</v>
      </c>
      <c r="U82" s="51">
        <v>11.699251</v>
      </c>
      <c r="V82" s="363">
        <v>11.872249999999999</v>
      </c>
      <c r="W82" s="51">
        <v>12.093495000000001</v>
      </c>
      <c r="X82" s="51">
        <v>12.361208</v>
      </c>
      <c r="Y82" s="51">
        <v>12.664292</v>
      </c>
      <c r="Z82" s="51">
        <v>12.948145</v>
      </c>
      <c r="AA82" s="363">
        <v>12.968864999999999</v>
      </c>
      <c r="AB82" s="51">
        <v>12.978495000000001</v>
      </c>
      <c r="AC82" s="51">
        <v>12.992229</v>
      </c>
      <c r="AD82" s="51">
        <v>13.011419999999999</v>
      </c>
      <c r="AE82" s="51">
        <v>13.037492</v>
      </c>
      <c r="AF82" s="363">
        <v>13.071588</v>
      </c>
      <c r="AG82" s="364">
        <v>1.025E-2</v>
      </c>
      <c r="AH82" s="107" t="s">
        <v>537</v>
      </c>
    </row>
    <row r="83" spans="1:34" x14ac:dyDescent="0.2">
      <c r="A83" s="107" t="s">
        <v>538</v>
      </c>
      <c r="B83" s="362">
        <v>7.9657363891601598</v>
      </c>
      <c r="C83" s="129">
        <v>7.9538373947143599</v>
      </c>
      <c r="D83" s="51">
        <v>7.5797739999999996</v>
      </c>
      <c r="E83" s="51">
        <v>7.6413029999999997</v>
      </c>
      <c r="F83" s="51">
        <v>9.7319289999999992</v>
      </c>
      <c r="G83" s="363">
        <v>9.9474090000000004</v>
      </c>
      <c r="H83" s="51">
        <v>10.11711</v>
      </c>
      <c r="I83" s="51">
        <v>10.179582999999999</v>
      </c>
      <c r="J83" s="51">
        <v>10.269807</v>
      </c>
      <c r="K83" s="51">
        <v>10.395358999999999</v>
      </c>
      <c r="L83" s="363">
        <v>10.560824</v>
      </c>
      <c r="M83" s="51">
        <v>10.756795</v>
      </c>
      <c r="N83" s="51">
        <v>10.976983000000001</v>
      </c>
      <c r="O83" s="51">
        <v>11.154261</v>
      </c>
      <c r="P83" s="51">
        <v>11.311734</v>
      </c>
      <c r="Q83" s="363">
        <v>11.474164</v>
      </c>
      <c r="R83" s="51">
        <v>11.546333000000001</v>
      </c>
      <c r="S83" s="51">
        <v>11.639336999999999</v>
      </c>
      <c r="T83" s="51">
        <v>11.760654000000001</v>
      </c>
      <c r="U83" s="51">
        <v>11.915559</v>
      </c>
      <c r="V83" s="363">
        <v>12.111039999999999</v>
      </c>
      <c r="W83" s="51">
        <v>12.352665</v>
      </c>
      <c r="X83" s="51">
        <v>12.638249999999999</v>
      </c>
      <c r="Y83" s="51">
        <v>12.956201</v>
      </c>
      <c r="Z83" s="51">
        <v>13.251383000000001</v>
      </c>
      <c r="AA83" s="363">
        <v>13.275492</v>
      </c>
      <c r="AB83" s="51">
        <v>13.290046</v>
      </c>
      <c r="AC83" s="51">
        <v>13.307396000000001</v>
      </c>
      <c r="AD83" s="51">
        <v>13.327864</v>
      </c>
      <c r="AE83" s="51">
        <v>13.355157</v>
      </c>
      <c r="AF83" s="363">
        <v>13.390311000000001</v>
      </c>
      <c r="AG83" s="364">
        <v>1.196E-2</v>
      </c>
      <c r="AH83" s="107" t="s">
        <v>538</v>
      </c>
    </row>
    <row r="84" spans="1:34" x14ac:dyDescent="0.2">
      <c r="A84" s="107" t="s">
        <v>539</v>
      </c>
      <c r="B84" s="362">
        <v>7.9490623474121103</v>
      </c>
      <c r="C84" s="129">
        <v>7.9436664581298801</v>
      </c>
      <c r="D84" s="51">
        <v>5.9477310000000001</v>
      </c>
      <c r="E84" s="51">
        <v>5.9378799999999998</v>
      </c>
      <c r="F84" s="51">
        <v>8.8712330000000001</v>
      </c>
      <c r="G84" s="363">
        <v>9.1656589999999998</v>
      </c>
      <c r="H84" s="51">
        <v>9.3869520000000009</v>
      </c>
      <c r="I84" s="51">
        <v>9.4727899999999998</v>
      </c>
      <c r="J84" s="51">
        <v>9.5885259999999999</v>
      </c>
      <c r="K84" s="51">
        <v>9.7514620000000001</v>
      </c>
      <c r="L84" s="363">
        <v>9.9705639999999995</v>
      </c>
      <c r="M84" s="51">
        <v>10.243475</v>
      </c>
      <c r="N84" s="51">
        <v>10.557168000000001</v>
      </c>
      <c r="O84" s="51">
        <v>10.772951000000001</v>
      </c>
      <c r="P84" s="51">
        <v>10.946211</v>
      </c>
      <c r="Q84" s="363">
        <v>10.977606</v>
      </c>
      <c r="R84" s="51">
        <v>11.006626000000001</v>
      </c>
      <c r="S84" s="51">
        <v>11.026300000000001</v>
      </c>
      <c r="T84" s="51">
        <v>11.043953999999999</v>
      </c>
      <c r="U84" s="51">
        <v>11.056988</v>
      </c>
      <c r="V84" s="363">
        <v>11.065984</v>
      </c>
      <c r="W84" s="51">
        <v>11.070829</v>
      </c>
      <c r="X84" s="51">
        <v>11.071151</v>
      </c>
      <c r="Y84" s="51">
        <v>11.071148000000001</v>
      </c>
      <c r="Z84" s="51">
        <v>11.071148000000001</v>
      </c>
      <c r="AA84" s="363">
        <v>11.071148000000001</v>
      </c>
      <c r="AB84" s="51">
        <v>11.071147</v>
      </c>
      <c r="AC84" s="51">
        <v>11.071147</v>
      </c>
      <c r="AD84" s="51">
        <v>11.071147</v>
      </c>
      <c r="AE84" s="51">
        <v>11.071147</v>
      </c>
      <c r="AF84" s="363">
        <v>11.071147</v>
      </c>
      <c r="AG84" s="364">
        <v>7.5839999999999996E-3</v>
      </c>
      <c r="AH84" s="107" t="s">
        <v>539</v>
      </c>
    </row>
    <row r="85" spans="1:34" x14ac:dyDescent="0.2">
      <c r="A85" s="107" t="s">
        <v>550</v>
      </c>
      <c r="B85" s="362">
        <v>8.5848302841186506</v>
      </c>
      <c r="C85" s="129">
        <v>8.5663871765136701</v>
      </c>
      <c r="D85" s="51">
        <v>7.8056549999999998</v>
      </c>
      <c r="E85" s="51">
        <v>7.8468489999999997</v>
      </c>
      <c r="F85" s="51">
        <v>11.630621</v>
      </c>
      <c r="G85" s="363">
        <v>11.917812</v>
      </c>
      <c r="H85" s="51">
        <v>12.688291</v>
      </c>
      <c r="I85" s="51">
        <v>12.807484000000001</v>
      </c>
      <c r="J85" s="51">
        <v>12.965251</v>
      </c>
      <c r="K85" s="51">
        <v>13.184153</v>
      </c>
      <c r="L85" s="363">
        <v>13.474218</v>
      </c>
      <c r="M85" s="51">
        <v>13.830178</v>
      </c>
      <c r="N85" s="51">
        <v>14.241253</v>
      </c>
      <c r="O85" s="51">
        <v>14.503092000000001</v>
      </c>
      <c r="P85" s="51">
        <v>14.750021</v>
      </c>
      <c r="Q85" s="363">
        <v>14.842968000000001</v>
      </c>
      <c r="R85" s="51">
        <v>14.892199</v>
      </c>
      <c r="S85" s="51">
        <v>14.939572999999999</v>
      </c>
      <c r="T85" s="51">
        <v>14.991972000000001</v>
      </c>
      <c r="U85" s="51">
        <v>15.052229000000001</v>
      </c>
      <c r="V85" s="363">
        <v>15.121093999999999</v>
      </c>
      <c r="W85" s="51">
        <v>15.199903000000001</v>
      </c>
      <c r="X85" s="51">
        <v>15.286925999999999</v>
      </c>
      <c r="Y85" s="51">
        <v>15.377848999999999</v>
      </c>
      <c r="Z85" s="51">
        <v>15.458534999999999</v>
      </c>
      <c r="AA85" s="363">
        <v>15.379128</v>
      </c>
      <c r="AB85" s="51">
        <v>15.385494</v>
      </c>
      <c r="AC85" s="51">
        <v>15.389492000000001</v>
      </c>
      <c r="AD85" s="51">
        <v>15.395467</v>
      </c>
      <c r="AE85" s="51">
        <v>15.404202</v>
      </c>
      <c r="AF85" s="363">
        <v>15.414998000000001</v>
      </c>
      <c r="AG85" s="364">
        <v>1.0345E-2</v>
      </c>
      <c r="AH85" s="107" t="s">
        <v>550</v>
      </c>
    </row>
    <row r="86" spans="1:34" x14ac:dyDescent="0.2">
      <c r="A86" s="107"/>
      <c r="B86" s="362"/>
      <c r="C86" s="129"/>
      <c r="D86" s="51"/>
      <c r="E86" s="51"/>
      <c r="G86" s="251"/>
      <c r="L86" s="251"/>
      <c r="Q86" s="251"/>
      <c r="V86" s="251"/>
      <c r="AA86" s="251"/>
      <c r="AF86" s="251"/>
      <c r="AG86" s="367"/>
      <c r="AH86" s="107"/>
    </row>
    <row r="87" spans="1:34" x14ac:dyDescent="0.2">
      <c r="A87" s="107" t="s">
        <v>541</v>
      </c>
      <c r="B87" s="57"/>
      <c r="C87" s="25"/>
      <c r="D87" s="25"/>
      <c r="E87" s="25"/>
      <c r="F87" s="25"/>
      <c r="G87" s="57"/>
      <c r="H87" s="25"/>
      <c r="I87" s="25"/>
      <c r="J87" s="25"/>
      <c r="K87" s="25"/>
      <c r="L87" s="57"/>
      <c r="M87" s="25"/>
      <c r="N87" s="25"/>
      <c r="O87" s="25"/>
      <c r="P87" s="25"/>
      <c r="Q87" s="57"/>
      <c r="R87" s="25"/>
      <c r="S87" s="25"/>
      <c r="T87" s="25"/>
      <c r="U87" s="25"/>
      <c r="V87" s="57"/>
      <c r="W87" s="25"/>
      <c r="X87" s="25"/>
      <c r="Y87" s="25"/>
      <c r="Z87" s="25"/>
      <c r="AA87" s="57"/>
      <c r="AB87" s="25"/>
      <c r="AC87" s="25"/>
      <c r="AD87" s="25"/>
      <c r="AE87" s="25"/>
      <c r="AF87" s="57"/>
    </row>
    <row r="88" spans="1:34" x14ac:dyDescent="0.2">
      <c r="A88" s="107" t="s">
        <v>536</v>
      </c>
      <c r="B88" s="362">
        <v>5.6251721382141104</v>
      </c>
      <c r="C88" s="129">
        <v>5.6051683425903303</v>
      </c>
      <c r="D88" s="51">
        <v>5.5215019999999999</v>
      </c>
      <c r="E88" s="51">
        <v>5.527107</v>
      </c>
      <c r="F88" s="51">
        <v>5.820989</v>
      </c>
      <c r="G88" s="363">
        <v>5.79</v>
      </c>
      <c r="H88" s="51">
        <v>5.9437530000000001</v>
      </c>
      <c r="I88" s="51">
        <v>5.9121769999999998</v>
      </c>
      <c r="J88" s="51">
        <v>5.9067420000000004</v>
      </c>
      <c r="K88" s="51">
        <v>6.7443569999999999</v>
      </c>
      <c r="L88" s="363">
        <v>6.8459709999999996</v>
      </c>
      <c r="M88" s="51">
        <v>6.9865240000000002</v>
      </c>
      <c r="N88" s="51">
        <v>7.1498390000000001</v>
      </c>
      <c r="O88" s="51">
        <v>7.2286739999999998</v>
      </c>
      <c r="P88" s="51">
        <v>7.285399</v>
      </c>
      <c r="Q88" s="363">
        <v>7.3198429999999997</v>
      </c>
      <c r="R88" s="51">
        <v>7.3552710000000001</v>
      </c>
      <c r="S88" s="51">
        <v>7.3895479999999996</v>
      </c>
      <c r="T88" s="51">
        <v>7.4257109999999997</v>
      </c>
      <c r="U88" s="51">
        <v>7.4655490000000002</v>
      </c>
      <c r="V88" s="363">
        <v>7.4979610000000001</v>
      </c>
      <c r="W88" s="51">
        <v>7.5300849999999997</v>
      </c>
      <c r="X88" s="51">
        <v>7.5517469999999998</v>
      </c>
      <c r="Y88" s="51">
        <v>7.5665319999999996</v>
      </c>
      <c r="Z88" s="51">
        <v>7.5786350000000002</v>
      </c>
      <c r="AA88" s="363">
        <v>7.5950220000000002</v>
      </c>
      <c r="AB88" s="51">
        <v>7.6069529999999999</v>
      </c>
      <c r="AC88" s="51">
        <v>7.6193840000000002</v>
      </c>
      <c r="AD88" s="51">
        <v>7.6274449999999998</v>
      </c>
      <c r="AE88" s="51">
        <v>7.6305189999999996</v>
      </c>
      <c r="AF88" s="363">
        <v>7.6315530000000003</v>
      </c>
      <c r="AG88" s="364">
        <v>1.1108E-2</v>
      </c>
      <c r="AH88" s="362"/>
    </row>
    <row r="89" spans="1:34" x14ac:dyDescent="0.2">
      <c r="A89" s="107" t="s">
        <v>537</v>
      </c>
      <c r="B89" s="362">
        <v>7.5010519027709996</v>
      </c>
      <c r="C89" s="129">
        <v>7.5033364295959499</v>
      </c>
      <c r="D89" s="51">
        <v>8.2513590000000008</v>
      </c>
      <c r="E89" s="51">
        <v>8.2534419999999997</v>
      </c>
      <c r="F89" s="51">
        <v>5.4522870000000001</v>
      </c>
      <c r="G89" s="363">
        <v>5.5</v>
      </c>
      <c r="H89" s="51">
        <v>5.2138179999999998</v>
      </c>
      <c r="I89" s="51">
        <v>5.1718989999999998</v>
      </c>
      <c r="J89" s="51">
        <v>5.1543590000000004</v>
      </c>
      <c r="K89" s="51">
        <v>5.3318019999999997</v>
      </c>
      <c r="L89" s="363">
        <v>5.3479179999999999</v>
      </c>
      <c r="M89" s="51">
        <v>5.3666869999999998</v>
      </c>
      <c r="N89" s="51">
        <v>5.3885160000000001</v>
      </c>
      <c r="O89" s="51">
        <v>5.4000190000000003</v>
      </c>
      <c r="P89" s="51">
        <v>5.4092729999999998</v>
      </c>
      <c r="Q89" s="363">
        <v>5.4178290000000002</v>
      </c>
      <c r="R89" s="51">
        <v>5.4244060000000003</v>
      </c>
      <c r="S89" s="51">
        <v>5.4315790000000002</v>
      </c>
      <c r="T89" s="51">
        <v>5.4385719999999997</v>
      </c>
      <c r="U89" s="51">
        <v>5.4425140000000001</v>
      </c>
      <c r="V89" s="363">
        <v>5.4461849999999998</v>
      </c>
      <c r="W89" s="51">
        <v>5.4495120000000004</v>
      </c>
      <c r="X89" s="51">
        <v>5.4522930000000001</v>
      </c>
      <c r="Y89" s="51">
        <v>5.4544800000000002</v>
      </c>
      <c r="Z89" s="51">
        <v>5.4561539999999997</v>
      </c>
      <c r="AA89" s="363">
        <v>5.4574870000000004</v>
      </c>
      <c r="AB89" s="51">
        <v>5.4585850000000002</v>
      </c>
      <c r="AC89" s="51">
        <v>5.4594500000000004</v>
      </c>
      <c r="AD89" s="51">
        <v>5.4598089999999999</v>
      </c>
      <c r="AE89" s="51">
        <v>5.4598940000000002</v>
      </c>
      <c r="AF89" s="363">
        <v>5.4596850000000003</v>
      </c>
      <c r="AG89" s="364">
        <v>-2.9399999999999999E-4</v>
      </c>
      <c r="AH89" s="362"/>
    </row>
    <row r="90" spans="1:34" x14ac:dyDescent="0.2">
      <c r="A90" s="107" t="s">
        <v>538</v>
      </c>
      <c r="B90" s="362">
        <v>7.2789463996887198</v>
      </c>
      <c r="C90" s="129">
        <v>7.2805476188659703</v>
      </c>
      <c r="D90" s="51">
        <v>5.2048350000000001</v>
      </c>
      <c r="E90" s="51">
        <v>5.2159940000000002</v>
      </c>
      <c r="F90" s="51">
        <v>5.098973</v>
      </c>
      <c r="G90" s="363">
        <v>5.15</v>
      </c>
      <c r="H90" s="51">
        <v>5.2968710000000003</v>
      </c>
      <c r="I90" s="51">
        <v>5.2589540000000001</v>
      </c>
      <c r="J90" s="51">
        <v>5.2452579999999998</v>
      </c>
      <c r="K90" s="51">
        <v>5.5271319999999999</v>
      </c>
      <c r="L90" s="363">
        <v>5.5812670000000004</v>
      </c>
      <c r="M90" s="51">
        <v>5.608193</v>
      </c>
      <c r="N90" s="51">
        <v>5.6389449999999997</v>
      </c>
      <c r="O90" s="51">
        <v>5.6560860000000002</v>
      </c>
      <c r="P90" s="51">
        <v>5.6716519999999999</v>
      </c>
      <c r="Q90" s="363">
        <v>5.6894020000000003</v>
      </c>
      <c r="R90" s="51">
        <v>5.7065659999999996</v>
      </c>
      <c r="S90" s="51">
        <v>5.7238939999999996</v>
      </c>
      <c r="T90" s="51">
        <v>5.738029</v>
      </c>
      <c r="U90" s="51">
        <v>5.7447509999999999</v>
      </c>
      <c r="V90" s="363">
        <v>5.7489939999999997</v>
      </c>
      <c r="W90" s="51">
        <v>5.7489330000000001</v>
      </c>
      <c r="X90" s="51">
        <v>5.7488590000000004</v>
      </c>
      <c r="Y90" s="51">
        <v>5.7487729999999999</v>
      </c>
      <c r="Z90" s="51">
        <v>5.7486759999999997</v>
      </c>
      <c r="AA90" s="363">
        <v>5.7485889999999999</v>
      </c>
      <c r="AB90" s="51">
        <v>5.7485090000000003</v>
      </c>
      <c r="AC90" s="51">
        <v>5.7484130000000002</v>
      </c>
      <c r="AD90" s="51">
        <v>5.7482499999999996</v>
      </c>
      <c r="AE90" s="51">
        <v>5.7480560000000001</v>
      </c>
      <c r="AF90" s="363">
        <v>5.7478109999999996</v>
      </c>
      <c r="AG90" s="364">
        <v>4.4029999999999998E-3</v>
      </c>
      <c r="AH90" s="362"/>
    </row>
    <row r="91" spans="1:34" x14ac:dyDescent="0.2">
      <c r="A91" s="107" t="s">
        <v>539</v>
      </c>
      <c r="B91" s="362">
        <v>7.27439641952515</v>
      </c>
      <c r="C91" s="129">
        <v>7.2754096984863299</v>
      </c>
      <c r="D91" s="51">
        <v>5.5459569999999996</v>
      </c>
      <c r="E91" s="51">
        <v>5.5884369999999999</v>
      </c>
      <c r="F91" s="51">
        <v>5.5795250000000003</v>
      </c>
      <c r="G91" s="363">
        <v>5.56</v>
      </c>
      <c r="H91" s="51">
        <v>5.6585609999999997</v>
      </c>
      <c r="I91" s="51">
        <v>5.6247109999999996</v>
      </c>
      <c r="J91" s="51">
        <v>5.6148220000000002</v>
      </c>
      <c r="K91" s="51">
        <v>5.8979739999999996</v>
      </c>
      <c r="L91" s="363">
        <v>5.9759070000000003</v>
      </c>
      <c r="M91" s="51">
        <v>6.0732559999999998</v>
      </c>
      <c r="N91" s="51">
        <v>6.182436</v>
      </c>
      <c r="O91" s="51">
        <v>6.2183120000000001</v>
      </c>
      <c r="P91" s="51">
        <v>6.2341309999999996</v>
      </c>
      <c r="Q91" s="363">
        <v>6.2416460000000002</v>
      </c>
      <c r="R91" s="51">
        <v>6.2504860000000004</v>
      </c>
      <c r="S91" s="51">
        <v>6.2584759999999999</v>
      </c>
      <c r="T91" s="51">
        <v>6.264138</v>
      </c>
      <c r="U91" s="51">
        <v>6.2686849999999996</v>
      </c>
      <c r="V91" s="363">
        <v>6.2725419999999996</v>
      </c>
      <c r="W91" s="51">
        <v>6.2763090000000004</v>
      </c>
      <c r="X91" s="51">
        <v>6.2795019999999999</v>
      </c>
      <c r="Y91" s="51">
        <v>6.2820660000000004</v>
      </c>
      <c r="Z91" s="51">
        <v>6.2839179999999999</v>
      </c>
      <c r="AA91" s="363">
        <v>6.2851520000000001</v>
      </c>
      <c r="AB91" s="51">
        <v>6.2720840000000004</v>
      </c>
      <c r="AC91" s="51">
        <v>6.2863769999999999</v>
      </c>
      <c r="AD91" s="51">
        <v>6.2725429999999998</v>
      </c>
      <c r="AE91" s="51">
        <v>6.2654759999999996</v>
      </c>
      <c r="AF91" s="363">
        <v>6.2616170000000002</v>
      </c>
      <c r="AG91" s="364">
        <v>4.7650000000000001E-3</v>
      </c>
      <c r="AH91" s="362"/>
    </row>
    <row r="92" spans="1:34" x14ac:dyDescent="0.2">
      <c r="A92" s="107" t="s">
        <v>551</v>
      </c>
      <c r="B92" s="362">
        <v>5.6443276405334499</v>
      </c>
      <c r="C92" s="129">
        <v>5.6260013580322301</v>
      </c>
      <c r="D92" s="51">
        <v>5.5634160000000001</v>
      </c>
      <c r="E92" s="51">
        <v>5.5819159999999997</v>
      </c>
      <c r="F92" s="51">
        <v>5.8200669999999999</v>
      </c>
      <c r="G92" s="363">
        <v>5.7893569999999999</v>
      </c>
      <c r="H92" s="51">
        <v>5.934742</v>
      </c>
      <c r="I92" s="51">
        <v>5.9028419999999997</v>
      </c>
      <c r="J92" s="51">
        <v>5.8961980000000001</v>
      </c>
      <c r="K92" s="51">
        <v>6.7234619999999996</v>
      </c>
      <c r="L92" s="363">
        <v>6.8233249999999996</v>
      </c>
      <c r="M92" s="51">
        <v>6.9611890000000001</v>
      </c>
      <c r="N92" s="51">
        <v>7.1213610000000003</v>
      </c>
      <c r="O92" s="51">
        <v>7.198245</v>
      </c>
      <c r="P92" s="51">
        <v>7.253374</v>
      </c>
      <c r="Q92" s="363">
        <v>7.2866920000000004</v>
      </c>
      <c r="R92" s="51">
        <v>7.3209920000000004</v>
      </c>
      <c r="S92" s="51">
        <v>7.3542180000000004</v>
      </c>
      <c r="T92" s="51">
        <v>7.3893009999999997</v>
      </c>
      <c r="U92" s="51">
        <v>7.4279190000000002</v>
      </c>
      <c r="V92" s="363">
        <v>7.4592879999999999</v>
      </c>
      <c r="W92" s="51">
        <v>7.490386</v>
      </c>
      <c r="X92" s="51">
        <v>7.5113390000000004</v>
      </c>
      <c r="Y92" s="51">
        <v>7.5256270000000001</v>
      </c>
      <c r="Z92" s="51">
        <v>7.5373140000000003</v>
      </c>
      <c r="AA92" s="363">
        <v>7.5531540000000001</v>
      </c>
      <c r="AB92" s="51">
        <v>7.5645100000000003</v>
      </c>
      <c r="AC92" s="51">
        <v>7.5766049999999998</v>
      </c>
      <c r="AD92" s="51">
        <v>7.584276</v>
      </c>
      <c r="AE92" s="51">
        <v>7.5872590000000004</v>
      </c>
      <c r="AF92" s="363">
        <v>7.5883099999999999</v>
      </c>
      <c r="AG92" s="364">
        <v>1.0881999999999999E-2</v>
      </c>
      <c r="AH92" s="362"/>
    </row>
    <row r="93" spans="1:34" x14ac:dyDescent="0.2">
      <c r="A93" s="107" t="s">
        <v>552</v>
      </c>
      <c r="B93" s="362">
        <v>5.9775533676147496</v>
      </c>
      <c r="C93" s="129">
        <v>5.9354758262634304</v>
      </c>
      <c r="D93" s="51">
        <v>6.0583429999999998</v>
      </c>
      <c r="E93" s="51">
        <v>6.0046419999999996</v>
      </c>
      <c r="F93" s="51">
        <v>6.6360330000000003</v>
      </c>
      <c r="G93" s="363">
        <v>6.6290250000000004</v>
      </c>
      <c r="H93" s="51">
        <v>6.7424210000000002</v>
      </c>
      <c r="I93" s="51">
        <v>6.55565</v>
      </c>
      <c r="J93" s="51">
        <v>6.568314</v>
      </c>
      <c r="K93" s="51">
        <v>7.3053330000000001</v>
      </c>
      <c r="L93" s="363">
        <v>7.4132800000000003</v>
      </c>
      <c r="M93" s="51">
        <v>7.5949559999999998</v>
      </c>
      <c r="N93" s="51">
        <v>7.7901009999999999</v>
      </c>
      <c r="O93" s="51">
        <v>7.862374</v>
      </c>
      <c r="P93" s="51">
        <v>7.9205569999999996</v>
      </c>
      <c r="Q93" s="363">
        <v>7.9670319999999997</v>
      </c>
      <c r="R93" s="51">
        <v>8.0034559999999999</v>
      </c>
      <c r="S93" s="51">
        <v>8.0274289999999997</v>
      </c>
      <c r="T93" s="51">
        <v>8.0453510000000001</v>
      </c>
      <c r="U93" s="51">
        <v>8.0824909999999992</v>
      </c>
      <c r="V93" s="363">
        <v>8.1235140000000001</v>
      </c>
      <c r="W93" s="51">
        <v>8.1624590000000001</v>
      </c>
      <c r="X93" s="51">
        <v>8.1877479999999991</v>
      </c>
      <c r="Y93" s="51">
        <v>8.2067969999999999</v>
      </c>
      <c r="Z93" s="51">
        <v>8.2228530000000006</v>
      </c>
      <c r="AA93" s="363">
        <v>8.2312539999999998</v>
      </c>
      <c r="AB93" s="51">
        <v>8.2373910000000006</v>
      </c>
      <c r="AC93" s="51">
        <v>8.2438409999999998</v>
      </c>
      <c r="AD93" s="51">
        <v>8.2411499999999993</v>
      </c>
      <c r="AE93" s="51">
        <v>8.2344200000000001</v>
      </c>
      <c r="AF93" s="363">
        <v>8.2318850000000001</v>
      </c>
      <c r="AG93" s="364">
        <v>8.6999999999999994E-3</v>
      </c>
      <c r="AH93" s="362"/>
    </row>
    <row r="94" spans="1:34" x14ac:dyDescent="0.2">
      <c r="B94" s="251"/>
      <c r="G94" s="251"/>
      <c r="L94" s="251"/>
      <c r="Q94" s="251"/>
      <c r="V94" s="251"/>
      <c r="AA94" s="251"/>
      <c r="AF94" s="251"/>
    </row>
    <row r="95" spans="1:34" x14ac:dyDescent="0.2">
      <c r="A95" s="107" t="s">
        <v>556</v>
      </c>
      <c r="B95" s="251"/>
      <c r="G95" s="251"/>
      <c r="L95" s="251"/>
      <c r="Q95" s="251"/>
      <c r="V95" s="251"/>
      <c r="AA95" s="251"/>
      <c r="AF95" s="251"/>
    </row>
    <row r="96" spans="1:34" x14ac:dyDescent="0.2">
      <c r="A96" s="107" t="s">
        <v>535</v>
      </c>
      <c r="B96" s="251"/>
      <c r="G96" s="251"/>
      <c r="L96" s="251"/>
      <c r="Q96" s="251"/>
      <c r="V96" s="251"/>
      <c r="AA96" s="251"/>
      <c r="AF96" s="251"/>
    </row>
    <row r="97" spans="1:33" x14ac:dyDescent="0.2">
      <c r="A97" s="107" t="s">
        <v>536</v>
      </c>
      <c r="B97" s="362">
        <v>0.15442076325416601</v>
      </c>
      <c r="C97" s="129">
        <v>0.15477836132049599</v>
      </c>
      <c r="D97" s="51">
        <v>0.16237799999999999</v>
      </c>
      <c r="E97" s="51">
        <v>0.12040099999999999</v>
      </c>
      <c r="F97" s="51">
        <v>0.10766100000000001</v>
      </c>
      <c r="G97" s="363">
        <v>0.13284000000000001</v>
      </c>
      <c r="H97" s="51">
        <v>0.17988199999999999</v>
      </c>
      <c r="I97" s="51">
        <v>0.154636</v>
      </c>
      <c r="J97" s="51">
        <v>0.17252000000000001</v>
      </c>
      <c r="K97" s="51">
        <v>0.19139100000000001</v>
      </c>
      <c r="L97" s="363">
        <v>0.20536699999999999</v>
      </c>
      <c r="M97" s="51">
        <v>0.20633199999999999</v>
      </c>
      <c r="N97" s="51">
        <v>0.20208799999999999</v>
      </c>
      <c r="O97" s="51">
        <v>0.19928499999999999</v>
      </c>
      <c r="P97" s="51">
        <v>0.20250599999999999</v>
      </c>
      <c r="Q97" s="363">
        <v>0.20388700000000001</v>
      </c>
      <c r="R97" s="51">
        <v>0.20805599999999999</v>
      </c>
      <c r="S97" s="51">
        <v>0.21977099999999999</v>
      </c>
      <c r="T97" s="51">
        <v>0.23081099999999999</v>
      </c>
      <c r="U97" s="51">
        <v>0.23699600000000001</v>
      </c>
      <c r="V97" s="363">
        <v>0.23896500000000001</v>
      </c>
      <c r="W97" s="51">
        <v>0.24232200000000001</v>
      </c>
      <c r="X97" s="51">
        <v>0.24726000000000001</v>
      </c>
      <c r="Y97" s="51">
        <v>0.25085299999999999</v>
      </c>
      <c r="Z97" s="51">
        <v>0.25339099999999998</v>
      </c>
      <c r="AA97" s="363">
        <v>0.25513000000000002</v>
      </c>
      <c r="AB97" s="51">
        <v>0.259108</v>
      </c>
      <c r="AC97" s="51">
        <v>0.26320300000000002</v>
      </c>
      <c r="AD97" s="51">
        <v>0.27260099999999998</v>
      </c>
      <c r="AE97" s="51">
        <v>0.28151100000000001</v>
      </c>
      <c r="AF97" s="363">
        <v>0.28726699999999999</v>
      </c>
      <c r="AG97" s="364">
        <v>3.1331999999999999E-2</v>
      </c>
    </row>
    <row r="98" spans="1:33" x14ac:dyDescent="0.2">
      <c r="A98" s="107" t="s">
        <v>537</v>
      </c>
      <c r="B98" s="362">
        <v>6.2897108495235401E-2</v>
      </c>
      <c r="C98" s="129">
        <v>6.2315560877323199E-2</v>
      </c>
      <c r="D98" s="51">
        <v>0.122241</v>
      </c>
      <c r="E98" s="51">
        <v>8.4690000000000001E-2</v>
      </c>
      <c r="F98" s="51">
        <v>7.3249999999999996E-2</v>
      </c>
      <c r="G98" s="363">
        <v>7.3800000000000004E-2</v>
      </c>
      <c r="H98" s="51">
        <v>7.2220000000000006E-2</v>
      </c>
      <c r="I98" s="51">
        <v>6.1255999999999998E-2</v>
      </c>
      <c r="J98" s="51">
        <v>6.7423999999999998E-2</v>
      </c>
      <c r="K98" s="51">
        <v>7.3861999999999997E-2</v>
      </c>
      <c r="L98" s="363">
        <v>7.8337000000000004E-2</v>
      </c>
      <c r="M98" s="51">
        <v>7.7876000000000001E-2</v>
      </c>
      <c r="N98" s="51">
        <v>7.5528999999999999E-2</v>
      </c>
      <c r="O98" s="51">
        <v>7.3731000000000005E-2</v>
      </c>
      <c r="P98" s="51">
        <v>7.4288000000000007E-2</v>
      </c>
      <c r="Q98" s="363">
        <v>7.4207999999999996E-2</v>
      </c>
      <c r="R98" s="51">
        <v>7.5175000000000006E-2</v>
      </c>
      <c r="S98" s="51">
        <v>7.8875000000000001E-2</v>
      </c>
      <c r="T98" s="51">
        <v>8.2324999999999995E-2</v>
      </c>
      <c r="U98" s="51">
        <v>8.4045999999999996E-2</v>
      </c>
      <c r="V98" s="363">
        <v>8.4294999999999995E-2</v>
      </c>
      <c r="W98" s="51">
        <v>8.5063E-2</v>
      </c>
      <c r="X98" s="51">
        <v>8.6404999999999996E-2</v>
      </c>
      <c r="Y98" s="51">
        <v>8.7295999999999999E-2</v>
      </c>
      <c r="Z98" s="51">
        <v>8.7840000000000001E-2</v>
      </c>
      <c r="AA98" s="363">
        <v>8.8566000000000006E-2</v>
      </c>
      <c r="AB98" s="51">
        <v>8.9649000000000006E-2</v>
      </c>
      <c r="AC98" s="51">
        <v>9.0787000000000007E-2</v>
      </c>
      <c r="AD98" s="51">
        <v>9.3754000000000004E-2</v>
      </c>
      <c r="AE98" s="51">
        <v>9.6549999999999997E-2</v>
      </c>
      <c r="AF98" s="363">
        <v>9.8271999999999998E-2</v>
      </c>
      <c r="AG98" s="364">
        <v>1.1521E-2</v>
      </c>
    </row>
    <row r="99" spans="1:33" x14ac:dyDescent="0.2">
      <c r="A99" s="107" t="s">
        <v>538</v>
      </c>
      <c r="B99" s="362">
        <v>2.5359382852911901E-3</v>
      </c>
      <c r="C99" s="129">
        <v>3.2393678557127701E-3</v>
      </c>
      <c r="D99" s="51">
        <v>0</v>
      </c>
      <c r="E99" s="51">
        <v>9.6000000000000002E-5</v>
      </c>
      <c r="F99" s="51">
        <v>1.3439999999999999E-3</v>
      </c>
      <c r="G99" s="363">
        <v>1.6019999999999999E-3</v>
      </c>
      <c r="H99" s="51">
        <v>1.671E-3</v>
      </c>
      <c r="I99" s="51">
        <v>1.8209999999999999E-3</v>
      </c>
      <c r="J99" s="51">
        <v>2.1120000000000002E-3</v>
      </c>
      <c r="K99" s="51">
        <v>2.248E-3</v>
      </c>
      <c r="L99" s="363">
        <v>2.2989999999999998E-3</v>
      </c>
      <c r="M99" s="51">
        <v>2.516E-3</v>
      </c>
      <c r="N99" s="51">
        <v>2.6020000000000001E-3</v>
      </c>
      <c r="O99" s="51">
        <v>2.745E-3</v>
      </c>
      <c r="P99" s="51">
        <v>2.9169999999999999E-3</v>
      </c>
      <c r="Q99" s="363">
        <v>3.1029999999999999E-3</v>
      </c>
      <c r="R99" s="51">
        <v>3.2820000000000002E-3</v>
      </c>
      <c r="S99" s="51">
        <v>3.594E-3</v>
      </c>
      <c r="T99" s="51">
        <v>3.9189999999999997E-3</v>
      </c>
      <c r="U99" s="51">
        <v>4.1729999999999996E-3</v>
      </c>
      <c r="V99" s="363">
        <v>4.4000000000000003E-3</v>
      </c>
      <c r="W99" s="51">
        <v>4.6860000000000001E-3</v>
      </c>
      <c r="X99" s="51">
        <v>5.0049999999999999E-3</v>
      </c>
      <c r="Y99" s="51">
        <v>5.2909999999999997E-3</v>
      </c>
      <c r="Z99" s="51">
        <v>5.5310000000000003E-3</v>
      </c>
      <c r="AA99" s="363">
        <v>5.6559999999999996E-3</v>
      </c>
      <c r="AB99" s="51">
        <v>5.8069999999999997E-3</v>
      </c>
      <c r="AC99" s="51">
        <v>5.9789999999999999E-3</v>
      </c>
      <c r="AD99" s="51">
        <v>6.1980000000000004E-3</v>
      </c>
      <c r="AE99" s="51">
        <v>6.3330000000000001E-3</v>
      </c>
      <c r="AF99" s="363">
        <v>6.3870000000000003E-3</v>
      </c>
      <c r="AG99" s="364">
        <v>5.6878999999999999E-2</v>
      </c>
    </row>
    <row r="100" spans="1:33" x14ac:dyDescent="0.2">
      <c r="A100" s="107" t="s">
        <v>539</v>
      </c>
      <c r="B100" s="362">
        <v>3.8051605224609401E-3</v>
      </c>
      <c r="C100" s="129">
        <v>5.2801556885242497E-3</v>
      </c>
      <c r="D100" s="51">
        <v>0</v>
      </c>
      <c r="E100" s="51">
        <v>1.4E-5</v>
      </c>
      <c r="F100" s="51">
        <v>1.63E-4</v>
      </c>
      <c r="G100" s="363">
        <v>4.55E-4</v>
      </c>
      <c r="H100" s="51">
        <v>6.9999999999999994E-5</v>
      </c>
      <c r="I100" s="51">
        <v>7.1599999999999995E-4</v>
      </c>
      <c r="J100" s="51">
        <v>9.5699999999999995E-4</v>
      </c>
      <c r="K100" s="51">
        <v>1.2179999999999999E-3</v>
      </c>
      <c r="L100" s="363">
        <v>1.48E-3</v>
      </c>
      <c r="M100" s="51">
        <v>1.689E-3</v>
      </c>
      <c r="N100" s="51">
        <v>1.8439999999999999E-3</v>
      </c>
      <c r="O100" s="51">
        <v>3.1519999999999999E-3</v>
      </c>
      <c r="P100" s="51">
        <v>3.4740000000000001E-3</v>
      </c>
      <c r="Q100" s="363">
        <v>3.7659999999999998E-3</v>
      </c>
      <c r="R100" s="51">
        <v>4.0730000000000002E-3</v>
      </c>
      <c r="S100" s="51">
        <v>4.4819999999999999E-3</v>
      </c>
      <c r="T100" s="51">
        <v>4.836E-3</v>
      </c>
      <c r="U100" s="51">
        <v>5.1070000000000004E-3</v>
      </c>
      <c r="V100" s="363">
        <v>5.3E-3</v>
      </c>
      <c r="W100" s="51">
        <v>5.4990000000000004E-3</v>
      </c>
      <c r="X100" s="51">
        <v>5.6930000000000001E-3</v>
      </c>
      <c r="Y100" s="51">
        <v>5.8380000000000003E-3</v>
      </c>
      <c r="Z100" s="51">
        <v>5.9480000000000002E-3</v>
      </c>
      <c r="AA100" s="363">
        <v>8.3059999999999991E-3</v>
      </c>
      <c r="AB100" s="51">
        <v>8.4729999999999996E-3</v>
      </c>
      <c r="AC100" s="51">
        <v>8.6339999999999993E-3</v>
      </c>
      <c r="AD100" s="51">
        <v>8.8940000000000009E-3</v>
      </c>
      <c r="AE100" s="51">
        <v>9.0799999999999995E-3</v>
      </c>
      <c r="AF100" s="363">
        <v>9.1839999999999995E-3</v>
      </c>
      <c r="AG100" s="364">
        <v>0.127719</v>
      </c>
    </row>
    <row r="101" spans="1:33" x14ac:dyDescent="0.2">
      <c r="A101" s="107" t="s">
        <v>540</v>
      </c>
      <c r="B101" s="362">
        <v>0.22365894913673401</v>
      </c>
      <c r="C101" s="129">
        <v>0.22561344504356401</v>
      </c>
      <c r="D101" s="51">
        <v>0.28461900000000001</v>
      </c>
      <c r="E101" s="51">
        <v>0.20520099999999999</v>
      </c>
      <c r="F101" s="51">
        <v>0.182418</v>
      </c>
      <c r="G101" s="363">
        <v>0.20869699999999999</v>
      </c>
      <c r="H101" s="51">
        <v>0.25384400000000001</v>
      </c>
      <c r="I101" s="51">
        <v>0.21842900000000001</v>
      </c>
      <c r="J101" s="51">
        <v>0.24301300000000001</v>
      </c>
      <c r="K101" s="51">
        <v>0.26871899999999999</v>
      </c>
      <c r="L101" s="363">
        <v>0.28748299999999999</v>
      </c>
      <c r="M101" s="51">
        <v>0.288412</v>
      </c>
      <c r="N101" s="51">
        <v>0.28206300000000001</v>
      </c>
      <c r="O101" s="51">
        <v>0.27891199999999999</v>
      </c>
      <c r="P101" s="51">
        <v>0.28318500000000002</v>
      </c>
      <c r="Q101" s="363">
        <v>0.28496500000000002</v>
      </c>
      <c r="R101" s="51">
        <v>0.29058600000000001</v>
      </c>
      <c r="S101" s="51">
        <v>0.30672300000000002</v>
      </c>
      <c r="T101" s="51">
        <v>0.32189099999999998</v>
      </c>
      <c r="U101" s="51">
        <v>0.330322</v>
      </c>
      <c r="V101" s="363">
        <v>0.33295999999999998</v>
      </c>
      <c r="W101" s="51">
        <v>0.33756999999999998</v>
      </c>
      <c r="X101" s="51">
        <v>0.34436299999999997</v>
      </c>
      <c r="Y101" s="51">
        <v>0.349277</v>
      </c>
      <c r="Z101" s="51">
        <v>0.35271000000000002</v>
      </c>
      <c r="AA101" s="363">
        <v>0.35765799999999998</v>
      </c>
      <c r="AB101" s="51">
        <v>0.36303600000000003</v>
      </c>
      <c r="AC101" s="51">
        <v>0.36860300000000001</v>
      </c>
      <c r="AD101" s="51">
        <v>0.38144699999999998</v>
      </c>
      <c r="AE101" s="51">
        <v>0.39347399999999999</v>
      </c>
      <c r="AF101" s="363">
        <v>0.40111000000000002</v>
      </c>
      <c r="AG101" s="364">
        <v>2.6478999999999999E-2</v>
      </c>
    </row>
    <row r="102" spans="1:33" x14ac:dyDescent="0.2">
      <c r="A102" s="107" t="s">
        <v>541</v>
      </c>
      <c r="B102" s="251"/>
      <c r="G102" s="251"/>
      <c r="L102" s="251"/>
      <c r="Q102" s="251"/>
      <c r="V102" s="251"/>
      <c r="AA102" s="251"/>
      <c r="AF102" s="251"/>
    </row>
    <row r="103" spans="1:33" x14ac:dyDescent="0.2">
      <c r="A103" s="107" t="s">
        <v>536</v>
      </c>
      <c r="B103" s="362">
        <v>0.35813724994659402</v>
      </c>
      <c r="C103" s="129">
        <v>0.39134824275970498</v>
      </c>
      <c r="D103" s="51">
        <v>0.1991</v>
      </c>
      <c r="E103" s="51">
        <v>0.178922</v>
      </c>
      <c r="F103" s="51">
        <v>0.12776399999999999</v>
      </c>
      <c r="G103" s="363">
        <v>0.151255</v>
      </c>
      <c r="H103" s="51">
        <v>0.18291399999999999</v>
      </c>
      <c r="I103" s="51">
        <v>0.19140299999999999</v>
      </c>
      <c r="J103" s="51">
        <v>0.20981900000000001</v>
      </c>
      <c r="K103" s="51">
        <v>0.23852599999999999</v>
      </c>
      <c r="L103" s="363">
        <v>0.256714</v>
      </c>
      <c r="M103" s="51">
        <v>0.249329</v>
      </c>
      <c r="N103" s="51">
        <v>0.239235</v>
      </c>
      <c r="O103" s="51">
        <v>0.24085100000000001</v>
      </c>
      <c r="P103" s="51">
        <v>0.246423</v>
      </c>
      <c r="Q103" s="363">
        <v>0.24591399999999999</v>
      </c>
      <c r="R103" s="51">
        <v>0.25058399999999997</v>
      </c>
      <c r="S103" s="51">
        <v>0.26786199999999999</v>
      </c>
      <c r="T103" s="51">
        <v>0.28742699999999999</v>
      </c>
      <c r="U103" s="51">
        <v>0.29636299999999999</v>
      </c>
      <c r="V103" s="363">
        <v>0.297068</v>
      </c>
      <c r="W103" s="51">
        <v>0.30045899999999998</v>
      </c>
      <c r="X103" s="51">
        <v>0.30759399999999998</v>
      </c>
      <c r="Y103" s="51">
        <v>0.31324400000000002</v>
      </c>
      <c r="Z103" s="51">
        <v>0.317359</v>
      </c>
      <c r="AA103" s="363">
        <v>0.32296599999999998</v>
      </c>
      <c r="AB103" s="51">
        <v>0.32945200000000002</v>
      </c>
      <c r="AC103" s="51">
        <v>0.33620100000000003</v>
      </c>
      <c r="AD103" s="51">
        <v>0.351549</v>
      </c>
      <c r="AE103" s="51">
        <v>0.366537</v>
      </c>
      <c r="AF103" s="363">
        <v>0.37530400000000003</v>
      </c>
      <c r="AG103" s="364">
        <v>3.7019999999999997E-2</v>
      </c>
    </row>
    <row r="104" spans="1:33" x14ac:dyDescent="0.2">
      <c r="A104" s="107" t="s">
        <v>537</v>
      </c>
      <c r="B104" s="362">
        <v>1.2219258584082101E-2</v>
      </c>
      <c r="C104" s="129">
        <v>1.3406184501946E-2</v>
      </c>
      <c r="D104" s="51">
        <v>2.5842E-2</v>
      </c>
      <c r="E104" s="51">
        <v>2.6540999999999999E-2</v>
      </c>
      <c r="F104" s="51">
        <v>1.5699999999999999E-4</v>
      </c>
      <c r="G104" s="363">
        <v>1.01E-4</v>
      </c>
      <c r="H104" s="51">
        <v>7.9380000000000006E-3</v>
      </c>
      <c r="I104" s="51">
        <v>8.293E-3</v>
      </c>
      <c r="J104" s="51">
        <v>9.1240000000000002E-3</v>
      </c>
      <c r="K104" s="51">
        <v>1.031E-2</v>
      </c>
      <c r="L104" s="363">
        <v>1.1088000000000001E-2</v>
      </c>
      <c r="M104" s="51">
        <v>1.0763E-2</v>
      </c>
      <c r="N104" s="51">
        <v>1.0324E-2</v>
      </c>
      <c r="O104" s="51">
        <v>1.039E-2</v>
      </c>
      <c r="P104" s="51">
        <v>1.0628E-2</v>
      </c>
      <c r="Q104" s="363">
        <v>1.0605E-2</v>
      </c>
      <c r="R104" s="51">
        <v>1.0803999999999999E-2</v>
      </c>
      <c r="S104" s="51">
        <v>1.1547999999999999E-2</v>
      </c>
      <c r="T104" s="51">
        <v>1.2390999999999999E-2</v>
      </c>
      <c r="U104" s="51">
        <v>1.2775E-2</v>
      </c>
      <c r="V104" s="363">
        <v>1.2803999999999999E-2</v>
      </c>
      <c r="W104" s="51">
        <v>1.295E-2</v>
      </c>
      <c r="X104" s="51">
        <v>1.3257E-2</v>
      </c>
      <c r="Y104" s="51">
        <v>1.35E-2</v>
      </c>
      <c r="Z104" s="51">
        <v>1.3677E-2</v>
      </c>
      <c r="AA104" s="363">
        <v>1.3918E-2</v>
      </c>
      <c r="AB104" s="51">
        <v>1.4198000000000001E-2</v>
      </c>
      <c r="AC104" s="51">
        <v>1.4489E-2</v>
      </c>
      <c r="AD104" s="51">
        <v>1.515E-2</v>
      </c>
      <c r="AE104" s="51">
        <v>1.5795E-2</v>
      </c>
      <c r="AF104" s="363">
        <v>1.6171999999999999E-2</v>
      </c>
      <c r="AG104" s="364">
        <v>0.225268</v>
      </c>
    </row>
    <row r="105" spans="1:33" x14ac:dyDescent="0.2">
      <c r="A105" s="107" t="s">
        <v>538</v>
      </c>
      <c r="B105" s="362">
        <v>1.19064550381154E-3</v>
      </c>
      <c r="C105" s="129">
        <v>1.49631104432046E-3</v>
      </c>
      <c r="D105" s="51">
        <v>7.2700000000000004E-3</v>
      </c>
      <c r="E105" s="51">
        <v>2.0999999999999999E-5</v>
      </c>
      <c r="F105" s="51">
        <v>1.45E-4</v>
      </c>
      <c r="G105" s="363">
        <v>1.5899999999999999E-4</v>
      </c>
      <c r="H105" s="51">
        <v>2.72E-4</v>
      </c>
      <c r="I105" s="51">
        <v>3.6099999999999999E-4</v>
      </c>
      <c r="J105" s="51">
        <v>4.3399999999999998E-4</v>
      </c>
      <c r="K105" s="51">
        <v>4.4700000000000002E-4</v>
      </c>
      <c r="L105" s="363">
        <v>4.8299999999999998E-4</v>
      </c>
      <c r="M105" s="51">
        <v>5.1500000000000005E-4</v>
      </c>
      <c r="N105" s="51">
        <v>5.2499999999999997E-4</v>
      </c>
      <c r="O105" s="51">
        <v>5.6499999999999996E-4</v>
      </c>
      <c r="P105" s="51">
        <v>6.0599999999999998E-4</v>
      </c>
      <c r="Q105" s="363">
        <v>6.3199999999999997E-4</v>
      </c>
      <c r="R105" s="51">
        <v>6.6600000000000003E-4</v>
      </c>
      <c r="S105" s="51">
        <v>7.3200000000000001E-4</v>
      </c>
      <c r="T105" s="51">
        <v>8.0099999999999995E-4</v>
      </c>
      <c r="U105" s="51">
        <v>8.3799999999999999E-4</v>
      </c>
      <c r="V105" s="363">
        <v>8.5599999999999999E-4</v>
      </c>
      <c r="W105" s="51">
        <v>8.7900000000000001E-4</v>
      </c>
      <c r="X105" s="51">
        <v>9.1E-4</v>
      </c>
      <c r="Y105" s="51">
        <v>9.3199999999999999E-4</v>
      </c>
      <c r="Z105" s="51">
        <v>9.4899999999999997E-4</v>
      </c>
      <c r="AA105" s="363">
        <v>9.7199999999999999E-4</v>
      </c>
      <c r="AB105" s="51">
        <v>1.0059999999999999E-3</v>
      </c>
      <c r="AC105" s="51">
        <v>1.0430000000000001E-3</v>
      </c>
      <c r="AD105" s="51">
        <v>1.088E-3</v>
      </c>
      <c r="AE105" s="51">
        <v>1.1150000000000001E-3</v>
      </c>
      <c r="AF105" s="363">
        <v>1.119E-3</v>
      </c>
      <c r="AG105" s="364">
        <v>8.1184999999999993E-2</v>
      </c>
    </row>
    <row r="106" spans="1:33" x14ac:dyDescent="0.2">
      <c r="A106" s="107" t="s">
        <v>539</v>
      </c>
      <c r="B106" s="362">
        <v>2.3779207840561901E-3</v>
      </c>
      <c r="C106" s="129">
        <v>3.3644605427980401E-3</v>
      </c>
      <c r="D106" s="51">
        <v>0</v>
      </c>
      <c r="E106" s="51">
        <v>4.7399999999999997E-4</v>
      </c>
      <c r="F106" s="51">
        <v>3.0299999999999999E-4</v>
      </c>
      <c r="G106" s="363">
        <v>4.0499999999999998E-4</v>
      </c>
      <c r="H106" s="51">
        <v>6.8900000000000005E-4</v>
      </c>
      <c r="I106" s="51">
        <v>9.1600000000000004E-4</v>
      </c>
      <c r="J106" s="51">
        <v>2.6099999999999999E-3</v>
      </c>
      <c r="K106" s="51">
        <v>1.5460000000000001E-3</v>
      </c>
      <c r="L106" s="363">
        <v>1.902E-3</v>
      </c>
      <c r="M106" s="51">
        <v>2.1090000000000002E-3</v>
      </c>
      <c r="N106" s="51">
        <v>2.2680000000000001E-3</v>
      </c>
      <c r="O106" s="51">
        <v>2.5209999999999998E-3</v>
      </c>
      <c r="P106" s="51">
        <v>2.8050000000000002E-3</v>
      </c>
      <c r="Q106" s="363">
        <v>3.0049999999999999E-3</v>
      </c>
      <c r="R106" s="51">
        <v>3.2450000000000001E-3</v>
      </c>
      <c r="S106" s="51">
        <v>3.6359999999999999E-3</v>
      </c>
      <c r="T106" s="51">
        <v>4.0509999999999999E-3</v>
      </c>
      <c r="U106" s="51">
        <v>4.3080000000000002E-3</v>
      </c>
      <c r="V106" s="363">
        <v>4.4349999999999997E-3</v>
      </c>
      <c r="W106" s="51">
        <v>4.5859999999999998E-3</v>
      </c>
      <c r="X106" s="51">
        <v>4.7749999999999997E-3</v>
      </c>
      <c r="Y106" s="51">
        <v>4.9290000000000002E-3</v>
      </c>
      <c r="Z106" s="51">
        <v>5.0499999999999998E-3</v>
      </c>
      <c r="AA106" s="363">
        <v>5.189E-3</v>
      </c>
      <c r="AB106" s="51">
        <v>5.3369999999999997E-3</v>
      </c>
      <c r="AC106" s="51">
        <v>5.4920000000000004E-3</v>
      </c>
      <c r="AD106" s="51">
        <v>5.7600000000000004E-3</v>
      </c>
      <c r="AE106" s="51">
        <v>6.0000000000000001E-3</v>
      </c>
      <c r="AF106" s="363">
        <v>6.1279999999999998E-3</v>
      </c>
      <c r="AG106" s="364">
        <v>0.11479399999999999</v>
      </c>
    </row>
    <row r="107" spans="1:33" x14ac:dyDescent="0.2">
      <c r="A107" s="107" t="s">
        <v>542</v>
      </c>
      <c r="B107" s="362">
        <v>0.37392508983612099</v>
      </c>
      <c r="C107" s="129">
        <v>0.409615218639374</v>
      </c>
      <c r="D107" s="51">
        <v>0.232212</v>
      </c>
      <c r="E107" s="51">
        <v>0.205957</v>
      </c>
      <c r="F107" s="51">
        <v>0.12836900000000001</v>
      </c>
      <c r="G107" s="363">
        <v>0.15192</v>
      </c>
      <c r="H107" s="51">
        <v>0.19181300000000001</v>
      </c>
      <c r="I107" s="51">
        <v>0.20097300000000001</v>
      </c>
      <c r="J107" s="51">
        <v>0.22198799999999999</v>
      </c>
      <c r="K107" s="51">
        <v>0.25082900000000002</v>
      </c>
      <c r="L107" s="363">
        <v>0.27018700000000001</v>
      </c>
      <c r="M107" s="51">
        <v>0.26271600000000001</v>
      </c>
      <c r="N107" s="51">
        <v>0.25235200000000002</v>
      </c>
      <c r="O107" s="51">
        <v>0.25432700000000003</v>
      </c>
      <c r="P107" s="51">
        <v>0.26046200000000003</v>
      </c>
      <c r="Q107" s="363">
        <v>0.260156</v>
      </c>
      <c r="R107" s="51">
        <v>0.26529999999999998</v>
      </c>
      <c r="S107" s="51">
        <v>0.28377799999999997</v>
      </c>
      <c r="T107" s="51">
        <v>0.30467</v>
      </c>
      <c r="U107" s="51">
        <v>0.31428299999999998</v>
      </c>
      <c r="V107" s="363">
        <v>0.31516300000000003</v>
      </c>
      <c r="W107" s="51">
        <v>0.31887399999999999</v>
      </c>
      <c r="X107" s="51">
        <v>0.32653599999999999</v>
      </c>
      <c r="Y107" s="51">
        <v>0.33260600000000001</v>
      </c>
      <c r="Z107" s="51">
        <v>0.33703499999999997</v>
      </c>
      <c r="AA107" s="363">
        <v>0.34304600000000002</v>
      </c>
      <c r="AB107" s="51">
        <v>0.34999200000000003</v>
      </c>
      <c r="AC107" s="51">
        <v>0.35722399999999999</v>
      </c>
      <c r="AD107" s="51">
        <v>0.37354700000000002</v>
      </c>
      <c r="AE107" s="51">
        <v>0.38944699999999999</v>
      </c>
      <c r="AF107" s="363">
        <v>0.39872299999999999</v>
      </c>
      <c r="AG107" s="364">
        <v>3.9350999999999997E-2</v>
      </c>
    </row>
    <row r="108" spans="1:33" x14ac:dyDescent="0.2">
      <c r="A108" s="107" t="s">
        <v>557</v>
      </c>
      <c r="B108" s="362">
        <v>0.597584068775177</v>
      </c>
      <c r="C108" s="129">
        <v>0.63522857427597001</v>
      </c>
      <c r="D108" s="51">
        <v>0.51683100000000004</v>
      </c>
      <c r="E108" s="51">
        <v>0.41115800000000002</v>
      </c>
      <c r="F108" s="51">
        <v>0.31078699999999998</v>
      </c>
      <c r="G108" s="363">
        <v>0.36061700000000002</v>
      </c>
      <c r="H108" s="51">
        <v>0.44565700000000003</v>
      </c>
      <c r="I108" s="51">
        <v>0.419402</v>
      </c>
      <c r="J108" s="51">
        <v>0.46500000000000002</v>
      </c>
      <c r="K108" s="51">
        <v>0.51954900000000004</v>
      </c>
      <c r="L108" s="363">
        <v>0.55767</v>
      </c>
      <c r="M108" s="51">
        <v>0.55112799999999995</v>
      </c>
      <c r="N108" s="51">
        <v>0.53441499999999997</v>
      </c>
      <c r="O108" s="51">
        <v>0.53323900000000002</v>
      </c>
      <c r="P108" s="51">
        <v>0.54364699999999999</v>
      </c>
      <c r="Q108" s="363">
        <v>0.54512099999999997</v>
      </c>
      <c r="R108" s="51">
        <v>0.55588599999999999</v>
      </c>
      <c r="S108" s="51">
        <v>0.59050100000000005</v>
      </c>
      <c r="T108" s="51">
        <v>0.62656100000000003</v>
      </c>
      <c r="U108" s="51">
        <v>0.64460499999999998</v>
      </c>
      <c r="V108" s="363">
        <v>0.648123</v>
      </c>
      <c r="W108" s="51">
        <v>0.65644400000000003</v>
      </c>
      <c r="X108" s="51">
        <v>0.67089900000000002</v>
      </c>
      <c r="Y108" s="51">
        <v>0.68188300000000002</v>
      </c>
      <c r="Z108" s="51">
        <v>0.68974500000000005</v>
      </c>
      <c r="AA108" s="363">
        <v>0.70070399999999999</v>
      </c>
      <c r="AB108" s="51">
        <v>0.713028</v>
      </c>
      <c r="AC108" s="51">
        <v>0.72582800000000003</v>
      </c>
      <c r="AD108" s="51">
        <v>0.75499400000000005</v>
      </c>
      <c r="AE108" s="51">
        <v>0.78292099999999998</v>
      </c>
      <c r="AF108" s="363">
        <v>0.79983300000000002</v>
      </c>
      <c r="AG108" s="364">
        <v>3.2377000000000003E-2</v>
      </c>
    </row>
    <row r="109" spans="1:33" x14ac:dyDescent="0.2">
      <c r="B109" s="251"/>
      <c r="G109" s="251"/>
      <c r="L109" s="251"/>
      <c r="Q109" s="251"/>
      <c r="V109" s="251"/>
      <c r="AA109" s="251"/>
      <c r="AF109" s="251"/>
    </row>
    <row r="110" spans="1:33" x14ac:dyDescent="0.2">
      <c r="A110" s="107" t="s">
        <v>558</v>
      </c>
      <c r="B110" s="251"/>
      <c r="G110" s="251"/>
      <c r="L110" s="251"/>
      <c r="Q110" s="251"/>
      <c r="V110" s="251"/>
      <c r="AA110" s="251"/>
      <c r="AF110" s="251"/>
    </row>
    <row r="111" spans="1:33" x14ac:dyDescent="0.2">
      <c r="A111" s="107" t="s">
        <v>559</v>
      </c>
      <c r="B111" s="362">
        <v>1587.57189941406</v>
      </c>
      <c r="C111" s="129">
        <v>1655.60827636719</v>
      </c>
      <c r="D111" s="51">
        <v>1770.545044</v>
      </c>
      <c r="E111" s="51">
        <v>1806.3632809999999</v>
      </c>
      <c r="F111" s="51">
        <v>1532.2139890000001</v>
      </c>
      <c r="G111" s="363">
        <v>1559.268188</v>
      </c>
      <c r="H111" s="51">
        <v>1516.719971</v>
      </c>
      <c r="I111" s="51">
        <v>1475.177612</v>
      </c>
      <c r="J111" s="51">
        <v>1483.071533</v>
      </c>
      <c r="K111" s="51">
        <v>1496.776001</v>
      </c>
      <c r="L111" s="363">
        <v>1502.9094239999999</v>
      </c>
      <c r="M111" s="51">
        <v>1544.4094239999999</v>
      </c>
      <c r="N111" s="51">
        <v>1566.5513920000001</v>
      </c>
      <c r="O111" s="51">
        <v>1585.951538</v>
      </c>
      <c r="P111" s="51">
        <v>1622.025024</v>
      </c>
      <c r="Q111" s="363">
        <v>1661.982422</v>
      </c>
      <c r="R111" s="51">
        <v>1674.490112</v>
      </c>
      <c r="S111" s="51">
        <v>1729.0245359999999</v>
      </c>
      <c r="T111" s="51">
        <v>1757.9404300000001</v>
      </c>
      <c r="U111" s="51">
        <v>1774.1152340000001</v>
      </c>
      <c r="V111" s="363">
        <v>1782.236572</v>
      </c>
      <c r="W111" s="51">
        <v>1786.5341800000001</v>
      </c>
      <c r="X111" s="51">
        <v>1810.194336</v>
      </c>
      <c r="Y111" s="51">
        <v>1812.024658</v>
      </c>
      <c r="Z111" s="51">
        <v>1811.663086</v>
      </c>
      <c r="AA111" s="363">
        <v>1826.002686</v>
      </c>
      <c r="AB111" s="51">
        <v>1817.9539789999999</v>
      </c>
      <c r="AC111" s="51">
        <v>1827.3980710000001</v>
      </c>
      <c r="AD111" s="51">
        <v>1841.994019</v>
      </c>
      <c r="AE111" s="51">
        <v>1861.02124</v>
      </c>
      <c r="AF111" s="363">
        <v>1870.8969729999999</v>
      </c>
      <c r="AG111" s="364">
        <v>7.3150000000000003E-3</v>
      </c>
    </row>
    <row r="112" spans="1:33" x14ac:dyDescent="0.2">
      <c r="A112" s="107" t="s">
        <v>560</v>
      </c>
      <c r="B112" s="362">
        <v>2.9127993583679199</v>
      </c>
      <c r="C112" s="129">
        <v>2.9157152175903298</v>
      </c>
      <c r="D112" s="51">
        <v>3.125</v>
      </c>
      <c r="E112" s="51">
        <v>3.1281279999999998</v>
      </c>
      <c r="F112" s="51">
        <v>3.436426</v>
      </c>
      <c r="G112" s="363">
        <v>3.4398659999999999</v>
      </c>
      <c r="H112" s="51">
        <v>3.4433090000000002</v>
      </c>
      <c r="I112" s="51">
        <v>3.4467560000000002</v>
      </c>
      <c r="J112" s="51">
        <v>3.4502060000000001</v>
      </c>
      <c r="K112" s="51">
        <v>3.4536600000000002</v>
      </c>
      <c r="L112" s="363">
        <v>3.4571170000000002</v>
      </c>
      <c r="M112" s="51">
        <v>3.4605779999999999</v>
      </c>
      <c r="N112" s="51">
        <v>3.4640420000000001</v>
      </c>
      <c r="O112" s="51">
        <v>3.4675090000000002</v>
      </c>
      <c r="P112" s="51">
        <v>3.47098</v>
      </c>
      <c r="Q112" s="363">
        <v>3.4744549999999998</v>
      </c>
      <c r="R112" s="51">
        <v>3.477932</v>
      </c>
      <c r="S112" s="51">
        <v>3.481414</v>
      </c>
      <c r="T112" s="51">
        <v>3.484899</v>
      </c>
      <c r="U112" s="51">
        <v>3.4883869999999999</v>
      </c>
      <c r="V112" s="363">
        <v>3.491879</v>
      </c>
      <c r="W112" s="51">
        <v>3.4953750000000001</v>
      </c>
      <c r="X112" s="51">
        <v>3.4988730000000001</v>
      </c>
      <c r="Y112" s="51">
        <v>3.5023759999999999</v>
      </c>
      <c r="Z112" s="51">
        <v>3.5058820000000002</v>
      </c>
      <c r="AA112" s="363">
        <v>3.5093909999999999</v>
      </c>
      <c r="AB112" s="51">
        <v>3.5129039999999998</v>
      </c>
      <c r="AC112" s="51">
        <v>3.5164200000000001</v>
      </c>
      <c r="AD112" s="51">
        <v>3.5199400000000001</v>
      </c>
      <c r="AE112" s="51">
        <v>3.5234640000000002</v>
      </c>
      <c r="AF112" s="363">
        <v>3.5269910000000002</v>
      </c>
      <c r="AG112" s="364">
        <v>1.0009999999999999E-3</v>
      </c>
    </row>
    <row r="113" spans="1:33" x14ac:dyDescent="0.2">
      <c r="A113" s="107" t="s">
        <v>561</v>
      </c>
      <c r="B113" s="251"/>
      <c r="G113" s="251"/>
      <c r="L113" s="251"/>
      <c r="Q113" s="251"/>
      <c r="V113" s="251"/>
      <c r="AA113" s="251"/>
      <c r="AF113" s="251"/>
    </row>
    <row r="114" spans="1:33" x14ac:dyDescent="0.2">
      <c r="A114" s="107" t="s">
        <v>562</v>
      </c>
      <c r="B114" s="362">
        <v>545.03302001953102</v>
      </c>
      <c r="C114" s="129">
        <v>567.82238769531295</v>
      </c>
      <c r="D114" s="51">
        <v>605.03375200000005</v>
      </c>
      <c r="E114" s="51">
        <v>577.45819100000006</v>
      </c>
      <c r="F114" s="51">
        <v>361.83822600000002</v>
      </c>
      <c r="G114" s="363">
        <v>453.29324300000002</v>
      </c>
      <c r="H114" s="51">
        <v>440.48321499999997</v>
      </c>
      <c r="I114" s="51">
        <v>427.99014299999999</v>
      </c>
      <c r="J114" s="51">
        <v>429.88583399999999</v>
      </c>
      <c r="K114" s="51">
        <v>433.467804</v>
      </c>
      <c r="L114" s="363">
        <v>434.80749500000002</v>
      </c>
      <c r="M114" s="51">
        <v>446.37701399999997</v>
      </c>
      <c r="N114" s="51">
        <v>452.32549999999998</v>
      </c>
      <c r="O114" s="51">
        <v>457.46676600000001</v>
      </c>
      <c r="P114" s="51">
        <v>467.40273999999999</v>
      </c>
      <c r="Q114" s="363">
        <v>478.44152800000001</v>
      </c>
      <c r="R114" s="51">
        <v>481.55169699999999</v>
      </c>
      <c r="S114" s="51">
        <v>496.73431399999998</v>
      </c>
      <c r="T114" s="51">
        <v>504.533569</v>
      </c>
      <c r="U114" s="51">
        <v>508.65603599999997</v>
      </c>
      <c r="V114" s="363">
        <v>510.46664399999997</v>
      </c>
      <c r="W114" s="51">
        <v>511.18118299999998</v>
      </c>
      <c r="X114" s="51">
        <v>517.42571999999996</v>
      </c>
      <c r="Y114" s="51">
        <v>517.42437700000005</v>
      </c>
      <c r="Z114" s="51">
        <v>516.79846199999997</v>
      </c>
      <c r="AA114" s="363">
        <v>520.36529499999995</v>
      </c>
      <c r="AB114" s="51">
        <v>517.54113800000005</v>
      </c>
      <c r="AC114" s="51">
        <v>519.69787599999995</v>
      </c>
      <c r="AD114" s="51">
        <v>523.31561299999998</v>
      </c>
      <c r="AE114" s="51">
        <v>528.18212900000003</v>
      </c>
      <c r="AF114" s="363">
        <v>530.44305399999996</v>
      </c>
      <c r="AG114" s="364">
        <v>6.3070000000000001E-3</v>
      </c>
    </row>
    <row r="115" spans="1:33" x14ac:dyDescent="0.2">
      <c r="A115" s="107" t="s">
        <v>563</v>
      </c>
      <c r="B115" s="362">
        <v>0</v>
      </c>
      <c r="C115" s="129">
        <v>0</v>
      </c>
      <c r="D115" s="51">
        <v>0</v>
      </c>
      <c r="E115" s="51">
        <v>0</v>
      </c>
      <c r="F115" s="51">
        <v>0</v>
      </c>
      <c r="G115" s="363">
        <v>0</v>
      </c>
      <c r="H115" s="51">
        <v>0</v>
      </c>
      <c r="I115" s="51">
        <v>0</v>
      </c>
      <c r="J115" s="51">
        <v>0</v>
      </c>
      <c r="K115" s="51">
        <v>0</v>
      </c>
      <c r="L115" s="363">
        <v>0</v>
      </c>
      <c r="M115" s="51">
        <v>0</v>
      </c>
      <c r="N115" s="51">
        <v>0</v>
      </c>
      <c r="O115" s="51">
        <v>0</v>
      </c>
      <c r="P115" s="51">
        <v>0</v>
      </c>
      <c r="Q115" s="363">
        <v>0</v>
      </c>
      <c r="R115" s="51">
        <v>0</v>
      </c>
      <c r="S115" s="51">
        <v>0</v>
      </c>
      <c r="T115" s="51">
        <v>0</v>
      </c>
      <c r="U115" s="51">
        <v>0</v>
      </c>
      <c r="V115" s="363">
        <v>0</v>
      </c>
      <c r="W115" s="51">
        <v>0</v>
      </c>
      <c r="X115" s="51">
        <v>0</v>
      </c>
      <c r="Y115" s="51">
        <v>0</v>
      </c>
      <c r="Z115" s="51">
        <v>0</v>
      </c>
      <c r="AA115" s="363">
        <v>0</v>
      </c>
      <c r="AB115" s="51">
        <v>0</v>
      </c>
      <c r="AC115" s="51">
        <v>0</v>
      </c>
      <c r="AD115" s="51">
        <v>0</v>
      </c>
      <c r="AE115" s="51">
        <v>0</v>
      </c>
      <c r="AF115" s="363">
        <v>0</v>
      </c>
      <c r="AG115" s="368" t="s">
        <v>564</v>
      </c>
    </row>
    <row r="116" spans="1:33" x14ac:dyDescent="0.2">
      <c r="A116" s="107" t="s">
        <v>565</v>
      </c>
      <c r="B116" s="362">
        <v>0</v>
      </c>
      <c r="C116" s="129">
        <v>0</v>
      </c>
      <c r="D116" s="51">
        <v>0</v>
      </c>
      <c r="E116" s="51">
        <v>0</v>
      </c>
      <c r="F116" s="51">
        <v>0</v>
      </c>
      <c r="G116" s="363">
        <v>0</v>
      </c>
      <c r="H116" s="51">
        <v>0</v>
      </c>
      <c r="I116" s="51">
        <v>0</v>
      </c>
      <c r="J116" s="51">
        <v>0</v>
      </c>
      <c r="K116" s="51">
        <v>0</v>
      </c>
      <c r="L116" s="363">
        <v>0</v>
      </c>
      <c r="M116" s="51">
        <v>0</v>
      </c>
      <c r="N116" s="51">
        <v>0</v>
      </c>
      <c r="O116" s="51">
        <v>0</v>
      </c>
      <c r="P116" s="51">
        <v>0</v>
      </c>
      <c r="Q116" s="363">
        <v>0</v>
      </c>
      <c r="R116" s="51">
        <v>0</v>
      </c>
      <c r="S116" s="51">
        <v>0</v>
      </c>
      <c r="T116" s="51">
        <v>0</v>
      </c>
      <c r="U116" s="51">
        <v>0</v>
      </c>
      <c r="V116" s="363">
        <v>0</v>
      </c>
      <c r="W116" s="51">
        <v>0</v>
      </c>
      <c r="X116" s="51">
        <v>0</v>
      </c>
      <c r="Y116" s="51">
        <v>0</v>
      </c>
      <c r="Z116" s="51">
        <v>0</v>
      </c>
      <c r="AA116" s="363">
        <v>0</v>
      </c>
      <c r="AB116" s="51">
        <v>0</v>
      </c>
      <c r="AC116" s="51">
        <v>0</v>
      </c>
      <c r="AD116" s="51">
        <v>0</v>
      </c>
      <c r="AE116" s="51">
        <v>0</v>
      </c>
      <c r="AF116" s="363">
        <v>0</v>
      </c>
      <c r="AG116" s="368" t="s">
        <v>564</v>
      </c>
    </row>
    <row r="117" spans="1:33" x14ac:dyDescent="0.2">
      <c r="B117" s="251"/>
      <c r="G117" s="251"/>
      <c r="L117" s="251"/>
      <c r="Q117" s="251"/>
      <c r="V117" s="251"/>
      <c r="AA117" s="251"/>
      <c r="AF117" s="251"/>
    </row>
    <row r="118" spans="1:33" x14ac:dyDescent="0.2">
      <c r="A118" s="107" t="s">
        <v>566</v>
      </c>
      <c r="B118" s="251"/>
      <c r="G118" s="251"/>
      <c r="L118" s="251"/>
      <c r="Q118" s="251"/>
      <c r="V118" s="251"/>
      <c r="AA118" s="251"/>
      <c r="AF118" s="251"/>
    </row>
    <row r="119" spans="1:33" x14ac:dyDescent="0.2">
      <c r="A119" s="107" t="s">
        <v>567</v>
      </c>
      <c r="B119" s="362">
        <v>609.66827392578102</v>
      </c>
      <c r="C119" s="129">
        <v>619.49761962890602</v>
      </c>
      <c r="D119" s="51">
        <v>584.49633800000004</v>
      </c>
      <c r="E119" s="51">
        <v>576.07605000000001</v>
      </c>
      <c r="F119" s="51">
        <v>477</v>
      </c>
      <c r="G119" s="363">
        <v>521.80175799999995</v>
      </c>
      <c r="H119" s="51">
        <v>500.36541699999998</v>
      </c>
      <c r="I119" s="51">
        <v>514.94006300000001</v>
      </c>
      <c r="J119" s="51">
        <v>516.88470500000005</v>
      </c>
      <c r="K119" s="51">
        <v>534.91046100000005</v>
      </c>
      <c r="L119" s="363">
        <v>549.01873799999998</v>
      </c>
      <c r="M119" s="51">
        <v>562.631348</v>
      </c>
      <c r="N119" s="51">
        <v>569.22125200000005</v>
      </c>
      <c r="O119" s="51">
        <v>574.49139400000001</v>
      </c>
      <c r="P119" s="51">
        <v>581.04638699999998</v>
      </c>
      <c r="Q119" s="363">
        <v>586.77136199999995</v>
      </c>
      <c r="R119" s="51">
        <v>591.504639</v>
      </c>
      <c r="S119" s="51">
        <v>595.95929000000001</v>
      </c>
      <c r="T119" s="51">
        <v>599.24896200000001</v>
      </c>
      <c r="U119" s="51">
        <v>601.35022000000004</v>
      </c>
      <c r="V119" s="363">
        <v>604.00207499999999</v>
      </c>
      <c r="W119" s="51">
        <v>607.95404099999996</v>
      </c>
      <c r="X119" s="51">
        <v>611.32171600000004</v>
      </c>
      <c r="Y119" s="51">
        <v>613.67511000000002</v>
      </c>
      <c r="Z119" s="51">
        <v>615.10455300000001</v>
      </c>
      <c r="AA119" s="363">
        <v>616.67211899999995</v>
      </c>
      <c r="AB119" s="51">
        <v>616.80529799999999</v>
      </c>
      <c r="AC119" s="51">
        <v>618.68896500000005</v>
      </c>
      <c r="AD119" s="51">
        <v>622.04187000000002</v>
      </c>
      <c r="AE119" s="51">
        <v>624.11547900000005</v>
      </c>
      <c r="AF119" s="363">
        <v>627.12817399999994</v>
      </c>
      <c r="AG119" s="364">
        <v>7.3819999999999997E-3</v>
      </c>
    </row>
    <row r="120" spans="1:33" x14ac:dyDescent="0.2">
      <c r="A120" s="107" t="s">
        <v>560</v>
      </c>
      <c r="B120" s="362">
        <v>1.96274697780609</v>
      </c>
      <c r="C120" s="129">
        <v>1.9647117853164699</v>
      </c>
      <c r="D120" s="51">
        <v>1.9532240000000001</v>
      </c>
      <c r="E120" s="51">
        <v>1.957139</v>
      </c>
      <c r="F120" s="51">
        <v>2.3971390000000001</v>
      </c>
      <c r="G120" s="363">
        <v>2.401942</v>
      </c>
      <c r="H120" s="51">
        <v>2.4067560000000001</v>
      </c>
      <c r="I120" s="51">
        <v>2.4115790000000001</v>
      </c>
      <c r="J120" s="51">
        <v>2.4164119999999998</v>
      </c>
      <c r="K120" s="51">
        <v>2.4212549999999999</v>
      </c>
      <c r="L120" s="363">
        <v>2.426107</v>
      </c>
      <c r="M120" s="51">
        <v>2.4309690000000002</v>
      </c>
      <c r="N120" s="51">
        <v>2.4358409999999999</v>
      </c>
      <c r="O120" s="51">
        <v>2.4407220000000001</v>
      </c>
      <c r="P120" s="51">
        <v>2.4456129999999998</v>
      </c>
      <c r="Q120" s="363">
        <v>2.4505140000000001</v>
      </c>
      <c r="R120" s="51">
        <v>2.455425</v>
      </c>
      <c r="S120" s="51">
        <v>2.4603459999999999</v>
      </c>
      <c r="T120" s="51">
        <v>2.4652759999999998</v>
      </c>
      <c r="U120" s="51">
        <v>2.4702169999999999</v>
      </c>
      <c r="V120" s="363">
        <v>2.4751669999999999</v>
      </c>
      <c r="W120" s="51">
        <v>2.480127</v>
      </c>
      <c r="X120" s="51">
        <v>2.4850970000000001</v>
      </c>
      <c r="Y120" s="51">
        <v>2.490078</v>
      </c>
      <c r="Z120" s="51">
        <v>2.4950679999999998</v>
      </c>
      <c r="AA120" s="363">
        <v>2.5000680000000002</v>
      </c>
      <c r="AB120" s="51">
        <v>2.5050780000000001</v>
      </c>
      <c r="AC120" s="51">
        <v>2.5100980000000002</v>
      </c>
      <c r="AD120" s="51">
        <v>2.5151279999999998</v>
      </c>
      <c r="AE120" s="51">
        <v>2.5201690000000001</v>
      </c>
      <c r="AF120" s="363">
        <v>2.5252189999999999</v>
      </c>
      <c r="AG120" s="364">
        <v>2.0040000000000001E-3</v>
      </c>
    </row>
    <row r="121" spans="1:33" x14ac:dyDescent="0.2">
      <c r="A121" s="107" t="s">
        <v>561</v>
      </c>
      <c r="B121" s="251"/>
      <c r="G121" s="251"/>
      <c r="L121" s="251"/>
      <c r="Q121" s="251"/>
      <c r="V121" s="251"/>
      <c r="AA121" s="251"/>
      <c r="AF121" s="251"/>
    </row>
    <row r="122" spans="1:33" x14ac:dyDescent="0.2">
      <c r="A122" s="107" t="s">
        <v>562</v>
      </c>
      <c r="B122" s="362">
        <v>219.46594238281301</v>
      </c>
      <c r="C122" s="129">
        <v>223.51828002929699</v>
      </c>
      <c r="D122" s="51">
        <v>214.572586</v>
      </c>
      <c r="E122" s="51">
        <v>213.44682299999999</v>
      </c>
      <c r="F122" s="51">
        <v>114.653023</v>
      </c>
      <c r="G122" s="363">
        <v>147.85343900000001</v>
      </c>
      <c r="H122" s="51">
        <v>146.606064</v>
      </c>
      <c r="I122" s="51">
        <v>147.78741500000001</v>
      </c>
      <c r="J122" s="51">
        <v>146.788284</v>
      </c>
      <c r="K122" s="51">
        <v>150.38647499999999</v>
      </c>
      <c r="L122" s="363">
        <v>154.04373200000001</v>
      </c>
      <c r="M122" s="51">
        <v>157.55096399999999</v>
      </c>
      <c r="N122" s="51">
        <v>159.07806400000001</v>
      </c>
      <c r="O122" s="51">
        <v>160.22895800000001</v>
      </c>
      <c r="P122" s="51">
        <v>161.73254399999999</v>
      </c>
      <c r="Q122" s="363">
        <v>163.00067100000001</v>
      </c>
      <c r="R122" s="51">
        <v>163.98397800000001</v>
      </c>
      <c r="S122" s="51">
        <v>164.88746599999999</v>
      </c>
      <c r="T122" s="51">
        <v>165.46507299999999</v>
      </c>
      <c r="U122" s="51">
        <v>165.70971700000001</v>
      </c>
      <c r="V122" s="363">
        <v>166.10534699999999</v>
      </c>
      <c r="W122" s="51">
        <v>166.85629299999999</v>
      </c>
      <c r="X122" s="51">
        <v>167.44262699999999</v>
      </c>
      <c r="Y122" s="51">
        <v>167.74887100000001</v>
      </c>
      <c r="Z122" s="51">
        <v>167.801605</v>
      </c>
      <c r="AA122" s="363">
        <v>167.891876</v>
      </c>
      <c r="AB122" s="51">
        <v>167.588257</v>
      </c>
      <c r="AC122" s="51">
        <v>167.76011700000001</v>
      </c>
      <c r="AD122" s="51">
        <v>168.32891799999999</v>
      </c>
      <c r="AE122" s="51">
        <v>168.548935</v>
      </c>
      <c r="AF122" s="363">
        <v>169.02034</v>
      </c>
      <c r="AG122" s="364">
        <v>5.3660000000000001E-3</v>
      </c>
    </row>
    <row r="123" spans="1:33" x14ac:dyDescent="0.2">
      <c r="A123" s="107" t="s">
        <v>563</v>
      </c>
      <c r="B123" s="362">
        <v>91.172294616699205</v>
      </c>
      <c r="C123" s="129">
        <v>91.794639587402301</v>
      </c>
      <c r="D123" s="51">
        <v>84.744011</v>
      </c>
      <c r="E123" s="51">
        <v>81.205933000000002</v>
      </c>
      <c r="F123" s="51">
        <v>59.692115999999999</v>
      </c>
      <c r="G123" s="363">
        <v>70.451522999999995</v>
      </c>
      <c r="H123" s="51">
        <v>61.317570000000003</v>
      </c>
      <c r="I123" s="51">
        <v>66.102905000000007</v>
      </c>
      <c r="J123" s="51">
        <v>67.807945000000004</v>
      </c>
      <c r="K123" s="51">
        <v>71.671982</v>
      </c>
      <c r="L123" s="363">
        <v>73.419250000000005</v>
      </c>
      <c r="M123" s="51">
        <v>75.092781000000002</v>
      </c>
      <c r="N123" s="51">
        <v>75.821715999999995</v>
      </c>
      <c r="O123" s="51">
        <v>76.371223000000001</v>
      </c>
      <c r="P123" s="51">
        <v>77.088393999999994</v>
      </c>
      <c r="Q123" s="363">
        <v>77.693520000000007</v>
      </c>
      <c r="R123" s="51">
        <v>78.165206999999995</v>
      </c>
      <c r="S123" s="51">
        <v>78.596687000000003</v>
      </c>
      <c r="T123" s="51">
        <v>78.871437</v>
      </c>
      <c r="U123" s="51">
        <v>78.988358000000005</v>
      </c>
      <c r="V123" s="363">
        <v>79.177109000000002</v>
      </c>
      <c r="W123" s="51">
        <v>79.534164000000004</v>
      </c>
      <c r="X123" s="51">
        <v>79.812515000000005</v>
      </c>
      <c r="Y123" s="51">
        <v>79.957938999999996</v>
      </c>
      <c r="Z123" s="51">
        <v>79.982239000000007</v>
      </c>
      <c r="AA123" s="363">
        <v>80.024039999999999</v>
      </c>
      <c r="AB123" s="51">
        <v>79.878922000000003</v>
      </c>
      <c r="AC123" s="51">
        <v>79.959854000000007</v>
      </c>
      <c r="AD123" s="51">
        <v>80.230202000000006</v>
      </c>
      <c r="AE123" s="51">
        <v>80.335257999999996</v>
      </c>
      <c r="AF123" s="363">
        <v>80.560669000000004</v>
      </c>
      <c r="AG123" s="364">
        <v>5.378E-3</v>
      </c>
    </row>
    <row r="124" spans="1:33" x14ac:dyDescent="0.2">
      <c r="A124" s="107" t="s">
        <v>568</v>
      </c>
      <c r="B124" s="362">
        <v>0</v>
      </c>
      <c r="C124" s="129">
        <v>0</v>
      </c>
      <c r="D124" s="51">
        <v>0</v>
      </c>
      <c r="E124" s="51">
        <v>0</v>
      </c>
      <c r="F124" s="51">
        <v>0</v>
      </c>
      <c r="G124" s="363">
        <v>0</v>
      </c>
      <c r="H124" s="51">
        <v>0</v>
      </c>
      <c r="I124" s="51">
        <v>0</v>
      </c>
      <c r="J124" s="51">
        <v>0</v>
      </c>
      <c r="K124" s="51">
        <v>0</v>
      </c>
      <c r="L124" s="363">
        <v>0</v>
      </c>
      <c r="M124" s="51">
        <v>0</v>
      </c>
      <c r="N124" s="51">
        <v>0</v>
      </c>
      <c r="O124" s="51">
        <v>0</v>
      </c>
      <c r="P124" s="51">
        <v>0</v>
      </c>
      <c r="Q124" s="363">
        <v>0</v>
      </c>
      <c r="R124" s="51">
        <v>0</v>
      </c>
      <c r="S124" s="51">
        <v>0</v>
      </c>
      <c r="T124" s="51">
        <v>0</v>
      </c>
      <c r="U124" s="51">
        <v>0</v>
      </c>
      <c r="V124" s="363">
        <v>0</v>
      </c>
      <c r="W124" s="51">
        <v>0</v>
      </c>
      <c r="X124" s="51">
        <v>0</v>
      </c>
      <c r="Y124" s="51">
        <v>0</v>
      </c>
      <c r="Z124" s="51">
        <v>0</v>
      </c>
      <c r="AA124" s="363">
        <v>0</v>
      </c>
      <c r="AB124" s="51">
        <v>0</v>
      </c>
      <c r="AC124" s="51">
        <v>0</v>
      </c>
      <c r="AD124" s="51">
        <v>0</v>
      </c>
      <c r="AE124" s="51">
        <v>0</v>
      </c>
      <c r="AF124" s="363">
        <v>0</v>
      </c>
      <c r="AG124" s="368" t="s">
        <v>564</v>
      </c>
    </row>
    <row r="125" spans="1:33" x14ac:dyDescent="0.2">
      <c r="B125" s="362"/>
      <c r="G125" s="251"/>
      <c r="L125" s="251"/>
      <c r="Q125" s="251"/>
      <c r="V125" s="251"/>
      <c r="AA125" s="251"/>
      <c r="AF125" s="251"/>
    </row>
    <row r="126" spans="1:33" x14ac:dyDescent="0.2">
      <c r="A126" s="107" t="s">
        <v>569</v>
      </c>
      <c r="B126" s="251"/>
      <c r="G126" s="251"/>
      <c r="L126" s="251"/>
      <c r="Q126" s="251"/>
      <c r="V126" s="251"/>
      <c r="AA126" s="251"/>
      <c r="AF126" s="251"/>
    </row>
    <row r="127" spans="1:33" x14ac:dyDescent="0.2">
      <c r="A127" s="107" t="s">
        <v>570</v>
      </c>
      <c r="B127" s="362">
        <v>2427.32543945313</v>
      </c>
      <c r="C127" s="129">
        <v>2604.32495117188</v>
      </c>
      <c r="D127" s="51">
        <v>2713.8295899999998</v>
      </c>
      <c r="E127" s="51">
        <v>2714.3203119999998</v>
      </c>
      <c r="F127" s="51">
        <v>2629.0361330000001</v>
      </c>
      <c r="G127" s="363">
        <v>2977.091797</v>
      </c>
      <c r="H127" s="51">
        <v>3150.2846679999998</v>
      </c>
      <c r="I127" s="51">
        <v>3259.3134770000001</v>
      </c>
      <c r="J127" s="51">
        <v>3404.6567380000001</v>
      </c>
      <c r="K127" s="51">
        <v>3601.8146969999998</v>
      </c>
      <c r="L127" s="363">
        <v>3803.360596</v>
      </c>
      <c r="M127" s="51">
        <v>3993.8413089999999</v>
      </c>
      <c r="N127" s="51">
        <v>4180.0107420000004</v>
      </c>
      <c r="O127" s="51">
        <v>4336.8061520000001</v>
      </c>
      <c r="P127" s="51">
        <v>4534.7001950000003</v>
      </c>
      <c r="Q127" s="363">
        <v>4747.1689450000003</v>
      </c>
      <c r="R127" s="51">
        <v>5003.2446289999998</v>
      </c>
      <c r="S127" s="51">
        <v>5329.8515619999998</v>
      </c>
      <c r="T127" s="51">
        <v>5657.1621089999999</v>
      </c>
      <c r="U127" s="51">
        <v>5982.3681640000004</v>
      </c>
      <c r="V127" s="363">
        <v>6328.8012699999999</v>
      </c>
      <c r="W127" s="51">
        <v>6679.6826170000004</v>
      </c>
      <c r="X127" s="51">
        <v>7047.2001950000003</v>
      </c>
      <c r="Y127" s="51">
        <v>7422.8876950000003</v>
      </c>
      <c r="Z127" s="51">
        <v>7799.1650390000004</v>
      </c>
      <c r="AA127" s="363">
        <v>8199.3798829999996</v>
      </c>
      <c r="AB127" s="51">
        <v>8626.0722659999992</v>
      </c>
      <c r="AC127" s="51">
        <v>9066.6835940000001</v>
      </c>
      <c r="AD127" s="51">
        <v>9536.171875</v>
      </c>
      <c r="AE127" s="51">
        <v>10027.796875</v>
      </c>
      <c r="AF127" s="363">
        <v>10526.677734000001</v>
      </c>
      <c r="AG127" s="364">
        <v>5.1816000000000001E-2</v>
      </c>
    </row>
    <row r="128" spans="1:33" x14ac:dyDescent="0.2">
      <c r="A128" s="107" t="s">
        <v>571</v>
      </c>
      <c r="B128" s="362">
        <v>843.5</v>
      </c>
      <c r="C128" s="129">
        <v>927.34997558593795</v>
      </c>
      <c r="D128" s="51">
        <v>998.72497599999997</v>
      </c>
      <c r="E128" s="51">
        <v>1058.474976</v>
      </c>
      <c r="F128" s="51">
        <v>1018.599976</v>
      </c>
      <c r="G128" s="363">
        <v>1164.900024</v>
      </c>
      <c r="H128" s="51">
        <v>1250.7067870000001</v>
      </c>
      <c r="I128" s="51">
        <v>1299.112061</v>
      </c>
      <c r="J128" s="51">
        <v>1403.408203</v>
      </c>
      <c r="K128" s="51">
        <v>1534.751953</v>
      </c>
      <c r="L128" s="363">
        <v>1662.3317870000001</v>
      </c>
      <c r="M128" s="51">
        <v>1788.8905030000001</v>
      </c>
      <c r="N128" s="51">
        <v>1913.887939</v>
      </c>
      <c r="O128" s="51">
        <v>2034.2430420000001</v>
      </c>
      <c r="P128" s="51">
        <v>2172.1767580000001</v>
      </c>
      <c r="Q128" s="363">
        <v>2313.3823240000002</v>
      </c>
      <c r="R128" s="51">
        <v>2484.7460940000001</v>
      </c>
      <c r="S128" s="51">
        <v>2689.0935060000002</v>
      </c>
      <c r="T128" s="51">
        <v>2883.7214359999998</v>
      </c>
      <c r="U128" s="51">
        <v>3074.8930660000001</v>
      </c>
      <c r="V128" s="363">
        <v>3273.233643</v>
      </c>
      <c r="W128" s="51">
        <v>3471.2058109999998</v>
      </c>
      <c r="X128" s="51">
        <v>3674.0590820000002</v>
      </c>
      <c r="Y128" s="51">
        <v>3882.9665530000002</v>
      </c>
      <c r="Z128" s="51">
        <v>4096.7001950000003</v>
      </c>
      <c r="AA128" s="363">
        <v>4322.1381840000004</v>
      </c>
      <c r="AB128" s="51">
        <v>4560.359375</v>
      </c>
      <c r="AC128" s="51">
        <v>4804.1591799999997</v>
      </c>
      <c r="AD128" s="51">
        <v>5053.5307620000003</v>
      </c>
      <c r="AE128" s="51">
        <v>5312.8315430000002</v>
      </c>
      <c r="AF128" s="363">
        <v>5580.955078</v>
      </c>
      <c r="AG128" s="364">
        <v>6.4673999999999995E-2</v>
      </c>
    </row>
    <row r="129" spans="1:33" x14ac:dyDescent="0.2">
      <c r="A129" s="107" t="s">
        <v>572</v>
      </c>
      <c r="B129" s="362">
        <v>1583.82543945313</v>
      </c>
      <c r="C129" s="129">
        <v>1676.97497558594</v>
      </c>
      <c r="D129" s="51">
        <v>1715.1044919999999</v>
      </c>
      <c r="E129" s="51">
        <v>1655.8452150000001</v>
      </c>
      <c r="F129" s="51">
        <v>1610.4361570000001</v>
      </c>
      <c r="G129" s="363">
        <v>1812.19165</v>
      </c>
      <c r="H129" s="51">
        <v>1899.577759</v>
      </c>
      <c r="I129" s="51">
        <v>1960.201294</v>
      </c>
      <c r="J129" s="51">
        <v>2001.248413</v>
      </c>
      <c r="K129" s="51">
        <v>2067.0627439999998</v>
      </c>
      <c r="L129" s="363">
        <v>2141.0288089999999</v>
      </c>
      <c r="M129" s="51">
        <v>2204.9506839999999</v>
      </c>
      <c r="N129" s="51">
        <v>2266.1228030000002</v>
      </c>
      <c r="O129" s="51">
        <v>2302.5629880000001</v>
      </c>
      <c r="P129" s="51">
        <v>2362.523193</v>
      </c>
      <c r="Q129" s="363">
        <v>2433.7866210000002</v>
      </c>
      <c r="R129" s="51">
        <v>2518.4985350000002</v>
      </c>
      <c r="S129" s="51">
        <v>2640.758057</v>
      </c>
      <c r="T129" s="51">
        <v>2773.4404300000001</v>
      </c>
      <c r="U129" s="51">
        <v>2907.4750979999999</v>
      </c>
      <c r="V129" s="363">
        <v>3055.5676269999999</v>
      </c>
      <c r="W129" s="51">
        <v>3208.476807</v>
      </c>
      <c r="X129" s="51">
        <v>3373.1411130000001</v>
      </c>
      <c r="Y129" s="51">
        <v>3539.921143</v>
      </c>
      <c r="Z129" s="51">
        <v>3702.4648440000001</v>
      </c>
      <c r="AA129" s="363">
        <v>3877.2416990000002</v>
      </c>
      <c r="AB129" s="51">
        <v>4065.7133789999998</v>
      </c>
      <c r="AC129" s="51">
        <v>4262.5239259999998</v>
      </c>
      <c r="AD129" s="51">
        <v>4482.6416019999997</v>
      </c>
      <c r="AE129" s="51">
        <v>4714.9653319999998</v>
      </c>
      <c r="AF129" s="363">
        <v>4945.7226559999999</v>
      </c>
      <c r="AG129" s="364">
        <v>4.0977E-2</v>
      </c>
    </row>
    <row r="130" spans="1:33" x14ac:dyDescent="0.2">
      <c r="A130" s="107" t="s">
        <v>561</v>
      </c>
      <c r="B130" s="251"/>
      <c r="G130" s="251"/>
      <c r="L130" s="251"/>
      <c r="Q130" s="251"/>
      <c r="V130" s="251"/>
      <c r="AA130" s="251"/>
      <c r="AF130" s="251"/>
    </row>
    <row r="131" spans="1:33" x14ac:dyDescent="0.2">
      <c r="A131" s="107" t="s">
        <v>562</v>
      </c>
      <c r="B131" s="362">
        <v>49.8196830749512</v>
      </c>
      <c r="C131" s="129">
        <v>50.914924621582003</v>
      </c>
      <c r="D131" s="51">
        <v>65.409744000000003</v>
      </c>
      <c r="E131" s="51">
        <v>63.458824</v>
      </c>
      <c r="F131" s="51">
        <v>40.531272999999999</v>
      </c>
      <c r="G131" s="363">
        <v>49.146839</v>
      </c>
      <c r="H131" s="51">
        <v>48.530045000000001</v>
      </c>
      <c r="I131" s="51">
        <v>49.182975999999996</v>
      </c>
      <c r="J131" s="51">
        <v>49.276896999999998</v>
      </c>
      <c r="K131" s="51">
        <v>49.387988999999997</v>
      </c>
      <c r="L131" s="363">
        <v>49.455466999999999</v>
      </c>
      <c r="M131" s="51">
        <v>49.517161999999999</v>
      </c>
      <c r="N131" s="51">
        <v>49.573794999999997</v>
      </c>
      <c r="O131" s="51">
        <v>49.619228</v>
      </c>
      <c r="P131" s="51">
        <v>49.673763000000001</v>
      </c>
      <c r="Q131" s="363">
        <v>49.729835999999999</v>
      </c>
      <c r="R131" s="51">
        <v>49.792636999999999</v>
      </c>
      <c r="S131" s="51">
        <v>49.869343000000001</v>
      </c>
      <c r="T131" s="51">
        <v>49.941490000000002</v>
      </c>
      <c r="U131" s="51">
        <v>50.008671</v>
      </c>
      <c r="V131" s="363">
        <v>50.077083999999999</v>
      </c>
      <c r="W131" s="51">
        <v>50.143410000000003</v>
      </c>
      <c r="X131" s="51">
        <v>50.209023000000002</v>
      </c>
      <c r="Y131" s="51">
        <v>50.272877000000001</v>
      </c>
      <c r="Z131" s="51">
        <v>50.333691000000002</v>
      </c>
      <c r="AA131" s="363">
        <v>50.395282999999999</v>
      </c>
      <c r="AB131" s="51">
        <v>50.456856000000002</v>
      </c>
      <c r="AC131" s="51">
        <v>50.517605000000003</v>
      </c>
      <c r="AD131" s="51">
        <v>50.579490999999997</v>
      </c>
      <c r="AE131" s="51">
        <v>50.641089999999998</v>
      </c>
      <c r="AF131" s="363">
        <v>50.700507999999999</v>
      </c>
      <c r="AG131" s="364">
        <v>1.2459999999999999E-3</v>
      </c>
    </row>
    <row r="132" spans="1:33" x14ac:dyDescent="0.2">
      <c r="A132" s="107" t="s">
        <v>563</v>
      </c>
      <c r="B132" s="362">
        <v>717.06756591796898</v>
      </c>
      <c r="C132" s="129">
        <v>724.45715332031295</v>
      </c>
      <c r="D132" s="51">
        <v>895.03619400000002</v>
      </c>
      <c r="E132" s="51">
        <v>836.47595200000001</v>
      </c>
      <c r="F132" s="51">
        <v>731.114014</v>
      </c>
      <c r="G132" s="363">
        <v>811.36804199999995</v>
      </c>
      <c r="H132" s="51">
        <v>703.24566700000003</v>
      </c>
      <c r="I132" s="51">
        <v>762.18652299999997</v>
      </c>
      <c r="J132" s="51">
        <v>788.67108199999996</v>
      </c>
      <c r="K132" s="51">
        <v>815.50256300000001</v>
      </c>
      <c r="L132" s="363">
        <v>816.66430700000001</v>
      </c>
      <c r="M132" s="51">
        <v>817.70416299999999</v>
      </c>
      <c r="N132" s="51">
        <v>818.65106200000002</v>
      </c>
      <c r="O132" s="51">
        <v>819.41168200000004</v>
      </c>
      <c r="P132" s="51">
        <v>820.31762700000002</v>
      </c>
      <c r="Q132" s="363">
        <v>821.25073199999997</v>
      </c>
      <c r="R132" s="51">
        <v>822.31939699999998</v>
      </c>
      <c r="S132" s="51">
        <v>823.59472700000003</v>
      </c>
      <c r="T132" s="51">
        <v>824.78033400000004</v>
      </c>
      <c r="U132" s="51">
        <v>825.89300500000002</v>
      </c>
      <c r="V132" s="363">
        <v>827.02453600000001</v>
      </c>
      <c r="W132" s="51">
        <v>828.11059599999999</v>
      </c>
      <c r="X132" s="51">
        <v>829.18243399999994</v>
      </c>
      <c r="Y132" s="51">
        <v>830.23120100000006</v>
      </c>
      <c r="Z132" s="51">
        <v>831.22692900000004</v>
      </c>
      <c r="AA132" s="363">
        <v>832.23126200000002</v>
      </c>
      <c r="AB132" s="51">
        <v>833.24401899999998</v>
      </c>
      <c r="AC132" s="51">
        <v>834.23681599999998</v>
      </c>
      <c r="AD132" s="51">
        <v>835.250854</v>
      </c>
      <c r="AE132" s="51">
        <v>836.27020300000004</v>
      </c>
      <c r="AF132" s="363">
        <v>837.25891100000001</v>
      </c>
      <c r="AG132" s="364">
        <v>1.2570000000000001E-3</v>
      </c>
    </row>
    <row r="133" spans="1:33" x14ac:dyDescent="0.2">
      <c r="B133" s="251"/>
      <c r="D133" s="129"/>
      <c r="E133" s="129"/>
      <c r="F133" s="129"/>
      <c r="G133" s="362"/>
      <c r="H133" s="129"/>
      <c r="I133" s="129"/>
      <c r="J133" s="129"/>
      <c r="K133" s="129"/>
      <c r="L133" s="362"/>
      <c r="M133" s="129"/>
      <c r="N133" s="129"/>
      <c r="O133" s="129"/>
      <c r="P133" s="129"/>
      <c r="Q133" s="362"/>
      <c r="R133" s="129"/>
      <c r="S133" s="129"/>
      <c r="T133" s="129"/>
      <c r="U133" s="129"/>
      <c r="V133" s="362"/>
      <c r="W133" s="129"/>
      <c r="X133" s="129"/>
      <c r="Y133" s="129"/>
      <c r="Z133" s="129"/>
      <c r="AA133" s="362"/>
      <c r="AB133" s="130"/>
      <c r="AF133" s="251"/>
    </row>
    <row r="134" spans="1:33" x14ac:dyDescent="0.2">
      <c r="B134" s="251"/>
      <c r="G134" s="251"/>
      <c r="L134" s="251"/>
      <c r="Q134" s="251"/>
      <c r="V134" s="251"/>
      <c r="AA134" s="251"/>
      <c r="AF134" s="251"/>
    </row>
    <row r="135" spans="1:33" x14ac:dyDescent="0.2">
      <c r="B135" s="251"/>
      <c r="G135" s="251"/>
      <c r="L135" s="251"/>
      <c r="Q135" s="251"/>
      <c r="V135" s="251"/>
      <c r="AA135" s="251"/>
      <c r="AF135" s="251"/>
    </row>
    <row r="136" spans="1:33" x14ac:dyDescent="0.2">
      <c r="A136" s="107" t="s">
        <v>573</v>
      </c>
      <c r="B136" s="251"/>
      <c r="G136" s="251"/>
      <c r="L136" s="251"/>
      <c r="Q136" s="251"/>
      <c r="V136" s="251"/>
      <c r="AA136" s="251"/>
      <c r="AF136" s="251"/>
    </row>
    <row r="137" spans="1:33" x14ac:dyDescent="0.2">
      <c r="A137" s="107" t="s">
        <v>574</v>
      </c>
      <c r="B137" s="251"/>
      <c r="G137" s="251"/>
      <c r="L137" s="251"/>
      <c r="Q137" s="251"/>
      <c r="V137" s="251"/>
      <c r="AA137" s="251"/>
      <c r="AF137" s="251"/>
    </row>
    <row r="138" spans="1:33" x14ac:dyDescent="0.2">
      <c r="A138" s="107" t="s">
        <v>575</v>
      </c>
      <c r="B138" s="251"/>
      <c r="G138" s="251"/>
      <c r="L138" s="251"/>
      <c r="Q138" s="251"/>
      <c r="V138" s="251"/>
      <c r="AA138" s="251"/>
      <c r="AF138" s="251"/>
    </row>
    <row r="139" spans="1:33" x14ac:dyDescent="0.2">
      <c r="A139" s="107" t="s">
        <v>576</v>
      </c>
      <c r="B139" s="251"/>
      <c r="G139" s="251"/>
      <c r="L139" s="251"/>
      <c r="Q139" s="251"/>
      <c r="V139" s="251"/>
      <c r="AA139" s="251"/>
      <c r="AF139" s="251"/>
    </row>
    <row r="140" spans="1:33" x14ac:dyDescent="0.2">
      <c r="A140" s="107" t="s">
        <v>577</v>
      </c>
      <c r="B140" s="251"/>
      <c r="G140" s="251"/>
      <c r="L140" s="251"/>
      <c r="Q140" s="251"/>
      <c r="V140" s="251"/>
      <c r="AA140" s="251"/>
      <c r="AF140" s="251"/>
    </row>
    <row r="141" spans="1:33" x14ac:dyDescent="0.2">
      <c r="A141" s="107" t="s">
        <v>578</v>
      </c>
      <c r="B141" s="251"/>
      <c r="G141" s="251"/>
      <c r="L141" s="251"/>
      <c r="Q141" s="251"/>
      <c r="V141" s="251"/>
      <c r="AA141" s="251"/>
      <c r="AF141" s="251"/>
    </row>
    <row r="142" spans="1:33" x14ac:dyDescent="0.2">
      <c r="A142" s="107" t="s">
        <v>579</v>
      </c>
      <c r="B142" s="251"/>
      <c r="G142" s="251"/>
      <c r="L142" s="251"/>
      <c r="Q142" s="251"/>
      <c r="V142" s="251"/>
      <c r="AA142" s="251"/>
      <c r="AF142" s="251"/>
    </row>
    <row r="143" spans="1:33" x14ac:dyDescent="0.2">
      <c r="A143" s="107" t="s">
        <v>580</v>
      </c>
      <c r="B143" s="251"/>
      <c r="G143" s="251"/>
      <c r="L143" s="251"/>
      <c r="Q143" s="251"/>
      <c r="V143" s="251"/>
      <c r="AA143" s="251"/>
      <c r="AF143" s="251"/>
    </row>
    <row r="144" spans="1:33" x14ac:dyDescent="0.2">
      <c r="A144" s="107" t="s">
        <v>581</v>
      </c>
      <c r="B144" s="251"/>
      <c r="G144" s="251"/>
      <c r="L144" s="251"/>
      <c r="Q144" s="251"/>
      <c r="V144" s="251"/>
      <c r="AA144" s="251"/>
      <c r="AF144" s="251"/>
    </row>
    <row r="145" spans="1:34" x14ac:dyDescent="0.2">
      <c r="A145" s="107"/>
      <c r="B145" s="251"/>
      <c r="G145" s="251"/>
      <c r="L145" s="251"/>
      <c r="Q145" s="251"/>
      <c r="V145" s="251"/>
      <c r="AA145" s="251"/>
      <c r="AF145" s="251"/>
    </row>
    <row r="146" spans="1:34" ht="12.75" x14ac:dyDescent="0.2">
      <c r="A146" s="55" t="s">
        <v>582</v>
      </c>
      <c r="B146" s="369"/>
      <c r="C146"/>
      <c r="G146" s="251"/>
      <c r="L146" s="251"/>
      <c r="Q146" s="251"/>
      <c r="V146" s="251"/>
      <c r="AA146" s="251"/>
      <c r="AF146" s="251"/>
    </row>
    <row r="147" spans="1:34" ht="12.75" x14ac:dyDescent="0.2">
      <c r="A147"/>
      <c r="B147" s="12" t="s">
        <v>508</v>
      </c>
      <c r="C147"/>
      <c r="D147" s="25" t="s">
        <v>509</v>
      </c>
      <c r="E147" s="25" t="s">
        <v>509</v>
      </c>
      <c r="F147" s="25" t="s">
        <v>509</v>
      </c>
      <c r="G147" s="25" t="s">
        <v>509</v>
      </c>
      <c r="H147" s="25" t="s">
        <v>509</v>
      </c>
      <c r="I147" s="25" t="s">
        <v>509</v>
      </c>
      <c r="J147" s="25" t="s">
        <v>509</v>
      </c>
      <c r="K147" s="25" t="s">
        <v>509</v>
      </c>
      <c r="L147" s="25" t="s">
        <v>509</v>
      </c>
      <c r="M147" s="25" t="s">
        <v>509</v>
      </c>
      <c r="N147" s="25" t="s">
        <v>509</v>
      </c>
      <c r="O147" s="25" t="s">
        <v>509</v>
      </c>
      <c r="P147" s="25" t="s">
        <v>509</v>
      </c>
      <c r="Q147" s="25" t="s">
        <v>509</v>
      </c>
      <c r="R147" s="25" t="s">
        <v>509</v>
      </c>
      <c r="S147" s="25" t="s">
        <v>509</v>
      </c>
      <c r="T147" s="25" t="s">
        <v>509</v>
      </c>
      <c r="U147" s="25" t="s">
        <v>509</v>
      </c>
      <c r="V147" s="25" t="s">
        <v>509</v>
      </c>
      <c r="W147" s="25" t="s">
        <v>509</v>
      </c>
      <c r="X147" s="25" t="s">
        <v>509</v>
      </c>
      <c r="Y147" s="25" t="s">
        <v>509</v>
      </c>
      <c r="Z147" s="25" t="s">
        <v>509</v>
      </c>
      <c r="AA147" s="25" t="s">
        <v>509</v>
      </c>
      <c r="AB147" s="25" t="s">
        <v>509</v>
      </c>
      <c r="AC147" s="25" t="s">
        <v>509</v>
      </c>
      <c r="AD147" s="25" t="s">
        <v>509</v>
      </c>
      <c r="AE147" s="25" t="s">
        <v>509</v>
      </c>
      <c r="AF147" s="25" t="s">
        <v>509</v>
      </c>
      <c r="AG147" s="25" t="s">
        <v>510</v>
      </c>
      <c r="AH147" s="12" t="s">
        <v>583</v>
      </c>
    </row>
    <row r="148" spans="1:34" ht="12.75" x14ac:dyDescent="0.2">
      <c r="A148"/>
      <c r="B148" s="370" t="s">
        <v>172</v>
      </c>
      <c r="C148" s="56" t="s">
        <v>511</v>
      </c>
      <c r="D148" s="13">
        <v>2007</v>
      </c>
      <c r="E148" s="13">
        <v>2008</v>
      </c>
      <c r="F148" s="13">
        <v>2009</v>
      </c>
      <c r="G148" s="13">
        <v>2010</v>
      </c>
      <c r="H148" s="13">
        <v>2011</v>
      </c>
      <c r="I148" s="13">
        <v>2012</v>
      </c>
      <c r="J148" s="13">
        <v>2013</v>
      </c>
      <c r="K148" s="13">
        <v>2014</v>
      </c>
      <c r="L148" s="13">
        <v>2015</v>
      </c>
      <c r="M148" s="13">
        <v>2016</v>
      </c>
      <c r="N148" s="13">
        <v>2017</v>
      </c>
      <c r="O148" s="13">
        <v>2018</v>
      </c>
      <c r="P148" s="13">
        <v>2019</v>
      </c>
      <c r="Q148" s="13">
        <v>2020</v>
      </c>
      <c r="R148" s="13">
        <v>2021</v>
      </c>
      <c r="S148" s="13">
        <v>2022</v>
      </c>
      <c r="T148" s="13">
        <v>2023</v>
      </c>
      <c r="U148" s="13">
        <v>2024</v>
      </c>
      <c r="V148" s="13">
        <v>2025</v>
      </c>
      <c r="W148" s="13">
        <v>2026</v>
      </c>
      <c r="X148" s="13">
        <v>2027</v>
      </c>
      <c r="Y148" s="13">
        <v>2028</v>
      </c>
      <c r="Z148" s="13">
        <v>2029</v>
      </c>
      <c r="AA148" s="13">
        <v>2030</v>
      </c>
      <c r="AB148" s="13">
        <v>2031</v>
      </c>
      <c r="AC148" s="13">
        <v>2032</v>
      </c>
      <c r="AD148" s="13">
        <v>2033</v>
      </c>
      <c r="AE148" s="13">
        <v>2034</v>
      </c>
      <c r="AF148" s="13">
        <v>2035</v>
      </c>
      <c r="AG148" s="13">
        <v>2035</v>
      </c>
    </row>
    <row r="149" spans="1:34" ht="12.75" x14ac:dyDescent="0.2">
      <c r="A149" s="371"/>
      <c r="B149" s="251"/>
      <c r="D149"/>
      <c r="E149"/>
      <c r="F149"/>
      <c r="G149" s="369"/>
      <c r="H149"/>
      <c r="I149"/>
      <c r="J149"/>
      <c r="K149"/>
      <c r="L149" s="369"/>
      <c r="M149"/>
      <c r="N149"/>
      <c r="O149"/>
      <c r="P149"/>
      <c r="Q149" s="369"/>
      <c r="R149"/>
      <c r="S149"/>
      <c r="T149"/>
      <c r="U149"/>
      <c r="V149" s="369"/>
      <c r="W149"/>
      <c r="X149"/>
      <c r="Y149"/>
      <c r="Z149"/>
      <c r="AA149" s="369"/>
      <c r="AB149"/>
      <c r="AF149" s="251"/>
    </row>
    <row r="150" spans="1:34" x14ac:dyDescent="0.2">
      <c r="A150" s="13" t="s">
        <v>584</v>
      </c>
      <c r="B150" s="372">
        <v>584.02819824218795</v>
      </c>
      <c r="C150" s="373">
        <v>568.52545166015602</v>
      </c>
      <c r="D150" s="86">
        <v>609.84222399999999</v>
      </c>
      <c r="E150" s="86">
        <v>598.034851</v>
      </c>
      <c r="F150" s="86">
        <v>552.09576400000003</v>
      </c>
      <c r="G150" s="374">
        <v>564.766479</v>
      </c>
      <c r="H150" s="86">
        <v>570.22448699999995</v>
      </c>
      <c r="I150" s="86">
        <v>575.86962900000003</v>
      </c>
      <c r="J150" s="86">
        <v>581.52258300000005</v>
      </c>
      <c r="K150" s="86">
        <v>588.089966</v>
      </c>
      <c r="L150" s="374">
        <v>594.64166299999999</v>
      </c>
      <c r="M150" s="86">
        <v>601.02655000000004</v>
      </c>
      <c r="N150" s="86">
        <v>607.19378700000004</v>
      </c>
      <c r="O150" s="86">
        <v>613.34228499999995</v>
      </c>
      <c r="P150" s="86">
        <v>619.54247999999995</v>
      </c>
      <c r="Q150" s="374">
        <v>625.72100799999998</v>
      </c>
      <c r="R150" s="86">
        <v>631.85827600000005</v>
      </c>
      <c r="S150" s="86">
        <v>638.00384499999996</v>
      </c>
      <c r="T150" s="86">
        <v>644.09960899999999</v>
      </c>
      <c r="U150" s="86">
        <v>650.17767300000003</v>
      </c>
      <c r="V150" s="374">
        <v>656.21893299999999</v>
      </c>
      <c r="W150" s="86">
        <v>662.21923800000002</v>
      </c>
      <c r="X150" s="86">
        <v>668.20318599999996</v>
      </c>
      <c r="Y150" s="86">
        <v>674.15368699999999</v>
      </c>
      <c r="Z150" s="86">
        <v>680.07733199999996</v>
      </c>
      <c r="AA150" s="374">
        <v>685.99047900000005</v>
      </c>
      <c r="AB150" s="86">
        <v>691.89233400000001</v>
      </c>
      <c r="AC150" s="86">
        <v>697.78625499999998</v>
      </c>
      <c r="AD150" s="86">
        <v>703.67828399999996</v>
      </c>
      <c r="AE150" s="86">
        <v>709.567139</v>
      </c>
      <c r="AF150" s="374">
        <v>715.46026600000005</v>
      </c>
      <c r="AG150" s="364">
        <v>9.5049999999999996E-3</v>
      </c>
      <c r="AH150" s="101">
        <f>(AF150/AA150)^0.2-1</f>
        <v>8.4479473293408436E-3</v>
      </c>
    </row>
    <row r="151" spans="1:34" x14ac:dyDescent="0.2">
      <c r="A151" s="13" t="s">
        <v>585</v>
      </c>
      <c r="B151" s="362">
        <v>0.77035981416702304</v>
      </c>
      <c r="C151" s="129">
        <v>0.791797995567322</v>
      </c>
      <c r="D151" s="51">
        <v>0.81486199999999998</v>
      </c>
      <c r="E151" s="51">
        <v>0.81492399999999998</v>
      </c>
      <c r="F151" s="51">
        <v>0.82359199999999999</v>
      </c>
      <c r="G151" s="363">
        <v>0.82421699999999998</v>
      </c>
      <c r="H151" s="51">
        <v>0.82484299999999999</v>
      </c>
      <c r="I151" s="51">
        <v>0.82546900000000001</v>
      </c>
      <c r="J151" s="51">
        <v>0.82609600000000005</v>
      </c>
      <c r="K151" s="51">
        <v>0.82672299999999999</v>
      </c>
      <c r="L151" s="363">
        <v>0.82735000000000003</v>
      </c>
      <c r="M151" s="51">
        <v>0.82797799999999999</v>
      </c>
      <c r="N151" s="51">
        <v>0.82860599999999995</v>
      </c>
      <c r="O151" s="51">
        <v>0.82923500000000006</v>
      </c>
      <c r="P151" s="51">
        <v>0.82986499999999996</v>
      </c>
      <c r="Q151" s="363">
        <v>0.83049499999999998</v>
      </c>
      <c r="R151" s="51">
        <v>0.831125</v>
      </c>
      <c r="S151" s="51">
        <v>0.83175600000000005</v>
      </c>
      <c r="T151" s="51">
        <v>0.83238699999999999</v>
      </c>
      <c r="U151" s="51">
        <v>0.83301899999999995</v>
      </c>
      <c r="V151" s="363">
        <v>0.83365100000000003</v>
      </c>
      <c r="W151" s="51">
        <v>0.83428400000000003</v>
      </c>
      <c r="X151" s="51">
        <v>0.83491700000000002</v>
      </c>
      <c r="Y151" s="51">
        <v>0.83555100000000004</v>
      </c>
      <c r="Z151" s="51">
        <v>0.83618499999999996</v>
      </c>
      <c r="AA151" s="363">
        <v>0.83681899999999998</v>
      </c>
      <c r="AB151" s="51">
        <v>0.83745499999999995</v>
      </c>
      <c r="AC151" s="51">
        <v>0.83809</v>
      </c>
      <c r="AD151" s="51">
        <v>0.83872599999999997</v>
      </c>
      <c r="AE151" s="51">
        <v>0.83936299999999997</v>
      </c>
      <c r="AF151" s="363">
        <v>0.84</v>
      </c>
      <c r="AG151" s="364">
        <v>7.5900000000000002E-4</v>
      </c>
    </row>
    <row r="152" spans="1:34" x14ac:dyDescent="0.2">
      <c r="A152" s="13" t="s">
        <v>586</v>
      </c>
      <c r="B152" s="251"/>
      <c r="D152" s="86">
        <v>38.299553000000003</v>
      </c>
      <c r="E152" s="86">
        <v>35.420990000000003</v>
      </c>
      <c r="F152" s="86">
        <v>30.297492999999999</v>
      </c>
      <c r="G152" s="374">
        <v>35.149014000000001</v>
      </c>
      <c r="H152" s="86">
        <v>35.495502000000002</v>
      </c>
      <c r="I152" s="86">
        <v>35.402943</v>
      </c>
      <c r="J152" s="86">
        <v>36.622546999999997</v>
      </c>
      <c r="K152" s="86">
        <v>38.154117999999997</v>
      </c>
      <c r="L152" s="374">
        <v>39.523380000000003</v>
      </c>
      <c r="M152" s="86">
        <v>40.728828</v>
      </c>
      <c r="N152" s="86">
        <v>41.708035000000002</v>
      </c>
      <c r="O152" s="86">
        <v>42.448569999999997</v>
      </c>
      <c r="P152" s="86">
        <v>43.402068999999997</v>
      </c>
      <c r="Q152" s="374">
        <v>44.237304999999999</v>
      </c>
      <c r="R152" s="86">
        <v>45.728538999999998</v>
      </c>
      <c r="S152" s="86">
        <v>47.891029000000003</v>
      </c>
      <c r="T152" s="86">
        <v>49.927643000000003</v>
      </c>
      <c r="U152" s="86">
        <v>51.739952000000002</v>
      </c>
      <c r="V152" s="374">
        <v>53.513451000000003</v>
      </c>
      <c r="W152" s="86">
        <v>55.132122000000003</v>
      </c>
      <c r="X152" s="86">
        <v>56.688160000000003</v>
      </c>
      <c r="Y152" s="86">
        <v>58.194794000000002</v>
      </c>
      <c r="Z152" s="86">
        <v>59.618625999999999</v>
      </c>
      <c r="AA152" s="374">
        <v>61.087673000000002</v>
      </c>
      <c r="AB152" s="86">
        <v>62.568890000000003</v>
      </c>
      <c r="AC152" s="86">
        <v>63.992184000000002</v>
      </c>
      <c r="AD152" s="86">
        <v>65.380538999999999</v>
      </c>
      <c r="AE152" s="86">
        <v>66.728904999999997</v>
      </c>
      <c r="AF152" s="374">
        <v>68.035422999999994</v>
      </c>
      <c r="AG152" s="364">
        <v>2.6769000000000001E-2</v>
      </c>
    </row>
    <row r="153" spans="1:34" x14ac:dyDescent="0.2">
      <c r="A153" s="13"/>
      <c r="B153" s="251"/>
      <c r="D153" s="86"/>
      <c r="E153" s="86"/>
      <c r="F153" s="86"/>
      <c r="G153" s="374"/>
      <c r="H153" s="86"/>
      <c r="I153" s="86"/>
      <c r="J153" s="86"/>
      <c r="K153" s="86"/>
      <c r="L153" s="374"/>
      <c r="M153" s="86"/>
      <c r="N153" s="86"/>
      <c r="O153" s="86"/>
      <c r="P153" s="86"/>
      <c r="Q153" s="374"/>
      <c r="R153" s="86"/>
      <c r="S153" s="86"/>
      <c r="T153" s="86"/>
      <c r="U153" s="86"/>
      <c r="V153" s="374"/>
      <c r="W153" s="86"/>
      <c r="X153" s="86"/>
      <c r="Y153" s="86"/>
      <c r="Z153" s="86"/>
      <c r="AA153" s="374"/>
      <c r="AB153" s="86"/>
      <c r="AC153" s="86"/>
      <c r="AD153" s="86"/>
      <c r="AE153" s="86"/>
      <c r="AF153" s="374"/>
      <c r="AG153" s="364"/>
    </row>
    <row r="154" spans="1:34" x14ac:dyDescent="0.2">
      <c r="A154" s="13"/>
      <c r="B154" s="251"/>
      <c r="D154" s="86"/>
      <c r="E154" s="86"/>
      <c r="F154" s="86"/>
      <c r="G154" s="374"/>
      <c r="H154" s="86"/>
      <c r="I154" s="86"/>
      <c r="J154" s="86"/>
      <c r="K154" s="86"/>
      <c r="L154" s="374"/>
      <c r="M154" s="86"/>
      <c r="N154" s="86"/>
      <c r="O154" s="86"/>
      <c r="P154" s="86"/>
      <c r="Q154" s="374"/>
      <c r="R154" s="86"/>
      <c r="S154" s="86"/>
      <c r="T154" s="86"/>
      <c r="U154" s="86"/>
      <c r="V154" s="374"/>
      <c r="W154" s="86"/>
      <c r="X154" s="86"/>
      <c r="Y154" s="86"/>
      <c r="Z154" s="86"/>
      <c r="AA154" s="374"/>
      <c r="AB154" s="86"/>
      <c r="AC154" s="86"/>
      <c r="AD154" s="86"/>
      <c r="AE154" s="86"/>
      <c r="AF154" s="374"/>
      <c r="AG154" s="364"/>
    </row>
    <row r="155" spans="1:34" x14ac:dyDescent="0.2">
      <c r="A155" s="13"/>
      <c r="B155" s="251"/>
      <c r="D155" s="86"/>
      <c r="E155" s="86"/>
      <c r="F155" s="86"/>
      <c r="G155" s="374"/>
      <c r="H155" s="86"/>
      <c r="I155" s="86"/>
      <c r="J155" s="86"/>
      <c r="K155" s="86"/>
      <c r="L155" s="374"/>
      <c r="M155" s="86"/>
      <c r="N155" s="86"/>
      <c r="O155" s="86"/>
      <c r="P155" s="86"/>
      <c r="Q155" s="374"/>
      <c r="R155" s="86"/>
      <c r="S155" s="86"/>
      <c r="T155" s="86"/>
      <c r="U155" s="86"/>
      <c r="V155" s="374"/>
      <c r="W155" s="86"/>
      <c r="X155" s="86"/>
      <c r="Y155" s="86"/>
      <c r="Z155" s="86"/>
      <c r="AA155" s="374"/>
      <c r="AB155" s="86"/>
      <c r="AC155" s="86"/>
      <c r="AD155" s="86"/>
      <c r="AE155" s="86"/>
      <c r="AF155" s="374"/>
      <c r="AG155" s="364"/>
    </row>
    <row r="156" spans="1:34" x14ac:dyDescent="0.2">
      <c r="A156" s="13"/>
      <c r="B156" s="251"/>
      <c r="D156" s="86"/>
      <c r="E156" s="86"/>
      <c r="F156" s="86"/>
      <c r="G156" s="374"/>
      <c r="H156" s="86"/>
      <c r="I156" s="86"/>
      <c r="J156" s="86"/>
      <c r="K156" s="86"/>
      <c r="L156" s="374"/>
      <c r="M156" s="86"/>
      <c r="N156" s="86"/>
      <c r="O156" s="86"/>
      <c r="P156" s="86"/>
      <c r="Q156" s="374"/>
      <c r="R156" s="86"/>
      <c r="S156" s="86"/>
      <c r="T156" s="86"/>
      <c r="U156" s="86"/>
      <c r="V156" s="374"/>
      <c r="W156" s="86"/>
      <c r="X156" s="86"/>
      <c r="Y156" s="86"/>
      <c r="Z156" s="86"/>
      <c r="AA156" s="374"/>
      <c r="AB156" s="86"/>
      <c r="AC156" s="86"/>
      <c r="AD156" s="86"/>
      <c r="AE156" s="86"/>
      <c r="AF156" s="374"/>
      <c r="AG156" s="364"/>
    </row>
    <row r="157" spans="1:34" x14ac:dyDescent="0.2">
      <c r="B157" s="251"/>
      <c r="G157" s="251"/>
      <c r="L157" s="251"/>
      <c r="Q157" s="251"/>
      <c r="V157" s="251"/>
      <c r="AA157" s="375"/>
      <c r="AB157" s="34"/>
      <c r="AC157" s="34"/>
      <c r="AD157" s="34"/>
      <c r="AE157" s="34"/>
      <c r="AF157" s="375"/>
      <c r="AG157" s="34"/>
    </row>
    <row r="158" spans="1:34" x14ac:dyDescent="0.2">
      <c r="A158" s="54" t="s">
        <v>587</v>
      </c>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row>
    <row r="159" spans="1:34" x14ac:dyDescent="0.2">
      <c r="A159" s="25" t="s">
        <v>588</v>
      </c>
      <c r="K159" s="12" t="s">
        <v>589</v>
      </c>
    </row>
    <row r="160" spans="1:34" x14ac:dyDescent="0.2">
      <c r="A160" s="13" t="s">
        <v>590</v>
      </c>
      <c r="K160" s="12" t="s">
        <v>591</v>
      </c>
      <c r="V160" s="12" t="s">
        <v>592</v>
      </c>
    </row>
    <row r="161" spans="1:21" x14ac:dyDescent="0.2">
      <c r="K161" s="12" t="s">
        <v>593</v>
      </c>
    </row>
    <row r="162" spans="1:21" x14ac:dyDescent="0.2">
      <c r="B162" s="12" t="s">
        <v>508</v>
      </c>
      <c r="J162" s="25" t="s">
        <v>594</v>
      </c>
      <c r="K162" s="13" t="s">
        <v>595</v>
      </c>
      <c r="L162" s="13" t="s">
        <v>596</v>
      </c>
      <c r="M162" s="17"/>
      <c r="N162" s="17"/>
      <c r="O162" s="17"/>
      <c r="P162" s="17"/>
      <c r="Q162" s="17"/>
      <c r="R162" s="17"/>
    </row>
    <row r="163" spans="1:21" x14ac:dyDescent="0.2">
      <c r="A163" s="13" t="s">
        <v>597</v>
      </c>
      <c r="B163" s="12">
        <v>2005</v>
      </c>
      <c r="C163" s="12">
        <v>2010</v>
      </c>
      <c r="D163" s="12">
        <v>2015</v>
      </c>
      <c r="E163" s="12">
        <v>2020</v>
      </c>
      <c r="F163" s="12">
        <v>2025</v>
      </c>
      <c r="G163" s="12">
        <v>2030</v>
      </c>
      <c r="H163" s="12">
        <v>2035</v>
      </c>
      <c r="I163" s="12">
        <v>2040</v>
      </c>
      <c r="J163" s="13">
        <v>2035</v>
      </c>
      <c r="K163" s="31">
        <v>2010</v>
      </c>
      <c r="L163" s="31">
        <v>2010</v>
      </c>
      <c r="M163" s="31">
        <v>2015</v>
      </c>
      <c r="N163" s="31">
        <v>2020</v>
      </c>
      <c r="O163" s="31">
        <v>2025</v>
      </c>
      <c r="P163" s="31">
        <v>2030</v>
      </c>
      <c r="Q163" s="31">
        <v>2035</v>
      </c>
    </row>
    <row r="164" spans="1:21" x14ac:dyDescent="0.2">
      <c r="A164" s="13" t="s">
        <v>598</v>
      </c>
      <c r="K164" s="31"/>
      <c r="L164" s="31"/>
      <c r="M164" s="31"/>
      <c r="N164" s="31"/>
      <c r="O164" s="31"/>
      <c r="P164" s="31"/>
    </row>
    <row r="165" spans="1:21" ht="12.75" x14ac:dyDescent="0.2">
      <c r="A165" s="12" t="s">
        <v>599</v>
      </c>
      <c r="B165" s="51">
        <f>C165*(1-J165)^5</f>
        <v>342.79252868729344</v>
      </c>
      <c r="C165" s="51">
        <v>343.58032200000002</v>
      </c>
      <c r="D165" s="376">
        <v>324.87469499999997</v>
      </c>
      <c r="E165" s="376">
        <v>315.66113300000001</v>
      </c>
      <c r="F165" s="376">
        <v>299.91186499999998</v>
      </c>
      <c r="G165" s="376">
        <v>291.03237899999999</v>
      </c>
      <c r="H165" s="376">
        <v>291.64770499999997</v>
      </c>
      <c r="I165" s="376">
        <v>303.47326700000002</v>
      </c>
      <c r="J165" s="364">
        <v>4.5899999999999999E-4</v>
      </c>
      <c r="K165" s="377">
        <f>C165/C167</f>
        <v>0.62013244206582163</v>
      </c>
      <c r="L165" s="377">
        <f>C165*TechData!K15/(C165*TechData!K15+TechData!K16*C166)</f>
        <v>0.57463963472759749</v>
      </c>
      <c r="M165" s="378">
        <f>D165/D167</f>
        <v>0.60788876880440523</v>
      </c>
      <c r="N165" s="378">
        <f>E165/E167</f>
        <v>0.59605367132291376</v>
      </c>
      <c r="O165" s="378">
        <f>F165/F167</f>
        <v>0.5874685324273865</v>
      </c>
      <c r="P165" s="378">
        <f>G165/G167</f>
        <v>0.58230618913368914</v>
      </c>
      <c r="Q165" s="378">
        <f>H165/H167</f>
        <v>0.57764639906612147</v>
      </c>
    </row>
    <row r="166" spans="1:21" ht="12.75" x14ac:dyDescent="0.2">
      <c r="A166" s="12" t="s">
        <v>600</v>
      </c>
      <c r="B166" s="51">
        <f>C166*(1-J166)^5</f>
        <v>201.35923301398378</v>
      </c>
      <c r="C166" s="51">
        <v>210.46313499999999</v>
      </c>
      <c r="D166" s="376">
        <v>209.55642700000001</v>
      </c>
      <c r="E166" s="376">
        <v>213.923935</v>
      </c>
      <c r="F166" s="376">
        <v>210.60377500000001</v>
      </c>
      <c r="G166" s="376">
        <v>208.760254</v>
      </c>
      <c r="H166" s="376">
        <v>213.24194299999999</v>
      </c>
      <c r="I166" s="376">
        <v>222.80422999999999</v>
      </c>
      <c r="J166" s="364">
        <v>8.8050000000000003E-3</v>
      </c>
      <c r="K166" s="377">
        <f>C166/C167</f>
        <v>0.37986755793417842</v>
      </c>
      <c r="L166" s="377">
        <f>1-L165</f>
        <v>0.42536036527240251</v>
      </c>
      <c r="M166" s="378">
        <f>D166/D167</f>
        <v>0.3921111750611424</v>
      </c>
      <c r="N166" s="378">
        <f>E166/E167</f>
        <v>0.40394630035302559</v>
      </c>
      <c r="O166" s="378">
        <f>F166/F167</f>
        <v>0.41253149695467206</v>
      </c>
      <c r="P166" s="378">
        <f>G166/G167</f>
        <v>0.41769368881570729</v>
      </c>
      <c r="Q166" s="378">
        <f>H166/H167</f>
        <v>0.42235353953432664</v>
      </c>
      <c r="R166" s="130">
        <f>Q166+$J166</f>
        <v>0.43115853953432665</v>
      </c>
      <c r="S166" s="130">
        <f>R166+$J166</f>
        <v>0.43996353953432665</v>
      </c>
      <c r="T166" s="130">
        <f>S166+$J166</f>
        <v>0.44876853953432666</v>
      </c>
      <c r="U166" s="130">
        <f>T166+$J166</f>
        <v>0.45757353953432667</v>
      </c>
    </row>
    <row r="167" spans="1:21" ht="15" x14ac:dyDescent="0.25">
      <c r="A167" s="13" t="s">
        <v>601</v>
      </c>
      <c r="C167" s="61">
        <v>554.04345699999999</v>
      </c>
      <c r="D167" s="379">
        <v>534.431152</v>
      </c>
      <c r="E167" s="379">
        <v>529.58508300000005</v>
      </c>
      <c r="F167" s="379">
        <v>510.515625</v>
      </c>
      <c r="G167" s="379">
        <v>499.79269399999998</v>
      </c>
      <c r="H167" s="379">
        <v>504.889679</v>
      </c>
      <c r="I167" s="379">
        <v>526.277466</v>
      </c>
      <c r="J167" s="366">
        <v>3.8279999999999998E-3</v>
      </c>
      <c r="K167" s="31"/>
      <c r="L167" s="31"/>
      <c r="M167" s="31"/>
      <c r="N167" s="31"/>
      <c r="O167" s="31"/>
      <c r="P167" s="31"/>
    </row>
    <row r="168" spans="1:21" x14ac:dyDescent="0.2">
      <c r="B168" s="51"/>
      <c r="K168" s="380"/>
      <c r="L168" s="380"/>
      <c r="M168" s="380"/>
      <c r="N168" s="380"/>
      <c r="O168" s="380"/>
      <c r="P168" s="380"/>
    </row>
    <row r="169" spans="1:21" x14ac:dyDescent="0.2">
      <c r="A169" s="12" t="s">
        <v>602</v>
      </c>
      <c r="B169" s="51"/>
      <c r="K169" s="31">
        <v>2010</v>
      </c>
      <c r="L169" s="31">
        <v>2010</v>
      </c>
      <c r="M169" s="31">
        <v>2015</v>
      </c>
      <c r="N169" s="31">
        <v>2020</v>
      </c>
      <c r="O169" s="31">
        <v>2025</v>
      </c>
      <c r="P169" s="31">
        <v>2030</v>
      </c>
      <c r="Q169" s="31">
        <v>2035</v>
      </c>
      <c r="R169" s="31">
        <v>2040</v>
      </c>
    </row>
    <row r="170" spans="1:21" ht="12.75" x14ac:dyDescent="0.2">
      <c r="A170" s="12" t="s">
        <v>599</v>
      </c>
      <c r="B170" s="129">
        <f>D42</f>
        <v>352.51336700000002</v>
      </c>
      <c r="C170" s="51">
        <v>365.00396699999999</v>
      </c>
      <c r="D170" s="376">
        <v>420.92413299999998</v>
      </c>
      <c r="E170" s="376">
        <v>421.17611699999998</v>
      </c>
      <c r="F170" s="376">
        <v>431.42450000000002</v>
      </c>
      <c r="G170" s="376">
        <v>426.327606</v>
      </c>
      <c r="H170" s="376">
        <v>419.20513899999997</v>
      </c>
      <c r="I170" s="376">
        <v>420.41894500000001</v>
      </c>
      <c r="J170" s="364">
        <v>-2.4710000000000001E-3</v>
      </c>
      <c r="K170" s="381">
        <f>C170/C174</f>
        <v>7.5689776181924864E-2</v>
      </c>
      <c r="M170" s="382"/>
      <c r="N170" s="381"/>
      <c r="O170" s="381"/>
      <c r="P170" s="381"/>
      <c r="Q170" s="130">
        <f t="shared" ref="Q170:R173" si="0">H170/H$174</f>
        <v>6.1616507229622655E-2</v>
      </c>
      <c r="R170" s="130">
        <f t="shared" si="0"/>
        <v>5.8154478800182353E-2</v>
      </c>
    </row>
    <row r="171" spans="1:21" ht="12.75" x14ac:dyDescent="0.2">
      <c r="A171" s="12" t="s">
        <v>603</v>
      </c>
      <c r="B171" s="129">
        <f>D41</f>
        <v>4629.5581050000001</v>
      </c>
      <c r="C171" s="51">
        <v>4426.1684569999998</v>
      </c>
      <c r="D171" s="376">
        <v>5040.8745120000003</v>
      </c>
      <c r="E171" s="376">
        <v>5399.5615230000003</v>
      </c>
      <c r="F171" s="376">
        <v>5687.8237300000001</v>
      </c>
      <c r="G171" s="376">
        <v>5887.4248049999997</v>
      </c>
      <c r="H171" s="376">
        <v>6069.9755859999996</v>
      </c>
      <c r="I171" s="376">
        <v>6156.4321289999998</v>
      </c>
      <c r="J171" s="364">
        <v>8.1600000000000006E-3</v>
      </c>
      <c r="K171" s="381">
        <f>C171/C174</f>
        <v>0.91784125692482055</v>
      </c>
      <c r="M171" s="382"/>
      <c r="N171" s="381"/>
      <c r="O171" s="381"/>
      <c r="P171" s="381"/>
      <c r="Q171" s="130">
        <f t="shared" si="0"/>
        <v>0.89219014697814103</v>
      </c>
      <c r="R171" s="130">
        <f t="shared" si="0"/>
        <v>0.85158888767653418</v>
      </c>
    </row>
    <row r="172" spans="1:21" ht="12.75" x14ac:dyDescent="0.2">
      <c r="A172" s="12" t="s">
        <v>604</v>
      </c>
      <c r="B172" s="129">
        <f>D44</f>
        <v>7.8377850000000002</v>
      </c>
      <c r="C172" s="51">
        <v>10.027866</v>
      </c>
      <c r="D172" s="376">
        <v>24.823608</v>
      </c>
      <c r="E172" s="376">
        <v>24.62323</v>
      </c>
      <c r="F172" s="376">
        <v>43.866917000000001</v>
      </c>
      <c r="G172" s="376">
        <v>124.437881</v>
      </c>
      <c r="H172" s="376">
        <v>278.42587300000002</v>
      </c>
      <c r="I172" s="376">
        <v>613.02539100000001</v>
      </c>
      <c r="J172" s="364">
        <v>6.9750999999999994E-2</v>
      </c>
      <c r="K172" s="381">
        <f>C172/C174</f>
        <v>2.0794484491790037E-3</v>
      </c>
      <c r="M172" s="434">
        <f>D172/D174</f>
        <v>4.507810540303336E-3</v>
      </c>
      <c r="N172" s="434">
        <f>E172/E174</f>
        <v>4.1972313724295621E-3</v>
      </c>
      <c r="O172" s="434">
        <f>F172/F174</f>
        <v>7.0878827946763137E-3</v>
      </c>
      <c r="P172" s="434">
        <f>G172/G174</f>
        <v>1.9235005437359808E-2</v>
      </c>
      <c r="Q172" s="435">
        <f>H172/H$174</f>
        <v>4.0924187755767234E-2</v>
      </c>
      <c r="R172" s="435">
        <f t="shared" si="0"/>
        <v>8.4796778377537199E-2</v>
      </c>
    </row>
    <row r="173" spans="1:21" ht="12.75" x14ac:dyDescent="0.2">
      <c r="A173" s="12" t="s">
        <v>605</v>
      </c>
      <c r="B173" s="129">
        <f>D43</f>
        <v>22.895313000000002</v>
      </c>
      <c r="C173" s="51">
        <v>21.167767999999999</v>
      </c>
      <c r="D173" s="376">
        <v>20.176891000000001</v>
      </c>
      <c r="E173" s="376">
        <v>21.180145</v>
      </c>
      <c r="F173" s="376">
        <v>25.886707000000001</v>
      </c>
      <c r="G173" s="376">
        <v>31.154105999999999</v>
      </c>
      <c r="H173" s="376">
        <v>35.848396000000001</v>
      </c>
      <c r="I173" s="376">
        <v>39.471375000000002</v>
      </c>
      <c r="J173" s="364">
        <v>4.2770000000000004E-3</v>
      </c>
      <c r="K173" s="381">
        <f>C173/C174</f>
        <v>4.3894964631738132E-3</v>
      </c>
      <c r="L173" s="101"/>
      <c r="M173" s="381">
        <f>D173/D174</f>
        <v>3.663996060538481E-3</v>
      </c>
      <c r="N173" s="381">
        <f>E173/E174</f>
        <v>3.6103293136849689E-3</v>
      </c>
      <c r="O173" s="381">
        <f>F173/F174</f>
        <v>4.1826952451690848E-3</v>
      </c>
      <c r="P173" s="381">
        <f>G173/G174</f>
        <v>4.8156509375636494E-3</v>
      </c>
      <c r="Q173" s="130">
        <f t="shared" si="0"/>
        <v>5.2691456898012311E-3</v>
      </c>
      <c r="R173" s="130">
        <f t="shared" si="0"/>
        <v>5.4598805975585802E-3</v>
      </c>
    </row>
    <row r="174" spans="1:21" ht="15" x14ac:dyDescent="0.25">
      <c r="A174" s="12" t="s">
        <v>606</v>
      </c>
      <c r="B174" s="129">
        <v>4744.677734375</v>
      </c>
      <c r="C174" s="61">
        <v>4822.3681640000004</v>
      </c>
      <c r="D174" s="379">
        <v>5506.7993159999996</v>
      </c>
      <c r="E174" s="379">
        <v>5866.5410160000001</v>
      </c>
      <c r="F174" s="379">
        <v>6189.0014650000003</v>
      </c>
      <c r="G174" s="379">
        <v>6469.3447269999997</v>
      </c>
      <c r="H174" s="379">
        <v>6803.455078</v>
      </c>
      <c r="I174" s="379">
        <v>7229.3476559999999</v>
      </c>
      <c r="J174" s="366">
        <v>7.7159999999999998E-3</v>
      </c>
      <c r="K174" s="381">
        <f>SUM(K170:K173)</f>
        <v>0.99999997801909812</v>
      </c>
      <c r="M174" s="382"/>
      <c r="N174" s="381"/>
      <c r="O174" s="378"/>
      <c r="P174" s="378"/>
    </row>
    <row r="175" spans="1:21" x14ac:dyDescent="0.2">
      <c r="B175" s="51"/>
      <c r="K175" s="380"/>
      <c r="L175" s="380"/>
      <c r="M175" s="380"/>
      <c r="N175" s="380"/>
      <c r="O175" s="380"/>
      <c r="P175" s="380"/>
    </row>
    <row r="176" spans="1:21" x14ac:dyDescent="0.2">
      <c r="A176" s="12" t="s">
        <v>607</v>
      </c>
      <c r="B176" s="51"/>
      <c r="K176" s="380"/>
      <c r="L176" s="380"/>
      <c r="M176" s="380"/>
      <c r="N176" s="380"/>
      <c r="O176" s="380"/>
      <c r="P176" s="380"/>
    </row>
    <row r="177" spans="1:17" ht="12.75" x14ac:dyDescent="0.2">
      <c r="A177" s="12" t="s">
        <v>603</v>
      </c>
      <c r="B177" s="129">
        <v>545.03302001953102</v>
      </c>
      <c r="C177" s="51">
        <v>453.29324300000002</v>
      </c>
      <c r="D177" s="376">
        <v>444.44882200000001</v>
      </c>
      <c r="E177" s="376">
        <v>441.72460899999999</v>
      </c>
      <c r="F177" s="376">
        <v>424.19229100000001</v>
      </c>
      <c r="G177" s="376">
        <v>367.96743800000002</v>
      </c>
      <c r="H177" s="376">
        <v>315.824005</v>
      </c>
      <c r="I177" s="376">
        <v>270.92327899999998</v>
      </c>
      <c r="J177" s="364">
        <v>6.3070000000000001E-3</v>
      </c>
      <c r="K177" s="380"/>
      <c r="L177" s="380"/>
      <c r="M177" s="380"/>
      <c r="N177" s="380"/>
      <c r="O177" s="380"/>
      <c r="P177" s="380"/>
    </row>
    <row r="178" spans="1:17" ht="12.75" x14ac:dyDescent="0.2">
      <c r="A178" s="12" t="s">
        <v>608</v>
      </c>
      <c r="B178" s="129"/>
      <c r="C178" s="51"/>
      <c r="D178" s="376">
        <v>0</v>
      </c>
      <c r="E178" s="376">
        <v>4.9626029999999997</v>
      </c>
      <c r="F178" s="376">
        <v>33.399459999999998</v>
      </c>
      <c r="G178" s="376">
        <v>79.599022000000005</v>
      </c>
      <c r="H178" s="376">
        <v>117.406792</v>
      </c>
      <c r="I178" s="376">
        <v>148.10519400000001</v>
      </c>
      <c r="J178" s="364"/>
      <c r="K178" s="380"/>
      <c r="L178" s="380"/>
      <c r="M178" s="380"/>
      <c r="N178" s="380"/>
      <c r="O178" s="380"/>
      <c r="P178" s="380"/>
    </row>
    <row r="179" spans="1:17" ht="15" x14ac:dyDescent="0.25">
      <c r="A179" s="12" t="s">
        <v>606</v>
      </c>
      <c r="B179" s="129">
        <v>545.03302001953102</v>
      </c>
      <c r="C179" s="61">
        <v>453.29324300000002</v>
      </c>
      <c r="D179" s="379">
        <v>444.44882200000001</v>
      </c>
      <c r="E179" s="379">
        <v>446.68722500000001</v>
      </c>
      <c r="F179" s="379">
        <v>457.59173600000003</v>
      </c>
      <c r="G179" s="379">
        <v>447.56646699999999</v>
      </c>
      <c r="H179" s="379">
        <v>433.23080399999998</v>
      </c>
      <c r="I179" s="379">
        <v>419.02847300000002</v>
      </c>
      <c r="J179" s="366">
        <v>6.3070000000000001E-3</v>
      </c>
      <c r="K179" s="380"/>
      <c r="L179" s="380"/>
      <c r="M179" s="380"/>
      <c r="N179" s="380"/>
      <c r="O179" s="380"/>
      <c r="P179" s="380"/>
    </row>
    <row r="180" spans="1:17" x14ac:dyDescent="0.2">
      <c r="B180" s="51"/>
      <c r="K180" s="380"/>
      <c r="L180" s="380"/>
      <c r="M180" s="380"/>
      <c r="N180" s="380"/>
      <c r="O180" s="380"/>
      <c r="P180" s="380"/>
    </row>
    <row r="181" spans="1:17" x14ac:dyDescent="0.2">
      <c r="A181" s="12" t="s">
        <v>566</v>
      </c>
      <c r="B181" s="51"/>
      <c r="K181" s="380"/>
      <c r="L181" s="380"/>
      <c r="M181" s="380"/>
      <c r="N181" s="380"/>
      <c r="O181" s="380"/>
      <c r="P181" s="380"/>
    </row>
    <row r="182" spans="1:17" ht="12.75" x14ac:dyDescent="0.2">
      <c r="A182" s="12" t="s">
        <v>603</v>
      </c>
      <c r="B182" s="129">
        <v>219.46594238281301</v>
      </c>
      <c r="C182" s="51">
        <v>147.85343900000001</v>
      </c>
      <c r="D182" s="376">
        <v>79.117064999999997</v>
      </c>
      <c r="E182" s="376">
        <v>75.037254000000004</v>
      </c>
      <c r="F182" s="376">
        <v>69.783332999999999</v>
      </c>
      <c r="G182" s="376">
        <v>65.304665</v>
      </c>
      <c r="H182" s="376">
        <v>62.429340000000003</v>
      </c>
      <c r="I182" s="376">
        <v>60.655589999999997</v>
      </c>
      <c r="J182" s="364">
        <v>5.3660000000000001E-3</v>
      </c>
      <c r="K182" s="381">
        <f>C182/C186</f>
        <v>0.67727933275286711</v>
      </c>
      <c r="L182" s="130">
        <f>H182/H$186</f>
        <v>0.80116355382097337</v>
      </c>
      <c r="M182" s="382"/>
      <c r="N182" s="381"/>
      <c r="O182" s="381"/>
      <c r="P182" s="381"/>
      <c r="Q182" s="12">
        <f>H182/H186</f>
        <v>0.80116355382097337</v>
      </c>
    </row>
    <row r="183" spans="1:17" ht="12.75" x14ac:dyDescent="0.2">
      <c r="A183" s="12" t="s">
        <v>609</v>
      </c>
      <c r="B183" s="129">
        <v>91.172294616699205</v>
      </c>
      <c r="C183" s="51">
        <v>70.451522999999995</v>
      </c>
      <c r="D183" s="376">
        <v>18.760693</v>
      </c>
      <c r="E183" s="376">
        <v>17.629079999999998</v>
      </c>
      <c r="F183" s="376">
        <v>16.238686000000001</v>
      </c>
      <c r="G183" s="376">
        <v>15.06856</v>
      </c>
      <c r="H183" s="376">
        <v>14.252580999999999</v>
      </c>
      <c r="I183" s="376">
        <v>13.687599000000001</v>
      </c>
      <c r="J183" s="364">
        <v>5.378E-3</v>
      </c>
      <c r="K183" s="381">
        <f>C183/C186</f>
        <v>0.32272066724713294</v>
      </c>
      <c r="L183" s="130">
        <f>H183/H$186</f>
        <v>0.18290516037941906</v>
      </c>
      <c r="M183" s="382"/>
      <c r="N183" s="381"/>
      <c r="O183" s="381"/>
      <c r="P183" s="381"/>
      <c r="Q183" s="12">
        <f>H183/H186</f>
        <v>0.18290516037941906</v>
      </c>
    </row>
    <row r="184" spans="1:17" ht="12.75" x14ac:dyDescent="0.2">
      <c r="A184" s="12" t="s">
        <v>610</v>
      </c>
      <c r="B184" s="129"/>
      <c r="C184" s="51"/>
      <c r="D184" s="376">
        <v>0</v>
      </c>
      <c r="E184" s="376">
        <v>0</v>
      </c>
      <c r="F184" s="376">
        <v>0</v>
      </c>
      <c r="G184" s="376">
        <v>0</v>
      </c>
      <c r="H184" s="376">
        <v>0</v>
      </c>
      <c r="I184" s="376">
        <v>0</v>
      </c>
      <c r="J184" s="364"/>
      <c r="K184" s="381"/>
      <c r="L184" s="130"/>
      <c r="M184" s="382"/>
      <c r="N184" s="381"/>
      <c r="O184" s="381"/>
      <c r="P184" s="381"/>
    </row>
    <row r="185" spans="1:17" ht="12.75" x14ac:dyDescent="0.2">
      <c r="A185" s="12" t="s">
        <v>611</v>
      </c>
      <c r="B185" s="129"/>
      <c r="C185" s="51"/>
      <c r="D185" s="376">
        <v>0.22108700000000001</v>
      </c>
      <c r="E185" s="376">
        <v>0.57464800000000005</v>
      </c>
      <c r="F185" s="376">
        <v>0.83677900000000005</v>
      </c>
      <c r="G185" s="376">
        <v>1.030875</v>
      </c>
      <c r="H185" s="376">
        <v>1.24142</v>
      </c>
      <c r="I185" s="376">
        <v>1.451797</v>
      </c>
      <c r="J185" s="364"/>
      <c r="K185" s="381"/>
      <c r="L185" s="130"/>
      <c r="M185" s="382"/>
      <c r="N185" s="381"/>
      <c r="O185" s="381"/>
      <c r="P185" s="381"/>
    </row>
    <row r="186" spans="1:17" ht="15" x14ac:dyDescent="0.25">
      <c r="A186" s="12" t="s">
        <v>606</v>
      </c>
      <c r="B186" s="51">
        <f>B182+B183</f>
        <v>310.63823699951223</v>
      </c>
      <c r="C186" s="61">
        <v>218.30496199999999</v>
      </c>
      <c r="D186" s="379">
        <v>98.098845999999995</v>
      </c>
      <c r="E186" s="379">
        <v>93.240982000000002</v>
      </c>
      <c r="F186" s="379">
        <v>86.858795000000001</v>
      </c>
      <c r="G186" s="379">
        <v>81.404099000000002</v>
      </c>
      <c r="H186" s="379">
        <v>77.923339999999996</v>
      </c>
      <c r="I186" s="379">
        <v>75.794983000000002</v>
      </c>
      <c r="J186" s="366">
        <v>5.3699999999999998E-3</v>
      </c>
      <c r="K186" s="381"/>
      <c r="L186" s="130"/>
      <c r="M186" s="380"/>
      <c r="N186" s="380"/>
      <c r="O186" s="380"/>
      <c r="P186" s="380"/>
    </row>
    <row r="187" spans="1:17" x14ac:dyDescent="0.2">
      <c r="B187" s="51"/>
      <c r="K187" s="380"/>
      <c r="L187" s="380"/>
      <c r="M187" s="380"/>
      <c r="N187" s="380"/>
      <c r="O187" s="380"/>
      <c r="P187" s="380"/>
    </row>
    <row r="188" spans="1:17" x14ac:dyDescent="0.2">
      <c r="A188" s="12" t="s">
        <v>569</v>
      </c>
      <c r="B188" s="51"/>
      <c r="K188" s="380"/>
      <c r="L188" s="380"/>
      <c r="M188" s="380"/>
      <c r="N188" s="380"/>
      <c r="O188" s="380"/>
      <c r="P188" s="380"/>
    </row>
    <row r="189" spans="1:17" ht="12.75" x14ac:dyDescent="0.2">
      <c r="A189" s="12" t="s">
        <v>603</v>
      </c>
      <c r="B189" s="129">
        <v>49.8196830749512</v>
      </c>
      <c r="C189" s="51">
        <v>49.146839</v>
      </c>
      <c r="D189" s="376">
        <v>43.375973000000002</v>
      </c>
      <c r="E189" s="376">
        <v>43.684092999999997</v>
      </c>
      <c r="F189" s="376">
        <v>43.958579999999998</v>
      </c>
      <c r="G189" s="376">
        <v>44.224705</v>
      </c>
      <c r="H189" s="376">
        <v>44.489947999999998</v>
      </c>
      <c r="I189" s="376">
        <v>44.735022999999998</v>
      </c>
      <c r="J189" s="364">
        <v>1.2459999999999999E-3</v>
      </c>
      <c r="K189" s="380"/>
      <c r="L189" s="380"/>
      <c r="M189" s="380"/>
      <c r="N189" s="380"/>
      <c r="O189" s="380"/>
      <c r="P189" s="380"/>
    </row>
    <row r="190" spans="1:17" ht="12.75" x14ac:dyDescent="0.2">
      <c r="A190" s="12" t="s">
        <v>609</v>
      </c>
      <c r="B190" s="129">
        <v>717.06756591796898</v>
      </c>
      <c r="C190" s="51">
        <v>811.36804199999995</v>
      </c>
      <c r="D190" s="376">
        <v>538.42517099999998</v>
      </c>
      <c r="E190" s="376">
        <v>544.87628199999995</v>
      </c>
      <c r="F190" s="376">
        <v>551.01049799999998</v>
      </c>
      <c r="G190" s="376">
        <v>557.253784</v>
      </c>
      <c r="H190" s="376">
        <v>562.85668899999996</v>
      </c>
      <c r="I190" s="376">
        <v>567.57611099999997</v>
      </c>
      <c r="J190" s="364">
        <v>1.2570000000000001E-3</v>
      </c>
      <c r="K190" s="380"/>
      <c r="L190" s="380"/>
      <c r="M190" s="380"/>
      <c r="N190" s="380"/>
      <c r="O190" s="380"/>
      <c r="P190" s="380"/>
    </row>
    <row r="191" spans="1:17" ht="15" x14ac:dyDescent="0.25">
      <c r="A191" s="12" t="s">
        <v>606</v>
      </c>
      <c r="B191" s="129">
        <v>766.88726806640602</v>
      </c>
      <c r="C191" s="61">
        <v>860.51489300000003</v>
      </c>
      <c r="D191" s="379">
        <v>581.80114700000001</v>
      </c>
      <c r="E191" s="379">
        <v>588.56036400000005</v>
      </c>
      <c r="F191" s="379">
        <v>594.96905500000003</v>
      </c>
      <c r="G191" s="379">
        <v>601.47851600000001</v>
      </c>
      <c r="H191" s="379">
        <v>607.34661900000003</v>
      </c>
      <c r="I191" s="379">
        <v>612.31115699999998</v>
      </c>
      <c r="J191" s="366">
        <v>1.2570000000000001E-3</v>
      </c>
      <c r="K191" s="380"/>
      <c r="L191" s="380"/>
      <c r="M191" s="380"/>
      <c r="N191" s="380"/>
      <c r="O191" s="380"/>
      <c r="P191" s="380"/>
    </row>
    <row r="192" spans="1:17" x14ac:dyDescent="0.2">
      <c r="K192" s="380"/>
      <c r="L192" s="380"/>
      <c r="M192" s="380"/>
      <c r="N192" s="380"/>
      <c r="O192" s="380"/>
      <c r="P192" s="380"/>
    </row>
    <row r="193" spans="1:17" x14ac:dyDescent="0.2">
      <c r="A193" s="12" t="s">
        <v>612</v>
      </c>
      <c r="K193" s="380"/>
      <c r="L193" s="380"/>
      <c r="M193" s="380"/>
      <c r="N193" s="380"/>
      <c r="O193" s="380"/>
      <c r="P193" s="380"/>
    </row>
    <row r="194" spans="1:17" ht="12.75" x14ac:dyDescent="0.2">
      <c r="A194" s="12" t="s">
        <v>613</v>
      </c>
      <c r="B194" s="129">
        <v>2688.080078125</v>
      </c>
      <c r="C194" s="51">
        <v>2483.01001</v>
      </c>
      <c r="D194" s="376">
        <v>2495.7536620000001</v>
      </c>
      <c r="E194" s="376">
        <v>2570.6440429999998</v>
      </c>
      <c r="F194" s="376">
        <v>2627.7963869999999</v>
      </c>
      <c r="G194" s="376">
        <v>2658.451904</v>
      </c>
      <c r="H194" s="376">
        <v>2665.8911130000001</v>
      </c>
      <c r="I194" s="376">
        <v>2674.056885</v>
      </c>
      <c r="J194" s="364">
        <v>4.1700000000000001E-3</v>
      </c>
      <c r="K194" s="381">
        <f>B194/B196</f>
        <v>0.98709292324265363</v>
      </c>
      <c r="L194" s="381"/>
      <c r="M194" s="382"/>
      <c r="N194" s="381"/>
      <c r="O194" s="381"/>
      <c r="P194" s="381"/>
    </row>
    <row r="195" spans="1:17" ht="12.75" x14ac:dyDescent="0.2">
      <c r="A195" s="12" t="s">
        <v>614</v>
      </c>
      <c r="B195" s="129">
        <v>35.148998260497997</v>
      </c>
      <c r="C195" s="51">
        <v>32.208244000000001</v>
      </c>
      <c r="D195" s="376">
        <v>26.797699000000001</v>
      </c>
      <c r="E195" s="376">
        <v>26.650933999999999</v>
      </c>
      <c r="F195" s="376">
        <v>26.594031999999999</v>
      </c>
      <c r="G195" s="376">
        <v>26.57197</v>
      </c>
      <c r="H195" s="376">
        <v>26.563417000000001</v>
      </c>
      <c r="I195" s="376">
        <v>26.560101</v>
      </c>
      <c r="J195" s="364">
        <v>-7.6800000000000002E-4</v>
      </c>
      <c r="K195" s="381">
        <f>B195/B196</f>
        <v>1.2907103372532983E-2</v>
      </c>
      <c r="L195" s="381"/>
      <c r="M195" s="382"/>
      <c r="N195" s="381"/>
      <c r="O195" s="381"/>
      <c r="P195" s="381"/>
    </row>
    <row r="196" spans="1:17" ht="15" x14ac:dyDescent="0.25">
      <c r="A196" s="12" t="s">
        <v>606</v>
      </c>
      <c r="B196" s="129">
        <v>2723.22900390625</v>
      </c>
      <c r="C196" s="61">
        <v>2515.2182619999999</v>
      </c>
      <c r="D196" s="379">
        <v>2522.5512699999999</v>
      </c>
      <c r="E196" s="379">
        <v>2597.294922</v>
      </c>
      <c r="F196" s="379">
        <v>2654.3903810000002</v>
      </c>
      <c r="G196" s="379">
        <v>2685.0239259999998</v>
      </c>
      <c r="H196" s="379">
        <v>2692.4545899999998</v>
      </c>
      <c r="I196" s="379">
        <v>2700.616943</v>
      </c>
      <c r="J196" s="366">
        <v>4.1110000000000001E-3</v>
      </c>
      <c r="K196" s="380"/>
      <c r="L196" s="380"/>
      <c r="M196" s="380"/>
      <c r="N196" s="380"/>
      <c r="O196" s="380"/>
      <c r="P196" s="380"/>
    </row>
    <row r="197" spans="1:17" x14ac:dyDescent="0.2">
      <c r="B197" s="51"/>
      <c r="K197" s="17"/>
      <c r="L197" s="17"/>
      <c r="M197" s="17"/>
      <c r="N197" s="17"/>
      <c r="O197" s="17"/>
      <c r="P197" s="17"/>
    </row>
    <row r="198" spans="1:17" x14ac:dyDescent="0.2">
      <c r="A198" s="12" t="s">
        <v>615</v>
      </c>
      <c r="B198" s="51"/>
      <c r="K198" s="17"/>
      <c r="L198" s="17"/>
      <c r="M198" s="17"/>
      <c r="N198" s="17"/>
      <c r="O198" s="17"/>
      <c r="P198" s="17"/>
    </row>
    <row r="199" spans="1:17" x14ac:dyDescent="0.2">
      <c r="A199" s="12" t="s">
        <v>616</v>
      </c>
      <c r="B199" s="51"/>
      <c r="K199" s="17"/>
      <c r="L199" s="17"/>
      <c r="M199" s="17"/>
      <c r="N199" s="17"/>
      <c r="O199" s="17"/>
      <c r="P199" s="17"/>
    </row>
    <row r="200" spans="1:17" ht="12.75" x14ac:dyDescent="0.2">
      <c r="A200" s="12" t="s">
        <v>617</v>
      </c>
      <c r="B200" s="129">
        <v>531.47747802734398</v>
      </c>
      <c r="C200" s="51">
        <v>591.081726</v>
      </c>
      <c r="D200" s="376">
        <v>516.50372300000004</v>
      </c>
      <c r="E200" s="376">
        <v>505.64236499999998</v>
      </c>
      <c r="F200" s="376">
        <v>513.068848</v>
      </c>
      <c r="G200" s="376">
        <v>540.837402</v>
      </c>
      <c r="H200" s="376">
        <v>571.55822799999999</v>
      </c>
      <c r="I200" s="376">
        <v>605.54363999999998</v>
      </c>
      <c r="J200" s="364">
        <v>-1.351E-3</v>
      </c>
      <c r="K200" s="17"/>
      <c r="L200" s="17"/>
      <c r="M200" s="17"/>
      <c r="N200" s="17"/>
      <c r="O200" s="17"/>
      <c r="P200" s="17"/>
    </row>
    <row r="201" spans="1:17" ht="12.75" x14ac:dyDescent="0.2">
      <c r="A201" s="12" t="s">
        <v>618</v>
      </c>
      <c r="B201" s="129">
        <v>19.760156631469702</v>
      </c>
      <c r="C201" s="51">
        <v>22.169333999999999</v>
      </c>
      <c r="D201" s="376">
        <v>13.408099999999999</v>
      </c>
      <c r="E201" s="376">
        <v>13.203166</v>
      </c>
      <c r="F201" s="376">
        <v>13.467281</v>
      </c>
      <c r="G201" s="376">
        <v>14.269983999999999</v>
      </c>
      <c r="H201" s="376">
        <v>15.142314000000001</v>
      </c>
      <c r="I201" s="376">
        <v>16.087814000000002</v>
      </c>
      <c r="J201" s="364">
        <v>-1.34E-3</v>
      </c>
      <c r="K201" s="17"/>
      <c r="L201" s="17"/>
      <c r="M201" s="17"/>
      <c r="N201" s="17"/>
      <c r="O201" s="17"/>
      <c r="P201" s="17"/>
    </row>
    <row r="202" spans="1:17" ht="12.75" x14ac:dyDescent="0.2">
      <c r="A202" s="12" t="s">
        <v>619</v>
      </c>
      <c r="B202" s="129">
        <v>128.31816101074199</v>
      </c>
      <c r="C202" s="51">
        <v>151.97833299999999</v>
      </c>
      <c r="D202" s="376">
        <v>122.248192</v>
      </c>
      <c r="E202" s="376">
        <v>119.79946099999999</v>
      </c>
      <c r="F202" s="376">
        <v>121.59481</v>
      </c>
      <c r="G202" s="376">
        <v>128.17010500000001</v>
      </c>
      <c r="H202" s="376">
        <v>135.45893899999999</v>
      </c>
      <c r="I202" s="376">
        <v>143.50663800000001</v>
      </c>
      <c r="J202" s="364">
        <v>-1.351E-3</v>
      </c>
      <c r="K202" s="17"/>
      <c r="L202" s="17"/>
      <c r="M202" s="17"/>
      <c r="N202" s="17"/>
      <c r="O202" s="17"/>
      <c r="P202" s="17"/>
    </row>
    <row r="203" spans="1:17" ht="15" x14ac:dyDescent="0.25">
      <c r="A203" s="12" t="s">
        <v>606</v>
      </c>
      <c r="B203" s="129">
        <v>679.55578613281295</v>
      </c>
      <c r="C203" s="61">
        <v>765.22937000000002</v>
      </c>
      <c r="D203" s="379">
        <v>652.15997300000004</v>
      </c>
      <c r="E203" s="379">
        <v>638.64495799999997</v>
      </c>
      <c r="F203" s="379">
        <v>648.13091999999995</v>
      </c>
      <c r="G203" s="379">
        <v>683.277466</v>
      </c>
      <c r="H203" s="379">
        <v>722.15948500000002</v>
      </c>
      <c r="I203" s="379">
        <v>765.13812299999995</v>
      </c>
      <c r="J203" s="366">
        <v>-1.351E-3</v>
      </c>
      <c r="K203" s="17"/>
      <c r="L203" s="17"/>
      <c r="M203" s="17"/>
      <c r="N203" s="17"/>
      <c r="O203" s="17"/>
      <c r="P203" s="17"/>
    </row>
    <row r="204" spans="1:17" ht="12.75" x14ac:dyDescent="0.2">
      <c r="B204"/>
      <c r="I204" s="130"/>
      <c r="J204" s="17"/>
      <c r="K204" s="17"/>
      <c r="L204" s="17"/>
      <c r="M204" s="25" t="s">
        <v>594</v>
      </c>
      <c r="N204" s="25" t="s">
        <v>620</v>
      </c>
      <c r="O204" s="17">
        <v>2010</v>
      </c>
      <c r="P204" s="17">
        <v>2035</v>
      </c>
      <c r="Q204" s="17">
        <v>2055</v>
      </c>
    </row>
    <row r="205" spans="1:17" x14ac:dyDescent="0.2">
      <c r="A205" s="13" t="s">
        <v>621</v>
      </c>
      <c r="B205" s="13">
        <v>2005</v>
      </c>
      <c r="C205" s="13">
        <v>2010</v>
      </c>
      <c r="D205" s="13">
        <v>2015</v>
      </c>
      <c r="E205" s="13">
        <v>2020</v>
      </c>
      <c r="F205" s="13">
        <v>2025</v>
      </c>
      <c r="G205" s="13">
        <v>2030</v>
      </c>
      <c r="H205" s="13">
        <v>2035</v>
      </c>
      <c r="I205" s="59">
        <v>2040</v>
      </c>
      <c r="J205" s="60">
        <v>2045</v>
      </c>
      <c r="K205" s="13">
        <v>2050</v>
      </c>
      <c r="L205" s="59">
        <v>2055</v>
      </c>
      <c r="M205" s="13">
        <v>2035</v>
      </c>
      <c r="N205" s="13"/>
      <c r="O205" s="17" t="s">
        <v>622</v>
      </c>
      <c r="P205" s="17" t="s">
        <v>622</v>
      </c>
      <c r="Q205" s="17" t="s">
        <v>622</v>
      </c>
    </row>
    <row r="206" spans="1:17" ht="12.75" x14ac:dyDescent="0.2">
      <c r="A206" s="12" t="s">
        <v>623</v>
      </c>
      <c r="B206"/>
      <c r="I206" s="130"/>
      <c r="J206" s="17"/>
      <c r="K206" s="17"/>
      <c r="L206" s="17"/>
      <c r="M206" s="17"/>
      <c r="N206" s="17"/>
      <c r="O206" s="17"/>
      <c r="P206" s="17"/>
      <c r="Q206" s="17"/>
    </row>
    <row r="207" spans="1:17" ht="12.75" x14ac:dyDescent="0.2">
      <c r="A207" s="12" t="s">
        <v>624</v>
      </c>
      <c r="B207" s="129">
        <v>0.19670888781547499</v>
      </c>
      <c r="C207" s="51">
        <v>11.562298</v>
      </c>
      <c r="D207" s="376">
        <v>11.142871</v>
      </c>
      <c r="E207" s="376">
        <v>11.029153000000001</v>
      </c>
      <c r="F207" s="376">
        <v>10.946679</v>
      </c>
      <c r="G207" s="376">
        <v>10.877763</v>
      </c>
      <c r="H207" s="376">
        <v>10.80598</v>
      </c>
      <c r="I207" s="376">
        <v>10.730579000000001</v>
      </c>
      <c r="J207" s="51">
        <f t="shared" ref="J207:L210" si="1">I207*(1+$N207)^5</f>
        <v>10.733744894358495</v>
      </c>
      <c r="K207" s="51">
        <f t="shared" si="1"/>
        <v>10.736911722766035</v>
      </c>
      <c r="L207" s="51">
        <f t="shared" si="1"/>
        <v>10.7400794854982</v>
      </c>
      <c r="M207" s="364">
        <v>1.18E-4</v>
      </c>
      <c r="N207" s="364">
        <f>M207*0.5</f>
        <v>5.8999999999999998E-5</v>
      </c>
      <c r="O207" s="381">
        <f>(C207+C219)/C224</f>
        <v>9.9279878642966835E-2</v>
      </c>
      <c r="P207" s="381">
        <f>(H207+H219)/H224</f>
        <v>9.9277885073090891E-2</v>
      </c>
      <c r="Q207" s="381">
        <f>(L207+L219)/L224</f>
        <v>8.8550387847134704E-2</v>
      </c>
    </row>
    <row r="208" spans="1:17" ht="12.75" x14ac:dyDescent="0.2">
      <c r="A208" s="12" t="s">
        <v>625</v>
      </c>
      <c r="B208" s="129">
        <v>90.025444030761705</v>
      </c>
      <c r="C208" s="51">
        <v>86.507392999999993</v>
      </c>
      <c r="D208" s="376">
        <v>70.440437000000003</v>
      </c>
      <c r="E208" s="376">
        <v>62.142364999999998</v>
      </c>
      <c r="F208" s="376">
        <v>52.852119000000002</v>
      </c>
      <c r="G208" s="376">
        <v>43.169857</v>
      </c>
      <c r="H208" s="376">
        <v>32.556583000000003</v>
      </c>
      <c r="I208" s="376">
        <v>22.577643999999999</v>
      </c>
      <c r="J208" s="51">
        <f t="shared" si="1"/>
        <v>20.28660776336071</v>
      </c>
      <c r="K208" s="51">
        <f t="shared" si="1"/>
        <v>18.228051365521001</v>
      </c>
      <c r="L208" s="51">
        <f t="shared" si="1"/>
        <v>16.378384225684314</v>
      </c>
      <c r="M208" s="364">
        <v>-4.2345000000000001E-2</v>
      </c>
      <c r="N208" s="364">
        <f>M208*0.5</f>
        <v>-2.11725E-2</v>
      </c>
      <c r="O208" s="383">
        <f>(SUM(B208,B214,B220))/B224</f>
        <v>0.93214265708499455</v>
      </c>
      <c r="P208" s="383">
        <f>SUM(H208,H214,H220)/H224</f>
        <v>0.65659561802127187</v>
      </c>
      <c r="Q208" s="381">
        <f>SUM(L208,L214,L220)/L224</f>
        <v>0.54811445165725603</v>
      </c>
    </row>
    <row r="209" spans="1:17" ht="12.75" x14ac:dyDescent="0.2">
      <c r="A209" s="12" t="s">
        <v>626</v>
      </c>
      <c r="B209" s="129">
        <f>C209*(1-M209)^5</f>
        <v>4.7780216831176689</v>
      </c>
      <c r="C209" s="51">
        <v>7.8765559999999999</v>
      </c>
      <c r="D209" s="376">
        <v>18.270439</v>
      </c>
      <c r="E209" s="376">
        <v>28.404281999999998</v>
      </c>
      <c r="F209" s="376">
        <v>39.868462000000001</v>
      </c>
      <c r="G209" s="376">
        <v>51.850673999999998</v>
      </c>
      <c r="H209" s="376">
        <v>64.839934999999997</v>
      </c>
      <c r="I209" s="376">
        <v>77.068732999999995</v>
      </c>
      <c r="J209" s="51">
        <f t="shared" si="1"/>
        <v>88.712967221911128</v>
      </c>
      <c r="K209" s="51">
        <f t="shared" si="1"/>
        <v>102.11651660753108</v>
      </c>
      <c r="L209" s="51">
        <f t="shared" si="1"/>
        <v>117.5451942439439</v>
      </c>
      <c r="M209" s="364">
        <v>9.5138E-2</v>
      </c>
      <c r="N209" s="364">
        <f>M209*0.3</f>
        <v>2.8541399999999998E-2</v>
      </c>
      <c r="O209" s="383">
        <f>(B209+B221)/B224</f>
        <v>2.2575585289844415E-2</v>
      </c>
      <c r="P209" s="383">
        <f>(H209+H221)/H224</f>
        <v>0.24342497640285621</v>
      </c>
      <c r="Q209" s="381">
        <f>(L209+L221)/L224</f>
        <v>0.36271189345457228</v>
      </c>
    </row>
    <row r="210" spans="1:17" ht="12.75" x14ac:dyDescent="0.2">
      <c r="A210" s="12" t="s">
        <v>627</v>
      </c>
      <c r="B210" s="129"/>
      <c r="C210" s="51">
        <v>7.3424000000000003E-2</v>
      </c>
      <c r="D210" s="376">
        <v>7.2303999999999993E-2</v>
      </c>
      <c r="E210" s="376">
        <v>7.1137000000000006E-2</v>
      </c>
      <c r="F210" s="376">
        <v>6.9864999999999997E-2</v>
      </c>
      <c r="G210" s="376">
        <v>6.8430000000000005E-2</v>
      </c>
      <c r="H210" s="376">
        <v>6.6793000000000005E-2</v>
      </c>
      <c r="I210" s="376">
        <v>6.5005999999999994E-2</v>
      </c>
      <c r="J210" s="51">
        <f t="shared" si="1"/>
        <v>6.4726468702530585E-2</v>
      </c>
      <c r="K210" s="51">
        <f t="shared" si="1"/>
        <v>6.444813941327987E-2</v>
      </c>
      <c r="L210" s="51">
        <f t="shared" si="1"/>
        <v>6.4171006963510871E-2</v>
      </c>
      <c r="M210" s="364">
        <v>-1.7229999999999999E-3</v>
      </c>
      <c r="N210" s="364">
        <f>M210*0.5</f>
        <v>-8.6149999999999996E-4</v>
      </c>
      <c r="O210" s="383"/>
      <c r="P210" s="383">
        <f>(H210+H222)/H224</f>
        <v>7.014489135774598E-4</v>
      </c>
      <c r="Q210" s="381">
        <f>(L210+L222)/L224</f>
        <v>6.2326704103699069E-4</v>
      </c>
    </row>
    <row r="211" spans="1:17" ht="12.75" x14ac:dyDescent="0.2">
      <c r="A211" s="12" t="s">
        <v>628</v>
      </c>
      <c r="B211" s="62">
        <f>B207+B208+B209</f>
        <v>95.000174601694852</v>
      </c>
      <c r="C211" s="51">
        <v>106.01966899999999</v>
      </c>
      <c r="D211" s="376">
        <v>99.926047999999994</v>
      </c>
      <c r="E211" s="376">
        <v>101.646935</v>
      </c>
      <c r="F211" s="376">
        <v>103.737122</v>
      </c>
      <c r="G211" s="376">
        <v>105.96672100000001</v>
      </c>
      <c r="H211" s="376">
        <v>108.269295</v>
      </c>
      <c r="I211" s="376">
        <v>110.441963</v>
      </c>
      <c r="J211" s="51">
        <f>SUM(J207:J210)</f>
        <v>119.79804634833286</v>
      </c>
      <c r="K211" s="51">
        <f>SUM(K207:K210)</f>
        <v>131.14592783523142</v>
      </c>
      <c r="L211" s="51">
        <f>SUM(L207:L210)</f>
        <v>144.72782896208992</v>
      </c>
      <c r="M211" s="364">
        <v>4.0829999999999998E-3</v>
      </c>
      <c r="N211" s="384">
        <f>EXP(LN(L211/H211)/20)-1</f>
        <v>1.4617472481569971E-2</v>
      </c>
      <c r="O211" s="383"/>
      <c r="P211" s="383"/>
      <c r="Q211" s="381"/>
    </row>
    <row r="212" spans="1:17" x14ac:dyDescent="0.2">
      <c r="A212" s="12" t="s">
        <v>629</v>
      </c>
      <c r="B212" s="129"/>
      <c r="N212" s="130"/>
      <c r="O212" s="383">
        <f>SUM(O207:O211)</f>
        <v>1.0539981210178058</v>
      </c>
      <c r="P212" s="383">
        <f>SUM(P207:P211)</f>
        <v>0.99999992841079643</v>
      </c>
      <c r="Q212" s="383">
        <f>SUM(Q207:Q211)</f>
        <v>1.0000000000000002</v>
      </c>
    </row>
    <row r="213" spans="1:17" ht="12.75" x14ac:dyDescent="0.2">
      <c r="A213" s="12" t="s">
        <v>624</v>
      </c>
      <c r="B213" s="129"/>
      <c r="C213" s="51">
        <v>0</v>
      </c>
      <c r="D213" s="376">
        <v>0</v>
      </c>
      <c r="E213" s="376">
        <v>0</v>
      </c>
      <c r="F213" s="376">
        <v>0</v>
      </c>
      <c r="G213" s="376">
        <v>0</v>
      </c>
      <c r="H213" s="376">
        <v>0</v>
      </c>
      <c r="I213" s="376">
        <v>0</v>
      </c>
      <c r="J213" s="12">
        <v>0</v>
      </c>
      <c r="K213" s="12">
        <v>0</v>
      </c>
      <c r="L213" s="12">
        <v>0</v>
      </c>
      <c r="M213" s="368" t="s">
        <v>564</v>
      </c>
      <c r="N213" s="383"/>
      <c r="O213" s="381"/>
    </row>
    <row r="214" spans="1:17" ht="12.75" x14ac:dyDescent="0.2">
      <c r="A214" s="12" t="s">
        <v>625</v>
      </c>
      <c r="B214" s="129">
        <f>C214*(1-M214)^5</f>
        <v>28.625736550969492</v>
      </c>
      <c r="C214" s="51">
        <v>29.96529</v>
      </c>
      <c r="D214" s="376">
        <v>28.555005999999999</v>
      </c>
      <c r="E214" s="376">
        <v>29.662451000000001</v>
      </c>
      <c r="F214" s="376">
        <v>30.768394000000001</v>
      </c>
      <c r="G214" s="376">
        <v>31.834842999999999</v>
      </c>
      <c r="H214" s="376">
        <v>32.824139000000002</v>
      </c>
      <c r="I214" s="376">
        <v>33.740803</v>
      </c>
      <c r="J214" s="51">
        <f>I214*(1+$N214)^5</f>
        <v>34.515852803731562</v>
      </c>
      <c r="K214" s="51">
        <f>J214*(1+$N214)^5</f>
        <v>35.308706042617423</v>
      </c>
      <c r="L214" s="51">
        <f>K214*(1+$N214)^5</f>
        <v>36.119771673993952</v>
      </c>
      <c r="M214" s="364">
        <v>9.1050000000000002E-3</v>
      </c>
      <c r="N214" s="364">
        <f>M214*0.5</f>
        <v>4.5525000000000001E-3</v>
      </c>
      <c r="O214" s="385"/>
    </row>
    <row r="215" spans="1:17" ht="12.75" x14ac:dyDescent="0.2">
      <c r="A215" s="12" t="s">
        <v>626</v>
      </c>
      <c r="B215" s="129"/>
      <c r="C215" s="51">
        <v>0</v>
      </c>
      <c r="D215" s="376">
        <v>0</v>
      </c>
      <c r="E215" s="376">
        <v>0</v>
      </c>
      <c r="F215" s="376">
        <v>0</v>
      </c>
      <c r="G215" s="376">
        <v>0</v>
      </c>
      <c r="H215" s="376">
        <v>0</v>
      </c>
      <c r="I215" s="376">
        <v>0</v>
      </c>
      <c r="J215" s="12">
        <v>0</v>
      </c>
      <c r="K215" s="12">
        <v>0</v>
      </c>
      <c r="L215" s="12">
        <v>0</v>
      </c>
      <c r="M215" s="368" t="s">
        <v>564</v>
      </c>
      <c r="N215" s="380"/>
      <c r="O215" s="380"/>
    </row>
    <row r="216" spans="1:17" ht="12.75" x14ac:dyDescent="0.2">
      <c r="A216" s="12" t="s">
        <v>627</v>
      </c>
      <c r="B216" s="129"/>
      <c r="C216" s="51">
        <v>0</v>
      </c>
      <c r="D216" s="376">
        <v>0</v>
      </c>
      <c r="E216" s="376">
        <v>0</v>
      </c>
      <c r="F216" s="376">
        <v>0</v>
      </c>
      <c r="G216" s="376">
        <v>0</v>
      </c>
      <c r="H216" s="376">
        <v>0</v>
      </c>
      <c r="I216" s="376">
        <v>0</v>
      </c>
      <c r="J216" s="12">
        <v>0</v>
      </c>
      <c r="K216" s="12">
        <v>0</v>
      </c>
      <c r="L216" s="12">
        <v>0</v>
      </c>
      <c r="M216" s="368" t="s">
        <v>564</v>
      </c>
      <c r="N216" s="380"/>
      <c r="O216" s="380"/>
    </row>
    <row r="217" spans="1:17" ht="12.75" x14ac:dyDescent="0.2">
      <c r="A217" s="12" t="s">
        <v>630</v>
      </c>
      <c r="B217" s="62">
        <f>B214</f>
        <v>28.625736550969492</v>
      </c>
      <c r="C217" s="51">
        <v>29.96529</v>
      </c>
      <c r="D217" s="376">
        <v>28.555005999999999</v>
      </c>
      <c r="E217" s="376">
        <v>29.662451000000001</v>
      </c>
      <c r="F217" s="376">
        <v>30.768394000000001</v>
      </c>
      <c r="G217" s="376">
        <v>31.834842999999999</v>
      </c>
      <c r="H217" s="376">
        <v>32.824139000000002</v>
      </c>
      <c r="I217" s="376">
        <v>33.740803</v>
      </c>
      <c r="J217" s="51">
        <f>SUM(J213:J216)</f>
        <v>34.515852803731562</v>
      </c>
      <c r="K217" s="51">
        <f>SUM(K213:K216)</f>
        <v>35.308706042617423</v>
      </c>
      <c r="L217" s="51">
        <f>SUM(L213:L216)</f>
        <v>36.119771673993952</v>
      </c>
      <c r="M217" s="364">
        <v>9.1050000000000002E-3</v>
      </c>
      <c r="N217" s="364">
        <f>M217*0.5</f>
        <v>4.5525000000000001E-3</v>
      </c>
      <c r="O217" s="380"/>
    </row>
    <row r="218" spans="1:17" x14ac:dyDescent="0.2">
      <c r="A218" s="12" t="s">
        <v>631</v>
      </c>
      <c r="B218" s="129"/>
      <c r="N218" s="380"/>
      <c r="O218" s="380"/>
    </row>
    <row r="219" spans="1:17" ht="12.75" x14ac:dyDescent="0.2">
      <c r="A219" s="12" t="s">
        <v>624</v>
      </c>
      <c r="B219" s="129">
        <v>10.9795475006104</v>
      </c>
      <c r="C219" s="51">
        <v>13.483807000000001</v>
      </c>
      <c r="D219" s="376">
        <v>13.900589999999999</v>
      </c>
      <c r="E219" s="376">
        <v>14.650613</v>
      </c>
      <c r="F219" s="376">
        <v>15.41818</v>
      </c>
      <c r="G219" s="376">
        <v>16.184425000000001</v>
      </c>
      <c r="H219" s="376">
        <v>16.929455000000001</v>
      </c>
      <c r="I219" s="376">
        <v>17.654305000000001</v>
      </c>
      <c r="J219" s="51">
        <f t="shared" ref="J219:L222" si="2">I219*(1+$N219)^5</f>
        <v>18.191548504386521</v>
      </c>
      <c r="K219" s="51">
        <f t="shared" si="2"/>
        <v>18.74514102862998</v>
      </c>
      <c r="L219" s="51">
        <f t="shared" si="2"/>
        <v>19.315580094707101</v>
      </c>
      <c r="M219" s="364">
        <v>1.2026999999999999E-2</v>
      </c>
      <c r="N219" s="364">
        <f>M219*0.5</f>
        <v>6.0134999999999997E-3</v>
      </c>
      <c r="O219" s="380"/>
    </row>
    <row r="220" spans="1:17" ht="12.75" x14ac:dyDescent="0.2">
      <c r="A220" s="12" t="s">
        <v>625</v>
      </c>
      <c r="B220" s="129">
        <v>111.41641998291</v>
      </c>
      <c r="C220" s="51">
        <v>101.66235399999999</v>
      </c>
      <c r="D220" s="376">
        <v>98.042350999999996</v>
      </c>
      <c r="E220" s="376">
        <v>103.07868999999999</v>
      </c>
      <c r="F220" s="376">
        <v>108.173149</v>
      </c>
      <c r="G220" s="376">
        <v>113.21350099999999</v>
      </c>
      <c r="H220" s="376">
        <v>118.053535</v>
      </c>
      <c r="I220" s="376">
        <v>122.70906100000001</v>
      </c>
      <c r="J220" s="51">
        <f t="shared" si="2"/>
        <v>126.21875094110908</v>
      </c>
      <c r="K220" s="51">
        <f t="shared" si="2"/>
        <v>129.82882404367615</v>
      </c>
      <c r="L220" s="51">
        <f t="shared" si="2"/>
        <v>133.54215143856274</v>
      </c>
      <c r="M220" s="364">
        <v>1.1311999999999999E-2</v>
      </c>
      <c r="N220" s="364">
        <f>M220*0.5</f>
        <v>5.6559999999999996E-3</v>
      </c>
      <c r="O220" s="380"/>
    </row>
    <row r="221" spans="1:17" ht="12.75" x14ac:dyDescent="0.2">
      <c r="A221" s="12" t="s">
        <v>626</v>
      </c>
      <c r="B221" s="62">
        <f>C221*(1-M221)^5</f>
        <v>0.79399103349736322</v>
      </c>
      <c r="C221" s="51">
        <v>1.045701</v>
      </c>
      <c r="D221" s="376">
        <v>1.3702049999999999</v>
      </c>
      <c r="E221" s="376">
        <v>1.72512</v>
      </c>
      <c r="F221" s="376">
        <v>2.154487</v>
      </c>
      <c r="G221" s="376">
        <v>2.633267</v>
      </c>
      <c r="H221" s="376">
        <v>3.1661229999999998</v>
      </c>
      <c r="I221" s="376">
        <v>3.743725</v>
      </c>
      <c r="J221" s="51">
        <f t="shared" si="2"/>
        <v>4.2728473588215508</v>
      </c>
      <c r="K221" s="51">
        <f t="shared" si="2"/>
        <v>4.8767536482482834</v>
      </c>
      <c r="L221" s="51">
        <f t="shared" si="2"/>
        <v>5.566013514758974</v>
      </c>
      <c r="M221" s="364">
        <v>5.3585000000000001E-2</v>
      </c>
      <c r="N221" s="364">
        <f>M221*0.5</f>
        <v>2.67925E-2</v>
      </c>
      <c r="O221" s="380"/>
    </row>
    <row r="222" spans="1:17" ht="12.75" x14ac:dyDescent="0.2">
      <c r="A222" s="12" t="s">
        <v>627</v>
      </c>
      <c r="B222" s="129"/>
      <c r="C222" s="51">
        <v>0.100942</v>
      </c>
      <c r="D222" s="376">
        <v>0.106062</v>
      </c>
      <c r="E222" s="376">
        <v>0.11178399999999999</v>
      </c>
      <c r="F222" s="376">
        <v>0.117641</v>
      </c>
      <c r="G222" s="376">
        <v>0.123487</v>
      </c>
      <c r="H222" s="376">
        <v>0.12917200000000001</v>
      </c>
      <c r="I222" s="376">
        <v>0.13470199999999999</v>
      </c>
      <c r="J222" s="51">
        <f t="shared" si="2"/>
        <v>0.13880115737424228</v>
      </c>
      <c r="K222" s="51">
        <f t="shared" si="2"/>
        <v>0.14302505744850988</v>
      </c>
      <c r="L222" s="51">
        <f t="shared" si="2"/>
        <v>0.14737749630570196</v>
      </c>
      <c r="M222" s="364">
        <v>1.2026999999999999E-2</v>
      </c>
      <c r="N222" s="364">
        <f>M222*0.5</f>
        <v>6.0134999999999997E-3</v>
      </c>
      <c r="O222" s="380"/>
    </row>
    <row r="223" spans="1:17" ht="12.75" x14ac:dyDescent="0.2">
      <c r="A223" s="12" t="s">
        <v>632</v>
      </c>
      <c r="B223" s="62">
        <f>B219+B220+B221</f>
        <v>123.18995851701776</v>
      </c>
      <c r="C223" s="51">
        <v>116.29280900000001</v>
      </c>
      <c r="D223" s="376">
        <v>113.41920500000001</v>
      </c>
      <c r="E223" s="376">
        <v>119.566208</v>
      </c>
      <c r="F223" s="376">
        <v>125.863457</v>
      </c>
      <c r="G223" s="376">
        <v>132.15467799999999</v>
      </c>
      <c r="H223" s="376">
        <v>138.27827500000001</v>
      </c>
      <c r="I223" s="376">
        <v>144.241806</v>
      </c>
      <c r="J223" s="51">
        <f>SUM(J219:J222)</f>
        <v>148.82194796169142</v>
      </c>
      <c r="K223" s="51">
        <f>SUM(K219:K222)</f>
        <v>153.59374377800293</v>
      </c>
      <c r="L223" s="51">
        <f>SUM(L219:L222)</f>
        <v>158.57112254433449</v>
      </c>
      <c r="M223" s="364">
        <v>1.2038999999999999E-2</v>
      </c>
      <c r="N223" s="364">
        <f>M223*0.5</f>
        <v>6.0194999999999997E-3</v>
      </c>
      <c r="O223" s="380"/>
    </row>
    <row r="224" spans="1:17" ht="15" x14ac:dyDescent="0.25">
      <c r="A224" s="13" t="s">
        <v>633</v>
      </c>
      <c r="B224" s="62">
        <f>B211+B217+B223</f>
        <v>246.81586966968212</v>
      </c>
      <c r="C224" s="61">
        <v>252.27775600000001</v>
      </c>
      <c r="D224" s="379">
        <v>241.90026900000001</v>
      </c>
      <c r="E224" s="379">
        <v>250.87558000000001</v>
      </c>
      <c r="F224" s="379">
        <v>260.368988</v>
      </c>
      <c r="G224" s="379">
        <v>269.95623799999998</v>
      </c>
      <c r="H224" s="379">
        <v>279.371735</v>
      </c>
      <c r="I224" s="379">
        <v>288.42456099999998</v>
      </c>
      <c r="J224" s="61">
        <f>J211+J217+J223</f>
        <v>303.13584711375586</v>
      </c>
      <c r="K224" s="61">
        <f>K211+K217+K223</f>
        <v>320.04837765585177</v>
      </c>
      <c r="L224" s="61">
        <f>L211+L217+L223</f>
        <v>339.4187231804184</v>
      </c>
      <c r="M224" s="366">
        <v>8.5120000000000005E-3</v>
      </c>
      <c r="N224" s="364">
        <f>EXP(LN(L224/H224)/20)-1</f>
        <v>9.7820968820896415E-3</v>
      </c>
      <c r="O224" s="380"/>
    </row>
    <row r="225" spans="1:17" x14ac:dyDescent="0.2">
      <c r="A225" s="13" t="s">
        <v>634</v>
      </c>
      <c r="B225" s="61">
        <f>B211-B209*(1-'Rail&amp;Bus2'!$I30/'Rail&amp;Bus2'!$I10)+'AEO Data'!B217+'AEO Data'!B223-'AEO Data'!B221*(1-'Rail&amp;Bus2'!$I30/'Rail&amp;Bus2'!$I10)</f>
        <v>245.9814136589813</v>
      </c>
      <c r="C225" s="61">
        <f>C211-C209*(1-'Rail&amp;Bus2'!$I30/'Rail&amp;Bus2'!$I10)+'AEO Data'!C217+'AEO Data'!C223-'AEO Data'!C221*(1-'Rail&amp;Bus2'!$I30/'Rail&amp;Bus2'!$I10)</f>
        <v>250.94158458454106</v>
      </c>
      <c r="D225" s="61">
        <f>D211-D209*(1-'Rail&amp;Bus2'!$I30/'Rail&amp;Bus2'!$I10)+'AEO Data'!D217+'AEO Data'!D223-'AEO Data'!D221*(1-'Rail&amp;Bus2'!$I30/'Rail&amp;Bus2'!$I10)</f>
        <v>238.9589065169082</v>
      </c>
      <c r="E225" s="61">
        <f>E211-E209*(1-'Rail&amp;Bus2'!$I30/'Rail&amp;Bus2'!$I10)+'AEO Data'!E217+'AEO Data'!E223-'AEO Data'!E221*(1-'Rail&amp;Bus2'!$I30/'Rail&amp;Bus2'!$I10)</f>
        <v>246.36346133333333</v>
      </c>
      <c r="F225" s="61">
        <f>F211-F209*(1-'Rail&amp;Bus2'!$I30/'Rail&amp;Bus2'!$I10)+'AEO Data'!F217+'AEO Data'!F223-'AEO Data'!F221*(1-'Rail&amp;Bus2'!$I30/'Rail&amp;Bus2'!$I10)</f>
        <v>254.07568112077291</v>
      </c>
      <c r="G225" s="61">
        <f>G211-G209*(1-'Rail&amp;Bus2'!$I30/'Rail&amp;Bus2'!$I10)+'AEO Data'!G217+'AEO Data'!G223-'AEO Data'!G221*(1-'Rail&amp;Bus2'!$I30/'Rail&amp;Bus2'!$I10)</f>
        <v>261.79681122222223</v>
      </c>
      <c r="H225" s="61">
        <f>H211-H209*(1-'Rail&amp;Bus2'!$I30/'Rail&amp;Bus2'!$I10)+'AEO Data'!H217+'AEO Data'!H223-'AEO Data'!H221*(1-'Rail&amp;Bus2'!$I30/'Rail&amp;Bus2'!$I10)</f>
        <v>269.18722688405796</v>
      </c>
      <c r="I225" s="61">
        <f>I211-I209*(1-'Rail&amp;Bus2'!$I30/'Rail&amp;Bus2'!$I10)+'AEO Data'!I217+'AEO Data'!I223-'AEO Data'!I221*(1-'Rail&amp;Bus2'!$I30/'Rail&amp;Bus2'!$I10)</f>
        <v>276.32222321739135</v>
      </c>
      <c r="J225" s="61">
        <f>J211-J209*(1-'Rail&amp;Bus2'!$I30/'Rail&amp;Bus2'!$I10)+'AEO Data'!J217+'AEO Data'!J223-'AEO Data'!J221*(1-'Rail&amp;Bus2'!$I30/'Rail&amp;Bus2'!$I10)</f>
        <v>289.21043526833211</v>
      </c>
      <c r="K225" s="61">
        <f>K211-K209*(1-'Rail&amp;Bus2'!$I30/'Rail&amp;Bus2'!$I10)+'AEO Data'!K217+'AEO Data'!K223-'AEO Data'!K221*(1-'Rail&amp;Bus2'!$I30/'Rail&amp;Bus2'!$I10)</f>
        <v>304.0252309025708</v>
      </c>
      <c r="L225" s="61">
        <f>L211-L209*(1-'Rail&amp;Bus2'!$I30/'Rail&amp;Bus2'!$I10)+'AEO Data'!L217+'AEO Data'!L223-'AEO Data'!L221*(1-'Rail&amp;Bus2'!$I30/'Rail&amp;Bus2'!$I10)</f>
        <v>320.98177902331793</v>
      </c>
      <c r="N225" s="380"/>
      <c r="O225" s="380"/>
    </row>
    <row r="226" spans="1:17" x14ac:dyDescent="0.2">
      <c r="A226" s="12" t="s">
        <v>624</v>
      </c>
      <c r="B226" s="51">
        <f>B207+B213+B219</f>
        <v>11.176256388425875</v>
      </c>
      <c r="C226" s="51">
        <f t="shared" ref="C226:L226" si="3">C207+C213+C219</f>
        <v>25.046105000000001</v>
      </c>
      <c r="D226" s="51">
        <f t="shared" si="3"/>
        <v>25.043461000000001</v>
      </c>
      <c r="E226" s="51">
        <f t="shared" si="3"/>
        <v>25.679766000000001</v>
      </c>
      <c r="F226" s="51">
        <f t="shared" si="3"/>
        <v>26.364858999999999</v>
      </c>
      <c r="G226" s="51">
        <f t="shared" si="3"/>
        <v>27.062187999999999</v>
      </c>
      <c r="H226" s="51">
        <f t="shared" si="3"/>
        <v>27.735435000000003</v>
      </c>
      <c r="I226" s="51">
        <f t="shared" si="3"/>
        <v>28.384884</v>
      </c>
      <c r="J226" s="51">
        <f t="shared" si="3"/>
        <v>28.925293398745016</v>
      </c>
      <c r="K226" s="51">
        <f t="shared" si="3"/>
        <v>29.482052751396015</v>
      </c>
      <c r="L226" s="51">
        <f t="shared" si="3"/>
        <v>30.055659580205301</v>
      </c>
      <c r="N226" s="380"/>
      <c r="O226" s="380">
        <f>C226/C$230</f>
        <v>9.927987392055887E-2</v>
      </c>
      <c r="P226" s="130">
        <f>H226/H$230</f>
        <v>9.9277894312483878E-2</v>
      </c>
      <c r="Q226" s="130">
        <f>L226/L$230</f>
        <v>8.8550387847134704E-2</v>
      </c>
    </row>
    <row r="227" spans="1:17" x14ac:dyDescent="0.2">
      <c r="A227" s="12" t="s">
        <v>625</v>
      </c>
      <c r="B227" s="51">
        <f t="shared" ref="B227:L229" si="4">B208+B214+B220</f>
        <v>230.0676005646412</v>
      </c>
      <c r="C227" s="51">
        <f t="shared" si="4"/>
        <v>218.13503699999998</v>
      </c>
      <c r="D227" s="51">
        <f t="shared" si="4"/>
        <v>197.03779399999999</v>
      </c>
      <c r="E227" s="51">
        <f t="shared" si="4"/>
        <v>194.88350600000001</v>
      </c>
      <c r="F227" s="51">
        <f t="shared" si="4"/>
        <v>191.79366199999998</v>
      </c>
      <c r="G227" s="51">
        <f t="shared" si="4"/>
        <v>188.21820099999999</v>
      </c>
      <c r="H227" s="51">
        <f t="shared" si="4"/>
        <v>183.434257</v>
      </c>
      <c r="I227" s="51">
        <f t="shared" si="4"/>
        <v>179.02750800000001</v>
      </c>
      <c r="J227" s="51">
        <f t="shared" si="4"/>
        <v>181.02121150820136</v>
      </c>
      <c r="K227" s="51">
        <f t="shared" si="4"/>
        <v>183.36558145181459</v>
      </c>
      <c r="L227" s="51">
        <f t="shared" si="4"/>
        <v>186.04030733824101</v>
      </c>
      <c r="N227" s="380"/>
      <c r="O227" s="380">
        <f>C227/C$230</f>
        <v>0.86466214890564586</v>
      </c>
      <c r="P227" s="130">
        <f>H227/H$230</f>
        <v>0.65659567912798211</v>
      </c>
      <c r="Q227" s="130">
        <f>L227/L$230</f>
        <v>0.54811445165725603</v>
      </c>
    </row>
    <row r="228" spans="1:17" x14ac:dyDescent="0.2">
      <c r="A228" s="12" t="s">
        <v>626</v>
      </c>
      <c r="B228" s="51">
        <f t="shared" si="4"/>
        <v>5.5720127166150322</v>
      </c>
      <c r="C228" s="51">
        <f t="shared" si="4"/>
        <v>8.9222570000000001</v>
      </c>
      <c r="D228" s="51">
        <f t="shared" si="4"/>
        <v>19.640643999999998</v>
      </c>
      <c r="E228" s="51">
        <f t="shared" si="4"/>
        <v>30.129401999999999</v>
      </c>
      <c r="F228" s="51">
        <f t="shared" si="4"/>
        <v>42.022949000000004</v>
      </c>
      <c r="G228" s="51">
        <f t="shared" si="4"/>
        <v>54.483941000000002</v>
      </c>
      <c r="H228" s="51">
        <f t="shared" si="4"/>
        <v>68.006057999999996</v>
      </c>
      <c r="I228" s="51">
        <f t="shared" si="4"/>
        <v>80.812457999999992</v>
      </c>
      <c r="J228" s="51">
        <f t="shared" si="4"/>
        <v>92.985814580732679</v>
      </c>
      <c r="K228" s="51">
        <f t="shared" si="4"/>
        <v>106.99327025577936</v>
      </c>
      <c r="L228" s="51">
        <f t="shared" si="4"/>
        <v>123.11120775870288</v>
      </c>
      <c r="N228" s="380"/>
      <c r="O228" s="380">
        <f>C228/C$230</f>
        <v>3.5366798551983381E-2</v>
      </c>
      <c r="P228" s="130">
        <f>H228/H$230</f>
        <v>0.24342499905743853</v>
      </c>
      <c r="Q228" s="130">
        <f>L228/L$230</f>
        <v>0.36271189345457228</v>
      </c>
    </row>
    <row r="229" spans="1:17" x14ac:dyDescent="0.2">
      <c r="A229" s="12" t="s">
        <v>627</v>
      </c>
      <c r="B229" s="51">
        <f t="shared" si="4"/>
        <v>0</v>
      </c>
      <c r="C229" s="51">
        <f t="shared" si="4"/>
        <v>0.17436600000000002</v>
      </c>
      <c r="D229" s="51">
        <f t="shared" si="4"/>
        <v>0.178366</v>
      </c>
      <c r="E229" s="51">
        <f t="shared" si="4"/>
        <v>0.182921</v>
      </c>
      <c r="F229" s="51">
        <f t="shared" si="4"/>
        <v>0.18750600000000001</v>
      </c>
      <c r="G229" s="51">
        <f t="shared" si="4"/>
        <v>0.191917</v>
      </c>
      <c r="H229" s="51">
        <f t="shared" si="4"/>
        <v>0.195965</v>
      </c>
      <c r="I229" s="51">
        <f t="shared" si="4"/>
        <v>0.199708</v>
      </c>
      <c r="J229" s="51">
        <f t="shared" si="4"/>
        <v>0.20352762607677288</v>
      </c>
      <c r="K229" s="51">
        <f t="shared" si="4"/>
        <v>0.20747319686178975</v>
      </c>
      <c r="L229" s="51">
        <f t="shared" si="4"/>
        <v>0.21154850326921282</v>
      </c>
      <c r="N229" s="380"/>
      <c r="O229" s="380">
        <f>C229/C$230</f>
        <v>6.9116673015753025E-4</v>
      </c>
      <c r="P229" s="130">
        <f>H229/H$230</f>
        <v>7.0144897885848561E-4</v>
      </c>
      <c r="Q229" s="130">
        <f>L229/L$230</f>
        <v>6.2326704103699069E-4</v>
      </c>
    </row>
    <row r="230" spans="1:17" x14ac:dyDescent="0.2">
      <c r="B230" s="51">
        <f>B211+B217+B223</f>
        <v>246.81586966968212</v>
      </c>
      <c r="C230" s="51">
        <f t="shared" ref="C230:L230" si="5">C211+C217+C223</f>
        <v>252.27776800000001</v>
      </c>
      <c r="D230" s="51">
        <f t="shared" si="5"/>
        <v>241.90025900000001</v>
      </c>
      <c r="E230" s="51">
        <f t="shared" si="5"/>
        <v>250.87559399999998</v>
      </c>
      <c r="F230" s="51">
        <f t="shared" si="5"/>
        <v>260.36897299999998</v>
      </c>
      <c r="G230" s="51">
        <f t="shared" si="5"/>
        <v>269.95624199999997</v>
      </c>
      <c r="H230" s="51">
        <f t="shared" si="5"/>
        <v>279.37170900000001</v>
      </c>
      <c r="I230" s="51">
        <f t="shared" si="5"/>
        <v>288.42457200000001</v>
      </c>
      <c r="J230" s="51">
        <f t="shared" si="5"/>
        <v>303.13584711375586</v>
      </c>
      <c r="K230" s="51">
        <f t="shared" si="5"/>
        <v>320.04837765585177</v>
      </c>
      <c r="L230" s="51">
        <f t="shared" si="5"/>
        <v>339.4187231804184</v>
      </c>
      <c r="N230" s="380"/>
      <c r="O230" s="380"/>
    </row>
    <row r="231" spans="1:17" x14ac:dyDescent="0.2">
      <c r="A231" s="13" t="s">
        <v>635</v>
      </c>
      <c r="B231" s="51"/>
      <c r="N231" s="380"/>
      <c r="O231" s="380"/>
    </row>
    <row r="232" spans="1:17" ht="12.75" x14ac:dyDescent="0.2">
      <c r="A232" s="12" t="s">
        <v>636</v>
      </c>
      <c r="B232" s="129">
        <v>1.36828517913818</v>
      </c>
      <c r="C232" s="51">
        <v>1.5326470000000001</v>
      </c>
      <c r="D232" s="376">
        <v>1.924868</v>
      </c>
      <c r="E232" s="376">
        <v>1.7826519999999999</v>
      </c>
      <c r="F232" s="376">
        <v>1.8393250000000001</v>
      </c>
      <c r="G232" s="376">
        <v>1.8539099999999999</v>
      </c>
      <c r="H232" s="376">
        <v>1.897953</v>
      </c>
      <c r="I232" s="376">
        <v>1.955946</v>
      </c>
      <c r="J232" s="51">
        <f>I232*(1+$M232)^5</f>
        <v>2.0811844544689553</v>
      </c>
      <c r="K232" s="51">
        <f>J232*(1+$M232)^5</f>
        <v>2.2144418780085151</v>
      </c>
      <c r="L232" s="51">
        <f>K232*(1+$M232)^5</f>
        <v>2.356231722059996</v>
      </c>
      <c r="M232" s="364">
        <v>1.2489999999999999E-2</v>
      </c>
      <c r="N232" s="381"/>
      <c r="O232" s="381"/>
    </row>
    <row r="233" spans="1:17" ht="12.75" x14ac:dyDescent="0.2">
      <c r="A233" s="12" t="s">
        <v>637</v>
      </c>
      <c r="B233" s="129">
        <v>12.019849777221699</v>
      </c>
      <c r="C233" s="51">
        <v>13.532938</v>
      </c>
      <c r="D233" s="376">
        <v>15.645352000000001</v>
      </c>
      <c r="E233" s="376">
        <v>14.504189</v>
      </c>
      <c r="F233" s="376">
        <v>14.969709</v>
      </c>
      <c r="G233" s="376">
        <v>15.087745999999999</v>
      </c>
      <c r="H233" s="376">
        <v>15.447141999999999</v>
      </c>
      <c r="I233" s="376">
        <v>15.918385000000001</v>
      </c>
      <c r="J233" s="51">
        <f t="shared" ref="J233:L237" si="6">I233*(1+$M233)^5</f>
        <v>16.93754929864528</v>
      </c>
      <c r="K233" s="51">
        <f t="shared" si="6"/>
        <v>18.021964931997761</v>
      </c>
      <c r="L233" s="51">
        <f t="shared" si="6"/>
        <v>19.175809574537148</v>
      </c>
      <c r="M233" s="364">
        <v>1.2489E-2</v>
      </c>
      <c r="N233" s="381"/>
      <c r="O233" s="381"/>
    </row>
    <row r="234" spans="1:17" ht="12.75" x14ac:dyDescent="0.2">
      <c r="A234" s="12" t="s">
        <v>638</v>
      </c>
      <c r="B234" s="129">
        <v>14.6827716827393</v>
      </c>
      <c r="C234" s="51">
        <v>14.905403</v>
      </c>
      <c r="D234" s="376">
        <v>15.049543</v>
      </c>
      <c r="E234" s="376">
        <v>16.083096000000001</v>
      </c>
      <c r="F234" s="376">
        <v>16.900376999999999</v>
      </c>
      <c r="G234" s="376">
        <v>17.791706000000001</v>
      </c>
      <c r="H234" s="376">
        <v>18.633559999999999</v>
      </c>
      <c r="I234" s="376">
        <v>19.735019999999999</v>
      </c>
      <c r="J234" s="51">
        <f t="shared" si="6"/>
        <v>20.79844664931235</v>
      </c>
      <c r="K234" s="51">
        <f t="shared" si="6"/>
        <v>21.919176318255168</v>
      </c>
      <c r="L234" s="51">
        <f t="shared" si="6"/>
        <v>23.100296794839874</v>
      </c>
      <c r="M234" s="364">
        <v>1.0552000000000001E-2</v>
      </c>
      <c r="N234" s="381"/>
      <c r="O234" s="381"/>
    </row>
    <row r="235" spans="1:17" ht="12.75" x14ac:dyDescent="0.2">
      <c r="A235" s="12" t="s">
        <v>639</v>
      </c>
      <c r="B235" s="129">
        <v>4.6282238960266104</v>
      </c>
      <c r="C235" s="51">
        <v>6.2289719999999997</v>
      </c>
      <c r="D235" s="376">
        <v>6.0705520000000002</v>
      </c>
      <c r="E235" s="376">
        <v>6.5991879999999998</v>
      </c>
      <c r="F235" s="376">
        <v>6.9609680000000003</v>
      </c>
      <c r="G235" s="376">
        <v>7.3803830000000001</v>
      </c>
      <c r="H235" s="376">
        <v>7.778664</v>
      </c>
      <c r="I235" s="376">
        <v>8.3944659999999995</v>
      </c>
      <c r="J235" s="51">
        <f t="shared" si="6"/>
        <v>8.8760824373346896</v>
      </c>
      <c r="K235" s="51">
        <f t="shared" si="6"/>
        <v>9.3853306969569381</v>
      </c>
      <c r="L235" s="51">
        <f t="shared" si="6"/>
        <v>9.9237961018410967</v>
      </c>
      <c r="M235" s="364">
        <v>1.1220000000000001E-2</v>
      </c>
      <c r="N235" s="381"/>
      <c r="O235" s="381"/>
    </row>
    <row r="236" spans="1:17" ht="12.75" x14ac:dyDescent="0.2">
      <c r="A236" s="12" t="s">
        <v>640</v>
      </c>
      <c r="B236" s="129">
        <v>9.2629423141479492</v>
      </c>
      <c r="C236" s="51">
        <v>11.359215000000001</v>
      </c>
      <c r="D236" s="376">
        <v>9.9248899999999995</v>
      </c>
      <c r="E236" s="376">
        <v>11.122033999999999</v>
      </c>
      <c r="F236" s="376">
        <v>11.820027</v>
      </c>
      <c r="G236" s="376">
        <v>12.692145</v>
      </c>
      <c r="H236" s="376">
        <v>13.443154</v>
      </c>
      <c r="I236" s="376">
        <v>14.499079</v>
      </c>
      <c r="J236" s="51">
        <f t="shared" si="6"/>
        <v>15.397607662714559</v>
      </c>
      <c r="K236" s="51">
        <f t="shared" si="6"/>
        <v>16.35181943176433</v>
      </c>
      <c r="L236" s="51">
        <f t="shared" si="6"/>
        <v>17.36516506888881</v>
      </c>
      <c r="M236" s="364">
        <v>1.2097999999999999E-2</v>
      </c>
      <c r="N236" s="381"/>
      <c r="O236" s="381"/>
    </row>
    <row r="237" spans="1:17" ht="15" x14ac:dyDescent="0.25">
      <c r="A237" s="13" t="s">
        <v>641</v>
      </c>
      <c r="B237" s="129">
        <v>41.962074279785199</v>
      </c>
      <c r="C237" s="61">
        <v>47.559176999999998</v>
      </c>
      <c r="D237" s="379">
        <v>48.615208000000003</v>
      </c>
      <c r="E237" s="379">
        <v>50.091163999999999</v>
      </c>
      <c r="F237" s="379">
        <v>52.490406</v>
      </c>
      <c r="G237" s="379">
        <v>54.805889000000001</v>
      </c>
      <c r="H237" s="379">
        <v>57.200470000000003</v>
      </c>
      <c r="I237" s="379">
        <v>60.502898999999999</v>
      </c>
      <c r="J237" s="51">
        <f t="shared" si="6"/>
        <v>64.103934203089636</v>
      </c>
      <c r="K237" s="51">
        <f t="shared" si="6"/>
        <v>67.91929722762616</v>
      </c>
      <c r="L237" s="51">
        <f t="shared" si="6"/>
        <v>71.961744520701984</v>
      </c>
      <c r="M237" s="366">
        <v>1.163E-2</v>
      </c>
      <c r="N237" s="381"/>
      <c r="O237" s="378"/>
    </row>
    <row r="238" spans="1:17" x14ac:dyDescent="0.2">
      <c r="A238" s="12" t="s">
        <v>642</v>
      </c>
      <c r="B238" s="27">
        <f>B232/B233</f>
        <v>0.11383546421113835</v>
      </c>
      <c r="C238" s="27">
        <f t="shared" ref="C238:I238" si="7">C232/C233</f>
        <v>0.11325308665420622</v>
      </c>
      <c r="D238" s="27">
        <f t="shared" si="7"/>
        <v>0.12303130028650042</v>
      </c>
      <c r="E238" s="27">
        <f t="shared" si="7"/>
        <v>0.12290601011886979</v>
      </c>
      <c r="F238" s="27">
        <f t="shared" si="7"/>
        <v>0.12286978992043199</v>
      </c>
      <c r="G238" s="27">
        <f t="shared" si="7"/>
        <v>0.12287521277200716</v>
      </c>
      <c r="H238" s="27">
        <f t="shared" si="7"/>
        <v>0.12286758288361692</v>
      </c>
      <c r="I238" s="27">
        <f t="shared" si="7"/>
        <v>0.12287339450578685</v>
      </c>
      <c r="J238" s="51"/>
      <c r="K238" s="51"/>
      <c r="L238" s="51"/>
      <c r="M238" s="386">
        <f>AVERAGE(B238:I238)</f>
        <v>0.1205639801690697</v>
      </c>
      <c r="N238" s="387" t="s">
        <v>643</v>
      </c>
      <c r="O238" s="17"/>
      <c r="P238" s="17"/>
    </row>
    <row r="239" spans="1:17" x14ac:dyDescent="0.2">
      <c r="A239" s="12" t="s">
        <v>644</v>
      </c>
      <c r="B239" s="27">
        <f>B236/(B235+B236)</f>
        <v>0.66682250964381407</v>
      </c>
      <c r="C239" s="27">
        <f t="shared" ref="C239:L239" si="8">C236/(C235+C236)</f>
        <v>0.64584342888780977</v>
      </c>
      <c r="D239" s="27">
        <f t="shared" si="8"/>
        <v>0.62048238491940388</v>
      </c>
      <c r="E239" s="27">
        <f t="shared" si="8"/>
        <v>0.62761100786390467</v>
      </c>
      <c r="F239" s="27">
        <f t="shared" si="8"/>
        <v>0.62936106420346738</v>
      </c>
      <c r="G239" s="27">
        <f t="shared" si="8"/>
        <v>0.63231422569195073</v>
      </c>
      <c r="H239" s="27">
        <f t="shared" si="8"/>
        <v>0.63345911269241872</v>
      </c>
      <c r="I239" s="27">
        <f t="shared" si="8"/>
        <v>0.63332607510108196</v>
      </c>
      <c r="J239" s="27">
        <f>J236/(J235+J236)</f>
        <v>0.6343332060041138</v>
      </c>
      <c r="K239" s="27">
        <f t="shared" si="8"/>
        <v>0.63533916342651253</v>
      </c>
      <c r="L239" s="27">
        <f t="shared" si="8"/>
        <v>0.63634393996333793</v>
      </c>
      <c r="M239" s="130"/>
      <c r="N239" s="388"/>
      <c r="O239" s="17"/>
      <c r="P239" s="17"/>
    </row>
    <row r="240" spans="1:17" ht="15" x14ac:dyDescent="0.25">
      <c r="A240" s="12" t="s">
        <v>645</v>
      </c>
      <c r="B240" s="129">
        <v>238.76042175293</v>
      </c>
      <c r="C240" s="61">
        <v>254.235229</v>
      </c>
      <c r="D240" s="379">
        <v>242.32740799999999</v>
      </c>
      <c r="E240" s="379">
        <v>253.949341</v>
      </c>
      <c r="F240" s="379">
        <v>263.08783</v>
      </c>
      <c r="G240" s="379">
        <v>271.47833300000002</v>
      </c>
      <c r="H240" s="379">
        <v>278.05593900000002</v>
      </c>
      <c r="I240" s="379">
        <v>282.41995200000002</v>
      </c>
      <c r="J240" s="249"/>
      <c r="K240" s="17"/>
      <c r="L240" s="17"/>
      <c r="M240" s="17"/>
      <c r="N240" s="17"/>
      <c r="O240" s="17"/>
      <c r="P240" s="17"/>
    </row>
    <row r="241" spans="1:20" ht="12.75" x14ac:dyDescent="0.2">
      <c r="A241" s="12" t="s">
        <v>646</v>
      </c>
      <c r="B241" s="129"/>
      <c r="C241" s="51">
        <v>206.328171</v>
      </c>
      <c r="D241" s="376">
        <v>199.05697599999999</v>
      </c>
      <c r="E241" s="376">
        <v>205.48741100000001</v>
      </c>
      <c r="F241" s="376">
        <v>210.385254</v>
      </c>
      <c r="G241" s="376">
        <v>213.90718100000001</v>
      </c>
      <c r="H241" s="376">
        <v>215.80641199999999</v>
      </c>
      <c r="I241" s="376">
        <v>215.47401400000001</v>
      </c>
      <c r="J241" s="249"/>
      <c r="K241" s="17"/>
      <c r="L241" s="17"/>
      <c r="M241" s="17"/>
      <c r="N241" s="17"/>
      <c r="O241" s="17"/>
      <c r="P241" s="17"/>
    </row>
    <row r="242" spans="1:20" ht="12.75" x14ac:dyDescent="0.2">
      <c r="A242" s="12" t="s">
        <v>647</v>
      </c>
      <c r="B242" s="129"/>
      <c r="C242" s="51">
        <v>47.907066</v>
      </c>
      <c r="D242" s="376">
        <v>43.270428000000003</v>
      </c>
      <c r="E242" s="376">
        <v>48.461933000000002</v>
      </c>
      <c r="F242" s="376">
        <v>52.702576000000001</v>
      </c>
      <c r="G242" s="376">
        <v>57.571167000000003</v>
      </c>
      <c r="H242" s="376">
        <v>62.249516</v>
      </c>
      <c r="I242" s="376">
        <v>66.945946000000006</v>
      </c>
      <c r="J242" s="249"/>
      <c r="K242" s="17"/>
      <c r="L242" s="17"/>
      <c r="M242" s="17"/>
      <c r="N242" s="17"/>
      <c r="O242" s="17"/>
      <c r="P242" s="17"/>
    </row>
    <row r="243" spans="1:20" ht="12.75" x14ac:dyDescent="0.2">
      <c r="B243" s="129"/>
      <c r="D243" s="389"/>
      <c r="E243" s="389"/>
      <c r="F243" s="389"/>
      <c r="G243" s="389"/>
      <c r="H243" s="389"/>
      <c r="I243" s="389"/>
      <c r="J243" s="249"/>
      <c r="K243" s="17"/>
      <c r="L243" s="17"/>
      <c r="M243" s="17"/>
      <c r="N243" s="17"/>
      <c r="O243" s="17"/>
      <c r="P243" s="17"/>
    </row>
    <row r="244" spans="1:20" ht="12.75" x14ac:dyDescent="0.2">
      <c r="A244" s="12" t="s">
        <v>648</v>
      </c>
      <c r="B244" s="129">
        <v>150.99998474121099</v>
      </c>
      <c r="C244" s="51">
        <v>140</v>
      </c>
      <c r="D244" s="376">
        <v>118.059967</v>
      </c>
      <c r="E244" s="376">
        <v>120.06572</v>
      </c>
      <c r="F244" s="376">
        <v>119.96706399999999</v>
      </c>
      <c r="G244" s="376">
        <v>121.44622</v>
      </c>
      <c r="H244" s="376">
        <v>121.83532700000001</v>
      </c>
      <c r="I244" s="376">
        <v>122.65640999999999</v>
      </c>
      <c r="J244" s="249"/>
      <c r="K244" s="17"/>
      <c r="L244" s="17"/>
      <c r="M244" s="17"/>
      <c r="N244" s="17"/>
      <c r="O244" s="17"/>
      <c r="P244" s="17"/>
    </row>
    <row r="245" spans="1:20" ht="12.75" x14ac:dyDescent="0.2">
      <c r="A245" s="12" t="s">
        <v>649</v>
      </c>
      <c r="B245" s="129">
        <v>601.73669433593795</v>
      </c>
      <c r="C245" s="51">
        <v>647.27655000000004</v>
      </c>
      <c r="D245" s="376">
        <v>707.91821300000004</v>
      </c>
      <c r="E245" s="376">
        <v>741.00201400000003</v>
      </c>
      <c r="F245" s="376">
        <v>764.92065400000001</v>
      </c>
      <c r="G245" s="376">
        <v>819.284851</v>
      </c>
      <c r="H245" s="376">
        <v>834.17938200000003</v>
      </c>
      <c r="I245" s="376">
        <v>846.31488000000002</v>
      </c>
      <c r="J245" s="249"/>
      <c r="K245" s="17"/>
      <c r="L245" s="17"/>
      <c r="M245" s="17"/>
      <c r="N245" s="17"/>
      <c r="O245" s="17"/>
      <c r="P245" s="17"/>
    </row>
    <row r="246" spans="1:20" ht="12.75" x14ac:dyDescent="0.2">
      <c r="B246" s="51"/>
      <c r="D246" s="389"/>
      <c r="E246" s="389"/>
      <c r="F246" s="389"/>
      <c r="G246" s="389"/>
      <c r="H246" s="389"/>
      <c r="I246" s="389"/>
      <c r="J246" s="249"/>
      <c r="K246" s="17"/>
      <c r="L246" s="17"/>
      <c r="M246" s="17"/>
      <c r="N246" s="17"/>
      <c r="O246" s="17"/>
      <c r="P246" s="17"/>
    </row>
    <row r="247" spans="1:20" ht="15" x14ac:dyDescent="0.25">
      <c r="A247" s="12" t="s">
        <v>650</v>
      </c>
      <c r="B247" s="129">
        <v>1972.51159667969</v>
      </c>
      <c r="C247" s="61">
        <v>2106.578125</v>
      </c>
      <c r="D247" s="379">
        <v>2010.980957</v>
      </c>
      <c r="E247" s="379">
        <v>2054.6286620000001</v>
      </c>
      <c r="F247" s="379">
        <v>2108.9658199999999</v>
      </c>
      <c r="G247" s="379">
        <v>2220.2490229999999</v>
      </c>
      <c r="H247" s="379">
        <v>2292.8022460000002</v>
      </c>
      <c r="I247" s="379">
        <v>2365.4570309999999</v>
      </c>
      <c r="J247" s="249"/>
      <c r="K247" s="17"/>
      <c r="L247" s="17"/>
      <c r="M247" s="17"/>
      <c r="N247" s="17"/>
      <c r="O247" s="17"/>
      <c r="P247" s="17"/>
    </row>
    <row r="248" spans="1:20" x14ac:dyDescent="0.2">
      <c r="I248" s="130"/>
      <c r="J248" s="249"/>
      <c r="K248" s="17"/>
      <c r="L248" s="17"/>
      <c r="M248" s="17"/>
      <c r="N248" s="17"/>
      <c r="O248" s="17"/>
      <c r="P248" s="17"/>
    </row>
    <row r="249" spans="1:20" ht="15" x14ac:dyDescent="0.25">
      <c r="A249" s="12" t="s">
        <v>651</v>
      </c>
      <c r="B249" s="129">
        <v>27899.853515625</v>
      </c>
      <c r="C249" s="61">
        <v>27586.464843999998</v>
      </c>
      <c r="D249" s="379">
        <v>26716.158202999999</v>
      </c>
      <c r="E249" s="379">
        <v>26413.951172000001</v>
      </c>
      <c r="F249" s="379">
        <v>25607.609375</v>
      </c>
      <c r="G249" s="379">
        <v>25092.625</v>
      </c>
      <c r="H249" s="379">
        <v>25111.738281000002</v>
      </c>
      <c r="I249" s="379">
        <v>25513.041015999999</v>
      </c>
      <c r="J249" s="249"/>
      <c r="K249" s="17"/>
      <c r="L249" s="17"/>
      <c r="M249" s="17"/>
      <c r="N249" s="17"/>
      <c r="O249" s="17"/>
      <c r="P249" s="17"/>
    </row>
    <row r="252" spans="1:20" ht="12.75" x14ac:dyDescent="0.2">
      <c r="A252" s="1" t="s">
        <v>652</v>
      </c>
    </row>
    <row r="253" spans="1:20" ht="15" x14ac:dyDescent="0.25">
      <c r="A253" s="55" t="s">
        <v>653</v>
      </c>
      <c r="N253" s="390"/>
      <c r="O253" s="391"/>
      <c r="P253" s="391"/>
      <c r="Q253" s="391"/>
      <c r="R253" s="391"/>
      <c r="S253" s="391"/>
      <c r="T253" s="391"/>
    </row>
    <row r="254" spans="1:20" ht="12.75" x14ac:dyDescent="0.2">
      <c r="B254" s="12" t="s">
        <v>508</v>
      </c>
      <c r="J254" s="56"/>
      <c r="K254" s="56" t="s">
        <v>654</v>
      </c>
      <c r="N254" s="392"/>
      <c r="O254"/>
      <c r="P254"/>
      <c r="Q254"/>
      <c r="R254"/>
      <c r="S254"/>
      <c r="T254"/>
    </row>
    <row r="255" spans="1:20" ht="15" x14ac:dyDescent="0.25">
      <c r="A255"/>
      <c r="B255" s="12">
        <v>2005</v>
      </c>
      <c r="C255" s="12">
        <v>2010</v>
      </c>
      <c r="D255" s="12">
        <v>2015</v>
      </c>
      <c r="E255" s="12">
        <v>2020</v>
      </c>
      <c r="F255" s="12">
        <v>2025</v>
      </c>
      <c r="G255" s="12">
        <v>2030</v>
      </c>
      <c r="H255" s="12">
        <v>2035</v>
      </c>
      <c r="I255" s="12">
        <v>2040</v>
      </c>
      <c r="J255" s="56"/>
      <c r="K255" s="56">
        <v>2035</v>
      </c>
      <c r="N255" s="393"/>
      <c r="O255"/>
      <c r="P255"/>
      <c r="Q255"/>
      <c r="R255"/>
      <c r="S255"/>
      <c r="T255"/>
    </row>
    <row r="256" spans="1:20" ht="15" x14ac:dyDescent="0.25">
      <c r="A256" s="107" t="s">
        <v>655</v>
      </c>
      <c r="N256" s="393"/>
      <c r="O256"/>
      <c r="P256"/>
      <c r="Q256"/>
      <c r="R256"/>
      <c r="S256"/>
      <c r="T256"/>
    </row>
    <row r="257" spans="1:20" ht="15" x14ac:dyDescent="0.25">
      <c r="A257" s="107" t="s">
        <v>656</v>
      </c>
      <c r="N257" s="393"/>
      <c r="O257"/>
      <c r="P257"/>
      <c r="Q257"/>
      <c r="R257"/>
      <c r="S257"/>
      <c r="T257"/>
    </row>
    <row r="258" spans="1:20" ht="12.75" x14ac:dyDescent="0.2">
      <c r="A258" s="107" t="s">
        <v>657</v>
      </c>
      <c r="N258" s="392"/>
      <c r="O258" s="394"/>
      <c r="P258" s="394"/>
      <c r="Q258" s="394"/>
      <c r="R258" s="394"/>
      <c r="S258" s="394"/>
      <c r="T258" s="394"/>
    </row>
    <row r="259" spans="1:20" ht="12.75" x14ac:dyDescent="0.2">
      <c r="A259" s="107" t="s">
        <v>658</v>
      </c>
      <c r="B259" s="209">
        <v>2687.05810546875</v>
      </c>
      <c r="C259" s="12">
        <v>2662</v>
      </c>
      <c r="D259" s="395">
        <v>2717.0371089999999</v>
      </c>
      <c r="E259" s="395">
        <v>2850.9252929999998</v>
      </c>
      <c r="F259" s="395">
        <v>2977.2258299999999</v>
      </c>
      <c r="G259" s="395">
        <v>3138.2302249999998</v>
      </c>
      <c r="H259" s="395">
        <v>3302.7231449999999</v>
      </c>
      <c r="I259" s="395">
        <v>3433.77124</v>
      </c>
      <c r="J259" s="396"/>
      <c r="K259" s="130"/>
      <c r="N259" s="392"/>
      <c r="O259" s="394"/>
      <c r="P259" s="394"/>
      <c r="Q259" s="394"/>
      <c r="R259" s="394"/>
      <c r="S259" s="394"/>
      <c r="T259" s="394"/>
    </row>
    <row r="260" spans="1:20" ht="12.75" x14ac:dyDescent="0.2">
      <c r="A260" s="107" t="s">
        <v>659</v>
      </c>
      <c r="B260" s="209">
        <v>68.601478576660199</v>
      </c>
      <c r="C260" s="12">
        <v>64</v>
      </c>
      <c r="D260" s="395">
        <v>68.422759999999997</v>
      </c>
      <c r="E260" s="395">
        <v>75.933967999999993</v>
      </c>
      <c r="F260" s="395">
        <v>82.905579000000003</v>
      </c>
      <c r="G260" s="395">
        <v>89.853836000000001</v>
      </c>
      <c r="H260" s="395">
        <v>96.334641000000005</v>
      </c>
      <c r="I260" s="395">
        <v>102.842247</v>
      </c>
      <c r="J260" s="396"/>
      <c r="K260" s="130">
        <f>((I260/G260)^0.1-1)*0.9</f>
        <v>1.2233470728501783E-2</v>
      </c>
      <c r="N260" s="392"/>
      <c r="O260" s="394"/>
      <c r="P260" s="394"/>
      <c r="Q260" s="394"/>
      <c r="R260" s="394"/>
      <c r="S260" s="394"/>
      <c r="T260" s="394"/>
    </row>
    <row r="261" spans="1:20" ht="15" x14ac:dyDescent="0.25">
      <c r="A261" s="107" t="s">
        <v>660</v>
      </c>
      <c r="B261" s="209">
        <f>B18</f>
        <v>49.381179809570298</v>
      </c>
      <c r="C261" s="15">
        <f>G18</f>
        <v>59.063704999999999</v>
      </c>
      <c r="D261" s="15">
        <f>L18</f>
        <v>74.015288999999996</v>
      </c>
      <c r="E261" s="15">
        <f>Q18</f>
        <v>80.757277999999999</v>
      </c>
      <c r="F261" s="15">
        <f>V18</f>
        <v>86.015427000000003</v>
      </c>
      <c r="G261" s="15">
        <f>AA18</f>
        <v>88.763779</v>
      </c>
      <c r="H261" s="15">
        <f>AF18</f>
        <v>91.914139000000006</v>
      </c>
      <c r="I261" s="15">
        <f>H261*H261/G261</f>
        <v>95.176310013922702</v>
      </c>
      <c r="J261" s="364"/>
      <c r="K261" s="130">
        <f>((H261/F261)^0.1-1)*0.5</f>
        <v>3.3274332174152432E-3</v>
      </c>
      <c r="N261" s="393"/>
      <c r="O261"/>
      <c r="P261"/>
      <c r="Q261"/>
      <c r="R261"/>
      <c r="S261"/>
      <c r="T261"/>
    </row>
    <row r="262" spans="1:20" ht="12.75" x14ac:dyDescent="0.2">
      <c r="A262" s="107" t="s">
        <v>661</v>
      </c>
      <c r="B262" s="209">
        <f>B24</f>
        <v>179.00827026367199</v>
      </c>
      <c r="C262" s="15">
        <f>G24</f>
        <v>174.708359</v>
      </c>
      <c r="D262" s="395">
        <v>274.53289799999999</v>
      </c>
      <c r="E262" s="395">
        <v>309.59799199999998</v>
      </c>
      <c r="F262" s="395">
        <v>338.696167</v>
      </c>
      <c r="G262" s="395">
        <v>361.94619799999998</v>
      </c>
      <c r="H262" s="395">
        <v>384.871216</v>
      </c>
      <c r="I262" s="395">
        <v>410.513306</v>
      </c>
      <c r="J262" s="364"/>
      <c r="K262" s="130">
        <f>((I262/G262)^0.1-1)*0.9</f>
        <v>1.1403792431774562E-2</v>
      </c>
      <c r="N262" s="392"/>
      <c r="O262" s="394"/>
      <c r="P262" s="394"/>
      <c r="Q262" s="394"/>
      <c r="R262" s="394"/>
      <c r="S262" s="394"/>
      <c r="T262" s="394"/>
    </row>
    <row r="263" spans="1:20" ht="15" x14ac:dyDescent="0.25">
      <c r="A263" s="107" t="s">
        <v>662</v>
      </c>
      <c r="N263" s="393"/>
      <c r="O263"/>
      <c r="P263"/>
      <c r="Q263"/>
      <c r="R263"/>
      <c r="S263"/>
      <c r="T263"/>
    </row>
    <row r="264" spans="1:20" ht="12.75" x14ac:dyDescent="0.2">
      <c r="A264" s="107" t="s">
        <v>663</v>
      </c>
      <c r="B264" s="209">
        <v>1028.64306640625</v>
      </c>
      <c r="C264" s="12">
        <v>999</v>
      </c>
      <c r="D264" s="395">
        <v>1020.053467</v>
      </c>
      <c r="E264" s="395">
        <v>1064.3248289999999</v>
      </c>
      <c r="F264" s="395">
        <v>1101.150513</v>
      </c>
      <c r="G264" s="395">
        <v>1134.899414</v>
      </c>
      <c r="H264" s="395">
        <v>1164.7761230000001</v>
      </c>
      <c r="I264" s="395">
        <v>1198.734375</v>
      </c>
      <c r="J264" s="396"/>
      <c r="K264" s="130">
        <f>((I264/G264)^0.1-1)*0.9</f>
        <v>4.9385058898685722E-3</v>
      </c>
      <c r="N264" s="392"/>
      <c r="O264" s="394"/>
      <c r="P264" s="394"/>
      <c r="Q264" s="394"/>
      <c r="R264" s="394"/>
      <c r="S264" s="394"/>
      <c r="T264" s="394"/>
    </row>
    <row r="265" spans="1:20" ht="12.75" x14ac:dyDescent="0.2">
      <c r="A265" s="107" t="s">
        <v>664</v>
      </c>
      <c r="N265" s="392"/>
      <c r="O265" s="394"/>
      <c r="P265" s="394"/>
      <c r="Q265" s="394"/>
      <c r="R265" s="394"/>
      <c r="S265" s="394"/>
      <c r="T265" s="394"/>
    </row>
    <row r="266" spans="1:20" ht="12.75" x14ac:dyDescent="0.2">
      <c r="A266" s="107" t="s">
        <v>665</v>
      </c>
      <c r="B266" s="209">
        <v>1587.57189941406</v>
      </c>
      <c r="C266" s="12">
        <v>1559</v>
      </c>
      <c r="D266" s="395">
        <v>1558.542236</v>
      </c>
      <c r="E266" s="395">
        <v>1623.826172</v>
      </c>
      <c r="F266" s="395">
        <v>1720.8376459999999</v>
      </c>
      <c r="G266" s="395">
        <v>1737.848755</v>
      </c>
      <c r="H266" s="395">
        <v>1737.373413</v>
      </c>
      <c r="I266" s="395">
        <v>1735.960327</v>
      </c>
      <c r="J266" s="396"/>
      <c r="K266" s="130">
        <f>((I266/G266)^0.1-1)*0.9</f>
        <v>-9.7846078352814564E-5</v>
      </c>
      <c r="N266" s="392"/>
      <c r="O266"/>
      <c r="P266"/>
      <c r="Q266"/>
      <c r="R266"/>
      <c r="S266"/>
      <c r="T266"/>
    </row>
    <row r="267" spans="1:20" ht="15" x14ac:dyDescent="0.25">
      <c r="A267" s="107" t="s">
        <v>666</v>
      </c>
      <c r="B267" s="209">
        <v>609.66827392578102</v>
      </c>
      <c r="C267" s="12">
        <v>522</v>
      </c>
      <c r="D267" s="395">
        <v>394.12048299999998</v>
      </c>
      <c r="E267" s="395">
        <v>390.13168300000001</v>
      </c>
      <c r="F267" s="395">
        <v>378.13439899999997</v>
      </c>
      <c r="G267" s="395">
        <v>368.623199</v>
      </c>
      <c r="H267" s="395">
        <v>366.77600100000001</v>
      </c>
      <c r="I267" s="395">
        <v>370.68676799999997</v>
      </c>
      <c r="J267" s="396"/>
      <c r="K267" s="130"/>
      <c r="N267" s="393"/>
      <c r="O267"/>
      <c r="P267"/>
      <c r="Q267"/>
      <c r="R267"/>
      <c r="S267"/>
      <c r="T267"/>
    </row>
    <row r="268" spans="1:20" ht="15" x14ac:dyDescent="0.25">
      <c r="N268" s="393"/>
      <c r="O268"/>
      <c r="P268"/>
      <c r="Q268"/>
      <c r="R268"/>
      <c r="S268"/>
      <c r="T268"/>
    </row>
    <row r="269" spans="1:20" ht="12.75" x14ac:dyDescent="0.2">
      <c r="N269" s="392"/>
      <c r="O269" s="394"/>
      <c r="P269" s="394"/>
      <c r="Q269" s="394"/>
      <c r="R269" s="394"/>
      <c r="S269" s="394"/>
      <c r="T269" s="394"/>
    </row>
    <row r="270" spans="1:20" ht="12.75" x14ac:dyDescent="0.2">
      <c r="A270" s="13" t="s">
        <v>667</v>
      </c>
      <c r="N270" s="392"/>
      <c r="O270" s="394"/>
      <c r="P270" s="394"/>
      <c r="Q270" s="394"/>
      <c r="R270" s="394"/>
      <c r="S270" s="394"/>
      <c r="T270" s="394"/>
    </row>
    <row r="271" spans="1:20" ht="12.75" x14ac:dyDescent="0.2">
      <c r="A271" s="13" t="s">
        <v>668</v>
      </c>
      <c r="N271" s="392"/>
      <c r="O271" s="394"/>
      <c r="P271" s="394"/>
      <c r="Q271" s="394"/>
      <c r="R271" s="394"/>
      <c r="S271" s="394"/>
      <c r="T271" s="394"/>
    </row>
    <row r="272" spans="1:20" ht="12.75" x14ac:dyDescent="0.2">
      <c r="N272" s="392"/>
      <c r="O272" s="394"/>
      <c r="P272" s="394"/>
      <c r="Q272" s="394"/>
      <c r="R272" s="394"/>
      <c r="S272" s="394"/>
      <c r="T272" s="394"/>
    </row>
    <row r="273" spans="1:20" ht="12.75" x14ac:dyDescent="0.2">
      <c r="A273" s="52" t="s">
        <v>669</v>
      </c>
      <c r="B273" s="13">
        <v>2007</v>
      </c>
      <c r="C273" s="13">
        <v>2010</v>
      </c>
      <c r="D273" s="13">
        <v>2015</v>
      </c>
      <c r="E273" s="13">
        <v>2020</v>
      </c>
      <c r="F273" s="13">
        <v>2025</v>
      </c>
      <c r="G273" s="13">
        <v>2030</v>
      </c>
      <c r="H273" s="13">
        <v>2035</v>
      </c>
      <c r="J273" s="13"/>
      <c r="N273" s="392"/>
      <c r="O273" s="394"/>
      <c r="P273" s="394"/>
      <c r="Q273" s="394"/>
      <c r="R273" s="394"/>
      <c r="S273" s="394"/>
      <c r="T273" s="394"/>
    </row>
    <row r="274" spans="1:20" ht="12.75" x14ac:dyDescent="0.2">
      <c r="A274" s="13" t="s">
        <v>670</v>
      </c>
      <c r="N274" s="392"/>
      <c r="O274" s="394"/>
      <c r="P274" s="394"/>
      <c r="Q274" s="394"/>
      <c r="R274" s="394"/>
      <c r="S274" s="394"/>
      <c r="T274" s="394"/>
    </row>
    <row r="275" spans="1:20" ht="12.75" x14ac:dyDescent="0.2">
      <c r="A275" s="12" t="s">
        <v>671</v>
      </c>
      <c r="B275" s="86">
        <v>2749.1499020000001</v>
      </c>
      <c r="C275" s="86">
        <v>2515.218018</v>
      </c>
      <c r="D275" s="397">
        <v>2522.5512699999999</v>
      </c>
      <c r="E275" s="397">
        <v>2597.2946780000002</v>
      </c>
      <c r="F275" s="397">
        <v>2654.389893</v>
      </c>
      <c r="G275" s="397">
        <v>2685.0234380000002</v>
      </c>
      <c r="H275" s="397">
        <v>2692.454346</v>
      </c>
      <c r="I275" s="397">
        <v>2700.6171880000002</v>
      </c>
      <c r="J275" s="143"/>
      <c r="N275" s="392"/>
      <c r="O275" s="394"/>
      <c r="P275" s="394"/>
      <c r="Q275" s="394"/>
      <c r="R275" s="394"/>
      <c r="S275" s="394"/>
      <c r="T275" s="394"/>
    </row>
    <row r="276" spans="1:20" ht="12.75" x14ac:dyDescent="0.2">
      <c r="A276" s="12" t="s">
        <v>672</v>
      </c>
      <c r="B276" s="86">
        <v>160.99749800000001</v>
      </c>
      <c r="C276" s="86">
        <v>150.446777</v>
      </c>
      <c r="D276" s="397">
        <v>145.64291399999999</v>
      </c>
      <c r="E276" s="397">
        <v>149.06256099999999</v>
      </c>
      <c r="F276" s="397">
        <v>151.727081</v>
      </c>
      <c r="G276" s="397">
        <v>153.164749</v>
      </c>
      <c r="H276" s="397">
        <v>153.510437</v>
      </c>
      <c r="I276" s="397">
        <v>153.89604199999999</v>
      </c>
      <c r="J276" s="143"/>
      <c r="N276" s="392"/>
      <c r="O276" s="394"/>
      <c r="P276" s="394"/>
      <c r="Q276" s="394"/>
      <c r="R276" s="394"/>
      <c r="S276" s="394"/>
      <c r="T276" s="394"/>
    </row>
    <row r="277" spans="1:20" ht="12.75" x14ac:dyDescent="0.2">
      <c r="A277" s="12" t="s">
        <v>673</v>
      </c>
      <c r="B277" s="86">
        <v>1621.741211</v>
      </c>
      <c r="C277" s="86">
        <v>1530.026001</v>
      </c>
      <c r="D277" s="397">
        <v>1573.6345209999999</v>
      </c>
      <c r="E277" s="397">
        <v>1613.6451420000001</v>
      </c>
      <c r="F277" s="397">
        <v>1635.189331</v>
      </c>
      <c r="G277" s="397">
        <v>1639.1573490000001</v>
      </c>
      <c r="H277" s="397">
        <v>1629.3066409999999</v>
      </c>
      <c r="I277" s="397">
        <v>1623.540405</v>
      </c>
      <c r="J277" s="143"/>
      <c r="N277" s="392"/>
      <c r="O277" s="394"/>
      <c r="P277" s="394"/>
      <c r="Q277" s="394"/>
      <c r="R277" s="394"/>
      <c r="S277" s="394"/>
      <c r="T277" s="394"/>
    </row>
    <row r="278" spans="1:20" ht="12.75" x14ac:dyDescent="0.2">
      <c r="A278" s="12" t="s">
        <v>674</v>
      </c>
      <c r="B278" s="86">
        <v>633.98150599999997</v>
      </c>
      <c r="C278" s="86">
        <v>679.248108</v>
      </c>
      <c r="D278" s="397">
        <v>647.64813200000003</v>
      </c>
      <c r="E278" s="397">
        <v>662.63433799999996</v>
      </c>
      <c r="F278" s="397">
        <v>669.68035899999995</v>
      </c>
      <c r="G278" s="397">
        <v>669.27874799999995</v>
      </c>
      <c r="H278" s="397">
        <v>663.137024</v>
      </c>
      <c r="I278" s="397">
        <v>659.785706</v>
      </c>
      <c r="J278" s="143"/>
      <c r="N278" s="392"/>
      <c r="O278" s="394"/>
      <c r="P278" s="394"/>
      <c r="Q278" s="394"/>
      <c r="R278" s="394"/>
      <c r="S278" s="394"/>
      <c r="T278" s="394"/>
    </row>
    <row r="279" spans="1:20" ht="12.75" x14ac:dyDescent="0.2">
      <c r="A279" s="12" t="s">
        <v>675</v>
      </c>
      <c r="B279" s="86">
        <v>332.429596</v>
      </c>
      <c r="C279" s="86">
        <v>155.497086</v>
      </c>
      <c r="D279" s="397">
        <v>155.62579299999999</v>
      </c>
      <c r="E279" s="397">
        <v>171.952744</v>
      </c>
      <c r="F279" s="397">
        <v>197.79315199999999</v>
      </c>
      <c r="G279" s="397">
        <v>223.422653</v>
      </c>
      <c r="H279" s="397">
        <v>246.50018299999999</v>
      </c>
      <c r="I279" s="397">
        <v>263.39505000000003</v>
      </c>
      <c r="J279" s="143"/>
      <c r="N279" s="392"/>
      <c r="O279" s="394"/>
      <c r="P279" s="394"/>
      <c r="Q279" s="394"/>
      <c r="R279" s="394"/>
      <c r="S279" s="394"/>
      <c r="T279" s="394"/>
    </row>
    <row r="280" spans="1:20" ht="12.75" x14ac:dyDescent="0.2">
      <c r="B280" s="86"/>
      <c r="N280" s="392"/>
      <c r="O280" s="394"/>
      <c r="P280" s="394"/>
      <c r="Q280" s="394"/>
      <c r="R280" s="394"/>
      <c r="S280" s="394"/>
      <c r="T280" s="394"/>
    </row>
    <row r="281" spans="1:20" ht="12.75" x14ac:dyDescent="0.2">
      <c r="A281" s="13" t="s">
        <v>676</v>
      </c>
      <c r="N281" s="392"/>
      <c r="O281" s="394"/>
      <c r="P281" s="394"/>
      <c r="Q281" s="394"/>
      <c r="R281" s="394"/>
      <c r="S281" s="394"/>
      <c r="T281" s="394"/>
    </row>
    <row r="282" spans="1:20" ht="12.75" x14ac:dyDescent="0.2">
      <c r="A282" s="12" t="s">
        <v>677</v>
      </c>
      <c r="C282" s="86">
        <f>C277+C278</f>
        <v>2209.274109</v>
      </c>
      <c r="N282" s="392"/>
      <c r="O282" s="394"/>
      <c r="P282" s="394"/>
      <c r="Q282" s="394"/>
      <c r="R282" s="394"/>
      <c r="S282" s="394"/>
      <c r="T282" s="394"/>
    </row>
    <row r="283" spans="1:20" ht="12.75" x14ac:dyDescent="0.2">
      <c r="A283" s="12" t="s">
        <v>678</v>
      </c>
      <c r="C283" s="86">
        <f>C279</f>
        <v>155.497086</v>
      </c>
      <c r="N283" s="392"/>
      <c r="O283" s="394"/>
      <c r="P283" s="394"/>
      <c r="Q283" s="394"/>
      <c r="R283" s="394"/>
      <c r="S283" s="394"/>
      <c r="T283" s="394"/>
    </row>
    <row r="284" spans="1:20" ht="12.75" x14ac:dyDescent="0.2">
      <c r="A284" s="12" t="s">
        <v>679</v>
      </c>
      <c r="C284" s="86">
        <f>C276-C195</f>
        <v>118.23853299999999</v>
      </c>
      <c r="N284" s="392"/>
      <c r="O284" s="394"/>
      <c r="P284" s="394"/>
      <c r="Q284" s="394"/>
      <c r="R284" s="394"/>
      <c r="S284" s="394"/>
      <c r="T284" s="394"/>
    </row>
    <row r="285" spans="1:20" ht="15" x14ac:dyDescent="0.25">
      <c r="A285" s="56" t="s">
        <v>680</v>
      </c>
      <c r="C285" s="86">
        <f>SUM(C282:C284)</f>
        <v>2483.009728</v>
      </c>
      <c r="N285" s="393"/>
      <c r="O285"/>
      <c r="P285"/>
      <c r="Q285"/>
      <c r="R285"/>
      <c r="S285"/>
      <c r="T285"/>
    </row>
    <row r="286" spans="1:20" ht="12.75" x14ac:dyDescent="0.2">
      <c r="A286"/>
      <c r="N286" s="392"/>
      <c r="O286" s="394"/>
      <c r="P286" s="394"/>
      <c r="Q286" s="394"/>
      <c r="R286" s="394"/>
      <c r="S286" s="394"/>
      <c r="T286" s="394"/>
    </row>
    <row r="287" spans="1:20" ht="15" x14ac:dyDescent="0.25">
      <c r="N287" s="393"/>
      <c r="O287"/>
      <c r="P287"/>
      <c r="Q287"/>
      <c r="R287"/>
      <c r="S287"/>
      <c r="T287"/>
    </row>
    <row r="288" spans="1:20" ht="12.75" x14ac:dyDescent="0.2">
      <c r="A288" s="12" t="s">
        <v>587</v>
      </c>
      <c r="N288" s="392"/>
      <c r="O288" s="394"/>
      <c r="P288" s="394"/>
      <c r="Q288" s="394"/>
      <c r="R288" s="394"/>
      <c r="S288" s="394"/>
      <c r="T288" s="394"/>
    </row>
    <row r="289" spans="1:22" ht="12.75" x14ac:dyDescent="0.2">
      <c r="A289" s="12" t="s">
        <v>588</v>
      </c>
      <c r="K289" s="12" t="s">
        <v>589</v>
      </c>
      <c r="N289" s="392"/>
      <c r="O289" s="394"/>
      <c r="P289" s="394"/>
      <c r="Q289" s="394"/>
      <c r="R289" s="394"/>
      <c r="S289" s="394"/>
      <c r="T289" s="394"/>
    </row>
    <row r="290" spans="1:22" ht="12.75" x14ac:dyDescent="0.2">
      <c r="A290" s="12" t="s">
        <v>590</v>
      </c>
      <c r="K290" s="12" t="s">
        <v>591</v>
      </c>
      <c r="N290" s="392"/>
      <c r="O290"/>
      <c r="P290"/>
      <c r="Q290"/>
      <c r="R290"/>
      <c r="S290"/>
      <c r="T290"/>
      <c r="V290" s="12" t="s">
        <v>592</v>
      </c>
    </row>
    <row r="291" spans="1:22" ht="15" x14ac:dyDescent="0.25">
      <c r="K291" s="12" t="s">
        <v>593</v>
      </c>
      <c r="N291" s="393"/>
      <c r="O291"/>
      <c r="P291"/>
      <c r="Q291"/>
      <c r="R291"/>
      <c r="S291"/>
      <c r="T291"/>
    </row>
    <row r="292" spans="1:22" ht="15" x14ac:dyDescent="0.25">
      <c r="B292" s="12" t="s">
        <v>508</v>
      </c>
      <c r="J292" s="12" t="s">
        <v>594</v>
      </c>
      <c r="K292" s="12" t="s">
        <v>595</v>
      </c>
      <c r="L292" s="12" t="s">
        <v>596</v>
      </c>
      <c r="N292" s="393"/>
      <c r="O292"/>
      <c r="P292"/>
      <c r="Q292"/>
      <c r="R292"/>
      <c r="S292"/>
      <c r="T292"/>
    </row>
    <row r="293" spans="1:22" ht="12.75" x14ac:dyDescent="0.2">
      <c r="A293" s="12" t="s">
        <v>597</v>
      </c>
      <c r="B293" s="12">
        <v>2005</v>
      </c>
      <c r="C293" s="12">
        <v>2010</v>
      </c>
      <c r="D293" s="12">
        <v>2015</v>
      </c>
      <c r="E293" s="12">
        <v>2020</v>
      </c>
      <c r="F293" s="12">
        <v>2025</v>
      </c>
      <c r="G293" s="12">
        <v>2030</v>
      </c>
      <c r="H293" s="12">
        <v>2035</v>
      </c>
      <c r="I293" s="12">
        <v>2040</v>
      </c>
      <c r="J293" s="12">
        <v>2035</v>
      </c>
      <c r="K293" s="12">
        <v>2010</v>
      </c>
      <c r="L293" s="12">
        <v>2010</v>
      </c>
      <c r="M293" s="12">
        <v>2015</v>
      </c>
      <c r="N293" s="392">
        <v>2020</v>
      </c>
      <c r="O293" s="394">
        <v>2025</v>
      </c>
      <c r="P293" s="394">
        <v>2030</v>
      </c>
      <c r="Q293" s="394">
        <v>2035</v>
      </c>
      <c r="R293" s="394"/>
      <c r="S293" s="394"/>
      <c r="T293" s="394"/>
    </row>
    <row r="294" spans="1:22" ht="12.75" x14ac:dyDescent="0.2">
      <c r="A294" s="12" t="s">
        <v>598</v>
      </c>
      <c r="N294" s="392"/>
      <c r="O294" s="394"/>
      <c r="P294" s="394"/>
      <c r="Q294" s="394"/>
      <c r="R294" s="394"/>
      <c r="S294" s="394"/>
      <c r="T294" s="394"/>
    </row>
    <row r="295" spans="1:22" ht="12.75" x14ac:dyDescent="0.2">
      <c r="A295" s="12" t="s">
        <v>599</v>
      </c>
      <c r="B295" s="12">
        <f>C295*(1-J295)^5</f>
        <v>342.79252868729344</v>
      </c>
      <c r="C295" s="12">
        <v>343.58032200000002</v>
      </c>
      <c r="D295" s="12">
        <v>546.331909</v>
      </c>
      <c r="E295" s="12">
        <v>524.68951400000003</v>
      </c>
      <c r="F295" s="12">
        <v>476.58239700000001</v>
      </c>
      <c r="G295" s="12">
        <v>439.58340500000003</v>
      </c>
      <c r="H295" s="12">
        <v>428.10925300000002</v>
      </c>
      <c r="I295" s="12">
        <v>428.98358200000001</v>
      </c>
      <c r="J295" s="12">
        <v>4.5899999999999999E-4</v>
      </c>
      <c r="K295" s="12">
        <f>C295/C297</f>
        <v>0.62013244206582163</v>
      </c>
      <c r="L295" s="12">
        <v>0.57463963472759749</v>
      </c>
      <c r="M295" s="12">
        <f>D295/D297</f>
        <v>0.68372281415056912</v>
      </c>
      <c r="N295" s="392">
        <f>E295/E297</f>
        <v>0.6360865137960241</v>
      </c>
      <c r="O295" s="394">
        <f>F295/F297</f>
        <v>0.60471320449999677</v>
      </c>
      <c r="P295" s="394">
        <f>G295/G297</f>
        <v>0.58568121591701439</v>
      </c>
      <c r="Q295" s="394">
        <f>H295/H297</f>
        <v>0.56893874693974611</v>
      </c>
      <c r="R295" s="394"/>
      <c r="S295" s="394"/>
      <c r="T295" s="394"/>
    </row>
    <row r="296" spans="1:22" ht="12.75" x14ac:dyDescent="0.2">
      <c r="A296" s="12" t="s">
        <v>600</v>
      </c>
      <c r="B296" s="12">
        <f>C296*(1-J296)^5</f>
        <v>201.35923301398378</v>
      </c>
      <c r="C296" s="12">
        <v>210.46313499999999</v>
      </c>
      <c r="D296" s="12">
        <v>252.72276299999999</v>
      </c>
      <c r="E296" s="12">
        <v>300.18179300000003</v>
      </c>
      <c r="F296" s="12">
        <v>311.53070100000002</v>
      </c>
      <c r="G296" s="12">
        <v>310.96722399999999</v>
      </c>
      <c r="H296" s="12">
        <v>324.36059599999999</v>
      </c>
      <c r="I296" s="12">
        <v>341.24511699999999</v>
      </c>
      <c r="J296" s="12">
        <v>8.8050000000000003E-3</v>
      </c>
      <c r="K296" s="12">
        <f>C296/C297</f>
        <v>0.37986755793417842</v>
      </c>
      <c r="L296" s="12">
        <f>1-L295</f>
        <v>0.42536036527240251</v>
      </c>
      <c r="M296" s="12">
        <f>D296/D297</f>
        <v>0.31627718584943082</v>
      </c>
      <c r="N296" s="392">
        <f>E296/E297</f>
        <v>0.36391348620397579</v>
      </c>
      <c r="O296" s="394">
        <f>F296/F297</f>
        <v>0.39528679550000323</v>
      </c>
      <c r="P296" s="394">
        <f>G296/G297</f>
        <v>0.4143187840829855</v>
      </c>
      <c r="Q296" s="394">
        <f>H296/H297</f>
        <v>0.43106125306025378</v>
      </c>
      <c r="R296" s="394">
        <f>Q296+$J296</f>
        <v>0.43986625306025379</v>
      </c>
      <c r="S296" s="394">
        <f>R296+$J296</f>
        <v>0.44867125306025379</v>
      </c>
      <c r="T296" s="394">
        <f>S296+$J296</f>
        <v>0.4574762530602538</v>
      </c>
      <c r="U296" s="12">
        <f>T296+$J296</f>
        <v>0.46628125306025381</v>
      </c>
    </row>
    <row r="297" spans="1:22" ht="12.75" x14ac:dyDescent="0.2">
      <c r="A297" s="12" t="s">
        <v>601</v>
      </c>
      <c r="C297" s="12">
        <v>554.04345699999999</v>
      </c>
      <c r="D297" s="12">
        <f t="shared" ref="D297:I297" si="9">SUM(D295:D296)</f>
        <v>799.05467199999998</v>
      </c>
      <c r="E297" s="12">
        <f t="shared" si="9"/>
        <v>824.87130700000012</v>
      </c>
      <c r="F297" s="12">
        <f t="shared" si="9"/>
        <v>788.11309800000004</v>
      </c>
      <c r="G297" s="12">
        <f t="shared" si="9"/>
        <v>750.55062900000007</v>
      </c>
      <c r="H297" s="12">
        <f t="shared" si="9"/>
        <v>752.46984900000007</v>
      </c>
      <c r="I297" s="12">
        <f t="shared" si="9"/>
        <v>770.22869900000001</v>
      </c>
      <c r="J297" s="12">
        <v>3.8279999999999998E-3</v>
      </c>
      <c r="N297" s="392"/>
      <c r="O297" s="394"/>
      <c r="P297" s="394"/>
      <c r="Q297" s="394"/>
      <c r="R297" s="394"/>
      <c r="S297" s="394"/>
      <c r="T297" s="394"/>
    </row>
    <row r="298" spans="1:22" ht="12.75" x14ac:dyDescent="0.2">
      <c r="N298" s="392"/>
      <c r="O298" s="394"/>
      <c r="P298" s="394"/>
      <c r="Q298" s="394"/>
      <c r="R298" s="394"/>
      <c r="S298" s="394"/>
      <c r="T298" s="394"/>
    </row>
    <row r="299" spans="1:22" ht="12.75" x14ac:dyDescent="0.2">
      <c r="A299" s="12" t="s">
        <v>602</v>
      </c>
      <c r="K299" s="12">
        <v>2010</v>
      </c>
      <c r="L299" s="12">
        <v>2010</v>
      </c>
      <c r="M299" s="12">
        <v>2015</v>
      </c>
      <c r="N299" s="392">
        <v>2020</v>
      </c>
      <c r="O299" s="394">
        <v>2025</v>
      </c>
      <c r="P299" s="394">
        <v>2030</v>
      </c>
      <c r="Q299" s="394">
        <v>2035</v>
      </c>
      <c r="R299" s="394">
        <v>2040</v>
      </c>
      <c r="S299" s="394"/>
      <c r="T299" s="394"/>
    </row>
    <row r="300" spans="1:22" ht="12.75" x14ac:dyDescent="0.2">
      <c r="A300" s="12" t="s">
        <v>599</v>
      </c>
      <c r="B300" s="12">
        <v>352.51336700000002</v>
      </c>
      <c r="C300" s="12">
        <v>365.00396699999999</v>
      </c>
      <c r="D300" s="12">
        <v>486.18136600000003</v>
      </c>
      <c r="E300" s="12">
        <v>478.84823599999999</v>
      </c>
      <c r="F300" s="12">
        <v>529.33685300000002</v>
      </c>
      <c r="G300" s="12">
        <v>562.59393299999999</v>
      </c>
      <c r="H300" s="12">
        <v>603.49444600000004</v>
      </c>
      <c r="I300" s="12">
        <v>641.78515600000003</v>
      </c>
      <c r="J300" s="12">
        <v>-2.4710000000000001E-3</v>
      </c>
      <c r="K300" s="12">
        <f>C300/C304</f>
        <v>7.5689776181924864E-2</v>
      </c>
      <c r="N300" s="392"/>
      <c r="O300" s="394"/>
      <c r="P300" s="394"/>
      <c r="Q300" s="394">
        <f t="shared" ref="Q300:R303" si="10">H300/H$304</f>
        <v>9.2574808938519909E-2</v>
      </c>
      <c r="R300" s="394">
        <f t="shared" si="10"/>
        <v>9.1881365360516901E-2</v>
      </c>
      <c r="S300" s="394"/>
      <c r="T300" s="394"/>
    </row>
    <row r="301" spans="1:22" ht="12.75" x14ac:dyDescent="0.2">
      <c r="A301" s="12" t="s">
        <v>603</v>
      </c>
      <c r="B301" s="12">
        <v>4629.5581050000001</v>
      </c>
      <c r="C301" s="12">
        <v>4426.1684569999998</v>
      </c>
      <c r="D301" s="12">
        <v>5043.2729490000002</v>
      </c>
      <c r="E301" s="12">
        <v>5246.1210940000001</v>
      </c>
      <c r="F301" s="12">
        <v>5395.3496089999999</v>
      </c>
      <c r="G301" s="12">
        <v>5548.8007809999999</v>
      </c>
      <c r="H301" s="12">
        <v>5782.6938479999999</v>
      </c>
      <c r="I301" s="12">
        <v>5989.1611329999996</v>
      </c>
      <c r="J301" s="12">
        <v>8.1600000000000006E-3</v>
      </c>
      <c r="K301" s="12">
        <f>C301/C304</f>
        <v>0.91784125692482055</v>
      </c>
      <c r="N301" s="392"/>
      <c r="O301" s="394"/>
      <c r="P301" s="394"/>
      <c r="Q301" s="394">
        <f t="shared" si="10"/>
        <v>0.88705336341828478</v>
      </c>
      <c r="R301" s="394">
        <f t="shared" si="10"/>
        <v>0.8574400593711774</v>
      </c>
      <c r="S301" s="394"/>
      <c r="T301" s="394"/>
    </row>
    <row r="302" spans="1:22" ht="12.75" x14ac:dyDescent="0.2">
      <c r="A302" s="12" t="s">
        <v>604</v>
      </c>
      <c r="B302" s="12">
        <v>7.8377850000000002</v>
      </c>
      <c r="C302" s="12">
        <v>10.027866</v>
      </c>
      <c r="D302" s="12">
        <v>34.852061999999997</v>
      </c>
      <c r="E302" s="12">
        <v>33.557220000000001</v>
      </c>
      <c r="F302" s="12">
        <v>34.423740000000002</v>
      </c>
      <c r="G302" s="12">
        <v>46.298366999999999</v>
      </c>
      <c r="H302" s="12">
        <v>126.525589</v>
      </c>
      <c r="I302" s="12">
        <v>342.07330300000001</v>
      </c>
      <c r="J302" s="12">
        <v>6.9750999999999994E-2</v>
      </c>
      <c r="K302" s="12">
        <f>C302/C304</f>
        <v>2.0794484491790037E-3</v>
      </c>
      <c r="M302" s="12">
        <f>D302/D304</f>
        <v>6.2625795571812585E-3</v>
      </c>
      <c r="N302" s="392">
        <f>E302/E304</f>
        <v>5.826255499626112E-3</v>
      </c>
      <c r="O302" s="394">
        <f>F302/F304</f>
        <v>5.7749268537851499E-3</v>
      </c>
      <c r="P302" s="394">
        <f>G302/G304</f>
        <v>7.5149051011475423E-3</v>
      </c>
      <c r="Q302" s="394">
        <f t="shared" si="10"/>
        <v>1.9408765573807277E-2</v>
      </c>
      <c r="R302" s="394">
        <f t="shared" si="10"/>
        <v>4.8973027560989278E-2</v>
      </c>
      <c r="S302" s="394"/>
      <c r="T302" s="394"/>
    </row>
    <row r="303" spans="1:22" ht="12.75" x14ac:dyDescent="0.2">
      <c r="A303" s="12" t="s">
        <v>605</v>
      </c>
      <c r="B303" s="12">
        <v>22.895313000000002</v>
      </c>
      <c r="C303" s="12">
        <v>21.167767999999999</v>
      </c>
      <c r="D303" s="12">
        <v>0.82244600000000001</v>
      </c>
      <c r="E303" s="12">
        <v>1.128172</v>
      </c>
      <c r="F303" s="12">
        <v>1.7860780000000001</v>
      </c>
      <c r="G303" s="12">
        <v>3.1787299999999998</v>
      </c>
      <c r="H303" s="12">
        <v>6.2781940000000001</v>
      </c>
      <c r="I303" s="12">
        <v>11.913136</v>
      </c>
      <c r="J303" s="12">
        <v>4.2770000000000004E-3</v>
      </c>
      <c r="K303" s="12">
        <f>C303/C304</f>
        <v>4.3894964631738132E-3</v>
      </c>
      <c r="M303" s="12">
        <f>D303/D304</f>
        <v>1.4778561757652954E-4</v>
      </c>
      <c r="N303" s="392">
        <f>E303/E304</f>
        <v>1.9587493599065089E-4</v>
      </c>
      <c r="O303" s="394">
        <f>F303/F304</f>
        <v>2.9963245728543362E-4</v>
      </c>
      <c r="P303" s="394">
        <f>G303/G304</f>
        <v>5.1595457550739803E-4</v>
      </c>
      <c r="Q303" s="394">
        <f t="shared" si="10"/>
        <v>9.6306206938806191E-4</v>
      </c>
      <c r="R303" s="394">
        <f t="shared" si="10"/>
        <v>1.7055477073164447E-3</v>
      </c>
      <c r="S303" s="394"/>
      <c r="T303" s="394"/>
    </row>
    <row r="304" spans="1:22" ht="12.75" x14ac:dyDescent="0.2">
      <c r="A304" s="12" t="s">
        <v>606</v>
      </c>
      <c r="B304" s="12">
        <v>4744.677734375</v>
      </c>
      <c r="C304" s="12">
        <v>4822.3681640000004</v>
      </c>
      <c r="D304" s="12">
        <f t="shared" ref="D304:I304" si="11">SUM(D300:D303)</f>
        <v>5565.128823</v>
      </c>
      <c r="E304" s="12">
        <f t="shared" si="11"/>
        <v>5759.6547219999993</v>
      </c>
      <c r="F304" s="12">
        <f t="shared" si="11"/>
        <v>5960.8962799999999</v>
      </c>
      <c r="G304" s="12">
        <f t="shared" si="11"/>
        <v>6160.871811</v>
      </c>
      <c r="H304" s="12">
        <f t="shared" si="11"/>
        <v>6518.9920769999999</v>
      </c>
      <c r="I304" s="12">
        <f t="shared" si="11"/>
        <v>6984.9327279999998</v>
      </c>
      <c r="J304" s="12">
        <v>7.7159999999999998E-3</v>
      </c>
      <c r="K304" s="12">
        <f>SUM(K300:K303)</f>
        <v>0.99999997801909812</v>
      </c>
      <c r="N304" s="392"/>
      <c r="O304" s="394"/>
      <c r="P304" s="394"/>
      <c r="Q304" s="394"/>
      <c r="R304" s="394"/>
      <c r="S304" s="394"/>
      <c r="T304" s="394"/>
    </row>
    <row r="305" spans="1:20" ht="12.75" x14ac:dyDescent="0.2">
      <c r="N305" s="392"/>
      <c r="O305" s="394"/>
      <c r="P305" s="394"/>
      <c r="Q305" s="394"/>
      <c r="R305" s="394"/>
      <c r="S305" s="394"/>
      <c r="T305" s="394"/>
    </row>
    <row r="306" spans="1:20" ht="15" x14ac:dyDescent="0.25">
      <c r="A306" s="12" t="s">
        <v>607</v>
      </c>
      <c r="N306" s="393"/>
      <c r="O306" s="398"/>
      <c r="P306" s="398"/>
      <c r="Q306" s="398"/>
      <c r="R306" s="398"/>
      <c r="S306" s="398"/>
      <c r="T306" s="398"/>
    </row>
    <row r="307" spans="1:20" ht="12.75" x14ac:dyDescent="0.2">
      <c r="A307" s="12" t="s">
        <v>603</v>
      </c>
      <c r="B307" s="12">
        <v>545.03302001953102</v>
      </c>
      <c r="C307" s="12">
        <v>453.29324300000002</v>
      </c>
      <c r="D307" s="12">
        <v>481.83017000000001</v>
      </c>
      <c r="E307" s="12">
        <v>497.16394000000003</v>
      </c>
      <c r="F307" s="12">
        <v>505.82913200000002</v>
      </c>
      <c r="G307" s="12">
        <v>455.32061800000002</v>
      </c>
      <c r="H307" s="12">
        <v>400.34982300000001</v>
      </c>
      <c r="I307" s="12">
        <v>356.00891100000001</v>
      </c>
      <c r="J307" s="12">
        <v>6.3070000000000001E-3</v>
      </c>
      <c r="N307" s="392"/>
      <c r="O307"/>
      <c r="P307"/>
      <c r="Q307"/>
      <c r="R307"/>
      <c r="S307"/>
      <c r="T307"/>
    </row>
    <row r="308" spans="1:20" ht="15" x14ac:dyDescent="0.25">
      <c r="A308" s="12" t="s">
        <v>681</v>
      </c>
      <c r="D308" s="12">
        <v>0</v>
      </c>
      <c r="E308" s="12">
        <v>0</v>
      </c>
      <c r="F308" s="12">
        <v>0</v>
      </c>
      <c r="G308" s="12">
        <v>0</v>
      </c>
      <c r="H308" s="12">
        <v>0</v>
      </c>
      <c r="I308" s="12">
        <v>0</v>
      </c>
      <c r="N308" s="393"/>
      <c r="O308"/>
      <c r="P308"/>
      <c r="Q308"/>
      <c r="R308"/>
      <c r="S308"/>
      <c r="T308"/>
    </row>
    <row r="309" spans="1:20" ht="12.75" x14ac:dyDescent="0.2">
      <c r="A309" s="12" t="s">
        <v>604</v>
      </c>
      <c r="D309" s="12">
        <v>0</v>
      </c>
      <c r="E309" s="12">
        <v>0</v>
      </c>
      <c r="F309" s="12">
        <v>0</v>
      </c>
      <c r="G309" s="12">
        <v>0</v>
      </c>
      <c r="H309" s="12">
        <v>0</v>
      </c>
      <c r="I309" s="12">
        <v>0</v>
      </c>
      <c r="N309" s="392"/>
      <c r="O309" s="394"/>
      <c r="P309" s="394"/>
      <c r="Q309" s="394"/>
      <c r="R309" s="394"/>
      <c r="S309" s="394"/>
      <c r="T309" s="394"/>
    </row>
    <row r="310" spans="1:20" ht="12.75" x14ac:dyDescent="0.2">
      <c r="A310" s="12" t="s">
        <v>608</v>
      </c>
      <c r="D310" s="12">
        <v>0</v>
      </c>
      <c r="E310" s="12">
        <v>0.53262299999999996</v>
      </c>
      <c r="F310" s="12">
        <v>12.784708</v>
      </c>
      <c r="G310" s="12">
        <v>57.490493999999998</v>
      </c>
      <c r="H310" s="12">
        <v>105.942413</v>
      </c>
      <c r="I310" s="12">
        <v>149.62011699999999</v>
      </c>
      <c r="N310" s="392"/>
      <c r="O310" s="394"/>
      <c r="P310" s="394"/>
      <c r="Q310" s="394"/>
      <c r="R310" s="394"/>
      <c r="S310" s="394"/>
      <c r="T310" s="394"/>
    </row>
    <row r="311" spans="1:20" ht="12.75" x14ac:dyDescent="0.2">
      <c r="A311" s="12" t="s">
        <v>606</v>
      </c>
      <c r="B311" s="12">
        <v>545.03302001953102</v>
      </c>
      <c r="C311" s="12">
        <v>453.29324300000002</v>
      </c>
      <c r="D311" s="12">
        <f t="shared" ref="D311:I311" si="12">SUM(D307:D310)</f>
        <v>481.83017000000001</v>
      </c>
      <c r="E311" s="12">
        <f t="shared" si="12"/>
        <v>497.69656300000003</v>
      </c>
      <c r="F311" s="12">
        <f t="shared" si="12"/>
        <v>518.61383999999998</v>
      </c>
      <c r="G311" s="12">
        <f t="shared" si="12"/>
        <v>512.81111199999998</v>
      </c>
      <c r="H311" s="12">
        <f t="shared" si="12"/>
        <v>506.292236</v>
      </c>
      <c r="I311" s="12">
        <f t="shared" si="12"/>
        <v>505.62902800000001</v>
      </c>
      <c r="J311" s="12">
        <v>6.3070000000000001E-3</v>
      </c>
      <c r="N311" s="392"/>
      <c r="O311" s="394"/>
      <c r="P311" s="394"/>
      <c r="Q311" s="394"/>
      <c r="R311" s="394"/>
      <c r="S311" s="394"/>
      <c r="T311" s="394"/>
    </row>
    <row r="312" spans="1:20" ht="12.75" x14ac:dyDescent="0.2">
      <c r="N312" s="392"/>
      <c r="O312" s="394"/>
      <c r="P312" s="394"/>
      <c r="Q312" s="394"/>
      <c r="R312" s="394"/>
      <c r="S312" s="394"/>
      <c r="T312" s="394"/>
    </row>
    <row r="313" spans="1:20" ht="12.75" x14ac:dyDescent="0.2">
      <c r="A313" s="12" t="s">
        <v>566</v>
      </c>
      <c r="N313" s="392"/>
      <c r="O313" s="394"/>
      <c r="P313" s="394"/>
      <c r="Q313" s="394"/>
      <c r="R313" s="394"/>
      <c r="S313" s="394"/>
      <c r="T313" s="394"/>
    </row>
    <row r="314" spans="1:20" ht="12.75" x14ac:dyDescent="0.2">
      <c r="A314" s="12" t="s">
        <v>603</v>
      </c>
      <c r="B314" s="12">
        <v>219.46594238281301</v>
      </c>
      <c r="C314" s="12">
        <v>147.85343900000001</v>
      </c>
      <c r="D314" s="12">
        <v>98.977706999999995</v>
      </c>
      <c r="E314" s="12">
        <v>90.028282000000004</v>
      </c>
      <c r="F314" s="12">
        <v>80.926192999999998</v>
      </c>
      <c r="G314" s="12">
        <v>74.304244999999995</v>
      </c>
      <c r="H314" s="12">
        <v>71.129974000000004</v>
      </c>
      <c r="I314" s="12">
        <v>69.291259999999994</v>
      </c>
      <c r="J314" s="12">
        <v>5.3660000000000001E-3</v>
      </c>
      <c r="K314" s="12">
        <f>C314/C318</f>
        <v>0.67727933275286711</v>
      </c>
      <c r="L314" s="12">
        <f>H314/H$318</f>
        <v>0.97953581883419893</v>
      </c>
      <c r="N314" s="392"/>
      <c r="O314" s="394"/>
      <c r="P314" s="394"/>
      <c r="Q314" s="394">
        <f>H314/H318</f>
        <v>0.97953581883419893</v>
      </c>
      <c r="R314" s="394"/>
      <c r="S314" s="394"/>
      <c r="T314" s="394"/>
    </row>
    <row r="315" spans="1:20" ht="12.75" x14ac:dyDescent="0.2">
      <c r="A315" s="12" t="s">
        <v>609</v>
      </c>
      <c r="B315" s="12">
        <v>91.172294616699205</v>
      </c>
      <c r="C315" s="12">
        <v>70.451522999999995</v>
      </c>
      <c r="D315" s="12">
        <v>2.6047470000000001</v>
      </c>
      <c r="E315" s="12">
        <v>1.4788570000000001</v>
      </c>
      <c r="F315" s="12">
        <v>1.0513939999999999</v>
      </c>
      <c r="G315" s="12">
        <v>0.744533</v>
      </c>
      <c r="H315" s="12">
        <v>0.48835600000000001</v>
      </c>
      <c r="I315" s="12">
        <v>0.260911</v>
      </c>
      <c r="J315" s="12">
        <v>5.378E-3</v>
      </c>
      <c r="K315" s="12">
        <f>C315/C318</f>
        <v>0.32272066724713294</v>
      </c>
      <c r="L315" s="12">
        <f>H315/H$318</f>
        <v>6.7251844397214879E-3</v>
      </c>
      <c r="N315" s="392"/>
      <c r="O315" s="394"/>
      <c r="P315" s="394"/>
      <c r="Q315" s="394">
        <f>H315/H318</f>
        <v>6.7251844397214879E-3</v>
      </c>
      <c r="R315" s="394"/>
      <c r="S315" s="394"/>
      <c r="T315" s="394"/>
    </row>
    <row r="316" spans="1:20" ht="12.75" x14ac:dyDescent="0.2">
      <c r="A316" s="12" t="s">
        <v>610</v>
      </c>
      <c r="D316" s="12">
        <v>0</v>
      </c>
      <c r="E316" s="12">
        <v>0</v>
      </c>
      <c r="F316" s="12">
        <v>0</v>
      </c>
      <c r="G316" s="12">
        <v>0</v>
      </c>
      <c r="H316" s="12">
        <v>0</v>
      </c>
      <c r="I316" s="12">
        <v>0</v>
      </c>
      <c r="N316" s="392"/>
      <c r="O316" s="394"/>
      <c r="P316" s="394"/>
      <c r="Q316" s="394"/>
      <c r="R316" s="394"/>
      <c r="S316" s="394"/>
      <c r="T316" s="394"/>
    </row>
    <row r="317" spans="1:20" ht="12.75" x14ac:dyDescent="0.2">
      <c r="A317" s="12" t="s">
        <v>611</v>
      </c>
      <c r="D317" s="12">
        <v>0.19464600000000001</v>
      </c>
      <c r="E317" s="12">
        <v>0.48545700000000003</v>
      </c>
      <c r="F317" s="12">
        <v>0.68351200000000001</v>
      </c>
      <c r="G317" s="12">
        <v>0.82690600000000003</v>
      </c>
      <c r="H317" s="12">
        <v>0.99767099999999997</v>
      </c>
      <c r="I317" s="12">
        <v>1.1705570000000001</v>
      </c>
      <c r="N317" s="392"/>
      <c r="O317" s="394"/>
      <c r="P317" s="394"/>
      <c r="Q317" s="394"/>
      <c r="R317" s="394"/>
      <c r="S317" s="394"/>
      <c r="T317" s="394"/>
    </row>
    <row r="318" spans="1:20" ht="12.75" x14ac:dyDescent="0.2">
      <c r="A318" s="12" t="s">
        <v>606</v>
      </c>
      <c r="B318" s="12">
        <f>B314+B315</f>
        <v>310.63823699951223</v>
      </c>
      <c r="C318" s="12">
        <v>218.30496199999999</v>
      </c>
      <c r="D318" s="12">
        <f t="shared" ref="D318:I318" si="13">SUM(D314:D317)</f>
        <v>101.7771</v>
      </c>
      <c r="E318" s="12">
        <f t="shared" si="13"/>
        <v>91.992596000000006</v>
      </c>
      <c r="F318" s="12">
        <f t="shared" si="13"/>
        <v>82.661098999999993</v>
      </c>
      <c r="G318" s="12">
        <f t="shared" si="13"/>
        <v>75.875683999999993</v>
      </c>
      <c r="H318" s="12">
        <f t="shared" si="13"/>
        <v>72.616000999999997</v>
      </c>
      <c r="I318" s="12">
        <f t="shared" si="13"/>
        <v>70.722727999999989</v>
      </c>
      <c r="J318" s="12">
        <v>5.3699999999999998E-3</v>
      </c>
      <c r="N318" s="392"/>
      <c r="O318" s="394"/>
      <c r="P318" s="394"/>
      <c r="Q318" s="394"/>
      <c r="R318" s="394"/>
      <c r="S318" s="394"/>
      <c r="T318" s="394"/>
    </row>
    <row r="319" spans="1:20" ht="12.75" x14ac:dyDescent="0.2">
      <c r="N319" s="392"/>
      <c r="O319" s="394"/>
      <c r="P319" s="394"/>
      <c r="Q319" s="394"/>
      <c r="R319" s="394"/>
      <c r="S319" s="394"/>
      <c r="T319" s="394"/>
    </row>
    <row r="320" spans="1:20" ht="12.75" x14ac:dyDescent="0.2">
      <c r="A320" s="12" t="s">
        <v>569</v>
      </c>
      <c r="N320" s="392"/>
      <c r="O320" s="394"/>
      <c r="P320" s="394"/>
      <c r="Q320" s="394"/>
      <c r="R320" s="394"/>
      <c r="S320" s="394"/>
      <c r="T320" s="394"/>
    </row>
    <row r="321" spans="1:20" ht="12.75" x14ac:dyDescent="0.2">
      <c r="A321" s="12" t="s">
        <v>603</v>
      </c>
      <c r="B321" s="12">
        <v>49.8196830749512</v>
      </c>
      <c r="C321" s="12">
        <v>49.146839</v>
      </c>
      <c r="D321" s="12">
        <v>298.99685699999998</v>
      </c>
      <c r="E321" s="12">
        <v>283.93829299999999</v>
      </c>
      <c r="F321" s="12">
        <v>288.00616500000001</v>
      </c>
      <c r="G321" s="12">
        <v>290.66430700000001</v>
      </c>
      <c r="H321" s="12">
        <v>294.18817100000001</v>
      </c>
      <c r="I321" s="12">
        <v>296.31951900000001</v>
      </c>
      <c r="J321" s="12">
        <v>1.2459999999999999E-3</v>
      </c>
      <c r="N321" s="392"/>
      <c r="O321" s="394"/>
      <c r="P321" s="394"/>
      <c r="Q321" s="394"/>
      <c r="R321" s="394"/>
      <c r="S321" s="394"/>
      <c r="T321" s="394"/>
    </row>
    <row r="322" spans="1:20" ht="15" x14ac:dyDescent="0.25">
      <c r="A322" s="12" t="s">
        <v>609</v>
      </c>
      <c r="B322" s="12">
        <v>717.06756591796898</v>
      </c>
      <c r="C322" s="12">
        <v>811.36804199999995</v>
      </c>
      <c r="D322" s="12">
        <v>426.677277</v>
      </c>
      <c r="E322" s="12">
        <v>354.47332799999998</v>
      </c>
      <c r="F322" s="12">
        <v>383.49230999999997</v>
      </c>
      <c r="G322" s="12">
        <v>398.69958500000001</v>
      </c>
      <c r="H322" s="12">
        <v>423.69613600000002</v>
      </c>
      <c r="I322" s="12">
        <v>435.14001500000001</v>
      </c>
      <c r="J322" s="12">
        <v>1.2570000000000001E-3</v>
      </c>
      <c r="N322" s="393"/>
      <c r="O322" s="398"/>
      <c r="P322" s="398"/>
      <c r="Q322" s="398"/>
      <c r="R322" s="398"/>
      <c r="S322" s="398"/>
      <c r="T322" s="398"/>
    </row>
    <row r="323" spans="1:20" x14ac:dyDescent="0.2">
      <c r="A323" s="12" t="s">
        <v>604</v>
      </c>
      <c r="D323" s="12">
        <v>0</v>
      </c>
      <c r="E323" s="12">
        <v>0</v>
      </c>
      <c r="F323" s="12">
        <v>0</v>
      </c>
      <c r="G323" s="12">
        <v>0</v>
      </c>
      <c r="H323" s="12">
        <v>0</v>
      </c>
      <c r="I323" s="12">
        <v>0</v>
      </c>
    </row>
    <row r="324" spans="1:20" x14ac:dyDescent="0.2">
      <c r="A324" s="12" t="s">
        <v>608</v>
      </c>
      <c r="D324" s="12">
        <v>0.33884700000000001</v>
      </c>
      <c r="E324" s="12">
        <v>2.7549830000000002</v>
      </c>
      <c r="F324" s="12">
        <v>4.4507919999999999</v>
      </c>
      <c r="G324" s="12">
        <v>6.3176829999999997</v>
      </c>
      <c r="H324" s="12">
        <v>9.7586309999999994</v>
      </c>
      <c r="I324" s="12">
        <v>13.496737</v>
      </c>
    </row>
    <row r="325" spans="1:20" x14ac:dyDescent="0.2">
      <c r="A325" s="12" t="s">
        <v>606</v>
      </c>
      <c r="B325" s="12">
        <v>766.88726806640602</v>
      </c>
      <c r="C325" s="12">
        <v>860.51489300000003</v>
      </c>
      <c r="D325" s="12">
        <f t="shared" ref="D325:I325" si="14">SUM(D321:D324)</f>
        <v>726.01298099999997</v>
      </c>
      <c r="E325" s="12">
        <f t="shared" si="14"/>
        <v>641.16660400000001</v>
      </c>
      <c r="F325" s="12">
        <f t="shared" si="14"/>
        <v>675.94926699999996</v>
      </c>
      <c r="G325" s="12">
        <f t="shared" si="14"/>
        <v>695.68157500000007</v>
      </c>
      <c r="H325" s="12">
        <f t="shared" si="14"/>
        <v>727.64293800000007</v>
      </c>
      <c r="I325" s="12">
        <f t="shared" si="14"/>
        <v>744.95627100000013</v>
      </c>
      <c r="J325" s="12">
        <v>1.2570000000000001E-3</v>
      </c>
    </row>
    <row r="327" spans="1:20" x14ac:dyDescent="0.2">
      <c r="A327" s="12" t="s">
        <v>612</v>
      </c>
    </row>
    <row r="328" spans="1:20" x14ac:dyDescent="0.2">
      <c r="A328" s="12" t="s">
        <v>613</v>
      </c>
      <c r="B328" s="12">
        <v>2688.080078125</v>
      </c>
      <c r="C328" s="12">
        <v>2483.01001</v>
      </c>
      <c r="D328" s="12">
        <v>2351.2385250000002</v>
      </c>
      <c r="E328" s="12">
        <v>2494.5539549999999</v>
      </c>
      <c r="F328" s="12">
        <v>2642.3332519999999</v>
      </c>
      <c r="G328" s="12">
        <v>2798.650635</v>
      </c>
      <c r="H328" s="12">
        <v>2904.2626949999999</v>
      </c>
      <c r="I328" s="12">
        <v>2972.8100589999999</v>
      </c>
      <c r="J328" s="12">
        <v>4.1700000000000001E-3</v>
      </c>
      <c r="K328" s="12">
        <f>B328/B330</f>
        <v>0.98709292324265363</v>
      </c>
    </row>
    <row r="329" spans="1:20" x14ac:dyDescent="0.2">
      <c r="A329" s="12" t="s">
        <v>614</v>
      </c>
      <c r="B329" s="12">
        <v>35.148998260497997</v>
      </c>
      <c r="C329" s="12">
        <v>32.208244000000001</v>
      </c>
      <c r="D329" s="12">
        <v>22.597695999999999</v>
      </c>
      <c r="E329" s="12">
        <v>22.450932000000002</v>
      </c>
      <c r="F329" s="12">
        <v>22.394030000000001</v>
      </c>
      <c r="G329" s="12">
        <v>22.371967000000001</v>
      </c>
      <c r="H329" s="12">
        <v>22.363415</v>
      </c>
      <c r="I329" s="12">
        <v>22.360098000000001</v>
      </c>
      <c r="J329" s="12">
        <v>-7.6800000000000002E-4</v>
      </c>
      <c r="K329" s="12">
        <f>B329/B330</f>
        <v>1.2907103372532983E-2</v>
      </c>
    </row>
    <row r="330" spans="1:20" x14ac:dyDescent="0.2">
      <c r="A330" s="12" t="s">
        <v>606</v>
      </c>
      <c r="B330" s="12">
        <v>2723.22900390625</v>
      </c>
      <c r="C330" s="12">
        <v>2515.2182619999999</v>
      </c>
      <c r="D330" s="12">
        <f t="shared" ref="D330:I330" si="15">SUM(D328:D329)</f>
        <v>2373.836221</v>
      </c>
      <c r="E330" s="12">
        <f t="shared" si="15"/>
        <v>2517.0048870000001</v>
      </c>
      <c r="F330" s="12">
        <f t="shared" si="15"/>
        <v>2664.7272819999998</v>
      </c>
      <c r="G330" s="12">
        <f t="shared" si="15"/>
        <v>2821.022602</v>
      </c>
      <c r="H330" s="12">
        <f t="shared" si="15"/>
        <v>2926.6261099999997</v>
      </c>
      <c r="I330" s="12">
        <f t="shared" si="15"/>
        <v>2995.170157</v>
      </c>
      <c r="J330" s="12">
        <v>4.1110000000000001E-3</v>
      </c>
    </row>
    <row r="332" spans="1:20" x14ac:dyDescent="0.2">
      <c r="A332" s="12" t="s">
        <v>615</v>
      </c>
    </row>
    <row r="333" spans="1:20" x14ac:dyDescent="0.2">
      <c r="A333" s="12" t="s">
        <v>616</v>
      </c>
    </row>
    <row r="334" spans="1:20" x14ac:dyDescent="0.2">
      <c r="A334" s="12" t="s">
        <v>617</v>
      </c>
      <c r="B334" s="12">
        <v>531.47747802734398</v>
      </c>
      <c r="C334" s="12">
        <v>591.081726</v>
      </c>
      <c r="D334" s="12">
        <v>491.838257</v>
      </c>
      <c r="E334" s="12">
        <v>500.720215</v>
      </c>
      <c r="F334" s="12">
        <v>502.43850700000002</v>
      </c>
      <c r="G334" s="12">
        <v>528.00769000000003</v>
      </c>
      <c r="H334" s="12">
        <v>561.53741500000001</v>
      </c>
      <c r="I334" s="12">
        <v>601.13360599999999</v>
      </c>
      <c r="J334" s="12">
        <v>-1.351E-3</v>
      </c>
    </row>
    <row r="335" spans="1:20" x14ac:dyDescent="0.2">
      <c r="A335" s="12" t="s">
        <v>618</v>
      </c>
      <c r="B335" s="12">
        <v>19.760156631469702</v>
      </c>
      <c r="C335" s="12">
        <v>22.169333999999999</v>
      </c>
      <c r="D335" s="12">
        <v>25.663264999999999</v>
      </c>
      <c r="E335" s="12">
        <v>21.570685999999998</v>
      </c>
      <c r="F335" s="12">
        <v>21.613565000000001</v>
      </c>
      <c r="G335" s="12">
        <v>22.709081999999999</v>
      </c>
      <c r="H335" s="12">
        <v>24.125171999999999</v>
      </c>
      <c r="I335" s="12">
        <v>25.828856999999999</v>
      </c>
      <c r="J335" s="12">
        <v>-1.34E-3</v>
      </c>
    </row>
    <row r="336" spans="1:20" x14ac:dyDescent="0.2">
      <c r="A336" s="12" t="s">
        <v>619</v>
      </c>
      <c r="B336" s="12">
        <v>128.31816101074199</v>
      </c>
      <c r="C336" s="12">
        <v>151.97833299999999</v>
      </c>
      <c r="D336" s="12">
        <v>128.898865</v>
      </c>
      <c r="E336" s="12">
        <v>131.226608</v>
      </c>
      <c r="F336" s="12">
        <v>131.676941</v>
      </c>
      <c r="G336" s="12">
        <v>138.37799100000001</v>
      </c>
      <c r="H336" s="12">
        <v>147.16532900000001</v>
      </c>
      <c r="I336" s="12">
        <v>157.54252600000001</v>
      </c>
      <c r="J336" s="12">
        <v>-1.351E-3</v>
      </c>
    </row>
    <row r="337" spans="1:17" x14ac:dyDescent="0.2">
      <c r="A337" s="12" t="s">
        <v>606</v>
      </c>
      <c r="B337" s="12">
        <v>679.55578613281295</v>
      </c>
      <c r="C337" s="12">
        <v>765.22937000000002</v>
      </c>
      <c r="D337" s="12">
        <f t="shared" ref="D337:I337" si="16">SUM(D334:D336)</f>
        <v>646.40038700000002</v>
      </c>
      <c r="E337" s="12">
        <f t="shared" si="16"/>
        <v>653.51750900000002</v>
      </c>
      <c r="F337" s="12">
        <f t="shared" si="16"/>
        <v>655.72901300000012</v>
      </c>
      <c r="G337" s="12">
        <f t="shared" si="16"/>
        <v>689.09476300000006</v>
      </c>
      <c r="H337" s="12">
        <f t="shared" si="16"/>
        <v>732.82791600000007</v>
      </c>
      <c r="I337" s="12">
        <f t="shared" si="16"/>
        <v>784.50498900000002</v>
      </c>
      <c r="J337" s="12">
        <v>-1.351E-3</v>
      </c>
    </row>
    <row r="338" spans="1:17" x14ac:dyDescent="0.2">
      <c r="M338" s="12" t="s">
        <v>594</v>
      </c>
      <c r="N338" s="12" t="s">
        <v>620</v>
      </c>
      <c r="O338" s="12">
        <v>2010</v>
      </c>
      <c r="P338" s="12">
        <v>2035</v>
      </c>
      <c r="Q338" s="12">
        <v>2055</v>
      </c>
    </row>
    <row r="339" spans="1:17" x14ac:dyDescent="0.2">
      <c r="A339" s="12" t="s">
        <v>621</v>
      </c>
      <c r="B339" s="12">
        <v>2005</v>
      </c>
      <c r="C339" s="12">
        <v>2010</v>
      </c>
      <c r="D339" s="12">
        <v>2015</v>
      </c>
      <c r="E339" s="12">
        <v>2020</v>
      </c>
      <c r="F339" s="12">
        <v>2025</v>
      </c>
      <c r="G339" s="12">
        <v>2030</v>
      </c>
      <c r="H339" s="12">
        <v>2035</v>
      </c>
      <c r="I339" s="12">
        <v>2040</v>
      </c>
      <c r="J339" s="12">
        <v>2045</v>
      </c>
      <c r="K339" s="12">
        <v>2050</v>
      </c>
      <c r="L339" s="12">
        <v>2055</v>
      </c>
      <c r="M339" s="12">
        <v>2035</v>
      </c>
      <c r="O339" s="12" t="s">
        <v>622</v>
      </c>
      <c r="P339" s="12" t="s">
        <v>622</v>
      </c>
      <c r="Q339" s="12" t="s">
        <v>622</v>
      </c>
    </row>
    <row r="340" spans="1:17" x14ac:dyDescent="0.2">
      <c r="A340" s="12" t="s">
        <v>623</v>
      </c>
    </row>
    <row r="341" spans="1:17" x14ac:dyDescent="0.2">
      <c r="A341" s="12" t="s">
        <v>624</v>
      </c>
      <c r="B341" s="12">
        <v>0.19670888781547499</v>
      </c>
      <c r="C341" s="12">
        <v>11.562298</v>
      </c>
      <c r="D341" s="12">
        <v>11.014538</v>
      </c>
      <c r="E341" s="12">
        <v>10.922402</v>
      </c>
      <c r="F341" s="12">
        <v>10.851221000000001</v>
      </c>
      <c r="G341" s="12">
        <v>10.784019000000001</v>
      </c>
      <c r="H341" s="12">
        <v>10.707018</v>
      </c>
      <c r="I341" s="12">
        <v>10.62078</v>
      </c>
      <c r="J341" s="12">
        <f t="shared" ref="J341:L344" si="17">I341*(1+$N341)^5</f>
        <v>10.623913499831165</v>
      </c>
      <c r="K341" s="12">
        <f t="shared" si="17"/>
        <v>10.627047924153864</v>
      </c>
      <c r="L341" s="12">
        <f t="shared" si="17"/>
        <v>10.630183273240855</v>
      </c>
      <c r="M341" s="12">
        <v>1.18E-4</v>
      </c>
      <c r="N341" s="12">
        <f>M341*0.5</f>
        <v>5.8999999999999998E-5</v>
      </c>
      <c r="O341" s="12">
        <f>(C341+C353)/C358</f>
        <v>9.9279878642966835E-2</v>
      </c>
      <c r="P341" s="12">
        <f>(H341+H353)/H358</f>
        <v>9.1756380609739216E-2</v>
      </c>
      <c r="Q341" s="12">
        <f>(L341+L353)/L358</f>
        <v>8.6663718730854405E-2</v>
      </c>
    </row>
    <row r="342" spans="1:17" x14ac:dyDescent="0.2">
      <c r="A342" s="12" t="s">
        <v>625</v>
      </c>
      <c r="B342" s="12">
        <v>90.025444030761705</v>
      </c>
      <c r="C342" s="12">
        <v>86.507392999999993</v>
      </c>
      <c r="D342" s="12">
        <v>81.917809000000005</v>
      </c>
      <c r="E342" s="12">
        <v>79.482697000000002</v>
      </c>
      <c r="F342" s="12">
        <v>74.017723000000004</v>
      </c>
      <c r="G342" s="12">
        <v>67.029503000000005</v>
      </c>
      <c r="H342" s="12">
        <v>57.526328999999997</v>
      </c>
      <c r="I342" s="12">
        <v>45.125084000000001</v>
      </c>
      <c r="J342" s="12">
        <f t="shared" si="17"/>
        <v>40.546076437236067</v>
      </c>
      <c r="K342" s="12">
        <f t="shared" si="17"/>
        <v>36.43171754437487</v>
      </c>
      <c r="L342" s="12">
        <f t="shared" si="17"/>
        <v>32.734857718913446</v>
      </c>
      <c r="M342" s="12">
        <v>-4.2345000000000001E-2</v>
      </c>
      <c r="N342" s="12">
        <f>M342*0.5</f>
        <v>-2.11725E-2</v>
      </c>
      <c r="O342" s="12">
        <f>(SUM(B342,B348,B354))/B358</f>
        <v>0.93214265708499455</v>
      </c>
      <c r="P342" s="12">
        <f>SUM(H342,H348,H354)/H358</f>
        <v>0.75345390979552873</v>
      </c>
      <c r="Q342" s="12">
        <f>SUM(L342,L348,L354)/L358</f>
        <v>0.64551895670044646</v>
      </c>
    </row>
    <row r="343" spans="1:17" x14ac:dyDescent="0.2">
      <c r="A343" s="12" t="s">
        <v>626</v>
      </c>
      <c r="B343" s="12">
        <f>C343*(1-M343)^5</f>
        <v>4.7780216831176689</v>
      </c>
      <c r="C343" s="12">
        <v>7.8765559999999999</v>
      </c>
      <c r="D343" s="12">
        <v>14.365652000000001</v>
      </c>
      <c r="E343" s="12">
        <v>17.926804000000001</v>
      </c>
      <c r="F343" s="12">
        <v>24.668240000000001</v>
      </c>
      <c r="G343" s="12">
        <v>32.935074</v>
      </c>
      <c r="H343" s="12">
        <v>43.629570000000001</v>
      </c>
      <c r="I343" s="12">
        <v>57.111167999999999</v>
      </c>
      <c r="J343" s="12">
        <f t="shared" si="17"/>
        <v>65.740034610262242</v>
      </c>
      <c r="K343" s="12">
        <f t="shared" si="17"/>
        <v>75.672627647161363</v>
      </c>
      <c r="L343" s="12">
        <f t="shared" si="17"/>
        <v>87.105925772239075</v>
      </c>
      <c r="M343" s="12">
        <v>9.5138E-2</v>
      </c>
      <c r="N343" s="12">
        <f>M343*0.3</f>
        <v>2.8541399999999998E-2</v>
      </c>
      <c r="O343" s="12">
        <f>(B343+B355)/B358</f>
        <v>2.2575585289844415E-2</v>
      </c>
      <c r="P343" s="12">
        <f>(H343+H355)/H358</f>
        <v>0.15413403176290771</v>
      </c>
      <c r="Q343" s="12">
        <f>(L343+L355)/L358</f>
        <v>0.26720041407341022</v>
      </c>
    </row>
    <row r="344" spans="1:17" x14ac:dyDescent="0.2">
      <c r="A344" s="12" t="s">
        <v>627</v>
      </c>
      <c r="C344" s="12">
        <v>7.3424000000000003E-2</v>
      </c>
      <c r="D344" s="12">
        <v>7.2290999999999994E-2</v>
      </c>
      <c r="E344" s="12">
        <v>7.1254999999999999E-2</v>
      </c>
      <c r="F344" s="12">
        <v>7.0045999999999997E-2</v>
      </c>
      <c r="G344" s="12">
        <v>6.8610000000000004E-2</v>
      </c>
      <c r="H344" s="12">
        <v>6.6928000000000001E-2</v>
      </c>
      <c r="I344" s="12">
        <v>6.5062999999999996E-2</v>
      </c>
      <c r="J344" s="12">
        <f t="shared" si="17"/>
        <v>6.4783223597710174E-2</v>
      </c>
      <c r="K344" s="12">
        <f t="shared" si="17"/>
        <v>6.4504650257610513E-2</v>
      </c>
      <c r="L344" s="12">
        <f t="shared" si="17"/>
        <v>6.4227274806431839E-2</v>
      </c>
      <c r="M344" s="12">
        <v>-1.7229999999999999E-3</v>
      </c>
      <c r="N344" s="12">
        <f>M344*0.5</f>
        <v>-8.6149999999999996E-4</v>
      </c>
      <c r="P344" s="12">
        <f>(H344+H356)/H358</f>
        <v>6.5567783182428048E-4</v>
      </c>
      <c r="Q344" s="12">
        <f>(L344+L356)/L358</f>
        <v>6.1691049528901025E-4</v>
      </c>
    </row>
    <row r="345" spans="1:17" x14ac:dyDescent="0.2">
      <c r="A345" s="12" t="s">
        <v>628</v>
      </c>
      <c r="B345" s="12">
        <f>B341+B342+B343</f>
        <v>95.000174601694852</v>
      </c>
      <c r="C345" s="12">
        <v>106.01966899999999</v>
      </c>
      <c r="D345" s="12">
        <f t="shared" ref="D345:I345" si="18">SUM(D341:D344)</f>
        <v>107.37029000000001</v>
      </c>
      <c r="E345" s="12">
        <f t="shared" si="18"/>
        <v>108.403158</v>
      </c>
      <c r="F345" s="12">
        <f t="shared" si="18"/>
        <v>109.60723</v>
      </c>
      <c r="G345" s="12">
        <f t="shared" si="18"/>
        <v>110.81720600000001</v>
      </c>
      <c r="H345" s="12">
        <f t="shared" si="18"/>
        <v>111.929845</v>
      </c>
      <c r="I345" s="12">
        <f t="shared" si="18"/>
        <v>112.922095</v>
      </c>
      <c r="J345" s="12">
        <f>SUM(J341:J344)</f>
        <v>116.97480777092719</v>
      </c>
      <c r="K345" s="12">
        <f>SUM(K341:K344)</f>
        <v>122.7958977659477</v>
      </c>
      <c r="L345" s="12">
        <f>SUM(L341:L344)</f>
        <v>130.53519403919981</v>
      </c>
      <c r="M345" s="12">
        <v>4.0829999999999998E-3</v>
      </c>
      <c r="N345" s="12">
        <f>EXP(LN(L345/H345)/20)-1</f>
        <v>7.7181619073889429E-3</v>
      </c>
    </row>
    <row r="346" spans="1:17" x14ac:dyDescent="0.2">
      <c r="A346" s="12" t="s">
        <v>629</v>
      </c>
      <c r="O346" s="12">
        <f>SUM(O341:O345)</f>
        <v>1.0539981210178058</v>
      </c>
      <c r="P346" s="12">
        <f>SUM(P341:P345)</f>
        <v>1</v>
      </c>
      <c r="Q346" s="12">
        <f>SUM(Q341:Q345)</f>
        <v>1.0000000000000002</v>
      </c>
    </row>
    <row r="347" spans="1:17" x14ac:dyDescent="0.2">
      <c r="A347" s="12" t="s">
        <v>624</v>
      </c>
      <c r="C347" s="12">
        <v>0</v>
      </c>
      <c r="D347" s="12">
        <v>0</v>
      </c>
      <c r="E347" s="12">
        <v>0</v>
      </c>
      <c r="F347" s="12">
        <v>0</v>
      </c>
      <c r="G347" s="12">
        <v>0</v>
      </c>
      <c r="H347" s="12">
        <v>0</v>
      </c>
      <c r="I347" s="12">
        <v>0</v>
      </c>
      <c r="J347" s="12">
        <v>0</v>
      </c>
      <c r="K347" s="12">
        <v>0</v>
      </c>
      <c r="L347" s="12">
        <v>0</v>
      </c>
      <c r="M347" s="12" t="s">
        <v>564</v>
      </c>
    </row>
    <row r="348" spans="1:17" x14ac:dyDescent="0.2">
      <c r="A348" s="12" t="s">
        <v>625</v>
      </c>
      <c r="B348" s="12">
        <f>C348*(1-M348)^5</f>
        <v>28.625736550969492</v>
      </c>
      <c r="C348" s="12">
        <v>29.96529</v>
      </c>
      <c r="D348" s="12">
        <v>31.627523</v>
      </c>
      <c r="E348" s="12">
        <v>32.913563000000003</v>
      </c>
      <c r="F348" s="12">
        <v>34.168987000000001</v>
      </c>
      <c r="G348" s="12">
        <v>35.350341999999998</v>
      </c>
      <c r="H348" s="12">
        <v>36.420932999999998</v>
      </c>
      <c r="I348" s="12">
        <v>37.389102999999999</v>
      </c>
      <c r="J348" s="12">
        <f>I348*(1+$N348)^5</f>
        <v>38.24795680208198</v>
      </c>
      <c r="K348" s="12">
        <f>J348*(1+$N348)^5</f>
        <v>39.126539075674785</v>
      </c>
      <c r="L348" s="12">
        <f>K348*(1+$N348)^5</f>
        <v>40.025302997544017</v>
      </c>
      <c r="M348" s="12">
        <v>9.1050000000000002E-3</v>
      </c>
      <c r="N348" s="12">
        <f>M348*0.5</f>
        <v>4.5525000000000001E-3</v>
      </c>
    </row>
    <row r="349" spans="1:17" x14ac:dyDescent="0.2">
      <c r="A349" s="12" t="s">
        <v>626</v>
      </c>
      <c r="C349" s="12">
        <v>0</v>
      </c>
      <c r="D349" s="12">
        <v>0</v>
      </c>
      <c r="E349" s="12">
        <v>0</v>
      </c>
      <c r="F349" s="12">
        <v>0</v>
      </c>
      <c r="G349" s="12">
        <v>0</v>
      </c>
      <c r="H349" s="12">
        <v>0</v>
      </c>
      <c r="I349" s="12">
        <v>0</v>
      </c>
      <c r="J349" s="12">
        <v>0</v>
      </c>
      <c r="K349" s="12">
        <v>0</v>
      </c>
      <c r="L349" s="12">
        <v>0</v>
      </c>
      <c r="M349" s="12" t="s">
        <v>564</v>
      </c>
    </row>
    <row r="350" spans="1:17" x14ac:dyDescent="0.2">
      <c r="A350" s="12" t="s">
        <v>627</v>
      </c>
      <c r="C350" s="12">
        <v>0</v>
      </c>
      <c r="D350" s="12">
        <v>0</v>
      </c>
      <c r="E350" s="12">
        <v>0</v>
      </c>
      <c r="F350" s="12">
        <v>0</v>
      </c>
      <c r="G350" s="12">
        <v>0</v>
      </c>
      <c r="H350" s="12">
        <v>0</v>
      </c>
      <c r="I350" s="12">
        <v>0</v>
      </c>
      <c r="J350" s="12">
        <v>0</v>
      </c>
      <c r="K350" s="12">
        <v>0</v>
      </c>
      <c r="L350" s="12">
        <v>0</v>
      </c>
      <c r="M350" s="12" t="s">
        <v>564</v>
      </c>
    </row>
    <row r="351" spans="1:17" x14ac:dyDescent="0.2">
      <c r="A351" s="12" t="s">
        <v>630</v>
      </c>
      <c r="B351" s="12">
        <f>B348</f>
        <v>28.625736550969492</v>
      </c>
      <c r="C351" s="12">
        <v>29.96529</v>
      </c>
      <c r="D351" s="12">
        <f t="shared" ref="D351:I351" si="19">SUM(D347:D350)</f>
        <v>31.627523</v>
      </c>
      <c r="E351" s="12">
        <f t="shared" si="19"/>
        <v>32.913563000000003</v>
      </c>
      <c r="F351" s="12">
        <f t="shared" si="19"/>
        <v>34.168987000000001</v>
      </c>
      <c r="G351" s="12">
        <f t="shared" si="19"/>
        <v>35.350341999999998</v>
      </c>
      <c r="H351" s="12">
        <f t="shared" si="19"/>
        <v>36.420932999999998</v>
      </c>
      <c r="I351" s="12">
        <f t="shared" si="19"/>
        <v>37.389102999999999</v>
      </c>
      <c r="J351" s="12">
        <f>SUM(J347:J350)</f>
        <v>38.24795680208198</v>
      </c>
      <c r="K351" s="12">
        <f>SUM(K347:K350)</f>
        <v>39.126539075674785</v>
      </c>
      <c r="L351" s="12">
        <f>SUM(L347:L350)</f>
        <v>40.025302997544017</v>
      </c>
      <c r="M351" s="12">
        <v>9.1050000000000002E-3</v>
      </c>
      <c r="N351" s="12">
        <f>M351*0.5</f>
        <v>4.5525000000000001E-3</v>
      </c>
    </row>
    <row r="352" spans="1:17" x14ac:dyDescent="0.2">
      <c r="A352" s="12" t="s">
        <v>631</v>
      </c>
    </row>
    <row r="353" spans="1:17" x14ac:dyDescent="0.2">
      <c r="A353" s="12" t="s">
        <v>624</v>
      </c>
      <c r="B353" s="12">
        <v>10.9795475006104</v>
      </c>
      <c r="C353" s="12">
        <v>13.483807000000001</v>
      </c>
      <c r="D353" s="12">
        <v>13.740634999999999</v>
      </c>
      <c r="E353" s="12">
        <v>14.508106</v>
      </c>
      <c r="F353" s="12">
        <v>15.281214</v>
      </c>
      <c r="G353" s="12">
        <v>16.039701000000001</v>
      </c>
      <c r="H353" s="12">
        <v>16.765689999999999</v>
      </c>
      <c r="I353" s="12">
        <v>17.461288</v>
      </c>
      <c r="J353" s="12">
        <f t="shared" ref="J353:L356" si="20">I353*(1+$N353)^5</f>
        <v>17.992657745578896</v>
      </c>
      <c r="K353" s="12">
        <f t="shared" si="20"/>
        <v>18.540197764880819</v>
      </c>
      <c r="L353" s="12">
        <f t="shared" si="20"/>
        <v>19.104400140404731</v>
      </c>
      <c r="M353" s="12">
        <v>1.2026999999999999E-2</v>
      </c>
      <c r="N353" s="12">
        <f>M353*0.5</f>
        <v>6.0134999999999997E-3</v>
      </c>
    </row>
    <row r="354" spans="1:17" x14ac:dyDescent="0.2">
      <c r="A354" s="12" t="s">
        <v>625</v>
      </c>
      <c r="B354" s="12">
        <v>111.41641998291</v>
      </c>
      <c r="C354" s="12">
        <v>101.66235399999999</v>
      </c>
      <c r="D354" s="12">
        <v>108.674797</v>
      </c>
      <c r="E354" s="12">
        <v>114.643074</v>
      </c>
      <c r="F354" s="12">
        <v>120.550369</v>
      </c>
      <c r="G354" s="12">
        <v>126.275406</v>
      </c>
      <c r="H354" s="12">
        <v>131.643799</v>
      </c>
      <c r="I354" s="12">
        <v>136.65505999999999</v>
      </c>
      <c r="J354" s="12">
        <f t="shared" si="20"/>
        <v>140.56362946972854</v>
      </c>
      <c r="K354" s="12">
        <f t="shared" si="20"/>
        <v>144.58399074065122</v>
      </c>
      <c r="L354" s="12">
        <f t="shared" si="20"/>
        <v>148.71934125032442</v>
      </c>
      <c r="M354" s="12">
        <v>1.1311999999999999E-2</v>
      </c>
      <c r="N354" s="12">
        <f>M354*0.5</f>
        <v>5.6559999999999996E-3</v>
      </c>
    </row>
    <row r="355" spans="1:17" x14ac:dyDescent="0.2">
      <c r="A355" s="12" t="s">
        <v>626</v>
      </c>
      <c r="B355" s="12">
        <f>C355*(1-M355)^5</f>
        <v>0.79399103349736322</v>
      </c>
      <c r="C355" s="12">
        <v>1.045701</v>
      </c>
      <c r="D355" s="12">
        <v>1.2813190000000001</v>
      </c>
      <c r="E355" s="12">
        <v>1.4545349999999999</v>
      </c>
      <c r="F355" s="12">
        <v>1.733838</v>
      </c>
      <c r="G355" s="12">
        <v>2.0784229999999999</v>
      </c>
      <c r="H355" s="12">
        <v>2.5195829999999999</v>
      </c>
      <c r="I355" s="12">
        <v>3.0747049999999998</v>
      </c>
      <c r="J355" s="12">
        <f t="shared" si="20"/>
        <v>3.5092708835198678</v>
      </c>
      <c r="K355" s="12">
        <f t="shared" si="20"/>
        <v>4.0052564827911343</v>
      </c>
      <c r="L355" s="12">
        <f t="shared" si="20"/>
        <v>4.5713426023270927</v>
      </c>
      <c r="M355" s="12">
        <v>5.3585000000000001E-2</v>
      </c>
      <c r="N355" s="12">
        <f>M355*0.5</f>
        <v>2.67925E-2</v>
      </c>
    </row>
    <row r="356" spans="1:17" x14ac:dyDescent="0.2">
      <c r="A356" s="12" t="s">
        <v>627</v>
      </c>
      <c r="C356" s="12">
        <v>0.100942</v>
      </c>
      <c r="D356" s="12">
        <v>0.106042</v>
      </c>
      <c r="E356" s="12">
        <v>0.111965</v>
      </c>
      <c r="F356" s="12">
        <v>0.117932</v>
      </c>
      <c r="G356" s="12">
        <v>0.12378500000000001</v>
      </c>
      <c r="H356" s="12">
        <v>0.129388</v>
      </c>
      <c r="I356" s="12">
        <v>0.13475599999999999</v>
      </c>
      <c r="J356" s="12">
        <f t="shared" si="20"/>
        <v>0.13885680066460329</v>
      </c>
      <c r="K356" s="12">
        <f t="shared" si="20"/>
        <v>0.14308239403669876</v>
      </c>
      <c r="L356" s="12">
        <f t="shared" si="20"/>
        <v>0.14743657772097796</v>
      </c>
      <c r="M356" s="12">
        <v>1.2026999999999999E-2</v>
      </c>
      <c r="N356" s="12">
        <f>M356*0.5</f>
        <v>6.0134999999999997E-3</v>
      </c>
    </row>
    <row r="357" spans="1:17" x14ac:dyDescent="0.2">
      <c r="A357" s="12" t="s">
        <v>632</v>
      </c>
      <c r="B357" s="12">
        <f>B353+B354+B355</f>
        <v>123.18995851701776</v>
      </c>
      <c r="C357" s="12">
        <v>116.29280900000001</v>
      </c>
      <c r="D357" s="12">
        <f t="shared" ref="D357:I357" si="21">SUM(D353:D356)</f>
        <v>123.80279299999999</v>
      </c>
      <c r="E357" s="12">
        <f t="shared" si="21"/>
        <v>130.71768</v>
      </c>
      <c r="F357" s="12">
        <f t="shared" si="21"/>
        <v>137.68335299999998</v>
      </c>
      <c r="G357" s="12">
        <f t="shared" si="21"/>
        <v>144.517315</v>
      </c>
      <c r="H357" s="12">
        <f t="shared" si="21"/>
        <v>151.05846000000003</v>
      </c>
      <c r="I357" s="12">
        <f t="shared" si="21"/>
        <v>157.32580899999999</v>
      </c>
      <c r="J357" s="12">
        <f>SUM(J353:J356)</f>
        <v>162.20441489949189</v>
      </c>
      <c r="K357" s="12">
        <f>SUM(K353:K356)</f>
        <v>167.27252738235987</v>
      </c>
      <c r="L357" s="12">
        <f>SUM(L353:L356)</f>
        <v>172.54252057077721</v>
      </c>
      <c r="M357" s="12">
        <v>1.2038999999999999E-2</v>
      </c>
      <c r="N357" s="12">
        <f>M357*0.5</f>
        <v>6.0194999999999997E-3</v>
      </c>
    </row>
    <row r="358" spans="1:17" x14ac:dyDescent="0.2">
      <c r="A358" s="12" t="s">
        <v>633</v>
      </c>
      <c r="B358" s="12">
        <f>B345+B351+B357</f>
        <v>246.81586966968212</v>
      </c>
      <c r="C358" s="12">
        <v>252.27775600000001</v>
      </c>
      <c r="D358" s="12">
        <f t="shared" ref="D358:I358" si="22">D345+D351+D357</f>
        <v>262.80060600000002</v>
      </c>
      <c r="E358" s="12">
        <f t="shared" si="22"/>
        <v>272.034401</v>
      </c>
      <c r="F358" s="12">
        <f t="shared" si="22"/>
        <v>281.45956999999999</v>
      </c>
      <c r="G358" s="12">
        <f t="shared" si="22"/>
        <v>290.68486300000001</v>
      </c>
      <c r="H358" s="12">
        <f t="shared" si="22"/>
        <v>299.40923800000002</v>
      </c>
      <c r="I358" s="12">
        <f t="shared" si="22"/>
        <v>307.63700699999998</v>
      </c>
      <c r="J358" s="12">
        <f>J345+J351+J357</f>
        <v>317.42717947250105</v>
      </c>
      <c r="K358" s="12">
        <f>K345+K351+K357</f>
        <v>329.19496422398231</v>
      </c>
      <c r="L358" s="12">
        <f>L345+L351+L357</f>
        <v>343.103017607521</v>
      </c>
      <c r="M358" s="12">
        <v>8.5120000000000005E-3</v>
      </c>
      <c r="N358" s="12">
        <f>EXP(LN(L358/H358)/20)-1</f>
        <v>6.8342183315228677E-3</v>
      </c>
    </row>
    <row r="359" spans="1:17" x14ac:dyDescent="0.2">
      <c r="A359" s="12" t="s">
        <v>634</v>
      </c>
      <c r="B359" s="12">
        <v>245.9814136589813</v>
      </c>
      <c r="C359" s="12">
        <v>250.94158458454106</v>
      </c>
      <c r="D359" s="12">
        <v>260.45733981159418</v>
      </c>
      <c r="E359" s="12">
        <v>269.13188163285025</v>
      </c>
      <c r="F359" s="12">
        <v>277.50563561352658</v>
      </c>
      <c r="G359" s="12">
        <v>285.44129581642511</v>
      </c>
      <c r="H359" s="12">
        <v>292.49801218840588</v>
      </c>
      <c r="I359" s="12">
        <v>298.62366370048306</v>
      </c>
      <c r="J359" s="12">
        <v>307.05651053381871</v>
      </c>
      <c r="K359" s="12">
        <v>317.26252747022136</v>
      </c>
      <c r="L359" s="12">
        <v>329.37357161905948</v>
      </c>
    </row>
    <row r="360" spans="1:17" x14ac:dyDescent="0.2">
      <c r="A360" s="12" t="s">
        <v>624</v>
      </c>
      <c r="B360" s="12">
        <f>B341+B347+B353</f>
        <v>11.176256388425875</v>
      </c>
      <c r="C360" s="12">
        <f t="shared" ref="C360:L364" si="23">C341+C347+C353</f>
        <v>25.046105000000001</v>
      </c>
      <c r="D360" s="12">
        <f t="shared" si="23"/>
        <v>24.755172999999999</v>
      </c>
      <c r="E360" s="12">
        <f t="shared" si="23"/>
        <v>25.430508</v>
      </c>
      <c r="F360" s="12">
        <f t="shared" si="23"/>
        <v>26.132435000000001</v>
      </c>
      <c r="G360" s="12">
        <f t="shared" si="23"/>
        <v>26.823720000000002</v>
      </c>
      <c r="H360" s="12">
        <f t="shared" si="23"/>
        <v>27.472707999999997</v>
      </c>
      <c r="I360" s="12">
        <f t="shared" si="23"/>
        <v>28.082068</v>
      </c>
      <c r="J360" s="12">
        <f t="shared" si="23"/>
        <v>28.616571245410061</v>
      </c>
      <c r="K360" s="12">
        <f t="shared" si="23"/>
        <v>29.167245689034683</v>
      </c>
      <c r="L360" s="12">
        <f t="shared" si="23"/>
        <v>29.734583413645588</v>
      </c>
      <c r="O360" s="12">
        <f>C360/C$364</f>
        <v>9.927987392055887E-2</v>
      </c>
      <c r="P360" s="12">
        <f>H360/H$364</f>
        <v>9.1756380609739216E-2</v>
      </c>
      <c r="Q360" s="12">
        <f>L360/L$364</f>
        <v>8.6663718730854405E-2</v>
      </c>
    </row>
    <row r="361" spans="1:17" x14ac:dyDescent="0.2">
      <c r="A361" s="12" t="s">
        <v>625</v>
      </c>
      <c r="B361" s="12">
        <f>B342+B348+B354</f>
        <v>230.0676005646412</v>
      </c>
      <c r="C361" s="12">
        <f>C342+C348+C354</f>
        <v>218.13503699999998</v>
      </c>
      <c r="D361" s="12">
        <f t="shared" si="23"/>
        <v>222.22012899999999</v>
      </c>
      <c r="E361" s="12">
        <f t="shared" si="23"/>
        <v>227.039334</v>
      </c>
      <c r="F361" s="12">
        <f t="shared" si="23"/>
        <v>228.73707899999999</v>
      </c>
      <c r="G361" s="12">
        <f t="shared" si="23"/>
        <v>228.65525100000002</v>
      </c>
      <c r="H361" s="12">
        <f t="shared" si="23"/>
        <v>225.591061</v>
      </c>
      <c r="I361" s="12">
        <f t="shared" si="23"/>
        <v>219.16924699999998</v>
      </c>
      <c r="J361" s="12">
        <f t="shared" ref="J361:L364" si="24">J342+J348+J354</f>
        <v>219.35766270904659</v>
      </c>
      <c r="K361" s="12">
        <f t="shared" si="24"/>
        <v>220.14224736070088</v>
      </c>
      <c r="L361" s="12">
        <f t="shared" si="24"/>
        <v>221.47950196678187</v>
      </c>
      <c r="O361" s="12">
        <f>C361/C$364</f>
        <v>0.86466214890564586</v>
      </c>
      <c r="P361" s="12">
        <f>H361/H$364</f>
        <v>0.75345390979552873</v>
      </c>
      <c r="Q361" s="12">
        <f>L361/L$364</f>
        <v>0.64551895670044646</v>
      </c>
    </row>
    <row r="362" spans="1:17" x14ac:dyDescent="0.2">
      <c r="A362" s="12" t="s">
        <v>626</v>
      </c>
      <c r="B362" s="12">
        <f>B343+B349+B355</f>
        <v>5.5720127166150322</v>
      </c>
      <c r="C362" s="12">
        <f>C343+C349+C355</f>
        <v>8.9222570000000001</v>
      </c>
      <c r="D362" s="12">
        <f t="shared" si="23"/>
        <v>15.646971000000001</v>
      </c>
      <c r="E362" s="12">
        <f t="shared" si="23"/>
        <v>19.381339000000001</v>
      </c>
      <c r="F362" s="12">
        <f t="shared" si="23"/>
        <v>26.402077999999999</v>
      </c>
      <c r="G362" s="12">
        <f t="shared" si="23"/>
        <v>35.013497000000001</v>
      </c>
      <c r="H362" s="12">
        <f t="shared" si="23"/>
        <v>46.149152999999998</v>
      </c>
      <c r="I362" s="12">
        <f t="shared" si="23"/>
        <v>60.185873000000001</v>
      </c>
      <c r="J362" s="12">
        <f t="shared" si="24"/>
        <v>69.249305493782117</v>
      </c>
      <c r="K362" s="12">
        <f t="shared" si="24"/>
        <v>79.677884129952503</v>
      </c>
      <c r="L362" s="12">
        <f t="shared" si="24"/>
        <v>91.677268374566168</v>
      </c>
      <c r="O362" s="12">
        <f>C362/C$364</f>
        <v>3.5366798551983381E-2</v>
      </c>
      <c r="P362" s="12">
        <f>H362/H$364</f>
        <v>0.15413403176290771</v>
      </c>
      <c r="Q362" s="12">
        <f>L362/L$364</f>
        <v>0.26720041407341022</v>
      </c>
    </row>
    <row r="363" spans="1:17" x14ac:dyDescent="0.2">
      <c r="A363" s="12" t="s">
        <v>627</v>
      </c>
      <c r="B363" s="12">
        <f>B344+B350+B356</f>
        <v>0</v>
      </c>
      <c r="C363" s="12">
        <f>C344+C350+C356</f>
        <v>0.17436600000000002</v>
      </c>
      <c r="D363" s="12">
        <f t="shared" si="23"/>
        <v>0.17833299999999999</v>
      </c>
      <c r="E363" s="12">
        <f t="shared" si="23"/>
        <v>0.18321999999999999</v>
      </c>
      <c r="F363" s="12">
        <f t="shared" si="23"/>
        <v>0.18797799999999998</v>
      </c>
      <c r="G363" s="12">
        <f t="shared" si="23"/>
        <v>0.19239500000000001</v>
      </c>
      <c r="H363" s="12">
        <f t="shared" si="23"/>
        <v>0.19631599999999999</v>
      </c>
      <c r="I363" s="12">
        <f t="shared" si="23"/>
        <v>0.19981899999999997</v>
      </c>
      <c r="J363" s="12">
        <f t="shared" si="24"/>
        <v>0.20364002426231348</v>
      </c>
      <c r="K363" s="12">
        <f t="shared" si="24"/>
        <v>0.20758704429430927</v>
      </c>
      <c r="L363" s="12">
        <f t="shared" si="24"/>
        <v>0.2116638525274098</v>
      </c>
      <c r="O363" s="12">
        <f>C363/C$364</f>
        <v>6.9116673015753025E-4</v>
      </c>
      <c r="P363" s="12">
        <f>H363/H$364</f>
        <v>6.5567783182428048E-4</v>
      </c>
      <c r="Q363" s="12">
        <f>L363/L$364</f>
        <v>6.1691049528901025E-4</v>
      </c>
    </row>
    <row r="364" spans="1:17" x14ac:dyDescent="0.2">
      <c r="B364" s="12">
        <f>B345+B351+B357</f>
        <v>246.81586966968212</v>
      </c>
      <c r="C364" s="12">
        <f>C345+C351+C357</f>
        <v>252.27776800000001</v>
      </c>
      <c r="D364" s="12">
        <f t="shared" si="23"/>
        <v>262.80060600000002</v>
      </c>
      <c r="E364" s="12">
        <f t="shared" si="23"/>
        <v>272.034401</v>
      </c>
      <c r="F364" s="12">
        <f t="shared" si="23"/>
        <v>281.45956999999999</v>
      </c>
      <c r="G364" s="12">
        <f t="shared" si="23"/>
        <v>290.68486300000001</v>
      </c>
      <c r="H364" s="12">
        <f t="shared" si="23"/>
        <v>299.40923800000002</v>
      </c>
      <c r="I364" s="12">
        <f t="shared" si="23"/>
        <v>307.63700699999998</v>
      </c>
      <c r="J364" s="12">
        <f t="shared" si="24"/>
        <v>317.42717947250105</v>
      </c>
      <c r="K364" s="12">
        <f t="shared" si="24"/>
        <v>329.19496422398231</v>
      </c>
      <c r="L364" s="12">
        <f t="shared" si="24"/>
        <v>343.103017607521</v>
      </c>
    </row>
    <row r="365" spans="1:17" x14ac:dyDescent="0.2">
      <c r="A365" s="12" t="s">
        <v>635</v>
      </c>
    </row>
    <row r="366" spans="1:17" x14ac:dyDescent="0.2">
      <c r="A366" s="12" t="s">
        <v>636</v>
      </c>
      <c r="B366" s="12">
        <v>1.36828517913818</v>
      </c>
      <c r="C366" s="12">
        <v>1.5326470000000001</v>
      </c>
      <c r="D366" s="12">
        <v>1.742138</v>
      </c>
      <c r="E366" s="12">
        <v>1.554813</v>
      </c>
      <c r="F366" s="12">
        <v>1.646631</v>
      </c>
      <c r="G366" s="12">
        <v>1.68591</v>
      </c>
      <c r="H366" s="12">
        <v>1.763234</v>
      </c>
      <c r="I366" s="12">
        <v>1.8461419999999999</v>
      </c>
      <c r="J366" s="12">
        <f>I366*(1+$M366)^5</f>
        <v>1.9643497474583789</v>
      </c>
      <c r="K366" s="12">
        <f>J366*(1+$M366)^5</f>
        <v>2.0901262905777545</v>
      </c>
      <c r="L366" s="12">
        <f>K366*(1+$M366)^5</f>
        <v>2.2239562563727655</v>
      </c>
      <c r="M366" s="12">
        <v>1.2489999999999999E-2</v>
      </c>
    </row>
    <row r="367" spans="1:17" x14ac:dyDescent="0.2">
      <c r="A367" s="12" t="s">
        <v>637</v>
      </c>
      <c r="B367" s="12">
        <v>12.019849777221699</v>
      </c>
      <c r="C367" s="12">
        <v>13.532938</v>
      </c>
      <c r="D367" s="12">
        <v>15.679235</v>
      </c>
      <c r="E367" s="12">
        <v>13.993314</v>
      </c>
      <c r="F367" s="12">
        <v>14.819673999999999</v>
      </c>
      <c r="G367" s="12">
        <v>15.173185999999999</v>
      </c>
      <c r="H367" s="12">
        <v>15.869107</v>
      </c>
      <c r="I367" s="12">
        <v>16.615271</v>
      </c>
      <c r="J367" s="12">
        <f t="shared" ref="J367:L371" si="25">I367*(1+$M367)^5</f>
        <v>17.679052973831908</v>
      </c>
      <c r="K367" s="12">
        <f t="shared" si="25"/>
        <v>18.810942900152206</v>
      </c>
      <c r="L367" s="12">
        <f t="shared" si="25"/>
        <v>20.015301346545481</v>
      </c>
      <c r="M367" s="12">
        <v>1.2489E-2</v>
      </c>
    </row>
    <row r="368" spans="1:17" x14ac:dyDescent="0.2">
      <c r="A368" s="12" t="s">
        <v>638</v>
      </c>
      <c r="B368" s="12">
        <v>14.6827716827393</v>
      </c>
      <c r="C368" s="12">
        <v>14.905403</v>
      </c>
      <c r="D368" s="12">
        <v>15.280471</v>
      </c>
      <c r="E368" s="12">
        <v>16.462076</v>
      </c>
      <c r="F368" s="12">
        <v>17.390951000000001</v>
      </c>
      <c r="G368" s="12">
        <v>18.285793000000002</v>
      </c>
      <c r="H368" s="12">
        <v>19.070450000000001</v>
      </c>
      <c r="I368" s="12">
        <v>20.155982999999999</v>
      </c>
      <c r="J368" s="12">
        <f t="shared" si="25"/>
        <v>21.242093349281969</v>
      </c>
      <c r="K368" s="12">
        <f t="shared" si="25"/>
        <v>22.386729035225386</v>
      </c>
      <c r="L368" s="12">
        <f t="shared" si="25"/>
        <v>23.59304371071055</v>
      </c>
      <c r="M368" s="12">
        <v>1.0552000000000001E-2</v>
      </c>
    </row>
    <row r="369" spans="1:14" x14ac:dyDescent="0.2">
      <c r="A369" s="12" t="s">
        <v>639</v>
      </c>
      <c r="B369" s="12">
        <v>4.6282238960266104</v>
      </c>
      <c r="C369" s="12">
        <v>6.2289719999999997</v>
      </c>
      <c r="D369" s="12">
        <v>6.2737400000000001</v>
      </c>
      <c r="E369" s="12">
        <v>6.8573700000000004</v>
      </c>
      <c r="F369" s="12">
        <v>7.269692</v>
      </c>
      <c r="G369" s="12">
        <v>7.6791720000000003</v>
      </c>
      <c r="H369" s="12">
        <v>8.0227120000000003</v>
      </c>
      <c r="I369" s="12">
        <v>8.6227889999999991</v>
      </c>
      <c r="J369" s="12">
        <f t="shared" si="25"/>
        <v>9.1175050329279728</v>
      </c>
      <c r="K369" s="12">
        <f t="shared" si="25"/>
        <v>9.6406044523954968</v>
      </c>
      <c r="L369" s="12">
        <f t="shared" si="25"/>
        <v>10.193715700938961</v>
      </c>
      <c r="M369" s="12">
        <v>1.1220000000000001E-2</v>
      </c>
    </row>
    <row r="370" spans="1:14" x14ac:dyDescent="0.2">
      <c r="A370" s="12" t="s">
        <v>640</v>
      </c>
      <c r="B370" s="12">
        <v>9.2629423141479492</v>
      </c>
      <c r="C370" s="12">
        <v>11.359215000000001</v>
      </c>
      <c r="D370" s="12">
        <v>11.808797999999999</v>
      </c>
      <c r="E370" s="12">
        <v>13.095337000000001</v>
      </c>
      <c r="F370" s="12">
        <v>13.97372</v>
      </c>
      <c r="G370" s="12">
        <v>14.883554</v>
      </c>
      <c r="H370" s="12">
        <v>15.603406</v>
      </c>
      <c r="I370" s="12">
        <v>16.708776</v>
      </c>
      <c r="J370" s="12">
        <f t="shared" si="25"/>
        <v>17.744242746189681</v>
      </c>
      <c r="K370" s="12">
        <f t="shared" si="25"/>
        <v>18.843878847601111</v>
      </c>
      <c r="L370" s="12">
        <f t="shared" si="25"/>
        <v>20.011660970954615</v>
      </c>
      <c r="M370" s="12">
        <v>1.2097999999999999E-2</v>
      </c>
    </row>
    <row r="371" spans="1:14" x14ac:dyDescent="0.2">
      <c r="A371" s="12" t="s">
        <v>641</v>
      </c>
      <c r="B371" s="12">
        <v>41.962074279785199</v>
      </c>
      <c r="C371" s="12">
        <v>47.559176999999998</v>
      </c>
      <c r="D371" s="12">
        <f t="shared" ref="D371:I371" si="26">SUM(D366:D370)</f>
        <v>50.784381999999994</v>
      </c>
      <c r="E371" s="12">
        <f t="shared" si="26"/>
        <v>51.962910000000001</v>
      </c>
      <c r="F371" s="12">
        <f t="shared" si="26"/>
        <v>55.100667999999999</v>
      </c>
      <c r="G371" s="12">
        <f t="shared" si="26"/>
        <v>57.707615000000004</v>
      </c>
      <c r="H371" s="12">
        <f t="shared" si="26"/>
        <v>60.328909000000003</v>
      </c>
      <c r="I371" s="12">
        <f t="shared" si="26"/>
        <v>63.948960999999997</v>
      </c>
      <c r="J371" s="12">
        <f t="shared" si="25"/>
        <v>67.755100268830844</v>
      </c>
      <c r="K371" s="12">
        <f t="shared" si="25"/>
        <v>71.787774823101842</v>
      </c>
      <c r="L371" s="12">
        <f t="shared" si="25"/>
        <v>76.060467678521249</v>
      </c>
      <c r="M371" s="12">
        <v>1.163E-2</v>
      </c>
    </row>
    <row r="372" spans="1:14" x14ac:dyDescent="0.2">
      <c r="A372" s="12" t="s">
        <v>642</v>
      </c>
      <c r="B372" s="12">
        <f>B366/B367</f>
        <v>0.11383546421113835</v>
      </c>
      <c r="C372" s="12">
        <f t="shared" ref="C372:I372" si="27">C366/C367</f>
        <v>0.11325308665420622</v>
      </c>
      <c r="D372" s="12">
        <f t="shared" si="27"/>
        <v>0.11111116071670588</v>
      </c>
      <c r="E372" s="12">
        <f t="shared" si="27"/>
        <v>0.11111113493201111</v>
      </c>
      <c r="F372" s="12">
        <f t="shared" si="27"/>
        <v>0.11111114859881534</v>
      </c>
      <c r="G372" s="12">
        <f t="shared" si="27"/>
        <v>0.1111111404025496</v>
      </c>
      <c r="H372" s="12">
        <f t="shared" si="27"/>
        <v>0.11111110410938688</v>
      </c>
      <c r="I372" s="12">
        <f t="shared" si="27"/>
        <v>0.11111115792213079</v>
      </c>
      <c r="M372" s="12">
        <f>AVERAGE(B372:I372)</f>
        <v>0.111719424693368</v>
      </c>
      <c r="N372" s="12" t="s">
        <v>643</v>
      </c>
    </row>
    <row r="373" spans="1:14" x14ac:dyDescent="0.2">
      <c r="A373" s="12" t="s">
        <v>644</v>
      </c>
      <c r="B373" s="12">
        <f>B370/(B369+B370)</f>
        <v>0.66682250964381407</v>
      </c>
      <c r="C373" s="12">
        <f t="shared" ref="C373:L373" si="28">C370/(C369+C370)</f>
        <v>0.64584342888780977</v>
      </c>
      <c r="D373" s="12">
        <f t="shared" si="28"/>
        <v>0.65304980971144644</v>
      </c>
      <c r="E373" s="12">
        <f t="shared" si="28"/>
        <v>0.65631881428419714</v>
      </c>
      <c r="F373" s="12">
        <f t="shared" si="28"/>
        <v>0.65779075414062493</v>
      </c>
      <c r="G373" s="12">
        <f t="shared" si="28"/>
        <v>0.65965229556038574</v>
      </c>
      <c r="H373" s="12">
        <f t="shared" si="28"/>
        <v>0.66043037624716849</v>
      </c>
      <c r="I373" s="12">
        <f t="shared" si="28"/>
        <v>0.65960298939287809</v>
      </c>
      <c r="J373" s="12">
        <f>J370/(J369+J370)</f>
        <v>0.66057662710927811</v>
      </c>
      <c r="K373" s="12">
        <f t="shared" si="28"/>
        <v>0.66154890889677309</v>
      </c>
      <c r="L373" s="12">
        <f t="shared" si="28"/>
        <v>0.66251982845079627</v>
      </c>
    </row>
    <row r="374" spans="1:14" x14ac:dyDescent="0.2">
      <c r="A374" s="12" t="s">
        <v>645</v>
      </c>
      <c r="B374" s="12">
        <v>238.76042175293</v>
      </c>
      <c r="C374" s="12">
        <v>254.235229</v>
      </c>
      <c r="D374" s="12">
        <v>242.32740799999999</v>
      </c>
      <c r="E374" s="12">
        <v>253.949341</v>
      </c>
      <c r="F374" s="12">
        <v>263.08783</v>
      </c>
      <c r="G374" s="12">
        <v>271.47833300000002</v>
      </c>
      <c r="H374" s="12">
        <v>278.05593900000002</v>
      </c>
      <c r="I374" s="12">
        <v>282.41995200000002</v>
      </c>
    </row>
    <row r="375" spans="1:14" x14ac:dyDescent="0.2">
      <c r="A375" s="12" t="s">
        <v>646</v>
      </c>
      <c r="C375" s="12">
        <v>206.328171</v>
      </c>
      <c r="D375" s="12">
        <v>198.111267</v>
      </c>
      <c r="E375" s="12">
        <v>211.57408100000001</v>
      </c>
      <c r="F375" s="12">
        <v>218.46978799999999</v>
      </c>
      <c r="G375" s="12">
        <v>222.84683200000001</v>
      </c>
      <c r="H375" s="12">
        <v>224.423889</v>
      </c>
      <c r="I375" s="12">
        <v>223.34747300000001</v>
      </c>
    </row>
    <row r="376" spans="1:14" x14ac:dyDescent="0.2">
      <c r="A376" s="12" t="s">
        <v>647</v>
      </c>
      <c r="C376" s="12">
        <v>47.907066</v>
      </c>
      <c r="D376" s="12">
        <v>49.508136999999998</v>
      </c>
      <c r="E376" s="12">
        <v>55.511932000000002</v>
      </c>
      <c r="F376" s="12">
        <v>60.396110999999998</v>
      </c>
      <c r="G376" s="12">
        <v>65.688605999999993</v>
      </c>
      <c r="H376" s="12">
        <v>70.346091999999999</v>
      </c>
      <c r="I376" s="12">
        <v>75.197609</v>
      </c>
    </row>
    <row r="378" spans="1:14" x14ac:dyDescent="0.2">
      <c r="A378" s="12" t="s">
        <v>648</v>
      </c>
      <c r="B378" s="12">
        <v>150.99998474121099</v>
      </c>
      <c r="C378" s="12">
        <v>140</v>
      </c>
      <c r="D378" s="12">
        <v>133.882599</v>
      </c>
      <c r="E378" s="12">
        <v>137.64695699999999</v>
      </c>
      <c r="F378" s="12">
        <v>136.721069</v>
      </c>
      <c r="G378" s="12">
        <v>137.664185</v>
      </c>
      <c r="H378" s="12">
        <v>138.44519</v>
      </c>
      <c r="I378" s="12">
        <v>139.92749000000001</v>
      </c>
    </row>
    <row r="379" spans="1:14" x14ac:dyDescent="0.2">
      <c r="A379" s="12" t="s">
        <v>649</v>
      </c>
      <c r="B379" s="12">
        <v>601.73669433593795</v>
      </c>
      <c r="C379" s="12">
        <v>647.27655000000004</v>
      </c>
      <c r="D379" s="12">
        <v>891.51519800000005</v>
      </c>
      <c r="E379" s="12">
        <v>833.78912400000002</v>
      </c>
      <c r="F379" s="12">
        <v>890.49902299999997</v>
      </c>
      <c r="G379" s="12">
        <v>940.95318599999996</v>
      </c>
      <c r="H379" s="12">
        <v>997.70752000000005</v>
      </c>
      <c r="I379" s="12">
        <v>1069.1917719999999</v>
      </c>
    </row>
    <row r="381" spans="1:14" x14ac:dyDescent="0.2">
      <c r="A381" s="12" t="s">
        <v>650</v>
      </c>
      <c r="B381" s="12">
        <v>1972.51159667969</v>
      </c>
      <c r="C381" s="12">
        <v>2106.578125</v>
      </c>
      <c r="D381" s="12">
        <v>2010.980957</v>
      </c>
      <c r="E381" s="12">
        <v>2054.6286620000001</v>
      </c>
      <c r="F381" s="12">
        <v>2108.9658199999999</v>
      </c>
      <c r="G381" s="12">
        <v>2220.2490229999999</v>
      </c>
      <c r="H381" s="12">
        <v>2292.8022460000002</v>
      </c>
      <c r="I381" s="12">
        <v>2365.4570309999999</v>
      </c>
    </row>
    <row r="383" spans="1:14" x14ac:dyDescent="0.2">
      <c r="A383" s="12" t="s">
        <v>651</v>
      </c>
      <c r="B383" s="12">
        <v>27899.853515625</v>
      </c>
      <c r="C383" s="12">
        <v>27586.464843999998</v>
      </c>
      <c r="D383" s="12">
        <v>28136.337890999999</v>
      </c>
      <c r="E383" s="12">
        <v>28278.126952999999</v>
      </c>
      <c r="F383" s="12">
        <v>27108.894531000002</v>
      </c>
      <c r="G383" s="12">
        <v>26242.542968999998</v>
      </c>
      <c r="H383" s="12">
        <v>26131.845702999999</v>
      </c>
      <c r="I383" s="12">
        <v>26566.5625</v>
      </c>
    </row>
    <row r="386" spans="1:11" x14ac:dyDescent="0.2">
      <c r="A386" s="12" t="s">
        <v>652</v>
      </c>
    </row>
    <row r="387" spans="1:11" x14ac:dyDescent="0.2">
      <c r="A387" s="12" t="s">
        <v>653</v>
      </c>
    </row>
    <row r="388" spans="1:11" x14ac:dyDescent="0.2">
      <c r="B388" s="12" t="s">
        <v>508</v>
      </c>
      <c r="K388" s="12" t="s">
        <v>654</v>
      </c>
    </row>
    <row r="389" spans="1:11" x14ac:dyDescent="0.2">
      <c r="B389" s="12">
        <v>2005</v>
      </c>
      <c r="C389" s="12">
        <v>2010</v>
      </c>
      <c r="D389" s="12">
        <v>2015</v>
      </c>
      <c r="E389" s="12">
        <v>2020</v>
      </c>
      <c r="F389" s="12">
        <v>2025</v>
      </c>
      <c r="G389" s="12">
        <v>2030</v>
      </c>
      <c r="H389" s="12">
        <v>2035</v>
      </c>
      <c r="I389" s="12">
        <v>2040</v>
      </c>
      <c r="K389" s="12">
        <v>2035</v>
      </c>
    </row>
    <row r="390" spans="1:11" x14ac:dyDescent="0.2">
      <c r="A390" s="12" t="s">
        <v>655</v>
      </c>
    </row>
    <row r="391" spans="1:11" x14ac:dyDescent="0.2">
      <c r="A391" s="12" t="s">
        <v>656</v>
      </c>
    </row>
    <row r="392" spans="1:11" x14ac:dyDescent="0.2">
      <c r="A392" s="12" t="s">
        <v>657</v>
      </c>
    </row>
    <row r="393" spans="1:11" x14ac:dyDescent="0.2">
      <c r="A393" s="12" t="s">
        <v>658</v>
      </c>
      <c r="B393" s="209">
        <v>2687.05810546875</v>
      </c>
      <c r="C393" s="12">
        <v>2662</v>
      </c>
      <c r="D393" s="399">
        <v>2751.9343260000001</v>
      </c>
      <c r="E393" s="399">
        <v>3030.6010740000002</v>
      </c>
      <c r="F393" s="399">
        <v>3126.2282709999999</v>
      </c>
      <c r="G393" s="399">
        <v>3231.9309079999998</v>
      </c>
      <c r="H393" s="399">
        <v>3335.5920409999999</v>
      </c>
      <c r="I393" s="399">
        <v>3438.3703609999998</v>
      </c>
    </row>
    <row r="394" spans="1:11" x14ac:dyDescent="0.2">
      <c r="A394" s="12" t="s">
        <v>659</v>
      </c>
      <c r="B394" s="209">
        <v>68.601478576660199</v>
      </c>
      <c r="C394" s="12">
        <v>64</v>
      </c>
      <c r="D394" s="399">
        <v>96.090423999999999</v>
      </c>
      <c r="E394" s="399">
        <v>109.556091</v>
      </c>
      <c r="F394" s="399">
        <v>117.975876</v>
      </c>
      <c r="G394" s="399">
        <v>124.926193</v>
      </c>
      <c r="H394" s="399">
        <v>133.282791</v>
      </c>
      <c r="I394" s="399">
        <v>142.89918499999999</v>
      </c>
      <c r="K394" s="12">
        <f>((I394/G394)^0.1-1)*0.9</f>
        <v>1.2179135048634326E-2</v>
      </c>
    </row>
    <row r="395" spans="1:11" x14ac:dyDescent="0.2">
      <c r="A395" s="12" t="s">
        <v>660</v>
      </c>
      <c r="B395" s="209">
        <f>B29</f>
        <v>519.48193359375</v>
      </c>
      <c r="C395" s="15">
        <f>G29</f>
        <v>557.60723900000005</v>
      </c>
      <c r="D395" s="399">
        <v>279.810699</v>
      </c>
      <c r="E395" s="399">
        <v>304.24569700000001</v>
      </c>
      <c r="F395" s="399">
        <v>328.74374399999999</v>
      </c>
      <c r="G395" s="399">
        <v>348.861603</v>
      </c>
      <c r="H395" s="399">
        <v>375.304169</v>
      </c>
      <c r="I395" s="399">
        <v>406.83139</v>
      </c>
      <c r="K395" s="12">
        <f>((H395/F395)^0.1-1)*0.5</f>
        <v>6.6669703309659711E-3</v>
      </c>
    </row>
    <row r="396" spans="1:11" s="78" customFormat="1" x14ac:dyDescent="0.2">
      <c r="A396" s="78" t="s">
        <v>661</v>
      </c>
      <c r="B396" s="210">
        <f>B30</f>
        <v>205.95259094238301</v>
      </c>
      <c r="C396" s="79">
        <f>G30</f>
        <v>258.51861600000001</v>
      </c>
      <c r="D396" s="400">
        <v>279.810699</v>
      </c>
      <c r="E396" s="400">
        <v>304.24569700000001</v>
      </c>
      <c r="F396" s="400">
        <v>328.74374399999999</v>
      </c>
      <c r="G396" s="400">
        <v>348.861603</v>
      </c>
      <c r="H396" s="400">
        <v>375.304169</v>
      </c>
      <c r="I396" s="400">
        <v>406.83139</v>
      </c>
      <c r="K396" s="78">
        <f>((I396/G396)^0.1-1)*0.9</f>
        <v>1.394200420573577E-2</v>
      </c>
    </row>
    <row r="397" spans="1:11" x14ac:dyDescent="0.2">
      <c r="A397" s="12" t="s">
        <v>662</v>
      </c>
    </row>
    <row r="398" spans="1:11" x14ac:dyDescent="0.2">
      <c r="A398" s="12" t="s">
        <v>663</v>
      </c>
      <c r="B398" s="209">
        <v>1028.64306640625</v>
      </c>
      <c r="C398" s="12">
        <v>999</v>
      </c>
      <c r="D398" s="399">
        <v>1069.5279539999999</v>
      </c>
      <c r="E398" s="399">
        <v>1168.127808</v>
      </c>
      <c r="F398" s="399">
        <v>1260.636475</v>
      </c>
      <c r="G398" s="399">
        <v>1364.0306399999999</v>
      </c>
      <c r="H398" s="399">
        <v>1451.8038329999999</v>
      </c>
      <c r="I398" s="399">
        <v>1531.407471</v>
      </c>
      <c r="K398" s="12">
        <f>((I398/G398)^0.1-1)*0.9</f>
        <v>1.0477405975356225E-2</v>
      </c>
    </row>
    <row r="399" spans="1:11" x14ac:dyDescent="0.2">
      <c r="A399" s="12" t="s">
        <v>664</v>
      </c>
    </row>
    <row r="400" spans="1:11" x14ac:dyDescent="0.2">
      <c r="A400" s="12" t="s">
        <v>665</v>
      </c>
      <c r="B400" s="209">
        <v>1587.57189941406</v>
      </c>
      <c r="C400" s="12">
        <v>1559</v>
      </c>
      <c r="D400" s="399">
        <v>1689.6267089999999</v>
      </c>
      <c r="E400" s="399">
        <v>1810.078491</v>
      </c>
      <c r="F400" s="399">
        <v>1956.1982419999999</v>
      </c>
      <c r="G400" s="399">
        <v>2006.1445309999999</v>
      </c>
      <c r="H400" s="399">
        <v>2054.1965329999998</v>
      </c>
      <c r="I400" s="399">
        <v>2127.6916500000002</v>
      </c>
      <c r="K400" s="12">
        <f>((I400/G400)^0.1-1)*0.9</f>
        <v>5.309664291793581E-3</v>
      </c>
    </row>
    <row r="401" spans="1:9" x14ac:dyDescent="0.2">
      <c r="A401" s="12" t="s">
        <v>666</v>
      </c>
      <c r="B401" s="209">
        <v>609.66827392578102</v>
      </c>
      <c r="C401" s="12">
        <v>522</v>
      </c>
      <c r="D401" s="399">
        <v>481.69042999999999</v>
      </c>
      <c r="E401" s="399">
        <v>452.65216099999998</v>
      </c>
      <c r="F401" s="399">
        <v>422.92309599999999</v>
      </c>
      <c r="G401" s="399">
        <v>403.64581299999998</v>
      </c>
      <c r="H401" s="399">
        <v>401.73941000000002</v>
      </c>
      <c r="I401" s="399">
        <v>406.86798099999999</v>
      </c>
    </row>
    <row r="404" spans="1:9" x14ac:dyDescent="0.2">
      <c r="A404" s="12" t="s">
        <v>667</v>
      </c>
    </row>
    <row r="405" spans="1:9" x14ac:dyDescent="0.2">
      <c r="A405" s="12" t="s">
        <v>668</v>
      </c>
    </row>
    <row r="407" spans="1:9" x14ac:dyDescent="0.2">
      <c r="A407" s="12" t="s">
        <v>669</v>
      </c>
      <c r="B407" s="12">
        <v>2007</v>
      </c>
      <c r="C407" s="12">
        <v>2010</v>
      </c>
      <c r="D407" s="12">
        <v>2015</v>
      </c>
      <c r="E407" s="12">
        <v>2020</v>
      </c>
      <c r="F407" s="12">
        <v>2025</v>
      </c>
      <c r="G407" s="12">
        <v>2030</v>
      </c>
      <c r="H407" s="12">
        <v>2035</v>
      </c>
      <c r="I407" s="12">
        <v>2040</v>
      </c>
    </row>
    <row r="408" spans="1:9" x14ac:dyDescent="0.2">
      <c r="A408" s="12" t="s">
        <v>670</v>
      </c>
    </row>
    <row r="409" spans="1:9" x14ac:dyDescent="0.2">
      <c r="A409" s="12" t="s">
        <v>671</v>
      </c>
      <c r="B409" s="12">
        <v>2749.1499020000001</v>
      </c>
      <c r="C409" s="12">
        <v>2515.218018</v>
      </c>
      <c r="D409" s="12">
        <v>2373.836182</v>
      </c>
      <c r="E409" s="12">
        <v>2517.0046390000002</v>
      </c>
      <c r="F409" s="12">
        <v>2664.7272950000001</v>
      </c>
      <c r="G409" s="12">
        <v>2821.0219729999999</v>
      </c>
      <c r="H409" s="12">
        <v>2926.626221</v>
      </c>
      <c r="I409" s="12">
        <v>2995.169922</v>
      </c>
    </row>
    <row r="410" spans="1:9" x14ac:dyDescent="0.2">
      <c r="A410" s="12" t="s">
        <v>672</v>
      </c>
      <c r="B410" s="12">
        <v>160.99749800000001</v>
      </c>
      <c r="C410" s="12">
        <v>150.446777</v>
      </c>
      <c r="D410" s="12">
        <v>134.56132500000001</v>
      </c>
      <c r="E410" s="12">
        <v>141.239014</v>
      </c>
      <c r="F410" s="12">
        <v>148.219223</v>
      </c>
      <c r="G410" s="12">
        <v>155.641006</v>
      </c>
      <c r="H410" s="12">
        <v>160.66151400000001</v>
      </c>
      <c r="I410" s="12">
        <v>163.922348</v>
      </c>
    </row>
    <row r="411" spans="1:9" x14ac:dyDescent="0.2">
      <c r="A411" s="12" t="s">
        <v>673</v>
      </c>
      <c r="B411" s="12">
        <v>1621.741211</v>
      </c>
      <c r="C411" s="12">
        <v>1530.026001</v>
      </c>
      <c r="D411" s="12">
        <v>1443.963745</v>
      </c>
      <c r="E411" s="12">
        <v>1515.5327150000001</v>
      </c>
      <c r="F411" s="12">
        <v>1583.6843260000001</v>
      </c>
      <c r="G411" s="12">
        <v>1662.299927</v>
      </c>
      <c r="H411" s="12">
        <v>1720.2928469999999</v>
      </c>
      <c r="I411" s="12">
        <v>1765.4920649999999</v>
      </c>
    </row>
    <row r="412" spans="1:9" x14ac:dyDescent="0.2">
      <c r="A412" s="12" t="s">
        <v>674</v>
      </c>
      <c r="B412" s="12">
        <v>633.98150599999997</v>
      </c>
      <c r="C412" s="12">
        <v>679.248108</v>
      </c>
      <c r="D412" s="12">
        <v>654.04089399999998</v>
      </c>
      <c r="E412" s="12">
        <v>729.05523700000003</v>
      </c>
      <c r="F412" s="12">
        <v>792.60369900000001</v>
      </c>
      <c r="G412" s="12">
        <v>855.74395800000002</v>
      </c>
      <c r="H412" s="12">
        <v>892.16186500000003</v>
      </c>
      <c r="I412" s="12">
        <v>910.23492399999998</v>
      </c>
    </row>
    <row r="413" spans="1:9" x14ac:dyDescent="0.2">
      <c r="A413" s="12" t="s">
        <v>675</v>
      </c>
      <c r="B413" s="12">
        <v>332.429596</v>
      </c>
      <c r="C413" s="12">
        <v>155.497086</v>
      </c>
      <c r="D413" s="12">
        <v>141.27034</v>
      </c>
      <c r="E413" s="12">
        <v>131.177719</v>
      </c>
      <c r="F413" s="12">
        <v>140.21989400000001</v>
      </c>
      <c r="G413" s="12">
        <v>147.337265</v>
      </c>
      <c r="H413" s="12">
        <v>153.51000999999999</v>
      </c>
      <c r="I413" s="12">
        <v>155.520386</v>
      </c>
    </row>
    <row r="415" spans="1:9" x14ac:dyDescent="0.2">
      <c r="A415" s="12" t="s">
        <v>676</v>
      </c>
    </row>
    <row r="416" spans="1:9" x14ac:dyDescent="0.2">
      <c r="A416" s="12" t="s">
        <v>677</v>
      </c>
      <c r="C416" s="12">
        <f>C411+C412</f>
        <v>2209.274109</v>
      </c>
    </row>
    <row r="417" spans="1:3" x14ac:dyDescent="0.2">
      <c r="A417" s="12" t="s">
        <v>678</v>
      </c>
      <c r="C417" s="12">
        <f>C413</f>
        <v>155.497086</v>
      </c>
    </row>
    <row r="418" spans="1:3" x14ac:dyDescent="0.2">
      <c r="A418" s="12" t="s">
        <v>679</v>
      </c>
      <c r="C418" s="12">
        <f>C410-C329</f>
        <v>118.23853299999999</v>
      </c>
    </row>
    <row r="419" spans="1:3" x14ac:dyDescent="0.2">
      <c r="A419" s="12" t="s">
        <v>680</v>
      </c>
      <c r="C419" s="12">
        <f>SUM(C416:C418)</f>
        <v>2483.009728</v>
      </c>
    </row>
  </sheetData>
  <phoneticPr fontId="25" type="noConversion"/>
  <pageMargins left="0.64" right="0.53" top="1" bottom="1" header="0.5" footer="0.5"/>
  <pageSetup orientation="landscape" horizontalDpi="300" verticalDpi="300"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351"/>
  <sheetViews>
    <sheetView showFormulas="1" topLeftCell="M1" workbookViewId="0">
      <selection activeCell="R14" sqref="R14"/>
    </sheetView>
  </sheetViews>
  <sheetFormatPr defaultColWidth="9.140625" defaultRowHeight="11.25" x14ac:dyDescent="0.2"/>
  <cols>
    <col min="1" max="1" width="5" style="255" customWidth="1"/>
    <col min="2" max="2" width="28.140625" style="255" customWidth="1"/>
    <col min="3" max="3" width="10.140625" style="255" customWidth="1"/>
    <col min="4" max="4" width="10.7109375" style="255" customWidth="1"/>
    <col min="5" max="5" width="9.28515625" style="255" bestFit="1" customWidth="1"/>
    <col min="6" max="6" width="10.28515625" style="255" customWidth="1"/>
    <col min="7" max="7" width="12.28515625" style="255" customWidth="1"/>
    <col min="8" max="8" width="9.28515625" style="255" bestFit="1" customWidth="1"/>
    <col min="9" max="9" width="10.28515625" style="255" bestFit="1" customWidth="1"/>
    <col min="10" max="10" width="11.140625" style="255" bestFit="1" customWidth="1"/>
    <col min="11" max="11" width="10.28515625" style="255" bestFit="1" customWidth="1"/>
    <col min="12" max="12" width="10.140625" style="255" bestFit="1" customWidth="1"/>
    <col min="13" max="13" width="10.28515625" style="255" bestFit="1" customWidth="1"/>
    <col min="14" max="14" width="18.140625" style="255" customWidth="1"/>
    <col min="15" max="15" width="9.42578125" style="255" bestFit="1" customWidth="1"/>
    <col min="16" max="17" width="9.140625" style="255"/>
    <col min="18" max="18" width="9.7109375" style="255" bestFit="1" customWidth="1"/>
    <col min="19" max="19" width="9.5703125" style="255" bestFit="1" customWidth="1"/>
    <col min="20" max="20" width="9.28515625" style="255" bestFit="1" customWidth="1"/>
    <col min="21" max="21" width="10.140625" style="255" customWidth="1"/>
    <col min="22" max="22" width="9.28515625" style="255" bestFit="1" customWidth="1"/>
    <col min="23" max="16384" width="9.140625" style="255"/>
  </cols>
  <sheetData>
    <row r="1" spans="1:14" x14ac:dyDescent="0.2">
      <c r="A1" s="288"/>
      <c r="B1" s="289" t="s">
        <v>726</v>
      </c>
      <c r="C1" s="288"/>
      <c r="D1" s="288"/>
      <c r="E1" s="288"/>
      <c r="F1" s="288"/>
      <c r="G1" s="288"/>
      <c r="H1" s="288"/>
      <c r="I1" s="288"/>
      <c r="J1" s="288"/>
    </row>
    <row r="2" spans="1:14" x14ac:dyDescent="0.2">
      <c r="A2" s="288" t="s">
        <v>727</v>
      </c>
      <c r="C2" s="288"/>
      <c r="D2" s="288"/>
      <c r="E2" s="288"/>
      <c r="F2" s="288"/>
      <c r="G2" s="288"/>
      <c r="H2" s="288"/>
      <c r="I2" s="288"/>
      <c r="J2" s="288"/>
    </row>
    <row r="4" spans="1:14" x14ac:dyDescent="0.2">
      <c r="B4" s="459" t="s">
        <v>728</v>
      </c>
      <c r="C4" s="459">
        <v>2005</v>
      </c>
      <c r="D4" s="459">
        <v>2010</v>
      </c>
      <c r="E4" s="459">
        <v>2015</v>
      </c>
      <c r="F4" s="459">
        <v>2020</v>
      </c>
      <c r="G4" s="459">
        <v>2025</v>
      </c>
      <c r="H4" s="459">
        <v>2030</v>
      </c>
      <c r="I4" s="459">
        <v>2035</v>
      </c>
      <c r="J4" s="459">
        <v>2040</v>
      </c>
      <c r="K4" s="459">
        <v>2045</v>
      </c>
      <c r="L4" s="459">
        <v>2050</v>
      </c>
      <c r="M4" s="459">
        <v>2055</v>
      </c>
    </row>
    <row r="5" spans="1:14" x14ac:dyDescent="0.2">
      <c r="A5" s="255" t="s">
        <v>110</v>
      </c>
      <c r="B5" s="255" t="s">
        <v>729</v>
      </c>
      <c r="C5" s="253"/>
      <c r="D5" s="253"/>
      <c r="E5" s="253"/>
      <c r="F5" s="253"/>
      <c r="G5" s="253"/>
      <c r="H5" s="253"/>
      <c r="I5" s="253"/>
      <c r="J5" s="253"/>
      <c r="K5" s="253"/>
      <c r="L5" s="253"/>
      <c r="M5" s="253"/>
    </row>
    <row r="6" spans="1:14" x14ac:dyDescent="0.2">
      <c r="B6" s="255" t="s">
        <v>730</v>
      </c>
      <c r="C6" s="253"/>
      <c r="D6" s="253"/>
      <c r="E6" s="253"/>
      <c r="F6" s="253"/>
      <c r="G6" s="253"/>
      <c r="H6" s="253"/>
      <c r="I6" s="253"/>
      <c r="J6" s="253"/>
      <c r="K6" s="253"/>
      <c r="L6" s="253"/>
      <c r="M6" s="253"/>
    </row>
    <row r="7" spans="1:14" x14ac:dyDescent="0.2">
      <c r="B7" s="255" t="s">
        <v>731</v>
      </c>
      <c r="C7" s="254">
        <v>0.36099999999999999</v>
      </c>
      <c r="D7" s="254">
        <v>0.36099999999999999</v>
      </c>
      <c r="E7" s="254">
        <v>0.36099999999999999</v>
      </c>
      <c r="F7" s="254">
        <v>0.36099999999999999</v>
      </c>
      <c r="G7" s="254">
        <v>0.36099999999999999</v>
      </c>
      <c r="H7" s="254">
        <v>0.36099999999999999</v>
      </c>
      <c r="I7" s="254">
        <v>0.36099999999999999</v>
      </c>
      <c r="J7" s="254">
        <v>0.36099999999999999</v>
      </c>
      <c r="K7" s="254">
        <v>0.36099999999999999</v>
      </c>
      <c r="L7" s="254">
        <v>0.36099999999999999</v>
      </c>
      <c r="M7" s="254">
        <v>0.36099999999999999</v>
      </c>
      <c r="N7" s="459" t="s">
        <v>732</v>
      </c>
    </row>
    <row r="8" spans="1:14" x14ac:dyDescent="0.2">
      <c r="B8" s="255" t="s">
        <v>733</v>
      </c>
      <c r="C8" s="253">
        <f>$H25*$F25*('AEO Data'!B235+'AEO Data'!B236)/1000</f>
        <v>8.368423598643842</v>
      </c>
      <c r="D8" s="253">
        <f>$H25*$F25*('AEO Data'!C235+'AEO Data'!C236)/1000</f>
        <v>10.595611406647423</v>
      </c>
      <c r="E8" s="253">
        <f>$H25*$F25*('AEO Data'!D235+'AEO Data'!D236)/1000</f>
        <v>9.6360976665512652</v>
      </c>
      <c r="F8" s="253">
        <f>$H25*$F25*('AEO Data'!E235+'AEO Data'!E236)/1000</f>
        <v>10.67575537847825</v>
      </c>
      <c r="G8" s="253">
        <f>$H25*$F25*('AEO Data'!F235+'AEO Data'!F236)/1000</f>
        <v>11.31419201138743</v>
      </c>
      <c r="H8" s="253">
        <f>$H25*$F25*('AEO Data'!G235+'AEO Data'!G236)/1000</f>
        <v>12.092247292859108</v>
      </c>
      <c r="I8" s="253">
        <f>$H25*$F25*('AEO Data'!H235+'AEO Data'!H236)/1000</f>
        <v>12.784611448047237</v>
      </c>
      <c r="J8" s="253">
        <f>$H25*$F25*('AEO Data'!I235+'AEO Data'!I236)/1000</f>
        <v>13.79170613438418</v>
      </c>
      <c r="K8" s="253">
        <f>$H25*$F25*('AEO Data'!J235+'AEO Data'!J236)/1000</f>
        <v>14.623143801319969</v>
      </c>
      <c r="L8" s="253">
        <f>$H25*$F25*('AEO Data'!K235+'AEO Data'!K236)/1000</f>
        <v>15.504772690810956</v>
      </c>
      <c r="M8" s="253">
        <f>$H25*$F25*('AEO Data'!L235+'AEO Data'!L236)/1000</f>
        <v>16.439626679892839</v>
      </c>
    </row>
    <row r="9" spans="1:14" x14ac:dyDescent="0.2">
      <c r="A9" s="255" t="s">
        <v>93</v>
      </c>
      <c r="B9" s="255" t="s">
        <v>734</v>
      </c>
      <c r="C9" s="460">
        <v>9.0955093826431366</v>
      </c>
      <c r="D9" s="460">
        <v>9.1206942471432306</v>
      </c>
      <c r="E9" s="460">
        <v>8.7801100262663354</v>
      </c>
      <c r="F9" s="460">
        <v>9.1431603815444191</v>
      </c>
      <c r="G9" s="460">
        <v>9.5226608672051896</v>
      </c>
      <c r="H9" s="460">
        <v>9.9041396662907655</v>
      </c>
      <c r="I9" s="460">
        <v>10.277190329330985</v>
      </c>
      <c r="J9" s="460">
        <v>10.636986248312628</v>
      </c>
      <c r="K9" s="460">
        <v>11.117830132981684</v>
      </c>
      <c r="L9" s="460">
        <v>11.660316723295573</v>
      </c>
      <c r="M9" s="460">
        <v>12.271455084846309</v>
      </c>
    </row>
    <row r="10" spans="1:14" x14ac:dyDescent="0.2">
      <c r="A10" s="255" t="s">
        <v>93</v>
      </c>
      <c r="B10" s="255" t="s">
        <v>735</v>
      </c>
      <c r="C10" s="460">
        <f>D10</f>
        <v>0.30630793212324703</v>
      </c>
      <c r="D10" s="460">
        <f>TB!F11</f>
        <v>0.30630793212324703</v>
      </c>
      <c r="E10" s="460">
        <f>D10*E9/D9</f>
        <v>0.29486980629819981</v>
      </c>
      <c r="F10" s="460">
        <f t="shared" ref="F10:M10" si="0">E10*F9/E9</f>
        <v>0.3070624311761439</v>
      </c>
      <c r="G10" s="460">
        <f t="shared" si="0"/>
        <v>0.31980751459333318</v>
      </c>
      <c r="H10" s="460">
        <f t="shared" si="0"/>
        <v>0.33261903737114823</v>
      </c>
      <c r="I10" s="460">
        <f t="shared" si="0"/>
        <v>0.34514751098036356</v>
      </c>
      <c r="J10" s="460">
        <f t="shared" si="0"/>
        <v>0.35723083939192279</v>
      </c>
      <c r="K10" s="460">
        <f t="shared" si="0"/>
        <v>0.37337942326021994</v>
      </c>
      <c r="L10" s="460">
        <f t="shared" si="0"/>
        <v>0.39159820586393296</v>
      </c>
      <c r="M10" s="460">
        <f t="shared" si="0"/>
        <v>0.41212257853725537</v>
      </c>
      <c r="N10" s="459" t="s">
        <v>736</v>
      </c>
    </row>
    <row r="11" spans="1:14" x14ac:dyDescent="0.2">
      <c r="B11" s="255" t="s">
        <v>737</v>
      </c>
      <c r="C11" s="460">
        <f>C10*0.85</f>
        <v>0.26036174230475995</v>
      </c>
      <c r="D11" s="460">
        <f t="shared" ref="D11:M11" si="1">D10*0.85</f>
        <v>0.26036174230475995</v>
      </c>
      <c r="E11" s="460">
        <f t="shared" si="1"/>
        <v>0.25063933535346983</v>
      </c>
      <c r="F11" s="460">
        <f t="shared" si="1"/>
        <v>0.26100306649972232</v>
      </c>
      <c r="G11" s="460">
        <f t="shared" si="1"/>
        <v>0.27183638740433319</v>
      </c>
      <c r="H11" s="460">
        <f t="shared" si="1"/>
        <v>0.28272618176547598</v>
      </c>
      <c r="I11" s="460">
        <f t="shared" si="1"/>
        <v>0.29337538433330901</v>
      </c>
      <c r="J11" s="460">
        <f t="shared" si="1"/>
        <v>0.30364621348313436</v>
      </c>
      <c r="K11" s="460">
        <f t="shared" si="1"/>
        <v>0.31737250977118697</v>
      </c>
      <c r="L11" s="460">
        <f t="shared" si="1"/>
        <v>0.33285847498434301</v>
      </c>
      <c r="M11" s="460">
        <f t="shared" si="1"/>
        <v>0.35030419175666705</v>
      </c>
    </row>
    <row r="12" spans="1:14" x14ac:dyDescent="0.2">
      <c r="B12" s="255" t="s">
        <v>738</v>
      </c>
      <c r="C12" s="460">
        <f>0.1*C10</f>
        <v>3.0630793212324703E-2</v>
      </c>
      <c r="D12" s="460">
        <f t="shared" ref="D12:M12" si="2">0.1*D10</f>
        <v>3.0630793212324703E-2</v>
      </c>
      <c r="E12" s="460">
        <f t="shared" si="2"/>
        <v>2.9486980629819984E-2</v>
      </c>
      <c r="F12" s="460">
        <f t="shared" si="2"/>
        <v>3.0706243117614392E-2</v>
      </c>
      <c r="G12" s="460">
        <f t="shared" si="2"/>
        <v>3.1980751459333316E-2</v>
      </c>
      <c r="H12" s="460">
        <f t="shared" si="2"/>
        <v>3.3261903737114823E-2</v>
      </c>
      <c r="I12" s="460">
        <f t="shared" si="2"/>
        <v>3.451475109803636E-2</v>
      </c>
      <c r="J12" s="460">
        <f t="shared" si="2"/>
        <v>3.5723083939192282E-2</v>
      </c>
      <c r="K12" s="460">
        <f t="shared" si="2"/>
        <v>3.7337942326021993E-2</v>
      </c>
      <c r="L12" s="460">
        <f t="shared" si="2"/>
        <v>3.91598205863933E-2</v>
      </c>
      <c r="M12" s="460">
        <f t="shared" si="2"/>
        <v>4.1212257853725537E-2</v>
      </c>
    </row>
    <row r="13" spans="1:14" x14ac:dyDescent="0.2">
      <c r="B13" s="255" t="s">
        <v>739</v>
      </c>
      <c r="C13" s="460">
        <f>C10-C11-C12</f>
        <v>1.5315396606162379E-2</v>
      </c>
      <c r="D13" s="460">
        <f t="shared" ref="D13:M13" si="3">D10-D11-D12</f>
        <v>1.5315396606162379E-2</v>
      </c>
      <c r="E13" s="460">
        <f t="shared" si="3"/>
        <v>1.4743490314909999E-2</v>
      </c>
      <c r="F13" s="460">
        <f t="shared" si="3"/>
        <v>1.5353121558807185E-2</v>
      </c>
      <c r="G13" s="460">
        <f t="shared" si="3"/>
        <v>1.5990375729666668E-2</v>
      </c>
      <c r="H13" s="460">
        <f t="shared" si="3"/>
        <v>1.6630951868557425E-2</v>
      </c>
      <c r="I13" s="460">
        <f t="shared" si="3"/>
        <v>1.725737554901819E-2</v>
      </c>
      <c r="J13" s="460">
        <f t="shared" si="3"/>
        <v>1.7861541969596148E-2</v>
      </c>
      <c r="K13" s="460">
        <f t="shared" si="3"/>
        <v>1.8668971163010979E-2</v>
      </c>
      <c r="L13" s="460">
        <f t="shared" si="3"/>
        <v>1.9579910293196646E-2</v>
      </c>
      <c r="M13" s="460">
        <f t="shared" si="3"/>
        <v>2.0606128926862782E-2</v>
      </c>
    </row>
    <row r="15" spans="1:14" x14ac:dyDescent="0.2">
      <c r="B15" s="257" t="s">
        <v>740</v>
      </c>
      <c r="D15" s="256"/>
      <c r="E15" s="257" t="s">
        <v>741</v>
      </c>
    </row>
    <row r="17" spans="1:29" ht="18" customHeight="1" x14ac:dyDescent="0.2">
      <c r="A17" s="282" t="s">
        <v>742</v>
      </c>
    </row>
    <row r="18" spans="1:29" ht="12.75" x14ac:dyDescent="0.2">
      <c r="A18" s="12" t="s">
        <v>694</v>
      </c>
      <c r="B18" s="50" t="s">
        <v>743</v>
      </c>
    </row>
    <row r="19" spans="1:29" x14ac:dyDescent="0.2">
      <c r="B19" s="257" t="s">
        <v>744</v>
      </c>
      <c r="I19" s="255" t="s">
        <v>745</v>
      </c>
      <c r="J19" s="270">
        <v>139000</v>
      </c>
      <c r="K19" s="255" t="s">
        <v>706</v>
      </c>
      <c r="P19" s="436" t="s">
        <v>744</v>
      </c>
      <c r="Q19" s="437"/>
      <c r="R19" s="437"/>
      <c r="S19" s="437"/>
      <c r="T19" s="437"/>
      <c r="U19" s="437"/>
      <c r="V19" s="437"/>
      <c r="W19" s="437" t="s">
        <v>745</v>
      </c>
      <c r="X19" s="438">
        <v>139000</v>
      </c>
      <c r="Y19" s="437" t="s">
        <v>706</v>
      </c>
      <c r="Z19" s="437"/>
      <c r="AA19" s="437"/>
      <c r="AB19" s="437"/>
      <c r="AC19" s="437"/>
    </row>
    <row r="20" spans="1:29" x14ac:dyDescent="0.2">
      <c r="B20" s="257" t="s">
        <v>746</v>
      </c>
      <c r="C20" s="257"/>
      <c r="I20" s="255" t="s">
        <v>747</v>
      </c>
      <c r="J20" s="255">
        <v>3412</v>
      </c>
      <c r="K20" s="255" t="s">
        <v>706</v>
      </c>
      <c r="P20" s="436" t="s">
        <v>746</v>
      </c>
      <c r="Q20" s="436"/>
      <c r="R20" s="437"/>
      <c r="S20" s="437"/>
      <c r="T20" s="437"/>
      <c r="U20" s="437"/>
      <c r="V20" s="437"/>
      <c r="W20" s="437" t="s">
        <v>747</v>
      </c>
      <c r="X20" s="437">
        <v>3412</v>
      </c>
      <c r="Y20" s="437" t="s">
        <v>706</v>
      </c>
      <c r="Z20" s="437"/>
      <c r="AA20" s="437"/>
      <c r="AB20" s="437"/>
      <c r="AC20" s="437"/>
    </row>
    <row r="21" spans="1:29" x14ac:dyDescent="0.2">
      <c r="B21" s="257" t="s">
        <v>748</v>
      </c>
      <c r="C21" s="257"/>
      <c r="I21" s="255" t="s">
        <v>749</v>
      </c>
      <c r="J21" s="270">
        <v>138700</v>
      </c>
      <c r="K21" s="255" t="s">
        <v>706</v>
      </c>
      <c r="P21" s="436" t="s">
        <v>748</v>
      </c>
      <c r="Q21" s="436"/>
      <c r="R21" s="437"/>
      <c r="S21" s="437"/>
      <c r="T21" s="437"/>
      <c r="U21" s="437"/>
      <c r="V21" s="437"/>
      <c r="W21" s="437" t="s">
        <v>749</v>
      </c>
      <c r="X21" s="438">
        <v>138700</v>
      </c>
      <c r="Y21" s="437" t="s">
        <v>706</v>
      </c>
      <c r="Z21" s="437"/>
      <c r="AA21" s="437"/>
      <c r="AB21" s="437"/>
      <c r="AC21" s="437"/>
    </row>
    <row r="22" spans="1:29" x14ac:dyDescent="0.2">
      <c r="C22" s="832" t="s">
        <v>750</v>
      </c>
      <c r="D22" s="832" t="s">
        <v>751</v>
      </c>
      <c r="E22" s="829" t="s">
        <v>752</v>
      </c>
      <c r="F22" s="829" t="s">
        <v>753</v>
      </c>
      <c r="G22" s="829" t="s">
        <v>754</v>
      </c>
      <c r="H22" s="829" t="s">
        <v>755</v>
      </c>
      <c r="I22" s="829" t="s">
        <v>756</v>
      </c>
      <c r="J22" s="829" t="s">
        <v>757</v>
      </c>
      <c r="P22" s="437"/>
      <c r="Q22" s="831" t="s">
        <v>750</v>
      </c>
      <c r="R22" s="832" t="s">
        <v>751</v>
      </c>
      <c r="S22" s="829" t="s">
        <v>752</v>
      </c>
      <c r="T22" s="829" t="s">
        <v>753</v>
      </c>
      <c r="U22" s="829" t="s">
        <v>754</v>
      </c>
      <c r="V22" s="829" t="s">
        <v>755</v>
      </c>
      <c r="W22" s="829" t="s">
        <v>756</v>
      </c>
      <c r="X22" s="829" t="s">
        <v>757</v>
      </c>
      <c r="Y22" s="437"/>
      <c r="Z22" s="437"/>
      <c r="AA22" s="437"/>
      <c r="AB22" s="437"/>
      <c r="AC22" s="437"/>
    </row>
    <row r="23" spans="1:29" x14ac:dyDescent="0.2">
      <c r="C23" s="832"/>
      <c r="D23" s="832"/>
      <c r="E23" s="829"/>
      <c r="F23" s="829"/>
      <c r="G23" s="829"/>
      <c r="H23" s="829"/>
      <c r="I23" s="829"/>
      <c r="J23" s="829"/>
      <c r="K23" s="255" t="s">
        <v>758</v>
      </c>
      <c r="L23" s="255" t="s">
        <v>759</v>
      </c>
      <c r="P23" s="437"/>
      <c r="Q23" s="831"/>
      <c r="R23" s="832"/>
      <c r="S23" s="829"/>
      <c r="T23" s="829"/>
      <c r="U23" s="829"/>
      <c r="V23" s="829"/>
      <c r="W23" s="829"/>
      <c r="X23" s="829"/>
      <c r="Y23" s="437" t="s">
        <v>758</v>
      </c>
      <c r="Z23" s="437" t="s">
        <v>759</v>
      </c>
      <c r="AA23" s="437"/>
      <c r="AB23" s="437"/>
      <c r="AC23" s="437"/>
    </row>
    <row r="24" spans="1:29" x14ac:dyDescent="0.2">
      <c r="B24" s="255" t="s">
        <v>760</v>
      </c>
      <c r="C24" s="832"/>
      <c r="D24" s="832"/>
      <c r="E24" s="829"/>
      <c r="F24" s="829"/>
      <c r="G24" s="829"/>
      <c r="H24" s="829"/>
      <c r="I24" s="829"/>
      <c r="J24" s="829"/>
      <c r="K24" s="255" t="s">
        <v>761</v>
      </c>
      <c r="L24" s="255" t="s">
        <v>761</v>
      </c>
      <c r="P24" s="437" t="s">
        <v>760</v>
      </c>
      <c r="Q24" s="831"/>
      <c r="R24" s="832"/>
      <c r="S24" s="829"/>
      <c r="T24" s="829"/>
      <c r="U24" s="829"/>
      <c r="V24" s="829"/>
      <c r="W24" s="829"/>
      <c r="X24" s="829"/>
      <c r="Y24" s="437" t="s">
        <v>761</v>
      </c>
      <c r="Z24" s="437" t="s">
        <v>761</v>
      </c>
      <c r="AA24" s="437"/>
      <c r="AB24" s="437"/>
      <c r="AC24" s="437"/>
    </row>
    <row r="25" spans="1:29" x14ac:dyDescent="0.2">
      <c r="B25" s="255" t="s">
        <v>762</v>
      </c>
      <c r="C25" s="255">
        <f>423*10^6</f>
        <v>423000000</v>
      </c>
      <c r="D25" s="255">
        <f>9473</f>
        <v>9473</v>
      </c>
      <c r="E25" s="255">
        <v>22.4</v>
      </c>
      <c r="F25" s="290">
        <f>D25/G25</f>
        <v>31.222808174027687</v>
      </c>
      <c r="G25" s="255">
        <v>303.39999999999998</v>
      </c>
      <c r="H25" s="290">
        <f>G25/(K25+L25)</f>
        <v>19.294475929219161</v>
      </c>
      <c r="I25" s="255">
        <f>76.7*10^6</f>
        <v>76700000</v>
      </c>
      <c r="J25" s="255">
        <f>1484*10^6</f>
        <v>1484000000</v>
      </c>
      <c r="K25" s="291">
        <f>I25*J19/10^12</f>
        <v>10.661300000000001</v>
      </c>
      <c r="L25" s="291">
        <f>J25*J20/10^12</f>
        <v>5.0634079999999999</v>
      </c>
      <c r="M25" s="292" t="s">
        <v>763</v>
      </c>
      <c r="P25" s="437" t="s">
        <v>762</v>
      </c>
      <c r="Q25" s="437">
        <v>495000000</v>
      </c>
      <c r="R25" s="270">
        <v>11899</v>
      </c>
      <c r="S25" s="255">
        <v>24</v>
      </c>
      <c r="T25" s="290">
        <v>31.646276595744681</v>
      </c>
      <c r="U25" s="255">
        <v>376</v>
      </c>
      <c r="V25" s="290">
        <v>18.502236113333673</v>
      </c>
      <c r="W25" s="255">
        <v>102900000</v>
      </c>
      <c r="X25" s="255">
        <v>1764000000</v>
      </c>
      <c r="Y25" s="439">
        <v>14.303100000000001</v>
      </c>
      <c r="Z25" s="439">
        <v>6.0187679999999997</v>
      </c>
      <c r="AA25" s="440" t="s">
        <v>763</v>
      </c>
      <c r="AB25" s="437"/>
      <c r="AC25" s="437"/>
    </row>
    <row r="26" spans="1:29" x14ac:dyDescent="0.2">
      <c r="B26" s="255" t="s">
        <v>764</v>
      </c>
      <c r="C26" s="255">
        <f>2808*10^6</f>
        <v>2808000000</v>
      </c>
      <c r="D26" s="293">
        <v>14418</v>
      </c>
      <c r="E26" s="255">
        <v>5.0999999999999996</v>
      </c>
      <c r="F26" s="290">
        <f>D26/G26</f>
        <v>22.311977715877436</v>
      </c>
      <c r="G26" s="255">
        <v>646.20000000000005</v>
      </c>
      <c r="H26" s="290">
        <f>G26/(K26+L26)</f>
        <v>50.249505669904764</v>
      </c>
      <c r="I26" s="255">
        <v>0</v>
      </c>
      <c r="J26" s="255">
        <f>3769*10^6</f>
        <v>3769000000</v>
      </c>
      <c r="K26" s="291">
        <v>0</v>
      </c>
      <c r="L26" s="294">
        <f>J26*J20/10^12</f>
        <v>12.859828</v>
      </c>
      <c r="M26" s="839" t="s">
        <v>765</v>
      </c>
      <c r="N26" s="829"/>
      <c r="P26" s="437" t="s">
        <v>764</v>
      </c>
      <c r="Q26" s="437">
        <v>3848000000</v>
      </c>
      <c r="R26" s="293">
        <v>18356</v>
      </c>
      <c r="S26" s="255">
        <v>4.8</v>
      </c>
      <c r="T26" s="290">
        <v>26.358414704192992</v>
      </c>
      <c r="U26" s="255">
        <v>696.4</v>
      </c>
      <c r="V26" s="290">
        <v>54.276982581359661</v>
      </c>
      <c r="W26" s="255">
        <v>0</v>
      </c>
      <c r="X26" s="255">
        <v>3760400000</v>
      </c>
      <c r="Y26" s="439">
        <v>0</v>
      </c>
      <c r="Z26" s="441">
        <v>12.830484800000001</v>
      </c>
      <c r="AA26" s="830" t="s">
        <v>765</v>
      </c>
      <c r="AB26" s="830"/>
      <c r="AC26" s="437"/>
    </row>
    <row r="27" spans="1:29" x14ac:dyDescent="0.2">
      <c r="B27" s="255" t="s">
        <v>766</v>
      </c>
      <c r="C27" s="255">
        <f>381*10^6</f>
        <v>381000000</v>
      </c>
      <c r="D27" s="293">
        <v>1700</v>
      </c>
      <c r="E27" s="255">
        <v>4.5</v>
      </c>
      <c r="F27" s="290">
        <f>D27/G27</f>
        <v>24.566473988439306</v>
      </c>
      <c r="G27" s="255">
        <v>69.2</v>
      </c>
      <c r="H27" s="290">
        <f>G27/(K27+L27)</f>
        <v>35.519019100198534</v>
      </c>
      <c r="I27" s="255">
        <v>0</v>
      </c>
      <c r="J27" s="255">
        <f>571*10^6</f>
        <v>571000000</v>
      </c>
      <c r="K27" s="291">
        <v>0</v>
      </c>
      <c r="L27" s="294">
        <f>J27*J20/10^12</f>
        <v>1.9482520000000001</v>
      </c>
      <c r="M27" s="829"/>
      <c r="N27" s="829"/>
      <c r="P27" s="437" t="s">
        <v>766</v>
      </c>
      <c r="Q27" s="437">
        <v>3497600000</v>
      </c>
      <c r="R27" s="293">
        <v>2565.6</v>
      </c>
      <c r="S27" s="255">
        <v>5.2</v>
      </c>
      <c r="T27" s="290">
        <v>22.525021949078138</v>
      </c>
      <c r="U27" s="255">
        <v>113.9</v>
      </c>
      <c r="V27" s="290">
        <v>36.805050208680434</v>
      </c>
      <c r="W27" s="255">
        <v>0</v>
      </c>
      <c r="X27" s="255">
        <v>907000000</v>
      </c>
      <c r="Y27" s="439">
        <v>0</v>
      </c>
      <c r="Z27" s="441">
        <v>3.094684</v>
      </c>
      <c r="AA27" s="830"/>
      <c r="AB27" s="830"/>
      <c r="AC27" s="437"/>
    </row>
    <row r="28" spans="1:29" x14ac:dyDescent="0.2">
      <c r="D28" s="293">
        <f>D27+D26</f>
        <v>16118</v>
      </c>
      <c r="F28" s="290">
        <f>D28/G28</f>
        <v>22.530053117137264</v>
      </c>
      <c r="G28" s="255">
        <f>SUM(G26:G27)</f>
        <v>715.40000000000009</v>
      </c>
      <c r="H28" s="290">
        <f>(G26+G27)/L28</f>
        <v>48.311462390802866</v>
      </c>
      <c r="K28" s="291"/>
      <c r="L28" s="294">
        <f>SUM(L26:L27)</f>
        <v>14.80808</v>
      </c>
      <c r="M28" s="829"/>
      <c r="N28" s="829"/>
      <c r="P28" s="437"/>
      <c r="Q28" s="437"/>
      <c r="R28" s="293">
        <v>20921.599999999999</v>
      </c>
      <c r="T28" s="290">
        <v>25.81957299765519</v>
      </c>
      <c r="U28" s="255">
        <v>810.3</v>
      </c>
      <c r="V28" s="290">
        <v>50.881721266276301</v>
      </c>
      <c r="Y28" s="439"/>
      <c r="Z28" s="441">
        <v>15.925168800000002</v>
      </c>
      <c r="AA28" s="830"/>
      <c r="AB28" s="830"/>
      <c r="AC28" s="437"/>
    </row>
    <row r="29" spans="1:29" x14ac:dyDescent="0.2">
      <c r="B29" s="295" t="s">
        <v>767</v>
      </c>
      <c r="C29" s="296"/>
      <c r="D29" s="297"/>
      <c r="E29" s="297"/>
      <c r="F29" s="298"/>
      <c r="G29" s="297">
        <v>301</v>
      </c>
      <c r="H29" s="299">
        <f>G29/(K29+L29)</f>
        <v>27.750191485540583</v>
      </c>
      <c r="I29" s="297">
        <v>65000000</v>
      </c>
      <c r="J29" s="297">
        <v>531000000</v>
      </c>
      <c r="K29" s="300">
        <f>I29*J19/10^12</f>
        <v>9.0350000000000001</v>
      </c>
      <c r="L29" s="300">
        <f>J29*J20/10^12</f>
        <v>1.8117719999999999</v>
      </c>
      <c r="N29" s="297"/>
      <c r="P29" s="442" t="s">
        <v>767</v>
      </c>
      <c r="Q29" s="443"/>
      <c r="R29" s="437"/>
      <c r="S29" s="437"/>
      <c r="T29" s="444"/>
      <c r="U29" s="437">
        <v>301</v>
      </c>
      <c r="V29" s="445">
        <v>27.750191485540583</v>
      </c>
      <c r="W29" s="255">
        <v>65000000</v>
      </c>
      <c r="X29" s="255">
        <v>531000000</v>
      </c>
      <c r="Y29" s="439">
        <v>9.0350000000000001</v>
      </c>
      <c r="Z29" s="439">
        <v>1.8117719999999999</v>
      </c>
      <c r="AA29" s="437"/>
      <c r="AB29" s="437"/>
      <c r="AC29" s="437"/>
    </row>
    <row r="30" spans="1:29" x14ac:dyDescent="0.2">
      <c r="B30" s="297" t="s">
        <v>768</v>
      </c>
      <c r="C30" s="297"/>
      <c r="D30" s="297">
        <v>5381</v>
      </c>
      <c r="E30" s="299">
        <v>215</v>
      </c>
      <c r="F30" s="298">
        <f>D30/G30</f>
        <v>17.877373378295321</v>
      </c>
      <c r="G30" s="297">
        <v>300.995</v>
      </c>
      <c r="H30" s="298">
        <f>G30/L30</f>
        <v>20.616095890410961</v>
      </c>
      <c r="I30" s="297"/>
      <c r="J30" s="297"/>
      <c r="K30" s="300"/>
      <c r="L30" s="301">
        <v>14.6</v>
      </c>
      <c r="M30" s="297" t="s">
        <v>769</v>
      </c>
      <c r="N30" s="297"/>
      <c r="O30" s="302" t="s">
        <v>770</v>
      </c>
      <c r="P30" s="437" t="s">
        <v>768</v>
      </c>
      <c r="Q30" s="437"/>
      <c r="R30" s="437">
        <v>5381</v>
      </c>
      <c r="S30" s="445">
        <v>215</v>
      </c>
      <c r="T30" s="444">
        <v>17.877373378295321</v>
      </c>
      <c r="U30" s="437">
        <v>300.995</v>
      </c>
      <c r="V30" s="444">
        <v>20.616095890410961</v>
      </c>
      <c r="Y30" s="439"/>
      <c r="Z30" s="446">
        <v>14.6</v>
      </c>
      <c r="AA30" s="437" t="s">
        <v>769</v>
      </c>
      <c r="AB30" s="437"/>
      <c r="AC30" s="440" t="s">
        <v>770</v>
      </c>
    </row>
    <row r="31" spans="1:29" x14ac:dyDescent="0.2">
      <c r="B31" s="255" t="s">
        <v>771</v>
      </c>
      <c r="D31" s="293">
        <f>D25+D26+D27+D30</f>
        <v>30972</v>
      </c>
      <c r="G31" s="293">
        <f>G25+G26+G27+G30</f>
        <v>1319.7950000000001</v>
      </c>
      <c r="L31" s="303"/>
      <c r="P31" s="447" t="s">
        <v>771</v>
      </c>
      <c r="Q31" s="447"/>
      <c r="R31" s="448">
        <v>38201.599999999999</v>
      </c>
      <c r="S31" s="437"/>
      <c r="T31" s="437"/>
      <c r="U31" s="448">
        <v>1487.2950000000001</v>
      </c>
      <c r="V31" s="437"/>
      <c r="W31" s="437"/>
      <c r="X31" s="437"/>
      <c r="Y31" s="437"/>
      <c r="Z31" s="446"/>
      <c r="AA31" s="437"/>
      <c r="AB31" s="437"/>
      <c r="AC31" s="437"/>
    </row>
    <row r="32" spans="1:29" x14ac:dyDescent="0.2">
      <c r="B32" s="304" t="s">
        <v>772</v>
      </c>
      <c r="C32" s="304"/>
      <c r="D32" s="304">
        <f>D31/1000</f>
        <v>30.972000000000001</v>
      </c>
      <c r="E32" s="304"/>
      <c r="F32" s="304"/>
      <c r="G32" s="305">
        <f>G31/1000</f>
        <v>1.3197950000000001</v>
      </c>
      <c r="P32" s="437" t="s">
        <v>772</v>
      </c>
      <c r="Q32" s="437"/>
      <c r="R32" s="437">
        <v>38.201599999999999</v>
      </c>
      <c r="S32" s="437"/>
      <c r="T32" s="437"/>
      <c r="U32" s="446">
        <v>1.487295</v>
      </c>
      <c r="V32" s="437"/>
      <c r="W32" s="437"/>
      <c r="X32" s="437"/>
      <c r="Y32" s="437"/>
      <c r="Z32" s="437"/>
      <c r="AA32" s="437"/>
      <c r="AB32" s="437"/>
      <c r="AC32" s="437"/>
    </row>
    <row r="33" spans="1:29" x14ac:dyDescent="0.2">
      <c r="P33" s="437"/>
      <c r="Q33" s="437"/>
      <c r="R33" s="437"/>
      <c r="S33" s="437"/>
      <c r="T33" s="437"/>
      <c r="U33" s="437"/>
      <c r="V33" s="437"/>
      <c r="W33" s="437"/>
      <c r="X33" s="437"/>
      <c r="Y33" s="437"/>
      <c r="Z33" s="437"/>
      <c r="AA33" s="437"/>
      <c r="AB33" s="437"/>
      <c r="AC33" s="437"/>
    </row>
    <row r="34" spans="1:29" x14ac:dyDescent="0.2">
      <c r="B34" s="297" t="s">
        <v>773</v>
      </c>
    </row>
    <row r="36" spans="1:29" ht="19.5" customHeight="1" x14ac:dyDescent="0.2">
      <c r="A36" s="282" t="s">
        <v>774</v>
      </c>
    </row>
    <row r="37" spans="1:29" x14ac:dyDescent="0.2">
      <c r="B37" s="257" t="s">
        <v>775</v>
      </c>
    </row>
    <row r="38" spans="1:29" x14ac:dyDescent="0.2">
      <c r="B38" s="257" t="s">
        <v>776</v>
      </c>
    </row>
    <row r="39" spans="1:29" ht="12.75" customHeight="1" x14ac:dyDescent="0.2">
      <c r="B39" s="257" t="s">
        <v>777</v>
      </c>
      <c r="D39" s="257" t="s">
        <v>778</v>
      </c>
    </row>
    <row r="40" spans="1:29" x14ac:dyDescent="0.2">
      <c r="B40" s="257" t="s">
        <v>779</v>
      </c>
      <c r="D40" s="257" t="s">
        <v>780</v>
      </c>
      <c r="F40" s="257" t="s">
        <v>764</v>
      </c>
      <c r="H40" s="257" t="s">
        <v>766</v>
      </c>
      <c r="J40" s="306" t="s">
        <v>781</v>
      </c>
      <c r="L40" s="306" t="s">
        <v>782</v>
      </c>
      <c r="N40" s="306" t="s">
        <v>783</v>
      </c>
      <c r="R40" s="255" t="s">
        <v>784</v>
      </c>
    </row>
    <row r="41" spans="1:29" x14ac:dyDescent="0.2">
      <c r="B41" s="257" t="s">
        <v>785</v>
      </c>
      <c r="D41" s="307" t="s">
        <v>786</v>
      </c>
      <c r="E41" s="307" t="s">
        <v>787</v>
      </c>
      <c r="F41" s="255" t="s">
        <v>788</v>
      </c>
      <c r="G41" s="255" t="s">
        <v>787</v>
      </c>
      <c r="H41" s="307" t="s">
        <v>788</v>
      </c>
      <c r="I41" s="307" t="s">
        <v>787</v>
      </c>
      <c r="J41" s="255" t="s">
        <v>789</v>
      </c>
      <c r="K41" s="255" t="s">
        <v>787</v>
      </c>
      <c r="L41" s="255" t="s">
        <v>789</v>
      </c>
      <c r="M41" s="255" t="s">
        <v>787</v>
      </c>
      <c r="N41" s="255" t="s">
        <v>789</v>
      </c>
      <c r="O41" s="255" t="s">
        <v>787</v>
      </c>
      <c r="R41" s="255" t="s">
        <v>790</v>
      </c>
      <c r="S41" s="255" t="s">
        <v>791</v>
      </c>
      <c r="T41" s="255" t="s">
        <v>782</v>
      </c>
    </row>
    <row r="42" spans="1:29" x14ac:dyDescent="0.2">
      <c r="B42" s="255" t="s">
        <v>792</v>
      </c>
      <c r="C42" s="308" t="s">
        <v>684</v>
      </c>
      <c r="D42" s="255">
        <f>R61</f>
        <v>214776803</v>
      </c>
      <c r="E42" s="309">
        <f t="shared" ref="E42:E50" si="4">R61/R$70</f>
        <v>4.1348141080930871E-2</v>
      </c>
      <c r="F42" s="255">
        <f t="shared" ref="F42:F50" si="5">S61*E$26/F$26</f>
        <v>32492612.691348314</v>
      </c>
      <c r="G42" s="309">
        <f t="shared" ref="G42:G50" si="6">F42/F$51</f>
        <v>5.0629793439204568E-2</v>
      </c>
      <c r="H42" s="255">
        <f t="shared" ref="H42:H50" si="7">T61*E$27/F$27</f>
        <v>13518707.819294117</v>
      </c>
      <c r="I42" s="309">
        <f t="shared" ref="I42:I50" si="8">H42/H$51</f>
        <v>0.1933510467462331</v>
      </c>
      <c r="J42" s="255">
        <f>U61*E$25/F$25</f>
        <v>27545917.638357434</v>
      </c>
      <c r="K42" s="309">
        <f t="shared" ref="K42:K50" si="9">J42/J$51</f>
        <v>9.1041934758557028E-2</v>
      </c>
      <c r="L42" s="255">
        <f>M42*G$30*10^6</f>
        <v>27706859.814399466</v>
      </c>
      <c r="M42" s="309">
        <f>K125</f>
        <v>9.2050897238822788E-2</v>
      </c>
      <c r="N42" s="255">
        <f>F42+H42+J42+L42</f>
        <v>101264097.96339934</v>
      </c>
      <c r="O42" s="309">
        <f t="shared" ref="O42:O50" si="10">N42/N$51</f>
        <v>7.6992601525902774E-2</v>
      </c>
      <c r="Q42" s="308" t="s">
        <v>684</v>
      </c>
      <c r="R42" s="310">
        <f>ROUND((F42+H42)/N42,4)</f>
        <v>0.45440000000000003</v>
      </c>
      <c r="S42" s="310">
        <f>ROUND(J42/N42,4)</f>
        <v>0.27200000000000002</v>
      </c>
      <c r="T42" s="310">
        <f>ROUND(L42/N42,4)</f>
        <v>0.27360000000000001</v>
      </c>
      <c r="U42" s="310"/>
    </row>
    <row r="43" spans="1:29" x14ac:dyDescent="0.2">
      <c r="B43" s="255" t="s">
        <v>793</v>
      </c>
      <c r="C43" s="308" t="s">
        <v>685</v>
      </c>
      <c r="D43" s="255">
        <f>R62</f>
        <v>1653405753</v>
      </c>
      <c r="E43" s="309">
        <f t="shared" si="4"/>
        <v>0.31830837122138717</v>
      </c>
      <c r="F43" s="255">
        <f t="shared" si="5"/>
        <v>451440881.47471905</v>
      </c>
      <c r="G43" s="309">
        <f t="shared" si="6"/>
        <v>0.70343246313225327</v>
      </c>
      <c r="H43" s="255">
        <f t="shared" si="7"/>
        <v>9595692.0847058818</v>
      </c>
      <c r="I43" s="309">
        <f t="shared" si="8"/>
        <v>0.13724219308774904</v>
      </c>
      <c r="J43" s="255">
        <f>U62*E$25/F$25</f>
        <v>196118101.28896865</v>
      </c>
      <c r="K43" s="309">
        <f t="shared" si="9"/>
        <v>0.64818938388385661</v>
      </c>
      <c r="L43" s="255">
        <f t="shared" ref="L43:L50" si="11">M43*G$30*10^6</f>
        <v>104192927.70295656</v>
      </c>
      <c r="M43" s="309">
        <f>K126</f>
        <v>0.34616165618351319</v>
      </c>
      <c r="N43" s="255">
        <f t="shared" ref="N43:N50" si="12">F43+H43+J43+L43</f>
        <v>761347602.55135012</v>
      </c>
      <c r="O43" s="309">
        <f t="shared" si="10"/>
        <v>0.57886391885033428</v>
      </c>
      <c r="Q43" s="308" t="s">
        <v>685</v>
      </c>
      <c r="R43" s="310">
        <f>ROUND((F43+H43)/N43-0.0001,4)</f>
        <v>0.60550000000000004</v>
      </c>
      <c r="S43" s="310">
        <f>ROUND(J43/N43,4)</f>
        <v>0.2576</v>
      </c>
      <c r="T43" s="310">
        <f>ROUND(L43/N43,4)</f>
        <v>0.13689999999999999</v>
      </c>
      <c r="U43" s="310"/>
    </row>
    <row r="44" spans="1:29" x14ac:dyDescent="0.2">
      <c r="B44" s="255" t="s">
        <v>794</v>
      </c>
      <c r="C44" s="308" t="s">
        <v>686</v>
      </c>
      <c r="D44" s="255">
        <f t="shared" ref="D44:D50" si="13">R63</f>
        <v>682451859</v>
      </c>
      <c r="E44" s="309">
        <f t="shared" si="4"/>
        <v>0.13138344249809669</v>
      </c>
      <c r="F44" s="255">
        <f t="shared" si="5"/>
        <v>82408006.695505604</v>
      </c>
      <c r="G44" s="309">
        <f t="shared" si="6"/>
        <v>0.12840765980757768</v>
      </c>
      <c r="H44" s="255">
        <f t="shared" si="7"/>
        <v>1113633.9921176468</v>
      </c>
      <c r="I44" s="309">
        <f t="shared" si="8"/>
        <v>1.5927727778894805E-2</v>
      </c>
      <c r="J44" s="255">
        <f t="shared" ref="J44:J50" si="14">U63*E$25/F$25</f>
        <v>9537549.2921777684</v>
      </c>
      <c r="K44" s="309">
        <f t="shared" si="9"/>
        <v>3.1522527287522521E-2</v>
      </c>
      <c r="L44" s="255">
        <f t="shared" si="11"/>
        <v>48900076.604603745</v>
      </c>
      <c r="M44" s="309">
        <f t="shared" ref="M44:M50" si="15">K127</f>
        <v>0.16246142495590873</v>
      </c>
      <c r="N44" s="255">
        <f t="shared" si="12"/>
        <v>141959266.58440477</v>
      </c>
      <c r="O44" s="309">
        <f t="shared" si="10"/>
        <v>0.10793374418831962</v>
      </c>
      <c r="Q44" s="308" t="s">
        <v>688</v>
      </c>
      <c r="R44" s="310">
        <f>ROUND((F46+H46)/N46,4)</f>
        <v>0.36849999999999999</v>
      </c>
      <c r="S44" s="310">
        <f>ROUND(J46/N46,4)</f>
        <v>0.42730000000000001</v>
      </c>
      <c r="T44" s="310">
        <f>ROUND(L46/N46,4)</f>
        <v>0.20419999999999999</v>
      </c>
      <c r="U44" s="310"/>
    </row>
    <row r="45" spans="1:29" x14ac:dyDescent="0.2">
      <c r="B45" s="255" t="s">
        <v>795</v>
      </c>
      <c r="C45" s="308" t="s">
        <v>687</v>
      </c>
      <c r="D45" s="255">
        <f t="shared" si="13"/>
        <v>53223070</v>
      </c>
      <c r="E45" s="309">
        <f t="shared" si="4"/>
        <v>1.0246334689693E-2</v>
      </c>
      <c r="F45" s="255">
        <f t="shared" si="5"/>
        <v>0</v>
      </c>
      <c r="G45" s="309">
        <f t="shared" si="6"/>
        <v>0</v>
      </c>
      <c r="H45" s="255">
        <f t="shared" si="7"/>
        <v>186769.66023529408</v>
      </c>
      <c r="I45" s="309">
        <f t="shared" si="8"/>
        <v>2.6712693098812773E-3</v>
      </c>
      <c r="J45" s="255">
        <f t="shared" si="14"/>
        <v>0</v>
      </c>
      <c r="K45" s="309">
        <f t="shared" si="9"/>
        <v>0</v>
      </c>
      <c r="L45" s="255">
        <f t="shared" si="11"/>
        <v>7534238.5647347327</v>
      </c>
      <c r="M45" s="309">
        <f t="shared" si="15"/>
        <v>2.5031108705243384E-2</v>
      </c>
      <c r="N45" s="255">
        <f t="shared" si="12"/>
        <v>7721008.2249700269</v>
      </c>
      <c r="O45" s="309">
        <f t="shared" si="10"/>
        <v>5.8703975209278576E-3</v>
      </c>
      <c r="Q45" s="308" t="s">
        <v>690</v>
      </c>
      <c r="R45" s="310">
        <f>ROUND((F48+H48)/N48,4)</f>
        <v>0.33489999999999998</v>
      </c>
      <c r="S45" s="310">
        <f>ROUND(J48/N48,4)</f>
        <v>0</v>
      </c>
      <c r="T45" s="310">
        <f>ROUND(L48/N48,4)</f>
        <v>0.66510000000000002</v>
      </c>
      <c r="U45" s="310"/>
    </row>
    <row r="46" spans="1:29" x14ac:dyDescent="0.2">
      <c r="B46" s="255" t="s">
        <v>796</v>
      </c>
      <c r="C46" s="308" t="s">
        <v>688</v>
      </c>
      <c r="D46" s="255">
        <f t="shared" si="13"/>
        <v>657563617</v>
      </c>
      <c r="E46" s="309">
        <f t="shared" si="4"/>
        <v>0.12659203799305643</v>
      </c>
      <c r="F46" s="255">
        <f t="shared" si="5"/>
        <v>44393798.927790262</v>
      </c>
      <c r="G46" s="309">
        <f t="shared" si="6"/>
        <v>6.9174150169034429E-2</v>
      </c>
      <c r="H46" s="255">
        <f t="shared" si="7"/>
        <v>570310.9655294118</v>
      </c>
      <c r="I46" s="309">
        <f t="shared" si="8"/>
        <v>8.156861116458719E-3</v>
      </c>
      <c r="J46" s="255">
        <f t="shared" si="14"/>
        <v>52145662.251941301</v>
      </c>
      <c r="K46" s="309">
        <f t="shared" si="9"/>
        <v>0.17234648135563366</v>
      </c>
      <c r="L46" s="255">
        <f t="shared" si="11"/>
        <v>24921514.139692418</v>
      </c>
      <c r="M46" s="309">
        <f t="shared" si="15"/>
        <v>8.2797103406011457E-2</v>
      </c>
      <c r="N46" s="255">
        <f t="shared" si="12"/>
        <v>122031286.28495339</v>
      </c>
      <c r="O46" s="309">
        <f t="shared" si="10"/>
        <v>9.2782204034708049E-2</v>
      </c>
      <c r="Q46" s="308" t="s">
        <v>686</v>
      </c>
      <c r="R46" s="310">
        <f>ROUND((F44+H44)/N44,4)</f>
        <v>0.58830000000000005</v>
      </c>
      <c r="S46" s="310">
        <f>ROUND(J44/N44,4)</f>
        <v>6.7199999999999996E-2</v>
      </c>
      <c r="T46" s="310">
        <f>ROUND(L44/N44,4)</f>
        <v>0.34449999999999997</v>
      </c>
      <c r="U46" s="310"/>
    </row>
    <row r="47" spans="1:29" x14ac:dyDescent="0.2">
      <c r="B47" s="255" t="s">
        <v>797</v>
      </c>
      <c r="C47" s="308" t="s">
        <v>689</v>
      </c>
      <c r="D47" s="255">
        <f t="shared" si="13"/>
        <v>270589015</v>
      </c>
      <c r="E47" s="309">
        <f t="shared" si="4"/>
        <v>5.2092929082151018E-2</v>
      </c>
      <c r="F47" s="255">
        <f t="shared" si="5"/>
        <v>0</v>
      </c>
      <c r="G47" s="309">
        <f t="shared" si="6"/>
        <v>0</v>
      </c>
      <c r="H47" s="255">
        <f t="shared" si="7"/>
        <v>5091301.8921176465</v>
      </c>
      <c r="I47" s="309">
        <f t="shared" si="8"/>
        <v>7.2818242934214503E-2</v>
      </c>
      <c r="J47" s="255">
        <f t="shared" si="14"/>
        <v>1635359.9879742423</v>
      </c>
      <c r="K47" s="309">
        <f t="shared" si="9"/>
        <v>5.405023687596551E-3</v>
      </c>
      <c r="L47" s="255">
        <f t="shared" si="11"/>
        <v>7534238.5647347327</v>
      </c>
      <c r="M47" s="309">
        <f t="shared" si="15"/>
        <v>2.5031108705243384E-2</v>
      </c>
      <c r="N47" s="255">
        <f t="shared" si="12"/>
        <v>14260900.444826622</v>
      </c>
      <c r="O47" s="309">
        <f t="shared" si="10"/>
        <v>1.0842774956095086E-2</v>
      </c>
      <c r="Q47" s="308" t="s">
        <v>687</v>
      </c>
      <c r="R47" s="310">
        <f>ROUND((F45+H45)/N45,4)</f>
        <v>2.4199999999999999E-2</v>
      </c>
      <c r="S47" s="310">
        <f>ROUND(J45/N45,4)</f>
        <v>0</v>
      </c>
      <c r="T47" s="310">
        <f>ROUND(L45/N45,4)</f>
        <v>0.9758</v>
      </c>
      <c r="U47" s="310"/>
    </row>
    <row r="48" spans="1:29" x14ac:dyDescent="0.2">
      <c r="B48" s="255" t="s">
        <v>798</v>
      </c>
      <c r="C48" s="308" t="s">
        <v>690</v>
      </c>
      <c r="D48" s="255">
        <f t="shared" si="13"/>
        <v>153740563</v>
      </c>
      <c r="E48" s="309">
        <f t="shared" si="4"/>
        <v>2.9597639968529287E-2</v>
      </c>
      <c r="F48" s="255">
        <f t="shared" si="5"/>
        <v>0</v>
      </c>
      <c r="G48" s="309">
        <f t="shared" si="6"/>
        <v>0</v>
      </c>
      <c r="H48" s="255">
        <f t="shared" si="7"/>
        <v>4320309.7461176468</v>
      </c>
      <c r="I48" s="309">
        <f t="shared" si="8"/>
        <v>6.1791143269447249E-2</v>
      </c>
      <c r="J48" s="255">
        <f t="shared" si="14"/>
        <v>0</v>
      </c>
      <c r="K48" s="309">
        <f t="shared" si="9"/>
        <v>0</v>
      </c>
      <c r="L48" s="255">
        <f t="shared" si="11"/>
        <v>8580325.2700420599</v>
      </c>
      <c r="M48" s="309">
        <f t="shared" si="15"/>
        <v>2.8506537550597382E-2</v>
      </c>
      <c r="N48" s="255">
        <f t="shared" si="12"/>
        <v>12900635.016159706</v>
      </c>
      <c r="O48" s="309">
        <f t="shared" si="10"/>
        <v>9.8085448960330626E-3</v>
      </c>
      <c r="Q48" s="308" t="s">
        <v>689</v>
      </c>
      <c r="R48" s="310">
        <f>ROUND((F47+H47)/N47,4)</f>
        <v>0.35699999999999998</v>
      </c>
      <c r="S48" s="310">
        <f>ROUND(J47/N47,4)</f>
        <v>0.1147</v>
      </c>
      <c r="T48" s="310">
        <f>ROUND(L47/N47,4)</f>
        <v>0.52829999999999999</v>
      </c>
      <c r="U48" s="310"/>
    </row>
    <row r="49" spans="1:22" x14ac:dyDescent="0.2">
      <c r="B49" s="255" t="s">
        <v>799</v>
      </c>
      <c r="C49" s="308" t="s">
        <v>691</v>
      </c>
      <c r="D49" s="255">
        <f t="shared" si="13"/>
        <v>252927684</v>
      </c>
      <c r="E49" s="309">
        <f t="shared" si="4"/>
        <v>4.8692826297936385E-2</v>
      </c>
      <c r="F49" s="255">
        <f t="shared" si="5"/>
        <v>0</v>
      </c>
      <c r="G49" s="309">
        <f t="shared" si="6"/>
        <v>0</v>
      </c>
      <c r="H49" s="255">
        <f t="shared" si="7"/>
        <v>4535312.3957647057</v>
      </c>
      <c r="I49" s="309">
        <f t="shared" si="8"/>
        <v>6.4866214342670814E-2</v>
      </c>
      <c r="J49" s="255">
        <f t="shared" si="14"/>
        <v>0</v>
      </c>
      <c r="K49" s="309">
        <f t="shared" si="9"/>
        <v>0</v>
      </c>
      <c r="L49" s="255">
        <f t="shared" si="11"/>
        <v>7534238.5647347327</v>
      </c>
      <c r="M49" s="309">
        <f t="shared" si="15"/>
        <v>2.5031108705243384E-2</v>
      </c>
      <c r="N49" s="255">
        <f t="shared" si="12"/>
        <v>12069550.960499439</v>
      </c>
      <c r="O49" s="309">
        <f t="shared" si="10"/>
        <v>9.1766593134931414E-3</v>
      </c>
      <c r="Q49" s="308" t="s">
        <v>691</v>
      </c>
      <c r="R49" s="310">
        <f>ROUND((F49+H49)/N49,4)</f>
        <v>0.37580000000000002</v>
      </c>
      <c r="S49" s="310">
        <f>J49/N49</f>
        <v>0</v>
      </c>
      <c r="T49" s="310">
        <f>ROUND(L49/N49,4)</f>
        <v>0.62419999999999998</v>
      </c>
      <c r="U49" s="310"/>
    </row>
    <row r="50" spans="1:22" x14ac:dyDescent="0.2">
      <c r="B50" s="255" t="s">
        <v>800</v>
      </c>
      <c r="C50" s="308" t="s">
        <v>692</v>
      </c>
      <c r="D50" s="255">
        <f t="shared" si="13"/>
        <v>1255673725</v>
      </c>
      <c r="E50" s="309">
        <f t="shared" si="4"/>
        <v>0.24173827716821913</v>
      </c>
      <c r="F50" s="255">
        <f t="shared" si="5"/>
        <v>31033320.70411985</v>
      </c>
      <c r="G50" s="309">
        <f t="shared" si="6"/>
        <v>4.8355933451930101E-2</v>
      </c>
      <c r="H50" s="255">
        <f t="shared" si="7"/>
        <v>30985906.27447059</v>
      </c>
      <c r="I50" s="309">
        <f t="shared" si="8"/>
        <v>0.44317530141445061</v>
      </c>
      <c r="J50" s="255">
        <f t="shared" si="14"/>
        <v>15580373.645079698</v>
      </c>
      <c r="K50" s="309">
        <f t="shared" si="9"/>
        <v>5.1494649026833823E-2</v>
      </c>
      <c r="L50" s="255">
        <f t="shared" si="11"/>
        <v>64090580.774101608</v>
      </c>
      <c r="M50" s="309">
        <f t="shared" si="15"/>
        <v>0.21292905454941646</v>
      </c>
      <c r="N50" s="255">
        <f t="shared" si="12"/>
        <v>141690181.39777175</v>
      </c>
      <c r="O50" s="309">
        <f t="shared" si="10"/>
        <v>0.10772915471418587</v>
      </c>
      <c r="Q50" s="308" t="s">
        <v>692</v>
      </c>
      <c r="R50" s="310">
        <f>ROUND((F50+H50)/N50,4)</f>
        <v>0.43769999999999998</v>
      </c>
      <c r="S50" s="310">
        <f>ROUND(J50/N50,4)</f>
        <v>0.11</v>
      </c>
      <c r="T50" s="310">
        <f>ROUND(L50/N50,4)</f>
        <v>0.45229999999999998</v>
      </c>
      <c r="U50" s="310"/>
    </row>
    <row r="51" spans="1:22" x14ac:dyDescent="0.2">
      <c r="D51" s="255">
        <f>SUM(D42:D50)</f>
        <v>5194352089</v>
      </c>
      <c r="F51" s="255">
        <f>SUM(F42:F50)</f>
        <v>641768620.49348307</v>
      </c>
      <c r="H51" s="255">
        <f>SUM(H42:H50)</f>
        <v>69917944.830352932</v>
      </c>
      <c r="J51" s="255">
        <f>SUM(J42:J50)</f>
        <v>302562964.10449904</v>
      </c>
      <c r="L51" s="255">
        <f>SUM(L42:L50)</f>
        <v>300995000.00000006</v>
      </c>
      <c r="N51" s="255">
        <f>SUM(N42:N50)</f>
        <v>1315244529.4283354</v>
      </c>
      <c r="O51" s="309">
        <v>1</v>
      </c>
      <c r="S51" s="310">
        <f>ROUND('AEO Data'!B239,4)</f>
        <v>0.66679999999999995</v>
      </c>
      <c r="T51" s="255" t="s">
        <v>644</v>
      </c>
    </row>
    <row r="52" spans="1:22" x14ac:dyDescent="0.2">
      <c r="D52" s="255" t="s">
        <v>801</v>
      </c>
    </row>
    <row r="55" spans="1:22" x14ac:dyDescent="0.2">
      <c r="A55" s="257" t="s">
        <v>802</v>
      </c>
    </row>
    <row r="57" spans="1:22" ht="12" customHeight="1" x14ac:dyDescent="0.2">
      <c r="B57" s="838" t="s">
        <v>803</v>
      </c>
      <c r="C57" s="838"/>
      <c r="D57" s="838"/>
      <c r="E57" s="838"/>
      <c r="F57" s="838"/>
      <c r="G57" s="838"/>
      <c r="H57" s="838"/>
      <c r="I57" s="838"/>
    </row>
    <row r="58" spans="1:22" x14ac:dyDescent="0.2">
      <c r="B58" s="265" t="s">
        <v>804</v>
      </c>
      <c r="C58" s="265"/>
      <c r="D58" s="265"/>
      <c r="E58" s="265"/>
      <c r="F58" s="265"/>
      <c r="G58" s="265"/>
      <c r="H58" s="265"/>
      <c r="I58" s="265"/>
    </row>
    <row r="59" spans="1:22" ht="12" customHeight="1" x14ac:dyDescent="0.2">
      <c r="B59" s="265"/>
      <c r="C59" s="851" t="s">
        <v>805</v>
      </c>
      <c r="D59" s="851" t="s">
        <v>806</v>
      </c>
      <c r="E59" s="855" t="s">
        <v>807</v>
      </c>
      <c r="F59" s="855"/>
      <c r="G59" s="855"/>
      <c r="H59" s="855"/>
      <c r="I59" s="855"/>
      <c r="L59" s="255" t="s">
        <v>808</v>
      </c>
      <c r="S59" s="255" t="s">
        <v>809</v>
      </c>
    </row>
    <row r="60" spans="1:22" ht="36.75" customHeight="1" x14ac:dyDescent="0.2">
      <c r="B60" s="311" t="s">
        <v>810</v>
      </c>
      <c r="C60" s="834"/>
      <c r="D60" s="834"/>
      <c r="E60" s="312" t="s">
        <v>780</v>
      </c>
      <c r="F60" s="458" t="s">
        <v>811</v>
      </c>
      <c r="G60" s="312" t="s">
        <v>812</v>
      </c>
      <c r="H60" s="312" t="s">
        <v>781</v>
      </c>
      <c r="I60" s="312" t="s">
        <v>813</v>
      </c>
      <c r="K60" s="312" t="s">
        <v>780</v>
      </c>
      <c r="L60" s="458" t="s">
        <v>811</v>
      </c>
      <c r="M60" s="312" t="s">
        <v>812</v>
      </c>
      <c r="N60" s="312" t="s">
        <v>781</v>
      </c>
      <c r="O60" s="312" t="s">
        <v>813</v>
      </c>
      <c r="R60" s="312" t="s">
        <v>780</v>
      </c>
      <c r="S60" s="458" t="s">
        <v>811</v>
      </c>
      <c r="T60" s="312" t="s">
        <v>812</v>
      </c>
      <c r="U60" s="312" t="s">
        <v>781</v>
      </c>
      <c r="V60" s="312" t="s">
        <v>813</v>
      </c>
    </row>
    <row r="61" spans="1:22" x14ac:dyDescent="0.2">
      <c r="B61" s="259" t="s">
        <v>814</v>
      </c>
      <c r="C61" s="260">
        <v>9</v>
      </c>
      <c r="D61" s="313">
        <v>6562</v>
      </c>
      <c r="E61" s="258">
        <v>86</v>
      </c>
      <c r="F61" s="258">
        <v>0</v>
      </c>
      <c r="G61" s="258">
        <v>0</v>
      </c>
      <c r="H61" s="258">
        <v>0</v>
      </c>
      <c r="I61" s="258">
        <v>14</v>
      </c>
      <c r="J61" s="308" t="s">
        <v>815</v>
      </c>
      <c r="K61" s="255">
        <f>$D61*E61*10</f>
        <v>5643320</v>
      </c>
      <c r="L61" s="255">
        <f t="shared" ref="L61:O76" si="16">$D61*F61*10</f>
        <v>0</v>
      </c>
      <c r="M61" s="255">
        <f t="shared" si="16"/>
        <v>0</v>
      </c>
      <c r="N61" s="255">
        <f t="shared" si="16"/>
        <v>0</v>
      </c>
      <c r="O61" s="255">
        <f t="shared" si="16"/>
        <v>918680</v>
      </c>
      <c r="Q61" s="308" t="s">
        <v>684</v>
      </c>
      <c r="R61" s="255">
        <f>K67+K80+K82+K90+K100+K106</f>
        <v>214776803</v>
      </c>
      <c r="S61" s="255">
        <f>L67+L80+L82+L90+L100+L106</f>
        <v>142151853</v>
      </c>
      <c r="T61" s="255">
        <f>M67+M80+M82+M90+M100+M106</f>
        <v>73801552</v>
      </c>
      <c r="U61" s="255">
        <f>N67+N80+N82+N90+N100+N106</f>
        <v>38395576</v>
      </c>
      <c r="V61" s="255">
        <f>O67+O80+O82+O90+O100+O106</f>
        <v>13202216</v>
      </c>
    </row>
    <row r="62" spans="1:22" x14ac:dyDescent="0.2">
      <c r="B62" s="259" t="s">
        <v>816</v>
      </c>
      <c r="C62" s="260">
        <v>3</v>
      </c>
      <c r="D62" s="313">
        <v>4814</v>
      </c>
      <c r="E62" s="258">
        <v>90.9</v>
      </c>
      <c r="F62" s="258">
        <v>0</v>
      </c>
      <c r="G62" s="258">
        <v>0</v>
      </c>
      <c r="H62" s="258">
        <v>0</v>
      </c>
      <c r="I62" s="258">
        <v>9.1</v>
      </c>
      <c r="J62" s="308" t="s">
        <v>817</v>
      </c>
      <c r="K62" s="255">
        <f t="shared" ref="K62:K111" si="17">$D62*E62*10</f>
        <v>4375926</v>
      </c>
      <c r="L62" s="255">
        <f t="shared" si="16"/>
        <v>0</v>
      </c>
      <c r="M62" s="255">
        <f t="shared" si="16"/>
        <v>0</v>
      </c>
      <c r="N62" s="255">
        <f t="shared" si="16"/>
        <v>0</v>
      </c>
      <c r="O62" s="255">
        <f t="shared" si="16"/>
        <v>438074</v>
      </c>
      <c r="Q62" s="308" t="s">
        <v>685</v>
      </c>
      <c r="R62" s="255">
        <f>K91+K93+K99</f>
        <v>1653405753</v>
      </c>
      <c r="S62" s="255">
        <f>L91+L93+L99</f>
        <v>1975007624.9999998</v>
      </c>
      <c r="T62" s="255">
        <f>M91+M93+M99</f>
        <v>52384960</v>
      </c>
      <c r="U62" s="255">
        <f>N91+N93+N99</f>
        <v>273364190</v>
      </c>
      <c r="V62" s="255">
        <f>O91+O93+O99</f>
        <v>36528428</v>
      </c>
    </row>
    <row r="63" spans="1:22" x14ac:dyDescent="0.2">
      <c r="B63" s="259" t="s">
        <v>818</v>
      </c>
      <c r="C63" s="260">
        <v>12</v>
      </c>
      <c r="D63" s="313">
        <v>77706</v>
      </c>
      <c r="E63" s="258">
        <v>97.1</v>
      </c>
      <c r="F63" s="258">
        <v>0</v>
      </c>
      <c r="G63" s="258">
        <v>0</v>
      </c>
      <c r="H63" s="258">
        <v>0</v>
      </c>
      <c r="I63" s="258">
        <v>2.9</v>
      </c>
      <c r="J63" s="308" t="s">
        <v>819</v>
      </c>
      <c r="K63" s="255">
        <f t="shared" si="17"/>
        <v>75452526</v>
      </c>
      <c r="L63" s="255">
        <f t="shared" si="16"/>
        <v>0</v>
      </c>
      <c r="M63" s="255">
        <f t="shared" si="16"/>
        <v>0</v>
      </c>
      <c r="N63" s="255">
        <f t="shared" si="16"/>
        <v>0</v>
      </c>
      <c r="O63" s="255">
        <f t="shared" si="16"/>
        <v>2253474</v>
      </c>
      <c r="Q63" s="308" t="s">
        <v>686</v>
      </c>
      <c r="R63" s="255">
        <f>K68+K69+K70+K71+K81+K94+K101+K107+K109</f>
        <v>682451859</v>
      </c>
      <c r="S63" s="255">
        <f>L68+L69+L70+L71+L81+L94+L101+L107+L109</f>
        <v>360526590</v>
      </c>
      <c r="T63" s="255">
        <f>M68+M69+M70+M71+M81+M94+M101+M107+M109</f>
        <v>6079568.9999999991</v>
      </c>
      <c r="U63" s="255">
        <f>N68+N69+N70+N71+N81+N94+N101+N107+N109</f>
        <v>13294155</v>
      </c>
      <c r="V63" s="255">
        <f>O68+O69+O70+O71+O81+O94+O101+O107+O109</f>
        <v>28023896</v>
      </c>
    </row>
    <row r="64" spans="1:22" x14ac:dyDescent="0.2">
      <c r="B64" s="259" t="s">
        <v>820</v>
      </c>
      <c r="C64" s="260">
        <v>4</v>
      </c>
      <c r="D64" s="313">
        <v>3993</v>
      </c>
      <c r="E64" s="258">
        <v>91.2</v>
      </c>
      <c r="F64" s="258">
        <v>0</v>
      </c>
      <c r="G64" s="258">
        <v>3.9</v>
      </c>
      <c r="H64" s="258">
        <v>0</v>
      </c>
      <c r="I64" s="258">
        <v>4.9000000000000004</v>
      </c>
      <c r="J64" s="308" t="s">
        <v>821</v>
      </c>
      <c r="K64" s="255">
        <f t="shared" si="17"/>
        <v>3641616.0000000005</v>
      </c>
      <c r="L64" s="255">
        <f t="shared" si="16"/>
        <v>0</v>
      </c>
      <c r="M64" s="255">
        <f t="shared" si="16"/>
        <v>155727</v>
      </c>
      <c r="N64" s="255">
        <f t="shared" si="16"/>
        <v>0</v>
      </c>
      <c r="O64" s="255">
        <f t="shared" si="16"/>
        <v>195657</v>
      </c>
      <c r="Q64" s="308" t="s">
        <v>687</v>
      </c>
      <c r="R64" s="255">
        <f>K61+K78+K85+K103</f>
        <v>53223070</v>
      </c>
      <c r="S64" s="255">
        <f>L61+L78+L85+L103</f>
        <v>0</v>
      </c>
      <c r="T64" s="255">
        <f>M61+M78+M85+M103</f>
        <v>1019615.9999999999</v>
      </c>
      <c r="U64" s="255">
        <f>N61+N78+N85+N103</f>
        <v>0</v>
      </c>
      <c r="V64" s="255">
        <f>O61+O78+O85+O103</f>
        <v>2601314</v>
      </c>
    </row>
    <row r="65" spans="2:22" x14ac:dyDescent="0.2">
      <c r="B65" s="259" t="s">
        <v>822</v>
      </c>
      <c r="C65" s="260">
        <v>80</v>
      </c>
      <c r="D65" s="313">
        <v>1357676</v>
      </c>
      <c r="E65" s="258">
        <v>71.3</v>
      </c>
      <c r="F65" s="258">
        <v>10</v>
      </c>
      <c r="G65" s="258">
        <v>9.8000000000000007</v>
      </c>
      <c r="H65" s="261">
        <v>1.5</v>
      </c>
      <c r="I65" s="258">
        <v>7.4</v>
      </c>
      <c r="J65" s="308" t="s">
        <v>823</v>
      </c>
      <c r="K65" s="255">
        <f t="shared" si="17"/>
        <v>968022988</v>
      </c>
      <c r="L65" s="255">
        <f t="shared" si="16"/>
        <v>135767600</v>
      </c>
      <c r="M65" s="255">
        <f t="shared" si="16"/>
        <v>133052248</v>
      </c>
      <c r="N65" s="255">
        <f t="shared" si="16"/>
        <v>20365140</v>
      </c>
      <c r="O65" s="255">
        <f t="shared" si="16"/>
        <v>100468024</v>
      </c>
      <c r="Q65" s="308" t="s">
        <v>688</v>
      </c>
      <c r="R65" s="255">
        <f>K74+K75+K83+K96+K110</f>
        <v>657563617</v>
      </c>
      <c r="S65" s="255">
        <f>L74+L75+L83+L96+L110</f>
        <v>194218324</v>
      </c>
      <c r="T65" s="255">
        <f>M74+M75+M83+M96+M110</f>
        <v>3113451.0000000005</v>
      </c>
      <c r="U65" s="255">
        <f>N74+N75+N83+N96+N110</f>
        <v>72684554</v>
      </c>
      <c r="V65" s="255">
        <f>O74+O75+O83+O96+O110</f>
        <v>22463146</v>
      </c>
    </row>
    <row r="66" spans="2:22" x14ac:dyDescent="0.2">
      <c r="B66" s="259" t="s">
        <v>824</v>
      </c>
      <c r="C66" s="260">
        <v>7</v>
      </c>
      <c r="D66" s="313">
        <v>92484</v>
      </c>
      <c r="E66" s="258">
        <v>87.1</v>
      </c>
      <c r="F66" s="258">
        <v>0</v>
      </c>
      <c r="G66" s="258">
        <v>11.3</v>
      </c>
      <c r="H66" s="261">
        <v>0</v>
      </c>
      <c r="I66" s="258">
        <v>1.6</v>
      </c>
      <c r="J66" s="308" t="s">
        <v>145</v>
      </c>
      <c r="K66" s="255">
        <f t="shared" si="17"/>
        <v>80553564</v>
      </c>
      <c r="L66" s="255">
        <f t="shared" si="16"/>
        <v>0</v>
      </c>
      <c r="M66" s="255">
        <f t="shared" si="16"/>
        <v>10450692</v>
      </c>
      <c r="N66" s="255">
        <f t="shared" si="16"/>
        <v>0</v>
      </c>
      <c r="O66" s="255">
        <f t="shared" si="16"/>
        <v>1479744</v>
      </c>
      <c r="Q66" s="308" t="s">
        <v>689</v>
      </c>
      <c r="R66" s="255">
        <f>K64+K79+K97+K104</f>
        <v>270589015</v>
      </c>
      <c r="S66" s="255">
        <f>L64+L79+L97+L104</f>
        <v>0</v>
      </c>
      <c r="T66" s="255">
        <f>M64+M79+M97+M104</f>
        <v>27794518.999999996</v>
      </c>
      <c r="U66" s="255">
        <f>N64+N79+N97+N104</f>
        <v>2279488</v>
      </c>
      <c r="V66" s="255">
        <f>O64+O79+O97+O104</f>
        <v>11552978</v>
      </c>
    </row>
    <row r="67" spans="2:22" x14ac:dyDescent="0.2">
      <c r="B67" s="259" t="s">
        <v>825</v>
      </c>
      <c r="C67" s="260">
        <v>16</v>
      </c>
      <c r="D67" s="313">
        <v>36773</v>
      </c>
      <c r="E67" s="258">
        <v>92.2</v>
      </c>
      <c r="F67" s="258">
        <v>0</v>
      </c>
      <c r="G67" s="258">
        <v>0</v>
      </c>
      <c r="H67" s="261">
        <v>1.1000000000000001</v>
      </c>
      <c r="I67" s="258">
        <v>6.7</v>
      </c>
      <c r="J67" s="308" t="s">
        <v>826</v>
      </c>
      <c r="K67" s="255">
        <f t="shared" si="17"/>
        <v>33904706</v>
      </c>
      <c r="L67" s="255">
        <f t="shared" si="16"/>
        <v>0</v>
      </c>
      <c r="M67" s="255">
        <f t="shared" si="16"/>
        <v>0</v>
      </c>
      <c r="N67" s="255">
        <f t="shared" si="16"/>
        <v>404503</v>
      </c>
      <c r="O67" s="255">
        <f t="shared" si="16"/>
        <v>2463791</v>
      </c>
      <c r="Q67" s="308" t="s">
        <v>690</v>
      </c>
      <c r="R67" s="255">
        <f>K76+K77+K84+K86+K88+K95+K102</f>
        <v>153740563</v>
      </c>
      <c r="S67" s="255">
        <f>L76+L77+L84+L86+L88+L95+L102</f>
        <v>0</v>
      </c>
      <c r="T67" s="255">
        <f>M76+M77+M84+M86+M88+M95+M102</f>
        <v>23585506</v>
      </c>
      <c r="U67" s="255">
        <f>N76+N77+N84+N86+N88+N95+N102</f>
        <v>0</v>
      </c>
      <c r="V67" s="255">
        <f>O76+O77+O84+O86+O88+O95+O102</f>
        <v>5538931</v>
      </c>
    </row>
    <row r="68" spans="2:22" x14ac:dyDescent="0.2">
      <c r="B68" s="259" t="s">
        <v>827</v>
      </c>
      <c r="C68" s="260">
        <v>1</v>
      </c>
      <c r="D68" s="313">
        <v>8764</v>
      </c>
      <c r="E68" s="258">
        <v>91.9</v>
      </c>
      <c r="F68" s="258">
        <v>0</v>
      </c>
      <c r="G68" s="258">
        <v>0</v>
      </c>
      <c r="H68" s="258">
        <v>0</v>
      </c>
      <c r="I68" s="261">
        <v>8.1</v>
      </c>
      <c r="J68" s="308" t="s">
        <v>828</v>
      </c>
      <c r="K68" s="255">
        <f t="shared" si="17"/>
        <v>8054116.0000000009</v>
      </c>
      <c r="L68" s="255">
        <f t="shared" si="16"/>
        <v>0</v>
      </c>
      <c r="M68" s="255">
        <f t="shared" si="16"/>
        <v>0</v>
      </c>
      <c r="N68" s="255">
        <f t="shared" si="16"/>
        <v>0</v>
      </c>
      <c r="O68" s="255">
        <f t="shared" si="16"/>
        <v>709884</v>
      </c>
      <c r="Q68" s="308" t="s">
        <v>691</v>
      </c>
      <c r="R68" s="255">
        <f>K63+K66+K73+K87+K89+K92+K105+K111</f>
        <v>252927684</v>
      </c>
      <c r="S68" s="255">
        <f>L63+L66+L73+L87+L89+L92+L105+L111</f>
        <v>0</v>
      </c>
      <c r="T68" s="255">
        <f>M63+M66+M73+M87+M89+M92+M105+M111</f>
        <v>24759252</v>
      </c>
      <c r="U68" s="255">
        <f>N63+N66+N73+N87+N89+N92+N105+N111</f>
        <v>0</v>
      </c>
      <c r="V68" s="255">
        <f>O63+O66+O73+O87+O89+O92+O105+O111</f>
        <v>6886318</v>
      </c>
    </row>
    <row r="69" spans="2:22" x14ac:dyDescent="0.2">
      <c r="B69" s="259" t="s">
        <v>829</v>
      </c>
      <c r="C69" s="260">
        <v>1</v>
      </c>
      <c r="D69" s="313">
        <v>414076</v>
      </c>
      <c r="E69" s="258">
        <v>37</v>
      </c>
      <c r="F69" s="258">
        <v>62.7</v>
      </c>
      <c r="G69" s="258">
        <v>0</v>
      </c>
      <c r="H69" s="261">
        <v>0</v>
      </c>
      <c r="I69" s="258">
        <v>0.3</v>
      </c>
      <c r="J69" s="308" t="s">
        <v>830</v>
      </c>
      <c r="K69" s="255">
        <f t="shared" si="17"/>
        <v>153208120</v>
      </c>
      <c r="L69" s="255">
        <f t="shared" si="16"/>
        <v>259625652.00000003</v>
      </c>
      <c r="M69" s="255">
        <f t="shared" si="16"/>
        <v>0</v>
      </c>
      <c r="N69" s="255">
        <f t="shared" si="16"/>
        <v>0</v>
      </c>
      <c r="O69" s="255">
        <f t="shared" si="16"/>
        <v>1242228</v>
      </c>
      <c r="Q69" s="308" t="s">
        <v>692</v>
      </c>
      <c r="R69" s="255">
        <f>K62+K65+K72+K98+K108</f>
        <v>1255673725</v>
      </c>
      <c r="S69" s="255">
        <f>L62+L65+L72+L98+L108</f>
        <v>135767600</v>
      </c>
      <c r="T69" s="255">
        <f>M62+M65+M72+M98+M108</f>
        <v>169158769</v>
      </c>
      <c r="U69" s="255">
        <f>N62+N65+N72+N98+N108</f>
        <v>21717099</v>
      </c>
      <c r="V69" s="255">
        <f>O62+O65+O72+O98+O108</f>
        <v>162418944</v>
      </c>
    </row>
    <row r="70" spans="2:22" x14ac:dyDescent="0.2">
      <c r="B70" s="259" t="s">
        <v>831</v>
      </c>
      <c r="C70" s="260">
        <v>30</v>
      </c>
      <c r="D70" s="313">
        <v>251117</v>
      </c>
      <c r="E70" s="258">
        <v>84.3</v>
      </c>
      <c r="F70" s="258">
        <v>6.8</v>
      </c>
      <c r="G70" s="258">
        <v>0.2</v>
      </c>
      <c r="H70" s="261">
        <v>1.1000000000000001</v>
      </c>
      <c r="I70" s="258">
        <v>7.5</v>
      </c>
      <c r="J70" s="308" t="s">
        <v>832</v>
      </c>
      <c r="K70" s="255">
        <f t="shared" si="17"/>
        <v>211691630.99999997</v>
      </c>
      <c r="L70" s="255">
        <f t="shared" si="16"/>
        <v>17075956</v>
      </c>
      <c r="M70" s="255">
        <f t="shared" si="16"/>
        <v>502234</v>
      </c>
      <c r="N70" s="255">
        <f t="shared" si="16"/>
        <v>2762287</v>
      </c>
      <c r="O70" s="255">
        <f t="shared" si="16"/>
        <v>18833775</v>
      </c>
      <c r="R70" s="255">
        <f>SUM(R61:R69)</f>
        <v>5194352089</v>
      </c>
      <c r="S70" s="255">
        <f>SUM(S61:S69)</f>
        <v>2807671992</v>
      </c>
      <c r="T70" s="255">
        <f>SUM(T61:T69)</f>
        <v>381697194</v>
      </c>
      <c r="U70" s="255">
        <f>SUM(U61:U69)</f>
        <v>421735062</v>
      </c>
      <c r="V70" s="255">
        <f>SUM(V61:V69)</f>
        <v>289216171</v>
      </c>
    </row>
    <row r="71" spans="2:22" x14ac:dyDescent="0.2">
      <c r="B71" s="259" t="s">
        <v>833</v>
      </c>
      <c r="C71" s="260">
        <v>14</v>
      </c>
      <c r="D71" s="313">
        <v>160294</v>
      </c>
      <c r="E71" s="258">
        <v>55</v>
      </c>
      <c r="F71" s="258">
        <v>44.3</v>
      </c>
      <c r="G71" s="258">
        <v>0</v>
      </c>
      <c r="H71" s="261">
        <v>0</v>
      </c>
      <c r="I71" s="258">
        <v>0.8</v>
      </c>
      <c r="J71" s="308" t="s">
        <v>834</v>
      </c>
      <c r="K71" s="255">
        <f t="shared" si="17"/>
        <v>88161700</v>
      </c>
      <c r="L71" s="255">
        <f t="shared" si="16"/>
        <v>71010242</v>
      </c>
      <c r="M71" s="255">
        <f t="shared" si="16"/>
        <v>0</v>
      </c>
      <c r="N71" s="255">
        <f t="shared" si="16"/>
        <v>0</v>
      </c>
      <c r="O71" s="255">
        <f t="shared" si="16"/>
        <v>1282352</v>
      </c>
    </row>
    <row r="72" spans="2:22" x14ac:dyDescent="0.2">
      <c r="B72" s="259" t="s">
        <v>835</v>
      </c>
      <c r="C72" s="260">
        <v>2</v>
      </c>
      <c r="D72" s="313">
        <v>68658</v>
      </c>
      <c r="E72" s="258">
        <v>98.2</v>
      </c>
      <c r="F72" s="258">
        <v>0</v>
      </c>
      <c r="G72" s="258">
        <v>0</v>
      </c>
      <c r="H72" s="258">
        <v>0</v>
      </c>
      <c r="I72" s="261">
        <v>1.8</v>
      </c>
      <c r="J72" s="308" t="s">
        <v>836</v>
      </c>
      <c r="K72" s="255">
        <f t="shared" si="17"/>
        <v>67422156</v>
      </c>
      <c r="L72" s="255">
        <f t="shared" si="16"/>
        <v>0</v>
      </c>
      <c r="M72" s="255">
        <f t="shared" si="16"/>
        <v>0</v>
      </c>
      <c r="N72" s="255">
        <f t="shared" si="16"/>
        <v>0</v>
      </c>
      <c r="O72" s="255">
        <f t="shared" si="16"/>
        <v>1235844</v>
      </c>
    </row>
    <row r="73" spans="2:22" x14ac:dyDescent="0.2">
      <c r="B73" s="259" t="s">
        <v>837</v>
      </c>
      <c r="C73" s="265">
        <v>2</v>
      </c>
      <c r="D73" s="313">
        <v>1583</v>
      </c>
      <c r="E73" s="265">
        <v>94.9</v>
      </c>
      <c r="F73" s="258">
        <v>0</v>
      </c>
      <c r="G73" s="258">
        <v>0</v>
      </c>
      <c r="H73" s="258">
        <v>0</v>
      </c>
      <c r="I73" s="261">
        <v>5.0999999999999996</v>
      </c>
      <c r="J73" s="308" t="s">
        <v>838</v>
      </c>
      <c r="K73" s="255">
        <f t="shared" si="17"/>
        <v>1502267</v>
      </c>
      <c r="L73" s="255">
        <f t="shared" si="16"/>
        <v>0</v>
      </c>
      <c r="M73" s="255">
        <f t="shared" si="16"/>
        <v>0</v>
      </c>
      <c r="N73" s="255">
        <f t="shared" si="16"/>
        <v>0</v>
      </c>
      <c r="O73" s="255">
        <f t="shared" si="16"/>
        <v>80733</v>
      </c>
    </row>
    <row r="74" spans="2:22" x14ac:dyDescent="0.2">
      <c r="B74" s="259" t="s">
        <v>839</v>
      </c>
      <c r="C74" s="260">
        <v>12</v>
      </c>
      <c r="D74" s="313">
        <v>620482</v>
      </c>
      <c r="E74" s="258">
        <v>57.8</v>
      </c>
      <c r="F74" s="258">
        <v>30.1</v>
      </c>
      <c r="G74" s="258">
        <v>0</v>
      </c>
      <c r="H74" s="261">
        <v>11.1</v>
      </c>
      <c r="I74" s="258">
        <v>1</v>
      </c>
      <c r="J74" s="308" t="s">
        <v>840</v>
      </c>
      <c r="K74" s="255">
        <f t="shared" si="17"/>
        <v>358638596</v>
      </c>
      <c r="L74" s="255">
        <f t="shared" si="16"/>
        <v>186765082</v>
      </c>
      <c r="M74" s="255">
        <f t="shared" si="16"/>
        <v>0</v>
      </c>
      <c r="N74" s="255">
        <f t="shared" si="16"/>
        <v>68873502</v>
      </c>
      <c r="O74" s="255">
        <f t="shared" si="16"/>
        <v>6204820</v>
      </c>
    </row>
    <row r="75" spans="2:22" x14ac:dyDescent="0.2">
      <c r="B75" s="259" t="s">
        <v>841</v>
      </c>
      <c r="C75" s="260">
        <v>18</v>
      </c>
      <c r="D75" s="313">
        <v>29092</v>
      </c>
      <c r="E75" s="258">
        <v>82.8</v>
      </c>
      <c r="F75" s="258">
        <v>0</v>
      </c>
      <c r="G75" s="258">
        <v>0</v>
      </c>
      <c r="H75" s="261">
        <v>13.1</v>
      </c>
      <c r="I75" s="258">
        <v>4.2</v>
      </c>
      <c r="J75" s="308" t="s">
        <v>842</v>
      </c>
      <c r="K75" s="255">
        <f t="shared" si="17"/>
        <v>24088176</v>
      </c>
      <c r="L75" s="255">
        <f t="shared" si="16"/>
        <v>0</v>
      </c>
      <c r="M75" s="255">
        <f t="shared" si="16"/>
        <v>0</v>
      </c>
      <c r="N75" s="255">
        <f t="shared" si="16"/>
        <v>3811052</v>
      </c>
      <c r="O75" s="255">
        <f t="shared" si="16"/>
        <v>1221864</v>
      </c>
    </row>
    <row r="76" spans="2:22" x14ac:dyDescent="0.2">
      <c r="B76" s="259" t="s">
        <v>843</v>
      </c>
      <c r="C76" s="260">
        <v>11</v>
      </c>
      <c r="D76" s="313">
        <v>17834</v>
      </c>
      <c r="E76" s="258">
        <v>95.1</v>
      </c>
      <c r="F76" s="258">
        <v>0</v>
      </c>
      <c r="G76" s="258">
        <v>0</v>
      </c>
      <c r="H76" s="261">
        <v>0</v>
      </c>
      <c r="I76" s="258">
        <v>4.9000000000000004</v>
      </c>
      <c r="J76" s="308" t="s">
        <v>844</v>
      </c>
      <c r="K76" s="255">
        <f t="shared" si="17"/>
        <v>16960134</v>
      </c>
      <c r="L76" s="255">
        <f t="shared" si="16"/>
        <v>0</v>
      </c>
      <c r="M76" s="255">
        <f t="shared" si="16"/>
        <v>0</v>
      </c>
      <c r="N76" s="255">
        <f t="shared" si="16"/>
        <v>0</v>
      </c>
      <c r="O76" s="255">
        <f t="shared" si="16"/>
        <v>873866</v>
      </c>
    </row>
    <row r="77" spans="2:22" x14ac:dyDescent="0.2">
      <c r="B77" s="259" t="s">
        <v>845</v>
      </c>
      <c r="C77" s="260">
        <v>4</v>
      </c>
      <c r="D77" s="313">
        <v>4767</v>
      </c>
      <c r="E77" s="258">
        <v>86.9</v>
      </c>
      <c r="F77" s="258">
        <v>0</v>
      </c>
      <c r="G77" s="258">
        <v>0</v>
      </c>
      <c r="H77" s="261">
        <v>0</v>
      </c>
      <c r="I77" s="258">
        <v>13.1</v>
      </c>
      <c r="J77" s="308" t="s">
        <v>846</v>
      </c>
      <c r="K77" s="255">
        <f t="shared" si="17"/>
        <v>4142523.0000000005</v>
      </c>
      <c r="L77" s="255">
        <f t="shared" ref="L77:L111" si="18">$D77*F77*10</f>
        <v>0</v>
      </c>
      <c r="M77" s="255">
        <f t="shared" ref="M77:M111" si="19">$D77*G77*10</f>
        <v>0</v>
      </c>
      <c r="N77" s="255">
        <f t="shared" ref="N77:N111" si="20">$D77*H77*10</f>
        <v>0</v>
      </c>
      <c r="O77" s="255">
        <f t="shared" ref="O77:O111" si="21">$D77*I77*10</f>
        <v>624477</v>
      </c>
    </row>
    <row r="78" spans="2:22" x14ac:dyDescent="0.2">
      <c r="B78" s="259" t="s">
        <v>847</v>
      </c>
      <c r="C78" s="260">
        <v>3</v>
      </c>
      <c r="D78" s="313">
        <v>22091</v>
      </c>
      <c r="E78" s="258">
        <v>97.6</v>
      </c>
      <c r="F78" s="258">
        <v>0</v>
      </c>
      <c r="G78" s="258">
        <v>0</v>
      </c>
      <c r="H78" s="261">
        <v>0</v>
      </c>
      <c r="I78" s="258">
        <v>2.4</v>
      </c>
      <c r="J78" s="308" t="s">
        <v>848</v>
      </c>
      <c r="K78" s="255">
        <f t="shared" si="17"/>
        <v>21560816</v>
      </c>
      <c r="L78" s="255">
        <f t="shared" si="18"/>
        <v>0</v>
      </c>
      <c r="M78" s="255">
        <f t="shared" si="19"/>
        <v>0</v>
      </c>
      <c r="N78" s="255">
        <f t="shared" si="20"/>
        <v>0</v>
      </c>
      <c r="O78" s="255">
        <f t="shared" si="21"/>
        <v>530184</v>
      </c>
    </row>
    <row r="79" spans="2:22" x14ac:dyDescent="0.2">
      <c r="B79" s="259" t="s">
        <v>849</v>
      </c>
      <c r="C79" s="260">
        <v>7</v>
      </c>
      <c r="D79" s="313">
        <v>16905</v>
      </c>
      <c r="E79" s="258">
        <v>80.099999999999994</v>
      </c>
      <c r="F79" s="258">
        <v>0</v>
      </c>
      <c r="G79" s="258">
        <v>0</v>
      </c>
      <c r="H79" s="261">
        <v>0</v>
      </c>
      <c r="I79" s="258">
        <v>19.899999999999999</v>
      </c>
      <c r="J79" s="308" t="s">
        <v>850</v>
      </c>
      <c r="K79" s="255">
        <f t="shared" si="17"/>
        <v>13540905</v>
      </c>
      <c r="L79" s="255">
        <f t="shared" si="18"/>
        <v>0</v>
      </c>
      <c r="M79" s="255">
        <f t="shared" si="19"/>
        <v>0</v>
      </c>
      <c r="N79" s="255">
        <f t="shared" si="20"/>
        <v>0</v>
      </c>
      <c r="O79" s="255">
        <f t="shared" si="21"/>
        <v>3364095</v>
      </c>
    </row>
    <row r="80" spans="2:22" x14ac:dyDescent="0.2">
      <c r="B80" s="259" t="s">
        <v>851</v>
      </c>
      <c r="C80" s="260">
        <v>6</v>
      </c>
      <c r="D80" s="313">
        <v>3647</v>
      </c>
      <c r="E80" s="258">
        <v>61.4</v>
      </c>
      <c r="F80" s="258">
        <v>0</v>
      </c>
      <c r="G80" s="258">
        <v>0</v>
      </c>
      <c r="H80" s="261">
        <v>6.9</v>
      </c>
      <c r="I80" s="258">
        <v>31.7</v>
      </c>
      <c r="J80" s="308" t="s">
        <v>852</v>
      </c>
      <c r="K80" s="255">
        <f t="shared" si="17"/>
        <v>2239258</v>
      </c>
      <c r="L80" s="255">
        <f t="shared" si="18"/>
        <v>0</v>
      </c>
      <c r="M80" s="255">
        <f t="shared" si="19"/>
        <v>0</v>
      </c>
      <c r="N80" s="255">
        <f t="shared" si="20"/>
        <v>251643.00000000003</v>
      </c>
      <c r="O80" s="255">
        <f t="shared" si="21"/>
        <v>1156099</v>
      </c>
    </row>
    <row r="81" spans="2:15" x14ac:dyDescent="0.2">
      <c r="B81" s="259" t="s">
        <v>853</v>
      </c>
      <c r="C81" s="260">
        <v>10</v>
      </c>
      <c r="D81" s="313">
        <v>134892</v>
      </c>
      <c r="E81" s="258">
        <v>80.5</v>
      </c>
      <c r="F81" s="258">
        <v>9.5</v>
      </c>
      <c r="G81" s="258">
        <v>3.9</v>
      </c>
      <c r="H81" s="261">
        <v>5.0999999999999996</v>
      </c>
      <c r="I81" s="258">
        <v>1.1000000000000001</v>
      </c>
      <c r="J81" s="308" t="s">
        <v>854</v>
      </c>
      <c r="K81" s="255">
        <f t="shared" si="17"/>
        <v>108588060</v>
      </c>
      <c r="L81" s="255">
        <f t="shared" si="18"/>
        <v>12814740</v>
      </c>
      <c r="M81" s="255">
        <f t="shared" si="19"/>
        <v>5260787.9999999991</v>
      </c>
      <c r="N81" s="255">
        <f t="shared" si="20"/>
        <v>6879492</v>
      </c>
      <c r="O81" s="255">
        <f t="shared" si="21"/>
        <v>1483812</v>
      </c>
    </row>
    <row r="82" spans="2:15" x14ac:dyDescent="0.2">
      <c r="B82" s="259" t="s">
        <v>855</v>
      </c>
      <c r="C82" s="260">
        <v>12</v>
      </c>
      <c r="D82" s="313">
        <v>419327</v>
      </c>
      <c r="E82" s="258">
        <v>37.4</v>
      </c>
      <c r="F82" s="258">
        <v>33.9</v>
      </c>
      <c r="G82" s="258">
        <v>17.600000000000001</v>
      </c>
      <c r="H82" s="261">
        <v>9</v>
      </c>
      <c r="I82" s="258">
        <v>2.1</v>
      </c>
      <c r="J82" s="308" t="s">
        <v>685</v>
      </c>
      <c r="K82" s="255">
        <f t="shared" si="17"/>
        <v>156828298</v>
      </c>
      <c r="L82" s="255">
        <f t="shared" si="18"/>
        <v>142151853</v>
      </c>
      <c r="M82" s="255">
        <f t="shared" si="19"/>
        <v>73801552</v>
      </c>
      <c r="N82" s="255">
        <f t="shared" si="20"/>
        <v>37739430</v>
      </c>
      <c r="O82" s="255">
        <f t="shared" si="21"/>
        <v>8805867</v>
      </c>
    </row>
    <row r="83" spans="2:15" x14ac:dyDescent="0.2">
      <c r="B83" s="259" t="s">
        <v>856</v>
      </c>
      <c r="C83" s="260">
        <v>19</v>
      </c>
      <c r="D83" s="313">
        <v>85472</v>
      </c>
      <c r="E83" s="258">
        <v>93.9</v>
      </c>
      <c r="F83" s="258">
        <v>0</v>
      </c>
      <c r="G83" s="262">
        <v>0</v>
      </c>
      <c r="H83" s="261">
        <v>0</v>
      </c>
      <c r="I83" s="258">
        <v>6.1</v>
      </c>
      <c r="J83" s="308" t="s">
        <v>857</v>
      </c>
      <c r="K83" s="255">
        <f t="shared" si="17"/>
        <v>80258208</v>
      </c>
      <c r="L83" s="255">
        <f t="shared" si="18"/>
        <v>0</v>
      </c>
      <c r="M83" s="255">
        <f t="shared" si="19"/>
        <v>0</v>
      </c>
      <c r="N83" s="255">
        <f t="shared" si="20"/>
        <v>0</v>
      </c>
      <c r="O83" s="255">
        <f t="shared" si="21"/>
        <v>5213792</v>
      </c>
    </row>
    <row r="84" spans="2:15" x14ac:dyDescent="0.2">
      <c r="B84" s="259" t="s">
        <v>858</v>
      </c>
      <c r="C84" s="260">
        <v>7</v>
      </c>
      <c r="D84" s="313">
        <v>87274</v>
      </c>
      <c r="E84" s="258">
        <v>88.4</v>
      </c>
      <c r="F84" s="258">
        <v>0</v>
      </c>
      <c r="G84" s="258">
        <v>9.1</v>
      </c>
      <c r="H84" s="261">
        <v>0</v>
      </c>
      <c r="I84" s="258">
        <v>2.5</v>
      </c>
      <c r="J84" s="308" t="s">
        <v>712</v>
      </c>
      <c r="K84" s="255">
        <f t="shared" si="17"/>
        <v>77150216</v>
      </c>
      <c r="L84" s="255">
        <f t="shared" si="18"/>
        <v>0</v>
      </c>
      <c r="M84" s="255">
        <f t="shared" si="19"/>
        <v>7941934</v>
      </c>
      <c r="N84" s="255">
        <f t="shared" si="20"/>
        <v>0</v>
      </c>
      <c r="O84" s="255">
        <f t="shared" si="21"/>
        <v>2181850</v>
      </c>
    </row>
    <row r="85" spans="2:15" x14ac:dyDescent="0.2">
      <c r="B85" s="259" t="s">
        <v>859</v>
      </c>
      <c r="C85" s="260">
        <v>2</v>
      </c>
      <c r="D85" s="313">
        <v>1359</v>
      </c>
      <c r="E85" s="258">
        <v>92.2</v>
      </c>
      <c r="F85" s="258">
        <v>0</v>
      </c>
      <c r="G85" s="258">
        <v>0</v>
      </c>
      <c r="H85" s="261">
        <v>0</v>
      </c>
      <c r="I85" s="258">
        <v>7.8</v>
      </c>
      <c r="J85" s="308" t="s">
        <v>860</v>
      </c>
      <c r="K85" s="255">
        <f t="shared" si="17"/>
        <v>1252998</v>
      </c>
      <c r="L85" s="255">
        <f t="shared" si="18"/>
        <v>0</v>
      </c>
      <c r="M85" s="255">
        <f t="shared" si="19"/>
        <v>0</v>
      </c>
      <c r="N85" s="255">
        <f t="shared" si="20"/>
        <v>0</v>
      </c>
      <c r="O85" s="255">
        <f t="shared" si="21"/>
        <v>106001.99999999999</v>
      </c>
    </row>
    <row r="86" spans="2:15" x14ac:dyDescent="0.2">
      <c r="B86" s="259" t="s">
        <v>861</v>
      </c>
      <c r="C86" s="260">
        <v>7</v>
      </c>
      <c r="D86" s="313">
        <v>64113</v>
      </c>
      <c r="E86" s="258">
        <v>73.599999999999994</v>
      </c>
      <c r="F86" s="258">
        <v>0</v>
      </c>
      <c r="G86" s="258">
        <v>24.4</v>
      </c>
      <c r="H86" s="261">
        <v>0</v>
      </c>
      <c r="I86" s="258">
        <v>2</v>
      </c>
      <c r="J86" s="308" t="s">
        <v>862</v>
      </c>
      <c r="K86" s="255">
        <f t="shared" si="17"/>
        <v>47187168</v>
      </c>
      <c r="L86" s="255">
        <f t="shared" si="18"/>
        <v>0</v>
      </c>
      <c r="M86" s="255">
        <f t="shared" si="19"/>
        <v>15643572</v>
      </c>
      <c r="N86" s="255">
        <f t="shared" si="20"/>
        <v>0</v>
      </c>
      <c r="O86" s="255">
        <f t="shared" si="21"/>
        <v>1282260</v>
      </c>
    </row>
    <row r="87" spans="2:15" x14ac:dyDescent="0.2">
      <c r="B87" s="259" t="s">
        <v>863</v>
      </c>
      <c r="C87" s="260">
        <v>3</v>
      </c>
      <c r="D87" s="313">
        <v>1844</v>
      </c>
      <c r="E87" s="258">
        <v>93.8</v>
      </c>
      <c r="F87" s="258">
        <v>0</v>
      </c>
      <c r="G87" s="258">
        <v>0</v>
      </c>
      <c r="H87" s="261">
        <v>0</v>
      </c>
      <c r="I87" s="258">
        <v>6.2</v>
      </c>
      <c r="J87" s="308" t="s">
        <v>864</v>
      </c>
      <c r="K87" s="255">
        <f t="shared" si="17"/>
        <v>1729671.9999999998</v>
      </c>
      <c r="L87" s="255">
        <f t="shared" si="18"/>
        <v>0</v>
      </c>
      <c r="M87" s="255">
        <f t="shared" si="19"/>
        <v>0</v>
      </c>
      <c r="N87" s="255">
        <f t="shared" si="20"/>
        <v>0</v>
      </c>
      <c r="O87" s="255">
        <f t="shared" si="21"/>
        <v>114328.00000000001</v>
      </c>
    </row>
    <row r="88" spans="2:15" x14ac:dyDescent="0.2">
      <c r="B88" s="259" t="s">
        <v>865</v>
      </c>
      <c r="C88" s="314">
        <v>2</v>
      </c>
      <c r="D88" s="313">
        <v>6320</v>
      </c>
      <c r="E88" s="258">
        <v>98.5</v>
      </c>
      <c r="F88" s="258">
        <v>0</v>
      </c>
      <c r="G88" s="258">
        <v>0</v>
      </c>
      <c r="H88" s="261">
        <v>0</v>
      </c>
      <c r="I88" s="258">
        <v>1.5</v>
      </c>
      <c r="J88" s="308" t="s">
        <v>684</v>
      </c>
      <c r="K88" s="255">
        <f t="shared" si="17"/>
        <v>6225200</v>
      </c>
      <c r="L88" s="255">
        <f t="shared" si="18"/>
        <v>0</v>
      </c>
      <c r="M88" s="255">
        <f t="shared" si="19"/>
        <v>0</v>
      </c>
      <c r="N88" s="255">
        <f t="shared" si="20"/>
        <v>0</v>
      </c>
      <c r="O88" s="255">
        <f t="shared" si="21"/>
        <v>94800</v>
      </c>
    </row>
    <row r="89" spans="2:15" x14ac:dyDescent="0.2">
      <c r="B89" s="259" t="s">
        <v>866</v>
      </c>
      <c r="C89" s="263">
        <v>2</v>
      </c>
      <c r="D89" s="313">
        <v>61807</v>
      </c>
      <c r="E89" s="258">
        <v>98.4</v>
      </c>
      <c r="F89" s="258">
        <v>0</v>
      </c>
      <c r="G89" s="258">
        <v>0</v>
      </c>
      <c r="H89" s="261">
        <v>0</v>
      </c>
      <c r="I89" s="258">
        <v>1.6</v>
      </c>
      <c r="J89" s="308" t="s">
        <v>867</v>
      </c>
      <c r="K89" s="255">
        <f t="shared" si="17"/>
        <v>60818088.000000007</v>
      </c>
      <c r="L89" s="255">
        <f t="shared" si="18"/>
        <v>0</v>
      </c>
      <c r="M89" s="255">
        <f t="shared" si="19"/>
        <v>0</v>
      </c>
      <c r="N89" s="255">
        <f t="shared" si="20"/>
        <v>0</v>
      </c>
      <c r="O89" s="255">
        <f t="shared" si="21"/>
        <v>988912.00000000012</v>
      </c>
    </row>
    <row r="90" spans="2:15" x14ac:dyDescent="0.2">
      <c r="B90" s="259" t="s">
        <v>868</v>
      </c>
      <c r="C90" s="263">
        <v>3</v>
      </c>
      <c r="D90" s="313">
        <v>1093</v>
      </c>
      <c r="E90" s="258">
        <v>95.3</v>
      </c>
      <c r="F90" s="258">
        <v>0</v>
      </c>
      <c r="G90" s="258">
        <v>0</v>
      </c>
      <c r="H90" s="261">
        <v>0</v>
      </c>
      <c r="I90" s="258">
        <v>4.7</v>
      </c>
      <c r="J90" s="308" t="s">
        <v>869</v>
      </c>
      <c r="K90" s="255">
        <f t="shared" si="17"/>
        <v>1041629</v>
      </c>
      <c r="L90" s="255">
        <f t="shared" si="18"/>
        <v>0</v>
      </c>
      <c r="M90" s="255">
        <f t="shared" si="19"/>
        <v>0</v>
      </c>
      <c r="N90" s="255">
        <f t="shared" si="20"/>
        <v>0</v>
      </c>
      <c r="O90" s="255">
        <f t="shared" si="21"/>
        <v>51371</v>
      </c>
    </row>
    <row r="91" spans="2:15" x14ac:dyDescent="0.2">
      <c r="B91" s="259" t="s">
        <v>870</v>
      </c>
      <c r="C91" s="263">
        <v>15</v>
      </c>
      <c r="D91" s="313">
        <v>368956</v>
      </c>
      <c r="E91" s="258">
        <v>54.3</v>
      </c>
      <c r="F91" s="258">
        <v>21.3</v>
      </c>
      <c r="G91" s="258">
        <v>3.7</v>
      </c>
      <c r="H91" s="261">
        <v>19.7</v>
      </c>
      <c r="I91" s="258">
        <v>1.1000000000000001</v>
      </c>
      <c r="J91" s="308" t="s">
        <v>871</v>
      </c>
      <c r="K91" s="255">
        <f t="shared" si="17"/>
        <v>200343108</v>
      </c>
      <c r="L91" s="255">
        <f t="shared" si="18"/>
        <v>78587628</v>
      </c>
      <c r="M91" s="255">
        <f t="shared" si="19"/>
        <v>13651372</v>
      </c>
      <c r="N91" s="255">
        <f t="shared" si="20"/>
        <v>72684332</v>
      </c>
      <c r="O91" s="255">
        <f t="shared" si="21"/>
        <v>4058516.0000000005</v>
      </c>
    </row>
    <row r="92" spans="2:15" x14ac:dyDescent="0.2">
      <c r="B92" s="259" t="s">
        <v>872</v>
      </c>
      <c r="C92" s="263">
        <v>3</v>
      </c>
      <c r="D92" s="315">
        <v>9154</v>
      </c>
      <c r="E92" s="258">
        <v>96.6</v>
      </c>
      <c r="F92" s="258">
        <v>0</v>
      </c>
      <c r="G92" s="258">
        <v>0</v>
      </c>
      <c r="H92" s="261">
        <v>0</v>
      </c>
      <c r="I92" s="258">
        <v>3.4</v>
      </c>
      <c r="J92" s="308" t="s">
        <v>873</v>
      </c>
      <c r="K92" s="255">
        <f t="shared" si="17"/>
        <v>8842764</v>
      </c>
      <c r="L92" s="255">
        <f t="shared" si="18"/>
        <v>0</v>
      </c>
      <c r="M92" s="255">
        <f t="shared" si="19"/>
        <v>0</v>
      </c>
      <c r="N92" s="255">
        <f t="shared" si="20"/>
        <v>0</v>
      </c>
      <c r="O92" s="255">
        <f t="shared" si="21"/>
        <v>311236</v>
      </c>
    </row>
    <row r="93" spans="2:15" x14ac:dyDescent="0.2">
      <c r="B93" s="259" t="s">
        <v>874</v>
      </c>
      <c r="C93" s="263">
        <v>45</v>
      </c>
      <c r="D93" s="313">
        <v>3183993</v>
      </c>
      <c r="E93" s="258">
        <v>36.9</v>
      </c>
      <c r="F93" s="258">
        <v>56.8</v>
      </c>
      <c r="G93" s="258">
        <v>0.2</v>
      </c>
      <c r="H93" s="261">
        <v>5.3</v>
      </c>
      <c r="I93" s="258">
        <v>0.8</v>
      </c>
      <c r="J93" s="308" t="s">
        <v>875</v>
      </c>
      <c r="K93" s="255">
        <f t="shared" si="17"/>
        <v>1174893417</v>
      </c>
      <c r="L93" s="255">
        <f t="shared" si="18"/>
        <v>1808508023.9999998</v>
      </c>
      <c r="M93" s="255">
        <f t="shared" si="19"/>
        <v>6367986.0000000009</v>
      </c>
      <c r="N93" s="255">
        <f t="shared" si="20"/>
        <v>168751629</v>
      </c>
      <c r="O93" s="255">
        <f t="shared" si="21"/>
        <v>25471944.000000004</v>
      </c>
    </row>
    <row r="94" spans="2:15" x14ac:dyDescent="0.2">
      <c r="B94" s="259" t="s">
        <v>876</v>
      </c>
      <c r="C94" s="263">
        <v>14</v>
      </c>
      <c r="D94" s="315">
        <v>45221</v>
      </c>
      <c r="E94" s="258">
        <v>95.1</v>
      </c>
      <c r="F94" s="258">
        <v>0</v>
      </c>
      <c r="G94" s="258">
        <v>0.7</v>
      </c>
      <c r="H94" s="261">
        <v>0</v>
      </c>
      <c r="I94" s="258">
        <v>4.2</v>
      </c>
      <c r="J94" s="308" t="s">
        <v>877</v>
      </c>
      <c r="K94" s="255">
        <f t="shared" si="17"/>
        <v>43005171</v>
      </c>
      <c r="L94" s="255">
        <f t="shared" si="18"/>
        <v>0</v>
      </c>
      <c r="M94" s="255">
        <f t="shared" si="19"/>
        <v>316547</v>
      </c>
      <c r="N94" s="255">
        <f t="shared" si="20"/>
        <v>0</v>
      </c>
      <c r="O94" s="255">
        <f t="shared" si="21"/>
        <v>1899282</v>
      </c>
    </row>
    <row r="95" spans="2:15" x14ac:dyDescent="0.2">
      <c r="B95" s="259" t="s">
        <v>878</v>
      </c>
      <c r="C95" s="263">
        <v>3</v>
      </c>
      <c r="D95" s="313">
        <v>1474</v>
      </c>
      <c r="E95" s="258">
        <v>80.400000000000006</v>
      </c>
      <c r="F95" s="258">
        <v>0</v>
      </c>
      <c r="G95" s="258">
        <v>0</v>
      </c>
      <c r="H95" s="261">
        <v>0</v>
      </c>
      <c r="I95" s="258">
        <v>19.600000000000001</v>
      </c>
      <c r="J95" s="308" t="s">
        <v>879</v>
      </c>
      <c r="K95" s="255">
        <f t="shared" si="17"/>
        <v>1185096</v>
      </c>
      <c r="L95" s="255">
        <f t="shared" si="18"/>
        <v>0</v>
      </c>
      <c r="M95" s="255">
        <f t="shared" si="19"/>
        <v>0</v>
      </c>
      <c r="N95" s="255">
        <f t="shared" si="20"/>
        <v>0</v>
      </c>
      <c r="O95" s="255">
        <f t="shared" si="21"/>
        <v>288904</v>
      </c>
    </row>
    <row r="96" spans="2:15" x14ac:dyDescent="0.2">
      <c r="B96" s="259" t="s">
        <v>880</v>
      </c>
      <c r="C96" s="263">
        <v>22</v>
      </c>
      <c r="D96" s="315">
        <v>138023</v>
      </c>
      <c r="E96" s="258">
        <v>86.9</v>
      </c>
      <c r="F96" s="258">
        <v>5.4</v>
      </c>
      <c r="G96" s="258">
        <v>2.2000000000000002</v>
      </c>
      <c r="H96" s="261">
        <v>0</v>
      </c>
      <c r="I96" s="258">
        <v>5.5</v>
      </c>
      <c r="J96" s="308" t="s">
        <v>881</v>
      </c>
      <c r="K96" s="255">
        <f t="shared" si="17"/>
        <v>119941987.00000001</v>
      </c>
      <c r="L96" s="255">
        <f t="shared" si="18"/>
        <v>7453242.0000000009</v>
      </c>
      <c r="M96" s="255">
        <f t="shared" si="19"/>
        <v>3036506.0000000005</v>
      </c>
      <c r="N96" s="255">
        <f t="shared" si="20"/>
        <v>0</v>
      </c>
      <c r="O96" s="255">
        <f t="shared" si="21"/>
        <v>7591265</v>
      </c>
    </row>
    <row r="97" spans="2:15" x14ac:dyDescent="0.2">
      <c r="B97" s="259" t="s">
        <v>882</v>
      </c>
      <c r="C97" s="314">
        <v>4</v>
      </c>
      <c r="D97" s="315">
        <v>6382</v>
      </c>
      <c r="E97" s="258">
        <v>95.3</v>
      </c>
      <c r="F97" s="258">
        <v>0</v>
      </c>
      <c r="G97" s="258">
        <v>0</v>
      </c>
      <c r="H97" s="261">
        <v>0</v>
      </c>
      <c r="I97" s="258">
        <v>4.7</v>
      </c>
      <c r="J97" s="308" t="s">
        <v>883</v>
      </c>
      <c r="K97" s="255">
        <f t="shared" si="17"/>
        <v>6082046</v>
      </c>
      <c r="L97" s="255">
        <f t="shared" si="18"/>
        <v>0</v>
      </c>
      <c r="M97" s="255">
        <f t="shared" si="19"/>
        <v>0</v>
      </c>
      <c r="N97" s="255">
        <f t="shared" si="20"/>
        <v>0</v>
      </c>
      <c r="O97" s="255">
        <f t="shared" si="21"/>
        <v>299954</v>
      </c>
    </row>
    <row r="98" spans="2:15" x14ac:dyDescent="0.2">
      <c r="B98" s="259" t="s">
        <v>884</v>
      </c>
      <c r="C98" s="314">
        <v>5</v>
      </c>
      <c r="D98" s="315">
        <v>120258</v>
      </c>
      <c r="E98" s="258">
        <v>69.8</v>
      </c>
      <c r="F98" s="258">
        <v>0</v>
      </c>
      <c r="G98" s="258">
        <v>28.9</v>
      </c>
      <c r="H98" s="261">
        <v>0</v>
      </c>
      <c r="I98" s="258">
        <v>1.3</v>
      </c>
      <c r="J98" s="308" t="s">
        <v>885</v>
      </c>
      <c r="K98" s="255">
        <f t="shared" si="17"/>
        <v>83940084</v>
      </c>
      <c r="L98" s="255">
        <f t="shared" si="18"/>
        <v>0</v>
      </c>
      <c r="M98" s="255">
        <f t="shared" si="19"/>
        <v>34754562</v>
      </c>
      <c r="N98" s="255">
        <f t="shared" si="20"/>
        <v>0</v>
      </c>
      <c r="O98" s="255">
        <f t="shared" si="21"/>
        <v>1563354</v>
      </c>
    </row>
    <row r="99" spans="2:15" x14ac:dyDescent="0.2">
      <c r="B99" s="259" t="s">
        <v>886</v>
      </c>
      <c r="C99" s="314">
        <v>24</v>
      </c>
      <c r="D99" s="315">
        <v>437373</v>
      </c>
      <c r="E99" s="258">
        <v>63.6</v>
      </c>
      <c r="F99" s="258">
        <v>20.100000000000001</v>
      </c>
      <c r="G99" s="258">
        <v>7.4</v>
      </c>
      <c r="H99" s="261">
        <v>7.3</v>
      </c>
      <c r="I99" s="258">
        <v>1.6</v>
      </c>
      <c r="J99" s="308" t="s">
        <v>887</v>
      </c>
      <c r="K99" s="255">
        <f t="shared" si="17"/>
        <v>278169228</v>
      </c>
      <c r="L99" s="255">
        <f t="shared" si="18"/>
        <v>87911973</v>
      </c>
      <c r="M99" s="255">
        <f t="shared" si="19"/>
        <v>32365602</v>
      </c>
      <c r="N99" s="255">
        <f t="shared" si="20"/>
        <v>31928229</v>
      </c>
      <c r="O99" s="255">
        <f t="shared" si="21"/>
        <v>6997968</v>
      </c>
    </row>
    <row r="100" spans="2:15" x14ac:dyDescent="0.2">
      <c r="B100" s="259" t="s">
        <v>888</v>
      </c>
      <c r="C100" s="314">
        <v>2</v>
      </c>
      <c r="D100" s="313">
        <v>19560</v>
      </c>
      <c r="E100" s="258">
        <v>96.5</v>
      </c>
      <c r="F100" s="258">
        <v>0</v>
      </c>
      <c r="G100" s="258">
        <v>0</v>
      </c>
      <c r="H100" s="261">
        <v>0</v>
      </c>
      <c r="I100" s="258">
        <v>3.5</v>
      </c>
      <c r="J100" s="308" t="s">
        <v>889</v>
      </c>
      <c r="K100" s="255">
        <f t="shared" si="17"/>
        <v>18875400</v>
      </c>
      <c r="L100" s="255">
        <f t="shared" si="18"/>
        <v>0</v>
      </c>
      <c r="M100" s="255">
        <f t="shared" si="19"/>
        <v>0</v>
      </c>
      <c r="N100" s="255">
        <f t="shared" si="20"/>
        <v>0</v>
      </c>
      <c r="O100" s="255">
        <f t="shared" si="21"/>
        <v>684600</v>
      </c>
    </row>
    <row r="101" spans="2:15" x14ac:dyDescent="0.2">
      <c r="B101" s="259" t="s">
        <v>890</v>
      </c>
      <c r="C101" s="314">
        <v>8</v>
      </c>
      <c r="D101" s="315">
        <v>6967</v>
      </c>
      <c r="E101" s="258">
        <v>83.1</v>
      </c>
      <c r="F101" s="258">
        <v>0</v>
      </c>
      <c r="G101" s="258">
        <v>0</v>
      </c>
      <c r="H101" s="261">
        <v>0</v>
      </c>
      <c r="I101" s="258">
        <v>16.899999999999999</v>
      </c>
      <c r="J101" s="308" t="s">
        <v>891</v>
      </c>
      <c r="K101" s="255">
        <f t="shared" si="17"/>
        <v>5789577</v>
      </c>
      <c r="L101" s="255">
        <f t="shared" si="18"/>
        <v>0</v>
      </c>
      <c r="M101" s="255">
        <f t="shared" si="19"/>
        <v>0</v>
      </c>
      <c r="N101" s="255">
        <f t="shared" si="20"/>
        <v>0</v>
      </c>
      <c r="O101" s="255">
        <f t="shared" si="21"/>
        <v>1177423</v>
      </c>
    </row>
    <row r="102" spans="2:15" x14ac:dyDescent="0.2">
      <c r="B102" s="259" t="s">
        <v>892</v>
      </c>
      <c r="C102" s="314">
        <v>2</v>
      </c>
      <c r="D102" s="315">
        <v>1083</v>
      </c>
      <c r="E102" s="258">
        <v>82.2</v>
      </c>
      <c r="F102" s="258">
        <v>0</v>
      </c>
      <c r="G102" s="258">
        <v>0</v>
      </c>
      <c r="H102" s="261">
        <v>0</v>
      </c>
      <c r="I102" s="258">
        <v>17.8</v>
      </c>
      <c r="J102" s="308" t="s">
        <v>893</v>
      </c>
      <c r="K102" s="255">
        <f t="shared" si="17"/>
        <v>890226</v>
      </c>
      <c r="L102" s="255">
        <f t="shared" si="18"/>
        <v>0</v>
      </c>
      <c r="M102" s="255">
        <f t="shared" si="19"/>
        <v>0</v>
      </c>
      <c r="N102" s="255">
        <f t="shared" si="20"/>
        <v>0</v>
      </c>
      <c r="O102" s="255">
        <f t="shared" si="21"/>
        <v>192774</v>
      </c>
    </row>
    <row r="103" spans="2:15" x14ac:dyDescent="0.2">
      <c r="B103" s="259" t="s">
        <v>894</v>
      </c>
      <c r="C103" s="314">
        <v>7</v>
      </c>
      <c r="D103" s="315">
        <v>26832</v>
      </c>
      <c r="E103" s="258">
        <v>92.3</v>
      </c>
      <c r="F103" s="258">
        <v>0</v>
      </c>
      <c r="G103" s="258">
        <v>3.8</v>
      </c>
      <c r="H103" s="261">
        <v>0</v>
      </c>
      <c r="I103" s="258">
        <v>3.9</v>
      </c>
      <c r="J103" s="308" t="s">
        <v>895</v>
      </c>
      <c r="K103" s="255">
        <f t="shared" si="17"/>
        <v>24765936</v>
      </c>
      <c r="L103" s="255">
        <f t="shared" si="18"/>
        <v>0</v>
      </c>
      <c r="M103" s="255">
        <f t="shared" si="19"/>
        <v>1019615.9999999999</v>
      </c>
      <c r="N103" s="255">
        <f t="shared" si="20"/>
        <v>0</v>
      </c>
      <c r="O103" s="255">
        <f t="shared" si="21"/>
        <v>1046448</v>
      </c>
    </row>
    <row r="104" spans="2:15" x14ac:dyDescent="0.2">
      <c r="B104" s="259" t="s">
        <v>896</v>
      </c>
      <c r="C104" s="314">
        <v>31</v>
      </c>
      <c r="D104" s="315">
        <v>284936</v>
      </c>
      <c r="E104" s="258">
        <v>86.8</v>
      </c>
      <c r="F104" s="258">
        <v>0</v>
      </c>
      <c r="G104" s="258">
        <v>9.6999999999999993</v>
      </c>
      <c r="H104" s="261">
        <v>0.8</v>
      </c>
      <c r="I104" s="258">
        <v>2.7</v>
      </c>
      <c r="J104" s="308" t="s">
        <v>897</v>
      </c>
      <c r="K104" s="255">
        <f t="shared" si="17"/>
        <v>247324448</v>
      </c>
      <c r="L104" s="255">
        <f t="shared" si="18"/>
        <v>0</v>
      </c>
      <c r="M104" s="255">
        <f t="shared" si="19"/>
        <v>27638791.999999996</v>
      </c>
      <c r="N104" s="255">
        <f t="shared" si="20"/>
        <v>2279488</v>
      </c>
      <c r="O104" s="255">
        <f t="shared" si="21"/>
        <v>7693272.0000000009</v>
      </c>
    </row>
    <row r="105" spans="2:15" x14ac:dyDescent="0.2">
      <c r="B105" s="259" t="s">
        <v>898</v>
      </c>
      <c r="C105" s="314">
        <v>2</v>
      </c>
      <c r="D105" s="315">
        <v>39746</v>
      </c>
      <c r="E105" s="258">
        <v>60</v>
      </c>
      <c r="F105" s="258">
        <v>0</v>
      </c>
      <c r="G105" s="258">
        <v>36</v>
      </c>
      <c r="H105" s="261">
        <v>0</v>
      </c>
      <c r="I105" s="258">
        <v>3.9</v>
      </c>
      <c r="J105" s="308" t="s">
        <v>899</v>
      </c>
      <c r="K105" s="255">
        <f t="shared" si="17"/>
        <v>23847600</v>
      </c>
      <c r="L105" s="255">
        <f t="shared" si="18"/>
        <v>0</v>
      </c>
      <c r="M105" s="255">
        <f t="shared" si="19"/>
        <v>14308560</v>
      </c>
      <c r="N105" s="255">
        <f t="shared" si="20"/>
        <v>0</v>
      </c>
      <c r="O105" s="255">
        <f t="shared" si="21"/>
        <v>1550094</v>
      </c>
    </row>
    <row r="106" spans="2:15" x14ac:dyDescent="0.2">
      <c r="B106" s="259" t="s">
        <v>900</v>
      </c>
      <c r="C106" s="314">
        <v>1</v>
      </c>
      <c r="D106" s="315">
        <v>1928</v>
      </c>
      <c r="E106" s="258">
        <v>97.9</v>
      </c>
      <c r="F106" s="258">
        <v>0</v>
      </c>
      <c r="G106" s="258">
        <v>0</v>
      </c>
      <c r="H106" s="261">
        <v>0</v>
      </c>
      <c r="I106" s="258">
        <v>2.1</v>
      </c>
      <c r="J106" s="308" t="s">
        <v>901</v>
      </c>
      <c r="K106" s="255">
        <f t="shared" si="17"/>
        <v>1887512</v>
      </c>
      <c r="L106" s="255">
        <f t="shared" si="18"/>
        <v>0</v>
      </c>
      <c r="M106" s="255">
        <f t="shared" si="19"/>
        <v>0</v>
      </c>
      <c r="N106" s="255">
        <f t="shared" si="20"/>
        <v>0</v>
      </c>
      <c r="O106" s="255">
        <f t="shared" si="21"/>
        <v>40488</v>
      </c>
    </row>
    <row r="107" spans="2:15" x14ac:dyDescent="0.2">
      <c r="B107" s="259" t="s">
        <v>902</v>
      </c>
      <c r="C107" s="314">
        <v>17</v>
      </c>
      <c r="D107" s="315">
        <v>65221</v>
      </c>
      <c r="E107" s="258">
        <v>92.4</v>
      </c>
      <c r="F107" s="258">
        <v>0</v>
      </c>
      <c r="G107" s="258">
        <v>0</v>
      </c>
      <c r="H107" s="261">
        <v>5.6</v>
      </c>
      <c r="I107" s="258">
        <v>2</v>
      </c>
      <c r="J107" s="308" t="s">
        <v>903</v>
      </c>
      <c r="K107" s="255">
        <f t="shared" si="17"/>
        <v>60264204</v>
      </c>
      <c r="L107" s="255">
        <f t="shared" si="18"/>
        <v>0</v>
      </c>
      <c r="M107" s="255">
        <f t="shared" si="19"/>
        <v>0</v>
      </c>
      <c r="N107" s="255">
        <f t="shared" si="20"/>
        <v>3652376</v>
      </c>
      <c r="O107" s="255">
        <f t="shared" si="21"/>
        <v>1304420</v>
      </c>
    </row>
    <row r="108" spans="2:15" x14ac:dyDescent="0.2">
      <c r="B108" s="259" t="s">
        <v>904</v>
      </c>
      <c r="C108" s="314">
        <v>19</v>
      </c>
      <c r="D108" s="315">
        <v>193137</v>
      </c>
      <c r="E108" s="258">
        <v>68.3</v>
      </c>
      <c r="F108" s="258">
        <v>0</v>
      </c>
      <c r="G108" s="258">
        <v>0.7</v>
      </c>
      <c r="H108" s="261">
        <v>0.7</v>
      </c>
      <c r="I108" s="258">
        <v>30.4</v>
      </c>
      <c r="J108" s="308" t="s">
        <v>905</v>
      </c>
      <c r="K108" s="255">
        <f t="shared" si="17"/>
        <v>131912571</v>
      </c>
      <c r="L108" s="255">
        <f t="shared" si="18"/>
        <v>0</v>
      </c>
      <c r="M108" s="255">
        <f t="shared" si="19"/>
        <v>1351959</v>
      </c>
      <c r="N108" s="255">
        <f t="shared" si="20"/>
        <v>1351959</v>
      </c>
      <c r="O108" s="255">
        <f t="shared" si="21"/>
        <v>58713648</v>
      </c>
    </row>
    <row r="109" spans="2:15" x14ac:dyDescent="0.2">
      <c r="B109" s="259" t="s">
        <v>906</v>
      </c>
      <c r="C109" s="260">
        <v>4</v>
      </c>
      <c r="D109" s="315">
        <v>3780</v>
      </c>
      <c r="E109" s="258">
        <v>97.6</v>
      </c>
      <c r="F109" s="258">
        <v>0</v>
      </c>
      <c r="G109" s="258">
        <v>0</v>
      </c>
      <c r="H109" s="261">
        <v>0</v>
      </c>
      <c r="I109" s="258">
        <v>2.4</v>
      </c>
      <c r="J109" s="308" t="s">
        <v>907</v>
      </c>
      <c r="K109" s="255">
        <f t="shared" si="17"/>
        <v>3689280</v>
      </c>
      <c r="L109" s="255">
        <f t="shared" si="18"/>
        <v>0</v>
      </c>
      <c r="M109" s="255">
        <f t="shared" si="19"/>
        <v>0</v>
      </c>
      <c r="N109" s="255">
        <f t="shared" si="20"/>
        <v>0</v>
      </c>
      <c r="O109" s="255">
        <f t="shared" si="21"/>
        <v>90720</v>
      </c>
    </row>
    <row r="110" spans="2:15" x14ac:dyDescent="0.2">
      <c r="B110" s="259" t="s">
        <v>908</v>
      </c>
      <c r="C110" s="260">
        <v>18</v>
      </c>
      <c r="D110" s="315">
        <v>76945</v>
      </c>
      <c r="E110" s="258">
        <v>97</v>
      </c>
      <c r="F110" s="258">
        <v>0</v>
      </c>
      <c r="G110" s="258">
        <v>0.1</v>
      </c>
      <c r="H110" s="261">
        <v>0</v>
      </c>
      <c r="I110" s="258">
        <v>2.9</v>
      </c>
      <c r="J110" s="308" t="s">
        <v>909</v>
      </c>
      <c r="K110" s="255">
        <f t="shared" si="17"/>
        <v>74636650</v>
      </c>
      <c r="L110" s="255">
        <f t="shared" si="18"/>
        <v>0</v>
      </c>
      <c r="M110" s="255">
        <f t="shared" si="19"/>
        <v>76945</v>
      </c>
      <c r="N110" s="255">
        <f t="shared" si="20"/>
        <v>0</v>
      </c>
      <c r="O110" s="255">
        <f t="shared" si="21"/>
        <v>2231405</v>
      </c>
    </row>
    <row r="111" spans="2:15" x14ac:dyDescent="0.2">
      <c r="B111" s="259" t="s">
        <v>910</v>
      </c>
      <c r="C111" s="260">
        <v>2</v>
      </c>
      <c r="D111" s="315">
        <v>289</v>
      </c>
      <c r="E111" s="258">
        <v>62.7</v>
      </c>
      <c r="F111" s="258">
        <v>0</v>
      </c>
      <c r="G111" s="258">
        <v>0</v>
      </c>
      <c r="H111" s="261">
        <v>0</v>
      </c>
      <c r="I111" s="258">
        <v>37.299999999999997</v>
      </c>
      <c r="J111" s="308" t="s">
        <v>911</v>
      </c>
      <c r="K111" s="255">
        <f t="shared" si="17"/>
        <v>181203</v>
      </c>
      <c r="L111" s="255">
        <f t="shared" si="18"/>
        <v>0</v>
      </c>
      <c r="M111" s="255">
        <f t="shared" si="19"/>
        <v>0</v>
      </c>
      <c r="N111" s="255">
        <f t="shared" si="20"/>
        <v>0</v>
      </c>
      <c r="O111" s="255">
        <f t="shared" si="21"/>
        <v>107796.99999999999</v>
      </c>
    </row>
    <row r="112" spans="2:15" x14ac:dyDescent="0.2">
      <c r="B112" s="314" t="s">
        <v>912</v>
      </c>
      <c r="C112" s="314">
        <f>SUM(C61:C111)</f>
        <v>557</v>
      </c>
      <c r="D112" s="315">
        <v>9094071</v>
      </c>
      <c r="E112" s="261">
        <v>57.1</v>
      </c>
      <c r="F112" s="261">
        <v>30.9</v>
      </c>
      <c r="G112" s="261">
        <v>4.2</v>
      </c>
      <c r="H112" s="261">
        <v>4.7</v>
      </c>
      <c r="I112" s="261">
        <v>3.2</v>
      </c>
      <c r="J112" s="308" t="s">
        <v>913</v>
      </c>
      <c r="K112" s="255">
        <f>SUM(K61:K111)</f>
        <v>5194352089</v>
      </c>
      <c r="L112" s="255">
        <f>SUM(L61:L111)</f>
        <v>2807671992</v>
      </c>
      <c r="M112" s="255">
        <f>SUM(M61:M111)</f>
        <v>381697194</v>
      </c>
      <c r="N112" s="255">
        <f>SUM(N61:N111)</f>
        <v>421735062</v>
      </c>
      <c r="O112" s="255">
        <f>SUM(O61:O111)</f>
        <v>289216171</v>
      </c>
    </row>
    <row r="113" spans="1:15" x14ac:dyDescent="0.2">
      <c r="B113" s="264"/>
      <c r="C113" s="264"/>
      <c r="D113" s="258"/>
      <c r="E113" s="265"/>
      <c r="F113" s="265"/>
      <c r="G113" s="265"/>
      <c r="H113" s="265"/>
      <c r="I113" s="265"/>
      <c r="L113" s="255">
        <f>L112/K112</f>
        <v>0.54052400451362625</v>
      </c>
      <c r="M113" s="255">
        <f>M112/K112</f>
        <v>7.3483119253374127E-2</v>
      </c>
      <c r="N113" s="255">
        <f>N112/K112</f>
        <v>8.1191081153913672E-2</v>
      </c>
      <c r="O113" s="255">
        <f>O112/K112</f>
        <v>5.567896939687024E-2</v>
      </c>
    </row>
    <row r="114" spans="1:15" x14ac:dyDescent="0.2">
      <c r="B114" s="266" t="s">
        <v>914</v>
      </c>
      <c r="C114" s="264"/>
      <c r="D114" s="258"/>
      <c r="E114" s="265"/>
      <c r="F114" s="265"/>
      <c r="G114" s="265"/>
      <c r="H114" s="265"/>
      <c r="I114" s="265"/>
    </row>
    <row r="115" spans="1:15" ht="12" customHeight="1" x14ac:dyDescent="0.2">
      <c r="B115" s="267" t="s">
        <v>915</v>
      </c>
      <c r="C115" s="264"/>
      <c r="D115" s="258"/>
      <c r="E115" s="265"/>
      <c r="F115" s="265"/>
      <c r="G115" s="265"/>
      <c r="H115" s="265"/>
      <c r="I115" s="265"/>
    </row>
    <row r="116" spans="1:15" ht="12" customHeight="1" x14ac:dyDescent="0.2">
      <c r="B116" s="856" t="s">
        <v>916</v>
      </c>
      <c r="C116" s="856"/>
      <c r="D116" s="856"/>
      <c r="E116" s="856"/>
      <c r="F116" s="856"/>
      <c r="G116" s="856"/>
      <c r="H116" s="856"/>
      <c r="I116" s="856"/>
    </row>
    <row r="117" spans="1:15" x14ac:dyDescent="0.2">
      <c r="B117" s="856" t="s">
        <v>917</v>
      </c>
      <c r="C117" s="856"/>
      <c r="D117" s="856"/>
      <c r="E117" s="856"/>
      <c r="F117" s="856"/>
      <c r="G117" s="856"/>
      <c r="H117" s="856"/>
      <c r="I117" s="856"/>
    </row>
    <row r="119" spans="1:15" x14ac:dyDescent="0.2">
      <c r="A119" s="257" t="s">
        <v>918</v>
      </c>
    </row>
    <row r="121" spans="1:15" x14ac:dyDescent="0.2">
      <c r="B121" s="857" t="s">
        <v>919</v>
      </c>
      <c r="C121" s="857"/>
      <c r="D121" s="857"/>
      <c r="E121" s="857"/>
      <c r="F121" s="857"/>
    </row>
    <row r="122" spans="1:15" x14ac:dyDescent="0.2">
      <c r="B122" s="269" t="s">
        <v>804</v>
      </c>
      <c r="C122" s="268"/>
      <c r="D122" s="269"/>
      <c r="E122" s="268"/>
      <c r="F122" s="269"/>
    </row>
    <row r="123" spans="1:15" x14ac:dyDescent="0.2">
      <c r="B123" s="269"/>
      <c r="C123" s="840" t="s">
        <v>920</v>
      </c>
      <c r="D123" s="840"/>
      <c r="E123" s="840" t="s">
        <v>921</v>
      </c>
      <c r="F123" s="840"/>
    </row>
    <row r="124" spans="1:15" ht="22.5" x14ac:dyDescent="0.2">
      <c r="B124" s="316" t="s">
        <v>922</v>
      </c>
      <c r="C124" s="317" t="s">
        <v>923</v>
      </c>
      <c r="D124" s="318" t="s">
        <v>924</v>
      </c>
      <c r="E124" s="319" t="s">
        <v>923</v>
      </c>
      <c r="F124" s="320" t="s">
        <v>924</v>
      </c>
      <c r="I124" s="255" t="s">
        <v>925</v>
      </c>
      <c r="K124" s="321" t="s">
        <v>926</v>
      </c>
    </row>
    <row r="125" spans="1:15" x14ac:dyDescent="0.2">
      <c r="B125" s="322" t="s">
        <v>927</v>
      </c>
      <c r="C125" s="271">
        <v>1</v>
      </c>
      <c r="D125" s="323">
        <v>4264625</v>
      </c>
      <c r="E125" s="271">
        <v>1</v>
      </c>
      <c r="F125" s="270">
        <v>3774701</v>
      </c>
      <c r="G125" s="255" t="s">
        <v>875</v>
      </c>
      <c r="H125" s="308" t="s">
        <v>684</v>
      </c>
      <c r="I125" s="270">
        <f>D130+D136+D141+D154+D155+D157+D158+D174</f>
        <v>1700627</v>
      </c>
      <c r="J125" s="270">
        <f t="shared" ref="J125:J133" si="22">I125+J$135</f>
        <v>2335791.3333333335</v>
      </c>
      <c r="K125" s="310">
        <f>J125/J$134</f>
        <v>9.2050897238822788E-2</v>
      </c>
    </row>
    <row r="126" spans="1:15" x14ac:dyDescent="0.2">
      <c r="B126" s="322" t="s">
        <v>928</v>
      </c>
      <c r="C126" s="271">
        <v>2</v>
      </c>
      <c r="D126" s="323">
        <v>1880852</v>
      </c>
      <c r="E126" s="271">
        <v>2</v>
      </c>
      <c r="F126" s="270">
        <v>1943778</v>
      </c>
      <c r="G126" s="255" t="s">
        <v>830</v>
      </c>
      <c r="H126" s="308" t="s">
        <v>685</v>
      </c>
      <c r="I126" s="270">
        <f>D125+D127+D134+D137+D145+D148+D151+D152+D172</f>
        <v>8148687</v>
      </c>
      <c r="J126" s="270">
        <f t="shared" si="22"/>
        <v>8783851.333333334</v>
      </c>
      <c r="K126" s="310">
        <f t="shared" ref="K126:K133" si="23">J126/J$134</f>
        <v>0.34616165618351319</v>
      </c>
    </row>
    <row r="127" spans="1:15" x14ac:dyDescent="0.2">
      <c r="B127" s="322" t="s">
        <v>929</v>
      </c>
      <c r="C127" s="271">
        <v>3</v>
      </c>
      <c r="D127" s="323">
        <v>1868800</v>
      </c>
      <c r="E127" s="271">
        <v>3</v>
      </c>
      <c r="F127" s="270">
        <v>1773626</v>
      </c>
      <c r="G127" s="255" t="s">
        <v>887</v>
      </c>
      <c r="H127" s="308" t="s">
        <v>686</v>
      </c>
      <c r="I127" s="270">
        <f>D126+D132+D135+D140+D164+D166+D167+D168</f>
        <v>3487294</v>
      </c>
      <c r="J127" s="270">
        <f t="shared" si="22"/>
        <v>4122458.3333333335</v>
      </c>
      <c r="K127" s="310">
        <f t="shared" si="23"/>
        <v>0.16246142495590873</v>
      </c>
    </row>
    <row r="128" spans="1:15" x14ac:dyDescent="0.2">
      <c r="B128" s="322" t="s">
        <v>930</v>
      </c>
      <c r="C128" s="271">
        <v>4</v>
      </c>
      <c r="D128" s="323">
        <v>1226962</v>
      </c>
      <c r="E128" s="271">
        <v>4</v>
      </c>
      <c r="F128" s="270">
        <v>1265504</v>
      </c>
      <c r="G128" s="255" t="s">
        <v>840</v>
      </c>
      <c r="H128" s="308" t="s">
        <v>687</v>
      </c>
      <c r="J128" s="270">
        <f t="shared" si="22"/>
        <v>635164.33333333337</v>
      </c>
      <c r="K128" s="310">
        <f t="shared" si="23"/>
        <v>2.5031108705243384E-2</v>
      </c>
    </row>
    <row r="129" spans="2:11" x14ac:dyDescent="0.2">
      <c r="B129" s="322" t="s">
        <v>931</v>
      </c>
      <c r="C129" s="271">
        <v>5</v>
      </c>
      <c r="D129" s="323">
        <v>690068</v>
      </c>
      <c r="E129" s="271">
        <v>5</v>
      </c>
      <c r="F129" s="270">
        <v>707250</v>
      </c>
      <c r="G129" s="255" t="s">
        <v>823</v>
      </c>
      <c r="H129" s="308" t="s">
        <v>688</v>
      </c>
      <c r="I129" s="270">
        <f>D128+D143</f>
        <v>1465812</v>
      </c>
      <c r="J129" s="270">
        <f t="shared" si="22"/>
        <v>2100976.3333333335</v>
      </c>
      <c r="K129" s="310">
        <f t="shared" si="23"/>
        <v>8.2797103406011457E-2</v>
      </c>
    </row>
    <row r="130" spans="2:11" x14ac:dyDescent="0.2">
      <c r="B130" s="255" t="s">
        <v>932</v>
      </c>
      <c r="C130" s="271">
        <v>8</v>
      </c>
      <c r="D130" s="323">
        <v>476614</v>
      </c>
      <c r="E130" s="271">
        <v>6</v>
      </c>
      <c r="F130" s="270">
        <v>484094</v>
      </c>
      <c r="G130" s="255" t="s">
        <v>685</v>
      </c>
      <c r="H130" s="308" t="s">
        <v>689</v>
      </c>
      <c r="J130" s="270">
        <f t="shared" si="22"/>
        <v>635164.33333333337</v>
      </c>
      <c r="K130" s="310">
        <f t="shared" si="23"/>
        <v>2.5031108705243384E-2</v>
      </c>
    </row>
    <row r="131" spans="2:11" x14ac:dyDescent="0.2">
      <c r="B131" s="322" t="s">
        <v>933</v>
      </c>
      <c r="C131" s="271">
        <v>9</v>
      </c>
      <c r="D131" s="323">
        <v>472450</v>
      </c>
      <c r="E131" s="271">
        <v>7</v>
      </c>
      <c r="F131" s="270">
        <v>467472</v>
      </c>
      <c r="G131" s="255" t="s">
        <v>823</v>
      </c>
      <c r="H131" s="308" t="s">
        <v>690</v>
      </c>
      <c r="I131" s="270">
        <f>D171</f>
        <v>88189</v>
      </c>
      <c r="J131" s="270">
        <f t="shared" si="22"/>
        <v>723353.33333333337</v>
      </c>
      <c r="K131" s="310">
        <f t="shared" si="23"/>
        <v>2.8506537550597382E-2</v>
      </c>
    </row>
    <row r="132" spans="2:11" x14ac:dyDescent="0.2">
      <c r="B132" s="255" t="s">
        <v>934</v>
      </c>
      <c r="C132" s="271">
        <v>7</v>
      </c>
      <c r="D132" s="323">
        <v>485279</v>
      </c>
      <c r="E132" s="271">
        <v>8</v>
      </c>
      <c r="F132" s="270">
        <v>451691</v>
      </c>
      <c r="G132" s="255" t="s">
        <v>854</v>
      </c>
      <c r="H132" s="308" t="s">
        <v>691</v>
      </c>
      <c r="J132" s="270">
        <f t="shared" si="22"/>
        <v>635164.33333333337</v>
      </c>
      <c r="K132" s="310">
        <f t="shared" si="23"/>
        <v>2.5031108705243384E-2</v>
      </c>
    </row>
    <row r="133" spans="2:11" x14ac:dyDescent="0.2">
      <c r="B133" s="322" t="s">
        <v>935</v>
      </c>
      <c r="C133" s="271">
        <v>11</v>
      </c>
      <c r="D133" s="323">
        <v>432248</v>
      </c>
      <c r="E133" s="271">
        <v>9</v>
      </c>
      <c r="F133" s="270">
        <v>446274</v>
      </c>
      <c r="G133" s="255" t="s">
        <v>823</v>
      </c>
      <c r="H133" s="308" t="s">
        <v>692</v>
      </c>
      <c r="I133" s="270">
        <f>D129+D131+D133+D138+D139+D142+D144+D146+D147+D149+D150+D153+D156+D159+D160+D161+D162+D163+D165+D169+D170+D173</f>
        <v>4767910</v>
      </c>
      <c r="J133" s="270">
        <f t="shared" si="22"/>
        <v>5403074.333333333</v>
      </c>
      <c r="K133" s="310">
        <f t="shared" si="23"/>
        <v>0.21292905454941646</v>
      </c>
    </row>
    <row r="134" spans="2:11" x14ac:dyDescent="0.2">
      <c r="B134" s="255" t="s">
        <v>936</v>
      </c>
      <c r="C134" s="271">
        <v>13</v>
      </c>
      <c r="D134" s="323">
        <v>366946</v>
      </c>
      <c r="E134" s="271">
        <v>10</v>
      </c>
      <c r="F134" s="270">
        <v>382263</v>
      </c>
      <c r="G134" s="255" t="s">
        <v>875</v>
      </c>
      <c r="I134" s="270">
        <f>SUM(I125:I133)</f>
        <v>19658519</v>
      </c>
      <c r="J134" s="270">
        <f>SUM(J125:J133)</f>
        <v>25374997.999999996</v>
      </c>
    </row>
    <row r="135" spans="2:11" x14ac:dyDescent="0.2">
      <c r="B135" s="322" t="s">
        <v>937</v>
      </c>
      <c r="C135" s="271">
        <v>12</v>
      </c>
      <c r="D135" s="323">
        <v>387328</v>
      </c>
      <c r="E135" s="271">
        <v>11</v>
      </c>
      <c r="F135" s="270">
        <v>355373</v>
      </c>
      <c r="G135" s="255" t="s">
        <v>828</v>
      </c>
      <c r="H135" s="255" t="s">
        <v>938</v>
      </c>
      <c r="J135" s="293">
        <f>(D176-D175)/9</f>
        <v>635164.33333333337</v>
      </c>
    </row>
    <row r="136" spans="2:11" x14ac:dyDescent="0.2">
      <c r="B136" s="255" t="s">
        <v>939</v>
      </c>
      <c r="C136" s="271">
        <v>15</v>
      </c>
      <c r="D136" s="323">
        <v>327178</v>
      </c>
      <c r="E136" s="271">
        <v>12</v>
      </c>
      <c r="F136" s="270">
        <v>317651</v>
      </c>
      <c r="G136" s="255" t="s">
        <v>826</v>
      </c>
      <c r="I136" s="255" t="s">
        <v>940</v>
      </c>
    </row>
    <row r="137" spans="2:11" x14ac:dyDescent="0.2">
      <c r="B137" s="322" t="s">
        <v>941</v>
      </c>
      <c r="C137" s="271">
        <v>6</v>
      </c>
      <c r="D137" s="323">
        <v>605527</v>
      </c>
      <c r="E137" s="271">
        <v>13</v>
      </c>
      <c r="F137" s="270">
        <v>307042</v>
      </c>
      <c r="G137" s="255" t="s">
        <v>871</v>
      </c>
      <c r="I137" s="255" t="s">
        <v>942</v>
      </c>
    </row>
    <row r="138" spans="2:11" x14ac:dyDescent="0.2">
      <c r="B138" s="322" t="s">
        <v>943</v>
      </c>
      <c r="C138" s="271">
        <v>16</v>
      </c>
      <c r="D138" s="323">
        <v>307290</v>
      </c>
      <c r="E138" s="271">
        <v>14</v>
      </c>
      <c r="F138" s="270">
        <v>295861</v>
      </c>
      <c r="G138" s="255" t="s">
        <v>905</v>
      </c>
    </row>
    <row r="139" spans="2:11" x14ac:dyDescent="0.2">
      <c r="B139" s="322" t="s">
        <v>944</v>
      </c>
      <c r="C139" s="271">
        <v>18</v>
      </c>
      <c r="D139" s="323">
        <v>281576</v>
      </c>
      <c r="E139" s="271">
        <v>15</v>
      </c>
      <c r="F139" s="270">
        <v>295778</v>
      </c>
      <c r="G139" s="255" t="s">
        <v>823</v>
      </c>
    </row>
    <row r="140" spans="2:11" x14ac:dyDescent="0.2">
      <c r="B140" s="324" t="s">
        <v>945</v>
      </c>
      <c r="C140" s="271">
        <v>17</v>
      </c>
      <c r="D140" s="323">
        <v>291606</v>
      </c>
      <c r="E140" s="271">
        <v>16</v>
      </c>
      <c r="F140" s="270">
        <v>282491</v>
      </c>
      <c r="G140" s="255" t="s">
        <v>830</v>
      </c>
    </row>
    <row r="141" spans="2:11" x14ac:dyDescent="0.2">
      <c r="B141" s="322" t="s">
        <v>946</v>
      </c>
      <c r="C141" s="271">
        <v>20</v>
      </c>
      <c r="D141" s="323">
        <v>242088</v>
      </c>
      <c r="E141" s="271">
        <v>17</v>
      </c>
      <c r="F141" s="270">
        <v>254417</v>
      </c>
      <c r="G141" s="255" t="s">
        <v>889</v>
      </c>
    </row>
    <row r="142" spans="2:11" x14ac:dyDescent="0.2">
      <c r="B142" s="322" t="s">
        <v>947</v>
      </c>
      <c r="C142" s="271">
        <v>21</v>
      </c>
      <c r="D142" s="323">
        <v>240918</v>
      </c>
      <c r="E142" s="271">
        <v>18</v>
      </c>
      <c r="F142" s="270">
        <v>242380</v>
      </c>
      <c r="G142" s="255" t="s">
        <v>885</v>
      </c>
    </row>
    <row r="143" spans="2:11" x14ac:dyDescent="0.2">
      <c r="B143" s="322" t="s">
        <v>948</v>
      </c>
      <c r="C143" s="271">
        <v>22</v>
      </c>
      <c r="D143" s="323">
        <v>238850</v>
      </c>
      <c r="E143" s="271">
        <v>19</v>
      </c>
      <c r="F143" s="270">
        <v>241523</v>
      </c>
      <c r="G143" s="255" t="s">
        <v>909</v>
      </c>
    </row>
    <row r="144" spans="2:11" x14ac:dyDescent="0.2">
      <c r="B144" s="322" t="s">
        <v>949</v>
      </c>
      <c r="C144" s="271">
        <v>19</v>
      </c>
      <c r="D144" s="323">
        <v>254039</v>
      </c>
      <c r="E144" s="271">
        <v>20</v>
      </c>
      <c r="F144" s="270">
        <v>238101</v>
      </c>
      <c r="G144" s="255" t="s">
        <v>823</v>
      </c>
    </row>
    <row r="145" spans="2:7" x14ac:dyDescent="0.2">
      <c r="B145" s="255" t="s">
        <v>950</v>
      </c>
      <c r="C145" s="271">
        <v>10</v>
      </c>
      <c r="D145" s="323">
        <v>439730</v>
      </c>
      <c r="E145" s="271">
        <v>21</v>
      </c>
      <c r="F145" s="270">
        <v>217747</v>
      </c>
      <c r="G145" s="255" t="s">
        <v>871</v>
      </c>
    </row>
    <row r="146" spans="2:7" x14ac:dyDescent="0.2">
      <c r="B146" s="322" t="s">
        <v>951</v>
      </c>
      <c r="C146" s="271">
        <v>23</v>
      </c>
      <c r="D146" s="323">
        <v>206230</v>
      </c>
      <c r="E146" s="271">
        <v>22</v>
      </c>
      <c r="F146" s="270">
        <v>213866</v>
      </c>
      <c r="G146" s="255" t="s">
        <v>823</v>
      </c>
    </row>
    <row r="147" spans="2:7" x14ac:dyDescent="0.2">
      <c r="B147" s="322" t="s">
        <v>952</v>
      </c>
      <c r="C147" s="271">
        <v>24</v>
      </c>
      <c r="D147" s="323">
        <v>201862</v>
      </c>
      <c r="E147" s="271">
        <v>23</v>
      </c>
      <c r="F147" s="270">
        <v>208713</v>
      </c>
      <c r="G147" s="255" t="s">
        <v>823</v>
      </c>
    </row>
    <row r="148" spans="2:7" x14ac:dyDescent="0.2">
      <c r="B148" s="322" t="s">
        <v>953</v>
      </c>
      <c r="C148" s="271">
        <v>28</v>
      </c>
      <c r="D148" s="323">
        <v>171340</v>
      </c>
      <c r="E148" s="271">
        <v>24</v>
      </c>
      <c r="F148" s="270">
        <v>192415</v>
      </c>
      <c r="G148" s="255" t="s">
        <v>887</v>
      </c>
    </row>
    <row r="149" spans="2:7" x14ac:dyDescent="0.2">
      <c r="B149" s="255" t="s">
        <v>954</v>
      </c>
      <c r="C149" s="271">
        <v>25</v>
      </c>
      <c r="D149" s="323">
        <v>185089</v>
      </c>
      <c r="E149" s="271">
        <v>25</v>
      </c>
      <c r="F149" s="270">
        <v>188788</v>
      </c>
      <c r="G149" s="255" t="s">
        <v>823</v>
      </c>
    </row>
    <row r="150" spans="2:7" x14ac:dyDescent="0.2">
      <c r="B150" s="322" t="s">
        <v>955</v>
      </c>
      <c r="C150" s="271">
        <v>27</v>
      </c>
      <c r="D150" s="323">
        <v>171637</v>
      </c>
      <c r="E150" s="271">
        <v>26</v>
      </c>
      <c r="F150" s="270">
        <v>184526</v>
      </c>
      <c r="G150" s="255" t="s">
        <v>823</v>
      </c>
    </row>
    <row r="151" spans="2:7" x14ac:dyDescent="0.2">
      <c r="B151" s="322" t="s">
        <v>956</v>
      </c>
      <c r="C151" s="271">
        <v>29</v>
      </c>
      <c r="D151" s="323">
        <v>166827</v>
      </c>
      <c r="E151" s="271">
        <v>27</v>
      </c>
      <c r="F151" s="270">
        <v>183817</v>
      </c>
      <c r="G151" s="255" t="s">
        <v>887</v>
      </c>
    </row>
    <row r="152" spans="2:7" x14ac:dyDescent="0.2">
      <c r="B152" s="322" t="s">
        <v>957</v>
      </c>
      <c r="C152" s="271">
        <v>26</v>
      </c>
      <c r="D152" s="323">
        <v>180400</v>
      </c>
      <c r="E152" s="271">
        <v>28</v>
      </c>
      <c r="F152" s="270">
        <v>179687</v>
      </c>
      <c r="G152" s="255" t="s">
        <v>871</v>
      </c>
    </row>
    <row r="153" spans="2:7" x14ac:dyDescent="0.2">
      <c r="B153" s="255" t="s">
        <v>958</v>
      </c>
      <c r="C153" s="271">
        <v>31</v>
      </c>
      <c r="D153" s="323">
        <v>157609</v>
      </c>
      <c r="E153" s="271">
        <v>29</v>
      </c>
      <c r="F153" s="270">
        <v>163067</v>
      </c>
      <c r="G153" s="255" t="s">
        <v>823</v>
      </c>
    </row>
    <row r="154" spans="2:7" x14ac:dyDescent="0.2">
      <c r="B154" s="322" t="s">
        <v>959</v>
      </c>
      <c r="C154" s="271">
        <v>30</v>
      </c>
      <c r="D154" s="323">
        <v>160640</v>
      </c>
      <c r="E154" s="271">
        <v>30</v>
      </c>
      <c r="F154" s="270">
        <v>162518</v>
      </c>
      <c r="G154" s="255" t="s">
        <v>685</v>
      </c>
    </row>
    <row r="155" spans="2:7" x14ac:dyDescent="0.2">
      <c r="B155" s="255" t="s">
        <v>960</v>
      </c>
      <c r="C155" s="271">
        <v>32</v>
      </c>
      <c r="D155" s="323">
        <v>155559</v>
      </c>
      <c r="E155" s="271">
        <v>31</v>
      </c>
      <c r="F155" s="270">
        <v>162440</v>
      </c>
      <c r="G155" s="255" t="s">
        <v>685</v>
      </c>
    </row>
    <row r="156" spans="2:7" x14ac:dyDescent="0.2">
      <c r="B156" s="322" t="s">
        <v>961</v>
      </c>
      <c r="C156" s="271">
        <v>33</v>
      </c>
      <c r="D156" s="323">
        <v>155251</v>
      </c>
      <c r="E156" s="271">
        <v>32</v>
      </c>
      <c r="F156" s="270">
        <v>158277</v>
      </c>
      <c r="G156" s="255" t="s">
        <v>823</v>
      </c>
    </row>
    <row r="157" spans="2:7" x14ac:dyDescent="0.2">
      <c r="B157" s="322" t="s">
        <v>962</v>
      </c>
      <c r="C157" s="271">
        <v>36</v>
      </c>
      <c r="D157" s="323">
        <v>141723</v>
      </c>
      <c r="E157" s="271">
        <v>33</v>
      </c>
      <c r="F157" s="270">
        <v>149298</v>
      </c>
      <c r="G157" s="255" t="s">
        <v>826</v>
      </c>
    </row>
    <row r="158" spans="2:7" x14ac:dyDescent="0.2">
      <c r="B158" s="255" t="s">
        <v>963</v>
      </c>
      <c r="C158" s="271">
        <v>40</v>
      </c>
      <c r="D158" s="323">
        <v>117358</v>
      </c>
      <c r="E158" s="271">
        <v>34</v>
      </c>
      <c r="F158" s="270">
        <v>146065</v>
      </c>
      <c r="G158" s="255" t="s">
        <v>685</v>
      </c>
    </row>
    <row r="159" spans="2:7" x14ac:dyDescent="0.2">
      <c r="B159" s="322" t="s">
        <v>964</v>
      </c>
      <c r="C159" s="271">
        <v>34</v>
      </c>
      <c r="D159" s="323">
        <v>150222</v>
      </c>
      <c r="E159" s="271">
        <v>35</v>
      </c>
      <c r="F159" s="270">
        <v>144605</v>
      </c>
      <c r="G159" s="255" t="s">
        <v>823</v>
      </c>
    </row>
    <row r="160" spans="2:7" x14ac:dyDescent="0.2">
      <c r="B160" s="322" t="s">
        <v>965</v>
      </c>
      <c r="C160" s="271">
        <v>37</v>
      </c>
      <c r="D160" s="323">
        <v>128284</v>
      </c>
      <c r="E160" s="271">
        <v>36</v>
      </c>
      <c r="F160" s="270">
        <v>139468</v>
      </c>
      <c r="G160" s="255" t="s">
        <v>823</v>
      </c>
    </row>
    <row r="161" spans="2:7" x14ac:dyDescent="0.2">
      <c r="B161" s="322" t="s">
        <v>966</v>
      </c>
      <c r="C161" s="271">
        <v>35</v>
      </c>
      <c r="D161" s="323">
        <v>143147</v>
      </c>
      <c r="E161" s="271">
        <v>37</v>
      </c>
      <c r="F161" s="270">
        <v>139186</v>
      </c>
      <c r="G161" s="255" t="s">
        <v>823</v>
      </c>
    </row>
    <row r="162" spans="2:7" x14ac:dyDescent="0.2">
      <c r="B162" s="322" t="s">
        <v>967</v>
      </c>
      <c r="C162" s="271">
        <v>42</v>
      </c>
      <c r="D162" s="323">
        <v>111339</v>
      </c>
      <c r="E162" s="271">
        <v>38</v>
      </c>
      <c r="F162" s="270">
        <v>133195</v>
      </c>
      <c r="G162" s="255" t="s">
        <v>823</v>
      </c>
    </row>
    <row r="163" spans="2:7" x14ac:dyDescent="0.2">
      <c r="B163" s="322" t="s">
        <v>968</v>
      </c>
      <c r="C163" s="271">
        <v>38</v>
      </c>
      <c r="D163" s="323">
        <v>126214</v>
      </c>
      <c r="E163" s="271">
        <v>39</v>
      </c>
      <c r="F163" s="270">
        <v>127355</v>
      </c>
      <c r="G163" s="255" t="s">
        <v>823</v>
      </c>
    </row>
    <row r="164" spans="2:7" x14ac:dyDescent="0.2">
      <c r="B164" s="322" t="s">
        <v>969</v>
      </c>
      <c r="C164" s="271">
        <v>39</v>
      </c>
      <c r="D164" s="323">
        <v>125707</v>
      </c>
      <c r="E164" s="271">
        <v>40</v>
      </c>
      <c r="F164" s="270">
        <v>115329</v>
      </c>
      <c r="G164" s="255" t="s">
        <v>903</v>
      </c>
    </row>
    <row r="165" spans="2:7" x14ac:dyDescent="0.2">
      <c r="B165" s="322" t="s">
        <v>970</v>
      </c>
      <c r="C165" s="271">
        <v>44</v>
      </c>
      <c r="D165" s="323">
        <v>106821</v>
      </c>
      <c r="E165" s="271">
        <v>41</v>
      </c>
      <c r="F165" s="270">
        <v>114971</v>
      </c>
      <c r="G165" s="255" t="s">
        <v>823</v>
      </c>
    </row>
    <row r="166" spans="2:7" x14ac:dyDescent="0.2">
      <c r="B166" s="322" t="s">
        <v>971</v>
      </c>
      <c r="C166" s="271">
        <v>43</v>
      </c>
      <c r="D166" s="323">
        <v>108434</v>
      </c>
      <c r="E166" s="271">
        <v>42</v>
      </c>
      <c r="F166" s="270">
        <v>107834</v>
      </c>
      <c r="G166" s="255" t="s">
        <v>903</v>
      </c>
    </row>
    <row r="167" spans="2:7" x14ac:dyDescent="0.2">
      <c r="B167" s="322" t="s">
        <v>972</v>
      </c>
      <c r="C167" s="271">
        <v>41</v>
      </c>
      <c r="D167" s="323">
        <v>111824</v>
      </c>
      <c r="E167" s="271">
        <v>43</v>
      </c>
      <c r="F167" s="270">
        <v>106057</v>
      </c>
      <c r="G167" s="255" t="s">
        <v>854</v>
      </c>
    </row>
    <row r="168" spans="2:7" x14ac:dyDescent="0.2">
      <c r="B168" s="322" t="s">
        <v>973</v>
      </c>
      <c r="C168" s="271">
        <v>45</v>
      </c>
      <c r="D168" s="323">
        <v>96264</v>
      </c>
      <c r="E168" s="271">
        <v>44</v>
      </c>
      <c r="F168" s="270">
        <v>99710</v>
      </c>
      <c r="G168" s="255" t="s">
        <v>832</v>
      </c>
    </row>
    <row r="169" spans="2:7" x14ac:dyDescent="0.2">
      <c r="B169" s="322" t="s">
        <v>974</v>
      </c>
      <c r="C169" s="271">
        <v>49</v>
      </c>
      <c r="D169" s="323">
        <v>83236</v>
      </c>
      <c r="E169" s="271">
        <v>45</v>
      </c>
      <c r="F169" s="270">
        <v>93842</v>
      </c>
      <c r="G169" s="255" t="s">
        <v>823</v>
      </c>
    </row>
    <row r="170" spans="2:7" x14ac:dyDescent="0.2">
      <c r="B170" s="322" t="s">
        <v>975</v>
      </c>
      <c r="C170" s="271">
        <v>47</v>
      </c>
      <c r="D170" s="323">
        <v>85073</v>
      </c>
      <c r="E170" s="271">
        <v>46</v>
      </c>
      <c r="F170" s="270">
        <v>84401</v>
      </c>
      <c r="G170" s="255" t="s">
        <v>823</v>
      </c>
    </row>
    <row r="171" spans="2:7" x14ac:dyDescent="0.2">
      <c r="B171" s="322" t="s">
        <v>976</v>
      </c>
      <c r="C171" s="271">
        <v>46</v>
      </c>
      <c r="D171" s="323">
        <v>88189</v>
      </c>
      <c r="E171" s="271">
        <v>47</v>
      </c>
      <c r="F171" s="270">
        <v>84202</v>
      </c>
      <c r="G171" s="255" t="s">
        <v>862</v>
      </c>
    </row>
    <row r="172" spans="2:7" x14ac:dyDescent="0.2">
      <c r="B172" s="322" t="s">
        <v>977</v>
      </c>
      <c r="C172" s="271">
        <v>48</v>
      </c>
      <c r="D172" s="323">
        <v>84492</v>
      </c>
      <c r="E172" s="271">
        <v>48</v>
      </c>
      <c r="F172" s="270">
        <v>81695</v>
      </c>
      <c r="G172" s="255" t="s">
        <v>875</v>
      </c>
    </row>
    <row r="173" spans="2:7" x14ac:dyDescent="0.2">
      <c r="B173" s="322" t="s">
        <v>978</v>
      </c>
      <c r="C173" s="271">
        <v>51</v>
      </c>
      <c r="D173" s="323">
        <v>77307</v>
      </c>
      <c r="E173" s="271">
        <v>49</v>
      </c>
      <c r="F173" s="270">
        <v>76103</v>
      </c>
      <c r="G173" s="255" t="s">
        <v>823</v>
      </c>
    </row>
    <row r="174" spans="2:7" x14ac:dyDescent="0.2">
      <c r="B174" s="322" t="s">
        <v>979</v>
      </c>
      <c r="C174" s="271">
        <v>50</v>
      </c>
      <c r="D174" s="323">
        <v>79467</v>
      </c>
      <c r="E174" s="271">
        <v>50</v>
      </c>
      <c r="F174" s="270">
        <v>76065</v>
      </c>
      <c r="G174" s="255" t="s">
        <v>826</v>
      </c>
    </row>
    <row r="175" spans="2:7" x14ac:dyDescent="0.2">
      <c r="B175" s="324" t="s">
        <v>980</v>
      </c>
      <c r="C175" s="271"/>
      <c r="D175" s="323">
        <f>SUM(D125:D174)</f>
        <v>19658519</v>
      </c>
      <c r="E175" s="271"/>
      <c r="F175" s="323">
        <f>SUM(F125:F174)</f>
        <v>18762512</v>
      </c>
    </row>
    <row r="176" spans="2:7" x14ac:dyDescent="0.2">
      <c r="B176" s="324" t="s">
        <v>981</v>
      </c>
      <c r="C176" s="271"/>
      <c r="D176" s="323">
        <v>25374998</v>
      </c>
      <c r="E176" s="271"/>
      <c r="F176" s="323">
        <v>24306965</v>
      </c>
    </row>
    <row r="177" spans="1:26" x14ac:dyDescent="0.2">
      <c r="B177" s="324" t="s">
        <v>982</v>
      </c>
      <c r="C177" s="325"/>
      <c r="D177" s="326">
        <f>D175/D176</f>
        <v>0.77472002165280962</v>
      </c>
      <c r="E177" s="325"/>
      <c r="F177" s="326">
        <f>F175/F176</f>
        <v>0.7718985895606465</v>
      </c>
    </row>
    <row r="178" spans="1:26" x14ac:dyDescent="0.2">
      <c r="B178" s="324"/>
      <c r="C178" s="327"/>
      <c r="D178" s="324"/>
      <c r="E178" s="271"/>
      <c r="F178" s="323"/>
    </row>
    <row r="179" spans="1:26" x14ac:dyDescent="0.2">
      <c r="B179" s="852" t="s">
        <v>983</v>
      </c>
      <c r="C179" s="852"/>
      <c r="D179" s="852"/>
      <c r="E179" s="853"/>
      <c r="F179" s="853"/>
    </row>
    <row r="180" spans="1:26" x14ac:dyDescent="0.2">
      <c r="B180" s="852" t="s">
        <v>984</v>
      </c>
      <c r="C180" s="852"/>
      <c r="D180" s="852"/>
      <c r="E180" s="853"/>
      <c r="F180" s="853"/>
    </row>
    <row r="182" spans="1:26" ht="18" customHeight="1" x14ac:dyDescent="0.2">
      <c r="A182" s="282" t="s">
        <v>985</v>
      </c>
    </row>
    <row r="183" spans="1:26" ht="10.5" customHeight="1" x14ac:dyDescent="0.2">
      <c r="A183" s="282"/>
    </row>
    <row r="184" spans="1:26" ht="10.5" customHeight="1" x14ac:dyDescent="0.2">
      <c r="A184" s="282"/>
      <c r="B184" s="257" t="s">
        <v>986</v>
      </c>
      <c r="M184" s="293">
        <v>795.274</v>
      </c>
    </row>
    <row r="185" spans="1:26" ht="10.5" customHeight="1" x14ac:dyDescent="0.2">
      <c r="A185" s="282"/>
      <c r="B185" s="255" t="s">
        <v>987</v>
      </c>
      <c r="C185" s="293">
        <f>M218</f>
        <v>38061.654861558272</v>
      </c>
      <c r="D185" s="255" t="s">
        <v>988</v>
      </c>
      <c r="M185" s="270">
        <v>6801</v>
      </c>
    </row>
    <row r="186" spans="1:26" ht="10.5" customHeight="1" x14ac:dyDescent="0.2">
      <c r="A186" s="282"/>
      <c r="B186" s="255" t="s">
        <v>989</v>
      </c>
      <c r="C186" s="293">
        <f>(N294*I302*I299+N291*10^6)*J19/(H299*10^6)</f>
        <v>27977.922701619711</v>
      </c>
      <c r="D186" s="255" t="s">
        <v>990</v>
      </c>
      <c r="M186" s="270">
        <v>1360.1780000000001</v>
      </c>
    </row>
    <row r="187" spans="1:26" ht="10.5" customHeight="1" x14ac:dyDescent="0.2">
      <c r="A187" s="282"/>
      <c r="B187" s="255" t="s">
        <v>991</v>
      </c>
      <c r="C187" s="293">
        <f>(M254*J19*M252/N252)/(N250*M251)</f>
        <v>22091.305953127066</v>
      </c>
      <c r="D187" s="255" t="s">
        <v>992</v>
      </c>
      <c r="M187" s="328">
        <f>M185/M184</f>
        <v>8.5517695787866828</v>
      </c>
    </row>
    <row r="188" spans="1:26" ht="10.5" customHeight="1" x14ac:dyDescent="0.2">
      <c r="A188" s="282"/>
      <c r="M188" s="328">
        <f>M185/M186</f>
        <v>5.0000808717682537</v>
      </c>
    </row>
    <row r="189" spans="1:26" x14ac:dyDescent="0.2">
      <c r="M189" s="328">
        <f>1000*M186/M184</f>
        <v>1710.326252335673</v>
      </c>
    </row>
    <row r="190" spans="1:26" x14ac:dyDescent="0.2">
      <c r="A190" s="329" t="s">
        <v>993</v>
      </c>
      <c r="D190" s="297" t="s">
        <v>994</v>
      </c>
    </row>
    <row r="191" spans="1:26" x14ac:dyDescent="0.2">
      <c r="B191" s="837" t="s">
        <v>995</v>
      </c>
      <c r="C191" s="829"/>
      <c r="D191" s="829"/>
      <c r="E191" s="829"/>
      <c r="F191" s="829"/>
      <c r="G191" s="829"/>
      <c r="H191" s="829"/>
      <c r="I191" s="829"/>
      <c r="J191" s="829"/>
      <c r="K191" s="829"/>
      <c r="L191" s="829"/>
      <c r="M191" s="829"/>
      <c r="N191" s="829"/>
      <c r="O191" s="829"/>
      <c r="P191" s="829"/>
      <c r="Q191" s="829"/>
      <c r="R191" s="829"/>
      <c r="S191" s="829"/>
      <c r="T191" s="829"/>
      <c r="U191" s="829"/>
      <c r="V191" s="829"/>
      <c r="W191" s="829"/>
      <c r="X191" s="829"/>
      <c r="Y191" s="829"/>
      <c r="Z191" s="829"/>
    </row>
    <row r="192" spans="1:26" x14ac:dyDescent="0.2">
      <c r="B192" s="330"/>
      <c r="C192" s="330">
        <v>1995</v>
      </c>
      <c r="D192" s="330">
        <v>1996</v>
      </c>
      <c r="E192" s="330">
        <v>1997</v>
      </c>
      <c r="F192" s="330">
        <v>1998</v>
      </c>
      <c r="G192" s="330">
        <v>1999</v>
      </c>
      <c r="H192" s="330">
        <v>2000</v>
      </c>
      <c r="I192" s="330">
        <v>2001</v>
      </c>
      <c r="J192" s="459">
        <v>2002</v>
      </c>
      <c r="K192" s="459">
        <v>2003</v>
      </c>
      <c r="L192" s="459">
        <v>2004</v>
      </c>
      <c r="M192" s="459">
        <v>2005</v>
      </c>
      <c r="N192" s="459">
        <v>2006</v>
      </c>
      <c r="O192" s="459">
        <v>2007</v>
      </c>
    </row>
    <row r="193" spans="1:17" x14ac:dyDescent="0.2">
      <c r="B193" s="272" t="s">
        <v>996</v>
      </c>
      <c r="C193" s="273">
        <v>685.50300000000004</v>
      </c>
      <c r="D193" s="273">
        <v>694.78099999999995</v>
      </c>
      <c r="E193" s="273">
        <v>697.548</v>
      </c>
      <c r="F193" s="273">
        <v>715.54</v>
      </c>
      <c r="G193" s="273">
        <v>728.77700000000004</v>
      </c>
      <c r="H193" s="270">
        <v>746.125</v>
      </c>
      <c r="I193" s="270">
        <v>749.548</v>
      </c>
      <c r="J193" s="293">
        <v>760.71699999999998</v>
      </c>
      <c r="K193" s="293">
        <v>776.55</v>
      </c>
      <c r="L193" s="331">
        <v>795.274</v>
      </c>
      <c r="M193" s="332">
        <v>807.053</v>
      </c>
      <c r="N193" s="331">
        <v>821.95899999999995</v>
      </c>
      <c r="O193" s="331">
        <v>834.43600000000004</v>
      </c>
    </row>
    <row r="194" spans="1:17" x14ac:dyDescent="0.2">
      <c r="B194" s="272" t="s">
        <v>997</v>
      </c>
      <c r="C194" s="273">
        <v>6400</v>
      </c>
      <c r="D194" s="273">
        <v>6563</v>
      </c>
      <c r="E194" s="273">
        <v>6842</v>
      </c>
      <c r="F194" s="273">
        <v>7007</v>
      </c>
      <c r="G194" s="273">
        <v>7662</v>
      </c>
      <c r="H194" s="333">
        <v>7590</v>
      </c>
      <c r="I194" s="270">
        <v>7077</v>
      </c>
      <c r="J194" s="274">
        <v>6845</v>
      </c>
      <c r="K194" s="270">
        <v>6783</v>
      </c>
      <c r="L194" s="332">
        <v>6801</v>
      </c>
      <c r="M194" s="332">
        <v>6980</v>
      </c>
      <c r="N194" s="334">
        <v>6783.3176904100919</v>
      </c>
      <c r="O194" s="332">
        <v>6976.2424442145375</v>
      </c>
    </row>
    <row r="195" spans="1:17" x14ac:dyDescent="0.2">
      <c r="B195" s="272" t="s">
        <v>998</v>
      </c>
      <c r="C195" s="273">
        <v>968</v>
      </c>
      <c r="D195" s="273">
        <v>989.93399999999997</v>
      </c>
      <c r="E195" s="273">
        <v>1026.578</v>
      </c>
      <c r="F195" s="273">
        <v>1040.335</v>
      </c>
      <c r="G195" s="273">
        <v>1148.307</v>
      </c>
      <c r="H195" s="333">
        <v>1112.0340000000001</v>
      </c>
      <c r="I195" s="270">
        <v>1025.8989999999999</v>
      </c>
      <c r="J195" s="274">
        <v>999.56299999999999</v>
      </c>
      <c r="K195" s="270">
        <v>968.94500000000005</v>
      </c>
      <c r="L195" s="332">
        <v>1360.1780000000001</v>
      </c>
      <c r="M195" s="332">
        <v>1120</v>
      </c>
      <c r="N195" s="334">
        <v>1148.409300265005</v>
      </c>
      <c r="O195" s="332">
        <v>1143.6630764223548</v>
      </c>
    </row>
    <row r="196" spans="1:17" x14ac:dyDescent="0.2">
      <c r="B196" s="272" t="s">
        <v>999</v>
      </c>
      <c r="C196" s="275">
        <f t="shared" ref="C196:K196" si="24">C194/C193</f>
        <v>9.3362100530559307</v>
      </c>
      <c r="D196" s="275">
        <f t="shared" si="24"/>
        <v>9.4461420217305889</v>
      </c>
      <c r="E196" s="275">
        <f t="shared" si="24"/>
        <v>9.8086439929581903</v>
      </c>
      <c r="F196" s="275">
        <f t="shared" si="24"/>
        <v>9.7926041870475444</v>
      </c>
      <c r="G196" s="275">
        <f t="shared" si="24"/>
        <v>10.513504130893264</v>
      </c>
      <c r="H196" s="328">
        <f t="shared" si="24"/>
        <v>10.17255821745686</v>
      </c>
      <c r="I196" s="328">
        <v>9.44</v>
      </c>
      <c r="J196" s="335">
        <f>J194/J193</f>
        <v>8.9980899598668103</v>
      </c>
      <c r="K196" s="328">
        <f t="shared" si="24"/>
        <v>8.7347884875410475</v>
      </c>
      <c r="L196" s="336">
        <f>L194/L193</f>
        <v>8.5517695787866828</v>
      </c>
      <c r="M196" s="336">
        <f>M194/M193</f>
        <v>8.6487504538115836</v>
      </c>
      <c r="N196" s="337">
        <f>N194/N193</f>
        <v>8.2526229293798021</v>
      </c>
      <c r="O196" s="336">
        <f>O194/O193</f>
        <v>8.3604284141798022</v>
      </c>
    </row>
    <row r="197" spans="1:17" x14ac:dyDescent="0.2">
      <c r="B197" s="272" t="s">
        <v>1000</v>
      </c>
      <c r="C197" s="275">
        <f t="shared" ref="C197:K197" si="25">C194/C195</f>
        <v>6.6115702479338845</v>
      </c>
      <c r="D197" s="275">
        <f t="shared" si="25"/>
        <v>6.6297349116203712</v>
      </c>
      <c r="E197" s="275">
        <f t="shared" si="25"/>
        <v>6.6648613159448189</v>
      </c>
      <c r="F197" s="275">
        <f t="shared" si="25"/>
        <v>6.7353304464427319</v>
      </c>
      <c r="G197" s="275">
        <f t="shared" si="25"/>
        <v>6.6724316755014117</v>
      </c>
      <c r="H197" s="328">
        <f t="shared" si="25"/>
        <v>6.8253308801709291</v>
      </c>
      <c r="I197" s="328">
        <v>6.8983398950578962</v>
      </c>
      <c r="J197" s="276">
        <f>J194/J195</f>
        <v>6.8479925727542934</v>
      </c>
      <c r="K197" s="328">
        <f t="shared" si="25"/>
        <v>7.0003973393742678</v>
      </c>
      <c r="L197" s="336">
        <f>L194/L195</f>
        <v>5.0000808717682537</v>
      </c>
      <c r="M197" s="336">
        <f>M194/M195</f>
        <v>6.2321428571428568</v>
      </c>
      <c r="N197" s="337">
        <f>N194/N195</f>
        <v>5.9067073811094923</v>
      </c>
      <c r="O197" s="336">
        <f>O194/O195</f>
        <v>6.0999105313759481</v>
      </c>
    </row>
    <row r="198" spans="1:17" x14ac:dyDescent="0.2">
      <c r="B198" s="272" t="s">
        <v>1001</v>
      </c>
      <c r="C198" s="273">
        <f t="shared" ref="C198:K198" si="26">1000*C195/C193</f>
        <v>1412.1017705247095</v>
      </c>
      <c r="D198" s="273">
        <f t="shared" si="26"/>
        <v>1424.8144379308014</v>
      </c>
      <c r="E198" s="273">
        <f t="shared" si="26"/>
        <v>1471.6951378256406</v>
      </c>
      <c r="F198" s="273">
        <f t="shared" si="26"/>
        <v>1453.9159236380915</v>
      </c>
      <c r="G198" s="273">
        <f t="shared" si="26"/>
        <v>1575.6630629122487</v>
      </c>
      <c r="H198" s="273">
        <f t="shared" si="26"/>
        <v>1490.4124643993969</v>
      </c>
      <c r="I198" s="270">
        <f t="shared" si="26"/>
        <v>1368.6901972922346</v>
      </c>
      <c r="J198" s="274">
        <f>1000*J195/J193</f>
        <v>1313.9748421554928</v>
      </c>
      <c r="K198" s="270">
        <f t="shared" si="26"/>
        <v>1247.7561007018223</v>
      </c>
      <c r="L198" s="332">
        <f>1000*L195/L193</f>
        <v>1710.326252335673</v>
      </c>
      <c r="M198" s="332">
        <f>1000*M195/M193</f>
        <v>1387.7651157978473</v>
      </c>
      <c r="N198" s="334">
        <f>1000*N195/N193</f>
        <v>1397.1612942555589</v>
      </c>
      <c r="O198" s="332">
        <f>1000*O195/O193</f>
        <v>1370.5821374225882</v>
      </c>
    </row>
    <row r="199" spans="1:17" x14ac:dyDescent="0.2">
      <c r="B199" s="854" t="s">
        <v>1002</v>
      </c>
      <c r="C199" s="842"/>
      <c r="D199" s="842"/>
      <c r="E199" s="842"/>
      <c r="F199" s="842"/>
      <c r="G199" s="842"/>
      <c r="H199" s="842"/>
      <c r="I199" s="842"/>
      <c r="J199" s="842"/>
      <c r="K199" s="842"/>
      <c r="L199" s="842"/>
      <c r="M199" s="277">
        <f>(M195-M215-M217)*J19/(M194-M213)</f>
        <v>13593.255027584981</v>
      </c>
      <c r="N199" s="278" t="s">
        <v>1003</v>
      </c>
      <c r="O199" s="278"/>
      <c r="P199" s="278"/>
    </row>
    <row r="200" spans="1:17" x14ac:dyDescent="0.2">
      <c r="A200" s="453"/>
      <c r="B200" s="453" t="s">
        <v>1004</v>
      </c>
      <c r="C200" s="453"/>
      <c r="D200" s="453"/>
      <c r="E200" s="453"/>
      <c r="F200" s="453"/>
      <c r="G200" s="278"/>
      <c r="H200" s="278"/>
      <c r="I200" s="278"/>
      <c r="J200" s="278"/>
      <c r="K200" s="278"/>
      <c r="L200" s="278"/>
      <c r="M200" s="296">
        <f>M195*J19/10^6</f>
        <v>155.68</v>
      </c>
      <c r="N200" s="295" t="s">
        <v>1005</v>
      </c>
      <c r="O200" s="278"/>
    </row>
    <row r="201" spans="1:17" x14ac:dyDescent="0.2">
      <c r="A201" s="841" t="s">
        <v>1006</v>
      </c>
      <c r="B201" s="841"/>
      <c r="C201" s="841"/>
      <c r="D201" s="841"/>
      <c r="E201" s="841"/>
      <c r="F201" s="841"/>
      <c r="G201" s="842"/>
      <c r="H201" s="842"/>
      <c r="I201" s="842"/>
      <c r="J201" s="842"/>
      <c r="K201" s="842"/>
      <c r="L201" s="278"/>
      <c r="M201" s="299">
        <f>'AEO Data'!B224</f>
        <v>246.81586966968212</v>
      </c>
      <c r="N201" s="297" t="s">
        <v>1007</v>
      </c>
      <c r="O201" s="278"/>
    </row>
    <row r="202" spans="1:17" x14ac:dyDescent="0.2">
      <c r="A202" s="843" t="s">
        <v>1008</v>
      </c>
      <c r="B202" s="841"/>
      <c r="C202" s="841"/>
      <c r="D202" s="841"/>
      <c r="E202" s="841"/>
      <c r="F202" s="841"/>
      <c r="G202" s="842"/>
      <c r="H202" s="842"/>
      <c r="I202" s="842"/>
      <c r="J202" s="842"/>
      <c r="K202" s="842"/>
      <c r="L202" s="284"/>
      <c r="M202" s="338">
        <f>'AEO Data'!B211</f>
        <v>95.000174601694852</v>
      </c>
      <c r="N202" s="339" t="s">
        <v>1009</v>
      </c>
      <c r="O202" s="339"/>
      <c r="P202" s="340"/>
      <c r="Q202" s="340"/>
    </row>
    <row r="203" spans="1:17" x14ac:dyDescent="0.2">
      <c r="A203" s="841"/>
      <c r="B203" s="841"/>
      <c r="C203" s="841"/>
      <c r="D203" s="841"/>
      <c r="E203" s="841"/>
      <c r="F203" s="841"/>
      <c r="G203" s="284"/>
      <c r="H203" s="284"/>
      <c r="I203" s="284"/>
      <c r="J203" s="284"/>
      <c r="K203" s="284"/>
      <c r="L203" s="284"/>
      <c r="M203" s="284"/>
      <c r="N203" s="284"/>
      <c r="O203" s="284"/>
    </row>
    <row r="204" spans="1:17" x14ac:dyDescent="0.2">
      <c r="A204" s="841" t="s">
        <v>1010</v>
      </c>
      <c r="B204" s="841"/>
      <c r="C204" s="841"/>
      <c r="D204" s="841"/>
      <c r="E204" s="841"/>
      <c r="F204" s="841"/>
      <c r="G204" s="842"/>
      <c r="H204" s="842"/>
      <c r="I204" s="842"/>
      <c r="J204" s="842"/>
      <c r="K204" s="842"/>
      <c r="L204" s="278"/>
      <c r="M204" s="278"/>
      <c r="N204" s="278"/>
      <c r="O204" s="278"/>
    </row>
    <row r="205" spans="1:17" x14ac:dyDescent="0.2">
      <c r="A205" s="846" t="s">
        <v>1011</v>
      </c>
      <c r="B205" s="847"/>
      <c r="C205" s="847"/>
      <c r="D205" s="847"/>
      <c r="E205" s="847"/>
      <c r="F205" s="847"/>
      <c r="G205" s="848"/>
      <c r="H205" s="848"/>
      <c r="I205" s="848"/>
      <c r="J205" s="848"/>
      <c r="K205" s="848"/>
      <c r="L205" s="341"/>
      <c r="M205" s="341"/>
      <c r="N205" s="341"/>
      <c r="O205" s="341"/>
    </row>
    <row r="206" spans="1:17" x14ac:dyDescent="0.2">
      <c r="A206" s="846" t="s">
        <v>1012</v>
      </c>
      <c r="B206" s="846"/>
      <c r="C206" s="846"/>
      <c r="D206" s="846"/>
      <c r="E206" s="846"/>
      <c r="F206" s="846"/>
      <c r="G206" s="848"/>
      <c r="H206" s="848"/>
      <c r="I206" s="848"/>
      <c r="J206" s="848"/>
      <c r="K206" s="848"/>
      <c r="L206" s="342"/>
      <c r="M206" s="342"/>
      <c r="N206" s="342"/>
      <c r="O206" s="342"/>
    </row>
    <row r="207" spans="1:17" x14ac:dyDescent="0.2">
      <c r="A207" s="455"/>
      <c r="B207" s="455"/>
      <c r="C207" s="455"/>
      <c r="D207" s="455"/>
      <c r="E207" s="455"/>
      <c r="F207" s="455"/>
      <c r="G207" s="456"/>
      <c r="H207" s="456"/>
      <c r="I207" s="456"/>
      <c r="J207" s="456"/>
      <c r="K207" s="456"/>
      <c r="L207" s="342"/>
      <c r="M207" s="342"/>
      <c r="N207" s="342"/>
      <c r="O207" s="342"/>
    </row>
    <row r="208" spans="1:17" x14ac:dyDescent="0.2">
      <c r="A208" s="455"/>
      <c r="B208" s="455"/>
      <c r="C208" s="455"/>
      <c r="D208" s="455"/>
      <c r="E208" s="455"/>
      <c r="F208" s="455"/>
      <c r="G208" s="456"/>
      <c r="H208" s="456"/>
      <c r="I208" s="456"/>
      <c r="J208" s="456"/>
      <c r="K208" s="456"/>
      <c r="L208" s="342"/>
      <c r="M208" s="342"/>
      <c r="N208" s="342"/>
      <c r="O208" s="342"/>
    </row>
    <row r="209" spans="1:25" x14ac:dyDescent="0.2">
      <c r="A209" s="455"/>
      <c r="B209" s="455"/>
      <c r="C209" s="455"/>
      <c r="D209" s="455"/>
      <c r="E209" s="455"/>
      <c r="F209" s="455"/>
      <c r="G209" s="456"/>
      <c r="H209" s="456"/>
      <c r="I209" s="456"/>
      <c r="J209" s="456"/>
      <c r="K209" s="456"/>
      <c r="L209" s="342"/>
      <c r="M209" s="342"/>
      <c r="N209" s="342"/>
      <c r="O209" s="342"/>
    </row>
    <row r="211" spans="1:25" x14ac:dyDescent="0.2">
      <c r="B211" s="849" t="s">
        <v>1013</v>
      </c>
      <c r="C211" s="829"/>
      <c r="D211" s="829"/>
      <c r="E211" s="829"/>
      <c r="F211" s="829"/>
      <c r="G211" s="829"/>
      <c r="H211" s="829"/>
      <c r="I211" s="829"/>
      <c r="J211" s="829"/>
      <c r="K211" s="829"/>
      <c r="L211" s="829"/>
      <c r="M211" s="829"/>
      <c r="N211" s="829"/>
      <c r="O211" s="829"/>
      <c r="P211" s="829"/>
      <c r="Q211" s="829"/>
      <c r="R211" s="829"/>
      <c r="S211" s="829"/>
      <c r="T211" s="829"/>
      <c r="U211" s="829"/>
      <c r="V211" s="829"/>
      <c r="W211" s="829"/>
      <c r="X211" s="829"/>
      <c r="Y211" s="829"/>
    </row>
    <row r="212" spans="1:25" x14ac:dyDescent="0.2">
      <c r="B212" s="330"/>
      <c r="C212" s="330">
        <v>1995</v>
      </c>
      <c r="D212" s="330">
        <v>1996</v>
      </c>
      <c r="E212" s="330">
        <v>1997</v>
      </c>
      <c r="F212" s="330">
        <v>1998</v>
      </c>
      <c r="G212" s="330">
        <v>1999</v>
      </c>
      <c r="H212" s="330">
        <v>2000</v>
      </c>
      <c r="I212" s="330">
        <v>2001</v>
      </c>
      <c r="J212" s="330">
        <v>2002</v>
      </c>
      <c r="K212" s="343">
        <v>2003</v>
      </c>
      <c r="L212" s="343">
        <v>2004</v>
      </c>
      <c r="M212" s="343">
        <v>2005</v>
      </c>
      <c r="N212" s="343">
        <v>2006</v>
      </c>
    </row>
    <row r="213" spans="1:25" x14ac:dyDescent="0.2">
      <c r="B213" s="272" t="s">
        <v>1014</v>
      </c>
      <c r="C213" s="273">
        <v>2183.6999999999998</v>
      </c>
      <c r="D213" s="273">
        <v>2220.5</v>
      </c>
      <c r="E213" s="273">
        <v>2244.6</v>
      </c>
      <c r="F213" s="273">
        <v>2174.6</v>
      </c>
      <c r="G213" s="273">
        <v>2275.9</v>
      </c>
      <c r="H213" s="273">
        <v>2314.8000000000002</v>
      </c>
      <c r="I213" s="273">
        <v>2376.5</v>
      </c>
      <c r="J213" s="273">
        <v>2411.1</v>
      </c>
      <c r="K213" s="270">
        <v>2420.8000000000002</v>
      </c>
      <c r="L213" s="270">
        <v>2471</v>
      </c>
      <c r="M213" s="344">
        <v>2484.8000000000002</v>
      </c>
      <c r="N213" s="270">
        <v>2494.9</v>
      </c>
    </row>
    <row r="214" spans="1:25" x14ac:dyDescent="0.2">
      <c r="B214" s="272" t="s">
        <v>1015</v>
      </c>
      <c r="C214" s="273">
        <v>18818</v>
      </c>
      <c r="D214" s="273">
        <v>19096</v>
      </c>
      <c r="E214" s="273">
        <v>19604</v>
      </c>
      <c r="F214" s="273">
        <v>20360</v>
      </c>
      <c r="G214" s="273">
        <v>21205</v>
      </c>
      <c r="H214" s="273">
        <v>21241</v>
      </c>
      <c r="I214" s="273">
        <v>22022</v>
      </c>
      <c r="J214" s="273">
        <v>21841</v>
      </c>
      <c r="K214" s="270">
        <v>21262</v>
      </c>
      <c r="L214" s="270">
        <v>21377</v>
      </c>
      <c r="M214" s="270">
        <v>21825</v>
      </c>
      <c r="N214" s="345">
        <v>22821</v>
      </c>
    </row>
    <row r="215" spans="1:25" x14ac:dyDescent="0.2">
      <c r="B215" s="272" t="s">
        <v>1016</v>
      </c>
      <c r="C215" s="273">
        <v>563.76700000000005</v>
      </c>
      <c r="D215" s="273">
        <v>577.67999999999995</v>
      </c>
      <c r="E215" s="273">
        <v>597.63599999999997</v>
      </c>
      <c r="F215" s="273">
        <v>606.63099999999997</v>
      </c>
      <c r="G215" s="273">
        <v>618.20399999999995</v>
      </c>
      <c r="H215" s="273">
        <v>635.16</v>
      </c>
      <c r="I215" s="273">
        <v>587.18399999999997</v>
      </c>
      <c r="J215" s="273">
        <v>558.99</v>
      </c>
      <c r="K215" s="273">
        <v>538.74699999999996</v>
      </c>
      <c r="L215" s="270">
        <v>550.46600000000001</v>
      </c>
      <c r="M215" s="270">
        <v>533.79999999999995</v>
      </c>
      <c r="N215" s="273">
        <v>536.70000000000005</v>
      </c>
    </row>
    <row r="216" spans="1:25" x14ac:dyDescent="0.2">
      <c r="B216" s="272" t="s">
        <v>1017</v>
      </c>
      <c r="C216" s="273">
        <f t="shared" ref="C216:J216" si="27">(138700*C215)/C214</f>
        <v>4155.3025241789783</v>
      </c>
      <c r="D216" s="273">
        <f t="shared" si="27"/>
        <v>4195.8638458315882</v>
      </c>
      <c r="E216" s="273">
        <f t="shared" si="27"/>
        <v>4228.3265251989387</v>
      </c>
      <c r="F216" s="273">
        <f>(138700*F215)/F214</f>
        <v>4132.5991994106089</v>
      </c>
      <c r="G216" s="273">
        <f t="shared" si="27"/>
        <v>4043.6168262202309</v>
      </c>
      <c r="H216" s="273">
        <f t="shared" si="27"/>
        <v>4147.4832634998356</v>
      </c>
      <c r="I216" s="273">
        <f t="shared" si="27"/>
        <v>3698.2299881936242</v>
      </c>
      <c r="J216" s="273">
        <f t="shared" si="27"/>
        <v>3549.8334783205896</v>
      </c>
      <c r="K216" s="273">
        <f>(138700*K215)/K214</f>
        <v>3514.4487301288682</v>
      </c>
      <c r="L216" s="273">
        <f>(138700*L215)/L214</f>
        <v>3571.5785283248351</v>
      </c>
      <c r="M216" s="344">
        <f>(138700*M215)/M214</f>
        <v>3392.3509736540664</v>
      </c>
      <c r="N216" s="273">
        <f>(138700*N215)/N214</f>
        <v>3261.9205994478771</v>
      </c>
    </row>
    <row r="217" spans="1:25" x14ac:dyDescent="0.2">
      <c r="B217" s="836" t="s">
        <v>1018</v>
      </c>
      <c r="C217" s="829"/>
      <c r="D217" s="829"/>
      <c r="E217" s="829"/>
      <c r="F217" s="829"/>
      <c r="G217" s="829"/>
      <c r="H217" s="829"/>
      <c r="I217" s="829"/>
      <c r="J217" s="829"/>
      <c r="K217" s="829"/>
      <c r="L217" s="829"/>
      <c r="M217" s="279">
        <v>146.6</v>
      </c>
      <c r="N217" s="280" t="s">
        <v>1019</v>
      </c>
      <c r="O217" s="272"/>
      <c r="P217" s="272"/>
      <c r="V217" s="293"/>
      <c r="W217" s="293"/>
    </row>
    <row r="218" spans="1:25" x14ac:dyDescent="0.2">
      <c r="B218" s="836" t="s">
        <v>1004</v>
      </c>
      <c r="C218" s="829"/>
      <c r="D218" s="450"/>
      <c r="E218" s="845" t="s">
        <v>1020</v>
      </c>
      <c r="F218" s="845"/>
      <c r="G218" s="845"/>
      <c r="H218" s="845"/>
      <c r="I218" s="845"/>
      <c r="J218" s="845"/>
      <c r="K218" s="450"/>
      <c r="L218" s="450"/>
      <c r="M218" s="275">
        <f>(M215+M217)*J19/M213</f>
        <v>38061.654861558272</v>
      </c>
      <c r="N218" s="272" t="s">
        <v>1021</v>
      </c>
      <c r="O218" s="272"/>
      <c r="P218" s="272"/>
      <c r="V218" s="293"/>
      <c r="W218" s="293"/>
    </row>
    <row r="219" spans="1:25" x14ac:dyDescent="0.2">
      <c r="A219" s="844" t="s">
        <v>1006</v>
      </c>
      <c r="B219" s="844"/>
      <c r="C219" s="844"/>
      <c r="D219" s="844"/>
      <c r="E219" s="844"/>
      <c r="F219" s="844"/>
      <c r="G219" s="844"/>
      <c r="H219" s="844"/>
      <c r="I219" s="844"/>
      <c r="J219" s="844"/>
      <c r="K219" s="844"/>
      <c r="M219" s="346">
        <f>1/(M218/J19)</f>
        <v>3.6519694297472078</v>
      </c>
      <c r="N219" s="278" t="s">
        <v>1022</v>
      </c>
      <c r="O219" s="278"/>
      <c r="P219" s="278"/>
    </row>
    <row r="220" spans="1:25" ht="11.25" customHeight="1" x14ac:dyDescent="0.2">
      <c r="A220" s="833" t="s">
        <v>1023</v>
      </c>
      <c r="B220" s="833"/>
      <c r="C220" s="833"/>
      <c r="D220" s="833"/>
      <c r="E220" s="833"/>
      <c r="F220" s="833"/>
      <c r="G220" s="833"/>
      <c r="H220" s="833"/>
      <c r="I220" s="833"/>
      <c r="J220" s="833"/>
      <c r="K220" s="833"/>
      <c r="M220" s="272"/>
      <c r="N220" s="272"/>
      <c r="O220" s="272"/>
      <c r="P220" s="272"/>
    </row>
    <row r="221" spans="1:25" x14ac:dyDescent="0.2">
      <c r="A221" s="833"/>
      <c r="B221" s="833"/>
      <c r="C221" s="833"/>
      <c r="D221" s="833"/>
      <c r="E221" s="833"/>
      <c r="F221" s="833"/>
      <c r="G221" s="833"/>
      <c r="H221" s="833"/>
      <c r="I221" s="833"/>
      <c r="J221" s="833"/>
      <c r="K221" s="833"/>
      <c r="M221" s="272"/>
      <c r="N221" s="272"/>
      <c r="O221" s="272"/>
      <c r="P221" s="272"/>
    </row>
    <row r="222" spans="1:25" x14ac:dyDescent="0.2">
      <c r="A222" s="837" t="s">
        <v>1024</v>
      </c>
      <c r="B222" s="837"/>
      <c r="C222" s="837"/>
      <c r="D222" s="837"/>
      <c r="E222" s="837"/>
      <c r="F222" s="837"/>
      <c r="G222" s="837"/>
      <c r="H222" s="837"/>
      <c r="I222" s="837"/>
      <c r="J222" s="837"/>
      <c r="K222" s="837"/>
      <c r="M222" s="278"/>
      <c r="N222" s="278"/>
      <c r="O222" s="278"/>
      <c r="P222" s="278"/>
    </row>
    <row r="223" spans="1:25" ht="11.25" customHeight="1" x14ac:dyDescent="0.2">
      <c r="A223" s="835" t="s">
        <v>1025</v>
      </c>
      <c r="B223" s="835"/>
      <c r="C223" s="835"/>
      <c r="D223" s="835"/>
      <c r="E223" s="835"/>
      <c r="F223" s="835"/>
      <c r="G223" s="835"/>
      <c r="H223" s="835"/>
      <c r="I223" s="835"/>
      <c r="J223" s="835"/>
      <c r="K223" s="835"/>
      <c r="M223" s="341"/>
      <c r="N223" s="341"/>
      <c r="O223" s="341"/>
      <c r="P223" s="341"/>
    </row>
    <row r="225" spans="1:13" ht="19.5" customHeight="1" x14ac:dyDescent="0.2">
      <c r="A225" s="282" t="s">
        <v>1026</v>
      </c>
    </row>
    <row r="226" spans="1:13" ht="9.75" customHeight="1" x14ac:dyDescent="0.2">
      <c r="A226" s="282"/>
    </row>
    <row r="227" spans="1:13" ht="9.75" customHeight="1" x14ac:dyDescent="0.2">
      <c r="A227" s="282"/>
      <c r="D227" s="255" t="s">
        <v>1027</v>
      </c>
      <c r="F227" s="255" t="s">
        <v>1028</v>
      </c>
      <c r="G227" s="255" t="s">
        <v>1029</v>
      </c>
      <c r="I227" s="347" t="s">
        <v>701</v>
      </c>
      <c r="J227" s="347">
        <v>1385108</v>
      </c>
      <c r="K227" s="255">
        <f>J227/J232</f>
        <v>0.16804211862630153</v>
      </c>
    </row>
    <row r="228" spans="1:13" ht="9.75" customHeight="1" x14ac:dyDescent="0.2">
      <c r="A228" s="282"/>
      <c r="B228" s="255" t="s">
        <v>792</v>
      </c>
      <c r="C228" s="308" t="s">
        <v>684</v>
      </c>
      <c r="D228" s="309">
        <f>(J254+J267+J269+J277+J287+J293)/J299</f>
        <v>5.080782263572145E-2</v>
      </c>
      <c r="F228" s="255" t="s">
        <v>1030</v>
      </c>
      <c r="G228" s="309">
        <v>0</v>
      </c>
      <c r="I228" s="347" t="s">
        <v>705</v>
      </c>
      <c r="J228" s="347">
        <v>2552911</v>
      </c>
    </row>
    <row r="229" spans="1:13" ht="9.75" customHeight="1" x14ac:dyDescent="0.2">
      <c r="A229" s="282"/>
      <c r="B229" s="255" t="s">
        <v>793</v>
      </c>
      <c r="C229" s="308" t="s">
        <v>685</v>
      </c>
      <c r="D229" s="309">
        <f>(J278+J280+J286)/J299</f>
        <v>0.22763278127454958</v>
      </c>
      <c r="F229" s="255" t="s">
        <v>705</v>
      </c>
      <c r="G229" s="309" t="e">
        <f>#REF!/#REF!</f>
        <v>#REF!</v>
      </c>
      <c r="I229" s="347" t="s">
        <v>702</v>
      </c>
      <c r="J229" s="347">
        <v>1585873</v>
      </c>
    </row>
    <row r="230" spans="1:13" ht="9.75" customHeight="1" x14ac:dyDescent="0.2">
      <c r="A230" s="282"/>
      <c r="B230" s="255" t="s">
        <v>794</v>
      </c>
      <c r="C230" s="308" t="s">
        <v>686</v>
      </c>
      <c r="D230" s="309">
        <f>(J255+J256+J257+J258+J268+J281+J288+J294+J296)/J299</f>
        <v>0.15722232327208782</v>
      </c>
      <c r="F230" s="255" t="s">
        <v>701</v>
      </c>
      <c r="G230" s="309" t="e">
        <f>#REF!/#REF!</f>
        <v>#REF!</v>
      </c>
      <c r="I230" s="347" t="s">
        <v>704</v>
      </c>
      <c r="J230" s="347">
        <v>2250002</v>
      </c>
    </row>
    <row r="231" spans="1:13" ht="9.75" customHeight="1" x14ac:dyDescent="0.2">
      <c r="A231" s="282"/>
      <c r="B231" s="255" t="s">
        <v>795</v>
      </c>
      <c r="C231" s="308" t="s">
        <v>687</v>
      </c>
      <c r="D231" s="309">
        <f>(J248+J265+J272+J290)/J299</f>
        <v>5.2439531721810803E-2</v>
      </c>
      <c r="F231" s="255" t="s">
        <v>702</v>
      </c>
      <c r="G231" s="309" t="e">
        <f>#REF!/#REF!</f>
        <v>#REF!</v>
      </c>
      <c r="I231" s="347" t="s">
        <v>703</v>
      </c>
      <c r="J231" s="347">
        <v>468730</v>
      </c>
    </row>
    <row r="232" spans="1:13" ht="9.75" customHeight="1" x14ac:dyDescent="0.2">
      <c r="A232" s="282"/>
      <c r="B232" s="255" t="s">
        <v>796</v>
      </c>
      <c r="C232" s="308" t="s">
        <v>688</v>
      </c>
      <c r="D232" s="309">
        <f>(J261+J262+J270+J283+J297)/J299</f>
        <v>0.14465144512848402</v>
      </c>
      <c r="F232" s="255" t="s">
        <v>703</v>
      </c>
      <c r="G232" s="309" t="e">
        <f>#REF!/#REF!</f>
        <v>#REF!</v>
      </c>
      <c r="I232" s="347" t="s">
        <v>696</v>
      </c>
      <c r="J232" s="347">
        <f>SUM(J227:J231)</f>
        <v>8242624</v>
      </c>
    </row>
    <row r="233" spans="1:13" ht="9.75" customHeight="1" x14ac:dyDescent="0.2">
      <c r="A233" s="282"/>
      <c r="B233" s="255" t="s">
        <v>797</v>
      </c>
      <c r="C233" s="308" t="s">
        <v>689</v>
      </c>
      <c r="D233" s="309">
        <f>(J251+J266+J284+J291)/J299</f>
        <v>8.9346049513260972E-2</v>
      </c>
      <c r="F233" s="255" t="s">
        <v>704</v>
      </c>
      <c r="G233" s="309" t="e">
        <f>#REF!/#REF!</f>
        <v>#REF!</v>
      </c>
    </row>
    <row r="234" spans="1:13" ht="9.75" customHeight="1" x14ac:dyDescent="0.2">
      <c r="A234" s="282"/>
      <c r="B234" s="255" t="s">
        <v>798</v>
      </c>
      <c r="C234" s="308" t="s">
        <v>690</v>
      </c>
      <c r="D234" s="309">
        <f>(J263+J264+J271+J273+J275+J282+J289)/J299</f>
        <v>6.2627045489650909E-2</v>
      </c>
    </row>
    <row r="235" spans="1:13" ht="9.75" customHeight="1" x14ac:dyDescent="0.2">
      <c r="A235" s="282"/>
      <c r="B235" s="255" t="s">
        <v>799</v>
      </c>
      <c r="C235" s="308" t="s">
        <v>691</v>
      </c>
      <c r="D235" s="309">
        <f>(J250+J253+J260+J274+J276+J279+J292+J298)/J299</f>
        <v>5.4216416881383886E-2</v>
      </c>
    </row>
    <row r="236" spans="1:13" ht="9.75" customHeight="1" x14ac:dyDescent="0.2">
      <c r="A236" s="282"/>
      <c r="B236" s="255" t="s">
        <v>800</v>
      </c>
      <c r="C236" s="308" t="s">
        <v>692</v>
      </c>
      <c r="D236" s="309">
        <f>(J249+J252+J259+J285+J295)/J299</f>
        <v>0.16105658408305046</v>
      </c>
    </row>
    <row r="237" spans="1:13" ht="11.25" customHeight="1" x14ac:dyDescent="0.2">
      <c r="A237" s="282"/>
    </row>
    <row r="238" spans="1:13" ht="11.25" customHeight="1" x14ac:dyDescent="0.2">
      <c r="A238" s="282"/>
      <c r="C238" s="255" t="s">
        <v>1031</v>
      </c>
      <c r="D238" s="255" t="s">
        <v>1032</v>
      </c>
      <c r="E238" s="255" t="s">
        <v>1033</v>
      </c>
      <c r="F238" s="255" t="s">
        <v>1034</v>
      </c>
      <c r="G238" s="255" t="s">
        <v>1035</v>
      </c>
      <c r="H238" s="255" t="s">
        <v>1036</v>
      </c>
      <c r="I238" s="255" t="s">
        <v>1037</v>
      </c>
      <c r="J238" s="255" t="s">
        <v>1038</v>
      </c>
      <c r="K238" s="255" t="s">
        <v>1039</v>
      </c>
      <c r="L238" s="255" t="s">
        <v>1040</v>
      </c>
      <c r="M238" s="255" t="s">
        <v>1041</v>
      </c>
    </row>
    <row r="239" spans="1:13" ht="11.25" customHeight="1" x14ac:dyDescent="0.2">
      <c r="A239" s="282"/>
      <c r="C239" s="255" t="s">
        <v>1042</v>
      </c>
      <c r="D239" s="255" t="s">
        <v>1043</v>
      </c>
      <c r="E239" s="255" t="s">
        <v>1044</v>
      </c>
      <c r="F239" s="255" t="s">
        <v>1045</v>
      </c>
      <c r="G239" s="255" t="s">
        <v>1046</v>
      </c>
      <c r="H239" s="255" t="s">
        <v>1047</v>
      </c>
      <c r="I239" s="255" t="s">
        <v>1048</v>
      </c>
      <c r="K239" s="255" t="s">
        <v>1049</v>
      </c>
      <c r="L239" s="255" t="s">
        <v>1050</v>
      </c>
      <c r="M239" s="255" t="s">
        <v>1051</v>
      </c>
    </row>
    <row r="240" spans="1:13" ht="11.25" customHeight="1" x14ac:dyDescent="0.2">
      <c r="A240" s="282"/>
      <c r="B240" s="255" t="s">
        <v>748</v>
      </c>
      <c r="C240" s="297">
        <v>5855</v>
      </c>
      <c r="D240" s="297">
        <v>21825</v>
      </c>
      <c r="E240" s="297">
        <v>3.7</v>
      </c>
      <c r="F240" s="297">
        <v>10.19</v>
      </c>
      <c r="G240" s="297">
        <v>2484.8000000000002</v>
      </c>
      <c r="H240" s="297">
        <v>533.79999999999995</v>
      </c>
      <c r="I240" s="297">
        <v>117.2</v>
      </c>
      <c r="J240" s="297">
        <f>146.6-I240</f>
        <v>29.399999999999991</v>
      </c>
      <c r="K240" s="297">
        <v>16786.8</v>
      </c>
      <c r="L240" s="297">
        <v>82027</v>
      </c>
      <c r="M240" s="348">
        <f>G240*10^6/L240</f>
        <v>30292.464676265132</v>
      </c>
    </row>
    <row r="241" spans="1:16" ht="11.25" customHeight="1" x14ac:dyDescent="0.2">
      <c r="A241" s="282"/>
      <c r="C241" s="255" t="s">
        <v>1052</v>
      </c>
      <c r="D241" s="255" t="s">
        <v>1053</v>
      </c>
      <c r="E241" s="255" t="s">
        <v>1054</v>
      </c>
      <c r="F241" s="255" t="s">
        <v>1055</v>
      </c>
      <c r="G241" s="255" t="s">
        <v>1056</v>
      </c>
      <c r="H241" s="255" t="s">
        <v>1057</v>
      </c>
      <c r="I241" s="255" t="s">
        <v>1058</v>
      </c>
      <c r="J241" s="255" t="s">
        <v>1058</v>
      </c>
      <c r="K241" s="255" t="s">
        <v>1059</v>
      </c>
      <c r="L241" s="255" t="s">
        <v>1060</v>
      </c>
    </row>
    <row r="242" spans="1:16" ht="11.25" customHeight="1" x14ac:dyDescent="0.2">
      <c r="A242" s="282"/>
      <c r="B242" s="281" t="s">
        <v>1061</v>
      </c>
    </row>
    <row r="243" spans="1:16" ht="11.25" customHeight="1" x14ac:dyDescent="0.2">
      <c r="A243" s="282"/>
      <c r="B243" s="257" t="s">
        <v>1062</v>
      </c>
    </row>
    <row r="244" spans="1:16" ht="11.25" customHeight="1" x14ac:dyDescent="0.2">
      <c r="A244" s="282"/>
      <c r="B244" s="257"/>
    </row>
    <row r="245" spans="1:16" ht="12.75" customHeight="1" x14ac:dyDescent="0.2">
      <c r="A245" s="282"/>
    </row>
    <row r="246" spans="1:16" x14ac:dyDescent="0.2">
      <c r="C246" s="850" t="s">
        <v>1063</v>
      </c>
      <c r="D246" s="850"/>
      <c r="E246" s="457"/>
      <c r="F246" s="850" t="s">
        <v>1064</v>
      </c>
      <c r="G246" s="850"/>
      <c r="H246" s="457" t="s">
        <v>782</v>
      </c>
      <c r="I246" s="255" t="s">
        <v>699</v>
      </c>
      <c r="J246" s="255" t="s">
        <v>606</v>
      </c>
    </row>
    <row r="247" spans="1:16" x14ac:dyDescent="0.2">
      <c r="B247" s="255" t="s">
        <v>810</v>
      </c>
      <c r="C247" s="255" t="s">
        <v>786</v>
      </c>
      <c r="D247" s="255" t="s">
        <v>1065</v>
      </c>
      <c r="E247" s="255" t="s">
        <v>1066</v>
      </c>
      <c r="F247" s="255" t="s">
        <v>1067</v>
      </c>
      <c r="G247" s="255" t="s">
        <v>1066</v>
      </c>
      <c r="H247" s="457" t="s">
        <v>1066</v>
      </c>
      <c r="I247" s="255" t="s">
        <v>1068</v>
      </c>
      <c r="J247" s="255" t="s">
        <v>1069</v>
      </c>
    </row>
    <row r="248" spans="1:16" x14ac:dyDescent="0.2">
      <c r="B248" s="259" t="s">
        <v>814</v>
      </c>
      <c r="C248" s="255">
        <f>K61</f>
        <v>5643320</v>
      </c>
      <c r="D248" s="293">
        <f t="shared" ref="D248:D279" si="28">C248*E$240/F$240</f>
        <v>2049095.58390579</v>
      </c>
      <c r="E248" s="293">
        <f>D248*M$213/D$299</f>
        <v>2699570.859991428</v>
      </c>
      <c r="F248" s="255">
        <v>8511</v>
      </c>
      <c r="G248" s="255">
        <f>F248*M$251</f>
        <v>102132000</v>
      </c>
      <c r="H248" s="255">
        <f t="shared" ref="H248:H279" si="29">I248*(I$301*N$289+I$302*N$293)</f>
        <v>33765143.354581982</v>
      </c>
      <c r="I248" s="255">
        <v>2429</v>
      </c>
      <c r="J248" s="293">
        <f>E248+G248+H248</f>
        <v>138596714.21457341</v>
      </c>
      <c r="K248" s="255" t="s">
        <v>1070</v>
      </c>
      <c r="N248" s="255" t="s">
        <v>1071</v>
      </c>
    </row>
    <row r="249" spans="1:16" x14ac:dyDescent="0.2">
      <c r="B249" s="259" t="s">
        <v>816</v>
      </c>
      <c r="C249" s="255">
        <f t="shared" ref="C249:C298" si="30">K62</f>
        <v>4375926</v>
      </c>
      <c r="D249" s="293">
        <f t="shared" si="28"/>
        <v>1588903.4543670267</v>
      </c>
      <c r="E249" s="293">
        <f t="shared" ref="E249:E298" si="31">D249*M$213/D$299</f>
        <v>2093293.0110429409</v>
      </c>
      <c r="F249" s="255">
        <v>1060</v>
      </c>
      <c r="G249" s="255">
        <f t="shared" ref="G249:G298" si="32">F249*M$251</f>
        <v>12720000</v>
      </c>
      <c r="H249" s="255">
        <f t="shared" si="29"/>
        <v>21907725.782964677</v>
      </c>
      <c r="I249" s="255">
        <v>1576</v>
      </c>
      <c r="J249" s="293">
        <f t="shared" ref="J249:J298" si="33">E249+G249+H249</f>
        <v>36721018.794007614</v>
      </c>
      <c r="K249" s="288" t="s">
        <v>1072</v>
      </c>
    </row>
    <row r="250" spans="1:16" x14ac:dyDescent="0.2">
      <c r="B250" s="259" t="s">
        <v>818</v>
      </c>
      <c r="C250" s="255">
        <f t="shared" si="30"/>
        <v>75452526</v>
      </c>
      <c r="D250" s="293">
        <f t="shared" si="28"/>
        <v>27396893.640824337</v>
      </c>
      <c r="E250" s="293">
        <f t="shared" si="31"/>
        <v>36093902.260078385</v>
      </c>
      <c r="F250" s="255">
        <v>8096</v>
      </c>
      <c r="G250" s="255">
        <f t="shared" si="32"/>
        <v>97152000</v>
      </c>
      <c r="H250" s="255">
        <f t="shared" si="29"/>
        <v>16500298.543387735</v>
      </c>
      <c r="I250" s="255">
        <v>1187</v>
      </c>
      <c r="J250" s="293">
        <f t="shared" si="33"/>
        <v>149746200.80346611</v>
      </c>
      <c r="K250" s="255" t="s">
        <v>1073</v>
      </c>
      <c r="M250" s="255">
        <v>480000</v>
      </c>
      <c r="N250" s="255">
        <f>(M250-O250)*7/10+O250</f>
        <v>464700</v>
      </c>
      <c r="O250" s="255">
        <v>429000</v>
      </c>
      <c r="P250" s="255" t="s">
        <v>1074</v>
      </c>
    </row>
    <row r="251" spans="1:16" x14ac:dyDescent="0.2">
      <c r="B251" s="259" t="s">
        <v>820</v>
      </c>
      <c r="C251" s="255">
        <f t="shared" si="30"/>
        <v>3641616.0000000005</v>
      </c>
      <c r="D251" s="293">
        <f t="shared" si="28"/>
        <v>1322274.7006869484</v>
      </c>
      <c r="E251" s="293">
        <f t="shared" si="31"/>
        <v>1742024.2759366021</v>
      </c>
      <c r="F251" s="255">
        <v>6721</v>
      </c>
      <c r="G251" s="255">
        <f t="shared" si="32"/>
        <v>80652000</v>
      </c>
      <c r="H251" s="255">
        <f t="shared" si="29"/>
        <v>653339.53794374352</v>
      </c>
      <c r="I251" s="255">
        <v>47</v>
      </c>
      <c r="J251" s="293">
        <f t="shared" si="33"/>
        <v>83047363.813880354</v>
      </c>
      <c r="K251" s="255" t="s">
        <v>1075</v>
      </c>
      <c r="M251" s="255">
        <v>12000</v>
      </c>
    </row>
    <row r="252" spans="1:16" x14ac:dyDescent="0.2">
      <c r="B252" s="259" t="s">
        <v>822</v>
      </c>
      <c r="C252" s="255">
        <f t="shared" si="30"/>
        <v>968022988</v>
      </c>
      <c r="D252" s="293">
        <f t="shared" si="28"/>
        <v>351490191.91364086</v>
      </c>
      <c r="E252" s="293">
        <f t="shared" si="31"/>
        <v>463069017.91970539</v>
      </c>
      <c r="F252" s="255">
        <v>26165</v>
      </c>
      <c r="G252" s="255">
        <f t="shared" si="32"/>
        <v>313980000</v>
      </c>
      <c r="H252" s="255">
        <f t="shared" si="29"/>
        <v>378645014.34148151</v>
      </c>
      <c r="I252" s="255">
        <v>27239</v>
      </c>
      <c r="J252" s="293">
        <f t="shared" si="33"/>
        <v>1155694032.2611868</v>
      </c>
      <c r="K252" s="255" t="s">
        <v>1076</v>
      </c>
      <c r="M252" s="255">
        <v>7</v>
      </c>
      <c r="N252" s="349">
        <f>M252*M255/M256</f>
        <v>6.4992310231876376</v>
      </c>
    </row>
    <row r="253" spans="1:16" x14ac:dyDescent="0.2">
      <c r="B253" s="259" t="s">
        <v>824</v>
      </c>
      <c r="C253" s="255">
        <f t="shared" si="30"/>
        <v>80553564</v>
      </c>
      <c r="D253" s="293">
        <f t="shared" si="28"/>
        <v>29249086.0451423</v>
      </c>
      <c r="E253" s="293">
        <f t="shared" si="31"/>
        <v>38534063.998294361</v>
      </c>
      <c r="F253" s="255">
        <v>6370</v>
      </c>
      <c r="G253" s="255">
        <f t="shared" si="32"/>
        <v>76440000</v>
      </c>
      <c r="H253" s="255">
        <f t="shared" si="29"/>
        <v>10606341.860661197</v>
      </c>
      <c r="I253" s="255">
        <v>763</v>
      </c>
      <c r="J253" s="293">
        <f t="shared" si="33"/>
        <v>125580405.85895555</v>
      </c>
      <c r="K253" s="255" t="s">
        <v>1077</v>
      </c>
      <c r="M253" s="255">
        <v>1714</v>
      </c>
      <c r="N253" s="255" t="s">
        <v>1078</v>
      </c>
    </row>
    <row r="254" spans="1:16" x14ac:dyDescent="0.2">
      <c r="B254" s="259" t="s">
        <v>825</v>
      </c>
      <c r="C254" s="255">
        <f t="shared" si="30"/>
        <v>33904706</v>
      </c>
      <c r="D254" s="293">
        <f t="shared" si="28"/>
        <v>12310835.348380767</v>
      </c>
      <c r="E254" s="293">
        <f t="shared" si="31"/>
        <v>16218849.247282898</v>
      </c>
      <c r="F254" s="255">
        <v>7030</v>
      </c>
      <c r="G254" s="255">
        <f t="shared" si="32"/>
        <v>84360000</v>
      </c>
      <c r="H254" s="255">
        <f t="shared" si="29"/>
        <v>43189913.710451297</v>
      </c>
      <c r="I254" s="255">
        <v>3107</v>
      </c>
      <c r="J254" s="293">
        <f t="shared" si="33"/>
        <v>143768762.9577342</v>
      </c>
      <c r="K254" s="255" t="s">
        <v>1079</v>
      </c>
      <c r="M254" s="255">
        <v>822857143</v>
      </c>
      <c r="N254" s="255" t="s">
        <v>1078</v>
      </c>
    </row>
    <row r="255" spans="1:16" x14ac:dyDescent="0.2">
      <c r="B255" s="259" t="s">
        <v>827</v>
      </c>
      <c r="C255" s="255">
        <f t="shared" si="30"/>
        <v>8054116.0000000009</v>
      </c>
      <c r="D255" s="293">
        <f t="shared" si="28"/>
        <v>2924458.2139352313</v>
      </c>
      <c r="E255" s="293">
        <f t="shared" si="31"/>
        <v>3852813.0349848531</v>
      </c>
      <c r="F255" s="255">
        <v>1755</v>
      </c>
      <c r="G255" s="255">
        <f t="shared" si="32"/>
        <v>21060000</v>
      </c>
      <c r="H255" s="255">
        <f t="shared" si="29"/>
        <v>6297081.07847906</v>
      </c>
      <c r="I255" s="255">
        <v>453</v>
      </c>
      <c r="J255" s="293">
        <f t="shared" si="33"/>
        <v>31209894.113463912</v>
      </c>
      <c r="M255" s="349">
        <f>M254*J19/10^12</f>
        <v>114.377142877</v>
      </c>
      <c r="N255" s="255" t="s">
        <v>1080</v>
      </c>
    </row>
    <row r="256" spans="1:16" x14ac:dyDescent="0.2">
      <c r="B256" s="259" t="s">
        <v>829</v>
      </c>
      <c r="C256" s="255">
        <f t="shared" si="30"/>
        <v>153208120</v>
      </c>
      <c r="D256" s="293">
        <f t="shared" si="28"/>
        <v>55630033.758586854</v>
      </c>
      <c r="E256" s="293">
        <f t="shared" si="31"/>
        <v>73289513.312388793</v>
      </c>
      <c r="G256" s="255">
        <f t="shared" si="32"/>
        <v>0</v>
      </c>
      <c r="H256" s="255">
        <f t="shared" si="29"/>
        <v>34390681.21006003</v>
      </c>
      <c r="I256" s="255">
        <v>2474</v>
      </c>
      <c r="J256" s="293">
        <f t="shared" si="33"/>
        <v>107680194.52244882</v>
      </c>
      <c r="M256" s="349">
        <f>'AEO Data'!B223</f>
        <v>123.18995851701776</v>
      </c>
      <c r="N256" s="255" t="s">
        <v>1081</v>
      </c>
    </row>
    <row r="257" spans="2:16" x14ac:dyDescent="0.2">
      <c r="B257" s="259" t="s">
        <v>831</v>
      </c>
      <c r="C257" s="255">
        <f t="shared" si="30"/>
        <v>211691630.99999997</v>
      </c>
      <c r="D257" s="293">
        <f t="shared" si="28"/>
        <v>76865459.735034347</v>
      </c>
      <c r="E257" s="293">
        <f t="shared" si="31"/>
        <v>101266020.41912527</v>
      </c>
      <c r="F257" s="255">
        <v>20199</v>
      </c>
      <c r="G257" s="255">
        <f t="shared" si="32"/>
        <v>242388000</v>
      </c>
      <c r="H257" s="255">
        <f t="shared" si="29"/>
        <v>53949164.824673802</v>
      </c>
      <c r="I257" s="255">
        <v>3881</v>
      </c>
      <c r="J257" s="293">
        <f t="shared" si="33"/>
        <v>397603185.24379909</v>
      </c>
    </row>
    <row r="258" spans="2:16" x14ac:dyDescent="0.2">
      <c r="B258" s="259" t="s">
        <v>833</v>
      </c>
      <c r="C258" s="255">
        <f t="shared" si="30"/>
        <v>88161700</v>
      </c>
      <c r="D258" s="293">
        <f t="shared" si="28"/>
        <v>32011608.439646713</v>
      </c>
      <c r="E258" s="293">
        <f t="shared" si="31"/>
        <v>42173535.487497829</v>
      </c>
      <c r="F258" s="255">
        <v>17645</v>
      </c>
      <c r="G258" s="255">
        <f t="shared" si="32"/>
        <v>211740000</v>
      </c>
      <c r="H258" s="255">
        <f t="shared" si="29"/>
        <v>21087576.150226787</v>
      </c>
      <c r="I258" s="255">
        <v>1517</v>
      </c>
      <c r="J258" s="293">
        <f t="shared" si="33"/>
        <v>275001111.63772464</v>
      </c>
    </row>
    <row r="259" spans="2:16" x14ac:dyDescent="0.2">
      <c r="B259" s="259" t="s">
        <v>835</v>
      </c>
      <c r="C259" s="255">
        <f t="shared" si="30"/>
        <v>67422156</v>
      </c>
      <c r="D259" s="293">
        <f t="shared" si="28"/>
        <v>24481057.625122674</v>
      </c>
      <c r="E259" s="293">
        <f t="shared" si="31"/>
        <v>32252448.497585859</v>
      </c>
      <c r="F259" s="255">
        <v>900</v>
      </c>
      <c r="G259" s="255">
        <f t="shared" si="32"/>
        <v>10800000</v>
      </c>
      <c r="H259" s="255">
        <f t="shared" si="29"/>
        <v>43384525.487711139</v>
      </c>
      <c r="I259" s="255">
        <v>3121</v>
      </c>
      <c r="J259" s="293">
        <f t="shared" si="33"/>
        <v>86436973.985296994</v>
      </c>
      <c r="K259" s="255" t="s">
        <v>1082</v>
      </c>
    </row>
    <row r="260" spans="2:16" x14ac:dyDescent="0.2">
      <c r="B260" s="259" t="s">
        <v>837</v>
      </c>
      <c r="C260" s="255">
        <f t="shared" si="30"/>
        <v>1502267</v>
      </c>
      <c r="D260" s="293">
        <f t="shared" si="28"/>
        <v>545474.76938174688</v>
      </c>
      <c r="E260" s="293">
        <f t="shared" si="31"/>
        <v>718633.04174258106</v>
      </c>
      <c r="F260" s="255">
        <v>2680</v>
      </c>
      <c r="G260" s="255">
        <f t="shared" si="32"/>
        <v>32160000</v>
      </c>
      <c r="H260" s="255">
        <f t="shared" si="29"/>
        <v>9619382.1331291609</v>
      </c>
      <c r="I260" s="255">
        <v>692</v>
      </c>
      <c r="J260" s="293">
        <f t="shared" si="33"/>
        <v>42498015.174871743</v>
      </c>
      <c r="K260" s="288" t="s">
        <v>1083</v>
      </c>
    </row>
    <row r="261" spans="2:16" x14ac:dyDescent="0.2">
      <c r="B261" s="259" t="s">
        <v>839</v>
      </c>
      <c r="C261" s="255">
        <f t="shared" si="30"/>
        <v>358638596</v>
      </c>
      <c r="D261" s="293">
        <f t="shared" si="28"/>
        <v>130222061.35426891</v>
      </c>
      <c r="E261" s="293">
        <f t="shared" si="31"/>
        <v>171560411.78416932</v>
      </c>
      <c r="F261" s="255">
        <v>1600</v>
      </c>
      <c r="G261" s="255">
        <f t="shared" si="32"/>
        <v>19200000</v>
      </c>
      <c r="H261" s="255">
        <f t="shared" si="29"/>
        <v>77497189.873114258</v>
      </c>
      <c r="I261" s="255">
        <v>5575</v>
      </c>
      <c r="J261" s="293">
        <f t="shared" si="33"/>
        <v>268257601.65728357</v>
      </c>
    </row>
    <row r="262" spans="2:16" x14ac:dyDescent="0.2">
      <c r="B262" s="259" t="s">
        <v>841</v>
      </c>
      <c r="C262" s="255">
        <f t="shared" si="30"/>
        <v>24088176</v>
      </c>
      <c r="D262" s="293">
        <f t="shared" si="28"/>
        <v>8746442.7085377835</v>
      </c>
      <c r="E262" s="293">
        <f t="shared" si="31"/>
        <v>11522957.762442123</v>
      </c>
      <c r="F262" s="255">
        <v>13122</v>
      </c>
      <c r="G262" s="255">
        <f t="shared" si="32"/>
        <v>157464000</v>
      </c>
      <c r="H262" s="255">
        <f t="shared" si="29"/>
        <v>57799697.846172035</v>
      </c>
      <c r="I262" s="255">
        <v>4158</v>
      </c>
      <c r="J262" s="293">
        <f t="shared" si="33"/>
        <v>226786655.60861415</v>
      </c>
      <c r="M262" s="255" t="s">
        <v>1084</v>
      </c>
    </row>
    <row r="263" spans="2:16" x14ac:dyDescent="0.2">
      <c r="B263" s="259" t="s">
        <v>843</v>
      </c>
      <c r="C263" s="255">
        <f t="shared" si="30"/>
        <v>16960134</v>
      </c>
      <c r="D263" s="293">
        <f t="shared" si="28"/>
        <v>6158242.9636898926</v>
      </c>
      <c r="E263" s="293">
        <f t="shared" si="31"/>
        <v>8113146.7873432403</v>
      </c>
      <c r="F263" s="255">
        <v>6013</v>
      </c>
      <c r="G263" s="255">
        <f t="shared" si="32"/>
        <v>72156000</v>
      </c>
      <c r="H263" s="255">
        <f t="shared" si="29"/>
        <v>16750513.685578957</v>
      </c>
      <c r="I263" s="255">
        <v>1205</v>
      </c>
      <c r="J263" s="293">
        <f t="shared" si="33"/>
        <v>97019660.472922191</v>
      </c>
      <c r="K263" s="350">
        <v>2005</v>
      </c>
      <c r="L263" s="283" t="s">
        <v>1085</v>
      </c>
      <c r="N263" s="351">
        <v>970.54235640507011</v>
      </c>
    </row>
    <row r="264" spans="2:16" x14ac:dyDescent="0.2">
      <c r="B264" s="259" t="s">
        <v>845</v>
      </c>
      <c r="C264" s="255">
        <f t="shared" si="30"/>
        <v>4142523.0000000005</v>
      </c>
      <c r="D264" s="293">
        <f t="shared" si="28"/>
        <v>1504154.5731108934</v>
      </c>
      <c r="E264" s="293">
        <f t="shared" si="31"/>
        <v>1981641.0158637597</v>
      </c>
      <c r="F264" s="255">
        <v>4064</v>
      </c>
      <c r="G264" s="255">
        <f t="shared" si="32"/>
        <v>48768000</v>
      </c>
      <c r="H264" s="255">
        <f t="shared" si="29"/>
        <v>4962600.3201258816</v>
      </c>
      <c r="I264" s="255">
        <v>357</v>
      </c>
      <c r="J264" s="293">
        <f t="shared" si="33"/>
        <v>55712241.335989639</v>
      </c>
      <c r="K264" s="350">
        <v>2005</v>
      </c>
      <c r="L264" s="283" t="s">
        <v>1086</v>
      </c>
      <c r="N264" s="351">
        <v>961.04524976122593</v>
      </c>
    </row>
    <row r="265" spans="2:16" x14ac:dyDescent="0.2">
      <c r="B265" s="259" t="s">
        <v>847</v>
      </c>
      <c r="C265" s="255">
        <f t="shared" si="30"/>
        <v>21560816</v>
      </c>
      <c r="D265" s="293">
        <f t="shared" si="28"/>
        <v>7828755.564278705</v>
      </c>
      <c r="E265" s="293">
        <f t="shared" si="31"/>
        <v>10313955.365146214</v>
      </c>
      <c r="F265" s="255">
        <v>9749</v>
      </c>
      <c r="G265" s="255">
        <f t="shared" si="32"/>
        <v>116988000</v>
      </c>
      <c r="H265" s="255">
        <f t="shared" si="29"/>
        <v>9758390.5454576164</v>
      </c>
      <c r="I265" s="255">
        <v>702</v>
      </c>
      <c r="J265" s="293">
        <f t="shared" si="33"/>
        <v>137060345.91060382</v>
      </c>
      <c r="K265" s="350">
        <v>2005</v>
      </c>
      <c r="L265" s="283" t="s">
        <v>1087</v>
      </c>
      <c r="N265" s="351">
        <v>1657.8213595784716</v>
      </c>
    </row>
    <row r="266" spans="2:16" x14ac:dyDescent="0.2">
      <c r="B266" s="259" t="s">
        <v>1088</v>
      </c>
      <c r="C266" s="255">
        <f t="shared" si="30"/>
        <v>13540905</v>
      </c>
      <c r="D266" s="293">
        <f t="shared" si="28"/>
        <v>4916717.2227674192</v>
      </c>
      <c r="E266" s="293">
        <f t="shared" si="31"/>
        <v>6477504.8297654968</v>
      </c>
      <c r="F266" s="255">
        <v>8152</v>
      </c>
      <c r="G266" s="255">
        <f t="shared" si="32"/>
        <v>97824000</v>
      </c>
      <c r="H266" s="255">
        <f t="shared" si="29"/>
        <v>16041570.78270383</v>
      </c>
      <c r="I266" s="255">
        <v>1154</v>
      </c>
      <c r="J266" s="293">
        <f t="shared" si="33"/>
        <v>120343075.61246933</v>
      </c>
      <c r="K266" s="350">
        <v>2005</v>
      </c>
      <c r="L266" s="283" t="s">
        <v>1089</v>
      </c>
      <c r="N266" s="352">
        <v>3589.4089657447676</v>
      </c>
    </row>
    <row r="267" spans="2:16" x14ac:dyDescent="0.2">
      <c r="B267" s="259" t="s">
        <v>851</v>
      </c>
      <c r="C267" s="255">
        <f t="shared" si="30"/>
        <v>2239258</v>
      </c>
      <c r="D267" s="293">
        <f t="shared" si="28"/>
        <v>813076.9970559373</v>
      </c>
      <c r="E267" s="293">
        <f t="shared" si="31"/>
        <v>1071184.2753561174</v>
      </c>
      <c r="F267" s="255">
        <v>2742</v>
      </c>
      <c r="G267" s="255">
        <f t="shared" si="32"/>
        <v>32904000</v>
      </c>
      <c r="H267" s="255">
        <f t="shared" si="29"/>
        <v>2710664.0404048935</v>
      </c>
      <c r="I267" s="255">
        <v>195</v>
      </c>
      <c r="J267" s="293">
        <f t="shared" si="33"/>
        <v>36685848.315761007</v>
      </c>
      <c r="K267" s="350">
        <v>2005</v>
      </c>
      <c r="L267" s="283" t="s">
        <v>1090</v>
      </c>
      <c r="N267" s="351">
        <v>963.84764740956302</v>
      </c>
    </row>
    <row r="268" spans="2:16" x14ac:dyDescent="0.2">
      <c r="B268" s="259" t="s">
        <v>853</v>
      </c>
      <c r="C268" s="255">
        <f t="shared" si="30"/>
        <v>108588060</v>
      </c>
      <c r="D268" s="293">
        <f t="shared" si="28"/>
        <v>39428441.805691853</v>
      </c>
      <c r="E268" s="293">
        <f t="shared" si="31"/>
        <v>51944805.986369856</v>
      </c>
      <c r="F268" s="255">
        <v>6926</v>
      </c>
      <c r="G268" s="255">
        <f t="shared" si="32"/>
        <v>83112000</v>
      </c>
      <c r="H268" s="255">
        <f t="shared" si="29"/>
        <v>42091747.253056496</v>
      </c>
      <c r="I268" s="255">
        <v>3028</v>
      </c>
      <c r="J268" s="293">
        <f t="shared" si="33"/>
        <v>177148553.23942634</v>
      </c>
      <c r="K268" s="350">
        <v>2005</v>
      </c>
      <c r="L268" s="283" t="s">
        <v>1091</v>
      </c>
      <c r="N268" s="351">
        <v>2093.0148828717624</v>
      </c>
    </row>
    <row r="269" spans="2:16" x14ac:dyDescent="0.2">
      <c r="B269" s="259" t="s">
        <v>855</v>
      </c>
      <c r="C269" s="255">
        <f t="shared" si="30"/>
        <v>156828298</v>
      </c>
      <c r="D269" s="293">
        <f t="shared" si="28"/>
        <v>56944524.2983317</v>
      </c>
      <c r="E269" s="293">
        <f t="shared" si="31"/>
        <v>75021282.38392505</v>
      </c>
      <c r="F269" s="255">
        <v>8923</v>
      </c>
      <c r="G269" s="255">
        <f t="shared" si="32"/>
        <v>107076000</v>
      </c>
      <c r="H269" s="255">
        <f t="shared" si="29"/>
        <v>51586021.815090045</v>
      </c>
      <c r="I269" s="255">
        <v>3711</v>
      </c>
      <c r="J269" s="293">
        <f t="shared" si="33"/>
        <v>233683304.19901508</v>
      </c>
      <c r="K269" s="350">
        <v>2005</v>
      </c>
      <c r="L269" s="283" t="s">
        <v>1092</v>
      </c>
      <c r="N269" s="351">
        <v>3056.8625302813252</v>
      </c>
    </row>
    <row r="270" spans="2:16" x14ac:dyDescent="0.2">
      <c r="B270" s="259" t="s">
        <v>856</v>
      </c>
      <c r="C270" s="255">
        <f t="shared" si="30"/>
        <v>80258208</v>
      </c>
      <c r="D270" s="293">
        <f t="shared" si="28"/>
        <v>29141841.96270854</v>
      </c>
      <c r="E270" s="293">
        <f t="shared" si="31"/>
        <v>38392775.811389551</v>
      </c>
      <c r="F270" s="255">
        <v>15501</v>
      </c>
      <c r="G270" s="255">
        <f t="shared" si="32"/>
        <v>186012000</v>
      </c>
      <c r="H270" s="255">
        <f t="shared" si="29"/>
        <v>37448866.281286068</v>
      </c>
      <c r="I270" s="255">
        <v>2694</v>
      </c>
      <c r="J270" s="293">
        <f t="shared" si="33"/>
        <v>261853642.09267563</v>
      </c>
      <c r="K270" s="350">
        <v>2005</v>
      </c>
      <c r="L270" s="283" t="s">
        <v>1093</v>
      </c>
      <c r="N270" s="352">
        <v>6646.2714960260928</v>
      </c>
      <c r="O270" s="348">
        <f>N270*O278/O277</f>
        <v>8878.268693154032</v>
      </c>
      <c r="P270" s="255" t="s">
        <v>1094</v>
      </c>
    </row>
    <row r="271" spans="2:16" x14ac:dyDescent="0.2">
      <c r="B271" s="259" t="s">
        <v>858</v>
      </c>
      <c r="C271" s="255">
        <f t="shared" si="30"/>
        <v>77150216</v>
      </c>
      <c r="D271" s="293">
        <f t="shared" si="28"/>
        <v>28013326.7124632</v>
      </c>
      <c r="E271" s="293">
        <f t="shared" si="31"/>
        <v>36906018.966786295</v>
      </c>
      <c r="F271" s="255">
        <v>10640</v>
      </c>
      <c r="G271" s="255">
        <f t="shared" si="32"/>
        <v>127680000</v>
      </c>
      <c r="H271" s="255">
        <f t="shared" si="29"/>
        <v>31888529.788147822</v>
      </c>
      <c r="I271" s="255">
        <v>2294</v>
      </c>
      <c r="J271" s="293">
        <f t="shared" si="33"/>
        <v>196474548.75493413</v>
      </c>
      <c r="K271" s="350">
        <v>2005</v>
      </c>
      <c r="L271" s="283" t="s">
        <v>1095</v>
      </c>
      <c r="M271" s="351"/>
      <c r="N271" s="351">
        <v>807053</v>
      </c>
      <c r="O271" s="348"/>
    </row>
    <row r="272" spans="2:16" x14ac:dyDescent="0.2">
      <c r="B272" s="259" t="s">
        <v>859</v>
      </c>
      <c r="C272" s="255">
        <f t="shared" si="30"/>
        <v>1252998</v>
      </c>
      <c r="D272" s="293">
        <f t="shared" si="28"/>
        <v>454964.9263984299</v>
      </c>
      <c r="E272" s="293">
        <f t="shared" si="31"/>
        <v>599391.29597958992</v>
      </c>
      <c r="F272" s="255">
        <v>7097</v>
      </c>
      <c r="G272" s="255">
        <f t="shared" si="32"/>
        <v>85164000</v>
      </c>
      <c r="H272" s="255">
        <f t="shared" si="29"/>
        <v>13636725.249421541</v>
      </c>
      <c r="I272" s="255">
        <v>981</v>
      </c>
      <c r="J272" s="293">
        <f t="shared" si="33"/>
        <v>99400116.545401126</v>
      </c>
      <c r="K272" s="353"/>
      <c r="L272" s="354" t="s">
        <v>1096</v>
      </c>
      <c r="M272" s="355"/>
      <c r="N272" s="355"/>
      <c r="O272" s="348"/>
    </row>
    <row r="273" spans="2:16" x14ac:dyDescent="0.2">
      <c r="B273" s="259" t="s">
        <v>861</v>
      </c>
      <c r="C273" s="255">
        <f t="shared" si="30"/>
        <v>47187168</v>
      </c>
      <c r="D273" s="293">
        <f t="shared" si="28"/>
        <v>17133711.63886163</v>
      </c>
      <c r="E273" s="293">
        <f t="shared" si="31"/>
        <v>22572723.804129481</v>
      </c>
      <c r="F273" s="255">
        <v>11939</v>
      </c>
      <c r="G273" s="255">
        <f t="shared" si="32"/>
        <v>143268000</v>
      </c>
      <c r="H273" s="255">
        <f t="shared" si="29"/>
        <v>11537698.223261854</v>
      </c>
      <c r="I273" s="255">
        <v>830</v>
      </c>
      <c r="J273" s="293">
        <f t="shared" si="33"/>
        <v>177378422.02739134</v>
      </c>
      <c r="K273" s="350">
        <v>2005</v>
      </c>
      <c r="L273" s="283" t="s">
        <v>1097</v>
      </c>
      <c r="M273" s="351"/>
      <c r="N273" s="351">
        <v>8235.2354752737338</v>
      </c>
      <c r="O273" s="348">
        <f>O270/N271*10^6</f>
        <v>11000.849625927953</v>
      </c>
      <c r="P273" s="255" t="s">
        <v>1098</v>
      </c>
    </row>
    <row r="274" spans="2:16" x14ac:dyDescent="0.2">
      <c r="B274" s="259" t="s">
        <v>863</v>
      </c>
      <c r="C274" s="255">
        <f t="shared" si="30"/>
        <v>1729671.9999999998</v>
      </c>
      <c r="D274" s="293">
        <f t="shared" si="28"/>
        <v>628045.77036310104</v>
      </c>
      <c r="E274" s="293">
        <f t="shared" si="31"/>
        <v>827415.79930663027</v>
      </c>
      <c r="F274" s="255">
        <v>2606</v>
      </c>
      <c r="G274" s="255">
        <f t="shared" si="32"/>
        <v>31272000</v>
      </c>
      <c r="H274" s="255">
        <f t="shared" si="29"/>
        <v>5629840.6993024712</v>
      </c>
      <c r="I274" s="255">
        <v>405</v>
      </c>
      <c r="J274" s="293">
        <f t="shared" si="33"/>
        <v>37729256.498609103</v>
      </c>
      <c r="K274" s="353"/>
      <c r="L274" s="354" t="s">
        <v>1099</v>
      </c>
      <c r="M274" s="355"/>
      <c r="N274" s="355"/>
      <c r="O274" s="297"/>
    </row>
    <row r="275" spans="2:16" x14ac:dyDescent="0.2">
      <c r="B275" s="259" t="s">
        <v>865</v>
      </c>
      <c r="C275" s="255">
        <f t="shared" si="30"/>
        <v>6225200</v>
      </c>
      <c r="D275" s="293">
        <f t="shared" si="28"/>
        <v>2260376.8400392542</v>
      </c>
      <c r="E275" s="293">
        <f t="shared" si="31"/>
        <v>2977922.3077228717</v>
      </c>
      <c r="F275" s="255">
        <v>2638</v>
      </c>
      <c r="G275" s="255">
        <f t="shared" si="32"/>
        <v>31656000</v>
      </c>
      <c r="H275" s="255">
        <f t="shared" si="29"/>
        <v>7714966.8842293117</v>
      </c>
      <c r="I275" s="255">
        <v>555</v>
      </c>
      <c r="J275" s="293">
        <f t="shared" si="33"/>
        <v>42348889.191952184</v>
      </c>
      <c r="K275" s="350">
        <v>2005</v>
      </c>
      <c r="L275" s="283" t="s">
        <v>1100</v>
      </c>
      <c r="M275" s="351"/>
      <c r="N275" s="351">
        <v>140910.28108938097</v>
      </c>
      <c r="O275" s="297"/>
    </row>
    <row r="276" spans="2:16" x14ac:dyDescent="0.2">
      <c r="B276" s="259" t="s">
        <v>866</v>
      </c>
      <c r="C276" s="255">
        <f t="shared" si="30"/>
        <v>60818088.000000007</v>
      </c>
      <c r="D276" s="293">
        <f t="shared" si="28"/>
        <v>22083113.405299317</v>
      </c>
      <c r="E276" s="293">
        <f t="shared" si="31"/>
        <v>29093288.724579565</v>
      </c>
      <c r="F276" s="255">
        <v>2151</v>
      </c>
      <c r="G276" s="255">
        <f t="shared" si="32"/>
        <v>25812000</v>
      </c>
      <c r="H276" s="255">
        <f t="shared" si="29"/>
        <v>19224863.425025474</v>
      </c>
      <c r="I276" s="255">
        <v>1383</v>
      </c>
      <c r="J276" s="293">
        <f t="shared" si="33"/>
        <v>74130152.149605036</v>
      </c>
      <c r="K276" s="353"/>
      <c r="L276" s="354" t="s">
        <v>1101</v>
      </c>
      <c r="M276" s="356"/>
      <c r="N276" s="356"/>
      <c r="O276" s="297"/>
    </row>
    <row r="277" spans="2:16" x14ac:dyDescent="0.2">
      <c r="B277" s="259" t="s">
        <v>868</v>
      </c>
      <c r="C277" s="255">
        <f t="shared" si="30"/>
        <v>1041629</v>
      </c>
      <c r="D277" s="293">
        <f t="shared" si="28"/>
        <v>378216.61432777235</v>
      </c>
      <c r="E277" s="293">
        <f t="shared" si="31"/>
        <v>498279.61117250321</v>
      </c>
      <c r="F277" s="255">
        <v>2725</v>
      </c>
      <c r="G277" s="255">
        <f t="shared" si="32"/>
        <v>32700000</v>
      </c>
      <c r="H277" s="255">
        <f t="shared" si="29"/>
        <v>5157212.0973857203</v>
      </c>
      <c r="I277" s="255">
        <v>371</v>
      </c>
      <c r="J277" s="293">
        <f t="shared" si="33"/>
        <v>38355491.708558224</v>
      </c>
      <c r="K277" s="350">
        <v>2005</v>
      </c>
      <c r="L277" s="283" t="s">
        <v>1102</v>
      </c>
      <c r="M277" s="351"/>
      <c r="N277" s="351">
        <v>1329254.2992052187</v>
      </c>
      <c r="O277" s="299">
        <f>N277*J19/10^9</f>
        <v>184.7663475895254</v>
      </c>
      <c r="P277" s="255" t="s">
        <v>1103</v>
      </c>
    </row>
    <row r="278" spans="2:16" x14ac:dyDescent="0.2">
      <c r="B278" s="259" t="s">
        <v>870</v>
      </c>
      <c r="C278" s="255">
        <f t="shared" si="30"/>
        <v>200343108</v>
      </c>
      <c r="D278" s="293">
        <f t="shared" si="28"/>
        <v>72744798.783120707</v>
      </c>
      <c r="E278" s="293">
        <f t="shared" si="31"/>
        <v>95837275.993017495</v>
      </c>
      <c r="F278" s="255">
        <v>21780</v>
      </c>
      <c r="G278" s="255">
        <f t="shared" si="32"/>
        <v>261360000</v>
      </c>
      <c r="H278" s="255">
        <f t="shared" si="29"/>
        <v>64722316.78012915</v>
      </c>
      <c r="I278" s="255">
        <v>4656</v>
      </c>
      <c r="J278" s="293">
        <f t="shared" si="33"/>
        <v>421919592.77314663</v>
      </c>
      <c r="K278" s="353"/>
      <c r="L278" s="354" t="s">
        <v>1104</v>
      </c>
      <c r="M278" s="356"/>
      <c r="N278" s="356"/>
      <c r="O278" s="299">
        <f>'AEO Data'!B224</f>
        <v>246.81586966968212</v>
      </c>
      <c r="P278" s="255" t="s">
        <v>1105</v>
      </c>
    </row>
    <row r="279" spans="2:16" x14ac:dyDescent="0.2">
      <c r="B279" s="259" t="s">
        <v>872</v>
      </c>
      <c r="C279" s="255">
        <f t="shared" si="30"/>
        <v>8842764</v>
      </c>
      <c r="D279" s="293">
        <f t="shared" si="28"/>
        <v>3210817.1540726204</v>
      </c>
      <c r="E279" s="293">
        <f t="shared" si="31"/>
        <v>4230075.2068252796</v>
      </c>
      <c r="F279" s="255">
        <v>2369</v>
      </c>
      <c r="G279" s="255">
        <f t="shared" si="32"/>
        <v>28428000</v>
      </c>
      <c r="H279" s="255">
        <f t="shared" si="29"/>
        <v>6672403.791765891</v>
      </c>
      <c r="I279" s="255">
        <v>480</v>
      </c>
      <c r="J279" s="293">
        <f t="shared" si="33"/>
        <v>39330478.99859117</v>
      </c>
      <c r="K279" s="350">
        <v>2005</v>
      </c>
      <c r="L279" s="283" t="s">
        <v>1106</v>
      </c>
      <c r="M279" s="352"/>
      <c r="N279" s="352">
        <v>1647.0470950547472</v>
      </c>
    </row>
    <row r="280" spans="2:16" x14ac:dyDescent="0.2">
      <c r="B280" s="259" t="s">
        <v>874</v>
      </c>
      <c r="C280" s="255">
        <f t="shared" si="30"/>
        <v>1174893417</v>
      </c>
      <c r="D280" s="293">
        <f t="shared" ref="D280:D298" si="34">C280*E$240/F$240</f>
        <v>426605067.9980374</v>
      </c>
      <c r="E280" s="293">
        <f t="shared" si="31"/>
        <v>562028740.55147648</v>
      </c>
      <c r="F280" s="255">
        <v>50039</v>
      </c>
      <c r="G280" s="255">
        <f t="shared" si="32"/>
        <v>600468000</v>
      </c>
      <c r="H280" s="255">
        <f t="shared" ref="H280:H298" si="35">I280*(I$301*N$289+I$302*N$293)</f>
        <v>220203225.96950725</v>
      </c>
      <c r="I280" s="255">
        <v>15841</v>
      </c>
      <c r="J280" s="293">
        <f t="shared" si="33"/>
        <v>1382699966.5209837</v>
      </c>
      <c r="K280" s="353"/>
      <c r="L280" s="354" t="s">
        <v>1107</v>
      </c>
      <c r="M280" s="355"/>
      <c r="N280" s="355"/>
    </row>
    <row r="281" spans="2:16" x14ac:dyDescent="0.2">
      <c r="B281" s="259" t="s">
        <v>876</v>
      </c>
      <c r="C281" s="255">
        <f t="shared" si="30"/>
        <v>43005171</v>
      </c>
      <c r="D281" s="293">
        <f t="shared" si="34"/>
        <v>15615224.013738962</v>
      </c>
      <c r="E281" s="293">
        <f t="shared" si="31"/>
        <v>20572199.779659566</v>
      </c>
      <c r="F281" s="255">
        <v>13775</v>
      </c>
      <c r="G281" s="255">
        <f t="shared" si="32"/>
        <v>165300000</v>
      </c>
      <c r="H281" s="255">
        <f t="shared" si="35"/>
        <v>34446284.574991412</v>
      </c>
      <c r="I281" s="255">
        <v>2478</v>
      </c>
      <c r="J281" s="293">
        <f t="shared" si="33"/>
        <v>220318484.35465097</v>
      </c>
      <c r="K281" s="350">
        <v>2005</v>
      </c>
      <c r="L281" s="283" t="s">
        <v>1108</v>
      </c>
      <c r="M281" s="357"/>
      <c r="N281" s="357">
        <v>5</v>
      </c>
    </row>
    <row r="282" spans="2:16" x14ac:dyDescent="0.2">
      <c r="B282" s="259" t="s">
        <v>878</v>
      </c>
      <c r="C282" s="255">
        <f t="shared" si="30"/>
        <v>1185096</v>
      </c>
      <c r="D282" s="293">
        <f t="shared" si="34"/>
        <v>430309.63689892052</v>
      </c>
      <c r="E282" s="293">
        <f t="shared" si="31"/>
        <v>566909.30655933055</v>
      </c>
      <c r="F282" s="255">
        <v>2466</v>
      </c>
      <c r="G282" s="255">
        <f t="shared" si="32"/>
        <v>29592000</v>
      </c>
      <c r="H282" s="255">
        <f t="shared" si="35"/>
        <v>2112927.8673925321</v>
      </c>
      <c r="I282" s="255">
        <v>152</v>
      </c>
      <c r="J282" s="293">
        <f t="shared" si="33"/>
        <v>32271837.173951864</v>
      </c>
      <c r="K282" s="353"/>
      <c r="L282" s="358" t="s">
        <v>1109</v>
      </c>
      <c r="M282" s="359"/>
      <c r="N282" s="359"/>
    </row>
    <row r="283" spans="2:16" x14ac:dyDescent="0.2">
      <c r="B283" s="259" t="s">
        <v>880</v>
      </c>
      <c r="C283" s="255">
        <f t="shared" si="30"/>
        <v>119941987.00000001</v>
      </c>
      <c r="D283" s="293">
        <f t="shared" si="34"/>
        <v>43551064.955839068</v>
      </c>
      <c r="E283" s="293">
        <f t="shared" si="31"/>
        <v>57376135.500852458</v>
      </c>
      <c r="F283" s="255">
        <v>18923</v>
      </c>
      <c r="G283" s="255">
        <f t="shared" si="32"/>
        <v>227076000</v>
      </c>
      <c r="H283" s="255">
        <f t="shared" si="35"/>
        <v>227292654.99825853</v>
      </c>
      <c r="I283" s="255">
        <v>16351</v>
      </c>
      <c r="J283" s="293">
        <f t="shared" si="33"/>
        <v>511744790.499111</v>
      </c>
      <c r="N283" s="360"/>
    </row>
    <row r="284" spans="2:16" x14ac:dyDescent="0.2">
      <c r="B284" s="259" t="s">
        <v>882</v>
      </c>
      <c r="C284" s="255">
        <f t="shared" si="30"/>
        <v>6082046</v>
      </c>
      <c r="D284" s="293">
        <f t="shared" si="34"/>
        <v>2208397.4681059862</v>
      </c>
      <c r="E284" s="293">
        <f t="shared" si="31"/>
        <v>2909442.3408077909</v>
      </c>
      <c r="F284" s="255">
        <v>7500</v>
      </c>
      <c r="G284" s="255">
        <f t="shared" si="32"/>
        <v>90000000</v>
      </c>
      <c r="H284" s="255">
        <f t="shared" si="35"/>
        <v>6060766.7775206845</v>
      </c>
      <c r="I284" s="255">
        <v>436</v>
      </c>
      <c r="J284" s="293">
        <f t="shared" si="33"/>
        <v>98970209.118328482</v>
      </c>
      <c r="N284" s="360"/>
    </row>
    <row r="285" spans="2:16" x14ac:dyDescent="0.2">
      <c r="B285" s="259" t="s">
        <v>884</v>
      </c>
      <c r="C285" s="255">
        <f t="shared" si="30"/>
        <v>83940084</v>
      </c>
      <c r="D285" s="293">
        <f t="shared" si="34"/>
        <v>30478735.112855744</v>
      </c>
      <c r="E285" s="293">
        <f t="shared" si="31"/>
        <v>40154059.091391712</v>
      </c>
      <c r="F285" s="255">
        <v>6441</v>
      </c>
      <c r="G285" s="255">
        <f t="shared" si="32"/>
        <v>77292000</v>
      </c>
      <c r="H285" s="255">
        <f t="shared" si="35"/>
        <v>25674853.757065836</v>
      </c>
      <c r="I285" s="255">
        <v>1847</v>
      </c>
      <c r="J285" s="293">
        <f t="shared" si="33"/>
        <v>143120912.84845755</v>
      </c>
      <c r="M285" s="308"/>
      <c r="N285" s="360"/>
    </row>
    <row r="286" spans="2:16" x14ac:dyDescent="0.2">
      <c r="B286" s="259" t="s">
        <v>886</v>
      </c>
      <c r="C286" s="255">
        <f t="shared" si="30"/>
        <v>278169228</v>
      </c>
      <c r="D286" s="293">
        <f t="shared" si="34"/>
        <v>101003546.96761532</v>
      </c>
      <c r="E286" s="293">
        <f t="shared" si="31"/>
        <v>133066624.26640905</v>
      </c>
      <c r="F286" s="255">
        <v>17476</v>
      </c>
      <c r="G286" s="255">
        <f t="shared" si="32"/>
        <v>209712000</v>
      </c>
      <c r="H286" s="255">
        <f t="shared" si="35"/>
        <v>129277823.46546414</v>
      </c>
      <c r="I286" s="255">
        <v>9300</v>
      </c>
      <c r="J286" s="293">
        <f t="shared" si="33"/>
        <v>472056447.73187315</v>
      </c>
    </row>
    <row r="287" spans="2:16" x14ac:dyDescent="0.2">
      <c r="B287" s="259" t="s">
        <v>888</v>
      </c>
      <c r="C287" s="255">
        <f t="shared" si="30"/>
        <v>18875400</v>
      </c>
      <c r="D287" s="293">
        <f t="shared" si="34"/>
        <v>6853678.1157998042</v>
      </c>
      <c r="E287" s="293">
        <f t="shared" si="31"/>
        <v>9029344.3949097693</v>
      </c>
      <c r="F287" s="255">
        <v>1500</v>
      </c>
      <c r="G287" s="255">
        <f t="shared" si="32"/>
        <v>18000000</v>
      </c>
      <c r="H287" s="255">
        <f t="shared" si="35"/>
        <v>4851393.5902631171</v>
      </c>
      <c r="I287" s="255">
        <v>349</v>
      </c>
      <c r="J287" s="293">
        <f t="shared" si="33"/>
        <v>31880737.985172886</v>
      </c>
      <c r="K287" s="255" t="s">
        <v>1110</v>
      </c>
    </row>
    <row r="288" spans="2:16" x14ac:dyDescent="0.2">
      <c r="B288" s="259" t="s">
        <v>890</v>
      </c>
      <c r="C288" s="255">
        <f t="shared" si="30"/>
        <v>5789577</v>
      </c>
      <c r="D288" s="293">
        <f t="shared" si="34"/>
        <v>2102201.6584887146</v>
      </c>
      <c r="E288" s="293">
        <f t="shared" si="31"/>
        <v>2769535.1957494156</v>
      </c>
      <c r="F288" s="255">
        <v>5888</v>
      </c>
      <c r="G288" s="255">
        <f t="shared" si="32"/>
        <v>70656000</v>
      </c>
      <c r="H288" s="255">
        <f t="shared" si="35"/>
        <v>13678427.773120077</v>
      </c>
      <c r="I288" s="255">
        <v>984</v>
      </c>
      <c r="J288" s="293">
        <f t="shared" si="33"/>
        <v>87103962.968869492</v>
      </c>
      <c r="K288" s="255" t="s">
        <v>1111</v>
      </c>
    </row>
    <row r="289" spans="2:16" x14ac:dyDescent="0.2">
      <c r="B289" s="259" t="s">
        <v>892</v>
      </c>
      <c r="C289" s="255">
        <f t="shared" si="30"/>
        <v>890226</v>
      </c>
      <c r="D289" s="293">
        <f t="shared" si="34"/>
        <v>323242.02158979396</v>
      </c>
      <c r="E289" s="293">
        <f t="shared" si="31"/>
        <v>425853.60539659794</v>
      </c>
      <c r="F289" s="255">
        <v>1650</v>
      </c>
      <c r="G289" s="255">
        <f t="shared" si="32"/>
        <v>19800000</v>
      </c>
      <c r="H289" s="255">
        <f t="shared" si="35"/>
        <v>4934798.6376601905</v>
      </c>
      <c r="I289" s="255">
        <v>355</v>
      </c>
      <c r="J289" s="293">
        <f t="shared" si="33"/>
        <v>25160652.243056789</v>
      </c>
      <c r="K289" s="255" t="s">
        <v>1112</v>
      </c>
      <c r="N289" s="255">
        <v>56000</v>
      </c>
    </row>
    <row r="290" spans="2:16" x14ac:dyDescent="0.2">
      <c r="B290" s="259" t="s">
        <v>894</v>
      </c>
      <c r="C290" s="255">
        <f t="shared" si="30"/>
        <v>24765936</v>
      </c>
      <c r="D290" s="293">
        <f t="shared" si="34"/>
        <v>8992538.0961727183</v>
      </c>
      <c r="E290" s="293">
        <f t="shared" si="31"/>
        <v>11847174.915831933</v>
      </c>
      <c r="F290" s="255">
        <v>8464</v>
      </c>
      <c r="G290" s="255">
        <f t="shared" si="32"/>
        <v>101568000</v>
      </c>
      <c r="H290" s="255">
        <f t="shared" si="35"/>
        <v>36003178.793070123</v>
      </c>
      <c r="I290" s="255">
        <v>2590</v>
      </c>
      <c r="J290" s="293">
        <f t="shared" si="33"/>
        <v>149418353.70890206</v>
      </c>
      <c r="K290" s="255" t="s">
        <v>1113</v>
      </c>
      <c r="N290" s="255">
        <v>29325</v>
      </c>
    </row>
    <row r="291" spans="2:16" x14ac:dyDescent="0.2">
      <c r="B291" s="259" t="s">
        <v>896</v>
      </c>
      <c r="C291" s="255">
        <f t="shared" si="30"/>
        <v>247324448</v>
      </c>
      <c r="D291" s="293">
        <f t="shared" si="34"/>
        <v>89803774.052993134</v>
      </c>
      <c r="E291" s="293">
        <f t="shared" si="31"/>
        <v>118311538.73681895</v>
      </c>
      <c r="F291" s="255">
        <v>35590</v>
      </c>
      <c r="G291" s="255">
        <f t="shared" si="32"/>
        <v>427080000</v>
      </c>
      <c r="H291" s="255">
        <f t="shared" si="35"/>
        <v>45844974.385924809</v>
      </c>
      <c r="I291" s="255">
        <v>3298</v>
      </c>
      <c r="J291" s="293">
        <f t="shared" si="33"/>
        <v>591236513.12274373</v>
      </c>
      <c r="K291" s="255" t="s">
        <v>1114</v>
      </c>
      <c r="N291" s="255">
        <v>331</v>
      </c>
      <c r="O291" s="349">
        <f>N289*N290/(1000000*N291)</f>
        <v>4.9613293051359513</v>
      </c>
      <c r="P291" s="255" t="s">
        <v>1022</v>
      </c>
    </row>
    <row r="292" spans="2:16" x14ac:dyDescent="0.2">
      <c r="B292" s="259" t="s">
        <v>898</v>
      </c>
      <c r="C292" s="255">
        <f t="shared" si="30"/>
        <v>23847600</v>
      </c>
      <c r="D292" s="293">
        <f t="shared" si="34"/>
        <v>8659089.3032384701</v>
      </c>
      <c r="E292" s="293">
        <f t="shared" si="31"/>
        <v>11407874.449921602</v>
      </c>
      <c r="F292" s="255">
        <v>2308</v>
      </c>
      <c r="G292" s="255">
        <f t="shared" si="32"/>
        <v>27696000</v>
      </c>
      <c r="H292" s="255">
        <f t="shared" si="35"/>
        <v>4962600.3201258816</v>
      </c>
      <c r="I292" s="255">
        <v>357</v>
      </c>
      <c r="J292" s="293">
        <f t="shared" si="33"/>
        <v>44066474.770047486</v>
      </c>
    </row>
    <row r="293" spans="2:16" x14ac:dyDescent="0.2">
      <c r="B293" s="259" t="s">
        <v>900</v>
      </c>
      <c r="C293" s="255">
        <f t="shared" si="30"/>
        <v>1887512</v>
      </c>
      <c r="D293" s="293">
        <f t="shared" si="34"/>
        <v>685357.64474975469</v>
      </c>
      <c r="E293" s="293">
        <f t="shared" si="31"/>
        <v>902921.04525069275</v>
      </c>
      <c r="F293" s="255">
        <v>1800</v>
      </c>
      <c r="G293" s="255">
        <f t="shared" si="32"/>
        <v>21600000</v>
      </c>
      <c r="H293" s="255">
        <f t="shared" si="35"/>
        <v>1278877.3934217959</v>
      </c>
      <c r="I293" s="255">
        <v>92</v>
      </c>
      <c r="J293" s="293">
        <f t="shared" si="33"/>
        <v>23781798.438672487</v>
      </c>
      <c r="K293" s="255" t="s">
        <v>1115</v>
      </c>
      <c r="N293" s="293">
        <f>O273</f>
        <v>11000.849625927953</v>
      </c>
    </row>
    <row r="294" spans="2:16" x14ac:dyDescent="0.2">
      <c r="B294" s="259" t="s">
        <v>902</v>
      </c>
      <c r="C294" s="255">
        <f t="shared" si="30"/>
        <v>60264204</v>
      </c>
      <c r="D294" s="293">
        <f t="shared" si="34"/>
        <v>21881997.526987243</v>
      </c>
      <c r="E294" s="293">
        <f t="shared" si="31"/>
        <v>28828329.603669267</v>
      </c>
      <c r="F294" s="255">
        <v>13413</v>
      </c>
      <c r="G294" s="255">
        <f t="shared" si="32"/>
        <v>160956000</v>
      </c>
      <c r="H294" s="255">
        <f t="shared" si="35"/>
        <v>32013637.359243434</v>
      </c>
      <c r="I294" s="255">
        <v>2303</v>
      </c>
      <c r="J294" s="293">
        <f t="shared" si="33"/>
        <v>221797966.96291268</v>
      </c>
      <c r="K294" s="255" t="s">
        <v>1116</v>
      </c>
      <c r="N294" s="293">
        <f>N293/N281</f>
        <v>2200.1699251855907</v>
      </c>
    </row>
    <row r="295" spans="2:16" x14ac:dyDescent="0.2">
      <c r="B295" s="259" t="s">
        <v>904</v>
      </c>
      <c r="C295" s="255">
        <f t="shared" si="30"/>
        <v>131912571</v>
      </c>
      <c r="D295" s="293">
        <f t="shared" si="34"/>
        <v>47897596.928361148</v>
      </c>
      <c r="E295" s="293">
        <f t="shared" si="31"/>
        <v>63102452.587865002</v>
      </c>
      <c r="F295" s="255">
        <v>9366</v>
      </c>
      <c r="G295" s="255">
        <f t="shared" si="32"/>
        <v>112392000</v>
      </c>
      <c r="H295" s="255">
        <f t="shared" si="35"/>
        <v>13344807.583531782</v>
      </c>
      <c r="I295" s="255">
        <v>960</v>
      </c>
      <c r="J295" s="293">
        <f t="shared" si="33"/>
        <v>188839260.17139679</v>
      </c>
    </row>
    <row r="296" spans="2:16" x14ac:dyDescent="0.2">
      <c r="B296" s="259" t="s">
        <v>906</v>
      </c>
      <c r="C296" s="255">
        <f t="shared" si="30"/>
        <v>3689280</v>
      </c>
      <c r="D296" s="293">
        <f t="shared" si="34"/>
        <v>1339581.550539745</v>
      </c>
      <c r="E296" s="293">
        <f t="shared" si="31"/>
        <v>1764825.0998258428</v>
      </c>
      <c r="F296" s="255">
        <v>3650</v>
      </c>
      <c r="G296" s="255">
        <f t="shared" si="32"/>
        <v>43800000</v>
      </c>
      <c r="H296" s="255">
        <f t="shared" si="35"/>
        <v>9035546.8013496455</v>
      </c>
      <c r="I296" s="255">
        <v>650</v>
      </c>
      <c r="J296" s="293">
        <f t="shared" si="33"/>
        <v>54600371.901175492</v>
      </c>
    </row>
    <row r="297" spans="2:16" x14ac:dyDescent="0.2">
      <c r="B297" s="259" t="s">
        <v>908</v>
      </c>
      <c r="C297" s="255">
        <f t="shared" si="30"/>
        <v>74636650</v>
      </c>
      <c r="D297" s="293">
        <f t="shared" si="34"/>
        <v>27100648.184494603</v>
      </c>
      <c r="E297" s="293">
        <f t="shared" si="31"/>
        <v>35703615.146293178</v>
      </c>
      <c r="F297" s="255">
        <v>10200</v>
      </c>
      <c r="G297" s="255">
        <f t="shared" si="32"/>
        <v>122400000</v>
      </c>
      <c r="H297" s="255">
        <f t="shared" si="35"/>
        <v>19989409.692831982</v>
      </c>
      <c r="I297" s="255">
        <v>1438</v>
      </c>
      <c r="J297" s="293">
        <f t="shared" si="33"/>
        <v>178093024.83912516</v>
      </c>
    </row>
    <row r="298" spans="2:16" x14ac:dyDescent="0.2">
      <c r="B298" s="259" t="s">
        <v>910</v>
      </c>
      <c r="C298" s="255">
        <f t="shared" si="30"/>
        <v>181203</v>
      </c>
      <c r="D298" s="293">
        <f t="shared" si="34"/>
        <v>65795.004906771341</v>
      </c>
      <c r="E298" s="293">
        <f t="shared" si="31"/>
        <v>86681.304363925243</v>
      </c>
      <c r="F298" s="255">
        <v>1412</v>
      </c>
      <c r="G298" s="255">
        <f t="shared" si="32"/>
        <v>16944000</v>
      </c>
      <c r="H298" s="255">
        <f t="shared" si="35"/>
        <v>12135434.396274215</v>
      </c>
      <c r="I298" s="255">
        <v>873</v>
      </c>
      <c r="J298" s="293">
        <f t="shared" si="33"/>
        <v>29166115.700638138</v>
      </c>
    </row>
    <row r="299" spans="2:16" x14ac:dyDescent="0.2">
      <c r="B299" s="297" t="s">
        <v>1117</v>
      </c>
      <c r="C299" s="348"/>
      <c r="D299" s="293">
        <f>SUM(D248:D298)/10^6</f>
        <v>1886.0748507654566</v>
      </c>
      <c r="E299" s="348">
        <f>SUM(E248:E298)/10^6</f>
        <v>2484.7999999999997</v>
      </c>
      <c r="F299" s="255">
        <v>474380</v>
      </c>
      <c r="G299" s="348">
        <f>SUM(G248:G298)/10^6</f>
        <v>5516.76</v>
      </c>
      <c r="H299" s="348">
        <f>SUM(H248:H298)/10^6</f>
        <v>1999.9696315344295</v>
      </c>
      <c r="I299" s="255">
        <v>143874</v>
      </c>
      <c r="J299" s="348">
        <f>SUM(J248:J298)</f>
        <v>10001529631.53443</v>
      </c>
      <c r="K299" s="297" t="s">
        <v>1118</v>
      </c>
    </row>
    <row r="300" spans="2:16" x14ac:dyDescent="0.2">
      <c r="C300" s="296"/>
      <c r="I300" s="360">
        <f>I299-L240</f>
        <v>61847</v>
      </c>
      <c r="J300" s="255" t="s">
        <v>1119</v>
      </c>
      <c r="O300" s="360"/>
    </row>
    <row r="301" spans="2:16" x14ac:dyDescent="0.2">
      <c r="B301" s="255" t="s">
        <v>1120</v>
      </c>
      <c r="I301" s="303">
        <f>N290/I299</f>
        <v>0.20382417949038742</v>
      </c>
      <c r="J301" s="255" t="s">
        <v>1121</v>
      </c>
    </row>
    <row r="302" spans="2:16" x14ac:dyDescent="0.2">
      <c r="I302" s="303">
        <f>(I300-N290)/I299</f>
        <v>0.22604501160737867</v>
      </c>
      <c r="J302" s="255" t="s">
        <v>1122</v>
      </c>
    </row>
    <row r="303" spans="2:16" x14ac:dyDescent="0.2">
      <c r="B303" s="255" t="s">
        <v>1123</v>
      </c>
    </row>
    <row r="304" spans="2:16" x14ac:dyDescent="0.2">
      <c r="B304" s="255" t="s">
        <v>1124</v>
      </c>
    </row>
    <row r="306" spans="2:28" x14ac:dyDescent="0.2">
      <c r="B306" s="255" t="s">
        <v>1125</v>
      </c>
      <c r="I306" s="360"/>
    </row>
    <row r="307" spans="2:28" ht="11.25" customHeight="1" x14ac:dyDescent="0.2"/>
    <row r="308" spans="2:28" x14ac:dyDescent="0.2">
      <c r="B308" s="284"/>
      <c r="C308" s="285"/>
      <c r="D308" s="285"/>
      <c r="E308" s="285"/>
      <c r="F308" s="285"/>
      <c r="G308" s="285"/>
      <c r="H308" s="285"/>
      <c r="I308" s="285"/>
      <c r="J308" s="285"/>
      <c r="K308" s="285"/>
      <c r="L308" s="285"/>
      <c r="M308" s="285"/>
      <c r="N308" s="285"/>
      <c r="O308" s="285"/>
      <c r="P308" s="285"/>
      <c r="Q308" s="285"/>
      <c r="R308" s="285"/>
      <c r="S308" s="285"/>
      <c r="T308" s="285"/>
      <c r="U308" s="285"/>
      <c r="V308" s="361"/>
      <c r="W308" s="361"/>
      <c r="X308" s="361"/>
      <c r="Y308" s="361"/>
      <c r="Z308" s="361"/>
      <c r="AA308" s="361"/>
      <c r="AB308" s="361"/>
    </row>
    <row r="309" spans="2:28" x14ac:dyDescent="0.2">
      <c r="B309" s="284"/>
      <c r="C309" s="285"/>
      <c r="D309" s="285"/>
      <c r="E309" s="285"/>
      <c r="F309" s="285"/>
      <c r="G309" s="285"/>
      <c r="H309" s="285"/>
      <c r="I309" s="285"/>
      <c r="J309" s="285"/>
      <c r="K309" s="285"/>
      <c r="L309" s="285"/>
      <c r="M309" s="285"/>
      <c r="N309" s="285"/>
      <c r="O309" s="285"/>
      <c r="P309" s="285"/>
      <c r="Q309" s="285"/>
      <c r="R309" s="285"/>
      <c r="S309" s="285"/>
      <c r="T309" s="285"/>
      <c r="U309" s="285"/>
      <c r="V309" s="285"/>
      <c r="W309" s="285"/>
      <c r="X309" s="285"/>
      <c r="Y309" s="285"/>
      <c r="Z309" s="285"/>
      <c r="AA309" s="285"/>
      <c r="AB309" s="257"/>
    </row>
    <row r="310" spans="2:28" x14ac:dyDescent="0.2">
      <c r="B310" s="286"/>
      <c r="C310" s="273"/>
      <c r="D310" s="273"/>
      <c r="E310" s="273"/>
      <c r="F310" s="273"/>
      <c r="G310" s="273"/>
      <c r="H310" s="273"/>
      <c r="I310" s="273"/>
      <c r="J310" s="273"/>
      <c r="K310" s="273"/>
      <c r="L310" s="273"/>
      <c r="M310" s="273"/>
      <c r="N310" s="273"/>
      <c r="O310" s="273"/>
      <c r="P310" s="273"/>
      <c r="Q310" s="273"/>
      <c r="R310" s="273"/>
      <c r="S310" s="273"/>
      <c r="T310" s="273"/>
      <c r="U310" s="273"/>
      <c r="V310" s="273"/>
      <c r="W310" s="270"/>
      <c r="X310" s="270"/>
      <c r="Y310" s="270"/>
      <c r="Z310" s="273"/>
      <c r="AA310" s="273"/>
      <c r="AB310" s="273"/>
    </row>
    <row r="311" spans="2:28" x14ac:dyDescent="0.2">
      <c r="B311" s="286"/>
      <c r="C311" s="273"/>
      <c r="D311" s="273"/>
      <c r="E311" s="273"/>
      <c r="F311" s="273"/>
      <c r="G311" s="273"/>
      <c r="H311" s="273"/>
      <c r="I311" s="273"/>
      <c r="J311" s="273"/>
      <c r="K311" s="273"/>
      <c r="L311" s="273"/>
      <c r="M311" s="273"/>
      <c r="N311" s="273"/>
      <c r="O311" s="273"/>
      <c r="P311" s="273"/>
      <c r="Q311" s="273"/>
      <c r="R311" s="273"/>
      <c r="S311" s="273"/>
      <c r="T311" s="273"/>
      <c r="U311" s="273"/>
      <c r="V311" s="273"/>
      <c r="W311" s="270"/>
      <c r="X311" s="270"/>
      <c r="Y311" s="270"/>
      <c r="Z311" s="273"/>
      <c r="AA311" s="273"/>
      <c r="AB311" s="273"/>
    </row>
    <row r="312" spans="2:28" x14ac:dyDescent="0.2">
      <c r="B312" s="286"/>
      <c r="C312" s="273"/>
      <c r="D312" s="273"/>
      <c r="E312" s="273"/>
      <c r="F312" s="273"/>
      <c r="G312" s="273"/>
      <c r="H312" s="273"/>
      <c r="I312" s="273"/>
      <c r="J312" s="273"/>
      <c r="K312" s="273"/>
      <c r="L312" s="273"/>
      <c r="M312" s="273"/>
      <c r="N312" s="273"/>
      <c r="O312" s="273"/>
      <c r="P312" s="273"/>
      <c r="Q312" s="273"/>
      <c r="R312" s="273"/>
      <c r="S312" s="273"/>
      <c r="T312" s="273"/>
      <c r="U312" s="273"/>
      <c r="V312" s="273"/>
      <c r="W312" s="270"/>
      <c r="X312" s="270"/>
      <c r="Y312" s="270"/>
      <c r="Z312" s="273"/>
      <c r="AA312" s="273"/>
      <c r="AB312" s="273"/>
    </row>
    <row r="313" spans="2:28" x14ac:dyDescent="0.2">
      <c r="B313" s="286"/>
      <c r="C313" s="273"/>
      <c r="D313" s="273"/>
      <c r="E313" s="273"/>
      <c r="F313" s="273"/>
      <c r="G313" s="273"/>
      <c r="H313" s="273"/>
      <c r="I313" s="273"/>
      <c r="J313" s="273"/>
      <c r="K313" s="273"/>
      <c r="L313" s="273"/>
      <c r="M313" s="273"/>
      <c r="N313" s="273"/>
      <c r="O313" s="273"/>
      <c r="P313" s="273"/>
      <c r="Q313" s="273"/>
      <c r="R313" s="273"/>
      <c r="S313" s="273"/>
      <c r="T313" s="273"/>
      <c r="U313" s="273"/>
      <c r="V313" s="273"/>
      <c r="W313" s="270"/>
      <c r="X313" s="270"/>
      <c r="Y313" s="270"/>
      <c r="Z313" s="273"/>
      <c r="AA313" s="273"/>
      <c r="AB313" s="273"/>
    </row>
    <row r="314" spans="2:28" x14ac:dyDescent="0.2">
      <c r="B314" s="286"/>
      <c r="C314" s="273"/>
      <c r="D314" s="273"/>
      <c r="E314" s="273"/>
      <c r="F314" s="273"/>
      <c r="G314" s="273"/>
      <c r="H314" s="273"/>
      <c r="I314" s="273"/>
      <c r="J314" s="273"/>
      <c r="K314" s="273"/>
      <c r="L314" s="273"/>
      <c r="M314" s="273"/>
      <c r="N314" s="273"/>
      <c r="O314" s="273"/>
      <c r="P314" s="273"/>
      <c r="Q314" s="273"/>
      <c r="R314" s="273"/>
      <c r="S314" s="273"/>
      <c r="T314" s="273"/>
      <c r="U314" s="273"/>
      <c r="V314" s="273"/>
      <c r="W314" s="270"/>
      <c r="X314" s="270"/>
      <c r="Y314" s="270"/>
      <c r="Z314" s="273"/>
      <c r="AA314" s="273"/>
      <c r="AB314" s="273"/>
    </row>
    <row r="315" spans="2:28" x14ac:dyDescent="0.2">
      <c r="B315" s="286"/>
      <c r="C315" s="273"/>
      <c r="D315" s="273"/>
      <c r="E315" s="273"/>
      <c r="F315" s="273"/>
      <c r="G315" s="273"/>
      <c r="H315" s="273"/>
      <c r="I315" s="273"/>
      <c r="J315" s="273"/>
      <c r="K315" s="273"/>
      <c r="L315" s="273"/>
      <c r="M315" s="273"/>
      <c r="N315" s="273"/>
      <c r="O315" s="273"/>
      <c r="P315" s="273"/>
      <c r="Q315" s="273"/>
      <c r="R315" s="273"/>
      <c r="S315" s="273"/>
      <c r="T315" s="273"/>
      <c r="U315" s="273"/>
      <c r="V315" s="273"/>
      <c r="W315" s="273"/>
      <c r="X315" s="273"/>
      <c r="Y315" s="273"/>
      <c r="Z315" s="273"/>
      <c r="AA315" s="273"/>
      <c r="AB315" s="273"/>
    </row>
    <row r="316" spans="2:28" x14ac:dyDescent="0.2">
      <c r="B316" s="286"/>
      <c r="C316" s="273"/>
      <c r="D316" s="273"/>
      <c r="E316" s="273"/>
      <c r="F316" s="273"/>
      <c r="G316" s="273"/>
      <c r="H316" s="273"/>
      <c r="I316" s="273"/>
      <c r="J316" s="273"/>
      <c r="K316" s="273"/>
      <c r="L316" s="273"/>
      <c r="M316" s="273"/>
      <c r="N316" s="273"/>
      <c r="O316" s="273"/>
      <c r="P316" s="273"/>
      <c r="Q316" s="273"/>
      <c r="R316" s="273"/>
      <c r="S316" s="273"/>
      <c r="T316" s="273"/>
      <c r="U316" s="273"/>
      <c r="V316" s="273"/>
      <c r="W316" s="273"/>
      <c r="X316" s="273"/>
      <c r="Y316" s="273"/>
      <c r="Z316" s="273"/>
      <c r="AA316" s="273"/>
      <c r="AB316" s="273"/>
    </row>
    <row r="317" spans="2:28" x14ac:dyDescent="0.2">
      <c r="B317" s="284"/>
      <c r="C317" s="285"/>
      <c r="D317" s="285"/>
      <c r="E317" s="285"/>
      <c r="F317" s="285"/>
      <c r="G317" s="285"/>
      <c r="H317" s="285"/>
      <c r="I317" s="285"/>
      <c r="J317" s="285"/>
      <c r="K317" s="285"/>
      <c r="L317" s="285"/>
      <c r="M317" s="285"/>
      <c r="N317" s="285"/>
      <c r="O317" s="285"/>
      <c r="P317" s="285"/>
      <c r="Q317" s="285"/>
      <c r="R317" s="285"/>
      <c r="S317" s="285"/>
      <c r="T317" s="285"/>
      <c r="U317" s="285"/>
      <c r="V317" s="285"/>
      <c r="W317" s="285"/>
      <c r="X317" s="285"/>
      <c r="Y317" s="285"/>
      <c r="Z317" s="285"/>
      <c r="AA317" s="285"/>
      <c r="AB317" s="285"/>
    </row>
    <row r="318" spans="2:28" x14ac:dyDescent="0.2">
      <c r="B318" s="286"/>
      <c r="C318" s="273"/>
      <c r="D318" s="273"/>
      <c r="E318" s="273"/>
      <c r="F318" s="273"/>
      <c r="G318" s="273"/>
      <c r="H318" s="273"/>
      <c r="I318" s="273"/>
      <c r="J318" s="273"/>
      <c r="K318" s="273"/>
      <c r="L318" s="273"/>
      <c r="M318" s="273"/>
      <c r="N318" s="273"/>
      <c r="O318" s="273"/>
      <c r="P318" s="273"/>
      <c r="Q318" s="273"/>
      <c r="R318" s="273"/>
      <c r="S318" s="273"/>
      <c r="T318" s="273"/>
      <c r="U318" s="273"/>
      <c r="V318" s="273"/>
      <c r="W318" s="273"/>
      <c r="X318" s="273"/>
      <c r="Y318" s="273"/>
      <c r="Z318" s="273"/>
      <c r="AA318" s="273"/>
      <c r="AB318" s="273"/>
    </row>
    <row r="319" spans="2:28" x14ac:dyDescent="0.2">
      <c r="B319" s="286"/>
      <c r="C319" s="273"/>
      <c r="D319" s="273"/>
      <c r="E319" s="273"/>
      <c r="F319" s="273"/>
      <c r="G319" s="273"/>
      <c r="H319" s="273"/>
      <c r="I319" s="273"/>
      <c r="J319" s="273"/>
      <c r="K319" s="273"/>
      <c r="L319" s="273"/>
      <c r="M319" s="273"/>
      <c r="N319" s="273"/>
      <c r="O319" s="273"/>
      <c r="P319" s="273"/>
      <c r="Q319" s="273"/>
      <c r="R319" s="273"/>
      <c r="S319" s="273"/>
      <c r="T319" s="273"/>
      <c r="U319" s="273"/>
      <c r="V319" s="273"/>
      <c r="W319" s="273"/>
      <c r="X319" s="273"/>
      <c r="Y319" s="273"/>
      <c r="Z319" s="273"/>
      <c r="AA319" s="273"/>
      <c r="AB319" s="273"/>
    </row>
    <row r="320" spans="2:28" x14ac:dyDescent="0.2">
      <c r="B320" s="286"/>
      <c r="C320" s="273"/>
      <c r="D320" s="273"/>
      <c r="E320" s="273"/>
      <c r="F320" s="273"/>
      <c r="G320" s="273"/>
      <c r="H320" s="273"/>
      <c r="I320" s="273"/>
      <c r="J320" s="273"/>
      <c r="K320" s="273"/>
      <c r="L320" s="273"/>
      <c r="M320" s="273"/>
      <c r="N320" s="273"/>
      <c r="O320" s="273"/>
      <c r="P320" s="273"/>
      <c r="Q320" s="273"/>
      <c r="R320" s="273"/>
      <c r="S320" s="273"/>
      <c r="T320" s="273"/>
      <c r="U320" s="273"/>
      <c r="V320" s="273"/>
      <c r="W320" s="273"/>
      <c r="X320" s="273"/>
      <c r="Y320" s="273"/>
      <c r="Z320" s="273"/>
      <c r="AA320" s="273"/>
      <c r="AB320" s="273"/>
    </row>
    <row r="321" spans="2:28" x14ac:dyDescent="0.2">
      <c r="B321" s="286"/>
      <c r="C321" s="273"/>
      <c r="D321" s="273"/>
      <c r="E321" s="273"/>
      <c r="F321" s="273"/>
      <c r="G321" s="273"/>
      <c r="H321" s="273"/>
      <c r="I321" s="273"/>
      <c r="J321" s="273"/>
      <c r="K321" s="273"/>
      <c r="L321" s="273"/>
      <c r="M321" s="273"/>
      <c r="N321" s="273"/>
      <c r="O321" s="273"/>
      <c r="P321" s="273"/>
      <c r="Q321" s="273"/>
      <c r="R321" s="273"/>
      <c r="S321" s="273"/>
      <c r="T321" s="273"/>
      <c r="U321" s="273"/>
      <c r="V321" s="273"/>
      <c r="W321" s="273"/>
      <c r="X321" s="273"/>
      <c r="Y321" s="273"/>
      <c r="Z321" s="273"/>
      <c r="AA321" s="273"/>
      <c r="AB321" s="273"/>
    </row>
    <row r="322" spans="2:28" x14ac:dyDescent="0.2">
      <c r="B322" s="286"/>
      <c r="C322" s="273"/>
      <c r="D322" s="273"/>
      <c r="E322" s="273"/>
      <c r="F322" s="273"/>
      <c r="G322" s="273"/>
      <c r="H322" s="273"/>
      <c r="I322" s="273"/>
      <c r="J322" s="273"/>
      <c r="K322" s="273"/>
      <c r="L322" s="273"/>
      <c r="M322" s="273"/>
      <c r="N322" s="273"/>
      <c r="O322" s="273"/>
      <c r="P322" s="273"/>
      <c r="Q322" s="273"/>
      <c r="R322" s="273"/>
      <c r="S322" s="273"/>
      <c r="T322" s="273"/>
      <c r="U322" s="273"/>
      <c r="V322" s="273"/>
      <c r="W322" s="273"/>
      <c r="X322" s="273"/>
      <c r="Y322" s="273"/>
      <c r="Z322" s="273"/>
      <c r="AA322" s="273"/>
      <c r="AB322" s="273"/>
    </row>
    <row r="323" spans="2:28" x14ac:dyDescent="0.2">
      <c r="B323" s="286"/>
      <c r="C323" s="273"/>
      <c r="D323" s="273"/>
      <c r="E323" s="273"/>
      <c r="F323" s="273"/>
      <c r="G323" s="273"/>
      <c r="H323" s="273"/>
      <c r="I323" s="273"/>
      <c r="J323" s="273"/>
      <c r="K323" s="273"/>
      <c r="L323" s="273"/>
      <c r="M323" s="273"/>
      <c r="N323" s="273"/>
      <c r="O323" s="273"/>
      <c r="P323" s="273"/>
      <c r="Q323" s="273"/>
      <c r="R323" s="273"/>
      <c r="S323" s="273"/>
      <c r="T323" s="273"/>
      <c r="U323" s="273"/>
      <c r="V323" s="273"/>
      <c r="W323" s="273"/>
      <c r="X323" s="273"/>
      <c r="Y323" s="273"/>
      <c r="Z323" s="273"/>
      <c r="AA323" s="273"/>
      <c r="AB323" s="273"/>
    </row>
    <row r="324" spans="2:28" x14ac:dyDescent="0.2">
      <c r="B324" s="286"/>
      <c r="C324" s="273"/>
      <c r="D324" s="273"/>
      <c r="E324" s="273"/>
      <c r="F324" s="273"/>
      <c r="G324" s="273"/>
      <c r="H324" s="273"/>
      <c r="I324" s="273"/>
      <c r="J324" s="273"/>
      <c r="K324" s="273"/>
      <c r="L324" s="273"/>
      <c r="M324" s="273"/>
      <c r="N324" s="273"/>
      <c r="O324" s="273"/>
      <c r="P324" s="273"/>
      <c r="Q324" s="273"/>
      <c r="R324" s="273"/>
      <c r="S324" s="273"/>
      <c r="T324" s="273"/>
      <c r="U324" s="273"/>
      <c r="V324" s="273"/>
      <c r="W324" s="273"/>
      <c r="X324" s="273"/>
      <c r="Y324" s="273"/>
      <c r="Z324" s="273"/>
      <c r="AA324" s="273"/>
      <c r="AB324" s="273"/>
    </row>
    <row r="325" spans="2:28" x14ac:dyDescent="0.2">
      <c r="B325" s="284"/>
      <c r="C325" s="285"/>
      <c r="D325" s="285"/>
      <c r="E325" s="285"/>
      <c r="F325" s="285"/>
      <c r="G325" s="285"/>
      <c r="H325" s="285"/>
      <c r="I325" s="285"/>
      <c r="J325" s="285"/>
      <c r="K325" s="285"/>
      <c r="L325" s="285"/>
      <c r="M325" s="285"/>
      <c r="N325" s="285"/>
      <c r="O325" s="285"/>
      <c r="P325" s="285"/>
      <c r="Q325" s="285"/>
      <c r="R325" s="285"/>
      <c r="S325" s="285"/>
      <c r="T325" s="285"/>
      <c r="U325" s="285"/>
      <c r="V325" s="285"/>
      <c r="W325" s="285"/>
      <c r="X325" s="285"/>
      <c r="Y325" s="285"/>
      <c r="Z325" s="285"/>
      <c r="AA325" s="285"/>
      <c r="AB325" s="285"/>
    </row>
    <row r="326" spans="2:28" x14ac:dyDescent="0.2">
      <c r="B326" s="836"/>
      <c r="C326" s="829"/>
      <c r="D326" s="829"/>
      <c r="E326" s="829"/>
      <c r="F326" s="829"/>
      <c r="G326" s="450"/>
      <c r="H326" s="450"/>
      <c r="I326" s="450"/>
      <c r="J326" s="450"/>
      <c r="K326" s="450"/>
      <c r="L326" s="450"/>
      <c r="M326" s="450"/>
      <c r="N326" s="450"/>
      <c r="O326" s="450"/>
      <c r="P326" s="287"/>
      <c r="Q326" s="287"/>
      <c r="R326" s="287"/>
      <c r="S326" s="287"/>
      <c r="T326" s="287"/>
      <c r="U326" s="287"/>
      <c r="V326" s="287"/>
      <c r="W326" s="287"/>
      <c r="X326" s="287"/>
      <c r="Y326" s="287"/>
      <c r="Z326" s="287"/>
      <c r="AA326" s="287"/>
    </row>
    <row r="327" spans="2:28" ht="12.75" customHeight="1" x14ac:dyDescent="0.2">
      <c r="B327" s="451"/>
      <c r="C327" s="450"/>
      <c r="D327" s="450"/>
      <c r="E327" s="450"/>
      <c r="F327" s="450"/>
      <c r="G327" s="450"/>
      <c r="H327" s="450"/>
      <c r="I327" s="450"/>
      <c r="J327" s="450"/>
      <c r="K327" s="450"/>
      <c r="L327" s="450"/>
      <c r="M327" s="450"/>
      <c r="N327" s="450"/>
      <c r="O327" s="450"/>
      <c r="P327" s="287"/>
      <c r="Q327" s="287"/>
      <c r="R327" s="287"/>
      <c r="S327" s="287"/>
      <c r="T327" s="287"/>
      <c r="U327" s="287"/>
      <c r="V327" s="287"/>
      <c r="W327" s="287"/>
      <c r="X327" s="287"/>
      <c r="Y327" s="287"/>
      <c r="Z327" s="287"/>
      <c r="AA327" s="287"/>
      <c r="AB327" s="282"/>
    </row>
    <row r="328" spans="2:28" ht="12.75" customHeight="1" x14ac:dyDescent="0.2">
      <c r="B328" s="833"/>
      <c r="C328" s="829"/>
      <c r="D328" s="829"/>
      <c r="E328" s="829"/>
      <c r="F328" s="829"/>
      <c r="G328" s="829"/>
      <c r="H328" s="829"/>
      <c r="I328" s="829"/>
      <c r="J328" s="829"/>
      <c r="K328" s="829"/>
      <c r="L328" s="829"/>
      <c r="M328" s="829"/>
      <c r="N328" s="829"/>
      <c r="O328" s="829"/>
      <c r="P328" s="829"/>
      <c r="Q328" s="829"/>
      <c r="R328" s="287"/>
      <c r="S328" s="287"/>
      <c r="T328" s="287"/>
      <c r="U328" s="287"/>
      <c r="V328" s="287"/>
      <c r="W328" s="287"/>
      <c r="X328" s="287"/>
      <c r="Y328" s="287"/>
      <c r="Z328" s="287"/>
      <c r="AA328" s="287"/>
      <c r="AB328" s="287"/>
    </row>
    <row r="329" spans="2:28" ht="12.75" customHeight="1" x14ac:dyDescent="0.2">
      <c r="B329" s="833"/>
      <c r="C329" s="834"/>
      <c r="D329" s="834"/>
      <c r="E329" s="834"/>
      <c r="F329" s="834"/>
      <c r="G329" s="834"/>
      <c r="H329" s="834"/>
      <c r="I329" s="834"/>
      <c r="J329" s="834"/>
      <c r="K329" s="834"/>
      <c r="L329" s="834"/>
      <c r="M329" s="834"/>
      <c r="N329" s="834"/>
      <c r="O329" s="834"/>
      <c r="P329" s="834"/>
      <c r="Q329" s="834"/>
      <c r="R329" s="287"/>
      <c r="S329" s="287"/>
      <c r="T329" s="287"/>
      <c r="U329" s="287"/>
      <c r="V329" s="287"/>
      <c r="W329" s="287"/>
      <c r="X329" s="287"/>
      <c r="Y329" s="287"/>
      <c r="Z329" s="287"/>
      <c r="AA329" s="287"/>
      <c r="AB329" s="282"/>
    </row>
    <row r="330" spans="2:28" ht="12.75" customHeight="1" x14ac:dyDescent="0.2">
      <c r="B330" s="451"/>
      <c r="C330" s="451"/>
      <c r="D330" s="451"/>
      <c r="E330" s="451"/>
      <c r="F330" s="451"/>
      <c r="G330" s="451"/>
      <c r="H330" s="451"/>
      <c r="I330" s="451"/>
      <c r="J330" s="451"/>
      <c r="K330" s="451"/>
      <c r="L330" s="451"/>
      <c r="M330" s="450"/>
      <c r="N330" s="450"/>
      <c r="O330" s="450"/>
      <c r="P330" s="287"/>
      <c r="Q330" s="287"/>
      <c r="R330" s="287"/>
      <c r="S330" s="287"/>
      <c r="T330" s="287"/>
      <c r="U330" s="287"/>
      <c r="V330" s="287"/>
      <c r="W330" s="287"/>
      <c r="X330" s="287"/>
      <c r="Y330" s="287"/>
      <c r="Z330" s="287"/>
      <c r="AA330" s="287"/>
      <c r="AB330" s="282"/>
    </row>
    <row r="331" spans="2:28" x14ac:dyDescent="0.2">
      <c r="B331" s="454"/>
      <c r="C331" s="452"/>
      <c r="D331" s="452"/>
      <c r="E331" s="452"/>
      <c r="F331" s="452"/>
      <c r="G331" s="450"/>
      <c r="H331" s="450"/>
      <c r="I331" s="450"/>
      <c r="J331" s="450"/>
      <c r="K331" s="450"/>
      <c r="L331" s="450"/>
      <c r="M331" s="450"/>
      <c r="N331" s="450"/>
      <c r="O331" s="450"/>
      <c r="P331" s="248"/>
      <c r="Q331" s="282"/>
      <c r="R331" s="282"/>
      <c r="S331" s="282"/>
      <c r="T331" s="282"/>
      <c r="U331" s="282"/>
      <c r="V331" s="282"/>
      <c r="W331" s="282"/>
      <c r="X331" s="282"/>
      <c r="Y331" s="282"/>
      <c r="Z331" s="282"/>
      <c r="AA331" s="282"/>
      <c r="AB331" s="282"/>
    </row>
    <row r="332" spans="2:28" ht="12.75" customHeight="1" x14ac:dyDescent="0.2">
      <c r="B332" s="835"/>
      <c r="C332" s="834"/>
      <c r="D332" s="834"/>
      <c r="E332" s="834"/>
      <c r="F332" s="834"/>
      <c r="G332" s="834"/>
      <c r="H332" s="834"/>
      <c r="I332" s="834"/>
      <c r="J332" s="834"/>
      <c r="K332" s="834"/>
      <c r="L332" s="834"/>
      <c r="M332" s="834"/>
      <c r="N332" s="834"/>
      <c r="O332" s="834"/>
      <c r="P332" s="834"/>
      <c r="Q332" s="834"/>
      <c r="R332" s="282"/>
      <c r="S332" s="282"/>
      <c r="T332" s="282"/>
      <c r="U332" s="282"/>
      <c r="V332" s="282"/>
      <c r="W332" s="282"/>
      <c r="X332" s="282"/>
      <c r="Y332" s="282"/>
      <c r="Z332" s="282"/>
      <c r="AA332" s="282"/>
      <c r="AB332" s="282"/>
    </row>
    <row r="333" spans="2:28" ht="12.75" customHeight="1" x14ac:dyDescent="0.2">
      <c r="B333" s="835"/>
      <c r="C333" s="834"/>
      <c r="D333" s="834"/>
      <c r="E333" s="834"/>
      <c r="F333" s="834"/>
      <c r="G333" s="834"/>
      <c r="H333" s="834"/>
      <c r="I333" s="834"/>
      <c r="J333" s="834"/>
      <c r="K333" s="834"/>
      <c r="L333" s="834"/>
      <c r="M333" s="834"/>
      <c r="N333" s="834"/>
      <c r="O333" s="834"/>
      <c r="P333" s="834"/>
      <c r="Q333" s="834"/>
      <c r="R333" s="282"/>
      <c r="S333" s="282"/>
      <c r="T333" s="282"/>
      <c r="U333" s="282"/>
      <c r="V333" s="282"/>
      <c r="W333" s="282"/>
      <c r="X333" s="282"/>
      <c r="Y333" s="282"/>
      <c r="Z333" s="282"/>
      <c r="AA333" s="282"/>
      <c r="AB333" s="282"/>
    </row>
    <row r="334" spans="2:28" ht="12" customHeight="1" x14ac:dyDescent="0.2">
      <c r="B334" s="835"/>
      <c r="C334" s="834"/>
      <c r="D334" s="834"/>
      <c r="E334" s="834"/>
      <c r="F334" s="834"/>
      <c r="G334" s="834"/>
      <c r="H334" s="834"/>
      <c r="I334" s="834"/>
      <c r="J334" s="834"/>
      <c r="K334" s="834"/>
      <c r="L334" s="834"/>
      <c r="M334" s="834"/>
      <c r="N334" s="834"/>
      <c r="O334" s="834"/>
      <c r="P334" s="834"/>
      <c r="Q334" s="834"/>
      <c r="R334" s="282"/>
      <c r="S334" s="282"/>
      <c r="T334" s="282"/>
      <c r="U334" s="282"/>
      <c r="V334" s="282"/>
      <c r="W334" s="282"/>
      <c r="X334" s="282"/>
      <c r="Y334" s="282"/>
      <c r="Z334" s="282"/>
      <c r="AA334" s="282"/>
      <c r="AB334" s="282"/>
    </row>
    <row r="335" spans="2:28" ht="12.75" customHeight="1" x14ac:dyDescent="0.2">
      <c r="B335" s="833"/>
      <c r="C335" s="834"/>
      <c r="D335" s="834"/>
      <c r="E335" s="834"/>
      <c r="F335" s="834"/>
      <c r="G335" s="834"/>
      <c r="H335" s="834"/>
      <c r="I335" s="834"/>
      <c r="J335" s="834"/>
      <c r="K335" s="834"/>
      <c r="L335" s="834"/>
      <c r="M335" s="834"/>
      <c r="N335" s="834"/>
      <c r="O335" s="834"/>
      <c r="P335" s="834"/>
      <c r="Q335" s="834"/>
      <c r="R335" s="282"/>
      <c r="S335" s="282"/>
      <c r="T335" s="282"/>
      <c r="U335" s="282"/>
      <c r="V335" s="282"/>
      <c r="W335" s="282"/>
      <c r="X335" s="282"/>
      <c r="Y335" s="282"/>
      <c r="Z335" s="282"/>
      <c r="AA335" s="282"/>
      <c r="AB335" s="282"/>
    </row>
    <row r="336" spans="2:28" ht="12.75" customHeight="1" x14ac:dyDescent="0.2">
      <c r="B336" s="833"/>
      <c r="C336" s="829"/>
      <c r="D336" s="829"/>
      <c r="E336" s="450"/>
      <c r="F336" s="450"/>
      <c r="G336" s="450"/>
      <c r="H336" s="450"/>
      <c r="I336" s="450"/>
      <c r="J336" s="450"/>
      <c r="K336" s="450"/>
      <c r="L336" s="450"/>
      <c r="M336" s="450"/>
      <c r="N336" s="450"/>
      <c r="O336" s="450"/>
      <c r="P336" s="287"/>
      <c r="Q336" s="282"/>
      <c r="R336" s="282"/>
      <c r="S336" s="282"/>
      <c r="T336" s="282"/>
      <c r="U336" s="282"/>
      <c r="V336" s="282"/>
      <c r="W336" s="282"/>
      <c r="X336" s="282"/>
      <c r="Y336" s="282"/>
      <c r="Z336" s="282"/>
      <c r="AA336" s="282"/>
      <c r="AB336" s="282"/>
    </row>
    <row r="337" spans="2:28" ht="12.75" customHeight="1" x14ac:dyDescent="0.2">
      <c r="B337" s="835"/>
      <c r="C337" s="835"/>
      <c r="D337" s="835"/>
      <c r="E337" s="449"/>
      <c r="F337" s="449"/>
      <c r="G337" s="449"/>
      <c r="H337" s="449"/>
      <c r="I337" s="449"/>
      <c r="J337" s="449"/>
      <c r="K337" s="449"/>
      <c r="L337" s="449"/>
      <c r="M337" s="450"/>
      <c r="N337" s="450"/>
      <c r="O337" s="450"/>
      <c r="P337" s="287"/>
      <c r="Q337" s="282"/>
      <c r="R337" s="282"/>
      <c r="S337" s="282"/>
      <c r="T337" s="282"/>
      <c r="U337" s="282"/>
      <c r="V337" s="282"/>
      <c r="W337" s="282"/>
      <c r="X337" s="282"/>
      <c r="Y337" s="282"/>
      <c r="Z337" s="282"/>
      <c r="AA337" s="282"/>
      <c r="AB337" s="282"/>
    </row>
    <row r="338" spans="2:28" ht="12.75" customHeight="1" x14ac:dyDescent="0.2">
      <c r="B338" s="835"/>
      <c r="C338" s="835"/>
      <c r="D338" s="835"/>
      <c r="E338" s="835"/>
      <c r="F338" s="835"/>
      <c r="G338" s="835"/>
      <c r="H338" s="835"/>
      <c r="I338" s="835"/>
      <c r="J338" s="835"/>
      <c r="K338" s="835"/>
      <c r="L338" s="835"/>
      <c r="M338" s="829"/>
      <c r="N338" s="829"/>
      <c r="O338" s="829"/>
      <c r="P338" s="287"/>
      <c r="Q338" s="282"/>
      <c r="R338" s="282"/>
      <c r="S338" s="282"/>
      <c r="T338" s="282"/>
      <c r="U338" s="282"/>
      <c r="V338" s="282"/>
      <c r="W338" s="282"/>
      <c r="X338" s="282"/>
      <c r="Y338" s="282"/>
      <c r="Z338" s="282"/>
      <c r="AA338" s="282"/>
      <c r="AB338" s="282"/>
    </row>
    <row r="339" spans="2:28" x14ac:dyDescent="0.2">
      <c r="B339" s="835"/>
      <c r="C339" s="835"/>
      <c r="D339" s="835"/>
      <c r="E339" s="835"/>
      <c r="F339" s="835"/>
      <c r="G339" s="835"/>
      <c r="H339" s="835"/>
      <c r="I339" s="835"/>
      <c r="J339" s="835"/>
      <c r="K339" s="835"/>
      <c r="L339" s="835"/>
      <c r="M339" s="829"/>
      <c r="N339" s="829"/>
      <c r="O339" s="829"/>
    </row>
    <row r="340" spans="2:28" x14ac:dyDescent="0.2">
      <c r="B340" s="835"/>
      <c r="C340" s="835"/>
      <c r="D340" s="835"/>
      <c r="E340" s="835"/>
      <c r="F340" s="835"/>
      <c r="G340" s="835"/>
      <c r="H340" s="835"/>
      <c r="I340" s="835"/>
      <c r="J340" s="835"/>
      <c r="K340" s="835"/>
      <c r="L340" s="835"/>
      <c r="M340" s="829"/>
      <c r="N340" s="829"/>
      <c r="O340" s="829"/>
    </row>
    <row r="341" spans="2:28" x14ac:dyDescent="0.2">
      <c r="B341" s="835"/>
      <c r="C341" s="835"/>
      <c r="D341" s="835"/>
      <c r="E341" s="835"/>
      <c r="F341" s="835"/>
      <c r="G341" s="835"/>
      <c r="H341" s="835"/>
      <c r="I341" s="835"/>
      <c r="J341" s="835"/>
      <c r="K341" s="835"/>
      <c r="L341" s="835"/>
      <c r="M341" s="829"/>
      <c r="N341" s="829"/>
      <c r="O341" s="829"/>
    </row>
    <row r="342" spans="2:28" x14ac:dyDescent="0.2">
      <c r="B342" s="835"/>
      <c r="C342" s="835"/>
      <c r="D342" s="835"/>
      <c r="E342" s="835"/>
      <c r="F342" s="835"/>
      <c r="G342" s="835"/>
      <c r="H342" s="835"/>
      <c r="I342" s="835"/>
      <c r="J342" s="835"/>
      <c r="K342" s="835"/>
      <c r="L342" s="835"/>
      <c r="M342" s="829"/>
      <c r="N342" s="829"/>
      <c r="O342" s="829"/>
    </row>
    <row r="343" spans="2:28" x14ac:dyDescent="0.2">
      <c r="B343" s="835"/>
      <c r="C343" s="835"/>
      <c r="D343" s="835"/>
      <c r="E343" s="835"/>
      <c r="F343" s="835"/>
      <c r="G343" s="835"/>
      <c r="H343" s="835"/>
      <c r="I343" s="835"/>
      <c r="J343" s="835"/>
      <c r="K343" s="835"/>
      <c r="L343" s="835"/>
      <c r="M343" s="829"/>
      <c r="N343" s="829"/>
      <c r="O343" s="829"/>
    </row>
    <row r="344" spans="2:28" x14ac:dyDescent="0.2">
      <c r="B344" s="835"/>
      <c r="C344" s="835"/>
      <c r="D344" s="835"/>
      <c r="E344" s="835"/>
      <c r="F344" s="835"/>
      <c r="G344" s="835"/>
      <c r="H344" s="835"/>
      <c r="I344" s="835"/>
      <c r="J344" s="835"/>
      <c r="K344" s="835"/>
      <c r="L344" s="835"/>
      <c r="M344" s="829"/>
      <c r="N344" s="829"/>
      <c r="O344" s="829"/>
    </row>
    <row r="345" spans="2:28" x14ac:dyDescent="0.2">
      <c r="B345" s="835"/>
      <c r="C345" s="835"/>
      <c r="D345" s="835"/>
      <c r="E345" s="835"/>
      <c r="F345" s="835"/>
      <c r="G345" s="835"/>
      <c r="H345" s="835"/>
      <c r="I345" s="835"/>
      <c r="J345" s="835"/>
      <c r="K345" s="835"/>
      <c r="L345" s="835"/>
      <c r="M345" s="829"/>
      <c r="N345" s="829"/>
      <c r="O345" s="829"/>
    </row>
    <row r="346" spans="2:28" x14ac:dyDescent="0.2">
      <c r="B346" s="835"/>
      <c r="C346" s="835"/>
      <c r="D346" s="835"/>
      <c r="E346" s="835"/>
      <c r="F346" s="835"/>
      <c r="G346" s="835"/>
      <c r="H346" s="835"/>
      <c r="I346" s="835"/>
      <c r="J346" s="835"/>
      <c r="K346" s="835"/>
      <c r="L346" s="835"/>
      <c r="M346" s="829"/>
      <c r="N346" s="829"/>
      <c r="O346" s="829"/>
    </row>
    <row r="347" spans="2:28" x14ac:dyDescent="0.2">
      <c r="B347" s="835"/>
      <c r="C347" s="835"/>
      <c r="D347" s="835"/>
      <c r="E347" s="835"/>
      <c r="F347" s="835"/>
      <c r="G347" s="835"/>
      <c r="H347" s="835"/>
      <c r="I347" s="835"/>
      <c r="J347" s="835"/>
      <c r="K347" s="835"/>
      <c r="L347" s="835"/>
      <c r="M347" s="829"/>
      <c r="N347" s="829"/>
      <c r="O347" s="829"/>
    </row>
    <row r="348" spans="2:28" x14ac:dyDescent="0.2">
      <c r="B348" s="835"/>
      <c r="C348" s="835"/>
      <c r="D348" s="835"/>
      <c r="E348" s="835"/>
      <c r="F348" s="835"/>
      <c r="G348" s="835"/>
      <c r="H348" s="835"/>
      <c r="I348" s="835"/>
      <c r="J348" s="835"/>
      <c r="K348" s="835"/>
      <c r="L348" s="835"/>
      <c r="M348" s="829"/>
      <c r="N348" s="829"/>
      <c r="O348" s="829"/>
    </row>
    <row r="349" spans="2:28" x14ac:dyDescent="0.2">
      <c r="B349" s="837"/>
      <c r="C349" s="837"/>
      <c r="D349" s="837"/>
      <c r="E349" s="837"/>
      <c r="F349" s="837"/>
      <c r="G349" s="829"/>
      <c r="H349" s="829"/>
      <c r="I349" s="829"/>
      <c r="J349" s="829"/>
      <c r="K349" s="829"/>
      <c r="L349" s="829"/>
      <c r="M349" s="829"/>
      <c r="N349" s="829"/>
      <c r="O349" s="829"/>
    </row>
    <row r="350" spans="2:28" x14ac:dyDescent="0.2">
      <c r="B350" s="833"/>
      <c r="C350" s="829"/>
      <c r="D350" s="829"/>
      <c r="E350" s="829"/>
      <c r="F350" s="829"/>
      <c r="G350" s="829"/>
      <c r="H350" s="829"/>
      <c r="I350" s="829"/>
      <c r="J350" s="829"/>
      <c r="K350" s="829"/>
      <c r="L350" s="829"/>
      <c r="M350" s="829"/>
      <c r="N350" s="829"/>
      <c r="O350" s="829"/>
    </row>
    <row r="351" spans="2:28" x14ac:dyDescent="0.2">
      <c r="B351" s="835"/>
      <c r="C351" s="835"/>
      <c r="D351" s="835"/>
      <c r="E351" s="835"/>
      <c r="F351" s="835"/>
      <c r="G351" s="835"/>
      <c r="H351" s="835"/>
      <c r="I351" s="835"/>
      <c r="J351" s="829"/>
      <c r="K351" s="829"/>
      <c r="L351" s="829"/>
      <c r="M351" s="829"/>
      <c r="N351" s="829"/>
      <c r="O351" s="829"/>
    </row>
  </sheetData>
  <mergeCells count="71">
    <mergeCell ref="A221:K221"/>
    <mergeCell ref="A220:K220"/>
    <mergeCell ref="C246:D246"/>
    <mergeCell ref="F246:G246"/>
    <mergeCell ref="C59:C60"/>
    <mergeCell ref="B179:F179"/>
    <mergeCell ref="B191:Z191"/>
    <mergeCell ref="B199:L199"/>
    <mergeCell ref="D59:D60"/>
    <mergeCell ref="E59:I59"/>
    <mergeCell ref="B116:I116"/>
    <mergeCell ref="B117:I117"/>
    <mergeCell ref="B121:F121"/>
    <mergeCell ref="B180:F180"/>
    <mergeCell ref="B334:Q334"/>
    <mergeCell ref="C123:D123"/>
    <mergeCell ref="E123:F123"/>
    <mergeCell ref="A201:K201"/>
    <mergeCell ref="A202:K202"/>
    <mergeCell ref="A219:K219"/>
    <mergeCell ref="A222:K222"/>
    <mergeCell ref="B218:C218"/>
    <mergeCell ref="E218:J218"/>
    <mergeCell ref="A205:K205"/>
    <mergeCell ref="A206:K206"/>
    <mergeCell ref="B211:Y211"/>
    <mergeCell ref="B217:L217"/>
    <mergeCell ref="A203:F203"/>
    <mergeCell ref="A204:K204"/>
    <mergeCell ref="A223:K223"/>
    <mergeCell ref="B344:O344"/>
    <mergeCell ref="B338:O338"/>
    <mergeCell ref="B57:I57"/>
    <mergeCell ref="C22:C24"/>
    <mergeCell ref="D22:D24"/>
    <mergeCell ref="E22:E24"/>
    <mergeCell ref="F22:F24"/>
    <mergeCell ref="M26:N28"/>
    <mergeCell ref="G22:G24"/>
    <mergeCell ref="H22:H24"/>
    <mergeCell ref="I22:I24"/>
    <mergeCell ref="J22:J24"/>
    <mergeCell ref="B328:Q328"/>
    <mergeCell ref="B329:Q329"/>
    <mergeCell ref="B332:Q332"/>
    <mergeCell ref="B333:Q333"/>
    <mergeCell ref="B335:Q335"/>
    <mergeCell ref="B337:D337"/>
    <mergeCell ref="B336:D336"/>
    <mergeCell ref="B351:O351"/>
    <mergeCell ref="B326:F326"/>
    <mergeCell ref="B345:O345"/>
    <mergeCell ref="B346:O346"/>
    <mergeCell ref="B347:O347"/>
    <mergeCell ref="B348:O348"/>
    <mergeCell ref="B349:O349"/>
    <mergeCell ref="B350:O350"/>
    <mergeCell ref="B339:O339"/>
    <mergeCell ref="B340:O340"/>
    <mergeCell ref="B341:O341"/>
    <mergeCell ref="B342:O342"/>
    <mergeCell ref="B343:O343"/>
    <mergeCell ref="V22:V24"/>
    <mergeCell ref="W22:W24"/>
    <mergeCell ref="X22:X24"/>
    <mergeCell ref="AA26:AB28"/>
    <mergeCell ref="Q22:Q24"/>
    <mergeCell ref="R22:R24"/>
    <mergeCell ref="S22:S24"/>
    <mergeCell ref="T22:T24"/>
    <mergeCell ref="U22:U24"/>
  </mergeCells>
  <phoneticPr fontId="25" type="noConversion"/>
  <hyperlinks>
    <hyperlink ref="B18" r:id="rId1" xr:uid="{0D6B0318-A913-4A83-A10F-F398FA1464EB}"/>
  </hyperlinks>
  <pageMargins left="0.75" right="0.75" top="1" bottom="1" header="0.5" footer="0.5"/>
  <pageSetup orientation="portrait" r:id="rId2"/>
  <headerFooter alignWithMargins="0"/>
  <ignoredErrors>
    <ignoredError sqref="H42 H43:H50 J42:J50" formula="1"/>
  </ignoredErrors>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54"/>
  <sheetViews>
    <sheetView topLeftCell="A4" workbookViewId="0">
      <selection activeCell="E18" sqref="E18"/>
    </sheetView>
  </sheetViews>
  <sheetFormatPr defaultColWidth="9.140625" defaultRowHeight="12" x14ac:dyDescent="0.2"/>
  <cols>
    <col min="1" max="1" width="19.140625" style="37" customWidth="1"/>
    <col min="2" max="2" width="7.140625" style="37" customWidth="1"/>
    <col min="3" max="3" width="10" style="37" customWidth="1"/>
    <col min="4" max="4" width="10.5703125" style="37" customWidth="1"/>
    <col min="5" max="6" width="10.7109375" style="37" customWidth="1"/>
    <col min="7" max="7" width="11" style="37" customWidth="1"/>
    <col min="8" max="8" width="11.140625" style="37" customWidth="1"/>
    <col min="9" max="9" width="10.5703125" style="37" customWidth="1"/>
    <col min="10" max="10" width="11" style="37" customWidth="1"/>
    <col min="11" max="11" width="10.28515625" style="37" customWidth="1"/>
    <col min="12" max="12" width="10.5703125" style="37" customWidth="1"/>
    <col min="13" max="13" width="10.42578125" style="37" customWidth="1"/>
    <col min="14" max="14" width="10.7109375" style="37" customWidth="1"/>
    <col min="15" max="16384" width="9.140625" style="37"/>
  </cols>
  <sheetData>
    <row r="1" spans="1:15" x14ac:dyDescent="0.2">
      <c r="A1" s="126"/>
      <c r="B1" s="126" t="s">
        <v>707</v>
      </c>
      <c r="C1" s="127"/>
      <c r="D1" s="127"/>
      <c r="E1" s="127"/>
      <c r="F1" s="127"/>
      <c r="G1" s="127"/>
      <c r="H1" s="127"/>
      <c r="I1" s="127"/>
      <c r="J1" s="127"/>
      <c r="K1" s="127"/>
      <c r="L1" s="127"/>
      <c r="M1" s="127"/>
      <c r="N1" s="127"/>
      <c r="O1" s="127"/>
    </row>
    <row r="2" spans="1:15" x14ac:dyDescent="0.2">
      <c r="A2" s="128"/>
      <c r="B2" s="128"/>
    </row>
    <row r="3" spans="1:15" x14ac:dyDescent="0.2">
      <c r="A3" s="37" t="s">
        <v>708</v>
      </c>
    </row>
    <row r="4" spans="1:15" x14ac:dyDescent="0.2">
      <c r="A4" s="37" t="s">
        <v>709</v>
      </c>
    </row>
    <row r="5" spans="1:15" x14ac:dyDescent="0.2">
      <c r="A5" s="37" t="s">
        <v>710</v>
      </c>
    </row>
    <row r="7" spans="1:15" x14ac:dyDescent="0.2">
      <c r="A7" s="36"/>
      <c r="B7" s="36"/>
      <c r="C7" s="36"/>
      <c r="D7" s="36" t="s">
        <v>711</v>
      </c>
      <c r="E7" s="36"/>
      <c r="F7" s="36"/>
      <c r="G7" s="36"/>
      <c r="H7" s="36"/>
      <c r="I7" s="36"/>
      <c r="J7" s="36"/>
      <c r="K7" s="36"/>
      <c r="L7" s="36"/>
      <c r="M7" s="36"/>
      <c r="N7" s="36"/>
    </row>
    <row r="8" spans="1:15" x14ac:dyDescent="0.2">
      <c r="A8" s="858" t="s">
        <v>683</v>
      </c>
      <c r="B8" s="858"/>
      <c r="C8" s="37">
        <v>2000</v>
      </c>
      <c r="D8" s="37">
        <v>2005</v>
      </c>
      <c r="E8" s="37">
        <v>2010</v>
      </c>
      <c r="F8" s="37">
        <v>2015</v>
      </c>
      <c r="G8" s="37">
        <v>2020</v>
      </c>
      <c r="H8" s="37">
        <v>2025</v>
      </c>
      <c r="I8" s="37">
        <v>2030</v>
      </c>
      <c r="J8" s="37">
        <v>2035</v>
      </c>
      <c r="K8" s="37">
        <v>2040</v>
      </c>
      <c r="L8" s="37">
        <v>2045</v>
      </c>
      <c r="M8" s="37">
        <v>2050</v>
      </c>
      <c r="N8" s="37">
        <v>2055</v>
      </c>
    </row>
    <row r="9" spans="1:15" x14ac:dyDescent="0.2">
      <c r="A9" s="37" t="s">
        <v>700</v>
      </c>
      <c r="B9" s="37" t="s">
        <v>684</v>
      </c>
      <c r="C9" s="41">
        <v>14082663.889999991</v>
      </c>
      <c r="D9" s="41">
        <v>14365140.789999997</v>
      </c>
      <c r="E9" s="41">
        <v>14647617.68999999</v>
      </c>
      <c r="F9" s="41">
        <v>14930094.589999996</v>
      </c>
      <c r="G9" s="41">
        <v>15212571.489999987</v>
      </c>
      <c r="H9" s="41">
        <v>15495048.389999993</v>
      </c>
      <c r="I9" s="41">
        <v>15777525.289999999</v>
      </c>
      <c r="J9" s="41">
        <v>16060002.189999992</v>
      </c>
      <c r="K9" s="41">
        <v>16342479.089999998</v>
      </c>
      <c r="L9" s="41">
        <v>16624955.989999989</v>
      </c>
      <c r="M9" s="41">
        <v>16907432.889999997</v>
      </c>
      <c r="N9" s="41">
        <v>17189909.789999988</v>
      </c>
    </row>
    <row r="10" spans="1:15" x14ac:dyDescent="0.2">
      <c r="A10" s="37" t="s">
        <v>714</v>
      </c>
      <c r="B10" s="37" t="s">
        <v>685</v>
      </c>
      <c r="C10" s="41">
        <v>40037144.820000008</v>
      </c>
      <c r="D10" s="41">
        <v>40430205.620000012</v>
      </c>
      <c r="E10" s="41">
        <v>40823266.420000009</v>
      </c>
      <c r="F10" s="41">
        <v>41216327.220000014</v>
      </c>
      <c r="G10" s="41">
        <v>41609388.020000011</v>
      </c>
      <c r="H10" s="41">
        <v>42002448.820000015</v>
      </c>
      <c r="I10" s="41">
        <v>42395509.620000012</v>
      </c>
      <c r="J10" s="41">
        <v>42788570.420000017</v>
      </c>
      <c r="K10" s="41">
        <v>43181631.220000014</v>
      </c>
      <c r="L10" s="41">
        <v>43574692.020000018</v>
      </c>
      <c r="M10" s="41">
        <v>43967752.820000015</v>
      </c>
      <c r="N10" s="41">
        <v>44360813.62000002</v>
      </c>
    </row>
    <row r="11" spans="1:15" x14ac:dyDescent="0.2">
      <c r="A11" s="37" t="s">
        <v>715</v>
      </c>
      <c r="B11" s="37" t="s">
        <v>686</v>
      </c>
      <c r="C11" s="41">
        <v>51311033.110000156</v>
      </c>
      <c r="D11" s="41">
        <v>55682680.66000019</v>
      </c>
      <c r="E11" s="41">
        <v>60054328.210000224</v>
      </c>
      <c r="F11" s="41">
        <v>64425975.760000259</v>
      </c>
      <c r="G11" s="41">
        <v>68797623.310000062</v>
      </c>
      <c r="H11" s="41">
        <v>73169270.860000104</v>
      </c>
      <c r="I11" s="41">
        <v>77540918.410000131</v>
      </c>
      <c r="J11" s="41">
        <v>81912565.960000172</v>
      </c>
      <c r="K11" s="41">
        <v>86284213.510000199</v>
      </c>
      <c r="L11" s="41">
        <v>90655861.060000241</v>
      </c>
      <c r="M11" s="41">
        <v>95027508.610000268</v>
      </c>
      <c r="N11" s="41">
        <v>99399156.160000071</v>
      </c>
    </row>
    <row r="12" spans="1:15" x14ac:dyDescent="0.2">
      <c r="A12" s="37" t="s">
        <v>716</v>
      </c>
      <c r="B12" s="37" t="s">
        <v>687</v>
      </c>
      <c r="C12" s="41">
        <v>17077982.930000018</v>
      </c>
      <c r="D12" s="41">
        <v>17552092.280000012</v>
      </c>
      <c r="E12" s="41">
        <v>18026201.630000003</v>
      </c>
      <c r="F12" s="41">
        <v>18500310.980000023</v>
      </c>
      <c r="G12" s="41">
        <v>18974420.330000017</v>
      </c>
      <c r="H12" s="41">
        <v>19448529.680000007</v>
      </c>
      <c r="I12" s="41">
        <v>19922639.030000027</v>
      </c>
      <c r="J12" s="41">
        <v>20396748.380000021</v>
      </c>
      <c r="K12" s="41">
        <v>20870857.730000012</v>
      </c>
      <c r="L12" s="41">
        <v>21344967.080000002</v>
      </c>
      <c r="M12" s="41">
        <v>21819076.430000026</v>
      </c>
      <c r="N12" s="41">
        <v>22293185.780000016</v>
      </c>
    </row>
    <row r="13" spans="1:15" x14ac:dyDescent="0.2">
      <c r="A13" s="37" t="s">
        <v>717</v>
      </c>
      <c r="B13" s="37" t="s">
        <v>688</v>
      </c>
      <c r="C13" s="41">
        <v>45614039.319999993</v>
      </c>
      <c r="D13" s="41">
        <v>46191913.769999988</v>
      </c>
      <c r="E13" s="41">
        <v>46769788.220000006</v>
      </c>
      <c r="F13" s="41">
        <v>47347662.670000002</v>
      </c>
      <c r="G13" s="41">
        <v>47925537.120000005</v>
      </c>
      <c r="H13" s="41">
        <v>48503411.57</v>
      </c>
      <c r="I13" s="41">
        <v>49081286.019999996</v>
      </c>
      <c r="J13" s="41">
        <v>49659160.469999991</v>
      </c>
      <c r="K13" s="41">
        <v>50237034.919999987</v>
      </c>
      <c r="L13" s="41">
        <v>50814909.370000012</v>
      </c>
      <c r="M13" s="41">
        <v>51392783.820000008</v>
      </c>
      <c r="N13" s="41">
        <v>51970658.270000003</v>
      </c>
    </row>
    <row r="14" spans="1:15" x14ac:dyDescent="0.2">
      <c r="A14" s="37" t="s">
        <v>718</v>
      </c>
      <c r="B14" s="37" t="s">
        <v>689</v>
      </c>
      <c r="C14" s="41">
        <v>31253546.539999887</v>
      </c>
      <c r="D14" s="41">
        <v>33535417.339999866</v>
      </c>
      <c r="E14" s="41">
        <v>35817288.139999963</v>
      </c>
      <c r="F14" s="41">
        <v>38099158.939999938</v>
      </c>
      <c r="G14" s="41">
        <v>40381029.73999992</v>
      </c>
      <c r="H14" s="41">
        <v>42662900.539999895</v>
      </c>
      <c r="I14" s="41">
        <v>44944771.339999877</v>
      </c>
      <c r="J14" s="41">
        <v>47226642.139999971</v>
      </c>
      <c r="K14" s="41">
        <v>49508512.939999945</v>
      </c>
      <c r="L14" s="41">
        <v>51790383.739999928</v>
      </c>
      <c r="M14" s="41">
        <v>54072254.539999902</v>
      </c>
      <c r="N14" s="41">
        <v>56354125.339999884</v>
      </c>
    </row>
    <row r="15" spans="1:15" x14ac:dyDescent="0.2">
      <c r="A15" s="37" t="s">
        <v>719</v>
      </c>
      <c r="B15" s="37" t="s">
        <v>690</v>
      </c>
      <c r="C15" s="41">
        <v>19388126.960000023</v>
      </c>
      <c r="D15" s="41">
        <v>19826329.51000002</v>
      </c>
      <c r="E15" s="41">
        <v>20264532.060000021</v>
      </c>
      <c r="F15" s="41">
        <v>20702734.610000022</v>
      </c>
      <c r="G15" s="41">
        <v>21140937.160000023</v>
      </c>
      <c r="H15" s="41">
        <v>21579139.71000002</v>
      </c>
      <c r="I15" s="41">
        <v>22017342.26000002</v>
      </c>
      <c r="J15" s="41">
        <v>22455544.810000021</v>
      </c>
      <c r="K15" s="41">
        <v>22893747.360000022</v>
      </c>
      <c r="L15" s="41">
        <v>23331949.910000019</v>
      </c>
      <c r="M15" s="41">
        <v>23770152.46000002</v>
      </c>
      <c r="N15" s="41">
        <v>24208355.01000002</v>
      </c>
    </row>
    <row r="16" spans="1:15" x14ac:dyDescent="0.2">
      <c r="A16" s="37" t="s">
        <v>720</v>
      </c>
      <c r="B16" s="37" t="s">
        <v>691</v>
      </c>
      <c r="C16" s="41">
        <v>17981767.819999959</v>
      </c>
      <c r="D16" s="41">
        <v>19923017.619999997</v>
      </c>
      <c r="E16" s="41">
        <v>21864267.420000032</v>
      </c>
      <c r="F16" s="41">
        <v>23805517.219999958</v>
      </c>
      <c r="G16" s="41">
        <v>25746767.019999992</v>
      </c>
      <c r="H16" s="41">
        <v>27688016.82000003</v>
      </c>
      <c r="I16" s="41">
        <v>29629266.619999953</v>
      </c>
      <c r="J16" s="41">
        <v>31570516.419999991</v>
      </c>
      <c r="K16" s="41">
        <v>33511766.220000029</v>
      </c>
      <c r="L16" s="41">
        <v>35453016.019999951</v>
      </c>
      <c r="M16" s="41">
        <v>37394265.819999985</v>
      </c>
      <c r="N16" s="41">
        <v>39335515.620000027</v>
      </c>
    </row>
    <row r="17" spans="1:14" x14ac:dyDescent="0.2">
      <c r="A17" s="37" t="s">
        <v>721</v>
      </c>
      <c r="B17" s="37" t="s">
        <v>692</v>
      </c>
      <c r="C17" s="41">
        <v>44845539.820000112</v>
      </c>
      <c r="D17" s="41">
        <v>47700071.920000024</v>
      </c>
      <c r="E17" s="41">
        <v>50554604.020000167</v>
      </c>
      <c r="F17" s="41">
        <v>53409136.120000087</v>
      </c>
      <c r="G17" s="41">
        <v>56263668.22000023</v>
      </c>
      <c r="H17" s="41">
        <v>59118200.320000142</v>
      </c>
      <c r="I17" s="41">
        <v>61972732.420000054</v>
      </c>
      <c r="J17" s="41">
        <v>64827264.520000197</v>
      </c>
      <c r="K17" s="41">
        <v>67681796.620000109</v>
      </c>
      <c r="L17" s="41">
        <v>70536328.720000029</v>
      </c>
      <c r="M17" s="41">
        <v>73390860.820000172</v>
      </c>
      <c r="N17" s="41">
        <v>76245392.920000091</v>
      </c>
    </row>
    <row r="18" spans="1:14" x14ac:dyDescent="0.2">
      <c r="A18" s="39" t="s">
        <v>722</v>
      </c>
      <c r="C18" s="41">
        <f t="shared" ref="C18:N18" si="0">SUM(C9:C17)</f>
        <v>281591845.21000016</v>
      </c>
      <c r="D18" s="41">
        <f t="shared" si="0"/>
        <v>295206869.51000011</v>
      </c>
      <c r="E18" s="252">
        <f t="shared" si="0"/>
        <v>308821893.81000042</v>
      </c>
      <c r="F18" s="41">
        <f t="shared" si="0"/>
        <v>322436918.11000025</v>
      </c>
      <c r="G18" s="41">
        <f t="shared" si="0"/>
        <v>336051942.41000021</v>
      </c>
      <c r="H18" s="41">
        <f t="shared" si="0"/>
        <v>349666966.71000016</v>
      </c>
      <c r="I18" s="41">
        <f t="shared" si="0"/>
        <v>363281991.01000011</v>
      </c>
      <c r="J18" s="41">
        <f t="shared" si="0"/>
        <v>376897015.31000042</v>
      </c>
      <c r="K18" s="41">
        <f t="shared" si="0"/>
        <v>390512039.61000031</v>
      </c>
      <c r="L18" s="41">
        <f t="shared" si="0"/>
        <v>404127063.91000021</v>
      </c>
      <c r="M18" s="41">
        <f t="shared" si="0"/>
        <v>417742088.21000046</v>
      </c>
      <c r="N18" s="41">
        <f t="shared" si="0"/>
        <v>431357112.51000011</v>
      </c>
    </row>
    <row r="20" spans="1:14" x14ac:dyDescent="0.2">
      <c r="A20" s="36"/>
      <c r="B20" s="36"/>
      <c r="C20" s="36"/>
      <c r="D20" s="36" t="s">
        <v>713</v>
      </c>
      <c r="E20" s="36"/>
      <c r="F20" s="36"/>
      <c r="G20" s="36"/>
      <c r="H20" s="36"/>
      <c r="I20" s="36"/>
      <c r="J20" s="36"/>
      <c r="K20" s="36"/>
      <c r="L20" s="36"/>
      <c r="M20" s="36"/>
      <c r="N20" s="36"/>
    </row>
    <row r="21" spans="1:14" x14ac:dyDescent="0.2">
      <c r="A21" s="858" t="s">
        <v>683</v>
      </c>
      <c r="B21" s="858"/>
      <c r="C21" s="37">
        <v>2000</v>
      </c>
      <c r="D21" s="37">
        <v>2005</v>
      </c>
      <c r="E21" s="37">
        <v>2010</v>
      </c>
      <c r="F21" s="37">
        <v>2015</v>
      </c>
      <c r="G21" s="37">
        <v>2020</v>
      </c>
      <c r="H21" s="37">
        <v>2025</v>
      </c>
      <c r="I21" s="37">
        <v>2030</v>
      </c>
      <c r="J21" s="37">
        <v>2035</v>
      </c>
      <c r="K21" s="37">
        <v>2040</v>
      </c>
      <c r="L21" s="37">
        <v>2045</v>
      </c>
      <c r="M21" s="37">
        <v>2050</v>
      </c>
      <c r="N21" s="37">
        <v>2055</v>
      </c>
    </row>
    <row r="22" spans="1:14" x14ac:dyDescent="0.2">
      <c r="A22" s="37" t="s">
        <v>700</v>
      </c>
      <c r="B22" s="37" t="s">
        <v>684</v>
      </c>
      <c r="C22" s="41">
        <v>14082663.889999991</v>
      </c>
      <c r="D22" s="41">
        <v>14255073.101</v>
      </c>
      <c r="E22" s="41">
        <v>14559921.450999998</v>
      </c>
      <c r="F22" s="41">
        <v>14806579.829999998</v>
      </c>
      <c r="G22" s="41">
        <v>14997673.560000001</v>
      </c>
      <c r="H22" s="41">
        <v>15111198.526999999</v>
      </c>
      <c r="I22" s="41">
        <v>15141889.450999998</v>
      </c>
      <c r="J22" s="41">
        <v>15098507.534000002</v>
      </c>
      <c r="K22" s="41">
        <v>14996543.470000003</v>
      </c>
      <c r="L22" s="41">
        <v>14833993.520999998</v>
      </c>
      <c r="M22" s="41">
        <v>14622514.98</v>
      </c>
      <c r="N22" s="41">
        <v>14386621.138</v>
      </c>
    </row>
    <row r="23" spans="1:14" x14ac:dyDescent="0.2">
      <c r="A23" s="37" t="s">
        <v>714</v>
      </c>
      <c r="B23" s="37" t="s">
        <v>685</v>
      </c>
      <c r="C23" s="41">
        <v>40037144.820000008</v>
      </c>
      <c r="D23" s="41">
        <v>40424218.921000004</v>
      </c>
      <c r="E23" s="41">
        <v>43307856.045000017</v>
      </c>
      <c r="F23" s="41">
        <v>45795599.081</v>
      </c>
      <c r="G23" s="41">
        <v>48022396.056999996</v>
      </c>
      <c r="H23" s="41">
        <v>50005879.075000018</v>
      </c>
      <c r="I23" s="41">
        <v>51768902.476999983</v>
      </c>
      <c r="J23" s="41">
        <v>53349649.735000007</v>
      </c>
      <c r="K23" s="41">
        <v>54746760.595999993</v>
      </c>
      <c r="L23" s="41">
        <v>55968920.20699998</v>
      </c>
      <c r="M23" s="41">
        <v>57054895.958000004</v>
      </c>
      <c r="N23" s="41">
        <v>58050704.504999995</v>
      </c>
    </row>
    <row r="24" spans="1:14" x14ac:dyDescent="0.2">
      <c r="A24" s="37" t="s">
        <v>715</v>
      </c>
      <c r="B24" s="37" t="s">
        <v>686</v>
      </c>
      <c r="C24" s="41">
        <v>51311033.110000156</v>
      </c>
      <c r="D24" s="41">
        <v>56211935.149000004</v>
      </c>
      <c r="E24" s="41">
        <v>60657963.586000003</v>
      </c>
      <c r="F24" s="41">
        <v>64826872.270000011</v>
      </c>
      <c r="G24" s="41">
        <v>68775871.564999998</v>
      </c>
      <c r="H24" s="41">
        <v>72551125.178000003</v>
      </c>
      <c r="I24" s="41">
        <v>76130086.838</v>
      </c>
      <c r="J24" s="41">
        <v>79451514.100999996</v>
      </c>
      <c r="K24" s="41">
        <v>82495544.490000024</v>
      </c>
      <c r="L24" s="41">
        <v>85206420.486000001</v>
      </c>
      <c r="M24" s="41">
        <v>87598757.290999979</v>
      </c>
      <c r="N24" s="41">
        <v>89784933.364600003</v>
      </c>
    </row>
    <row r="25" spans="1:14" x14ac:dyDescent="0.2">
      <c r="A25" s="37" t="s">
        <v>716</v>
      </c>
      <c r="B25" s="37" t="s">
        <v>687</v>
      </c>
      <c r="C25" s="41">
        <v>17077982.930000018</v>
      </c>
      <c r="D25" s="41">
        <v>19805788.936800003</v>
      </c>
      <c r="E25" s="41">
        <v>20159289.497400001</v>
      </c>
      <c r="F25" s="41">
        <v>20476775.141300004</v>
      </c>
      <c r="G25" s="41">
        <v>20749393.893400002</v>
      </c>
      <c r="H25" s="41">
        <v>20940851.981899999</v>
      </c>
      <c r="I25" s="41">
        <v>21040329.486699998</v>
      </c>
      <c r="J25" s="41">
        <v>21038618.613199998</v>
      </c>
      <c r="K25" s="41">
        <v>20955441.926899999</v>
      </c>
      <c r="L25" s="41">
        <v>20804312.533100005</v>
      </c>
      <c r="M25" s="41">
        <v>20591713.880000003</v>
      </c>
      <c r="N25" s="41">
        <v>20351239.3081</v>
      </c>
    </row>
    <row r="26" spans="1:14" x14ac:dyDescent="0.2">
      <c r="A26" s="37" t="s">
        <v>717</v>
      </c>
      <c r="B26" s="37" t="s">
        <v>688</v>
      </c>
      <c r="C26" s="41">
        <v>45614039.319999993</v>
      </c>
      <c r="D26" s="41">
        <v>46130608.688000001</v>
      </c>
      <c r="E26" s="41">
        <v>46972933.263000011</v>
      </c>
      <c r="F26" s="41">
        <v>47577755.758000009</v>
      </c>
      <c r="G26" s="41">
        <v>47995420.120000012</v>
      </c>
      <c r="H26" s="41">
        <v>48224534.769000009</v>
      </c>
      <c r="I26" s="41">
        <v>48224802.348000005</v>
      </c>
      <c r="J26" s="41">
        <v>48028971.478000008</v>
      </c>
      <c r="K26" s="41">
        <v>47680484.528999999</v>
      </c>
      <c r="L26" s="41">
        <v>47208997.395000011</v>
      </c>
      <c r="M26" s="41">
        <v>46617072.958999991</v>
      </c>
      <c r="N26" s="41">
        <v>45970326.495000005</v>
      </c>
    </row>
    <row r="27" spans="1:14" x14ac:dyDescent="0.2">
      <c r="A27" s="37" t="s">
        <v>718</v>
      </c>
      <c r="B27" s="37" t="s">
        <v>689</v>
      </c>
      <c r="C27" s="41">
        <v>31253546.539999887</v>
      </c>
      <c r="D27" s="41">
        <v>33754989.348699994</v>
      </c>
      <c r="E27" s="41">
        <v>36435612.336899988</v>
      </c>
      <c r="F27" s="41">
        <v>38907357.291749991</v>
      </c>
      <c r="G27" s="41">
        <v>41192424.01761999</v>
      </c>
      <c r="H27" s="41">
        <v>43323912.229930013</v>
      </c>
      <c r="I27" s="41">
        <v>45282321.029000022</v>
      </c>
      <c r="J27" s="41">
        <v>47075508.928220011</v>
      </c>
      <c r="K27" s="41">
        <v>48642800.480819978</v>
      </c>
      <c r="L27" s="41">
        <v>49999333.878240012</v>
      </c>
      <c r="M27" s="41">
        <v>51136790.05067002</v>
      </c>
      <c r="N27" s="41">
        <v>52125909.121109977</v>
      </c>
    </row>
    <row r="28" spans="1:14" x14ac:dyDescent="0.2">
      <c r="A28" s="37" t="s">
        <v>719</v>
      </c>
      <c r="B28" s="37" t="s">
        <v>690</v>
      </c>
      <c r="C28" s="41">
        <v>19388126.960000023</v>
      </c>
      <c r="D28" s="41">
        <v>17585176.247000001</v>
      </c>
      <c r="E28" s="41">
        <v>17816637.934999999</v>
      </c>
      <c r="F28" s="41">
        <v>17930085.234000001</v>
      </c>
      <c r="G28" s="41">
        <v>17940824.980999999</v>
      </c>
      <c r="H28" s="41">
        <v>17871914.307000004</v>
      </c>
      <c r="I28" s="41">
        <v>17701358.123</v>
      </c>
      <c r="J28" s="41">
        <v>17487059.499000002</v>
      </c>
      <c r="K28" s="41">
        <v>17237972.877999995</v>
      </c>
      <c r="L28" s="41">
        <v>16930344.434</v>
      </c>
      <c r="M28" s="41">
        <v>16608433.531000001</v>
      </c>
      <c r="N28" s="41">
        <v>16251410.362000002</v>
      </c>
    </row>
    <row r="29" spans="1:14" x14ac:dyDescent="0.2">
      <c r="A29" s="37" t="s">
        <v>720</v>
      </c>
      <c r="B29" s="37" t="s">
        <v>691</v>
      </c>
      <c r="C29" s="41">
        <v>17981767.819999959</v>
      </c>
      <c r="D29" s="41">
        <v>20317824.098200001</v>
      </c>
      <c r="E29" s="41">
        <v>21967032.106299996</v>
      </c>
      <c r="F29" s="41">
        <v>23510704.125500001</v>
      </c>
      <c r="G29" s="41">
        <v>24971189.716500003</v>
      </c>
      <c r="H29" s="41">
        <v>26340833.627499998</v>
      </c>
      <c r="I29" s="41">
        <v>27631045.834299996</v>
      </c>
      <c r="J29" s="41">
        <v>28808041.623099998</v>
      </c>
      <c r="K29" s="41">
        <v>29837457.262799997</v>
      </c>
      <c r="L29" s="41">
        <v>30702162.024299998</v>
      </c>
      <c r="M29" s="41">
        <v>31414970.701299999</v>
      </c>
      <c r="N29" s="41">
        <v>32032798.268399999</v>
      </c>
    </row>
    <row r="30" spans="1:14" x14ac:dyDescent="0.2">
      <c r="A30" s="37" t="s">
        <v>721</v>
      </c>
      <c r="B30" s="37" t="s">
        <v>692</v>
      </c>
      <c r="C30" s="41">
        <v>44845539.820000112</v>
      </c>
      <c r="D30" s="41">
        <v>48019332.207551196</v>
      </c>
      <c r="E30" s="41">
        <v>50771732.591894343</v>
      </c>
      <c r="F30" s="41">
        <v>53225572.894723535</v>
      </c>
      <c r="G30" s="41">
        <v>55388666.918814115</v>
      </c>
      <c r="H30" s="41">
        <v>57252917.077324443</v>
      </c>
      <c r="I30" s="41">
        <v>58843587.911681518</v>
      </c>
      <c r="J30" s="41">
        <v>60207059.366576836</v>
      </c>
      <c r="K30" s="41">
        <v>61339070.616783455</v>
      </c>
      <c r="L30" s="41">
        <v>62196594.287861489</v>
      </c>
      <c r="M30" s="41">
        <v>62782382.675442532</v>
      </c>
      <c r="N30" s="41">
        <v>63180872.50108292</v>
      </c>
    </row>
    <row r="31" spans="1:14" x14ac:dyDescent="0.2">
      <c r="A31" s="39" t="s">
        <v>722</v>
      </c>
      <c r="C31" s="41">
        <f t="shared" ref="C31:N31" si="1">SUM(C22:C30)</f>
        <v>281591845.21000016</v>
      </c>
      <c r="D31" s="41">
        <f t="shared" si="1"/>
        <v>296504946.6972512</v>
      </c>
      <c r="E31" s="41">
        <f t="shared" si="1"/>
        <v>312648978.81249434</v>
      </c>
      <c r="F31" s="41">
        <f t="shared" si="1"/>
        <v>327057301.62627357</v>
      </c>
      <c r="G31" s="41">
        <f t="shared" si="1"/>
        <v>340033860.82933414</v>
      </c>
      <c r="H31" s="41">
        <f t="shared" si="1"/>
        <v>351623166.77265453</v>
      </c>
      <c r="I31" s="41">
        <f t="shared" si="1"/>
        <v>361764323.49868149</v>
      </c>
      <c r="J31" s="41">
        <f t="shared" si="1"/>
        <v>370544930.87809688</v>
      </c>
      <c r="K31" s="41">
        <f t="shared" si="1"/>
        <v>377932076.25030345</v>
      </c>
      <c r="L31" s="41">
        <f t="shared" si="1"/>
        <v>383851078.76650149</v>
      </c>
      <c r="M31" s="41">
        <f t="shared" si="1"/>
        <v>388427532.02641255</v>
      </c>
      <c r="N31" s="41">
        <f t="shared" si="1"/>
        <v>392134815.06329286</v>
      </c>
    </row>
    <row r="32" spans="1:14" x14ac:dyDescent="0.2">
      <c r="C32" s="41"/>
      <c r="D32" s="41"/>
      <c r="E32" s="41"/>
      <c r="F32" s="41"/>
      <c r="G32" s="41"/>
      <c r="H32" s="41"/>
      <c r="I32" s="41"/>
      <c r="J32" s="41"/>
      <c r="K32" s="41"/>
      <c r="L32" s="41"/>
      <c r="M32" s="41"/>
      <c r="N32" s="41"/>
    </row>
    <row r="33" spans="1:14" x14ac:dyDescent="0.2">
      <c r="A33" s="36"/>
      <c r="B33" s="36"/>
      <c r="C33" s="36"/>
      <c r="D33" s="36" t="s">
        <v>723</v>
      </c>
      <c r="E33" s="36"/>
      <c r="F33" s="36"/>
      <c r="G33" s="36"/>
      <c r="H33" s="36"/>
      <c r="I33" s="36"/>
      <c r="J33" s="36"/>
      <c r="K33" s="36"/>
      <c r="L33" s="36"/>
      <c r="M33" s="36"/>
      <c r="N33" s="36"/>
    </row>
    <row r="34" spans="1:14" x14ac:dyDescent="0.2">
      <c r="A34" s="858" t="s">
        <v>683</v>
      </c>
      <c r="B34" s="858"/>
      <c r="C34" s="37">
        <v>2000</v>
      </c>
      <c r="D34" s="37">
        <v>2005</v>
      </c>
      <c r="E34" s="37">
        <v>2010</v>
      </c>
      <c r="F34" s="37">
        <v>2015</v>
      </c>
      <c r="G34" s="37">
        <v>2020</v>
      </c>
      <c r="H34" s="37">
        <v>2025</v>
      </c>
      <c r="I34" s="37">
        <v>2030</v>
      </c>
      <c r="J34" s="37">
        <v>2035</v>
      </c>
      <c r="K34" s="37">
        <v>2040</v>
      </c>
      <c r="L34" s="37">
        <v>2045</v>
      </c>
      <c r="M34" s="37">
        <v>2050</v>
      </c>
      <c r="N34" s="37">
        <v>2055</v>
      </c>
    </row>
    <row r="35" spans="1:14" x14ac:dyDescent="0.2">
      <c r="A35" s="37" t="s">
        <v>700</v>
      </c>
      <c r="B35" s="37" t="s">
        <v>684</v>
      </c>
      <c r="C35" s="41">
        <v>14082663.889999991</v>
      </c>
      <c r="D35" s="41">
        <v>14365140.789999997</v>
      </c>
      <c r="E35" s="41">
        <v>14647617.68999999</v>
      </c>
      <c r="F35" s="41">
        <v>14930094.589999996</v>
      </c>
      <c r="G35" s="41">
        <v>15212571.489999987</v>
      </c>
      <c r="H35" s="41">
        <v>15495048.389999993</v>
      </c>
      <c r="I35" s="41">
        <v>15777525.289999999</v>
      </c>
      <c r="J35" s="41">
        <v>16060002.189999992</v>
      </c>
      <c r="K35" s="41">
        <v>16342479.089999998</v>
      </c>
      <c r="L35" s="41">
        <v>16624955.989999989</v>
      </c>
      <c r="M35" s="41">
        <v>16907432.889999997</v>
      </c>
      <c r="N35" s="41">
        <v>17189909.789999988</v>
      </c>
    </row>
    <row r="36" spans="1:14" x14ac:dyDescent="0.2">
      <c r="A36" s="37" t="s">
        <v>714</v>
      </c>
      <c r="B36" s="37" t="s">
        <v>685</v>
      </c>
      <c r="C36" s="41">
        <v>40037144.820000008</v>
      </c>
      <c r="D36" s="41">
        <v>40430205.620000012</v>
      </c>
      <c r="E36" s="41">
        <v>40823266.420000009</v>
      </c>
      <c r="F36" s="41">
        <v>41216327.220000014</v>
      </c>
      <c r="G36" s="41">
        <v>41609388.020000011</v>
      </c>
      <c r="H36" s="41">
        <v>42002448.820000015</v>
      </c>
      <c r="I36" s="41">
        <v>42395509.620000012</v>
      </c>
      <c r="J36" s="41">
        <v>42788570.420000017</v>
      </c>
      <c r="K36" s="41">
        <v>43181631.220000014</v>
      </c>
      <c r="L36" s="41">
        <v>43574692.020000018</v>
      </c>
      <c r="M36" s="41">
        <v>43967752.820000015</v>
      </c>
      <c r="N36" s="41">
        <v>44360813.62000002</v>
      </c>
    </row>
    <row r="37" spans="1:14" x14ac:dyDescent="0.2">
      <c r="A37" s="37" t="s">
        <v>715</v>
      </c>
      <c r="B37" s="37" t="s">
        <v>686</v>
      </c>
      <c r="C37" s="41">
        <v>51311033.110000156</v>
      </c>
      <c r="D37" s="41">
        <v>55682680.66000019</v>
      </c>
      <c r="E37" s="41">
        <v>60054328.210000224</v>
      </c>
      <c r="F37" s="41">
        <v>64425975.760000259</v>
      </c>
      <c r="G37" s="41">
        <v>68797623.310000062</v>
      </c>
      <c r="H37" s="41">
        <v>73169270.860000104</v>
      </c>
      <c r="I37" s="41">
        <v>77540918.410000131</v>
      </c>
      <c r="J37" s="41">
        <v>81912565.960000172</v>
      </c>
      <c r="K37" s="41">
        <v>86284213.510000199</v>
      </c>
      <c r="L37" s="41">
        <v>90655861.060000241</v>
      </c>
      <c r="M37" s="41">
        <v>95027508.610000268</v>
      </c>
      <c r="N37" s="41">
        <v>99399156.160000071</v>
      </c>
    </row>
    <row r="38" spans="1:14" x14ac:dyDescent="0.2">
      <c r="A38" s="37" t="s">
        <v>716</v>
      </c>
      <c r="B38" s="37" t="s">
        <v>687</v>
      </c>
      <c r="C38" s="41">
        <v>17077982.930000018</v>
      </c>
      <c r="D38" s="41">
        <v>17552092.280000012</v>
      </c>
      <c r="E38" s="41">
        <v>18026201.630000003</v>
      </c>
      <c r="F38" s="41">
        <v>18500310.980000023</v>
      </c>
      <c r="G38" s="41">
        <v>18974420.330000017</v>
      </c>
      <c r="H38" s="41">
        <v>19448529.680000007</v>
      </c>
      <c r="I38" s="41">
        <v>19922639.030000027</v>
      </c>
      <c r="J38" s="41">
        <v>20396748.380000021</v>
      </c>
      <c r="K38" s="41">
        <v>20870857.730000012</v>
      </c>
      <c r="L38" s="41">
        <v>21344967.080000002</v>
      </c>
      <c r="M38" s="41">
        <v>21819076.430000026</v>
      </c>
      <c r="N38" s="41">
        <v>22293185.780000016</v>
      </c>
    </row>
    <row r="39" spans="1:14" x14ac:dyDescent="0.2">
      <c r="A39" s="37" t="s">
        <v>717</v>
      </c>
      <c r="B39" s="37" t="s">
        <v>688</v>
      </c>
      <c r="C39" s="41">
        <v>45614039.319999993</v>
      </c>
      <c r="D39" s="41">
        <v>46191913.769999988</v>
      </c>
      <c r="E39" s="41">
        <v>46769788.220000006</v>
      </c>
      <c r="F39" s="41">
        <v>47347662.670000002</v>
      </c>
      <c r="G39" s="41">
        <v>47925537.120000005</v>
      </c>
      <c r="H39" s="41">
        <v>48503411.57</v>
      </c>
      <c r="I39" s="41">
        <v>49081286.019999996</v>
      </c>
      <c r="J39" s="41">
        <v>49659160.469999991</v>
      </c>
      <c r="K39" s="41">
        <v>50237034.919999987</v>
      </c>
      <c r="L39" s="41">
        <v>50814909.370000012</v>
      </c>
      <c r="M39" s="41">
        <v>51392783.820000008</v>
      </c>
      <c r="N39" s="41">
        <v>51970658.270000003</v>
      </c>
    </row>
    <row r="40" spans="1:14" x14ac:dyDescent="0.2">
      <c r="A40" s="37" t="s">
        <v>718</v>
      </c>
      <c r="B40" s="37" t="s">
        <v>689</v>
      </c>
      <c r="C40" s="41">
        <v>31253546.539999887</v>
      </c>
      <c r="D40" s="41">
        <v>33535417.339999866</v>
      </c>
      <c r="E40" s="41">
        <v>35817288.139999963</v>
      </c>
      <c r="F40" s="41">
        <v>38099158.939999938</v>
      </c>
      <c r="G40" s="41">
        <v>40381029.73999992</v>
      </c>
      <c r="H40" s="41">
        <v>42662900.539999895</v>
      </c>
      <c r="I40" s="41">
        <v>44944771.339999877</v>
      </c>
      <c r="J40" s="41">
        <v>47226642.139999971</v>
      </c>
      <c r="K40" s="41">
        <v>49508512.939999945</v>
      </c>
      <c r="L40" s="41">
        <v>51790383.739999928</v>
      </c>
      <c r="M40" s="41">
        <v>54072254.539999902</v>
      </c>
      <c r="N40" s="41">
        <v>56354125.339999884</v>
      </c>
    </row>
    <row r="41" spans="1:14" x14ac:dyDescent="0.2">
      <c r="A41" s="37" t="s">
        <v>719</v>
      </c>
      <c r="B41" s="37" t="s">
        <v>690</v>
      </c>
      <c r="C41" s="41">
        <v>19388126.960000023</v>
      </c>
      <c r="D41" s="41">
        <v>19826329.51000002</v>
      </c>
      <c r="E41" s="41">
        <v>20264532.060000021</v>
      </c>
      <c r="F41" s="41">
        <v>20702734.610000022</v>
      </c>
      <c r="G41" s="41">
        <v>21140937.160000023</v>
      </c>
      <c r="H41" s="41">
        <v>21579139.71000002</v>
      </c>
      <c r="I41" s="41">
        <v>22017342.26000002</v>
      </c>
      <c r="J41" s="41">
        <v>22455544.810000021</v>
      </c>
      <c r="K41" s="41">
        <v>22893747.360000022</v>
      </c>
      <c r="L41" s="41">
        <v>23331949.910000019</v>
      </c>
      <c r="M41" s="41">
        <v>23770152.46000002</v>
      </c>
      <c r="N41" s="41">
        <v>24208355.01000002</v>
      </c>
    </row>
    <row r="42" spans="1:14" x14ac:dyDescent="0.2">
      <c r="A42" s="37" t="s">
        <v>720</v>
      </c>
      <c r="B42" s="37" t="s">
        <v>691</v>
      </c>
      <c r="C42" s="41">
        <v>17981767.819999959</v>
      </c>
      <c r="D42" s="41">
        <v>19923017.619999997</v>
      </c>
      <c r="E42" s="41">
        <v>21864267.420000032</v>
      </c>
      <c r="F42" s="41">
        <v>23805517.219999958</v>
      </c>
      <c r="G42" s="41">
        <v>25746767.019999992</v>
      </c>
      <c r="H42" s="41">
        <v>27688016.82000003</v>
      </c>
      <c r="I42" s="41">
        <v>29629266.619999953</v>
      </c>
      <c r="J42" s="41">
        <v>31570516.419999991</v>
      </c>
      <c r="K42" s="41">
        <v>33511766.220000029</v>
      </c>
      <c r="L42" s="41">
        <v>35453016.019999951</v>
      </c>
      <c r="M42" s="41">
        <v>37394265.819999985</v>
      </c>
      <c r="N42" s="41">
        <v>39335515.620000027</v>
      </c>
    </row>
    <row r="43" spans="1:14" x14ac:dyDescent="0.2">
      <c r="A43" s="37" t="s">
        <v>721</v>
      </c>
      <c r="B43" s="37" t="s">
        <v>692</v>
      </c>
      <c r="C43" s="41">
        <v>44845539.820000112</v>
      </c>
      <c r="D43" s="41">
        <v>47700071.920000024</v>
      </c>
      <c r="E43" s="41">
        <v>50554604.020000167</v>
      </c>
      <c r="F43" s="41">
        <v>53409136.120000087</v>
      </c>
      <c r="G43" s="41">
        <v>56263668.22000023</v>
      </c>
      <c r="H43" s="41">
        <v>59118200.320000142</v>
      </c>
      <c r="I43" s="41">
        <v>61972732.420000054</v>
      </c>
      <c r="J43" s="41">
        <v>64827264.520000197</v>
      </c>
      <c r="K43" s="41">
        <v>67681796.620000109</v>
      </c>
      <c r="L43" s="41">
        <v>70536328.720000029</v>
      </c>
      <c r="M43" s="41">
        <v>73390860.820000172</v>
      </c>
      <c r="N43" s="41">
        <v>76245392.920000091</v>
      </c>
    </row>
    <row r="44" spans="1:14" x14ac:dyDescent="0.2">
      <c r="A44" s="39" t="s">
        <v>722</v>
      </c>
      <c r="C44" s="41">
        <f t="shared" ref="C44:N44" si="2">SUM(C35:C43)</f>
        <v>281591845.21000016</v>
      </c>
      <c r="D44" s="41">
        <f t="shared" si="2"/>
        <v>295206869.51000011</v>
      </c>
      <c r="E44" s="41">
        <f t="shared" si="2"/>
        <v>308821893.81000042</v>
      </c>
      <c r="F44" s="41">
        <f t="shared" si="2"/>
        <v>322436918.11000025</v>
      </c>
      <c r="G44" s="41">
        <f t="shared" si="2"/>
        <v>336051942.41000021</v>
      </c>
      <c r="H44" s="41">
        <f t="shared" si="2"/>
        <v>349666966.71000016</v>
      </c>
      <c r="I44" s="41">
        <f t="shared" si="2"/>
        <v>363281991.01000011</v>
      </c>
      <c r="J44" s="41">
        <f t="shared" si="2"/>
        <v>376897015.31000042</v>
      </c>
      <c r="K44" s="41">
        <f t="shared" si="2"/>
        <v>390512039.61000031</v>
      </c>
      <c r="L44" s="41">
        <f t="shared" si="2"/>
        <v>404127063.91000021</v>
      </c>
      <c r="M44" s="41">
        <f t="shared" si="2"/>
        <v>417742088.21000046</v>
      </c>
      <c r="N44" s="41">
        <f t="shared" si="2"/>
        <v>431357112.51000011</v>
      </c>
    </row>
    <row r="45" spans="1:14" x14ac:dyDescent="0.2">
      <c r="A45" s="39" t="s">
        <v>724</v>
      </c>
      <c r="C45" s="37">
        <f>C44/10^6</f>
        <v>281.59184521000014</v>
      </c>
      <c r="D45" s="37">
        <f t="shared" ref="D45:N45" si="3">D44/10^6</f>
        <v>295.2068695100001</v>
      </c>
      <c r="E45" s="206">
        <f t="shared" si="3"/>
        <v>308.8218938100004</v>
      </c>
      <c r="F45" s="37">
        <f t="shared" si="3"/>
        <v>322.43691811000025</v>
      </c>
      <c r="G45" s="37">
        <f t="shared" si="3"/>
        <v>336.05194241000021</v>
      </c>
      <c r="H45" s="37">
        <f t="shared" si="3"/>
        <v>349.66696671000017</v>
      </c>
      <c r="I45" s="37">
        <f t="shared" si="3"/>
        <v>363.28199101000013</v>
      </c>
      <c r="J45" s="37">
        <f t="shared" si="3"/>
        <v>376.89701531000043</v>
      </c>
      <c r="K45" s="37">
        <f t="shared" si="3"/>
        <v>390.51203961000033</v>
      </c>
      <c r="L45" s="37">
        <f t="shared" si="3"/>
        <v>404.12706391000023</v>
      </c>
      <c r="M45" s="37">
        <f t="shared" si="3"/>
        <v>417.74208821000047</v>
      </c>
      <c r="N45" s="37">
        <f t="shared" si="3"/>
        <v>431.35711251000009</v>
      </c>
    </row>
    <row r="46" spans="1:14" x14ac:dyDescent="0.2">
      <c r="A46" s="37" t="s">
        <v>725</v>
      </c>
    </row>
    <row r="48" spans="1:14" ht="12.75" x14ac:dyDescent="0.2">
      <c r="D48" s="207" t="s">
        <v>1129</v>
      </c>
      <c r="E48" s="208">
        <v>2010</v>
      </c>
      <c r="F48" s="208">
        <v>2015</v>
      </c>
      <c r="G48" s="208">
        <v>2020</v>
      </c>
      <c r="H48" s="208">
        <v>2025</v>
      </c>
      <c r="I48" s="208">
        <v>2030</v>
      </c>
      <c r="J48" s="208">
        <v>2035</v>
      </c>
      <c r="K48" s="208">
        <v>2040</v>
      </c>
      <c r="L48" s="208">
        <v>2045</v>
      </c>
      <c r="M48" s="208">
        <v>2050</v>
      </c>
      <c r="N48" s="208">
        <v>2055</v>
      </c>
    </row>
    <row r="49" spans="4:14" ht="12.75" x14ac:dyDescent="0.2">
      <c r="D49" s="198" t="s">
        <v>701</v>
      </c>
      <c r="E49" s="198">
        <v>1385108</v>
      </c>
      <c r="F49" s="198">
        <v>1455444</v>
      </c>
      <c r="G49" s="198">
        <v>1446788</v>
      </c>
      <c r="H49" s="198">
        <v>1482893</v>
      </c>
      <c r="I49" s="198">
        <v>1518998</v>
      </c>
      <c r="J49" s="198">
        <v>1549121.5</v>
      </c>
      <c r="K49" s="198">
        <v>1579245</v>
      </c>
      <c r="L49" s="198">
        <v>1625954.9772727266</v>
      </c>
      <c r="M49" s="198">
        <v>1660587.6071428563</v>
      </c>
      <c r="N49" s="198">
        <v>1695220.2370129861</v>
      </c>
    </row>
    <row r="50" spans="4:14" ht="12.75" x14ac:dyDescent="0.2">
      <c r="D50" s="198" t="s">
        <v>705</v>
      </c>
      <c r="E50" s="198">
        <v>2552911</v>
      </c>
      <c r="F50" s="198">
        <v>2636735</v>
      </c>
      <c r="G50" s="198">
        <v>2648452</v>
      </c>
      <c r="H50" s="198">
        <v>2701230.5</v>
      </c>
      <c r="I50" s="198">
        <v>2754009</v>
      </c>
      <c r="J50" s="198">
        <v>2797267</v>
      </c>
      <c r="K50" s="198">
        <v>2840525</v>
      </c>
      <c r="L50" s="198">
        <v>2908244.5075757541</v>
      </c>
      <c r="M50" s="198">
        <v>2959463.6785714254</v>
      </c>
      <c r="N50" s="198">
        <v>3010682.8495670967</v>
      </c>
    </row>
    <row r="51" spans="4:14" ht="12.75" x14ac:dyDescent="0.2">
      <c r="D51" s="198" t="s">
        <v>702</v>
      </c>
      <c r="E51" s="198">
        <v>1585873</v>
      </c>
      <c r="F51" s="198">
        <v>1644518</v>
      </c>
      <c r="G51" s="198">
        <v>1638281</v>
      </c>
      <c r="H51" s="198">
        <v>1657500.5</v>
      </c>
      <c r="I51" s="198">
        <v>1676720</v>
      </c>
      <c r="J51" s="198">
        <v>1684168.5</v>
      </c>
      <c r="K51" s="198">
        <v>1691617</v>
      </c>
      <c r="L51" s="198">
        <v>1733166.166666667</v>
      </c>
      <c r="M51" s="198">
        <v>1753311.5714285718</v>
      </c>
      <c r="N51" s="198">
        <v>1773456.9761904767</v>
      </c>
    </row>
    <row r="52" spans="4:14" ht="12.75" x14ac:dyDescent="0.2">
      <c r="D52" s="198" t="s">
        <v>704</v>
      </c>
      <c r="E52" s="198">
        <v>2250002</v>
      </c>
      <c r="F52" s="198">
        <v>2339150</v>
      </c>
      <c r="G52" s="198">
        <v>2330295</v>
      </c>
      <c r="H52" s="198">
        <v>2351923</v>
      </c>
      <c r="I52" s="198">
        <v>2373551</v>
      </c>
      <c r="J52" s="198">
        <v>2393100</v>
      </c>
      <c r="K52" s="198">
        <v>2412649</v>
      </c>
      <c r="L52" s="198">
        <v>2496538.7575757559</v>
      </c>
      <c r="M52" s="198">
        <v>2533665.5714285709</v>
      </c>
      <c r="N52" s="198">
        <v>2570792.385281384</v>
      </c>
    </row>
    <row r="53" spans="4:14" ht="12.75" x14ac:dyDescent="0.2">
      <c r="D53" s="198" t="s">
        <v>703</v>
      </c>
      <c r="E53" s="198">
        <v>468730</v>
      </c>
      <c r="F53" s="198">
        <v>474558</v>
      </c>
      <c r="G53" s="198">
        <v>487155</v>
      </c>
      <c r="H53" s="198">
        <v>492452</v>
      </c>
      <c r="I53" s="198">
        <v>497749</v>
      </c>
      <c r="J53" s="198">
        <v>499429</v>
      </c>
      <c r="K53" s="198">
        <v>501109</v>
      </c>
      <c r="L53" s="198">
        <v>528935.80303030275</v>
      </c>
      <c r="M53" s="198">
        <v>539243.35714285728</v>
      </c>
      <c r="N53" s="198">
        <v>549550.9112554118</v>
      </c>
    </row>
    <row r="54" spans="4:14" ht="12.75" x14ac:dyDescent="0.2">
      <c r="D54" s="198" t="s">
        <v>696</v>
      </c>
      <c r="E54" s="198">
        <f>SUM(E49:E53)</f>
        <v>8242624</v>
      </c>
      <c r="F54" s="198">
        <f t="shared" ref="F54:N54" si="4">SUM(F49:F53)</f>
        <v>8550405</v>
      </c>
      <c r="G54" s="198">
        <f t="shared" si="4"/>
        <v>8550971</v>
      </c>
      <c r="H54" s="198">
        <f t="shared" si="4"/>
        <v>8685999</v>
      </c>
      <c r="I54" s="198">
        <f t="shared" si="4"/>
        <v>8821027</v>
      </c>
      <c r="J54" s="198">
        <f t="shared" si="4"/>
        <v>8923086</v>
      </c>
      <c r="K54" s="198">
        <f t="shared" si="4"/>
        <v>9025145</v>
      </c>
      <c r="L54" s="198">
        <f t="shared" si="4"/>
        <v>9292840.2121212054</v>
      </c>
      <c r="M54" s="198">
        <f t="shared" si="4"/>
        <v>9446271.7857142836</v>
      </c>
      <c r="N54" s="198">
        <f t="shared" si="4"/>
        <v>9599703.3593073562</v>
      </c>
    </row>
  </sheetData>
  <mergeCells count="3">
    <mergeCell ref="A8:B8"/>
    <mergeCell ref="A21:B21"/>
    <mergeCell ref="A34:B3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987B-8C74-4F1F-9B2E-F1EBC150EEAB}">
  <dimension ref="A1:AM60"/>
  <sheetViews>
    <sheetView topLeftCell="A22" workbookViewId="0">
      <selection activeCell="A30" sqref="A30:A39"/>
    </sheetView>
  </sheetViews>
  <sheetFormatPr defaultRowHeight="12.75" x14ac:dyDescent="0.2"/>
  <cols>
    <col min="1" max="1" width="20.85546875" customWidth="1"/>
    <col min="2" max="2" width="13.5703125" customWidth="1"/>
    <col min="3" max="3" width="11.7109375" style="179" bestFit="1" customWidth="1"/>
    <col min="4" max="4" width="9.28515625" bestFit="1" customWidth="1"/>
    <col min="5" max="5" width="10.85546875" bestFit="1" customWidth="1"/>
    <col min="6" max="6" width="10.85546875" customWidth="1"/>
    <col min="7" max="7" width="11.7109375" bestFit="1" customWidth="1"/>
    <col min="8" max="8" width="9.28515625" bestFit="1" customWidth="1"/>
    <col min="9" max="9" width="10.85546875" bestFit="1" customWidth="1"/>
    <col min="10" max="10" width="10.85546875" customWidth="1"/>
    <col min="11" max="11" width="11.7109375" style="179" bestFit="1" customWidth="1"/>
    <col min="12" max="12" width="9.28515625" bestFit="1" customWidth="1"/>
    <col min="13" max="13" width="10.85546875" bestFit="1" customWidth="1"/>
    <col min="14" max="14" width="10.85546875" customWidth="1"/>
    <col min="15" max="20" width="9.28515625" bestFit="1" customWidth="1"/>
  </cols>
  <sheetData>
    <row r="1" spans="1:39" x14ac:dyDescent="0.2">
      <c r="A1" s="401" t="s">
        <v>1136</v>
      </c>
      <c r="B1" s="35"/>
      <c r="C1" s="178"/>
      <c r="D1" s="35"/>
      <c r="E1" s="35"/>
      <c r="F1" s="35"/>
      <c r="G1" s="35"/>
      <c r="H1" s="35"/>
      <c r="I1" s="35"/>
      <c r="J1" s="35"/>
      <c r="K1" s="178"/>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x14ac:dyDescent="0.2">
      <c r="A2" s="401" t="s">
        <v>1137</v>
      </c>
      <c r="B2" s="35"/>
      <c r="C2" s="178"/>
      <c r="D2" s="35"/>
      <c r="E2" s="35"/>
      <c r="F2" s="35"/>
      <c r="G2" s="35"/>
      <c r="H2" s="35"/>
      <c r="I2" s="35"/>
      <c r="J2" s="35"/>
      <c r="K2" s="178"/>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row>
    <row r="3" spans="1:39" x14ac:dyDescent="0.2">
      <c r="A3" s="35"/>
      <c r="B3" s="35"/>
      <c r="C3" s="178"/>
      <c r="D3" s="402" t="s">
        <v>1138</v>
      </c>
      <c r="E3" s="35"/>
      <c r="F3" s="35"/>
      <c r="G3" s="35"/>
      <c r="H3" s="402" t="s">
        <v>1139</v>
      </c>
      <c r="I3" s="35"/>
      <c r="J3" s="35"/>
      <c r="K3" s="178"/>
      <c r="L3" s="402" t="s">
        <v>1140</v>
      </c>
      <c r="M3" s="35"/>
      <c r="N3" s="35"/>
      <c r="O3" s="35"/>
      <c r="P3" s="402" t="s">
        <v>1141</v>
      </c>
      <c r="Q3" s="35"/>
      <c r="R3" s="35"/>
      <c r="S3" s="402" t="s">
        <v>1142</v>
      </c>
      <c r="T3" s="35"/>
      <c r="U3" s="35"/>
      <c r="V3" s="35"/>
      <c r="W3" s="35"/>
      <c r="X3" s="35"/>
      <c r="Y3" s="35"/>
      <c r="Z3" s="35"/>
      <c r="AA3" s="35"/>
      <c r="AB3" s="35"/>
      <c r="AC3" s="35"/>
      <c r="AD3" s="35"/>
      <c r="AE3" s="35"/>
      <c r="AF3" s="35"/>
      <c r="AG3" s="35"/>
      <c r="AH3" s="35"/>
      <c r="AI3" s="35"/>
      <c r="AJ3" s="35"/>
      <c r="AK3" s="35"/>
      <c r="AL3" s="35"/>
      <c r="AM3" s="35"/>
    </row>
    <row r="4" spans="1:39" x14ac:dyDescent="0.2">
      <c r="A4" s="402" t="s">
        <v>1143</v>
      </c>
      <c r="B4" s="402" t="s">
        <v>165</v>
      </c>
      <c r="C4" s="411" t="s">
        <v>1144</v>
      </c>
      <c r="D4" s="402" t="s">
        <v>1145</v>
      </c>
      <c r="E4" s="402" t="s">
        <v>1146</v>
      </c>
      <c r="F4" s="402" t="s">
        <v>1147</v>
      </c>
      <c r="G4" s="402" t="s">
        <v>1144</v>
      </c>
      <c r="H4" s="402" t="s">
        <v>1145</v>
      </c>
      <c r="I4" s="402" t="s">
        <v>1146</v>
      </c>
      <c r="J4" s="402" t="s">
        <v>1147</v>
      </c>
      <c r="K4" s="411" t="s">
        <v>1144</v>
      </c>
      <c r="L4" s="402" t="s">
        <v>1145</v>
      </c>
      <c r="M4" s="402" t="s">
        <v>1146</v>
      </c>
      <c r="N4" s="402" t="s">
        <v>1147</v>
      </c>
      <c r="O4" s="402" t="s">
        <v>1144</v>
      </c>
      <c r="P4" s="402" t="s">
        <v>1145</v>
      </c>
      <c r="Q4" s="402" t="s">
        <v>1146</v>
      </c>
      <c r="R4" s="402" t="s">
        <v>1144</v>
      </c>
      <c r="S4" s="402" t="s">
        <v>1145</v>
      </c>
      <c r="T4" s="402" t="s">
        <v>1146</v>
      </c>
      <c r="U4" s="35"/>
      <c r="V4" s="35"/>
      <c r="W4" s="35"/>
      <c r="X4" s="35"/>
      <c r="Y4" s="35"/>
      <c r="Z4" s="35"/>
      <c r="AA4" s="35"/>
      <c r="AB4" s="35"/>
      <c r="AC4" s="35"/>
      <c r="AD4" s="35"/>
      <c r="AE4" s="35"/>
      <c r="AF4" s="35"/>
      <c r="AG4" s="35"/>
      <c r="AH4" s="35"/>
      <c r="AI4" s="35"/>
      <c r="AJ4" s="35"/>
      <c r="AK4" s="35"/>
      <c r="AL4" s="35"/>
      <c r="AM4" s="35"/>
    </row>
    <row r="5" spans="1:39" x14ac:dyDescent="0.2">
      <c r="A5" s="402" t="s">
        <v>1148</v>
      </c>
      <c r="B5" s="35"/>
      <c r="C5" s="178"/>
      <c r="D5" s="35"/>
      <c r="E5" s="35"/>
      <c r="F5" s="35"/>
      <c r="G5" s="35"/>
      <c r="H5" s="35"/>
      <c r="I5" s="35"/>
      <c r="J5" s="35"/>
      <c r="K5" s="178"/>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row>
    <row r="6" spans="1:39" x14ac:dyDescent="0.2">
      <c r="A6" s="402" t="s">
        <v>1149</v>
      </c>
      <c r="B6" s="35"/>
      <c r="C6" s="178"/>
      <c r="D6" s="35"/>
      <c r="E6" s="35"/>
      <c r="F6" s="35"/>
      <c r="G6" s="35"/>
      <c r="H6" s="35"/>
      <c r="I6" s="35"/>
      <c r="J6" s="35"/>
      <c r="K6" s="178"/>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row>
    <row r="7" spans="1:39" x14ac:dyDescent="0.2">
      <c r="A7" s="403" t="s">
        <v>1150</v>
      </c>
      <c r="B7" s="403" t="s">
        <v>1151</v>
      </c>
      <c r="C7" s="412">
        <v>555115513</v>
      </c>
      <c r="D7" s="404">
        <v>1509205</v>
      </c>
      <c r="E7" s="404">
        <v>20485363</v>
      </c>
      <c r="F7" s="420">
        <f>E7*1.05505585262*10^(-6)</f>
        <v>21.613202126195198</v>
      </c>
      <c r="G7" s="404">
        <v>593685897</v>
      </c>
      <c r="H7" s="404">
        <v>1614067</v>
      </c>
      <c r="I7" s="404">
        <v>21908722</v>
      </c>
      <c r="J7" s="420">
        <f>I7*1.05505585262*10^(-6)</f>
        <v>23.114925369524553</v>
      </c>
      <c r="K7" s="412">
        <v>642371709</v>
      </c>
      <c r="L7" s="404">
        <v>1746430</v>
      </c>
      <c r="M7" s="404">
        <v>23705369</v>
      </c>
      <c r="N7" s="420">
        <f>M7*1.05505585262*10^(-6)</f>
        <v>25.010488301966713</v>
      </c>
      <c r="O7" s="405">
        <v>0.08</v>
      </c>
      <c r="P7" s="405">
        <v>0.08</v>
      </c>
      <c r="Q7" s="405">
        <v>0.08</v>
      </c>
      <c r="R7" s="405">
        <v>0.16</v>
      </c>
      <c r="S7" s="405">
        <v>0.16</v>
      </c>
      <c r="T7" s="405">
        <v>0.16</v>
      </c>
      <c r="U7" s="35"/>
      <c r="V7" s="35"/>
      <c r="W7" s="35"/>
      <c r="X7" s="35"/>
      <c r="Y7" s="35"/>
      <c r="Z7" s="35"/>
      <c r="AA7" s="35"/>
      <c r="AB7" s="35"/>
      <c r="AC7" s="35"/>
      <c r="AD7" s="35"/>
      <c r="AE7" s="35"/>
      <c r="AF7" s="35"/>
      <c r="AG7" s="35"/>
      <c r="AH7" s="35"/>
      <c r="AI7" s="35"/>
      <c r="AJ7" s="35"/>
      <c r="AK7" s="35"/>
      <c r="AL7" s="35"/>
      <c r="AM7" s="35"/>
    </row>
    <row r="8" spans="1:39" x14ac:dyDescent="0.2">
      <c r="A8" s="403" t="s">
        <v>1152</v>
      </c>
      <c r="B8" s="403" t="s">
        <v>1153</v>
      </c>
      <c r="C8" s="412">
        <v>294735132</v>
      </c>
      <c r="D8" s="404">
        <v>858782</v>
      </c>
      <c r="E8" s="404">
        <v>11486968</v>
      </c>
      <c r="F8" s="420">
        <f t="shared" ref="F8:F59" si="0">E8*1.05505585262*10^(-6)</f>
        <v>12.119392817258655</v>
      </c>
      <c r="G8" s="404">
        <v>303965661</v>
      </c>
      <c r="H8" s="404">
        <v>885678</v>
      </c>
      <c r="I8" s="404">
        <v>11846717</v>
      </c>
      <c r="J8" s="420">
        <f t="shared" ref="J8:J59" si="1">I8*1.05505585262*10^(-6)</f>
        <v>12.498948105182848</v>
      </c>
      <c r="K8" s="412">
        <v>371262975</v>
      </c>
      <c r="L8" s="404">
        <v>1081765</v>
      </c>
      <c r="M8" s="404">
        <v>14469554</v>
      </c>
      <c r="N8" s="420">
        <f t="shared" ref="N8:N48" si="2">M8*1.05505585262*10^(-6)</f>
        <v>15.266187632501131</v>
      </c>
      <c r="O8" s="405">
        <v>0.22</v>
      </c>
      <c r="P8" s="405">
        <v>0.22</v>
      </c>
      <c r="Q8" s="405">
        <v>0.22</v>
      </c>
      <c r="R8" s="405">
        <v>0.26</v>
      </c>
      <c r="S8" s="405">
        <v>0.26</v>
      </c>
      <c r="T8" s="405">
        <v>0.26</v>
      </c>
      <c r="U8" s="35"/>
      <c r="V8" s="35"/>
      <c r="W8" s="35"/>
      <c r="X8" s="35"/>
      <c r="Y8" s="35"/>
      <c r="Z8" s="35"/>
      <c r="AA8" s="35"/>
      <c r="AB8" s="35"/>
      <c r="AC8" s="35"/>
      <c r="AD8" s="35"/>
      <c r="AE8" s="35"/>
      <c r="AF8" s="35"/>
      <c r="AG8" s="35"/>
      <c r="AH8" s="35"/>
      <c r="AI8" s="35"/>
      <c r="AJ8" s="35"/>
      <c r="AK8" s="35"/>
      <c r="AL8" s="35"/>
      <c r="AM8" s="35"/>
    </row>
    <row r="9" spans="1:39" x14ac:dyDescent="0.2">
      <c r="A9" s="403" t="s">
        <v>1154</v>
      </c>
      <c r="B9" s="403" t="s">
        <v>1153</v>
      </c>
      <c r="C9" s="412">
        <v>733787288</v>
      </c>
      <c r="D9" s="404">
        <v>2202564</v>
      </c>
      <c r="E9" s="404">
        <v>29446928</v>
      </c>
      <c r="F9" s="420">
        <f t="shared" si="0"/>
        <v>31.06815372807975</v>
      </c>
      <c r="G9" s="404">
        <v>232103338</v>
      </c>
      <c r="H9" s="404">
        <v>696690</v>
      </c>
      <c r="I9" s="404">
        <v>9314321</v>
      </c>
      <c r="J9" s="420">
        <f t="shared" si="1"/>
        <v>9.8271288842313709</v>
      </c>
      <c r="K9" s="412">
        <v>48457191</v>
      </c>
      <c r="L9" s="404">
        <v>145451</v>
      </c>
      <c r="M9" s="404">
        <v>1944590</v>
      </c>
      <c r="N9" s="420">
        <f t="shared" si="2"/>
        <v>2.0516510604463258</v>
      </c>
      <c r="O9" s="405">
        <v>-0.79</v>
      </c>
      <c r="P9" s="405">
        <v>-0.79</v>
      </c>
      <c r="Q9" s="405">
        <v>-0.79</v>
      </c>
      <c r="R9" s="405">
        <v>-0.93</v>
      </c>
      <c r="S9" s="405">
        <v>-0.93</v>
      </c>
      <c r="T9" s="405">
        <v>-0.93</v>
      </c>
      <c r="U9" s="35"/>
      <c r="V9" s="35"/>
      <c r="W9" s="35"/>
      <c r="X9" s="35"/>
      <c r="Y9" s="35"/>
      <c r="Z9" s="35"/>
      <c r="AA9" s="35"/>
      <c r="AB9" s="35"/>
      <c r="AC9" s="35"/>
      <c r="AD9" s="35"/>
      <c r="AE9" s="35"/>
      <c r="AF9" s="35"/>
      <c r="AG9" s="35"/>
      <c r="AH9" s="35"/>
      <c r="AI9" s="35"/>
      <c r="AJ9" s="35"/>
      <c r="AK9" s="35"/>
      <c r="AL9" s="35"/>
      <c r="AM9" s="35"/>
    </row>
    <row r="10" spans="1:39" x14ac:dyDescent="0.2">
      <c r="A10" s="403" t="s">
        <v>695</v>
      </c>
      <c r="B10" s="403" t="s">
        <v>1153</v>
      </c>
      <c r="C10" s="412">
        <v>2723585</v>
      </c>
      <c r="D10" s="406">
        <v>5</v>
      </c>
      <c r="E10" s="404">
        <v>92994</v>
      </c>
      <c r="F10" s="420">
        <f t="shared" si="0"/>
        <v>9.8113863958544281E-2</v>
      </c>
      <c r="G10" s="404">
        <v>34445648</v>
      </c>
      <c r="H10" s="406">
        <v>59</v>
      </c>
      <c r="I10" s="404">
        <v>1176108</v>
      </c>
      <c r="J10" s="420">
        <f t="shared" si="1"/>
        <v>1.2408596287132028</v>
      </c>
      <c r="K10" s="412">
        <v>34527400</v>
      </c>
      <c r="L10" s="406">
        <v>59</v>
      </c>
      <c r="M10" s="404">
        <v>1178900</v>
      </c>
      <c r="N10" s="420">
        <f t="shared" si="2"/>
        <v>1.2438053446537178</v>
      </c>
      <c r="O10" s="405">
        <v>0</v>
      </c>
      <c r="P10" s="405">
        <v>0</v>
      </c>
      <c r="Q10" s="405">
        <v>0</v>
      </c>
      <c r="R10" s="403" t="s">
        <v>1155</v>
      </c>
      <c r="S10" s="403" t="s">
        <v>1155</v>
      </c>
      <c r="T10" s="403" t="s">
        <v>1155</v>
      </c>
      <c r="U10" s="35"/>
      <c r="V10" s="35"/>
      <c r="W10" s="35"/>
      <c r="X10" s="35"/>
      <c r="Y10" s="35"/>
      <c r="Z10" s="35"/>
      <c r="AA10" s="35"/>
      <c r="AB10" s="35"/>
      <c r="AC10" s="35"/>
      <c r="AD10" s="35"/>
      <c r="AE10" s="35"/>
      <c r="AF10" s="35"/>
      <c r="AG10" s="35"/>
      <c r="AH10" s="35"/>
      <c r="AI10" s="35"/>
      <c r="AJ10" s="35"/>
      <c r="AK10" s="35"/>
      <c r="AL10" s="35"/>
      <c r="AM10" s="35"/>
    </row>
    <row r="11" spans="1:39" x14ac:dyDescent="0.2">
      <c r="A11" s="403" t="s">
        <v>1156</v>
      </c>
      <c r="B11" s="403" t="s">
        <v>1157</v>
      </c>
      <c r="C11" s="412">
        <v>14168364734</v>
      </c>
      <c r="D11" s="404">
        <v>6079321</v>
      </c>
      <c r="E11" s="404">
        <v>133021044</v>
      </c>
      <c r="F11" s="420">
        <f t="shared" si="0"/>
        <v>140.34463099382253</v>
      </c>
      <c r="G11" s="404">
        <v>15050281601</v>
      </c>
      <c r="H11" s="404">
        <v>3984838</v>
      </c>
      <c r="I11" s="404">
        <v>132480574</v>
      </c>
      <c r="J11" s="420">
        <f t="shared" si="1"/>
        <v>139.774404957157</v>
      </c>
      <c r="K11" s="412">
        <v>15701860145</v>
      </c>
      <c r="L11" s="404">
        <v>4035680</v>
      </c>
      <c r="M11" s="404">
        <v>148976038</v>
      </c>
      <c r="N11" s="420">
        <f t="shared" si="2"/>
        <v>157.1780407920395</v>
      </c>
      <c r="O11" s="405">
        <v>0.04</v>
      </c>
      <c r="P11" s="405">
        <v>0.01</v>
      </c>
      <c r="Q11" s="405">
        <v>0.12</v>
      </c>
      <c r="R11" s="405">
        <v>0.11</v>
      </c>
      <c r="S11" s="405">
        <v>-0.34</v>
      </c>
      <c r="T11" s="405">
        <v>0.12</v>
      </c>
      <c r="U11" s="35"/>
      <c r="V11" s="35"/>
      <c r="W11" s="35"/>
      <c r="X11" s="35"/>
      <c r="Y11" s="35"/>
      <c r="Z11" s="35"/>
      <c r="AA11" s="35"/>
      <c r="AB11" s="35"/>
      <c r="AC11" s="35"/>
      <c r="AD11" s="35"/>
      <c r="AE11" s="35"/>
      <c r="AF11" s="35"/>
      <c r="AG11" s="35"/>
      <c r="AH11" s="35"/>
      <c r="AI11" s="35"/>
      <c r="AJ11" s="35"/>
      <c r="AK11" s="35"/>
      <c r="AL11" s="35"/>
      <c r="AM11" s="35"/>
    </row>
    <row r="12" spans="1:39" x14ac:dyDescent="0.2">
      <c r="A12" s="403" t="s">
        <v>1158</v>
      </c>
      <c r="B12" s="403" t="s">
        <v>1159</v>
      </c>
      <c r="C12" s="412">
        <v>180307273</v>
      </c>
      <c r="D12" s="404">
        <v>9088939</v>
      </c>
      <c r="E12" s="404">
        <v>179443212</v>
      </c>
      <c r="F12" s="420">
        <f t="shared" si="0"/>
        <v>189.32261103353142</v>
      </c>
      <c r="G12" s="404">
        <v>187277654</v>
      </c>
      <c r="H12" s="404">
        <v>9440303</v>
      </c>
      <c r="I12" s="404">
        <v>186380189</v>
      </c>
      <c r="J12" s="420">
        <f t="shared" si="1"/>
        <v>196.64150921687173</v>
      </c>
      <c r="K12" s="412">
        <v>184436188</v>
      </c>
      <c r="L12" s="404">
        <v>9297070</v>
      </c>
      <c r="M12" s="404">
        <v>183552340</v>
      </c>
      <c r="N12" s="420">
        <f t="shared" si="2"/>
        <v>193.65797057909612</v>
      </c>
      <c r="O12" s="405">
        <v>-0.02</v>
      </c>
      <c r="P12" s="405">
        <v>-0.02</v>
      </c>
      <c r="Q12" s="405">
        <v>-0.02</v>
      </c>
      <c r="R12" s="405">
        <v>0.02</v>
      </c>
      <c r="S12" s="405">
        <v>0.02</v>
      </c>
      <c r="T12" s="405">
        <v>0.02</v>
      </c>
      <c r="U12" s="35"/>
      <c r="V12" s="35"/>
      <c r="W12" s="35"/>
      <c r="X12" s="35"/>
      <c r="Y12" s="35"/>
      <c r="Z12" s="35"/>
      <c r="AA12" s="35"/>
      <c r="AB12" s="35"/>
      <c r="AC12" s="35"/>
      <c r="AD12" s="35"/>
      <c r="AE12" s="35"/>
      <c r="AF12" s="35"/>
      <c r="AG12" s="35"/>
      <c r="AH12" s="35"/>
      <c r="AI12" s="35"/>
      <c r="AJ12" s="35"/>
      <c r="AK12" s="35"/>
      <c r="AL12" s="35"/>
      <c r="AM12" s="35"/>
    </row>
    <row r="13" spans="1:39" x14ac:dyDescent="0.2">
      <c r="A13" s="403" t="s">
        <v>1160</v>
      </c>
      <c r="B13" s="403" t="s">
        <v>1161</v>
      </c>
      <c r="C13" s="412">
        <v>1998982584</v>
      </c>
      <c r="D13" s="404">
        <v>332201</v>
      </c>
      <c r="E13" s="404">
        <v>5749261</v>
      </c>
      <c r="F13" s="420">
        <f t="shared" si="0"/>
        <v>6.0657914662899142</v>
      </c>
      <c r="G13" s="404">
        <v>2914003579</v>
      </c>
      <c r="H13" s="404">
        <v>322749</v>
      </c>
      <c r="I13" s="404">
        <v>6708579</v>
      </c>
      <c r="J13" s="420">
        <f t="shared" si="1"/>
        <v>7.0779255367136269</v>
      </c>
      <c r="K13" s="412">
        <v>2671762180</v>
      </c>
      <c r="L13" s="404">
        <v>286277</v>
      </c>
      <c r="M13" s="404">
        <v>6099429</v>
      </c>
      <c r="N13" s="420">
        <f t="shared" si="2"/>
        <v>6.4352382640901542</v>
      </c>
      <c r="O13" s="405">
        <v>-0.08</v>
      </c>
      <c r="P13" s="405">
        <v>-0.11</v>
      </c>
      <c r="Q13" s="405">
        <v>-0.09</v>
      </c>
      <c r="R13" s="405">
        <v>0.34</v>
      </c>
      <c r="S13" s="405">
        <v>-0.14000000000000001</v>
      </c>
      <c r="T13" s="405">
        <v>0.06</v>
      </c>
      <c r="U13" s="35"/>
      <c r="V13" s="35"/>
      <c r="W13" s="35"/>
      <c r="X13" s="35"/>
      <c r="Y13" s="35"/>
      <c r="Z13" s="35"/>
      <c r="AA13" s="35"/>
      <c r="AB13" s="35"/>
      <c r="AC13" s="35"/>
      <c r="AD13" s="35"/>
      <c r="AE13" s="35"/>
      <c r="AF13" s="35"/>
      <c r="AG13" s="35"/>
      <c r="AH13" s="35"/>
      <c r="AI13" s="35"/>
      <c r="AJ13" s="35"/>
      <c r="AK13" s="35"/>
      <c r="AL13" s="35"/>
      <c r="AM13" s="35"/>
    </row>
    <row r="14" spans="1:39" x14ac:dyDescent="0.2">
      <c r="A14" s="402" t="s">
        <v>1162</v>
      </c>
      <c r="B14" s="35"/>
      <c r="C14" s="178"/>
      <c r="D14" s="35"/>
      <c r="E14" s="35"/>
      <c r="F14" s="420"/>
      <c r="G14" s="35"/>
      <c r="H14" s="35"/>
      <c r="I14" s="35"/>
      <c r="J14" s="420"/>
      <c r="K14" s="178"/>
      <c r="L14" s="35"/>
      <c r="M14" s="35"/>
      <c r="N14" s="420">
        <f t="shared" si="2"/>
        <v>0</v>
      </c>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row>
    <row r="15" spans="1:39" x14ac:dyDescent="0.2">
      <c r="A15" s="403" t="s">
        <v>1150</v>
      </c>
      <c r="B15" s="403" t="s">
        <v>1153</v>
      </c>
      <c r="C15" s="412">
        <v>314564916</v>
      </c>
      <c r="D15" s="404">
        <v>855215</v>
      </c>
      <c r="E15" s="404">
        <v>11608353</v>
      </c>
      <c r="F15" s="420">
        <f t="shared" si="0"/>
        <v>12.247460771928933</v>
      </c>
      <c r="G15" s="404">
        <v>336421430</v>
      </c>
      <c r="H15" s="404">
        <v>914636</v>
      </c>
      <c r="I15" s="404">
        <v>12414921</v>
      </c>
      <c r="J15" s="420">
        <f t="shared" si="1"/>
        <v>13.098435060864944</v>
      </c>
      <c r="K15" s="412">
        <v>364010009</v>
      </c>
      <c r="L15" s="404">
        <v>989642</v>
      </c>
      <c r="M15" s="404">
        <v>13433019</v>
      </c>
      <c r="N15" s="420">
        <f t="shared" si="2"/>
        <v>14.172585314305659</v>
      </c>
      <c r="O15" s="405">
        <v>0.08</v>
      </c>
      <c r="P15" s="405">
        <v>0.08</v>
      </c>
      <c r="Q15" s="405">
        <v>0.08</v>
      </c>
      <c r="R15" s="405">
        <v>0.16</v>
      </c>
      <c r="S15" s="405">
        <v>0.16</v>
      </c>
      <c r="T15" s="405">
        <v>0.16</v>
      </c>
      <c r="U15" s="35"/>
      <c r="V15" s="35"/>
      <c r="W15" s="35"/>
      <c r="X15" s="35"/>
      <c r="Y15" s="35"/>
      <c r="Z15" s="35"/>
      <c r="AA15" s="35"/>
      <c r="AB15" s="35"/>
      <c r="AC15" s="35"/>
      <c r="AD15" s="35"/>
      <c r="AE15" s="35"/>
      <c r="AF15" s="35"/>
      <c r="AG15" s="35"/>
      <c r="AH15" s="35"/>
      <c r="AI15" s="35"/>
      <c r="AJ15" s="35"/>
      <c r="AK15" s="35"/>
      <c r="AL15" s="35"/>
      <c r="AM15" s="35"/>
    </row>
    <row r="16" spans="1:39" x14ac:dyDescent="0.2">
      <c r="A16" s="403" t="s">
        <v>1152</v>
      </c>
      <c r="B16" s="403" t="s">
        <v>1153</v>
      </c>
      <c r="C16" s="412">
        <v>52603950</v>
      </c>
      <c r="D16" s="404">
        <v>153274</v>
      </c>
      <c r="E16" s="404">
        <v>2050179</v>
      </c>
      <c r="F16" s="420">
        <f t="shared" si="0"/>
        <v>2.1630533528686189</v>
      </c>
      <c r="G16" s="404">
        <v>54251403</v>
      </c>
      <c r="H16" s="404">
        <v>158075</v>
      </c>
      <c r="I16" s="404">
        <v>2114387</v>
      </c>
      <c r="J16" s="420">
        <f t="shared" si="1"/>
        <v>2.2307963790536438</v>
      </c>
      <c r="K16" s="412">
        <v>66262542</v>
      </c>
      <c r="L16" s="404">
        <v>193072</v>
      </c>
      <c r="M16" s="404">
        <v>2582507</v>
      </c>
      <c r="N16" s="420">
        <f t="shared" si="2"/>
        <v>2.7246891247821186</v>
      </c>
      <c r="O16" s="405">
        <v>0.22</v>
      </c>
      <c r="P16" s="405">
        <v>0.22</v>
      </c>
      <c r="Q16" s="405">
        <v>0.22</v>
      </c>
      <c r="R16" s="405">
        <v>0.26</v>
      </c>
      <c r="S16" s="405">
        <v>0.26</v>
      </c>
      <c r="T16" s="405">
        <v>0.26</v>
      </c>
      <c r="U16" s="35"/>
      <c r="V16" s="35"/>
      <c r="W16" s="35"/>
      <c r="X16" s="35"/>
      <c r="Y16" s="35"/>
      <c r="Z16" s="35"/>
      <c r="AA16" s="35"/>
      <c r="AB16" s="35"/>
      <c r="AC16" s="35"/>
      <c r="AD16" s="35"/>
      <c r="AE16" s="35"/>
      <c r="AF16" s="35"/>
      <c r="AG16" s="35"/>
      <c r="AH16" s="35"/>
      <c r="AI16" s="35"/>
      <c r="AJ16" s="35"/>
      <c r="AK16" s="35"/>
      <c r="AL16" s="35"/>
      <c r="AM16" s="35"/>
    </row>
    <row r="17" spans="1:39" x14ac:dyDescent="0.2">
      <c r="A17" s="403" t="s">
        <v>1154</v>
      </c>
      <c r="B17" s="403" t="s">
        <v>1153</v>
      </c>
      <c r="C17" s="412">
        <v>90043029</v>
      </c>
      <c r="D17" s="404">
        <v>270277</v>
      </c>
      <c r="E17" s="404">
        <v>3613432</v>
      </c>
      <c r="F17" s="420">
        <f t="shared" si="0"/>
        <v>3.8123725796443915</v>
      </c>
      <c r="G17" s="404">
        <v>28481398</v>
      </c>
      <c r="H17" s="404">
        <v>85491</v>
      </c>
      <c r="I17" s="404">
        <v>1142960</v>
      </c>
      <c r="J17" s="420">
        <f t="shared" si="1"/>
        <v>1.2058866373105552</v>
      </c>
      <c r="K17" s="412">
        <v>5946181</v>
      </c>
      <c r="L17" s="404">
        <v>17848</v>
      </c>
      <c r="M17" s="404">
        <v>238621</v>
      </c>
      <c r="N17" s="420">
        <f t="shared" si="2"/>
        <v>0.25175848260803702</v>
      </c>
      <c r="O17" s="405">
        <v>-0.79</v>
      </c>
      <c r="P17" s="405">
        <v>-0.79</v>
      </c>
      <c r="Q17" s="405">
        <v>-0.79</v>
      </c>
      <c r="R17" s="405">
        <v>-0.93</v>
      </c>
      <c r="S17" s="405">
        <v>-0.93</v>
      </c>
      <c r="T17" s="405">
        <v>-0.93</v>
      </c>
      <c r="U17" s="35"/>
      <c r="V17" s="35"/>
      <c r="W17" s="35"/>
      <c r="X17" s="35"/>
      <c r="Y17" s="35"/>
      <c r="Z17" s="35"/>
      <c r="AA17" s="35"/>
      <c r="AB17" s="35"/>
      <c r="AC17" s="35"/>
      <c r="AD17" s="35"/>
      <c r="AE17" s="35"/>
      <c r="AF17" s="35"/>
      <c r="AG17" s="35"/>
      <c r="AH17" s="35"/>
      <c r="AI17" s="35"/>
      <c r="AJ17" s="35"/>
      <c r="AK17" s="35"/>
      <c r="AL17" s="35"/>
      <c r="AM17" s="35"/>
    </row>
    <row r="18" spans="1:39" x14ac:dyDescent="0.2">
      <c r="A18" s="403" t="s">
        <v>695</v>
      </c>
      <c r="B18" s="403" t="s">
        <v>1153</v>
      </c>
      <c r="C18" s="412">
        <v>685603</v>
      </c>
      <c r="D18" s="406">
        <v>1</v>
      </c>
      <c r="E18" s="404">
        <v>23409</v>
      </c>
      <c r="F18" s="420">
        <f t="shared" si="0"/>
        <v>2.4697802453981579E-2</v>
      </c>
      <c r="G18" s="404">
        <v>8670941</v>
      </c>
      <c r="H18" s="406">
        <v>15</v>
      </c>
      <c r="I18" s="404">
        <v>296060</v>
      </c>
      <c r="J18" s="420">
        <f t="shared" si="1"/>
        <v>0.31235983572667719</v>
      </c>
      <c r="K18" s="412">
        <v>8691520</v>
      </c>
      <c r="L18" s="406">
        <v>15</v>
      </c>
      <c r="M18" s="404">
        <v>296762</v>
      </c>
      <c r="N18" s="420">
        <f t="shared" si="2"/>
        <v>0.31310048493521642</v>
      </c>
      <c r="O18" s="405">
        <v>0</v>
      </c>
      <c r="P18" s="405">
        <v>0</v>
      </c>
      <c r="Q18" s="405">
        <v>0</v>
      </c>
      <c r="R18" s="403" t="s">
        <v>1155</v>
      </c>
      <c r="S18" s="403" t="s">
        <v>1155</v>
      </c>
      <c r="T18" s="403" t="s">
        <v>1155</v>
      </c>
      <c r="U18" s="35"/>
      <c r="V18" s="35"/>
      <c r="W18" s="35"/>
      <c r="X18" s="35"/>
      <c r="Y18" s="35"/>
      <c r="Z18" s="35"/>
      <c r="AA18" s="35"/>
      <c r="AB18" s="35"/>
      <c r="AC18" s="35"/>
      <c r="AD18" s="35"/>
      <c r="AE18" s="35"/>
      <c r="AF18" s="35"/>
      <c r="AG18" s="35"/>
      <c r="AH18" s="35"/>
      <c r="AI18" s="35"/>
      <c r="AJ18" s="35"/>
      <c r="AK18" s="35"/>
      <c r="AL18" s="35"/>
      <c r="AM18" s="35"/>
    </row>
    <row r="19" spans="1:39" x14ac:dyDescent="0.2">
      <c r="A19" s="403" t="s">
        <v>1156</v>
      </c>
      <c r="B19" s="403" t="s">
        <v>1157</v>
      </c>
      <c r="C19" s="412">
        <v>26226076079</v>
      </c>
      <c r="D19" s="404">
        <v>11253009</v>
      </c>
      <c r="E19" s="404">
        <v>246226018</v>
      </c>
      <c r="F19" s="420">
        <f t="shared" si="0"/>
        <v>259.78220135821749</v>
      </c>
      <c r="G19" s="404">
        <v>24796507342</v>
      </c>
      <c r="H19" s="404">
        <v>6565330</v>
      </c>
      <c r="I19" s="404">
        <v>218272030</v>
      </c>
      <c r="J19" s="420">
        <f t="shared" si="1"/>
        <v>230.28918271474822</v>
      </c>
      <c r="K19" s="412">
        <v>24916358669</v>
      </c>
      <c r="L19" s="404">
        <v>6403983</v>
      </c>
      <c r="M19" s="404">
        <v>236401315</v>
      </c>
      <c r="N19" s="420">
        <f t="shared" si="2"/>
        <v>249.41659095781418</v>
      </c>
      <c r="O19" s="405">
        <v>0</v>
      </c>
      <c r="P19" s="405">
        <v>-0.02</v>
      </c>
      <c r="Q19" s="405">
        <v>0.08</v>
      </c>
      <c r="R19" s="405">
        <v>-0.05</v>
      </c>
      <c r="S19" s="405">
        <v>-0.43</v>
      </c>
      <c r="T19" s="405">
        <v>-0.04</v>
      </c>
      <c r="U19" s="35"/>
      <c r="V19" s="35"/>
      <c r="W19" s="35"/>
      <c r="X19" s="35"/>
      <c r="Y19" s="35"/>
      <c r="Z19" s="35"/>
      <c r="AA19" s="35"/>
      <c r="AB19" s="35"/>
      <c r="AC19" s="35"/>
      <c r="AD19" s="35"/>
      <c r="AE19" s="35"/>
      <c r="AF19" s="35"/>
      <c r="AG19" s="35"/>
      <c r="AH19" s="35"/>
      <c r="AI19" s="35"/>
      <c r="AJ19" s="35"/>
      <c r="AK19" s="35"/>
      <c r="AL19" s="35"/>
      <c r="AM19" s="35"/>
    </row>
    <row r="20" spans="1:39" x14ac:dyDescent="0.2">
      <c r="A20" s="403" t="s">
        <v>1158</v>
      </c>
      <c r="B20" s="403" t="s">
        <v>1159</v>
      </c>
      <c r="C20" s="412">
        <v>60301084</v>
      </c>
      <c r="D20" s="404">
        <v>3039660</v>
      </c>
      <c r="E20" s="404">
        <v>60012112</v>
      </c>
      <c r="F20" s="420">
        <f t="shared" si="0"/>
        <v>63.316129993686936</v>
      </c>
      <c r="G20" s="404">
        <v>113182819</v>
      </c>
      <c r="H20" s="404">
        <v>5705326</v>
      </c>
      <c r="I20" s="404">
        <v>112640429</v>
      </c>
      <c r="J20" s="420">
        <f t="shared" si="1"/>
        <v>118.84194385807757</v>
      </c>
      <c r="K20" s="412">
        <v>110953139</v>
      </c>
      <c r="L20" s="404">
        <v>5592932</v>
      </c>
      <c r="M20" s="404">
        <v>110421433</v>
      </c>
      <c r="N20" s="420">
        <f t="shared" si="2"/>
        <v>116.50077914133719</v>
      </c>
      <c r="O20" s="405">
        <v>-0.02</v>
      </c>
      <c r="P20" s="405">
        <v>-0.02</v>
      </c>
      <c r="Q20" s="405">
        <v>-0.02</v>
      </c>
      <c r="R20" s="405">
        <v>0.84</v>
      </c>
      <c r="S20" s="405">
        <v>0.84</v>
      </c>
      <c r="T20" s="405">
        <v>0.84</v>
      </c>
      <c r="U20" s="35"/>
      <c r="V20" s="35"/>
      <c r="W20" s="35"/>
      <c r="X20" s="35"/>
      <c r="Y20" s="35"/>
      <c r="Z20" s="35"/>
      <c r="AA20" s="35"/>
      <c r="AB20" s="35"/>
      <c r="AC20" s="35"/>
      <c r="AD20" s="35"/>
      <c r="AE20" s="35"/>
      <c r="AF20" s="35"/>
      <c r="AG20" s="35"/>
      <c r="AH20" s="35"/>
      <c r="AI20" s="35"/>
      <c r="AJ20" s="35"/>
      <c r="AK20" s="35"/>
      <c r="AL20" s="35"/>
      <c r="AM20" s="35"/>
    </row>
    <row r="21" spans="1:39" x14ac:dyDescent="0.2">
      <c r="A21" s="403" t="s">
        <v>1160</v>
      </c>
      <c r="B21" s="403" t="s">
        <v>1161</v>
      </c>
      <c r="C21" s="412">
        <v>7457786326</v>
      </c>
      <c r="D21" s="404">
        <v>1239372</v>
      </c>
      <c r="E21" s="404">
        <v>21449291</v>
      </c>
      <c r="F21" s="420">
        <f t="shared" si="0"/>
        <v>22.630200004099493</v>
      </c>
      <c r="G21" s="404">
        <v>5463998032</v>
      </c>
      <c r="H21" s="404">
        <v>605180</v>
      </c>
      <c r="I21" s="404">
        <v>12579142</v>
      </c>
      <c r="J21" s="420">
        <f t="shared" si="1"/>
        <v>13.271697388038051</v>
      </c>
      <c r="K21" s="412">
        <v>5318470947</v>
      </c>
      <c r="L21" s="404">
        <v>569870</v>
      </c>
      <c r="M21" s="404">
        <v>12141662</v>
      </c>
      <c r="N21" s="420">
        <f t="shared" si="2"/>
        <v>12.810131553633854</v>
      </c>
      <c r="O21" s="405">
        <v>-0.03</v>
      </c>
      <c r="P21" s="405">
        <v>-0.06</v>
      </c>
      <c r="Q21" s="405">
        <v>-0.03</v>
      </c>
      <c r="R21" s="405">
        <v>-0.28999999999999998</v>
      </c>
      <c r="S21" s="405">
        <v>-0.54</v>
      </c>
      <c r="T21" s="405">
        <v>-0.43</v>
      </c>
      <c r="U21" s="35"/>
      <c r="V21" s="35"/>
      <c r="W21" s="35"/>
      <c r="X21" s="35"/>
      <c r="Y21" s="35"/>
      <c r="Z21" s="35"/>
      <c r="AA21" s="35"/>
      <c r="AB21" s="35"/>
      <c r="AC21" s="35"/>
      <c r="AD21" s="35"/>
      <c r="AE21" s="35"/>
      <c r="AF21" s="35"/>
      <c r="AG21" s="35"/>
      <c r="AH21" s="35"/>
      <c r="AI21" s="35"/>
      <c r="AJ21" s="35"/>
      <c r="AK21" s="35"/>
      <c r="AL21" s="35"/>
      <c r="AM21" s="35"/>
    </row>
    <row r="22" spans="1:39" x14ac:dyDescent="0.2">
      <c r="A22" s="402" t="s">
        <v>1163</v>
      </c>
      <c r="B22" s="35"/>
      <c r="C22" s="178"/>
      <c r="D22" s="35"/>
      <c r="E22" s="35"/>
      <c r="F22" s="420"/>
      <c r="G22" s="35"/>
      <c r="H22" s="35"/>
      <c r="I22" s="35"/>
      <c r="J22" s="420"/>
      <c r="K22" s="178"/>
      <c r="L22" s="35"/>
      <c r="M22" s="35"/>
      <c r="N22" s="420">
        <f t="shared" si="2"/>
        <v>0</v>
      </c>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row>
    <row r="23" spans="1:39" x14ac:dyDescent="0.2">
      <c r="A23" s="403" t="s">
        <v>1150</v>
      </c>
      <c r="B23" s="403" t="s">
        <v>1153</v>
      </c>
      <c r="C23" s="412">
        <v>72520283</v>
      </c>
      <c r="D23" s="404">
        <v>196673</v>
      </c>
      <c r="E23" s="404">
        <v>2676208</v>
      </c>
      <c r="F23" s="420">
        <f t="shared" si="0"/>
        <v>2.8235489132284646</v>
      </c>
      <c r="G23" s="404">
        <v>77559117</v>
      </c>
      <c r="H23" s="404">
        <v>210338</v>
      </c>
      <c r="I23" s="404">
        <v>2862155</v>
      </c>
      <c r="J23" s="420">
        <f t="shared" si="1"/>
        <v>3.0197333838555962</v>
      </c>
      <c r="K23" s="412">
        <v>83919431</v>
      </c>
      <c r="L23" s="404">
        <v>227587</v>
      </c>
      <c r="M23" s="404">
        <v>3096869</v>
      </c>
      <c r="N23" s="420">
        <f t="shared" si="2"/>
        <v>3.2673697632474465</v>
      </c>
      <c r="O23" s="405">
        <v>0.08</v>
      </c>
      <c r="P23" s="405">
        <v>0.08</v>
      </c>
      <c r="Q23" s="405">
        <v>0.08</v>
      </c>
      <c r="R23" s="405">
        <v>0.16</v>
      </c>
      <c r="S23" s="405">
        <v>0.16</v>
      </c>
      <c r="T23" s="405">
        <v>0.16</v>
      </c>
      <c r="U23" s="35"/>
      <c r="V23" s="35"/>
      <c r="W23" s="35"/>
      <c r="X23" s="35"/>
      <c r="Y23" s="35"/>
      <c r="Z23" s="35"/>
      <c r="AA23" s="35"/>
      <c r="AB23" s="35"/>
      <c r="AC23" s="35"/>
      <c r="AD23" s="35"/>
      <c r="AE23" s="35"/>
      <c r="AF23" s="35"/>
      <c r="AG23" s="35"/>
      <c r="AH23" s="35"/>
      <c r="AI23" s="35"/>
      <c r="AJ23" s="35"/>
      <c r="AK23" s="35"/>
      <c r="AL23" s="35"/>
      <c r="AM23" s="35"/>
    </row>
    <row r="24" spans="1:39" x14ac:dyDescent="0.2">
      <c r="A24" s="403" t="s">
        <v>1152</v>
      </c>
      <c r="B24" s="403" t="s">
        <v>1153</v>
      </c>
      <c r="C24" s="412">
        <v>11333710</v>
      </c>
      <c r="D24" s="404">
        <v>32943</v>
      </c>
      <c r="E24" s="404">
        <v>441718</v>
      </c>
      <c r="F24" s="420">
        <f t="shared" si="0"/>
        <v>0.46603716110760118</v>
      </c>
      <c r="G24" s="404">
        <v>11688659</v>
      </c>
      <c r="H24" s="404">
        <v>33974</v>
      </c>
      <c r="I24" s="404">
        <v>455552</v>
      </c>
      <c r="J24" s="420">
        <f t="shared" si="1"/>
        <v>0.4806328037727462</v>
      </c>
      <c r="K24" s="412">
        <v>14276502</v>
      </c>
      <c r="L24" s="404">
        <v>41496</v>
      </c>
      <c r="M24" s="404">
        <v>556410</v>
      </c>
      <c r="N24" s="420">
        <f t="shared" si="2"/>
        <v>0.5870436269562942</v>
      </c>
      <c r="O24" s="405">
        <v>0.22</v>
      </c>
      <c r="P24" s="405">
        <v>0.22</v>
      </c>
      <c r="Q24" s="405">
        <v>0.22</v>
      </c>
      <c r="R24" s="405">
        <v>0.26</v>
      </c>
      <c r="S24" s="405">
        <v>0.26</v>
      </c>
      <c r="T24" s="405">
        <v>0.26</v>
      </c>
      <c r="U24" s="35"/>
      <c r="V24" s="35"/>
      <c r="W24" s="35"/>
      <c r="X24" s="35"/>
      <c r="Y24" s="35"/>
      <c r="Z24" s="35"/>
      <c r="AA24" s="35"/>
      <c r="AB24" s="35"/>
      <c r="AC24" s="35"/>
      <c r="AD24" s="35"/>
      <c r="AE24" s="35"/>
      <c r="AF24" s="35"/>
      <c r="AG24" s="35"/>
      <c r="AH24" s="35"/>
      <c r="AI24" s="35"/>
      <c r="AJ24" s="35"/>
      <c r="AK24" s="35"/>
      <c r="AL24" s="35"/>
      <c r="AM24" s="35"/>
    </row>
    <row r="25" spans="1:39" x14ac:dyDescent="0.2">
      <c r="A25" s="403" t="s">
        <v>1154</v>
      </c>
      <c r="B25" s="403" t="s">
        <v>1153</v>
      </c>
      <c r="C25" s="412">
        <v>6952951</v>
      </c>
      <c r="D25" s="404">
        <v>20819</v>
      </c>
      <c r="E25" s="404">
        <v>279022</v>
      </c>
      <c r="F25" s="420">
        <f t="shared" si="0"/>
        <v>0.29438379410973758</v>
      </c>
      <c r="G25" s="404">
        <v>2199279</v>
      </c>
      <c r="H25" s="404">
        <v>6585</v>
      </c>
      <c r="I25" s="404">
        <v>88257</v>
      </c>
      <c r="J25" s="420">
        <f t="shared" si="1"/>
        <v>9.3116064384683339E-2</v>
      </c>
      <c r="K25" s="412">
        <v>459153</v>
      </c>
      <c r="L25" s="404">
        <v>1375</v>
      </c>
      <c r="M25" s="404">
        <v>18426</v>
      </c>
      <c r="N25" s="420">
        <f t="shared" si="2"/>
        <v>1.9440459140376117E-2</v>
      </c>
      <c r="O25" s="405">
        <v>-0.79</v>
      </c>
      <c r="P25" s="405">
        <v>-0.79</v>
      </c>
      <c r="Q25" s="405">
        <v>-0.79</v>
      </c>
      <c r="R25" s="405">
        <v>-0.93</v>
      </c>
      <c r="S25" s="405">
        <v>-0.93</v>
      </c>
      <c r="T25" s="405">
        <v>-0.93</v>
      </c>
      <c r="U25" s="35"/>
      <c r="V25" s="35"/>
      <c r="W25" s="35"/>
      <c r="X25" s="35"/>
      <c r="Y25" s="35"/>
      <c r="Z25" s="35"/>
      <c r="AA25" s="35"/>
      <c r="AB25" s="35"/>
      <c r="AC25" s="35"/>
      <c r="AD25" s="35"/>
      <c r="AE25" s="35"/>
      <c r="AF25" s="35"/>
      <c r="AG25" s="35"/>
      <c r="AH25" s="35"/>
      <c r="AI25" s="35"/>
      <c r="AJ25" s="35"/>
      <c r="AK25" s="35"/>
      <c r="AL25" s="35"/>
      <c r="AM25" s="35"/>
    </row>
    <row r="26" spans="1:39" x14ac:dyDescent="0.2">
      <c r="A26" s="403" t="s">
        <v>695</v>
      </c>
      <c r="B26" s="403" t="s">
        <v>1153</v>
      </c>
      <c r="C26" s="412">
        <v>121709</v>
      </c>
      <c r="D26" s="406">
        <v>0</v>
      </c>
      <c r="E26" s="404">
        <v>4156</v>
      </c>
      <c r="F26" s="420">
        <f t="shared" si="0"/>
        <v>4.3848121234887202E-3</v>
      </c>
      <c r="G26" s="404">
        <v>1539277</v>
      </c>
      <c r="H26" s="406">
        <v>3</v>
      </c>
      <c r="I26" s="404">
        <v>52557</v>
      </c>
      <c r="J26" s="420">
        <f t="shared" si="1"/>
        <v>5.5450570446149344E-2</v>
      </c>
      <c r="K26" s="412">
        <v>1542930</v>
      </c>
      <c r="L26" s="406">
        <v>3</v>
      </c>
      <c r="M26" s="404">
        <v>52682</v>
      </c>
      <c r="N26" s="420">
        <f t="shared" si="2"/>
        <v>5.5582452427726838E-2</v>
      </c>
      <c r="O26" s="405">
        <v>0</v>
      </c>
      <c r="P26" s="405">
        <v>0</v>
      </c>
      <c r="Q26" s="405">
        <v>0</v>
      </c>
      <c r="R26" s="403" t="s">
        <v>1155</v>
      </c>
      <c r="S26" s="403" t="s">
        <v>1155</v>
      </c>
      <c r="T26" s="403" t="s">
        <v>1155</v>
      </c>
      <c r="U26" s="35"/>
      <c r="V26" s="35"/>
      <c r="W26" s="35"/>
      <c r="X26" s="35"/>
      <c r="Y26" s="35"/>
      <c r="Z26" s="35"/>
      <c r="AA26" s="35"/>
      <c r="AB26" s="35"/>
      <c r="AC26" s="35"/>
      <c r="AD26" s="35"/>
      <c r="AE26" s="35"/>
      <c r="AF26" s="35"/>
      <c r="AG26" s="35"/>
      <c r="AH26" s="35"/>
      <c r="AI26" s="35"/>
      <c r="AJ26" s="35"/>
      <c r="AK26" s="35"/>
      <c r="AL26" s="35"/>
      <c r="AM26" s="35"/>
    </row>
    <row r="27" spans="1:39" x14ac:dyDescent="0.2">
      <c r="A27" s="403" t="s">
        <v>1156</v>
      </c>
      <c r="B27" s="403" t="s">
        <v>1157</v>
      </c>
      <c r="C27" s="412">
        <v>8779889926</v>
      </c>
      <c r="D27" s="404">
        <v>3767250</v>
      </c>
      <c r="E27" s="404">
        <v>82430834</v>
      </c>
      <c r="F27" s="420">
        <f t="shared" si="0"/>
        <v>86.96913384804769</v>
      </c>
      <c r="G27" s="404">
        <v>8933385640</v>
      </c>
      <c r="H27" s="404">
        <v>2365278</v>
      </c>
      <c r="I27" s="404">
        <v>78636406</v>
      </c>
      <c r="J27" s="420">
        <f t="shared" si="1"/>
        <v>82.965800379302479</v>
      </c>
      <c r="K27" s="412">
        <v>9030045419</v>
      </c>
      <c r="L27" s="404">
        <v>2320895</v>
      </c>
      <c r="M27" s="404">
        <v>85675224</v>
      </c>
      <c r="N27" s="420">
        <f t="shared" si="2"/>
        <v>90.392146505729471</v>
      </c>
      <c r="O27" s="405">
        <v>0.01</v>
      </c>
      <c r="P27" s="405">
        <v>-0.02</v>
      </c>
      <c r="Q27" s="405">
        <v>0.09</v>
      </c>
      <c r="R27" s="405">
        <v>0.03</v>
      </c>
      <c r="S27" s="405">
        <v>-0.38</v>
      </c>
      <c r="T27" s="405">
        <v>0.04</v>
      </c>
      <c r="U27" s="35"/>
      <c r="V27" s="35"/>
      <c r="W27" s="35"/>
      <c r="X27" s="35"/>
      <c r="Y27" s="35"/>
      <c r="Z27" s="35"/>
      <c r="AA27" s="35"/>
      <c r="AB27" s="35"/>
      <c r="AC27" s="35"/>
      <c r="AD27" s="35"/>
      <c r="AE27" s="35"/>
      <c r="AF27" s="35"/>
      <c r="AG27" s="35"/>
      <c r="AH27" s="35"/>
      <c r="AI27" s="35"/>
      <c r="AJ27" s="35"/>
      <c r="AK27" s="35"/>
      <c r="AL27" s="35"/>
      <c r="AM27" s="35"/>
    </row>
    <row r="28" spans="1:39" x14ac:dyDescent="0.2">
      <c r="A28" s="403" t="s">
        <v>1158</v>
      </c>
      <c r="B28" s="403" t="s">
        <v>1159</v>
      </c>
      <c r="C28" s="412">
        <v>18090325</v>
      </c>
      <c r="D28" s="404">
        <v>910089</v>
      </c>
      <c r="E28" s="404">
        <v>18003634</v>
      </c>
      <c r="F28" s="420">
        <f t="shared" si="0"/>
        <v>18.994839420128418</v>
      </c>
      <c r="G28" s="404">
        <v>26874908</v>
      </c>
      <c r="H28" s="404">
        <v>1352024</v>
      </c>
      <c r="I28" s="404">
        <v>26746119</v>
      </c>
      <c r="J28" s="420">
        <f t="shared" si="1"/>
        <v>28.218649385820981</v>
      </c>
      <c r="K28" s="412">
        <v>26789018</v>
      </c>
      <c r="L28" s="404">
        <v>1347703</v>
      </c>
      <c r="M28" s="404">
        <v>26660640</v>
      </c>
      <c r="N28" s="420">
        <f t="shared" si="2"/>
        <v>28.128464266594875</v>
      </c>
      <c r="O28" s="405">
        <v>0</v>
      </c>
      <c r="P28" s="405">
        <v>0</v>
      </c>
      <c r="Q28" s="405">
        <v>0</v>
      </c>
      <c r="R28" s="405">
        <v>0.48</v>
      </c>
      <c r="S28" s="405">
        <v>0.48</v>
      </c>
      <c r="T28" s="405">
        <v>0.48</v>
      </c>
      <c r="U28" s="35"/>
      <c r="V28" s="35"/>
      <c r="W28" s="35"/>
      <c r="X28" s="35"/>
      <c r="Y28" s="35"/>
      <c r="Z28" s="35"/>
      <c r="AA28" s="35"/>
      <c r="AB28" s="35"/>
      <c r="AC28" s="35"/>
      <c r="AD28" s="35"/>
      <c r="AE28" s="35"/>
      <c r="AF28" s="35"/>
      <c r="AG28" s="35"/>
      <c r="AH28" s="35"/>
      <c r="AI28" s="35"/>
      <c r="AJ28" s="35"/>
      <c r="AK28" s="35"/>
      <c r="AL28" s="35"/>
      <c r="AM28" s="35"/>
    </row>
    <row r="29" spans="1:39" x14ac:dyDescent="0.2">
      <c r="A29" s="403" t="s">
        <v>1160</v>
      </c>
      <c r="B29" s="403" t="s">
        <v>1161</v>
      </c>
      <c r="C29" s="412">
        <v>2237335898</v>
      </c>
      <c r="D29" s="404">
        <v>371812</v>
      </c>
      <c r="E29" s="404">
        <v>6434787</v>
      </c>
      <c r="F29" s="420">
        <f t="shared" si="0"/>
        <v>6.7890596847130915</v>
      </c>
      <c r="G29" s="404">
        <v>1639199412</v>
      </c>
      <c r="H29" s="404">
        <v>181554</v>
      </c>
      <c r="I29" s="404">
        <v>3773743</v>
      </c>
      <c r="J29" s="420">
        <f t="shared" si="1"/>
        <v>3.9815096384337565</v>
      </c>
      <c r="K29" s="412">
        <v>1595541286</v>
      </c>
      <c r="L29" s="404">
        <v>170961</v>
      </c>
      <c r="M29" s="404">
        <v>3642499</v>
      </c>
      <c r="N29" s="420">
        <f t="shared" si="2"/>
        <v>3.8430398881124974</v>
      </c>
      <c r="O29" s="405">
        <v>-0.03</v>
      </c>
      <c r="P29" s="405">
        <v>-0.06</v>
      </c>
      <c r="Q29" s="405">
        <v>-0.03</v>
      </c>
      <c r="R29" s="405">
        <v>-0.28999999999999998</v>
      </c>
      <c r="S29" s="405">
        <v>-0.54</v>
      </c>
      <c r="T29" s="405">
        <v>-0.43</v>
      </c>
      <c r="U29" s="35"/>
      <c r="V29" s="35"/>
      <c r="W29" s="35"/>
      <c r="X29" s="35"/>
      <c r="Y29" s="35"/>
      <c r="Z29" s="35"/>
      <c r="AA29" s="35"/>
      <c r="AB29" s="35"/>
      <c r="AC29" s="35"/>
      <c r="AD29" s="35"/>
      <c r="AE29" s="35"/>
      <c r="AF29" s="35"/>
      <c r="AG29" s="35"/>
      <c r="AH29" s="35"/>
      <c r="AI29" s="35"/>
      <c r="AJ29" s="35"/>
      <c r="AK29" s="35"/>
      <c r="AL29" s="35"/>
      <c r="AM29" s="35"/>
    </row>
    <row r="30" spans="1:39" x14ac:dyDescent="0.2">
      <c r="A30" s="402" t="s">
        <v>1164</v>
      </c>
      <c r="B30" s="35"/>
      <c r="C30" s="178"/>
      <c r="D30" s="35"/>
      <c r="E30" s="35"/>
      <c r="F30" s="420">
        <f t="shared" si="0"/>
        <v>0</v>
      </c>
      <c r="G30" s="35"/>
      <c r="H30" s="35"/>
      <c r="I30" s="35"/>
      <c r="J30" s="420">
        <f t="shared" si="1"/>
        <v>0</v>
      </c>
      <c r="K30" s="178"/>
      <c r="L30" s="35"/>
      <c r="M30" s="35"/>
      <c r="N30" s="420"/>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row>
    <row r="31" spans="1:39" x14ac:dyDescent="0.2">
      <c r="A31" s="403" t="s">
        <v>1165</v>
      </c>
      <c r="B31" s="403" t="s">
        <v>1159</v>
      </c>
      <c r="C31" s="412">
        <v>442833</v>
      </c>
      <c r="D31" s="404">
        <v>207588</v>
      </c>
      <c r="E31" s="403" t="s">
        <v>1166</v>
      </c>
      <c r="F31" s="420"/>
      <c r="G31" s="404">
        <v>560457</v>
      </c>
      <c r="H31" s="404">
        <v>262728</v>
      </c>
      <c r="I31" s="403" t="s">
        <v>1166</v>
      </c>
      <c r="J31" s="420"/>
      <c r="K31" s="412">
        <v>551495</v>
      </c>
      <c r="L31" s="404">
        <v>258527</v>
      </c>
      <c r="M31" s="403" t="s">
        <v>1166</v>
      </c>
      <c r="N31" s="420"/>
      <c r="O31" s="405">
        <v>-0.02</v>
      </c>
      <c r="P31" s="405">
        <v>-0.02</v>
      </c>
      <c r="Q31" s="405">
        <v>0</v>
      </c>
      <c r="R31" s="405">
        <v>0.25</v>
      </c>
      <c r="S31" s="405">
        <v>0.25</v>
      </c>
      <c r="T31" s="405">
        <v>0</v>
      </c>
      <c r="U31" s="35"/>
      <c r="V31" s="35"/>
      <c r="W31" s="35"/>
      <c r="X31" s="35"/>
      <c r="Y31" s="35"/>
      <c r="Z31" s="35"/>
      <c r="AA31" s="35"/>
      <c r="AB31" s="35"/>
      <c r="AC31" s="35"/>
      <c r="AD31" s="35"/>
      <c r="AE31" s="35"/>
      <c r="AF31" s="35"/>
      <c r="AG31" s="35"/>
      <c r="AH31" s="35"/>
      <c r="AI31" s="35"/>
      <c r="AJ31" s="35"/>
      <c r="AK31" s="35"/>
      <c r="AL31" s="35"/>
      <c r="AM31" s="35"/>
    </row>
    <row r="32" spans="1:39" x14ac:dyDescent="0.2">
      <c r="A32" s="402" t="s">
        <v>693</v>
      </c>
      <c r="B32" s="35"/>
      <c r="C32" s="178"/>
      <c r="D32" s="35"/>
      <c r="E32" s="35"/>
      <c r="F32" s="420"/>
      <c r="G32" s="35"/>
      <c r="H32" s="35"/>
      <c r="I32" s="35"/>
      <c r="J32" s="420"/>
      <c r="K32" s="178"/>
      <c r="L32" s="35"/>
      <c r="M32" s="35"/>
      <c r="N32" s="420"/>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row>
    <row r="33" spans="1:39" x14ac:dyDescent="0.2">
      <c r="A33" s="402" t="s">
        <v>1167</v>
      </c>
      <c r="B33" s="35"/>
      <c r="C33" s="178"/>
      <c r="D33" s="35"/>
      <c r="E33" s="35"/>
      <c r="F33" s="420"/>
      <c r="G33" s="35"/>
      <c r="H33" s="35"/>
      <c r="I33" s="35"/>
      <c r="J33" s="420"/>
      <c r="K33" s="178"/>
      <c r="L33" s="35"/>
      <c r="M33" s="35"/>
      <c r="N33" s="420"/>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row>
    <row r="34" spans="1:39" x14ac:dyDescent="0.2">
      <c r="A34" s="403" t="s">
        <v>1168</v>
      </c>
      <c r="B34" s="403" t="s">
        <v>1066</v>
      </c>
      <c r="C34" s="412">
        <v>19318051038</v>
      </c>
      <c r="D34" s="404">
        <v>12881945</v>
      </c>
      <c r="E34" s="404">
        <v>192791648</v>
      </c>
      <c r="F34" s="420">
        <f t="shared" si="0"/>
        <v>203.40595655865494</v>
      </c>
      <c r="G34" s="404">
        <v>19959361647</v>
      </c>
      <c r="H34" s="404">
        <v>12431643</v>
      </c>
      <c r="I34" s="404">
        <v>188141550</v>
      </c>
      <c r="J34" s="420">
        <f t="shared" si="1"/>
        <v>198.49984344849835</v>
      </c>
      <c r="K34" s="412">
        <v>20031919734</v>
      </c>
      <c r="L34" s="404">
        <v>12379304</v>
      </c>
      <c r="M34" s="404">
        <v>187598017</v>
      </c>
      <c r="N34" s="420">
        <f t="shared" si="2"/>
        <v>197.92638577575627</v>
      </c>
      <c r="O34" s="405">
        <v>0</v>
      </c>
      <c r="P34" s="405">
        <v>0</v>
      </c>
      <c r="Q34" s="405">
        <v>0</v>
      </c>
      <c r="R34" s="405">
        <v>0.04</v>
      </c>
      <c r="S34" s="405">
        <v>-0.04</v>
      </c>
      <c r="T34" s="405">
        <v>-0.03</v>
      </c>
      <c r="U34" s="35"/>
      <c r="V34" s="35"/>
      <c r="W34" s="35"/>
      <c r="X34" s="35"/>
      <c r="Y34" s="35"/>
      <c r="Z34" s="35"/>
      <c r="AA34" s="35"/>
      <c r="AB34" s="35"/>
      <c r="AC34" s="35"/>
      <c r="AD34" s="35"/>
      <c r="AE34" s="35"/>
      <c r="AF34" s="35"/>
      <c r="AG34" s="35"/>
      <c r="AH34" s="35"/>
      <c r="AI34" s="35"/>
      <c r="AJ34" s="35"/>
      <c r="AK34" s="35"/>
      <c r="AL34" s="35"/>
      <c r="AM34" s="35"/>
    </row>
    <row r="35" spans="1:39" x14ac:dyDescent="0.2">
      <c r="A35" s="403" t="s">
        <v>1169</v>
      </c>
      <c r="B35" s="403" t="s">
        <v>1066</v>
      </c>
      <c r="C35" s="412">
        <v>487628577</v>
      </c>
      <c r="D35" s="404">
        <v>387786</v>
      </c>
      <c r="E35" s="404">
        <v>5670969</v>
      </c>
      <c r="F35" s="422">
        <f t="shared" si="0"/>
        <v>5.9831890334765889</v>
      </c>
      <c r="G35" s="404">
        <v>503816344</v>
      </c>
      <c r="H35" s="404">
        <v>399075</v>
      </c>
      <c r="I35" s="404">
        <v>5869409</v>
      </c>
      <c r="J35" s="420">
        <f t="shared" si="1"/>
        <v>6.1925543168705008</v>
      </c>
      <c r="K35" s="412">
        <v>505647835</v>
      </c>
      <c r="L35" s="404">
        <v>401210</v>
      </c>
      <c r="M35" s="404">
        <v>5896144</v>
      </c>
      <c r="N35" s="422">
        <f t="shared" si="2"/>
        <v>6.220761235090297</v>
      </c>
      <c r="O35" s="405">
        <v>0</v>
      </c>
      <c r="P35" s="405">
        <v>0.01</v>
      </c>
      <c r="Q35" s="405">
        <v>0</v>
      </c>
      <c r="R35" s="405">
        <v>0.04</v>
      </c>
      <c r="S35" s="405">
        <v>0.03</v>
      </c>
      <c r="T35" s="405">
        <v>0.04</v>
      </c>
      <c r="U35" s="35"/>
      <c r="V35" s="35"/>
      <c r="W35" s="35"/>
      <c r="X35" s="35"/>
      <c r="Y35" s="35"/>
      <c r="Z35" s="35"/>
      <c r="AA35" s="35"/>
      <c r="AB35" s="35"/>
      <c r="AC35" s="35"/>
      <c r="AD35" s="35"/>
      <c r="AE35" s="35"/>
      <c r="AF35" s="35"/>
      <c r="AG35" s="35"/>
      <c r="AH35" s="35"/>
      <c r="AI35" s="35"/>
      <c r="AJ35" s="35"/>
      <c r="AK35" s="35"/>
      <c r="AL35" s="35"/>
      <c r="AM35" s="35"/>
    </row>
    <row r="36" spans="1:39" x14ac:dyDescent="0.2">
      <c r="A36" s="403" t="s">
        <v>1170</v>
      </c>
      <c r="B36" s="403" t="s">
        <v>1066</v>
      </c>
      <c r="C36" s="412">
        <v>632294047</v>
      </c>
      <c r="D36" s="404">
        <v>1419991</v>
      </c>
      <c r="E36" s="404">
        <v>19772771</v>
      </c>
      <c r="F36" s="420">
        <f t="shared" si="0"/>
        <v>20.861377766065008</v>
      </c>
      <c r="G36" s="404">
        <v>653284152</v>
      </c>
      <c r="H36" s="404">
        <v>1461692</v>
      </c>
      <c r="I36" s="404">
        <v>20334624</v>
      </c>
      <c r="J36" s="420">
        <f t="shared" si="1"/>
        <v>21.454164062027115</v>
      </c>
      <c r="K36" s="412">
        <v>655658982</v>
      </c>
      <c r="L36" s="404">
        <v>1466398</v>
      </c>
      <c r="M36" s="404">
        <v>20398002</v>
      </c>
      <c r="N36" s="420">
        <f t="shared" si="2"/>
        <v>21.521031391854464</v>
      </c>
      <c r="O36" s="405">
        <v>0</v>
      </c>
      <c r="P36" s="405">
        <v>0</v>
      </c>
      <c r="Q36" s="405">
        <v>0</v>
      </c>
      <c r="R36" s="405">
        <v>0.04</v>
      </c>
      <c r="S36" s="405">
        <v>0.03</v>
      </c>
      <c r="T36" s="405">
        <v>0.03</v>
      </c>
      <c r="U36" s="35"/>
      <c r="V36" s="35"/>
      <c r="W36" s="35"/>
      <c r="X36" s="35"/>
      <c r="Y36" s="35"/>
      <c r="Z36" s="35"/>
      <c r="AA36" s="35"/>
      <c r="AB36" s="35"/>
      <c r="AC36" s="35"/>
      <c r="AD36" s="35"/>
      <c r="AE36" s="35"/>
      <c r="AF36" s="35"/>
      <c r="AG36" s="35"/>
      <c r="AH36" s="35"/>
      <c r="AI36" s="35"/>
      <c r="AJ36" s="35"/>
      <c r="AK36" s="35"/>
      <c r="AL36" s="35"/>
      <c r="AM36" s="35"/>
    </row>
    <row r="37" spans="1:39" x14ac:dyDescent="0.2">
      <c r="A37" s="403" t="s">
        <v>1040</v>
      </c>
      <c r="B37" s="403" t="s">
        <v>1066</v>
      </c>
      <c r="C37" s="412">
        <v>346001787</v>
      </c>
      <c r="D37" s="404">
        <v>687896</v>
      </c>
      <c r="E37" s="404">
        <v>9548307</v>
      </c>
      <c r="F37" s="420">
        <f t="shared" si="0"/>
        <v>10.073997182962515</v>
      </c>
      <c r="G37" s="404">
        <v>294114348</v>
      </c>
      <c r="H37" s="404">
        <v>571213</v>
      </c>
      <c r="I37" s="404">
        <v>8215958</v>
      </c>
      <c r="J37" s="420">
        <f t="shared" si="1"/>
        <v>8.6682945727801091</v>
      </c>
      <c r="K37" s="412">
        <v>305464091</v>
      </c>
      <c r="L37" s="404">
        <v>586859</v>
      </c>
      <c r="M37" s="404">
        <v>8633174</v>
      </c>
      <c r="N37" s="420">
        <f t="shared" si="2"/>
        <v>9.1084807553868163</v>
      </c>
      <c r="O37" s="405">
        <v>0.04</v>
      </c>
      <c r="P37" s="405">
        <v>0.03</v>
      </c>
      <c r="Q37" s="405">
        <v>0.05</v>
      </c>
      <c r="R37" s="405">
        <v>-0.12</v>
      </c>
      <c r="S37" s="405">
        <v>-0.15</v>
      </c>
      <c r="T37" s="405">
        <v>-0.1</v>
      </c>
      <c r="U37" s="35"/>
      <c r="V37" s="35"/>
      <c r="W37" s="35"/>
      <c r="X37" s="35"/>
      <c r="Y37" s="35"/>
      <c r="Z37" s="35"/>
      <c r="AA37" s="35"/>
      <c r="AB37" s="35"/>
      <c r="AC37" s="35"/>
      <c r="AD37" s="35"/>
      <c r="AE37" s="35"/>
      <c r="AF37" s="35"/>
      <c r="AG37" s="35"/>
      <c r="AH37" s="35"/>
      <c r="AI37" s="35"/>
      <c r="AJ37" s="35"/>
      <c r="AK37" s="35"/>
      <c r="AL37" s="35"/>
      <c r="AM37" s="35"/>
    </row>
    <row r="38" spans="1:39" x14ac:dyDescent="0.2">
      <c r="A38" s="402" t="s">
        <v>1171</v>
      </c>
      <c r="B38" s="35"/>
      <c r="C38" s="178"/>
      <c r="D38" s="35"/>
      <c r="E38" s="35"/>
      <c r="F38" s="420"/>
      <c r="G38" s="35"/>
      <c r="H38" s="35"/>
      <c r="I38" s="35"/>
      <c r="J38" s="420">
        <f t="shared" si="1"/>
        <v>0</v>
      </c>
      <c r="K38" s="178"/>
      <c r="L38" s="35"/>
      <c r="M38" s="35"/>
      <c r="N38" s="420">
        <f t="shared" si="2"/>
        <v>0</v>
      </c>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row>
    <row r="39" spans="1:39" x14ac:dyDescent="0.2">
      <c r="A39" s="403" t="s">
        <v>1172</v>
      </c>
      <c r="B39" s="403" t="s">
        <v>1157</v>
      </c>
      <c r="C39" s="412">
        <v>2223041708</v>
      </c>
      <c r="D39" s="404">
        <v>953856</v>
      </c>
      <c r="E39" s="404">
        <v>20871239</v>
      </c>
      <c r="F39" s="420">
        <f t="shared" si="0"/>
        <v>22.020322858380798</v>
      </c>
      <c r="G39" s="404">
        <v>2154131108</v>
      </c>
      <c r="H39" s="404">
        <v>570346</v>
      </c>
      <c r="I39" s="404">
        <v>18961806</v>
      </c>
      <c r="J39" s="420">
        <f t="shared" si="1"/>
        <v>20.005764396545029</v>
      </c>
      <c r="K39" s="412">
        <v>2163557443</v>
      </c>
      <c r="L39" s="404">
        <v>556076</v>
      </c>
      <c r="M39" s="404">
        <v>20527391</v>
      </c>
      <c r="N39" s="420">
        <f t="shared" si="2"/>
        <v>21.657544013569112</v>
      </c>
      <c r="O39" s="405">
        <v>0</v>
      </c>
      <c r="P39" s="405">
        <v>-0.03</v>
      </c>
      <c r="Q39" s="405">
        <v>0.08</v>
      </c>
      <c r="R39" s="405">
        <v>-0.03</v>
      </c>
      <c r="S39" s="405">
        <v>-0.42</v>
      </c>
      <c r="T39" s="405">
        <v>-0.02</v>
      </c>
      <c r="U39" s="35"/>
      <c r="V39" s="35"/>
      <c r="W39" s="35"/>
      <c r="X39" s="35"/>
      <c r="Y39" s="35"/>
      <c r="Z39" s="35"/>
      <c r="AA39" s="35"/>
      <c r="AB39" s="35"/>
      <c r="AC39" s="35"/>
      <c r="AD39" s="35"/>
      <c r="AE39" s="35"/>
      <c r="AF39" s="35"/>
      <c r="AG39" s="35"/>
      <c r="AH39" s="35"/>
      <c r="AI39" s="35"/>
      <c r="AJ39" s="35"/>
      <c r="AK39" s="35"/>
      <c r="AL39" s="35"/>
      <c r="AM39" s="35"/>
    </row>
    <row r="40" spans="1:39" x14ac:dyDescent="0.2">
      <c r="A40" s="403" t="s">
        <v>1173</v>
      </c>
      <c r="B40" s="403" t="s">
        <v>1153</v>
      </c>
      <c r="C40" s="412">
        <v>5207218</v>
      </c>
      <c r="D40" s="404">
        <v>14098</v>
      </c>
      <c r="E40" s="404">
        <v>192691</v>
      </c>
      <c r="F40" s="420">
        <f t="shared" si="0"/>
        <v>0.20329976729720042</v>
      </c>
      <c r="G40" s="404">
        <v>5470547</v>
      </c>
      <c r="H40" s="404">
        <v>14811</v>
      </c>
      <c r="I40" s="404">
        <v>202435</v>
      </c>
      <c r="J40" s="420">
        <f t="shared" si="1"/>
        <v>0.2135802315251297</v>
      </c>
      <c r="K40" s="412">
        <v>5452200</v>
      </c>
      <c r="L40" s="404">
        <v>14761</v>
      </c>
      <c r="M40" s="404">
        <v>201756</v>
      </c>
      <c r="N40" s="420">
        <f t="shared" si="2"/>
        <v>0.21286384860120072</v>
      </c>
      <c r="O40" s="405">
        <v>0</v>
      </c>
      <c r="P40" s="405">
        <v>0</v>
      </c>
      <c r="Q40" s="405">
        <v>0</v>
      </c>
      <c r="R40" s="405">
        <v>0.05</v>
      </c>
      <c r="S40" s="405">
        <v>0.05</v>
      </c>
      <c r="T40" s="405">
        <v>0.05</v>
      </c>
      <c r="U40" s="35"/>
      <c r="V40" s="35"/>
      <c r="W40" s="35"/>
      <c r="X40" s="35"/>
      <c r="Y40" s="35"/>
      <c r="Z40" s="35"/>
      <c r="AA40" s="35"/>
      <c r="AB40" s="35"/>
      <c r="AC40" s="35"/>
      <c r="AD40" s="35"/>
      <c r="AE40" s="35"/>
      <c r="AF40" s="35"/>
      <c r="AG40" s="35"/>
      <c r="AH40" s="35"/>
      <c r="AI40" s="35"/>
      <c r="AJ40" s="35"/>
      <c r="AK40" s="35"/>
      <c r="AL40" s="35"/>
      <c r="AM40" s="35"/>
    </row>
    <row r="41" spans="1:39" x14ac:dyDescent="0.2">
      <c r="A41" s="402" t="s">
        <v>1174</v>
      </c>
      <c r="B41" s="35"/>
      <c r="C41" s="178"/>
      <c r="D41" s="35"/>
      <c r="E41" s="35"/>
      <c r="F41" s="420"/>
      <c r="G41" s="35"/>
      <c r="H41" s="35"/>
      <c r="I41" s="35"/>
      <c r="J41" s="420">
        <f t="shared" si="1"/>
        <v>0</v>
      </c>
      <c r="K41" s="178"/>
      <c r="L41" s="35"/>
      <c r="M41" s="35"/>
      <c r="N41" s="420">
        <f t="shared" si="2"/>
        <v>0</v>
      </c>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row>
    <row r="42" spans="1:39" x14ac:dyDescent="0.2">
      <c r="A42" s="403" t="s">
        <v>1175</v>
      </c>
      <c r="B42" s="403" t="s">
        <v>1153</v>
      </c>
      <c r="C42" s="412">
        <v>18247504</v>
      </c>
      <c r="D42" s="404">
        <v>49962</v>
      </c>
      <c r="E42" s="404">
        <v>673386</v>
      </c>
      <c r="F42" s="420">
        <f t="shared" si="0"/>
        <v>0.71045984037237131</v>
      </c>
      <c r="G42" s="404">
        <v>14092419</v>
      </c>
      <c r="H42" s="404">
        <v>38585</v>
      </c>
      <c r="I42" s="404">
        <v>520051</v>
      </c>
      <c r="J42" s="420">
        <f t="shared" si="1"/>
        <v>0.54868285121088356</v>
      </c>
      <c r="K42" s="412">
        <v>25241030</v>
      </c>
      <c r="L42" s="404">
        <v>69110</v>
      </c>
      <c r="M42" s="404">
        <v>931467</v>
      </c>
      <c r="N42" s="420">
        <f t="shared" si="2"/>
        <v>0.98274970987239352</v>
      </c>
      <c r="O42" s="405">
        <v>0.79</v>
      </c>
      <c r="P42" s="405">
        <v>0.79</v>
      </c>
      <c r="Q42" s="405">
        <v>0.79</v>
      </c>
      <c r="R42" s="405">
        <v>0.38</v>
      </c>
      <c r="S42" s="405">
        <v>0.38</v>
      </c>
      <c r="T42" s="405">
        <v>0.38</v>
      </c>
      <c r="U42" s="35"/>
      <c r="V42" s="35"/>
      <c r="W42" s="35"/>
      <c r="X42" s="35"/>
      <c r="Y42" s="35"/>
      <c r="Z42" s="35"/>
      <c r="AA42" s="35"/>
      <c r="AB42" s="35"/>
      <c r="AC42" s="35"/>
      <c r="AD42" s="35"/>
      <c r="AE42" s="35"/>
      <c r="AF42" s="35"/>
      <c r="AG42" s="35"/>
      <c r="AH42" s="35"/>
      <c r="AI42" s="35"/>
      <c r="AJ42" s="35"/>
      <c r="AK42" s="35"/>
      <c r="AL42" s="35"/>
      <c r="AM42" s="35"/>
    </row>
    <row r="43" spans="1:39" x14ac:dyDescent="0.2">
      <c r="A43" s="403"/>
      <c r="B43" s="403" t="s">
        <v>11</v>
      </c>
      <c r="C43" s="418">
        <f>C42*48/10^9</f>
        <v>0.875880192</v>
      </c>
      <c r="D43" s="419"/>
      <c r="E43" s="419"/>
      <c r="F43" s="420"/>
      <c r="G43" s="419"/>
      <c r="H43" s="419"/>
      <c r="I43" s="419"/>
      <c r="J43" s="420"/>
      <c r="K43" s="418">
        <f>K42*48/10^9</f>
        <v>1.2115694400000001</v>
      </c>
      <c r="L43" s="417"/>
      <c r="M43" s="417"/>
      <c r="N43" s="420"/>
      <c r="O43" s="417"/>
      <c r="P43" s="417"/>
      <c r="Q43" s="417"/>
      <c r="R43" s="417"/>
      <c r="S43" s="417"/>
      <c r="T43" s="417"/>
      <c r="U43" s="389"/>
      <c r="V43" s="35"/>
      <c r="W43" s="35"/>
      <c r="X43" s="35"/>
      <c r="Y43" s="35"/>
      <c r="Z43" s="35"/>
      <c r="AA43" s="35"/>
      <c r="AB43" s="35"/>
      <c r="AC43" s="35"/>
      <c r="AD43" s="35"/>
      <c r="AE43" s="35"/>
      <c r="AF43" s="35"/>
      <c r="AG43" s="35"/>
      <c r="AH43" s="35"/>
      <c r="AI43" s="35"/>
      <c r="AJ43" s="35"/>
      <c r="AK43" s="35"/>
      <c r="AL43" s="35"/>
      <c r="AM43" s="35"/>
    </row>
    <row r="44" spans="1:39" x14ac:dyDescent="0.2">
      <c r="A44" s="403"/>
      <c r="B44" s="403" t="s">
        <v>1176</v>
      </c>
      <c r="C44" s="418">
        <f>C43*TechData!K33</f>
        <v>1.6792503530572207</v>
      </c>
      <c r="D44" s="419"/>
      <c r="E44" s="419"/>
      <c r="F44" s="421"/>
      <c r="G44" s="419"/>
      <c r="H44" s="419"/>
      <c r="I44" s="419"/>
      <c r="J44" s="420"/>
      <c r="K44" s="418">
        <f>K43*TechData!K33</f>
        <v>2.3228387038045262</v>
      </c>
      <c r="L44" s="417"/>
      <c r="M44" s="417"/>
      <c r="N44" s="420"/>
      <c r="O44" s="417"/>
      <c r="P44" s="417"/>
      <c r="Q44" s="417"/>
      <c r="R44" s="417"/>
      <c r="S44" s="417"/>
      <c r="T44" s="417"/>
      <c r="U44" s="389"/>
      <c r="V44" s="35"/>
      <c r="W44" s="35"/>
      <c r="X44" s="35"/>
      <c r="Y44" s="35"/>
      <c r="Z44" s="35"/>
      <c r="AA44" s="35"/>
      <c r="AB44" s="35"/>
      <c r="AC44" s="35"/>
      <c r="AD44" s="35"/>
      <c r="AE44" s="35"/>
      <c r="AF44" s="35"/>
      <c r="AG44" s="35"/>
      <c r="AH44" s="35"/>
      <c r="AI44" s="35"/>
      <c r="AJ44" s="35"/>
      <c r="AK44" s="35"/>
      <c r="AL44" s="35"/>
      <c r="AM44" s="35"/>
    </row>
    <row r="45" spans="1:39" x14ac:dyDescent="0.2">
      <c r="A45" s="403" t="s">
        <v>695</v>
      </c>
      <c r="B45" s="403" t="s">
        <v>1153</v>
      </c>
      <c r="C45" s="413" t="s">
        <v>1166</v>
      </c>
      <c r="D45" s="403" t="s">
        <v>1166</v>
      </c>
      <c r="E45" s="403" t="s">
        <v>1166</v>
      </c>
      <c r="F45" s="421"/>
      <c r="G45" s="403" t="s">
        <v>1166</v>
      </c>
      <c r="H45" s="403" t="s">
        <v>1166</v>
      </c>
      <c r="I45" s="403" t="s">
        <v>1166</v>
      </c>
      <c r="J45" s="420"/>
      <c r="K45" s="412">
        <v>45333</v>
      </c>
      <c r="L45" s="407">
        <v>0.1</v>
      </c>
      <c r="M45" s="404">
        <v>1548</v>
      </c>
      <c r="N45" s="420"/>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row>
    <row r="46" spans="1:39" x14ac:dyDescent="0.2">
      <c r="A46" s="403" t="s">
        <v>1177</v>
      </c>
      <c r="B46" s="403" t="s">
        <v>1153</v>
      </c>
      <c r="C46" s="413" t="s">
        <v>1166</v>
      </c>
      <c r="D46" s="403" t="s">
        <v>1166</v>
      </c>
      <c r="E46" s="403" t="s">
        <v>1166</v>
      </c>
      <c r="F46" s="421"/>
      <c r="G46" s="403" t="s">
        <v>1166</v>
      </c>
      <c r="H46" s="403" t="s">
        <v>1166</v>
      </c>
      <c r="I46" s="403" t="s">
        <v>1166</v>
      </c>
      <c r="J46" s="420"/>
      <c r="K46" s="412">
        <v>8718</v>
      </c>
      <c r="L46" s="406">
        <v>21</v>
      </c>
      <c r="M46" s="406">
        <v>291</v>
      </c>
      <c r="N46" s="420"/>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row>
    <row r="47" spans="1:39" x14ac:dyDescent="0.2">
      <c r="A47" s="402" t="s">
        <v>1178</v>
      </c>
      <c r="B47" s="35"/>
      <c r="C47" s="178"/>
      <c r="D47" s="35"/>
      <c r="E47" s="35"/>
      <c r="F47" s="421"/>
      <c r="G47" s="35"/>
      <c r="H47" s="35"/>
      <c r="I47" s="35"/>
      <c r="J47" s="420"/>
      <c r="K47" s="178"/>
      <c r="L47" s="35"/>
      <c r="M47" s="35"/>
      <c r="N47" s="420"/>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row>
    <row r="48" spans="1:39" x14ac:dyDescent="0.2">
      <c r="A48" s="403" t="s">
        <v>1179</v>
      </c>
      <c r="B48" s="403" t="s">
        <v>1153</v>
      </c>
      <c r="C48" s="412">
        <v>933093</v>
      </c>
      <c r="D48" s="404">
        <v>2426</v>
      </c>
      <c r="E48" s="404">
        <v>33610</v>
      </c>
      <c r="F48" s="421">
        <f t="shared" si="0"/>
        <v>3.5460427206558197E-2</v>
      </c>
      <c r="G48" s="404">
        <v>898529</v>
      </c>
      <c r="H48" s="404">
        <v>2336</v>
      </c>
      <c r="I48" s="404">
        <v>32365</v>
      </c>
      <c r="J48" s="420">
        <f t="shared" si="1"/>
        <v>3.41468826700463E-2</v>
      </c>
      <c r="K48" s="412">
        <v>1016754</v>
      </c>
      <c r="L48" s="404">
        <v>2643</v>
      </c>
      <c r="M48" s="404">
        <v>36623</v>
      </c>
      <c r="N48" s="420">
        <f t="shared" si="2"/>
        <v>3.863931049050226E-2</v>
      </c>
      <c r="O48" s="405">
        <v>0.13</v>
      </c>
      <c r="P48" s="405">
        <v>0.13</v>
      </c>
      <c r="Q48" s="405">
        <v>0.13</v>
      </c>
      <c r="R48" s="405">
        <v>0.09</v>
      </c>
      <c r="S48" s="405">
        <v>0.09</v>
      </c>
      <c r="T48" s="405">
        <v>0.09</v>
      </c>
      <c r="U48" s="35"/>
      <c r="V48" s="35"/>
      <c r="W48" s="35"/>
      <c r="X48" s="35"/>
      <c r="Y48" s="35"/>
      <c r="Z48" s="35"/>
      <c r="AA48" s="35"/>
      <c r="AB48" s="35"/>
      <c r="AC48" s="35"/>
      <c r="AD48" s="35"/>
      <c r="AE48" s="35"/>
      <c r="AF48" s="35"/>
      <c r="AG48" s="35"/>
      <c r="AH48" s="35"/>
      <c r="AI48" s="35"/>
      <c r="AJ48" s="35"/>
      <c r="AK48" s="35"/>
      <c r="AL48" s="35"/>
      <c r="AM48" s="35"/>
    </row>
    <row r="49" spans="1:39" x14ac:dyDescent="0.2">
      <c r="A49" s="403"/>
      <c r="B49" s="403" t="s">
        <v>11</v>
      </c>
      <c r="C49" s="416">
        <f>C48*42.8/10^9</f>
        <v>3.9936380399999999E-2</v>
      </c>
      <c r="D49" s="404"/>
      <c r="E49" s="404"/>
      <c r="F49" s="421"/>
      <c r="G49" s="404"/>
      <c r="H49" s="404"/>
      <c r="I49" s="404"/>
      <c r="J49" s="420"/>
      <c r="K49" s="416">
        <f>K48*42.8/10^9</f>
        <v>4.3517071199999993E-2</v>
      </c>
      <c r="L49" s="404"/>
      <c r="M49" s="404"/>
      <c r="N49" s="420"/>
      <c r="O49" s="405"/>
      <c r="P49" s="405"/>
      <c r="Q49" s="405"/>
      <c r="R49" s="405"/>
      <c r="S49" s="405"/>
      <c r="T49" s="405"/>
      <c r="U49" s="35"/>
      <c r="V49" s="35"/>
      <c r="W49" s="35"/>
      <c r="X49" s="35"/>
      <c r="Y49" s="35"/>
      <c r="Z49" s="35"/>
      <c r="AA49" s="35"/>
      <c r="AB49" s="35"/>
      <c r="AC49" s="35"/>
      <c r="AD49" s="35"/>
      <c r="AE49" s="35"/>
      <c r="AF49" s="35"/>
      <c r="AG49" s="35"/>
      <c r="AH49" s="35"/>
      <c r="AI49" s="35"/>
      <c r="AJ49" s="35"/>
      <c r="AK49" s="35"/>
      <c r="AL49" s="35"/>
      <c r="AM49" s="35"/>
    </row>
    <row r="50" spans="1:39" x14ac:dyDescent="0.2">
      <c r="A50" s="403"/>
      <c r="B50" s="403" t="s">
        <v>1176</v>
      </c>
      <c r="C50" s="416">
        <f>C49*TechData!$K$8</f>
        <v>1.7477079974788159E-2</v>
      </c>
      <c r="D50" s="404"/>
      <c r="E50" s="404"/>
      <c r="F50" s="421"/>
      <c r="G50" s="404"/>
      <c r="H50" s="404"/>
      <c r="I50" s="404"/>
      <c r="J50" s="420"/>
      <c r="K50" s="416">
        <f>K49*TechData!$K$8</f>
        <v>1.9044072748038786E-2</v>
      </c>
      <c r="L50" s="404"/>
      <c r="M50" s="404"/>
      <c r="N50" s="420"/>
      <c r="O50" s="405"/>
      <c r="P50" s="405"/>
      <c r="Q50" s="405"/>
      <c r="R50" s="405"/>
      <c r="S50" s="405"/>
      <c r="T50" s="405"/>
      <c r="U50" s="35"/>
      <c r="V50" s="35"/>
      <c r="W50" s="35"/>
      <c r="X50" s="35"/>
      <c r="Y50" s="35"/>
      <c r="Z50" s="35"/>
      <c r="AA50" s="35"/>
      <c r="AB50" s="35"/>
      <c r="AC50" s="35"/>
      <c r="AD50" s="35"/>
      <c r="AE50" s="35"/>
      <c r="AF50" s="35"/>
      <c r="AG50" s="35"/>
      <c r="AH50" s="35"/>
      <c r="AI50" s="35"/>
      <c r="AJ50" s="35"/>
      <c r="AK50" s="35"/>
      <c r="AL50" s="35"/>
      <c r="AM50" s="35"/>
    </row>
    <row r="51" spans="1:39" x14ac:dyDescent="0.2">
      <c r="A51" s="402" t="s">
        <v>1180</v>
      </c>
      <c r="B51" s="35"/>
      <c r="C51" s="178"/>
      <c r="D51" s="35"/>
      <c r="E51" s="35"/>
      <c r="F51" s="421"/>
      <c r="G51" s="35"/>
      <c r="H51" s="35"/>
      <c r="I51" s="35"/>
      <c r="J51" s="420"/>
      <c r="K51" s="178"/>
      <c r="L51" s="35"/>
      <c r="M51" s="35"/>
      <c r="N51" s="420"/>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row>
    <row r="52" spans="1:39" x14ac:dyDescent="0.2">
      <c r="A52" s="402" t="s">
        <v>1181</v>
      </c>
      <c r="B52" s="35"/>
      <c r="C52" s="178"/>
      <c r="D52" s="35"/>
      <c r="E52" s="35"/>
      <c r="F52" s="421"/>
      <c r="G52" s="35"/>
      <c r="H52" s="35"/>
      <c r="I52" s="35"/>
      <c r="J52" s="420"/>
      <c r="K52" s="178"/>
      <c r="L52" s="35"/>
      <c r="M52" s="35"/>
      <c r="N52" s="420"/>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row>
    <row r="53" spans="1:39" x14ac:dyDescent="0.2">
      <c r="A53" s="403" t="s">
        <v>1182</v>
      </c>
      <c r="B53" s="403" t="s">
        <v>864</v>
      </c>
      <c r="C53" s="412">
        <v>7420036</v>
      </c>
      <c r="D53" s="404">
        <v>2021979</v>
      </c>
      <c r="E53" s="403" t="s">
        <v>1166</v>
      </c>
      <c r="F53" s="421"/>
      <c r="G53" s="404">
        <v>5999846</v>
      </c>
      <c r="H53" s="404">
        <v>1634973</v>
      </c>
      <c r="I53" s="403" t="s">
        <v>1166</v>
      </c>
      <c r="J53" s="420"/>
      <c r="K53" s="412">
        <v>5538963</v>
      </c>
      <c r="L53" s="404">
        <v>1509381</v>
      </c>
      <c r="M53" s="403" t="s">
        <v>1166</v>
      </c>
      <c r="N53" s="420"/>
      <c r="O53" s="405">
        <v>-0.08</v>
      </c>
      <c r="P53" s="405">
        <v>-0.08</v>
      </c>
      <c r="Q53" s="405">
        <v>0</v>
      </c>
      <c r="R53" s="405">
        <v>-0.25</v>
      </c>
      <c r="S53" s="405">
        <v>-0.25</v>
      </c>
      <c r="T53" s="405">
        <v>0</v>
      </c>
      <c r="U53" s="35"/>
      <c r="V53" s="35"/>
      <c r="W53" s="35"/>
      <c r="X53" s="35"/>
      <c r="Y53" s="35"/>
      <c r="Z53" s="35"/>
      <c r="AA53" s="35"/>
      <c r="AB53" s="35"/>
      <c r="AC53" s="35"/>
      <c r="AD53" s="35"/>
      <c r="AE53" s="35"/>
      <c r="AF53" s="35"/>
      <c r="AG53" s="35"/>
      <c r="AH53" s="35"/>
      <c r="AI53" s="35"/>
      <c r="AJ53" s="35"/>
      <c r="AK53" s="35"/>
      <c r="AL53" s="35"/>
      <c r="AM53" s="35"/>
    </row>
    <row r="54" spans="1:39" x14ac:dyDescent="0.2">
      <c r="A54" s="402" t="s">
        <v>1183</v>
      </c>
      <c r="B54" s="35"/>
      <c r="C54" s="178"/>
      <c r="D54" s="35"/>
      <c r="E54" s="35"/>
      <c r="F54" s="421"/>
      <c r="G54" s="35"/>
      <c r="H54" s="35"/>
      <c r="I54" s="35"/>
      <c r="J54" s="420"/>
      <c r="K54" s="178"/>
      <c r="L54" s="35"/>
      <c r="M54" s="35"/>
      <c r="N54" s="420"/>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row>
    <row r="55" spans="1:39" x14ac:dyDescent="0.2">
      <c r="A55" s="403" t="s">
        <v>1184</v>
      </c>
      <c r="B55" s="403" t="s">
        <v>864</v>
      </c>
      <c r="C55" s="412">
        <v>26351</v>
      </c>
      <c r="D55" s="404">
        <v>4991</v>
      </c>
      <c r="E55" s="403" t="s">
        <v>1166</v>
      </c>
      <c r="F55" s="421"/>
      <c r="G55" s="404">
        <v>36980</v>
      </c>
      <c r="H55" s="404">
        <v>7004</v>
      </c>
      <c r="I55" s="403" t="s">
        <v>1166</v>
      </c>
      <c r="J55" s="420"/>
      <c r="K55" s="412">
        <v>564146</v>
      </c>
      <c r="L55" s="404">
        <v>106849</v>
      </c>
      <c r="M55" s="403" t="s">
        <v>1166</v>
      </c>
      <c r="N55" s="420"/>
      <c r="O55" s="405">
        <v>0</v>
      </c>
      <c r="P55" s="405">
        <v>0</v>
      </c>
      <c r="Q55" s="405">
        <v>0</v>
      </c>
      <c r="R55" s="405">
        <v>0</v>
      </c>
      <c r="S55" s="405">
        <v>0</v>
      </c>
      <c r="T55" s="405">
        <v>0</v>
      </c>
      <c r="U55" s="35"/>
      <c r="V55" s="35"/>
      <c r="W55" s="35"/>
      <c r="X55" s="35"/>
      <c r="Y55" s="35"/>
      <c r="Z55" s="35"/>
      <c r="AA55" s="35"/>
      <c r="AB55" s="35"/>
      <c r="AC55" s="35"/>
      <c r="AD55" s="35"/>
      <c r="AE55" s="35"/>
      <c r="AF55" s="35"/>
      <c r="AG55" s="35"/>
      <c r="AH55" s="35"/>
      <c r="AI55" s="35"/>
      <c r="AJ55" s="35"/>
      <c r="AK55" s="35"/>
      <c r="AL55" s="35"/>
      <c r="AM55" s="35"/>
    </row>
    <row r="56" spans="1:39" x14ac:dyDescent="0.2">
      <c r="A56" s="403" t="s">
        <v>1185</v>
      </c>
      <c r="B56" s="35"/>
      <c r="C56" s="178"/>
      <c r="D56" s="35"/>
      <c r="E56" s="35"/>
      <c r="F56" s="421"/>
      <c r="G56" s="35"/>
      <c r="H56" s="35"/>
      <c r="I56" s="35"/>
      <c r="J56" s="420"/>
      <c r="K56" s="178"/>
      <c r="L56" s="35"/>
      <c r="M56" s="35"/>
      <c r="N56" s="420"/>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row>
    <row r="57" spans="1:39" x14ac:dyDescent="0.2">
      <c r="A57" s="403" t="s">
        <v>1186</v>
      </c>
      <c r="B57" s="403" t="s">
        <v>864</v>
      </c>
      <c r="C57" s="412">
        <v>6536</v>
      </c>
      <c r="D57" s="404">
        <v>163402</v>
      </c>
      <c r="E57" s="403" t="s">
        <v>1166</v>
      </c>
      <c r="F57" s="421"/>
      <c r="G57" s="404">
        <v>5699</v>
      </c>
      <c r="H57" s="404">
        <v>142468</v>
      </c>
      <c r="I57" s="403" t="s">
        <v>1166</v>
      </c>
      <c r="J57" s="420"/>
      <c r="K57" s="412">
        <v>5842</v>
      </c>
      <c r="L57" s="404">
        <v>146058</v>
      </c>
      <c r="M57" s="403" t="s">
        <v>1166</v>
      </c>
      <c r="N57" s="420"/>
      <c r="O57" s="405">
        <v>0.03</v>
      </c>
      <c r="P57" s="405">
        <v>0.03</v>
      </c>
      <c r="Q57" s="405">
        <v>0</v>
      </c>
      <c r="R57" s="405">
        <v>-0.11</v>
      </c>
      <c r="S57" s="405">
        <v>-0.11</v>
      </c>
      <c r="T57" s="405">
        <v>0</v>
      </c>
      <c r="U57" s="35"/>
      <c r="V57" s="35"/>
      <c r="W57" s="35"/>
      <c r="X57" s="35"/>
      <c r="Y57" s="35"/>
      <c r="Z57" s="35"/>
      <c r="AA57" s="35"/>
      <c r="AB57" s="35"/>
      <c r="AC57" s="35"/>
      <c r="AD57" s="35"/>
      <c r="AE57" s="35"/>
      <c r="AF57" s="35"/>
      <c r="AG57" s="35"/>
      <c r="AH57" s="35"/>
      <c r="AI57" s="35"/>
      <c r="AJ57" s="35"/>
      <c r="AK57" s="35"/>
      <c r="AL57" s="35"/>
      <c r="AM57" s="35"/>
    </row>
    <row r="58" spans="1:39" x14ac:dyDescent="0.2">
      <c r="A58" s="403" t="s">
        <v>1187</v>
      </c>
      <c r="B58" s="403" t="s">
        <v>864</v>
      </c>
      <c r="C58" s="414">
        <v>286</v>
      </c>
      <c r="D58" s="404">
        <v>85120</v>
      </c>
      <c r="E58" s="403" t="s">
        <v>1166</v>
      </c>
      <c r="F58" s="421"/>
      <c r="G58" s="406">
        <v>255</v>
      </c>
      <c r="H58" s="404">
        <v>75866</v>
      </c>
      <c r="I58" s="403" t="s">
        <v>1166</v>
      </c>
      <c r="J58" s="420"/>
      <c r="K58" s="414">
        <v>251</v>
      </c>
      <c r="L58" s="404">
        <v>74871</v>
      </c>
      <c r="M58" s="403" t="s">
        <v>1166</v>
      </c>
      <c r="N58" s="420"/>
      <c r="O58" s="405">
        <v>-0.01</v>
      </c>
      <c r="P58" s="405">
        <v>-0.01</v>
      </c>
      <c r="Q58" s="405">
        <v>0</v>
      </c>
      <c r="R58" s="405">
        <v>-0.12</v>
      </c>
      <c r="S58" s="405">
        <v>-0.12</v>
      </c>
      <c r="T58" s="405">
        <v>0</v>
      </c>
      <c r="U58" s="35"/>
      <c r="V58" s="35"/>
      <c r="W58" s="35"/>
      <c r="X58" s="35"/>
      <c r="Y58" s="35"/>
      <c r="Z58" s="35"/>
      <c r="AA58" s="35"/>
      <c r="AB58" s="35"/>
      <c r="AC58" s="35"/>
      <c r="AD58" s="35"/>
      <c r="AE58" s="35"/>
      <c r="AF58" s="35"/>
      <c r="AG58" s="35"/>
      <c r="AH58" s="35"/>
      <c r="AI58" s="35"/>
      <c r="AJ58" s="35"/>
      <c r="AK58" s="35"/>
      <c r="AL58" s="35"/>
      <c r="AM58" s="35"/>
    </row>
    <row r="59" spans="1:39" x14ac:dyDescent="0.2">
      <c r="A59" s="402" t="s">
        <v>1188</v>
      </c>
      <c r="B59" s="35"/>
      <c r="C59" s="178"/>
      <c r="D59" s="408">
        <v>61062452</v>
      </c>
      <c r="E59" s="408">
        <v>1084533543</v>
      </c>
      <c r="F59" s="421">
        <f t="shared" si="0"/>
        <v>1144.2434619048545</v>
      </c>
      <c r="G59" s="35"/>
      <c r="H59" s="408">
        <v>52740933</v>
      </c>
      <c r="I59" s="408">
        <v>1084168127</v>
      </c>
      <c r="J59" s="420">
        <f t="shared" si="1"/>
        <v>1143.8579276154135</v>
      </c>
      <c r="K59" s="178"/>
      <c r="L59" s="408">
        <v>52042186</v>
      </c>
      <c r="M59" s="408">
        <v>1119368701</v>
      </c>
      <c r="N59" s="420"/>
      <c r="O59" s="35"/>
      <c r="P59" s="409">
        <v>-1.2999999999999999E-2</v>
      </c>
      <c r="Q59" s="409">
        <v>3.2000000000000001E-2</v>
      </c>
      <c r="R59" s="35"/>
      <c r="S59" s="409">
        <v>-0.14799999999999999</v>
      </c>
      <c r="T59" s="409">
        <v>3.2000000000000001E-2</v>
      </c>
      <c r="U59" s="35"/>
      <c r="V59" s="35"/>
      <c r="W59" s="35"/>
      <c r="X59" s="35"/>
      <c r="Y59" s="35"/>
      <c r="Z59" s="35"/>
      <c r="AA59" s="35"/>
      <c r="AB59" s="35"/>
      <c r="AC59" s="35"/>
      <c r="AD59" s="35"/>
      <c r="AE59" s="35"/>
      <c r="AF59" s="35"/>
      <c r="AG59" s="35"/>
      <c r="AH59" s="35"/>
      <c r="AI59" s="35"/>
      <c r="AJ59" s="35"/>
      <c r="AK59" s="35"/>
      <c r="AL59" s="35"/>
      <c r="AM59" s="35"/>
    </row>
    <row r="60" spans="1:39" x14ac:dyDescent="0.2">
      <c r="A60" s="410">
        <v>51</v>
      </c>
      <c r="B60" s="35"/>
      <c r="C60" s="415" t="s">
        <v>1189</v>
      </c>
      <c r="D60" s="35"/>
      <c r="E60" s="35"/>
      <c r="F60" s="421"/>
      <c r="G60" s="35"/>
      <c r="H60" s="35"/>
      <c r="I60" s="35"/>
      <c r="J60" s="420"/>
      <c r="K60" s="178"/>
      <c r="L60" s="35"/>
      <c r="M60" s="35"/>
      <c r="N60" s="420"/>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row>
  </sheetData>
  <autoFilter ref="A4:AM4" xr:uid="{B4FE2282-9853-4A40-BC5A-C6F10A5413B7}"/>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33"/>
  <sheetViews>
    <sheetView workbookViewId="0">
      <selection activeCell="H16" sqref="H16"/>
    </sheetView>
  </sheetViews>
  <sheetFormatPr defaultColWidth="9.140625" defaultRowHeight="12.75" x14ac:dyDescent="0.2"/>
  <cols>
    <col min="1" max="2" width="27.5703125" style="198" customWidth="1"/>
    <col min="3" max="3" width="9.7109375" style="198" customWidth="1"/>
    <col min="4" max="4" width="29.85546875" style="198" customWidth="1"/>
    <col min="5" max="5" width="17.28515625" style="198" customWidth="1"/>
    <col min="6" max="6" width="5.7109375" style="198" customWidth="1"/>
    <col min="7" max="7" width="14.28515625" style="198" customWidth="1"/>
    <col min="8" max="8" width="11.28515625" style="198" customWidth="1"/>
    <col min="9" max="9" width="12.42578125" style="198" customWidth="1"/>
    <col min="10" max="10" width="6.85546875" style="198" customWidth="1"/>
    <col min="11" max="11" width="12" style="198" customWidth="1"/>
    <col min="12" max="12" width="16.42578125" style="198" customWidth="1"/>
    <col min="13" max="13" width="17.42578125" style="198" customWidth="1"/>
    <col min="14" max="14" width="9.140625" style="198"/>
    <col min="15" max="15" width="15.140625" style="198" customWidth="1"/>
    <col min="16" max="16" width="12.140625" style="198" customWidth="1"/>
    <col min="17" max="16384" width="9.140625" style="198"/>
  </cols>
  <sheetData>
    <row r="1" spans="1:16" x14ac:dyDescent="0.2">
      <c r="A1" s="197" t="s">
        <v>1190</v>
      </c>
      <c r="B1" s="197" t="s">
        <v>1218</v>
      </c>
      <c r="C1" s="197" t="s">
        <v>1219</v>
      </c>
      <c r="D1" s="197" t="s">
        <v>1143</v>
      </c>
      <c r="E1" s="197" t="s">
        <v>1191</v>
      </c>
      <c r="F1" s="197" t="s">
        <v>165</v>
      </c>
      <c r="G1" s="197" t="s">
        <v>1144</v>
      </c>
      <c r="H1" s="197" t="s">
        <v>1192</v>
      </c>
      <c r="I1" s="197" t="s">
        <v>1193</v>
      </c>
      <c r="K1" s="199" t="s">
        <v>1194</v>
      </c>
      <c r="L1" s="199" t="s">
        <v>1195</v>
      </c>
      <c r="M1" s="199" t="s">
        <v>1196</v>
      </c>
      <c r="O1" s="204" t="s">
        <v>1194</v>
      </c>
      <c r="P1" s="200" t="s">
        <v>1197</v>
      </c>
    </row>
    <row r="2" spans="1:16" x14ac:dyDescent="0.2">
      <c r="A2" s="198" t="s">
        <v>1198</v>
      </c>
      <c r="B2" s="201" t="s">
        <v>1198</v>
      </c>
      <c r="C2" s="201" t="s">
        <v>93</v>
      </c>
      <c r="D2" s="201" t="s">
        <v>1199</v>
      </c>
      <c r="E2" s="201" t="s">
        <v>498</v>
      </c>
      <c r="F2" s="201" t="s">
        <v>1159</v>
      </c>
      <c r="G2" s="202">
        <v>1420989</v>
      </c>
      <c r="H2" s="202">
        <v>78637</v>
      </c>
      <c r="I2" s="202">
        <v>1420989</v>
      </c>
      <c r="K2" s="200" t="s">
        <v>498</v>
      </c>
      <c r="L2" s="200">
        <v>1420989</v>
      </c>
      <c r="M2" s="200">
        <v>1420989</v>
      </c>
      <c r="O2" s="200" t="s">
        <v>498</v>
      </c>
      <c r="P2" s="200">
        <v>12305.655399518766</v>
      </c>
    </row>
    <row r="3" spans="1:16" x14ac:dyDescent="0.2">
      <c r="A3" s="198" t="s">
        <v>1200</v>
      </c>
      <c r="B3" s="201" t="s">
        <v>1200</v>
      </c>
      <c r="C3" s="201" t="s">
        <v>110</v>
      </c>
      <c r="D3" s="198" t="s">
        <v>1199</v>
      </c>
      <c r="E3" s="198" t="s">
        <v>758</v>
      </c>
      <c r="F3" s="198" t="s">
        <v>1153</v>
      </c>
      <c r="G3" s="203">
        <v>5064028</v>
      </c>
      <c r="H3" s="203">
        <v>13789</v>
      </c>
      <c r="I3" s="203">
        <v>195751</v>
      </c>
      <c r="K3" s="200" t="s">
        <v>758</v>
      </c>
      <c r="L3" s="200">
        <v>23502694</v>
      </c>
      <c r="M3" s="200">
        <v>610577983</v>
      </c>
      <c r="O3" s="200" t="s">
        <v>758</v>
      </c>
      <c r="P3" s="200">
        <v>25146932.739426509</v>
      </c>
    </row>
    <row r="4" spans="1:16" x14ac:dyDescent="0.2">
      <c r="A4" s="198" t="s">
        <v>1202</v>
      </c>
      <c r="B4" s="201" t="s">
        <v>1202</v>
      </c>
      <c r="C4" s="201" t="s">
        <v>98</v>
      </c>
      <c r="D4" s="198" t="s">
        <v>1199</v>
      </c>
      <c r="E4" s="198" t="s">
        <v>758</v>
      </c>
      <c r="F4" s="198" t="s">
        <v>1153</v>
      </c>
      <c r="G4" s="203">
        <v>326200350</v>
      </c>
      <c r="H4" s="203">
        <v>881007</v>
      </c>
      <c r="I4" s="203">
        <v>12555252</v>
      </c>
      <c r="K4" s="200" t="s">
        <v>1156</v>
      </c>
      <c r="L4" s="200">
        <v>27584016</v>
      </c>
      <c r="M4" s="200">
        <v>10974150</v>
      </c>
      <c r="O4" s="200" t="s">
        <v>1203</v>
      </c>
      <c r="P4" s="200">
        <v>12.046237098259951</v>
      </c>
    </row>
    <row r="5" spans="1:16" x14ac:dyDescent="0.2">
      <c r="A5" s="198" t="s">
        <v>1204</v>
      </c>
      <c r="B5" s="201" t="s">
        <v>1204</v>
      </c>
      <c r="C5" s="201" t="s">
        <v>1205</v>
      </c>
      <c r="D5" s="198" t="s">
        <v>1199</v>
      </c>
      <c r="E5" s="198" t="s">
        <v>758</v>
      </c>
      <c r="F5" s="198" t="s">
        <v>1220</v>
      </c>
      <c r="G5" s="203">
        <v>35234181</v>
      </c>
      <c r="H5" s="203">
        <v>95080</v>
      </c>
      <c r="I5" s="203">
        <v>1356142</v>
      </c>
      <c r="K5" s="200" t="s">
        <v>1133</v>
      </c>
      <c r="L5" s="200">
        <v>137197690</v>
      </c>
      <c r="M5" s="200">
        <v>4069584178</v>
      </c>
      <c r="O5" s="200" t="s">
        <v>1156</v>
      </c>
      <c r="P5" s="200">
        <v>23208.417526903249</v>
      </c>
    </row>
    <row r="6" spans="1:16" x14ac:dyDescent="0.2">
      <c r="A6" s="198" t="s">
        <v>1206</v>
      </c>
      <c r="B6" s="201" t="s">
        <v>1206</v>
      </c>
      <c r="C6" s="201" t="s">
        <v>93</v>
      </c>
      <c r="D6" s="198" t="s">
        <v>1199</v>
      </c>
      <c r="E6" s="198" t="s">
        <v>758</v>
      </c>
      <c r="F6" s="198" t="s">
        <v>1153</v>
      </c>
      <c r="G6" s="203">
        <v>7545275</v>
      </c>
      <c r="H6" s="203">
        <v>20391</v>
      </c>
      <c r="I6" s="203">
        <v>290413</v>
      </c>
      <c r="K6" s="199" t="s">
        <v>1207</v>
      </c>
      <c r="L6" s="199">
        <v>189705389</v>
      </c>
      <c r="M6" s="199">
        <v>4692557300</v>
      </c>
      <c r="O6" s="200" t="s">
        <v>1208</v>
      </c>
      <c r="P6" s="200">
        <v>0</v>
      </c>
    </row>
    <row r="7" spans="1:16" x14ac:dyDescent="0.2">
      <c r="A7" s="198" t="s">
        <v>1209</v>
      </c>
      <c r="B7" s="201" t="s">
        <v>1209</v>
      </c>
      <c r="C7" s="201" t="s">
        <v>1205</v>
      </c>
      <c r="D7" s="198" t="s">
        <v>1199</v>
      </c>
      <c r="E7" s="198" t="s">
        <v>758</v>
      </c>
      <c r="F7" s="198" t="s">
        <v>1153</v>
      </c>
      <c r="G7" s="203">
        <v>14166357</v>
      </c>
      <c r="H7" s="203">
        <v>38228</v>
      </c>
      <c r="I7" s="203">
        <v>545254</v>
      </c>
      <c r="O7" s="200" t="s">
        <v>1133</v>
      </c>
      <c r="P7" s="200">
        <v>202541532.25848618</v>
      </c>
    </row>
    <row r="8" spans="1:16" x14ac:dyDescent="0.2">
      <c r="A8" s="198" t="s">
        <v>1210</v>
      </c>
      <c r="B8" s="201" t="s">
        <v>1210</v>
      </c>
      <c r="C8" s="201" t="s">
        <v>1201</v>
      </c>
      <c r="D8" s="198" t="s">
        <v>1199</v>
      </c>
      <c r="E8" s="198" t="s">
        <v>758</v>
      </c>
      <c r="F8" s="198" t="s">
        <v>1153</v>
      </c>
      <c r="G8" s="203">
        <v>5671501</v>
      </c>
      <c r="H8" s="203">
        <v>15443</v>
      </c>
      <c r="I8" s="203">
        <v>219257</v>
      </c>
      <c r="O8" s="198" t="s">
        <v>1211</v>
      </c>
      <c r="P8" s="198">
        <v>332792.54185858712</v>
      </c>
    </row>
    <row r="9" spans="1:16" x14ac:dyDescent="0.2">
      <c r="A9" s="198" t="s">
        <v>1212</v>
      </c>
      <c r="B9" s="201" t="s">
        <v>1212</v>
      </c>
      <c r="C9" s="201" t="s">
        <v>98</v>
      </c>
      <c r="D9" s="198" t="s">
        <v>1199</v>
      </c>
      <c r="E9" s="198" t="s">
        <v>758</v>
      </c>
      <c r="F9" s="198" t="s">
        <v>1153</v>
      </c>
      <c r="G9" s="203">
        <v>28064413</v>
      </c>
      <c r="H9" s="203">
        <v>75797</v>
      </c>
      <c r="I9" s="203">
        <v>1080300</v>
      </c>
      <c r="O9" s="198" t="s">
        <v>1207</v>
      </c>
      <c r="P9" s="198">
        <v>228056783.6589348</v>
      </c>
    </row>
    <row r="10" spans="1:16" x14ac:dyDescent="0.2">
      <c r="A10" s="198" t="s">
        <v>1198</v>
      </c>
      <c r="B10" s="201" t="s">
        <v>1198</v>
      </c>
      <c r="C10" s="201" t="s">
        <v>93</v>
      </c>
      <c r="D10" s="198" t="s">
        <v>1199</v>
      </c>
      <c r="E10" s="198" t="s">
        <v>758</v>
      </c>
      <c r="F10" s="198" t="s">
        <v>1153</v>
      </c>
      <c r="G10" s="203">
        <v>188631878</v>
      </c>
      <c r="H10" s="203">
        <v>509784</v>
      </c>
      <c r="I10" s="203">
        <v>7260325</v>
      </c>
    </row>
    <row r="11" spans="1:16" x14ac:dyDescent="0.2">
      <c r="A11" s="198" t="s">
        <v>1213</v>
      </c>
      <c r="B11" s="201" t="s">
        <v>1213</v>
      </c>
      <c r="C11" s="201" t="s">
        <v>110</v>
      </c>
      <c r="D11" s="198" t="s">
        <v>1199</v>
      </c>
      <c r="E11" s="198" t="s">
        <v>1156</v>
      </c>
      <c r="F11" s="198" t="s">
        <v>1159</v>
      </c>
      <c r="G11" s="203">
        <v>10118346</v>
      </c>
      <c r="H11" s="203">
        <v>889291</v>
      </c>
      <c r="I11" s="203">
        <v>25432916</v>
      </c>
    </row>
    <row r="12" spans="1:16" x14ac:dyDescent="0.2">
      <c r="A12" s="198" t="s">
        <v>1204</v>
      </c>
      <c r="B12" s="201" t="s">
        <v>1204</v>
      </c>
      <c r="C12" s="201" t="s">
        <v>1205</v>
      </c>
      <c r="D12" s="198" t="s">
        <v>1199</v>
      </c>
      <c r="E12" s="198" t="s">
        <v>1133</v>
      </c>
      <c r="F12" s="198" t="s">
        <v>1153</v>
      </c>
      <c r="G12" s="203">
        <v>440373688</v>
      </c>
      <c r="H12" s="203">
        <v>946065</v>
      </c>
      <c r="I12" s="203">
        <v>14846296</v>
      </c>
    </row>
    <row r="13" spans="1:16" x14ac:dyDescent="0.2">
      <c r="A13" s="198" t="s">
        <v>1209</v>
      </c>
      <c r="B13" s="201" t="s">
        <v>1209</v>
      </c>
      <c r="C13" s="201" t="s">
        <v>1205</v>
      </c>
      <c r="D13" s="198" t="s">
        <v>1199</v>
      </c>
      <c r="E13" s="198" t="s">
        <v>1133</v>
      </c>
      <c r="F13" s="198" t="s">
        <v>1153</v>
      </c>
      <c r="G13" s="203">
        <v>3629210490</v>
      </c>
      <c r="H13" s="203">
        <v>7790907</v>
      </c>
      <c r="I13" s="203">
        <v>122351394</v>
      </c>
    </row>
    <row r="14" spans="1:16" x14ac:dyDescent="0.2">
      <c r="B14" s="201"/>
      <c r="C14" s="201"/>
      <c r="D14" s="198" t="s">
        <v>1214</v>
      </c>
      <c r="E14" s="198" t="s">
        <v>1156</v>
      </c>
      <c r="F14" s="198" t="s">
        <v>1159</v>
      </c>
      <c r="G14" s="203">
        <v>855804</v>
      </c>
      <c r="H14" s="203">
        <v>75216</v>
      </c>
      <c r="I14" s="203">
        <v>2151100</v>
      </c>
    </row>
    <row r="15" spans="1:16" x14ac:dyDescent="0.2">
      <c r="G15" s="203">
        <f>SUM(G2:G14)</f>
        <v>4692557300</v>
      </c>
      <c r="H15" s="203">
        <f>SUM(H2:H14)</f>
        <v>11429635</v>
      </c>
      <c r="I15" s="203">
        <f>SUM(I2:I14)</f>
        <v>189705389</v>
      </c>
    </row>
    <row r="16" spans="1:16" x14ac:dyDescent="0.2">
      <c r="A16" s="198" t="s">
        <v>1215</v>
      </c>
    </row>
    <row r="17" spans="1:22" ht="15.75" customHeight="1" x14ac:dyDescent="0.2"/>
    <row r="18" spans="1:22" x14ac:dyDescent="0.2">
      <c r="A18" s="198" t="s">
        <v>1216</v>
      </c>
    </row>
    <row r="19" spans="1:22" x14ac:dyDescent="0.2">
      <c r="A19" s="198" t="s">
        <v>1217</v>
      </c>
    </row>
    <row r="29" spans="1:22" x14ac:dyDescent="0.2">
      <c r="H29" s="198" t="s">
        <v>1221</v>
      </c>
      <c r="I29" s="198" t="s">
        <v>1222</v>
      </c>
      <c r="J29" s="198">
        <v>2</v>
      </c>
      <c r="K29" s="198" t="s">
        <v>182</v>
      </c>
      <c r="L29" s="198" t="s">
        <v>1223</v>
      </c>
      <c r="M29" s="198">
        <v>3.89</v>
      </c>
      <c r="N29" s="198">
        <v>4.0199999999999996</v>
      </c>
      <c r="O29" s="198">
        <v>4.03</v>
      </c>
      <c r="P29" s="198">
        <v>4.1100000000000003</v>
      </c>
      <c r="Q29" s="198">
        <v>4.1900000000000004</v>
      </c>
      <c r="R29" s="198">
        <v>3.83</v>
      </c>
      <c r="S29" s="198">
        <v>3.89</v>
      </c>
      <c r="T29" s="198">
        <v>3.98</v>
      </c>
      <c r="U29" s="198">
        <v>4.05</v>
      </c>
      <c r="V29" s="198">
        <v>4.12</v>
      </c>
    </row>
    <row r="30" spans="1:22" x14ac:dyDescent="0.2">
      <c r="H30" s="198" t="s">
        <v>1221</v>
      </c>
      <c r="I30" s="198" t="s">
        <v>1222</v>
      </c>
      <c r="J30" s="198">
        <v>2</v>
      </c>
      <c r="K30" s="198" t="s">
        <v>184</v>
      </c>
      <c r="L30" s="198" t="s">
        <v>1223</v>
      </c>
      <c r="M30" s="198">
        <v>2.11</v>
      </c>
      <c r="N30" s="198">
        <v>2.2200000000000002</v>
      </c>
      <c r="O30" s="198">
        <v>2.2000000000000002</v>
      </c>
      <c r="P30" s="198">
        <v>2.2599999999999998</v>
      </c>
      <c r="Q30" s="198">
        <v>2.31</v>
      </c>
      <c r="R30" s="198">
        <v>2.12</v>
      </c>
      <c r="S30" s="198">
        <v>2.16</v>
      </c>
      <c r="T30" s="198">
        <v>2.23</v>
      </c>
      <c r="U30" s="198">
        <v>2.27</v>
      </c>
      <c r="V30" s="198">
        <v>2.3199999999999998</v>
      </c>
    </row>
    <row r="31" spans="1:22" x14ac:dyDescent="0.2">
      <c r="H31" s="198" t="s">
        <v>1221</v>
      </c>
      <c r="I31" s="198" t="s">
        <v>1222</v>
      </c>
      <c r="J31" s="198">
        <v>2</v>
      </c>
      <c r="K31" s="198" t="s">
        <v>186</v>
      </c>
      <c r="L31" s="198" t="s">
        <v>1223</v>
      </c>
      <c r="M31" s="198">
        <v>2.42</v>
      </c>
      <c r="N31" s="198">
        <v>2.5</v>
      </c>
      <c r="O31" s="198">
        <v>2.5</v>
      </c>
      <c r="P31" s="198">
        <v>2.52</v>
      </c>
      <c r="Q31" s="198">
        <v>2.5499999999999998</v>
      </c>
      <c r="R31" s="198">
        <v>2.31</v>
      </c>
      <c r="S31" s="198">
        <v>2.3199999999999998</v>
      </c>
      <c r="T31" s="198">
        <v>2.37</v>
      </c>
      <c r="U31" s="198">
        <v>2.4</v>
      </c>
      <c r="V31" s="198">
        <v>2.4300000000000002</v>
      </c>
    </row>
    <row r="32" spans="1:22" x14ac:dyDescent="0.2">
      <c r="H32" s="198" t="s">
        <v>1221</v>
      </c>
      <c r="I32" s="198" t="s">
        <v>1222</v>
      </c>
      <c r="J32" s="198">
        <v>2</v>
      </c>
      <c r="K32" s="198" t="s">
        <v>188</v>
      </c>
      <c r="L32" s="198" t="s">
        <v>1223</v>
      </c>
      <c r="M32" s="198">
        <v>0.71</v>
      </c>
      <c r="N32" s="198">
        <v>0.72</v>
      </c>
      <c r="O32" s="198">
        <v>0.74</v>
      </c>
      <c r="P32" s="198">
        <v>0.75</v>
      </c>
      <c r="Q32" s="198">
        <v>0.76</v>
      </c>
      <c r="R32" s="198">
        <v>0.68</v>
      </c>
      <c r="S32" s="198">
        <v>0.69</v>
      </c>
      <c r="T32" s="198">
        <v>0.72</v>
      </c>
      <c r="U32" s="198">
        <v>0.74</v>
      </c>
      <c r="V32" s="198">
        <v>0.75</v>
      </c>
    </row>
    <row r="33" spans="8:22" x14ac:dyDescent="0.2">
      <c r="H33" s="198" t="s">
        <v>1221</v>
      </c>
      <c r="I33" s="198" t="s">
        <v>1222</v>
      </c>
      <c r="J33" s="198">
        <v>2</v>
      </c>
      <c r="K33" s="198" t="s">
        <v>190</v>
      </c>
      <c r="L33" s="198" t="s">
        <v>1223</v>
      </c>
      <c r="M33" s="198">
        <v>3.43</v>
      </c>
      <c r="N33" s="198">
        <v>3.56</v>
      </c>
      <c r="O33" s="198">
        <v>3.55</v>
      </c>
      <c r="P33" s="198">
        <v>3.58</v>
      </c>
      <c r="Q33" s="198">
        <v>3.62</v>
      </c>
      <c r="R33" s="198">
        <v>3.28</v>
      </c>
      <c r="S33" s="198">
        <v>3.3</v>
      </c>
      <c r="T33" s="198">
        <v>3.42</v>
      </c>
      <c r="U33" s="198">
        <v>3.47</v>
      </c>
      <c r="V33" s="198">
        <v>3.52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K27"/>
  <sheetViews>
    <sheetView workbookViewId="0">
      <selection activeCell="F2" sqref="F2"/>
    </sheetView>
  </sheetViews>
  <sheetFormatPr defaultColWidth="9.140625" defaultRowHeight="12" x14ac:dyDescent="0.2"/>
  <cols>
    <col min="1" max="1" width="24.7109375" style="221" customWidth="1"/>
    <col min="2" max="2" width="11.42578125" style="221" customWidth="1"/>
    <col min="3" max="3" width="14.140625" style="221" customWidth="1"/>
    <col min="4" max="12" width="11.42578125" style="221" customWidth="1"/>
    <col min="13" max="16384" width="9.140625" style="221"/>
  </cols>
  <sheetData>
    <row r="1" spans="1:11" s="235" customFormat="1" x14ac:dyDescent="0.2">
      <c r="A1" s="224" t="s">
        <v>1228</v>
      </c>
      <c r="B1" s="211" t="str">
        <f>'2010 GHG'!B1</f>
        <v>Exp.</v>
      </c>
      <c r="C1" s="211" t="str">
        <f>'2010 GHG'!C1</f>
        <v>Nom.</v>
      </c>
      <c r="D1" s="211" t="str">
        <f>'2010 GHG'!D1</f>
        <v>Sector</v>
      </c>
      <c r="E1" s="211" t="str">
        <f>'2010 GHG'!E1</f>
        <v>Fuel Type</v>
      </c>
      <c r="F1" s="211" t="s">
        <v>1147</v>
      </c>
      <c r="G1" s="211"/>
      <c r="H1" s="211"/>
      <c r="I1" s="211"/>
    </row>
    <row r="2" spans="1:11" x14ac:dyDescent="0.2">
      <c r="A2" s="221" t="str">
        <f>'2010 GHG'!A4</f>
        <v>heavy truck</v>
      </c>
      <c r="B2" s="221" t="str">
        <f>'2010 GHG'!B4</f>
        <v>heavy truck</v>
      </c>
      <c r="C2" s="221" t="str">
        <f>'2010 GHG'!C4</f>
        <v>THS</v>
      </c>
      <c r="D2" s="221" t="str">
        <f>'2010 GHG'!D4</f>
        <v>transportation</v>
      </c>
      <c r="E2" s="221" t="str">
        <f>'2010 GHG'!E4</f>
        <v>Diesel</v>
      </c>
      <c r="F2" s="232" t="e">
        <f>#REF!+#REF!</f>
        <v>#REF!</v>
      </c>
      <c r="G2" s="231"/>
      <c r="H2" s="231"/>
      <c r="I2" s="231"/>
    </row>
    <row r="3" spans="1:11" x14ac:dyDescent="0.2">
      <c r="J3" s="232"/>
    </row>
    <row r="4" spans="1:11" x14ac:dyDescent="0.2">
      <c r="J4" s="232"/>
    </row>
    <row r="5" spans="1:11" x14ac:dyDescent="0.2">
      <c r="G5" s="221" t="e">
        <f>H7/F2</f>
        <v>#REF!</v>
      </c>
      <c r="H5" s="221" t="e">
        <f>F2*G7</f>
        <v>#REF!</v>
      </c>
    </row>
    <row r="6" spans="1:11" x14ac:dyDescent="0.2">
      <c r="A6" s="221" t="s">
        <v>484</v>
      </c>
      <c r="G6" s="221" t="s">
        <v>475</v>
      </c>
      <c r="H6" s="221" t="s">
        <v>1226</v>
      </c>
    </row>
    <row r="7" spans="1:11" x14ac:dyDescent="0.2">
      <c r="A7" s="221" t="str">
        <f>TechData!A24</f>
        <v>R2,R3,R4,R5,R6</v>
      </c>
      <c r="B7" s="221" t="str">
        <f>TechData!B24</f>
        <v>THSDSLE</v>
      </c>
      <c r="C7" s="221" t="str">
        <f>TechData!C24</f>
        <v>Heavy Truck, Short Haul, Diesel exisiting</v>
      </c>
      <c r="D7" s="221" t="s">
        <v>480</v>
      </c>
      <c r="E7" s="221" t="str">
        <f>TechData!E24</f>
        <v>THDSL</v>
      </c>
      <c r="F7" s="221" t="str">
        <f>TechData!F24</f>
        <v>THS</v>
      </c>
      <c r="G7" s="221" t="e">
        <f>TechData!K24</f>
        <v>#REF!</v>
      </c>
      <c r="H7" s="221">
        <f>(('2015 GHG'!K36+'2015 GHG'!C36)/2)/1000000000</f>
        <v>0.64397651450000004</v>
      </c>
    </row>
    <row r="9" spans="1:11" s="235" customFormat="1" x14ac:dyDescent="0.2">
      <c r="A9" s="236" t="s">
        <v>1129</v>
      </c>
      <c r="B9" s="230">
        <v>2010</v>
      </c>
      <c r="C9" s="230">
        <v>2015</v>
      </c>
      <c r="D9" s="230">
        <v>2020</v>
      </c>
      <c r="E9" s="230">
        <v>2025</v>
      </c>
      <c r="F9" s="230">
        <v>2030</v>
      </c>
      <c r="G9" s="230">
        <v>2035</v>
      </c>
      <c r="H9" s="230">
        <v>2040</v>
      </c>
      <c r="I9" s="230">
        <v>2045</v>
      </c>
      <c r="J9" s="230">
        <v>2050</v>
      </c>
      <c r="K9" s="230">
        <v>2055</v>
      </c>
    </row>
    <row r="10" spans="1:11" x14ac:dyDescent="0.2">
      <c r="A10" s="221" t="s">
        <v>701</v>
      </c>
      <c r="B10" s="221">
        <v>1385108</v>
      </c>
      <c r="C10" s="221">
        <v>1455444</v>
      </c>
      <c r="D10" s="221">
        <v>1446788</v>
      </c>
      <c r="E10" s="221">
        <v>1482893</v>
      </c>
      <c r="F10" s="221">
        <v>1518998</v>
      </c>
      <c r="G10" s="221">
        <v>1549121.5</v>
      </c>
      <c r="H10" s="221">
        <v>1579245</v>
      </c>
      <c r="I10" s="221">
        <v>1625954.9772727266</v>
      </c>
      <c r="J10" s="221">
        <v>1660587.6071428563</v>
      </c>
      <c r="K10" s="221">
        <v>1695220.2370129861</v>
      </c>
    </row>
    <row r="11" spans="1:11" x14ac:dyDescent="0.2">
      <c r="A11" s="221" t="s">
        <v>705</v>
      </c>
      <c r="B11" s="221">
        <v>2552911</v>
      </c>
      <c r="C11" s="221">
        <v>2636735</v>
      </c>
      <c r="D11" s="221">
        <v>2648452</v>
      </c>
      <c r="E11" s="221">
        <v>2701230.5</v>
      </c>
      <c r="F11" s="221">
        <v>2754009</v>
      </c>
      <c r="G11" s="221">
        <v>2797267</v>
      </c>
      <c r="H11" s="221">
        <v>2840525</v>
      </c>
      <c r="I11" s="221">
        <v>2908244.5075757541</v>
      </c>
      <c r="J11" s="221">
        <v>2959463.6785714254</v>
      </c>
      <c r="K11" s="221">
        <v>3010682.8495670967</v>
      </c>
    </row>
    <row r="12" spans="1:11" x14ac:dyDescent="0.2">
      <c r="A12" s="221" t="s">
        <v>702</v>
      </c>
      <c r="B12" s="221">
        <v>1585873</v>
      </c>
      <c r="C12" s="221">
        <v>1644518</v>
      </c>
      <c r="D12" s="221">
        <v>1638281</v>
      </c>
      <c r="E12" s="221">
        <v>1657500.5</v>
      </c>
      <c r="F12" s="221">
        <v>1676720</v>
      </c>
      <c r="G12" s="221">
        <v>1684168.5</v>
      </c>
      <c r="H12" s="221">
        <v>1691617</v>
      </c>
      <c r="I12" s="221">
        <v>1733166.166666667</v>
      </c>
      <c r="J12" s="221">
        <v>1753311.5714285718</v>
      </c>
      <c r="K12" s="221">
        <v>1773456.9761904767</v>
      </c>
    </row>
    <row r="13" spans="1:11" x14ac:dyDescent="0.2">
      <c r="A13" s="221" t="s">
        <v>704</v>
      </c>
      <c r="B13" s="221">
        <v>2250002</v>
      </c>
      <c r="C13" s="221">
        <v>2339150</v>
      </c>
      <c r="D13" s="221">
        <v>2330295</v>
      </c>
      <c r="E13" s="221">
        <v>2351923</v>
      </c>
      <c r="F13" s="221">
        <v>2373551</v>
      </c>
      <c r="G13" s="221">
        <v>2393100</v>
      </c>
      <c r="H13" s="221">
        <v>2412649</v>
      </c>
      <c r="I13" s="221">
        <v>2496538.7575757559</v>
      </c>
      <c r="J13" s="221">
        <v>2533665.5714285709</v>
      </c>
      <c r="K13" s="221">
        <v>2570792.385281384</v>
      </c>
    </row>
    <row r="14" spans="1:11" x14ac:dyDescent="0.2">
      <c r="A14" s="221" t="s">
        <v>703</v>
      </c>
      <c r="B14" s="221">
        <v>468730</v>
      </c>
      <c r="C14" s="221">
        <v>474558</v>
      </c>
      <c r="D14" s="221">
        <v>487155</v>
      </c>
      <c r="E14" s="221">
        <v>492452</v>
      </c>
      <c r="F14" s="221">
        <v>497749</v>
      </c>
      <c r="G14" s="221">
        <v>499429</v>
      </c>
      <c r="H14" s="221">
        <v>501109</v>
      </c>
      <c r="I14" s="221">
        <v>528935.80303030275</v>
      </c>
      <c r="J14" s="221">
        <v>539243.35714285728</v>
      </c>
      <c r="K14" s="221">
        <v>549550.9112554118</v>
      </c>
    </row>
    <row r="15" spans="1:11" x14ac:dyDescent="0.2">
      <c r="A15" s="221" t="s">
        <v>696</v>
      </c>
      <c r="B15" s="221">
        <f>SUM(B10:B14)</f>
        <v>8242624</v>
      </c>
      <c r="C15" s="221">
        <f t="shared" ref="C15:K15" si="0">SUM(C10:C14)</f>
        <v>8550405</v>
      </c>
      <c r="D15" s="221">
        <f t="shared" si="0"/>
        <v>8550971</v>
      </c>
      <c r="E15" s="221">
        <f t="shared" si="0"/>
        <v>8685999</v>
      </c>
      <c r="F15" s="221">
        <f t="shared" si="0"/>
        <v>8821027</v>
      </c>
      <c r="G15" s="221">
        <f t="shared" si="0"/>
        <v>8923086</v>
      </c>
      <c r="H15" s="221">
        <f t="shared" si="0"/>
        <v>9025145</v>
      </c>
      <c r="I15" s="221">
        <f t="shared" si="0"/>
        <v>9292840.2121212054</v>
      </c>
      <c r="J15" s="221">
        <f t="shared" si="0"/>
        <v>9446271.7857142836</v>
      </c>
      <c r="K15" s="221">
        <f t="shared" si="0"/>
        <v>9599703.3593073562</v>
      </c>
    </row>
    <row r="16" spans="1:11" x14ac:dyDescent="0.2">
      <c r="A16" s="221" t="s">
        <v>1226</v>
      </c>
      <c r="B16" s="232">
        <f>H7</f>
        <v>0.64397651450000004</v>
      </c>
      <c r="C16" s="232">
        <f>B16*C15/B15</f>
        <v>0.66802270848013601</v>
      </c>
      <c r="D16" s="232">
        <f t="shared" ref="D16:K16" si="1">C16*D15/C15</f>
        <v>0.66806692870748197</v>
      </c>
      <c r="E16" s="232">
        <f t="shared" si="1"/>
        <v>0.67861634365106138</v>
      </c>
      <c r="F16" s="232">
        <f t="shared" si="1"/>
        <v>0.6891657585946408</v>
      </c>
      <c r="G16" s="232">
        <f t="shared" si="1"/>
        <v>0.69713938435912493</v>
      </c>
      <c r="H16" s="232">
        <f t="shared" si="1"/>
        <v>0.70511301012360916</v>
      </c>
      <c r="I16" s="232">
        <f t="shared" si="1"/>
        <v>0.7260273972957223</v>
      </c>
      <c r="J16" s="232">
        <f t="shared" si="1"/>
        <v>0.73801463946238199</v>
      </c>
      <c r="K16" s="232">
        <f t="shared" si="1"/>
        <v>0.75000188162904124</v>
      </c>
    </row>
    <row r="18" spans="1:11" x14ac:dyDescent="0.2">
      <c r="C18" s="223"/>
      <c r="D18" s="223"/>
      <c r="E18" s="223"/>
      <c r="F18" s="223"/>
      <c r="G18" s="223"/>
      <c r="H18" s="223"/>
      <c r="I18" s="223"/>
      <c r="J18" s="223"/>
      <c r="K18" s="223"/>
    </row>
    <row r="19" spans="1:11" x14ac:dyDescent="0.2">
      <c r="C19" s="223"/>
      <c r="D19" s="223"/>
      <c r="E19" s="223"/>
      <c r="F19" s="223"/>
      <c r="G19" s="223"/>
      <c r="H19" s="223"/>
      <c r="I19" s="223"/>
      <c r="J19" s="223"/>
      <c r="K19" s="223"/>
    </row>
    <row r="20" spans="1:11" x14ac:dyDescent="0.2">
      <c r="C20" s="223"/>
      <c r="D20" s="223"/>
      <c r="E20" s="223"/>
      <c r="F20" s="223"/>
      <c r="G20" s="223"/>
      <c r="H20" s="223"/>
      <c r="I20" s="223"/>
      <c r="J20" s="223"/>
      <c r="K20" s="223"/>
    </row>
    <row r="21" spans="1:11" x14ac:dyDescent="0.2">
      <c r="A21" s="211" t="s">
        <v>1229</v>
      </c>
      <c r="B21" s="230">
        <v>2010</v>
      </c>
      <c r="C21" s="234"/>
      <c r="D21" s="223"/>
      <c r="E21" s="223"/>
      <c r="F21" s="223"/>
      <c r="G21" s="223"/>
      <c r="H21" s="223"/>
      <c r="I21" s="223"/>
      <c r="J21" s="223"/>
      <c r="K21" s="223"/>
    </row>
    <row r="22" spans="1:11" x14ac:dyDescent="0.2">
      <c r="A22" s="221" t="s">
        <v>701</v>
      </c>
      <c r="B22" s="232">
        <f>(B10/B$15)*B$16</f>
        <v>0.1082151778421612</v>
      </c>
    </row>
    <row r="23" spans="1:11" x14ac:dyDescent="0.2">
      <c r="A23" s="221" t="s">
        <v>705</v>
      </c>
      <c r="B23" s="232">
        <f>(B11/B$15)*B$16</f>
        <v>0.19945283536028208</v>
      </c>
    </row>
    <row r="24" spans="1:11" x14ac:dyDescent="0.2">
      <c r="A24" s="221" t="s">
        <v>702</v>
      </c>
      <c r="B24" s="232">
        <f>(B12/B$15)*B$16</f>
        <v>0.12390046749429048</v>
      </c>
    </row>
    <row r="25" spans="1:11" x14ac:dyDescent="0.2">
      <c r="A25" s="221" t="s">
        <v>704</v>
      </c>
      <c r="B25" s="232">
        <f>(B13/B$15)*B$16</f>
        <v>0.17578727909680572</v>
      </c>
    </row>
    <row r="26" spans="1:11" x14ac:dyDescent="0.2">
      <c r="A26" s="221" t="s">
        <v>703</v>
      </c>
      <c r="B26" s="232">
        <f>(B14/B$15)*B$16</f>
        <v>3.662075470646059E-2</v>
      </c>
    </row>
    <row r="27" spans="1:11" x14ac:dyDescent="0.2">
      <c r="B27" s="220">
        <f>SUM(B22:B26)-B16</f>
        <v>0</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EA60E-F923-4ECD-B787-2A0B32ABB055}">
  <sheetPr>
    <tabColor rgb="FF7030A0"/>
  </sheetPr>
  <dimension ref="A1:Q53"/>
  <sheetViews>
    <sheetView workbookViewId="0">
      <selection activeCell="C4" sqref="C4"/>
    </sheetView>
  </sheetViews>
  <sheetFormatPr defaultColWidth="9.140625" defaultRowHeight="12" x14ac:dyDescent="0.2"/>
  <cols>
    <col min="1" max="1" width="24.7109375" style="226" customWidth="1"/>
    <col min="2" max="2" width="36.85546875" style="213" customWidth="1"/>
    <col min="3" max="3" width="18.28515625" style="213" customWidth="1"/>
    <col min="4" max="4" width="13.85546875" style="213" customWidth="1"/>
    <col min="5" max="5" width="28.85546875" style="213" customWidth="1"/>
    <col min="6" max="6" width="12.5703125" style="213" customWidth="1"/>
    <col min="7" max="7" width="12" style="213" customWidth="1"/>
    <col min="8" max="8" width="9.28515625" style="213" bestFit="1" customWidth="1"/>
    <col min="9" max="9" width="10.140625" style="213" bestFit="1" customWidth="1"/>
    <col min="10" max="12" width="9.28515625" style="213" bestFit="1" customWidth="1"/>
    <col min="13" max="16384" width="9.140625" style="226"/>
  </cols>
  <sheetData>
    <row r="1" spans="1:12" ht="12.75" x14ac:dyDescent="0.2">
      <c r="A1" s="425"/>
      <c r="B1" s="425">
        <v>2010</v>
      </c>
      <c r="C1" s="425">
        <v>2015</v>
      </c>
      <c r="D1" s="427" t="s">
        <v>158</v>
      </c>
      <c r="E1" s="427" t="s">
        <v>159</v>
      </c>
      <c r="F1" s="427" t="s">
        <v>1230</v>
      </c>
      <c r="G1" s="427" t="s">
        <v>1231</v>
      </c>
      <c r="H1" s="427" t="s">
        <v>1232</v>
      </c>
    </row>
    <row r="2" spans="1:12" x14ac:dyDescent="0.2">
      <c r="A2" s="226" t="e">
        <f>#REF!</f>
        <v>#REF!</v>
      </c>
      <c r="B2" s="426" t="e">
        <f>#REF!</f>
        <v>#REF!</v>
      </c>
      <c r="C2" s="426" t="e">
        <f>#REF!</f>
        <v>#REF!</v>
      </c>
      <c r="D2" s="226"/>
      <c r="E2" s="426"/>
      <c r="F2" s="226"/>
      <c r="G2" s="226"/>
      <c r="H2" s="428"/>
    </row>
    <row r="3" spans="1:12" x14ac:dyDescent="0.2">
      <c r="A3" s="226" t="e">
        <f>#REF!</f>
        <v>#REF!</v>
      </c>
      <c r="B3" s="426" t="e">
        <f>#REF!</f>
        <v>#REF!</v>
      </c>
      <c r="C3" s="426" t="e">
        <f>#REF!</f>
        <v>#REF!</v>
      </c>
      <c r="D3" s="226" t="str">
        <f>TechData!B20</f>
        <v>TMCNGE</v>
      </c>
      <c r="E3" s="226" t="str">
        <f>TechData!C20</f>
        <v>Medium Duty Truck, Existing CNG</v>
      </c>
      <c r="F3" s="429">
        <f>TechData!K20</f>
        <v>4.8739793512911696E-2</v>
      </c>
      <c r="G3" s="429" t="e">
        <f>B3*F3</f>
        <v>#REF!</v>
      </c>
      <c r="H3" s="429" t="e">
        <f>C3*F3</f>
        <v>#REF!</v>
      </c>
    </row>
    <row r="4" spans="1:12" x14ac:dyDescent="0.2">
      <c r="A4" s="226" t="e">
        <f>#REF!</f>
        <v>#REF!</v>
      </c>
      <c r="B4" s="426" t="e">
        <f>#REF!</f>
        <v>#REF!</v>
      </c>
      <c r="C4" s="426" t="e">
        <f>#REF!</f>
        <v>#REF!</v>
      </c>
      <c r="D4" s="226" t="str">
        <f>TechData!B19</f>
        <v>TMDSLE</v>
      </c>
      <c r="E4" s="226" t="str">
        <f>TechData!C19</f>
        <v>Medium Duty Truck, Existing Diesel</v>
      </c>
      <c r="F4" s="429">
        <f>TechData!K19</f>
        <v>6.0890110280658251E-2</v>
      </c>
      <c r="G4" s="429" t="e">
        <f>B4*F4</f>
        <v>#REF!</v>
      </c>
      <c r="H4" s="429" t="e">
        <f>C4*F4</f>
        <v>#REF!</v>
      </c>
    </row>
    <row r="5" spans="1:12" x14ac:dyDescent="0.2">
      <c r="A5" s="226" t="e">
        <f>#REF!</f>
        <v>#REF!</v>
      </c>
      <c r="B5" s="426" t="e">
        <f>#REF!</f>
        <v>#REF!</v>
      </c>
      <c r="C5" s="426" t="e">
        <f>#REF!</f>
        <v>#REF!</v>
      </c>
      <c r="D5" s="226" t="str">
        <f>TechData!B18</f>
        <v>TMGSLE</v>
      </c>
      <c r="E5" s="226" t="str">
        <f>TechData!C18</f>
        <v>Medium Duty Truck, Existing Gasoline</v>
      </c>
      <c r="F5" s="429">
        <f>TechData!K18</f>
        <v>5.9575136530156454E-2</v>
      </c>
      <c r="G5" s="429" t="e">
        <f>B5*F5</f>
        <v>#REF!</v>
      </c>
      <c r="H5" s="429" t="e">
        <f>C5*F5</f>
        <v>#REF!</v>
      </c>
    </row>
    <row r="6" spans="1:12" x14ac:dyDescent="0.2">
      <c r="B6" s="226"/>
      <c r="C6" s="226"/>
      <c r="D6" s="226"/>
      <c r="E6" s="226"/>
      <c r="F6" s="226"/>
      <c r="G6" s="429"/>
      <c r="H6" s="429"/>
    </row>
    <row r="7" spans="1:12" x14ac:dyDescent="0.2">
      <c r="B7" s="226"/>
      <c r="C7" s="226"/>
      <c r="D7" s="226"/>
      <c r="E7" s="226"/>
      <c r="F7" s="226"/>
      <c r="G7" s="226"/>
      <c r="H7" s="428"/>
    </row>
    <row r="8" spans="1:12" x14ac:dyDescent="0.2">
      <c r="B8" s="426"/>
      <c r="C8" s="426"/>
      <c r="D8" s="226"/>
      <c r="H8" s="216"/>
    </row>
    <row r="9" spans="1:12" x14ac:dyDescent="0.2">
      <c r="B9" s="426"/>
      <c r="C9" s="426"/>
      <c r="D9" s="226"/>
      <c r="H9" s="216"/>
    </row>
    <row r="10" spans="1:12" x14ac:dyDescent="0.2">
      <c r="B10" s="426"/>
      <c r="C10" s="426"/>
      <c r="D10" s="226"/>
      <c r="H10" s="216"/>
    </row>
    <row r="11" spans="1:12" x14ac:dyDescent="0.2">
      <c r="B11" s="426"/>
      <c r="C11" s="426"/>
      <c r="D11" s="226"/>
      <c r="H11" s="216"/>
    </row>
    <row r="15" spans="1:12" s="228" customFormat="1" x14ac:dyDescent="0.2">
      <c r="A15" s="227" t="s">
        <v>1129</v>
      </c>
      <c r="B15" s="217">
        <v>2010</v>
      </c>
      <c r="C15" s="217">
        <v>2015</v>
      </c>
      <c r="D15" s="217">
        <v>2020</v>
      </c>
      <c r="E15" s="217">
        <v>2025</v>
      </c>
      <c r="F15" s="217">
        <v>2030</v>
      </c>
      <c r="G15" s="217">
        <v>2035</v>
      </c>
      <c r="H15" s="217">
        <v>2040</v>
      </c>
      <c r="I15" s="217">
        <v>2045</v>
      </c>
      <c r="J15" s="217">
        <v>2050</v>
      </c>
      <c r="K15" s="217">
        <v>2055</v>
      </c>
      <c r="L15" s="218"/>
    </row>
    <row r="16" spans="1:12" x14ac:dyDescent="0.2">
      <c r="A16" s="226" t="s">
        <v>701</v>
      </c>
      <c r="B16" s="213">
        <v>1385108</v>
      </c>
      <c r="C16" s="213">
        <v>1455444</v>
      </c>
      <c r="D16" s="213">
        <v>1446788</v>
      </c>
      <c r="E16" s="213">
        <v>1482893</v>
      </c>
      <c r="F16" s="213">
        <v>1518998</v>
      </c>
      <c r="G16" s="213">
        <v>1549121.5</v>
      </c>
      <c r="H16" s="213">
        <v>1579245</v>
      </c>
      <c r="I16" s="213">
        <v>1625954.9772727266</v>
      </c>
      <c r="J16" s="213">
        <v>1660587.6071428563</v>
      </c>
      <c r="K16" s="213">
        <v>1695220.2370129861</v>
      </c>
    </row>
    <row r="17" spans="1:17" x14ac:dyDescent="0.2">
      <c r="A17" s="226" t="s">
        <v>705</v>
      </c>
      <c r="B17" s="213">
        <v>2552911</v>
      </c>
      <c r="C17" s="213">
        <v>2636735</v>
      </c>
      <c r="D17" s="213">
        <v>2648452</v>
      </c>
      <c r="E17" s="213">
        <v>2701230.5</v>
      </c>
      <c r="F17" s="213">
        <v>2754009</v>
      </c>
      <c r="G17" s="213">
        <v>2797267</v>
      </c>
      <c r="H17" s="213">
        <v>2840525</v>
      </c>
      <c r="I17" s="213">
        <v>2908244.5075757541</v>
      </c>
      <c r="J17" s="213">
        <v>2959463.6785714254</v>
      </c>
      <c r="K17" s="213">
        <v>3010682.8495670967</v>
      </c>
    </row>
    <row r="18" spans="1:17" x14ac:dyDescent="0.2">
      <c r="A18" s="226" t="s">
        <v>702</v>
      </c>
      <c r="B18" s="213">
        <v>1585873</v>
      </c>
      <c r="C18" s="213">
        <v>1644518</v>
      </c>
      <c r="D18" s="213">
        <v>1638281</v>
      </c>
      <c r="E18" s="213">
        <v>1657500.5</v>
      </c>
      <c r="F18" s="213">
        <v>1676720</v>
      </c>
      <c r="G18" s="213">
        <v>1684168.5</v>
      </c>
      <c r="H18" s="213">
        <v>1691617</v>
      </c>
      <c r="I18" s="213">
        <v>1733166.166666667</v>
      </c>
      <c r="J18" s="213">
        <v>1753311.5714285718</v>
      </c>
      <c r="K18" s="213">
        <v>1773456.9761904767</v>
      </c>
    </row>
    <row r="19" spans="1:17" x14ac:dyDescent="0.2">
      <c r="A19" s="226" t="s">
        <v>704</v>
      </c>
      <c r="B19" s="213">
        <v>2250002</v>
      </c>
      <c r="C19" s="213">
        <v>2339150</v>
      </c>
      <c r="D19" s="213">
        <v>2330295</v>
      </c>
      <c r="E19" s="213">
        <v>2351923</v>
      </c>
      <c r="F19" s="213">
        <v>2373551</v>
      </c>
      <c r="G19" s="213">
        <v>2393100</v>
      </c>
      <c r="H19" s="213">
        <v>2412649</v>
      </c>
      <c r="I19" s="213">
        <v>2496538.7575757559</v>
      </c>
      <c r="J19" s="213">
        <v>2533665.5714285709</v>
      </c>
      <c r="K19" s="213">
        <v>2570792.385281384</v>
      </c>
    </row>
    <row r="20" spans="1:17" x14ac:dyDescent="0.2">
      <c r="A20" s="226" t="s">
        <v>703</v>
      </c>
      <c r="B20" s="213">
        <v>468730</v>
      </c>
      <c r="C20" s="213">
        <v>474558</v>
      </c>
      <c r="D20" s="213">
        <v>487155</v>
      </c>
      <c r="E20" s="213">
        <v>492452</v>
      </c>
      <c r="F20" s="213">
        <v>497749</v>
      </c>
      <c r="G20" s="213">
        <v>499429</v>
      </c>
      <c r="H20" s="213">
        <v>501109</v>
      </c>
      <c r="I20" s="213">
        <v>528935.80303030275</v>
      </c>
      <c r="J20" s="213">
        <v>539243.35714285728</v>
      </c>
      <c r="K20" s="213">
        <v>549550.9112554118</v>
      </c>
    </row>
    <row r="21" spans="1:17" x14ac:dyDescent="0.2">
      <c r="A21" s="226" t="s">
        <v>696</v>
      </c>
      <c r="B21" s="213">
        <f>SUM(B16:B20)</f>
        <v>8242624</v>
      </c>
      <c r="C21" s="213">
        <f t="shared" ref="C21:K21" si="0">SUM(C16:C20)</f>
        <v>8550405</v>
      </c>
      <c r="D21" s="213">
        <f t="shared" si="0"/>
        <v>8550971</v>
      </c>
      <c r="E21" s="213">
        <f t="shared" si="0"/>
        <v>8685999</v>
      </c>
      <c r="F21" s="213">
        <f t="shared" si="0"/>
        <v>8821027</v>
      </c>
      <c r="G21" s="213">
        <f t="shared" si="0"/>
        <v>8923086</v>
      </c>
      <c r="H21" s="213">
        <f t="shared" si="0"/>
        <v>9025145</v>
      </c>
      <c r="I21" s="213">
        <f t="shared" si="0"/>
        <v>9292840.2121212054</v>
      </c>
      <c r="J21" s="213">
        <f t="shared" si="0"/>
        <v>9446271.7857142836</v>
      </c>
      <c r="K21" s="213">
        <f t="shared" si="0"/>
        <v>9599703.3593073562</v>
      </c>
    </row>
    <row r="22" spans="1:17" x14ac:dyDescent="0.2">
      <c r="A22" s="226" t="s">
        <v>1226</v>
      </c>
      <c r="B22" s="215" t="e">
        <f>SUM(G3:G5)</f>
        <v>#REF!</v>
      </c>
      <c r="C22" s="215" t="e">
        <f>SUM(H3:H5)</f>
        <v>#REF!</v>
      </c>
      <c r="D22" s="215" t="e">
        <f t="shared" ref="D22:K22" si="1">C22*D21/C21</f>
        <v>#REF!</v>
      </c>
      <c r="E22" s="215" t="e">
        <f t="shared" si="1"/>
        <v>#REF!</v>
      </c>
      <c r="F22" s="215" t="e">
        <f t="shared" si="1"/>
        <v>#REF!</v>
      </c>
      <c r="G22" s="215" t="e">
        <f t="shared" si="1"/>
        <v>#REF!</v>
      </c>
      <c r="H22" s="215" t="e">
        <f t="shared" si="1"/>
        <v>#REF!</v>
      </c>
      <c r="I22" s="215" t="e">
        <f t="shared" si="1"/>
        <v>#REF!</v>
      </c>
      <c r="J22" s="215" t="e">
        <f t="shared" si="1"/>
        <v>#REF!</v>
      </c>
      <c r="K22" s="215" t="e">
        <f t="shared" si="1"/>
        <v>#REF!</v>
      </c>
      <c r="L22" s="215"/>
      <c r="M22" s="429"/>
      <c r="N22" s="429"/>
      <c r="O22" s="429"/>
      <c r="P22" s="429"/>
      <c r="Q22" s="429"/>
    </row>
    <row r="24" spans="1:17" s="177" customFormat="1" x14ac:dyDescent="0.2">
      <c r="A24" s="228" t="s">
        <v>1233</v>
      </c>
      <c r="B24" s="217">
        <v>2010</v>
      </c>
      <c r="C24" s="217">
        <v>2015</v>
      </c>
      <c r="D24" s="217">
        <v>2020</v>
      </c>
      <c r="E24" s="217">
        <v>2025</v>
      </c>
      <c r="F24" s="217">
        <v>2030</v>
      </c>
      <c r="G24" s="217">
        <v>2035</v>
      </c>
      <c r="H24" s="217">
        <v>2040</v>
      </c>
      <c r="I24" s="217">
        <v>2045</v>
      </c>
      <c r="J24" s="217">
        <v>2050</v>
      </c>
      <c r="K24" s="217">
        <v>2055</v>
      </c>
      <c r="L24" s="432"/>
    </row>
    <row r="25" spans="1:17" x14ac:dyDescent="0.2">
      <c r="A25" s="226" t="s">
        <v>701</v>
      </c>
      <c r="B25" s="219" t="e">
        <f>$B$22*B16/$B$21</f>
        <v>#REF!</v>
      </c>
      <c r="C25" s="219" t="e">
        <f>C$22*C16/C$21</f>
        <v>#REF!</v>
      </c>
      <c r="D25" s="219" t="e">
        <f t="shared" ref="D25:K25" si="2">D$22*D16/D$21</f>
        <v>#REF!</v>
      </c>
      <c r="E25" s="219" t="e">
        <f t="shared" si="2"/>
        <v>#REF!</v>
      </c>
      <c r="F25" s="219" t="e">
        <f t="shared" si="2"/>
        <v>#REF!</v>
      </c>
      <c r="G25" s="219" t="e">
        <f t="shared" si="2"/>
        <v>#REF!</v>
      </c>
      <c r="H25" s="219" t="e">
        <f t="shared" si="2"/>
        <v>#REF!</v>
      </c>
      <c r="I25" s="219" t="e">
        <f t="shared" si="2"/>
        <v>#REF!</v>
      </c>
      <c r="J25" s="219" t="e">
        <f t="shared" si="2"/>
        <v>#REF!</v>
      </c>
      <c r="K25" s="219" t="e">
        <f t="shared" si="2"/>
        <v>#REF!</v>
      </c>
    </row>
    <row r="26" spans="1:17" x14ac:dyDescent="0.2">
      <c r="A26" s="226" t="s">
        <v>705</v>
      </c>
      <c r="B26" s="219" t="e">
        <f>$B$22*B17/$B$21</f>
        <v>#REF!</v>
      </c>
      <c r="C26" s="219" t="e">
        <f>C$22*C17/C$21</f>
        <v>#REF!</v>
      </c>
      <c r="D26" s="219" t="e">
        <f t="shared" ref="C26:K29" si="3">D$22*D17/D$21</f>
        <v>#REF!</v>
      </c>
      <c r="E26" s="219" t="e">
        <f t="shared" si="3"/>
        <v>#REF!</v>
      </c>
      <c r="F26" s="219" t="e">
        <f t="shared" si="3"/>
        <v>#REF!</v>
      </c>
      <c r="G26" s="219" t="e">
        <f t="shared" si="3"/>
        <v>#REF!</v>
      </c>
      <c r="H26" s="219" t="e">
        <f t="shared" si="3"/>
        <v>#REF!</v>
      </c>
      <c r="I26" s="219" t="e">
        <f t="shared" si="3"/>
        <v>#REF!</v>
      </c>
      <c r="J26" s="219" t="e">
        <f t="shared" si="3"/>
        <v>#REF!</v>
      </c>
      <c r="K26" s="219" t="e">
        <f t="shared" si="3"/>
        <v>#REF!</v>
      </c>
    </row>
    <row r="27" spans="1:17" x14ac:dyDescent="0.2">
      <c r="A27" s="226" t="s">
        <v>702</v>
      </c>
      <c r="B27" s="219" t="e">
        <f>$B$22*B18/$B$21</f>
        <v>#REF!</v>
      </c>
      <c r="C27" s="219" t="e">
        <f t="shared" si="3"/>
        <v>#REF!</v>
      </c>
      <c r="D27" s="219" t="e">
        <f t="shared" si="3"/>
        <v>#REF!</v>
      </c>
      <c r="E27" s="219" t="e">
        <f t="shared" si="3"/>
        <v>#REF!</v>
      </c>
      <c r="F27" s="219" t="e">
        <f t="shared" si="3"/>
        <v>#REF!</v>
      </c>
      <c r="G27" s="219" t="e">
        <f t="shared" si="3"/>
        <v>#REF!</v>
      </c>
      <c r="H27" s="219" t="e">
        <f t="shared" si="3"/>
        <v>#REF!</v>
      </c>
      <c r="I27" s="219" t="e">
        <f t="shared" si="3"/>
        <v>#REF!</v>
      </c>
      <c r="J27" s="219" t="e">
        <f t="shared" si="3"/>
        <v>#REF!</v>
      </c>
      <c r="K27" s="219" t="e">
        <f t="shared" si="3"/>
        <v>#REF!</v>
      </c>
    </row>
    <row r="28" spans="1:17" x14ac:dyDescent="0.2">
      <c r="A28" s="226" t="s">
        <v>704</v>
      </c>
      <c r="B28" s="219" t="e">
        <f>$B$22*B19/$B$21</f>
        <v>#REF!</v>
      </c>
      <c r="C28" s="219" t="e">
        <f t="shared" si="3"/>
        <v>#REF!</v>
      </c>
      <c r="D28" s="219" t="e">
        <f t="shared" si="3"/>
        <v>#REF!</v>
      </c>
      <c r="E28" s="219" t="e">
        <f t="shared" si="3"/>
        <v>#REF!</v>
      </c>
      <c r="F28" s="219" t="e">
        <f t="shared" si="3"/>
        <v>#REF!</v>
      </c>
      <c r="G28" s="219" t="e">
        <f t="shared" si="3"/>
        <v>#REF!</v>
      </c>
      <c r="H28" s="219" t="e">
        <f t="shared" si="3"/>
        <v>#REF!</v>
      </c>
      <c r="I28" s="219" t="e">
        <f t="shared" si="3"/>
        <v>#REF!</v>
      </c>
      <c r="J28" s="219" t="e">
        <f t="shared" si="3"/>
        <v>#REF!</v>
      </c>
      <c r="K28" s="219" t="e">
        <f t="shared" si="3"/>
        <v>#REF!</v>
      </c>
    </row>
    <row r="29" spans="1:17" x14ac:dyDescent="0.2">
      <c r="A29" s="226" t="s">
        <v>703</v>
      </c>
      <c r="B29" s="219" t="e">
        <f>$B$22*B20/$B$21</f>
        <v>#REF!</v>
      </c>
      <c r="C29" s="219" t="e">
        <f t="shared" si="3"/>
        <v>#REF!</v>
      </c>
      <c r="D29" s="219" t="e">
        <f t="shared" si="3"/>
        <v>#REF!</v>
      </c>
      <c r="E29" s="219" t="e">
        <f t="shared" si="3"/>
        <v>#REF!</v>
      </c>
      <c r="F29" s="219" t="e">
        <f t="shared" si="3"/>
        <v>#REF!</v>
      </c>
      <c r="G29" s="219" t="e">
        <f t="shared" si="3"/>
        <v>#REF!</v>
      </c>
      <c r="H29" s="219" t="e">
        <f t="shared" si="3"/>
        <v>#REF!</v>
      </c>
      <c r="I29" s="219" t="e">
        <f t="shared" si="3"/>
        <v>#REF!</v>
      </c>
      <c r="J29" s="219" t="e">
        <f t="shared" si="3"/>
        <v>#REF!</v>
      </c>
      <c r="K29" s="219" t="e">
        <f t="shared" si="3"/>
        <v>#REF!</v>
      </c>
    </row>
    <row r="30" spans="1:17" x14ac:dyDescent="0.2">
      <c r="B30" s="220" t="e">
        <f t="shared" ref="B30:K30" si="4">SUM(B25:B29)-B22</f>
        <v>#REF!</v>
      </c>
      <c r="C30" s="220" t="e">
        <f t="shared" si="4"/>
        <v>#REF!</v>
      </c>
      <c r="D30" s="220" t="e">
        <f t="shared" si="4"/>
        <v>#REF!</v>
      </c>
      <c r="E30" s="220" t="e">
        <f t="shared" si="4"/>
        <v>#REF!</v>
      </c>
      <c r="F30" s="220" t="e">
        <f t="shared" si="4"/>
        <v>#REF!</v>
      </c>
      <c r="G30" s="220" t="e">
        <f t="shared" si="4"/>
        <v>#REF!</v>
      </c>
      <c r="H30" s="220" t="e">
        <f t="shared" si="4"/>
        <v>#REF!</v>
      </c>
      <c r="I30" s="220" t="e">
        <f t="shared" si="4"/>
        <v>#REF!</v>
      </c>
      <c r="J30" s="220" t="e">
        <f t="shared" si="4"/>
        <v>#REF!</v>
      </c>
      <c r="K30" s="220" t="e">
        <f t="shared" si="4"/>
        <v>#REF!</v>
      </c>
    </row>
    <row r="32" spans="1:17" x14ac:dyDescent="0.2">
      <c r="A32" s="224" t="str">
        <f>D3</f>
        <v>TMCNGE</v>
      </c>
      <c r="B32" s="230">
        <v>2010</v>
      </c>
      <c r="C32" s="230">
        <v>2015</v>
      </c>
      <c r="D32" s="433"/>
      <c r="E32" s="433"/>
      <c r="F32" s="433"/>
      <c r="G32" s="433"/>
      <c r="H32" s="433"/>
      <c r="I32" s="433"/>
      <c r="J32" s="433"/>
      <c r="K32" s="433"/>
      <c r="L32" s="226"/>
    </row>
    <row r="33" spans="1:12" x14ac:dyDescent="0.2">
      <c r="A33" s="229" t="s">
        <v>701</v>
      </c>
      <c r="B33" s="223" t="e">
        <f>B25*$G$3*1.1/SUM($G$3:$G$5)</f>
        <v>#REF!</v>
      </c>
      <c r="C33" s="223" t="e">
        <f>C25*$H$3/SUM($H$3:$H$5)</f>
        <v>#REF!</v>
      </c>
      <c r="D33" s="223"/>
      <c r="E33" s="223"/>
      <c r="F33" s="223"/>
      <c r="G33" s="223"/>
      <c r="H33" s="223"/>
      <c r="I33" s="223"/>
      <c r="J33" s="223"/>
      <c r="K33" s="223"/>
      <c r="L33" s="223"/>
    </row>
    <row r="34" spans="1:12" x14ac:dyDescent="0.2">
      <c r="A34" s="229" t="s">
        <v>705</v>
      </c>
      <c r="B34" s="223" t="e">
        <f>B26*$G$3*1.1/SUM($G$3:$G$5)</f>
        <v>#REF!</v>
      </c>
      <c r="C34" s="223" t="e">
        <f>C26*$H$3/SUM($H$3:$H$5)</f>
        <v>#REF!</v>
      </c>
      <c r="D34" s="223"/>
      <c r="E34" s="223"/>
      <c r="F34" s="223"/>
      <c r="G34" s="223"/>
      <c r="H34" s="223"/>
      <c r="I34" s="223"/>
      <c r="J34" s="223"/>
      <c r="K34" s="223"/>
      <c r="L34" s="223"/>
    </row>
    <row r="35" spans="1:12" x14ac:dyDescent="0.2">
      <c r="A35" s="229" t="s">
        <v>702</v>
      </c>
      <c r="B35" s="223" t="e">
        <f>B27*$G$3*1.1/SUM($G$3:$G$5)</f>
        <v>#REF!</v>
      </c>
      <c r="C35" s="223" t="e">
        <f>C27*$H$3/SUM($H$3:$H$5)</f>
        <v>#REF!</v>
      </c>
      <c r="D35" s="223"/>
      <c r="E35" s="223"/>
      <c r="F35" s="223"/>
      <c r="G35" s="223"/>
      <c r="H35" s="223"/>
      <c r="I35" s="223"/>
      <c r="J35" s="223"/>
      <c r="K35" s="223"/>
      <c r="L35" s="223"/>
    </row>
    <row r="36" spans="1:12" x14ac:dyDescent="0.2">
      <c r="A36" s="229" t="s">
        <v>704</v>
      </c>
      <c r="B36" s="223" t="e">
        <f>B28*$G$3*1.1/SUM($G$3:$G$5)</f>
        <v>#REF!</v>
      </c>
      <c r="C36" s="223" t="e">
        <f>C28*$H$3/SUM($H$3:$H$5)</f>
        <v>#REF!</v>
      </c>
      <c r="D36" s="223"/>
      <c r="E36" s="223"/>
      <c r="F36" s="223"/>
      <c r="G36" s="223"/>
      <c r="H36" s="223"/>
      <c r="I36" s="223"/>
      <c r="J36" s="223"/>
      <c r="K36" s="223"/>
      <c r="L36" s="223"/>
    </row>
    <row r="37" spans="1:12" x14ac:dyDescent="0.2">
      <c r="A37" s="229" t="s">
        <v>703</v>
      </c>
      <c r="B37" s="223" t="e">
        <f>B29*$G$3*1.1/SUM($G$3:$G$5)</f>
        <v>#REF!</v>
      </c>
      <c r="C37" s="223" t="e">
        <f>C29*$H$3/SUM($H$3:$H$5)</f>
        <v>#REF!</v>
      </c>
      <c r="D37" s="223"/>
      <c r="E37" s="223"/>
      <c r="F37" s="223"/>
      <c r="G37" s="223"/>
      <c r="H37" s="223"/>
      <c r="I37" s="223"/>
      <c r="J37" s="223"/>
      <c r="K37" s="223"/>
      <c r="L37" s="223"/>
    </row>
    <row r="38" spans="1:12" x14ac:dyDescent="0.2">
      <c r="L38" s="226"/>
    </row>
    <row r="39" spans="1:12" x14ac:dyDescent="0.2">
      <c r="A39" s="224" t="str">
        <f>D4</f>
        <v>TMDSLE</v>
      </c>
      <c r="B39" s="230">
        <v>2010</v>
      </c>
      <c r="C39" s="230">
        <v>2015</v>
      </c>
      <c r="D39" s="433"/>
      <c r="E39" s="433"/>
      <c r="F39" s="433"/>
      <c r="G39" s="433"/>
      <c r="H39" s="433"/>
      <c r="I39" s="433"/>
      <c r="J39" s="433"/>
      <c r="K39" s="433"/>
      <c r="L39" s="226"/>
    </row>
    <row r="40" spans="1:12" x14ac:dyDescent="0.2">
      <c r="A40" s="229" t="s">
        <v>701</v>
      </c>
      <c r="B40" s="223" t="e">
        <f>B25*$G$4*1.1/SUM($G$3:$G$5)</f>
        <v>#REF!</v>
      </c>
      <c r="C40" s="223" t="e">
        <f>C25*$H$4/SUM($H$3:$H$5)</f>
        <v>#REF!</v>
      </c>
      <c r="D40" s="223"/>
      <c r="E40" s="223"/>
      <c r="F40" s="223"/>
      <c r="G40" s="223"/>
      <c r="H40" s="223"/>
      <c r="I40" s="223"/>
      <c r="J40" s="223"/>
      <c r="K40" s="223"/>
      <c r="L40" s="226"/>
    </row>
    <row r="41" spans="1:12" x14ac:dyDescent="0.2">
      <c r="A41" s="229" t="s">
        <v>705</v>
      </c>
      <c r="B41" s="223" t="e">
        <f>B26*$G$4*1.1/SUM($G$3:$G$5)</f>
        <v>#REF!</v>
      </c>
      <c r="C41" s="223" t="e">
        <f>C26*$H$4/SUM($H$3:$H$5)</f>
        <v>#REF!</v>
      </c>
      <c r="D41" s="223"/>
      <c r="E41" s="223"/>
      <c r="F41" s="223"/>
      <c r="G41" s="223"/>
      <c r="H41" s="223"/>
      <c r="I41" s="223"/>
      <c r="J41" s="223"/>
      <c r="K41" s="223"/>
      <c r="L41" s="226"/>
    </row>
    <row r="42" spans="1:12" x14ac:dyDescent="0.2">
      <c r="A42" s="229" t="s">
        <v>702</v>
      </c>
      <c r="B42" s="223" t="e">
        <f>B27*$G$4*1.1/SUM($G$3:$G$5)</f>
        <v>#REF!</v>
      </c>
      <c r="C42" s="223" t="e">
        <f>C27*$H$4/SUM($H$3:$H$5)</f>
        <v>#REF!</v>
      </c>
      <c r="D42" s="223"/>
      <c r="E42" s="223"/>
      <c r="F42" s="223"/>
      <c r="G42" s="223"/>
      <c r="H42" s="223"/>
      <c r="I42" s="223"/>
      <c r="J42" s="223"/>
      <c r="K42" s="223"/>
      <c r="L42" s="226"/>
    </row>
    <row r="43" spans="1:12" x14ac:dyDescent="0.2">
      <c r="A43" s="229" t="s">
        <v>704</v>
      </c>
      <c r="B43" s="223" t="e">
        <f>B28*$G$4*1.1/SUM($G$3:$G$5)</f>
        <v>#REF!</v>
      </c>
      <c r="C43" s="223" t="e">
        <f>C28*$H$4/SUM($H$3:$H$5)</f>
        <v>#REF!</v>
      </c>
      <c r="D43" s="223"/>
      <c r="E43" s="223"/>
      <c r="F43" s="223"/>
      <c r="G43" s="223"/>
      <c r="H43" s="223"/>
      <c r="I43" s="223"/>
      <c r="J43" s="223"/>
      <c r="K43" s="223"/>
      <c r="L43" s="226"/>
    </row>
    <row r="44" spans="1:12" x14ac:dyDescent="0.2">
      <c r="A44" s="229" t="s">
        <v>703</v>
      </c>
      <c r="B44" s="223" t="e">
        <f>B29*$G$4*1.1/SUM($G$3:$G$5)</f>
        <v>#REF!</v>
      </c>
      <c r="C44" s="223" t="e">
        <f>C29*$H$4/SUM($H$3:$H$5)</f>
        <v>#REF!</v>
      </c>
      <c r="D44" s="223"/>
      <c r="E44" s="223"/>
      <c r="F44" s="223"/>
      <c r="G44" s="223"/>
      <c r="H44" s="223"/>
      <c r="I44" s="223"/>
      <c r="J44" s="223"/>
      <c r="K44" s="223"/>
      <c r="L44" s="226"/>
    </row>
    <row r="45" spans="1:12" x14ac:dyDescent="0.2">
      <c r="L45" s="226"/>
    </row>
    <row r="46" spans="1:12" x14ac:dyDescent="0.2">
      <c r="A46" s="430" t="str">
        <f>D5</f>
        <v>TMGSLE</v>
      </c>
      <c r="B46" s="230">
        <v>2010</v>
      </c>
      <c r="C46" s="230">
        <v>2015</v>
      </c>
      <c r="D46" s="433"/>
      <c r="E46" s="433"/>
      <c r="F46" s="433"/>
      <c r="G46" s="433"/>
      <c r="H46" s="433"/>
      <c r="I46" s="433"/>
      <c r="J46" s="433"/>
      <c r="K46" s="433"/>
      <c r="L46" s="226"/>
    </row>
    <row r="47" spans="1:12" x14ac:dyDescent="0.2">
      <c r="A47" s="229" t="s">
        <v>701</v>
      </c>
      <c r="B47" s="431" t="e">
        <f>B25*$G$5*1.1/SUM($G$3:$G$5)</f>
        <v>#REF!</v>
      </c>
      <c r="C47" s="431" t="e">
        <f>C25*$H$5/SUM($H$3:$H$5)</f>
        <v>#REF!</v>
      </c>
      <c r="L47" s="226"/>
    </row>
    <row r="48" spans="1:12" x14ac:dyDescent="0.2">
      <c r="A48" s="229" t="s">
        <v>705</v>
      </c>
      <c r="B48" s="431" t="e">
        <f>B26*$G$5*1.1/SUM($G$3:$G$5)</f>
        <v>#REF!</v>
      </c>
      <c r="C48" s="431" t="e">
        <f>C26*$H$5/SUM($H$3:$H$5)</f>
        <v>#REF!</v>
      </c>
      <c r="L48" s="226"/>
    </row>
    <row r="49" spans="1:3" x14ac:dyDescent="0.2">
      <c r="A49" s="229" t="s">
        <v>702</v>
      </c>
      <c r="B49" s="431" t="e">
        <f>B27*1.1*$G$5/SUM($G$3:$G$5)</f>
        <v>#REF!</v>
      </c>
      <c r="C49" s="431" t="e">
        <f>C27*$H$5/SUM($H$3:$H$5)</f>
        <v>#REF!</v>
      </c>
    </row>
    <row r="50" spans="1:3" x14ac:dyDescent="0.2">
      <c r="A50" s="229" t="s">
        <v>704</v>
      </c>
      <c r="B50" s="431" t="e">
        <f>B28*$G$5*1.1/SUM($G$3:$G$5)</f>
        <v>#REF!</v>
      </c>
      <c r="C50" s="431" t="e">
        <f>C28*$H$5/SUM($H$3:$H$5)</f>
        <v>#REF!</v>
      </c>
    </row>
    <row r="51" spans="1:3" x14ac:dyDescent="0.2">
      <c r="A51" s="229" t="s">
        <v>703</v>
      </c>
      <c r="B51" s="431" t="e">
        <f>B29*$G$5*1.1/SUM($G$3:$G$5)</f>
        <v>#REF!</v>
      </c>
      <c r="C51" s="431" t="e">
        <f>C29*$H$5/SUM($H$3:$H$5)</f>
        <v>#REF!</v>
      </c>
    </row>
    <row r="53" spans="1:3" x14ac:dyDescent="0.2">
      <c r="B53" s="215" t="e">
        <f>SUM(B33:B37)+SUM(B40:B44)+SUM(B47:B51)</f>
        <v>#REF!</v>
      </c>
      <c r="C53" s="215" t="e">
        <f>SUM(C33:C37)+SUM(C40:C44)+SUM(C47:C51)</f>
        <v>#REF!</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42"/>
  <sheetViews>
    <sheetView workbookViewId="0">
      <selection activeCell="F9" sqref="F9"/>
    </sheetView>
  </sheetViews>
  <sheetFormatPr defaultColWidth="9.140625" defaultRowHeight="12" x14ac:dyDescent="0.2"/>
  <cols>
    <col min="1" max="1" width="27" style="221" customWidth="1"/>
    <col min="2" max="2" width="14.5703125" style="221" customWidth="1"/>
    <col min="3" max="3" width="16" style="221" customWidth="1"/>
    <col min="4" max="4" width="10.5703125" style="221" customWidth="1"/>
    <col min="5" max="6" width="9.140625" style="221"/>
    <col min="7" max="7" width="12.85546875" style="221" customWidth="1"/>
    <col min="8" max="8" width="8.85546875" style="221" customWidth="1"/>
    <col min="9" max="10" width="13.28515625" style="221" customWidth="1"/>
    <col min="11" max="16384" width="9.140625" style="221"/>
  </cols>
  <sheetData>
    <row r="1" spans="1:15" s="235" customFormat="1" x14ac:dyDescent="0.2">
      <c r="A1" s="211" t="s">
        <v>1190</v>
      </c>
      <c r="B1" s="211" t="s">
        <v>1218</v>
      </c>
      <c r="C1" s="211" t="s">
        <v>1219</v>
      </c>
      <c r="D1" s="211" t="s">
        <v>1143</v>
      </c>
      <c r="E1" s="211" t="s">
        <v>1191</v>
      </c>
      <c r="F1" s="211" t="s">
        <v>165</v>
      </c>
      <c r="G1" s="211" t="s">
        <v>1144</v>
      </c>
      <c r="H1" s="211" t="s">
        <v>1192</v>
      </c>
      <c r="I1" s="211" t="s">
        <v>1193</v>
      </c>
      <c r="J1" s="211" t="s">
        <v>1147</v>
      </c>
    </row>
    <row r="2" spans="1:15" x14ac:dyDescent="0.2">
      <c r="A2" s="221" t="s">
        <v>1198</v>
      </c>
      <c r="B2" s="221" t="s">
        <v>1198</v>
      </c>
      <c r="C2" s="221" t="s">
        <v>93</v>
      </c>
      <c r="D2" s="221" t="s">
        <v>1234</v>
      </c>
      <c r="E2" s="221" t="s">
        <v>498</v>
      </c>
      <c r="F2" s="221" t="s">
        <v>1159</v>
      </c>
      <c r="G2" s="231">
        <v>1420989</v>
      </c>
      <c r="H2" s="231">
        <v>78637</v>
      </c>
      <c r="I2" s="231">
        <v>1420989</v>
      </c>
      <c r="J2" s="232">
        <f>I2*0.000001</f>
        <v>1.4209889999999998</v>
      </c>
      <c r="M2" s="246"/>
      <c r="N2" s="246"/>
      <c r="O2" s="246"/>
    </row>
    <row r="3" spans="1:15" x14ac:dyDescent="0.2">
      <c r="A3" s="221" t="s">
        <v>1206</v>
      </c>
      <c r="B3" s="221" t="s">
        <v>1206</v>
      </c>
      <c r="C3" s="221" t="s">
        <v>93</v>
      </c>
      <c r="D3" s="221" t="s">
        <v>1234</v>
      </c>
      <c r="E3" s="221" t="s">
        <v>758</v>
      </c>
      <c r="F3" s="221" t="s">
        <v>1153</v>
      </c>
      <c r="G3" s="231">
        <v>7545275</v>
      </c>
      <c r="H3" s="231">
        <v>20391</v>
      </c>
      <c r="I3" s="231">
        <v>290413</v>
      </c>
      <c r="J3" s="232">
        <f>I3*0.000001</f>
        <v>0.29041299999999998</v>
      </c>
      <c r="M3" s="246">
        <v>0.44</v>
      </c>
      <c r="N3" s="246">
        <v>2.34</v>
      </c>
      <c r="O3" s="246"/>
    </row>
    <row r="4" spans="1:15" x14ac:dyDescent="0.2">
      <c r="A4" s="221" t="s">
        <v>1198</v>
      </c>
      <c r="B4" s="221" t="s">
        <v>1198</v>
      </c>
      <c r="C4" s="221" t="s">
        <v>93</v>
      </c>
      <c r="D4" s="221" t="s">
        <v>1234</v>
      </c>
      <c r="E4" s="221" t="s">
        <v>758</v>
      </c>
      <c r="F4" s="221" t="s">
        <v>1153</v>
      </c>
      <c r="G4" s="231">
        <v>188631878</v>
      </c>
      <c r="H4" s="231">
        <v>509784</v>
      </c>
      <c r="I4" s="231">
        <v>7260325</v>
      </c>
      <c r="J4" s="232">
        <f>I4*0.000001</f>
        <v>7.2603249999999999</v>
      </c>
      <c r="M4" s="246">
        <v>1.22</v>
      </c>
      <c r="N4" s="246">
        <v>0.44</v>
      </c>
      <c r="O4" s="246"/>
    </row>
    <row r="5" spans="1:15" x14ac:dyDescent="0.2">
      <c r="M5" s="246">
        <v>1.99</v>
      </c>
      <c r="N5" s="246">
        <v>0</v>
      </c>
      <c r="O5" s="246"/>
    </row>
    <row r="6" spans="1:15" x14ac:dyDescent="0.2">
      <c r="M6" s="246">
        <v>0.08</v>
      </c>
      <c r="N6" s="246">
        <v>0.43</v>
      </c>
      <c r="O6" s="246"/>
    </row>
    <row r="7" spans="1:15" s="238" customFormat="1" x14ac:dyDescent="0.2">
      <c r="A7" s="237" t="s">
        <v>479</v>
      </c>
      <c r="M7" s="247">
        <v>1.07</v>
      </c>
      <c r="N7" s="247">
        <v>1.48</v>
      </c>
      <c r="O7" s="247"/>
    </row>
    <row r="8" spans="1:15" s="241" customFormat="1" x14ac:dyDescent="0.2">
      <c r="A8" s="239" t="s">
        <v>158</v>
      </c>
      <c r="B8" s="239" t="s">
        <v>159</v>
      </c>
      <c r="C8" s="239" t="s">
        <v>165</v>
      </c>
      <c r="D8" s="239" t="s">
        <v>168</v>
      </c>
      <c r="E8" s="239" t="s">
        <v>475</v>
      </c>
      <c r="F8" s="240" t="s">
        <v>1226</v>
      </c>
    </row>
    <row r="9" spans="1:15" s="238" customFormat="1" x14ac:dyDescent="0.2">
      <c r="A9" s="242" t="s">
        <v>208</v>
      </c>
      <c r="B9" s="242" t="s">
        <v>1235</v>
      </c>
      <c r="C9" s="242" t="s">
        <v>480</v>
      </c>
      <c r="D9" s="242" t="s">
        <v>39</v>
      </c>
      <c r="E9" s="243">
        <v>3.497096288537007E-2</v>
      </c>
      <c r="F9" s="244">
        <f>E9*(J3+J4)</f>
        <v>0.26405657835515345</v>
      </c>
      <c r="G9" s="238">
        <f>F9/F11</f>
        <v>0.86206248896259996</v>
      </c>
    </row>
    <row r="10" spans="1:15" s="238" customFormat="1" x14ac:dyDescent="0.2">
      <c r="A10" s="242" t="s">
        <v>211</v>
      </c>
      <c r="B10" s="242" t="s">
        <v>481</v>
      </c>
      <c r="C10" s="242" t="s">
        <v>480</v>
      </c>
      <c r="D10" s="242" t="s">
        <v>66</v>
      </c>
      <c r="E10" s="243">
        <v>2.9733765545048953E-2</v>
      </c>
      <c r="F10" s="244">
        <f>E10*J2</f>
        <v>4.2251353768093559E-2</v>
      </c>
      <c r="G10" s="238">
        <f>1-G9</f>
        <v>0.13793751103740004</v>
      </c>
    </row>
    <row r="11" spans="1:15" x14ac:dyDescent="0.2">
      <c r="F11" s="245">
        <f>F9+F10</f>
        <v>0.30630793212324703</v>
      </c>
    </row>
    <row r="13" spans="1:15" s="235" customFormat="1" x14ac:dyDescent="0.2">
      <c r="A13" s="230" t="s">
        <v>1129</v>
      </c>
      <c r="B13" s="230">
        <v>2010</v>
      </c>
      <c r="C13" s="230">
        <v>2015</v>
      </c>
      <c r="D13" s="230">
        <v>2020</v>
      </c>
      <c r="E13" s="230">
        <v>2025</v>
      </c>
      <c r="F13" s="230">
        <v>2030</v>
      </c>
      <c r="G13" s="230">
        <v>2035</v>
      </c>
      <c r="H13" s="230">
        <v>2040</v>
      </c>
      <c r="I13" s="230">
        <v>2045</v>
      </c>
      <c r="J13" s="230">
        <v>2050</v>
      </c>
      <c r="K13" s="230">
        <v>2055</v>
      </c>
    </row>
    <row r="14" spans="1:15" x14ac:dyDescent="0.2">
      <c r="A14" s="221" t="s">
        <v>701</v>
      </c>
      <c r="B14" s="221">
        <v>1385108</v>
      </c>
      <c r="C14" s="221">
        <v>1455444</v>
      </c>
      <c r="D14" s="221">
        <v>1446788</v>
      </c>
      <c r="E14" s="221">
        <v>1482893</v>
      </c>
      <c r="F14" s="221">
        <v>1518998</v>
      </c>
      <c r="G14" s="221">
        <v>1549121.5</v>
      </c>
      <c r="H14" s="221">
        <v>1579245</v>
      </c>
      <c r="I14" s="221">
        <v>1625954.9772727266</v>
      </c>
      <c r="J14" s="221">
        <v>1660587.6071428563</v>
      </c>
      <c r="K14" s="221">
        <v>1695220.2370129861</v>
      </c>
    </row>
    <row r="15" spans="1:15" x14ac:dyDescent="0.2">
      <c r="A15" s="221" t="s">
        <v>705</v>
      </c>
      <c r="B15" s="221">
        <v>2552911</v>
      </c>
      <c r="C15" s="221">
        <v>2636735</v>
      </c>
      <c r="D15" s="221">
        <v>2648452</v>
      </c>
      <c r="E15" s="221">
        <v>2701230.5</v>
      </c>
      <c r="F15" s="221">
        <v>2754009</v>
      </c>
      <c r="G15" s="221">
        <v>2797267</v>
      </c>
      <c r="H15" s="221">
        <v>2840525</v>
      </c>
      <c r="I15" s="221">
        <v>2908244.5075757541</v>
      </c>
      <c r="J15" s="221">
        <v>2959463.6785714254</v>
      </c>
      <c r="K15" s="221">
        <v>3010682.8495670967</v>
      </c>
    </row>
    <row r="16" spans="1:15" x14ac:dyDescent="0.2">
      <c r="A16" s="221" t="s">
        <v>702</v>
      </c>
      <c r="B16" s="221">
        <v>1585873</v>
      </c>
      <c r="C16" s="221">
        <v>1644518</v>
      </c>
      <c r="D16" s="221">
        <v>1638281</v>
      </c>
      <c r="E16" s="221">
        <v>1657500.5</v>
      </c>
      <c r="F16" s="221">
        <v>1676720</v>
      </c>
      <c r="G16" s="221">
        <v>1684168.5</v>
      </c>
      <c r="H16" s="221">
        <v>1691617</v>
      </c>
      <c r="I16" s="221">
        <v>1733166.166666667</v>
      </c>
      <c r="J16" s="221">
        <v>1753311.5714285718</v>
      </c>
      <c r="K16" s="221">
        <v>1773456.9761904767</v>
      </c>
    </row>
    <row r="17" spans="1:11" x14ac:dyDescent="0.2">
      <c r="A17" s="221" t="s">
        <v>704</v>
      </c>
      <c r="B17" s="221">
        <v>2250002</v>
      </c>
      <c r="C17" s="221">
        <v>2339150</v>
      </c>
      <c r="D17" s="221">
        <v>2330295</v>
      </c>
      <c r="E17" s="221">
        <v>2351923</v>
      </c>
      <c r="F17" s="221">
        <v>2373551</v>
      </c>
      <c r="G17" s="221">
        <v>2393100</v>
      </c>
      <c r="H17" s="221">
        <v>2412649</v>
      </c>
      <c r="I17" s="221">
        <v>2496538.7575757559</v>
      </c>
      <c r="J17" s="221">
        <v>2533665.5714285709</v>
      </c>
      <c r="K17" s="221">
        <v>2570792.385281384</v>
      </c>
    </row>
    <row r="18" spans="1:11" x14ac:dyDescent="0.2">
      <c r="A18" s="221" t="s">
        <v>703</v>
      </c>
      <c r="B18" s="221">
        <v>468730</v>
      </c>
      <c r="C18" s="221">
        <v>474558</v>
      </c>
      <c r="D18" s="221">
        <v>487155</v>
      </c>
      <c r="E18" s="221">
        <v>492452</v>
      </c>
      <c r="F18" s="221">
        <v>497749</v>
      </c>
      <c r="G18" s="221">
        <v>499429</v>
      </c>
      <c r="H18" s="221">
        <v>501109</v>
      </c>
      <c r="I18" s="221">
        <v>528935.80303030275</v>
      </c>
      <c r="J18" s="221">
        <v>539243.35714285728</v>
      </c>
      <c r="K18" s="221">
        <v>549550.9112554118</v>
      </c>
    </row>
    <row r="19" spans="1:11" x14ac:dyDescent="0.2">
      <c r="A19" s="221" t="s">
        <v>696</v>
      </c>
      <c r="B19" s="221">
        <f>SUM(B14:B18)</f>
        <v>8242624</v>
      </c>
      <c r="C19" s="221">
        <f t="shared" ref="C19:K19" si="0">SUM(C14:C18)</f>
        <v>8550405</v>
      </c>
      <c r="D19" s="221">
        <f t="shared" si="0"/>
        <v>8550971</v>
      </c>
      <c r="E19" s="221">
        <f t="shared" si="0"/>
        <v>8685999</v>
      </c>
      <c r="F19" s="221">
        <f t="shared" si="0"/>
        <v>8821027</v>
      </c>
      <c r="G19" s="221">
        <f t="shared" si="0"/>
        <v>8923086</v>
      </c>
      <c r="H19" s="221">
        <f t="shared" si="0"/>
        <v>9025145</v>
      </c>
      <c r="I19" s="221">
        <f t="shared" si="0"/>
        <v>9292840.2121212054</v>
      </c>
      <c r="J19" s="221">
        <f t="shared" si="0"/>
        <v>9446271.7857142836</v>
      </c>
      <c r="K19" s="221">
        <f t="shared" si="0"/>
        <v>9599703.3593073562</v>
      </c>
    </row>
    <row r="20" spans="1:11" x14ac:dyDescent="0.2">
      <c r="A20" s="221" t="s">
        <v>1226</v>
      </c>
      <c r="B20" s="245">
        <f>F11</f>
        <v>0.30630793212324703</v>
      </c>
      <c r="C20" s="245">
        <f>B20*C19/B19</f>
        <v>0.31774552307205478</v>
      </c>
      <c r="D20" s="245">
        <f t="shared" ref="D20:K20" si="1">C20*D19/C19</f>
        <v>0.31776655645773166</v>
      </c>
      <c r="E20" s="245">
        <f t="shared" si="1"/>
        <v>0.32278439391565011</v>
      </c>
      <c r="F20" s="245">
        <f t="shared" si="1"/>
        <v>0.32780223137356856</v>
      </c>
      <c r="G20" s="245">
        <f t="shared" si="1"/>
        <v>0.33159489269653641</v>
      </c>
      <c r="H20" s="245">
        <f t="shared" si="1"/>
        <v>0.33538755401950426</v>
      </c>
      <c r="I20" s="245">
        <f t="shared" si="1"/>
        <v>0.34533549861386409</v>
      </c>
      <c r="J20" s="245">
        <f t="shared" si="1"/>
        <v>0.35103723971350803</v>
      </c>
      <c r="K20" s="245">
        <f t="shared" si="1"/>
        <v>0.35673898081315181</v>
      </c>
    </row>
    <row r="22" spans="1:11" s="211" customFormat="1" x14ac:dyDescent="0.2">
      <c r="A22" s="211" t="s">
        <v>1236</v>
      </c>
      <c r="B22" s="230">
        <v>2010</v>
      </c>
      <c r="C22" s="230">
        <v>2015</v>
      </c>
      <c r="D22" s="230">
        <v>2020</v>
      </c>
      <c r="E22" s="230">
        <v>2025</v>
      </c>
      <c r="F22" s="230">
        <v>2030</v>
      </c>
      <c r="G22" s="230">
        <v>2035</v>
      </c>
      <c r="H22" s="230">
        <v>2040</v>
      </c>
      <c r="I22" s="230">
        <v>2045</v>
      </c>
      <c r="J22" s="230">
        <v>2050</v>
      </c>
      <c r="K22" s="230">
        <v>2055</v>
      </c>
    </row>
    <row r="23" spans="1:11" x14ac:dyDescent="0.2">
      <c r="A23" s="221" t="s">
        <v>701</v>
      </c>
      <c r="B23" s="232">
        <f>(B14/B$19)*B$20</f>
        <v>5.1472633866031792E-2</v>
      </c>
      <c r="C23" s="232">
        <f t="shared" ref="C23:K23" si="2">(C14/C$19)*C$20</f>
        <v>5.4086422231705247E-2</v>
      </c>
      <c r="D23" s="232">
        <f t="shared" si="2"/>
        <v>5.3764752644391921E-2</v>
      </c>
      <c r="E23" s="232">
        <f t="shared" si="2"/>
        <v>5.5106467114117812E-2</v>
      </c>
      <c r="F23" s="232">
        <f t="shared" si="2"/>
        <v>5.6448181583843682E-2</v>
      </c>
      <c r="G23" s="232">
        <f t="shared" si="2"/>
        <v>5.7567614787798475E-2</v>
      </c>
      <c r="H23" s="232">
        <f t="shared" si="2"/>
        <v>5.8687047991753262E-2</v>
      </c>
      <c r="I23" s="232">
        <f t="shared" si="2"/>
        <v>6.0422858887401641E-2</v>
      </c>
      <c r="J23" s="232">
        <f t="shared" si="2"/>
        <v>6.1709857935218118E-2</v>
      </c>
      <c r="K23" s="232">
        <f t="shared" si="2"/>
        <v>6.2996856983034602E-2</v>
      </c>
    </row>
    <row r="24" spans="1:11" x14ac:dyDescent="0.2">
      <c r="A24" s="221" t="s">
        <v>705</v>
      </c>
      <c r="B24" s="232">
        <f t="shared" ref="B24:K27" si="3">(B15/B$19)*B$20</f>
        <v>9.4869896929022923E-2</v>
      </c>
      <c r="C24" s="232">
        <f t="shared" si="3"/>
        <v>9.7984919050898109E-2</v>
      </c>
      <c r="D24" s="232">
        <f t="shared" si="3"/>
        <v>9.8420339863577164E-2</v>
      </c>
      <c r="E24" s="232">
        <f t="shared" si="3"/>
        <v>0.10038166591649025</v>
      </c>
      <c r="F24" s="232">
        <f t="shared" si="3"/>
        <v>0.10234299196940334</v>
      </c>
      <c r="G24" s="232">
        <f t="shared" si="3"/>
        <v>0.10395052235387649</v>
      </c>
      <c r="H24" s="232">
        <f t="shared" si="3"/>
        <v>0.10555805273834962</v>
      </c>
      <c r="I24" s="232">
        <f t="shared" si="3"/>
        <v>0.10807460842861692</v>
      </c>
      <c r="J24" s="232">
        <f t="shared" si="3"/>
        <v>0.10997798754099072</v>
      </c>
      <c r="K24" s="232">
        <f t="shared" si="3"/>
        <v>0.11188136665336455</v>
      </c>
    </row>
    <row r="25" spans="1:11" x14ac:dyDescent="0.2">
      <c r="A25" s="221" t="s">
        <v>702</v>
      </c>
      <c r="B25" s="232">
        <f t="shared" si="3"/>
        <v>5.8933354140634116E-2</v>
      </c>
      <c r="C25" s="232">
        <f t="shared" si="3"/>
        <v>6.1112687891557112E-2</v>
      </c>
      <c r="D25" s="232">
        <f t="shared" si="3"/>
        <v>6.0880911873064367E-2</v>
      </c>
      <c r="E25" s="232">
        <f t="shared" si="3"/>
        <v>6.1595136530338886E-2</v>
      </c>
      <c r="F25" s="232">
        <f t="shared" si="3"/>
        <v>6.2309361187613398E-2</v>
      </c>
      <c r="G25" s="232">
        <f t="shared" si="3"/>
        <v>6.2586158313434018E-2</v>
      </c>
      <c r="H25" s="232">
        <f t="shared" si="3"/>
        <v>6.2862955439254631E-2</v>
      </c>
      <c r="I25" s="232">
        <f t="shared" si="3"/>
        <v>6.4406983084226779E-2</v>
      </c>
      <c r="J25" s="232">
        <f t="shared" si="3"/>
        <v>6.5155615713157186E-2</v>
      </c>
      <c r="K25" s="232">
        <f t="shared" si="3"/>
        <v>6.5904248342087607E-2</v>
      </c>
    </row>
    <row r="26" spans="1:11" x14ac:dyDescent="0.2">
      <c r="A26" s="221" t="s">
        <v>704</v>
      </c>
      <c r="B26" s="232">
        <f t="shared" si="3"/>
        <v>8.361335660745535E-2</v>
      </c>
      <c r="C26" s="232">
        <f t="shared" si="3"/>
        <v>8.6926226335945128E-2</v>
      </c>
      <c r="D26" s="232">
        <f t="shared" si="3"/>
        <v>8.6597161618331975E-2</v>
      </c>
      <c r="E26" s="232">
        <f t="shared" si="3"/>
        <v>8.7400889649109734E-2</v>
      </c>
      <c r="F26" s="232">
        <f t="shared" si="3"/>
        <v>8.8204617679887506E-2</v>
      </c>
      <c r="G26" s="232">
        <f t="shared" si="3"/>
        <v>8.8931087037834367E-2</v>
      </c>
      <c r="H26" s="232">
        <f t="shared" si="3"/>
        <v>8.9657556395781227E-2</v>
      </c>
      <c r="I26" s="232">
        <f t="shared" si="3"/>
        <v>9.277502216509817E-2</v>
      </c>
      <c r="J26" s="232">
        <f t="shared" si="3"/>
        <v>9.4154708728209691E-2</v>
      </c>
      <c r="K26" s="232">
        <f t="shared" si="3"/>
        <v>9.5534395291321142E-2</v>
      </c>
    </row>
    <row r="27" spans="1:11" x14ac:dyDescent="0.2">
      <c r="A27" s="221" t="s">
        <v>703</v>
      </c>
      <c r="B27" s="232">
        <f t="shared" si="3"/>
        <v>1.7418690580102838E-2</v>
      </c>
      <c r="C27" s="232">
        <f t="shared" si="3"/>
        <v>1.7635267561949192E-2</v>
      </c>
      <c r="D27" s="232">
        <f t="shared" si="3"/>
        <v>1.810339045836622E-2</v>
      </c>
      <c r="E27" s="232">
        <f t="shared" si="3"/>
        <v>1.8300234705593419E-2</v>
      </c>
      <c r="F27" s="232">
        <f t="shared" si="3"/>
        <v>1.8497078952820614E-2</v>
      </c>
      <c r="G27" s="232">
        <f t="shared" si="3"/>
        <v>1.8559510203593071E-2</v>
      </c>
      <c r="H27" s="232">
        <f t="shared" si="3"/>
        <v>1.8621941454365527E-2</v>
      </c>
      <c r="I27" s="232">
        <f t="shared" si="3"/>
        <v>1.9656026048520608E-2</v>
      </c>
      <c r="J27" s="232">
        <f t="shared" si="3"/>
        <v>2.003906979593224E-2</v>
      </c>
      <c r="K27" s="232">
        <f t="shared" si="3"/>
        <v>2.0422113543343876E-2</v>
      </c>
    </row>
    <row r="28" spans="1:11" x14ac:dyDescent="0.2">
      <c r="B28" s="220">
        <f t="shared" ref="B28:K28" si="4">SUM(B23:B27)-B20</f>
        <v>0</v>
      </c>
      <c r="C28" s="220">
        <f t="shared" si="4"/>
        <v>0</v>
      </c>
      <c r="D28" s="220">
        <f t="shared" si="4"/>
        <v>0</v>
      </c>
      <c r="E28" s="220">
        <f t="shared" si="4"/>
        <v>0</v>
      </c>
      <c r="F28" s="220">
        <f t="shared" si="4"/>
        <v>0</v>
      </c>
      <c r="G28" s="220">
        <f t="shared" si="4"/>
        <v>0</v>
      </c>
      <c r="H28" s="220">
        <f t="shared" si="4"/>
        <v>0</v>
      </c>
      <c r="I28" s="220">
        <f t="shared" si="4"/>
        <v>0</v>
      </c>
      <c r="J28" s="220">
        <f t="shared" si="4"/>
        <v>0</v>
      </c>
      <c r="K28" s="220">
        <f t="shared" si="4"/>
        <v>0</v>
      </c>
    </row>
    <row r="29" spans="1:11" x14ac:dyDescent="0.2">
      <c r="B29" s="232"/>
      <c r="C29" s="232"/>
      <c r="D29" s="232"/>
      <c r="E29" s="232"/>
      <c r="F29" s="232"/>
      <c r="G29" s="232"/>
      <c r="H29" s="232"/>
      <c r="I29" s="232"/>
      <c r="J29" s="232"/>
      <c r="K29" s="232"/>
    </row>
    <row r="30" spans="1:11" x14ac:dyDescent="0.2">
      <c r="A30" s="235" t="s">
        <v>1237</v>
      </c>
      <c r="B30" s="236">
        <v>2010</v>
      </c>
      <c r="C30" s="235" t="s">
        <v>1238</v>
      </c>
      <c r="D30" s="236">
        <v>2010</v>
      </c>
      <c r="E30" s="233"/>
      <c r="F30" s="233"/>
      <c r="G30" s="233"/>
      <c r="H30" s="233"/>
      <c r="I30" s="233"/>
      <c r="J30" s="233"/>
      <c r="K30" s="233"/>
    </row>
    <row r="31" spans="1:11" x14ac:dyDescent="0.2">
      <c r="A31" s="221" t="s">
        <v>701</v>
      </c>
      <c r="B31" s="232">
        <f>B23*$G$9</f>
        <v>4.4372626864011978E-2</v>
      </c>
      <c r="C31" s="221" t="s">
        <v>701</v>
      </c>
      <c r="D31" s="232">
        <f>B23-B31</f>
        <v>7.1000070020198133E-3</v>
      </c>
      <c r="E31" s="232"/>
      <c r="F31" s="232"/>
      <c r="G31" s="232"/>
      <c r="H31" s="232"/>
      <c r="I31" s="232"/>
      <c r="J31" s="232"/>
      <c r="K31" s="232"/>
    </row>
    <row r="32" spans="1:11" x14ac:dyDescent="0.2">
      <c r="A32" s="221" t="s">
        <v>705</v>
      </c>
      <c r="B32" s="232">
        <f>B24*$G$9</f>
        <v>8.1783779474258814E-2</v>
      </c>
      <c r="C32" s="221" t="s">
        <v>705</v>
      </c>
      <c r="D32" s="232">
        <f>B24-B32</f>
        <v>1.308611745476411E-2</v>
      </c>
      <c r="E32" s="232"/>
      <c r="F32" s="232"/>
      <c r="G32" s="232"/>
      <c r="H32" s="232"/>
      <c r="I32" s="232"/>
      <c r="J32" s="232"/>
      <c r="K32" s="232"/>
    </row>
    <row r="33" spans="1:11" x14ac:dyDescent="0.2">
      <c r="A33" s="221" t="s">
        <v>702</v>
      </c>
      <c r="B33" s="232">
        <f>B25*$G$9</f>
        <v>5.0804233953389392E-2</v>
      </c>
      <c r="C33" s="221" t="s">
        <v>702</v>
      </c>
      <c r="D33" s="232">
        <f>B25-B33</f>
        <v>8.1291201872447233E-3</v>
      </c>
      <c r="E33" s="232"/>
      <c r="F33" s="232"/>
      <c r="G33" s="232"/>
      <c r="H33" s="232"/>
      <c r="I33" s="232"/>
      <c r="J33" s="232"/>
      <c r="K33" s="232"/>
    </row>
    <row r="34" spans="1:11" x14ac:dyDescent="0.2">
      <c r="A34" s="221" t="s">
        <v>704</v>
      </c>
      <c r="B34" s="232">
        <f>B26*$G$9</f>
        <v>7.2079938307540406E-2</v>
      </c>
      <c r="C34" s="221" t="s">
        <v>704</v>
      </c>
      <c r="D34" s="232">
        <f>B26-B34</f>
        <v>1.1533418299914944E-2</v>
      </c>
      <c r="E34" s="232"/>
      <c r="F34" s="232"/>
      <c r="G34" s="232"/>
      <c r="H34" s="232"/>
      <c r="I34" s="232"/>
      <c r="J34" s="232"/>
      <c r="K34" s="232"/>
    </row>
    <row r="35" spans="1:11" x14ac:dyDescent="0.2">
      <c r="A35" s="221" t="s">
        <v>703</v>
      </c>
      <c r="B35" s="232">
        <f>B27*$G$9</f>
        <v>1.5015999755952846E-2</v>
      </c>
      <c r="C35" s="221" t="s">
        <v>703</v>
      </c>
      <c r="D35" s="232">
        <f>B27-B35</f>
        <v>2.402690824149992E-3</v>
      </c>
      <c r="E35" s="232"/>
      <c r="F35" s="232"/>
      <c r="G35" s="232"/>
      <c r="H35" s="232"/>
      <c r="I35" s="232"/>
      <c r="J35" s="232"/>
      <c r="K35" s="232"/>
    </row>
    <row r="37" spans="1:11" x14ac:dyDescent="0.2">
      <c r="D37" s="233"/>
      <c r="E37" s="233"/>
      <c r="F37" s="233"/>
      <c r="G37" s="233"/>
      <c r="H37" s="233"/>
      <c r="I37" s="233"/>
      <c r="J37" s="233"/>
      <c r="K37" s="233"/>
    </row>
    <row r="38" spans="1:11" x14ac:dyDescent="0.2">
      <c r="D38" s="232"/>
      <c r="E38" s="232"/>
      <c r="F38" s="232"/>
      <c r="G38" s="232"/>
      <c r="H38" s="232"/>
      <c r="I38" s="232"/>
      <c r="J38" s="232"/>
      <c r="K38" s="232"/>
    </row>
    <row r="39" spans="1:11" x14ac:dyDescent="0.2">
      <c r="D39" s="232"/>
      <c r="E39" s="232"/>
      <c r="F39" s="232"/>
      <c r="G39" s="232"/>
      <c r="H39" s="232"/>
      <c r="I39" s="232"/>
      <c r="J39" s="232"/>
      <c r="K39" s="232"/>
    </row>
    <row r="40" spans="1:11" x14ac:dyDescent="0.2">
      <c r="D40" s="232"/>
      <c r="E40" s="232"/>
      <c r="F40" s="232"/>
      <c r="G40" s="232"/>
      <c r="H40" s="232"/>
      <c r="I40" s="232"/>
      <c r="J40" s="232"/>
      <c r="K40" s="232"/>
    </row>
    <row r="41" spans="1:11" x14ac:dyDescent="0.2">
      <c r="D41" s="232"/>
      <c r="E41" s="232"/>
      <c r="F41" s="232"/>
      <c r="G41" s="232"/>
      <c r="H41" s="232"/>
      <c r="I41" s="232"/>
      <c r="J41" s="232"/>
      <c r="K41" s="232"/>
    </row>
    <row r="42" spans="1:11" x14ac:dyDescent="0.2">
      <c r="D42" s="232"/>
      <c r="E42" s="232"/>
      <c r="F42" s="232"/>
      <c r="G42" s="232"/>
      <c r="H42" s="232"/>
      <c r="I42" s="232"/>
      <c r="J42" s="232"/>
      <c r="K42" s="232"/>
    </row>
  </sheetData>
  <conditionalFormatting sqref="A7">
    <cfRule type="expression" dxfId="7" priority="1">
      <formula>LEFT($A7,1)=""</formula>
    </cfRule>
    <cfRule type="expression" dxfId="6" priority="2">
      <formula>LEFT($A7,1)="*"</formula>
    </cfRule>
  </conditionalFormatting>
  <conditionalFormatting sqref="A9:D10">
    <cfRule type="expression" dxfId="5" priority="3">
      <formula>LEFT(#REF!,1)=""</formula>
    </cfRule>
    <cfRule type="expression" dxfId="4" priority="4">
      <formula>LEFT(#REF!,1)="*"</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68"/>
  <sheetViews>
    <sheetView workbookViewId="0">
      <selection activeCell="C22" sqref="C22"/>
    </sheetView>
  </sheetViews>
  <sheetFormatPr defaultColWidth="9.140625" defaultRowHeight="12.75" x14ac:dyDescent="0.2"/>
  <cols>
    <col min="1" max="1" width="17.5703125" style="181" customWidth="1"/>
    <col min="2" max="2" width="43.28515625" style="181" customWidth="1"/>
    <col min="3" max="3" width="10.85546875" style="181" customWidth="1"/>
    <col min="4" max="4" width="20.42578125" style="181" customWidth="1"/>
    <col min="5" max="5" width="12.42578125" style="181" customWidth="1"/>
    <col min="6" max="6" width="13.7109375" style="181" customWidth="1"/>
    <col min="7" max="9" width="10.85546875" style="181" customWidth="1"/>
    <col min="10" max="12" width="11.7109375" style="181" customWidth="1"/>
    <col min="13" max="14" width="9.42578125" style="181" customWidth="1"/>
    <col min="15" max="17" width="11.7109375" style="181" customWidth="1"/>
    <col min="18" max="18" width="9.140625" style="181"/>
    <col min="19" max="19" width="12.5703125" style="181" customWidth="1"/>
    <col min="20" max="20" width="9.140625" style="181"/>
    <col min="21" max="21" width="9.5703125" style="181" customWidth="1"/>
    <col min="22" max="16384" width="9.140625" style="181"/>
  </cols>
  <sheetData>
    <row r="1" spans="1:23" s="180" customFormat="1" ht="15.75" customHeight="1" x14ac:dyDescent="0.2">
      <c r="A1" s="180" t="s">
        <v>1239</v>
      </c>
      <c r="B1" s="859" t="s">
        <v>1240</v>
      </c>
      <c r="C1" s="859"/>
      <c r="D1" s="180" t="s">
        <v>1129</v>
      </c>
      <c r="E1" s="180">
        <v>1990</v>
      </c>
      <c r="F1" s="180">
        <v>2000</v>
      </c>
      <c r="G1" s="180">
        <v>2005</v>
      </c>
      <c r="H1" s="180">
        <v>2010</v>
      </c>
      <c r="I1" s="180">
        <v>2015</v>
      </c>
      <c r="J1" s="180">
        <v>2020</v>
      </c>
      <c r="K1" s="180">
        <v>2025</v>
      </c>
      <c r="L1" s="180">
        <v>2030</v>
      </c>
      <c r="M1" s="180">
        <v>2035</v>
      </c>
      <c r="N1" s="180">
        <v>2040</v>
      </c>
      <c r="O1" s="180">
        <v>2045</v>
      </c>
      <c r="P1" s="180">
        <v>2050</v>
      </c>
      <c r="Q1" s="180">
        <v>2055</v>
      </c>
    </row>
    <row r="2" spans="1:23" x14ac:dyDescent="0.2">
      <c r="A2" s="181">
        <v>2000</v>
      </c>
      <c r="B2" s="182">
        <v>10.238074536110201</v>
      </c>
      <c r="D2" s="181" t="s">
        <v>701</v>
      </c>
      <c r="E2" s="181">
        <v>1203789</v>
      </c>
      <c r="F2" s="181">
        <v>1332650</v>
      </c>
      <c r="G2" s="181">
        <v>1366086</v>
      </c>
      <c r="H2" s="181">
        <v>1385108</v>
      </c>
      <c r="I2" s="181">
        <v>1455444</v>
      </c>
      <c r="J2" s="181">
        <v>1446788</v>
      </c>
      <c r="K2" s="181">
        <v>1482893</v>
      </c>
      <c r="L2" s="181">
        <v>1518998</v>
      </c>
      <c r="M2" s="181">
        <v>1549121.5</v>
      </c>
      <c r="N2" s="181">
        <v>1579245</v>
      </c>
      <c r="O2" s="181">
        <v>1625954.9772727266</v>
      </c>
      <c r="P2" s="181">
        <v>1660587.6071428563</v>
      </c>
      <c r="Q2" s="181">
        <v>1695220.2370129861</v>
      </c>
      <c r="R2" s="183" t="s">
        <v>1241</v>
      </c>
      <c r="S2" s="183">
        <v>-12538790.639610391</v>
      </c>
      <c r="T2" s="183" t="s">
        <v>1242</v>
      </c>
      <c r="U2" s="183">
        <v>6926.5259740259744</v>
      </c>
      <c r="V2" s="183"/>
      <c r="W2" s="183"/>
    </row>
    <row r="3" spans="1:23" x14ac:dyDescent="0.2">
      <c r="A3" s="181">
        <v>2001</v>
      </c>
      <c r="B3" s="182">
        <v>10.7453939482451</v>
      </c>
      <c r="D3" s="181" t="s">
        <v>705</v>
      </c>
      <c r="E3" s="181">
        <v>2300664</v>
      </c>
      <c r="F3" s="181">
        <v>2465326</v>
      </c>
      <c r="G3" s="181">
        <v>2517052</v>
      </c>
      <c r="H3" s="181">
        <v>2552911</v>
      </c>
      <c r="I3" s="181">
        <v>2636735</v>
      </c>
      <c r="J3" s="181">
        <v>2648452</v>
      </c>
      <c r="K3" s="181">
        <v>2701230.5</v>
      </c>
      <c r="L3" s="181">
        <v>2754009</v>
      </c>
      <c r="M3" s="181">
        <v>2797267</v>
      </c>
      <c r="N3" s="181">
        <v>2840525</v>
      </c>
      <c r="O3" s="181">
        <v>2908244.5075757541</v>
      </c>
      <c r="P3" s="181">
        <v>2959463.6785714254</v>
      </c>
      <c r="Q3" s="181">
        <v>3010682.8495670967</v>
      </c>
      <c r="R3" s="183" t="s">
        <v>1241</v>
      </c>
      <c r="S3" s="183">
        <v>-18040396.429653682</v>
      </c>
      <c r="T3" s="183" t="s">
        <v>1242</v>
      </c>
      <c r="U3" s="183">
        <v>10243.834199134199</v>
      </c>
      <c r="V3" s="183"/>
      <c r="W3" s="183"/>
    </row>
    <row r="4" spans="1:23" x14ac:dyDescent="0.2">
      <c r="A4" s="181">
        <v>2002</v>
      </c>
      <c r="B4" s="182">
        <v>11.1939977430828</v>
      </c>
      <c r="D4" s="181" t="s">
        <v>702</v>
      </c>
      <c r="E4" s="181">
        <v>1487536</v>
      </c>
      <c r="F4" s="181">
        <v>1537195</v>
      </c>
      <c r="G4" s="181">
        <v>1600110</v>
      </c>
      <c r="H4" s="181">
        <v>1585873</v>
      </c>
      <c r="I4" s="181">
        <v>1644518</v>
      </c>
      <c r="J4" s="181">
        <v>1638281</v>
      </c>
      <c r="K4" s="181">
        <v>1657500.5</v>
      </c>
      <c r="L4" s="181">
        <v>1676720</v>
      </c>
      <c r="M4" s="181">
        <v>1684168.5</v>
      </c>
      <c r="N4" s="181">
        <v>1691617</v>
      </c>
      <c r="O4" s="181">
        <v>1733166.166666667</v>
      </c>
      <c r="P4" s="181">
        <v>1753311.5714285718</v>
      </c>
      <c r="Q4" s="181">
        <v>1773456.9761904767</v>
      </c>
      <c r="R4" s="183" t="s">
        <v>1241</v>
      </c>
      <c r="S4" s="183">
        <v>-6506304.3809523787</v>
      </c>
      <c r="T4" s="183" t="s">
        <v>1242</v>
      </c>
      <c r="U4" s="183">
        <v>4029.0809523809517</v>
      </c>
      <c r="V4" s="183"/>
      <c r="W4" s="183"/>
    </row>
    <row r="5" spans="1:23" x14ac:dyDescent="0.2">
      <c r="A5" s="181">
        <v>2003</v>
      </c>
      <c r="B5" s="182">
        <v>11.414712548455499</v>
      </c>
      <c r="D5" s="181" t="s">
        <v>704</v>
      </c>
      <c r="E5" s="181">
        <v>1951598</v>
      </c>
      <c r="F5" s="181">
        <v>2229379</v>
      </c>
      <c r="G5" s="181">
        <v>2254639</v>
      </c>
      <c r="H5" s="181">
        <v>2250002</v>
      </c>
      <c r="I5" s="181">
        <v>2339150</v>
      </c>
      <c r="J5" s="181">
        <v>2330295</v>
      </c>
      <c r="K5" s="181">
        <v>2351923</v>
      </c>
      <c r="L5" s="181">
        <v>2373551</v>
      </c>
      <c r="M5" s="181">
        <v>2393100</v>
      </c>
      <c r="N5" s="181">
        <v>2412649</v>
      </c>
      <c r="O5" s="181">
        <v>2496538.7575757559</v>
      </c>
      <c r="P5" s="181">
        <v>2533665.5714285709</v>
      </c>
      <c r="Q5" s="181">
        <v>2570792.385281384</v>
      </c>
      <c r="R5" s="183" t="s">
        <v>1241</v>
      </c>
      <c r="S5" s="183">
        <v>-12688328.108225113</v>
      </c>
      <c r="T5" s="183" t="s">
        <v>1242</v>
      </c>
      <c r="U5" s="183">
        <v>7425.3627705627723</v>
      </c>
      <c r="V5" s="183"/>
      <c r="W5" s="183"/>
    </row>
    <row r="6" spans="1:23" x14ac:dyDescent="0.2">
      <c r="A6" s="181">
        <v>2004</v>
      </c>
      <c r="B6" s="182">
        <v>13.6080039196054</v>
      </c>
      <c r="D6" s="181" t="s">
        <v>703</v>
      </c>
      <c r="E6" s="181">
        <v>378977</v>
      </c>
      <c r="F6" s="181">
        <v>443728</v>
      </c>
      <c r="G6" s="181">
        <v>468248</v>
      </c>
      <c r="H6" s="181">
        <v>468730</v>
      </c>
      <c r="I6" s="181">
        <v>474558</v>
      </c>
      <c r="J6" s="181">
        <v>487155</v>
      </c>
      <c r="K6" s="181">
        <v>492452</v>
      </c>
      <c r="L6" s="181">
        <v>497749</v>
      </c>
      <c r="M6" s="181">
        <v>499429</v>
      </c>
      <c r="N6" s="181">
        <v>501109</v>
      </c>
      <c r="O6" s="181">
        <v>528935.80303030275</v>
      </c>
      <c r="P6" s="181">
        <v>539243.35714285728</v>
      </c>
      <c r="Q6" s="181">
        <v>549550.9112554118</v>
      </c>
      <c r="R6" s="183" t="s">
        <v>1241</v>
      </c>
      <c r="S6" s="183">
        <v>-3686853.8290043287</v>
      </c>
      <c r="T6" s="183" t="s">
        <v>1242</v>
      </c>
      <c r="U6" s="183">
        <v>2061.5108225108224</v>
      </c>
      <c r="V6" s="183"/>
      <c r="W6" s="183"/>
    </row>
    <row r="7" spans="1:23" x14ac:dyDescent="0.2">
      <c r="A7" s="181">
        <v>2005</v>
      </c>
      <c r="B7" s="182">
        <v>15.3217968663125</v>
      </c>
      <c r="E7" s="181">
        <f>SUM(E2:E6)</f>
        <v>7322564</v>
      </c>
      <c r="F7" s="181">
        <f t="shared" ref="F7:Q7" si="0">SUM(F2:F6)</f>
        <v>8008278</v>
      </c>
      <c r="G7" s="181">
        <f t="shared" si="0"/>
        <v>8206135</v>
      </c>
      <c r="H7" s="181">
        <f t="shared" si="0"/>
        <v>8242624</v>
      </c>
      <c r="I7" s="181">
        <f t="shared" si="0"/>
        <v>8550405</v>
      </c>
      <c r="J7" s="181">
        <f t="shared" si="0"/>
        <v>8550971</v>
      </c>
      <c r="K7" s="181">
        <f t="shared" si="0"/>
        <v>8685999</v>
      </c>
      <c r="L7" s="181">
        <f t="shared" si="0"/>
        <v>8821027</v>
      </c>
      <c r="M7" s="181">
        <f t="shared" si="0"/>
        <v>8923086</v>
      </c>
      <c r="N7" s="181">
        <f t="shared" si="0"/>
        <v>9025145</v>
      </c>
      <c r="O7" s="181">
        <f t="shared" si="0"/>
        <v>9292840.2121212054</v>
      </c>
      <c r="P7" s="181">
        <f t="shared" si="0"/>
        <v>9446271.7857142836</v>
      </c>
      <c r="Q7" s="181">
        <f t="shared" si="0"/>
        <v>9599703.3593073562</v>
      </c>
      <c r="R7" s="183"/>
      <c r="S7" s="183"/>
      <c r="T7" s="183"/>
      <c r="U7" s="183"/>
      <c r="V7" s="183"/>
      <c r="W7" s="183"/>
    </row>
    <row r="8" spans="1:23" x14ac:dyDescent="0.2">
      <c r="A8" s="181">
        <v>2006</v>
      </c>
      <c r="B8" s="182">
        <v>14.724581863129</v>
      </c>
      <c r="R8" s="183"/>
      <c r="S8" s="183"/>
      <c r="T8" s="183"/>
      <c r="U8" s="183"/>
      <c r="V8" s="183"/>
      <c r="W8" s="183"/>
    </row>
    <row r="9" spans="1:23" x14ac:dyDescent="0.2">
      <c r="A9" s="181">
        <v>2007</v>
      </c>
      <c r="B9" s="182">
        <v>14.511776225874801</v>
      </c>
      <c r="R9" s="180"/>
      <c r="S9" s="183"/>
      <c r="T9" s="183"/>
      <c r="U9" s="183"/>
      <c r="V9" s="183"/>
      <c r="W9" s="183"/>
    </row>
    <row r="10" spans="1:23" x14ac:dyDescent="0.2">
      <c r="A10" s="181">
        <v>2008</v>
      </c>
      <c r="B10" s="182">
        <v>13.2617560607711</v>
      </c>
      <c r="R10" s="183"/>
      <c r="S10" s="183"/>
      <c r="T10" s="183"/>
      <c r="U10" s="183"/>
      <c r="V10" s="183"/>
      <c r="W10" s="183"/>
    </row>
    <row r="11" spans="1:23" x14ac:dyDescent="0.2">
      <c r="A11" s="181">
        <v>2009</v>
      </c>
      <c r="B11" s="182">
        <v>12.420408374567</v>
      </c>
      <c r="R11" s="183"/>
      <c r="S11" s="183"/>
      <c r="T11" s="183"/>
      <c r="U11" s="183"/>
      <c r="V11" s="183"/>
      <c r="W11" s="183"/>
    </row>
    <row r="12" spans="1:23" x14ac:dyDescent="0.2">
      <c r="A12" s="181">
        <v>2010</v>
      </c>
      <c r="B12" s="182">
        <v>13.4378839007615</v>
      </c>
      <c r="V12" s="183"/>
      <c r="W12" s="183"/>
    </row>
    <row r="13" spans="1:23" x14ac:dyDescent="0.2">
      <c r="A13" s="181">
        <v>2011</v>
      </c>
      <c r="B13" s="182">
        <v>12.906598720349299</v>
      </c>
    </row>
    <row r="14" spans="1:23" x14ac:dyDescent="0.2">
      <c r="A14" s="181">
        <v>2012</v>
      </c>
      <c r="B14" s="182">
        <v>12.7658383972054</v>
      </c>
    </row>
    <row r="15" spans="1:23" x14ac:dyDescent="0.2">
      <c r="A15" s="181">
        <v>2013</v>
      </c>
      <c r="B15" s="182">
        <v>13.4719470987342</v>
      </c>
    </row>
    <row r="16" spans="1:23" x14ac:dyDescent="0.2">
      <c r="A16" s="181">
        <v>2014</v>
      </c>
      <c r="B16" s="182">
        <v>13.6852566762433</v>
      </c>
    </row>
    <row r="17" spans="1:13" x14ac:dyDescent="0.2">
      <c r="A17" s="181" t="s">
        <v>1243</v>
      </c>
      <c r="B17" s="181">
        <f>0.0005</f>
        <v>5.0000000000000001E-4</v>
      </c>
    </row>
    <row r="18" spans="1:13" x14ac:dyDescent="0.2">
      <c r="A18" s="181" t="s">
        <v>1244</v>
      </c>
    </row>
    <row r="19" spans="1:13" x14ac:dyDescent="0.2">
      <c r="A19" s="181" t="s">
        <v>1245</v>
      </c>
      <c r="B19" s="180">
        <v>2010</v>
      </c>
      <c r="C19" s="180">
        <v>2015</v>
      </c>
      <c r="D19" s="180">
        <v>2020</v>
      </c>
      <c r="E19" s="180">
        <v>2025</v>
      </c>
      <c r="F19" s="180">
        <v>2030</v>
      </c>
      <c r="G19" s="180">
        <v>2035</v>
      </c>
      <c r="H19" s="180">
        <v>2040</v>
      </c>
      <c r="I19" s="180">
        <v>2045</v>
      </c>
      <c r="J19" s="180">
        <v>2050</v>
      </c>
      <c r="K19" s="180">
        <v>2055</v>
      </c>
    </row>
    <row r="20" spans="1:13" x14ac:dyDescent="0.2">
      <c r="A20" s="181" t="s">
        <v>701</v>
      </c>
      <c r="B20" s="184">
        <f>H2*365*$B$12*0.0005</f>
        <v>3396857.990157913</v>
      </c>
      <c r="C20" s="184">
        <f t="shared" ref="C20:K24" si="1">I2*365*$B$12*0.0005</f>
        <v>3569350.9680309356</v>
      </c>
      <c r="D20" s="184">
        <f t="shared" si="1"/>
        <v>3548122.8740752246</v>
      </c>
      <c r="E20" s="184">
        <f t="shared" si="1"/>
        <v>3636667.274753476</v>
      </c>
      <c r="F20" s="184">
        <f t="shared" si="1"/>
        <v>3725211.6754317274</v>
      </c>
      <c r="G20" s="184">
        <f t="shared" si="1"/>
        <v>3799086.962894165</v>
      </c>
      <c r="H20" s="184">
        <f t="shared" si="1"/>
        <v>3872962.2503566029</v>
      </c>
      <c r="I20" s="184">
        <f t="shared" si="1"/>
        <v>3987514.443773258</v>
      </c>
      <c r="J20" s="184">
        <f t="shared" si="1"/>
        <v>4072447.9836088018</v>
      </c>
      <c r="K20" s="184">
        <f t="shared" si="1"/>
        <v>4157381.5234443466</v>
      </c>
    </row>
    <row r="21" spans="1:13" x14ac:dyDescent="0.2">
      <c r="A21" s="181" t="s">
        <v>705</v>
      </c>
      <c r="B21" s="184">
        <f>H3*365*$B$12*0.0005</f>
        <v>6260794.1969232922</v>
      </c>
      <c r="C21" s="184">
        <f>I3*365*$B$12*0.0005</f>
        <v>6466365.3322910741</v>
      </c>
      <c r="D21" s="184">
        <f t="shared" si="1"/>
        <v>6495100.264924976</v>
      </c>
      <c r="E21" s="184">
        <f t="shared" si="1"/>
        <v>6624534.987295758</v>
      </c>
      <c r="F21" s="184">
        <f t="shared" si="1"/>
        <v>6753969.7096665408</v>
      </c>
      <c r="G21" s="184">
        <f t="shared" si="1"/>
        <v>6860056.2263412345</v>
      </c>
      <c r="H21" s="184">
        <f t="shared" si="1"/>
        <v>6966142.7430159273</v>
      </c>
      <c r="I21" s="184">
        <f t="shared" si="1"/>
        <v>7132218.9987290259</v>
      </c>
      <c r="J21" s="184">
        <f t="shared" si="1"/>
        <v>7257829.6011123145</v>
      </c>
      <c r="K21" s="184">
        <f t="shared" si="1"/>
        <v>7383440.2034956012</v>
      </c>
    </row>
    <row r="22" spans="1:13" x14ac:dyDescent="0.2">
      <c r="A22" s="181" t="s">
        <v>702</v>
      </c>
      <c r="B22" s="184">
        <f>H4*365*$B$12*0.0005</f>
        <v>3889216.8491018023</v>
      </c>
      <c r="C22" s="184">
        <f t="shared" si="1"/>
        <v>4033038.6571000316</v>
      </c>
      <c r="D22" s="184">
        <f t="shared" si="1"/>
        <v>4017742.9521552804</v>
      </c>
      <c r="E22" s="184">
        <f t="shared" si="1"/>
        <v>4064877.1194128799</v>
      </c>
      <c r="F22" s="184">
        <f t="shared" si="1"/>
        <v>4112011.2866704804</v>
      </c>
      <c r="G22" s="184">
        <f t="shared" si="1"/>
        <v>4130278.0909483354</v>
      </c>
      <c r="H22" s="184">
        <f t="shared" si="1"/>
        <v>4148544.8952261903</v>
      </c>
      <c r="I22" s="184">
        <f t="shared" si="1"/>
        <v>4250440.6454320019</v>
      </c>
      <c r="J22" s="184">
        <f t="shared" si="1"/>
        <v>4299845.514316191</v>
      </c>
      <c r="K22" s="184">
        <f t="shared" si="1"/>
        <v>4349250.3832003791</v>
      </c>
    </row>
    <row r="23" spans="1:13" x14ac:dyDescent="0.2">
      <c r="A23" s="181" t="s">
        <v>704</v>
      </c>
      <c r="B23" s="184">
        <f>H5*365*$B$12*0.0005</f>
        <v>5517935.9815778155</v>
      </c>
      <c r="C23" s="184">
        <f t="shared" si="1"/>
        <v>5736563.7680800939</v>
      </c>
      <c r="D23" s="184">
        <f t="shared" si="1"/>
        <v>5714847.6437758161</v>
      </c>
      <c r="E23" s="184">
        <f t="shared" si="1"/>
        <v>5767888.4496993516</v>
      </c>
      <c r="F23" s="184">
        <f t="shared" si="1"/>
        <v>5820929.2556228861</v>
      </c>
      <c r="G23" s="184">
        <f t="shared" si="1"/>
        <v>5868871.4932315033</v>
      </c>
      <c r="H23" s="184">
        <f t="shared" si="1"/>
        <v>5916813.7308401205</v>
      </c>
      <c r="I23" s="184">
        <f t="shared" si="1"/>
        <v>6122546.1309949225</v>
      </c>
      <c r="J23" s="184">
        <f t="shared" si="1"/>
        <v>6213596.4420789964</v>
      </c>
      <c r="K23" s="184">
        <f t="shared" si="1"/>
        <v>6304646.7531630658</v>
      </c>
    </row>
    <row r="24" spans="1:13" x14ac:dyDescent="0.2">
      <c r="A24" s="181" t="s">
        <v>703</v>
      </c>
      <c r="B24" s="184">
        <f>H6*365*$B$12*0.0005</f>
        <v>1149519.9260467186</v>
      </c>
      <c r="C24" s="184">
        <f t="shared" si="1"/>
        <v>1163812.5937424076</v>
      </c>
      <c r="D24" s="184">
        <f t="shared" si="1"/>
        <v>1194705.650530773</v>
      </c>
      <c r="E24" s="184">
        <f t="shared" si="1"/>
        <v>1207696.0864923489</v>
      </c>
      <c r="F24" s="184">
        <f t="shared" si="1"/>
        <v>1220686.5224539249</v>
      </c>
      <c r="G24" s="184">
        <f t="shared" si="1"/>
        <v>1224806.5776578982</v>
      </c>
      <c r="H24" s="184">
        <f t="shared" si="1"/>
        <v>1228926.6328618717</v>
      </c>
      <c r="I24" s="184">
        <f t="shared" si="1"/>
        <v>1297169.4689541003</v>
      </c>
      <c r="J24" s="184">
        <f t="shared" si="1"/>
        <v>1322447.857026522</v>
      </c>
      <c r="K24" s="184">
        <f t="shared" si="1"/>
        <v>1347726.2450989438</v>
      </c>
    </row>
    <row r="25" spans="1:13" x14ac:dyDescent="0.2">
      <c r="A25" s="181" t="s">
        <v>696</v>
      </c>
      <c r="B25" s="184">
        <f>SUM(B20:B24)</f>
        <v>20214324.943807539</v>
      </c>
      <c r="C25" s="184">
        <f t="shared" ref="C25:K25" si="2">SUM(C20:C24)</f>
        <v>20969131.319244541</v>
      </c>
      <c r="D25" s="184">
        <f t="shared" si="2"/>
        <v>20970519.385462072</v>
      </c>
      <c r="E25" s="184">
        <f t="shared" si="2"/>
        <v>21301663.917653814</v>
      </c>
      <c r="F25" s="184">
        <f t="shared" si="2"/>
        <v>21632808.44984556</v>
      </c>
      <c r="G25" s="184">
        <f t="shared" si="2"/>
        <v>21883099.351073135</v>
      </c>
      <c r="H25" s="184">
        <f t="shared" si="2"/>
        <v>22133390.252300713</v>
      </c>
      <c r="I25" s="184">
        <f t="shared" si="2"/>
        <v>22789889.68788331</v>
      </c>
      <c r="J25" s="184">
        <f t="shared" si="2"/>
        <v>23166167.398142826</v>
      </c>
      <c r="K25" s="184">
        <f t="shared" si="2"/>
        <v>23542445.108402338</v>
      </c>
    </row>
    <row r="27" spans="1:13" x14ac:dyDescent="0.2">
      <c r="A27" s="185" t="s">
        <v>1190</v>
      </c>
      <c r="B27" s="185" t="s">
        <v>1218</v>
      </c>
      <c r="C27" s="185" t="s">
        <v>1219</v>
      </c>
      <c r="D27" s="185" t="s">
        <v>1143</v>
      </c>
      <c r="E27" s="185" t="s">
        <v>1191</v>
      </c>
      <c r="F27" s="185" t="s">
        <v>165</v>
      </c>
      <c r="G27" s="185" t="s">
        <v>1144</v>
      </c>
      <c r="H27" s="185" t="s">
        <v>1192</v>
      </c>
      <c r="I27" s="185" t="s">
        <v>1193</v>
      </c>
      <c r="J27" s="185" t="s">
        <v>1147</v>
      </c>
    </row>
    <row r="28" spans="1:13" x14ac:dyDescent="0.2">
      <c r="A28" s="181" t="str">
        <f>'2010 GHG'!A8</f>
        <v>solid waste trn rail</v>
      </c>
      <c r="B28" s="181" t="str">
        <f>'2010 GHG'!B8</f>
        <v>solid waste trn rail</v>
      </c>
      <c r="C28" s="181" t="str">
        <f>'2010 GHG'!C8</f>
        <v>TR</v>
      </c>
      <c r="D28" s="181" t="str">
        <f>'2010 GHG'!D8</f>
        <v>transportation</v>
      </c>
      <c r="E28" s="181" t="str">
        <f>'2010 GHG'!E8</f>
        <v>Diesel</v>
      </c>
      <c r="F28" s="181" t="str">
        <f>'2010 GHG'!F8</f>
        <v>liters</v>
      </c>
      <c r="G28" s="205">
        <f>'2010 GHG'!G8</f>
        <v>5671501</v>
      </c>
      <c r="H28" s="205">
        <f>'2010 GHG'!H8</f>
        <v>15443</v>
      </c>
      <c r="I28" s="205">
        <f>'2010 GHG'!I8</f>
        <v>219257</v>
      </c>
      <c r="J28" s="182">
        <f>I28*0.000001</f>
        <v>0.21925699999999998</v>
      </c>
    </row>
    <row r="29" spans="1:13" x14ac:dyDescent="0.2">
      <c r="A29" s="181" t="str">
        <f>'2010 GHG'!A9</f>
        <v>solid waste trn truck</v>
      </c>
      <c r="B29" s="181" t="str">
        <f>'2010 GHG'!B9</f>
        <v>solid waste trn truck</v>
      </c>
      <c r="C29" s="181" t="str">
        <f>'2010 GHG'!C9</f>
        <v>THS</v>
      </c>
      <c r="D29" s="181" t="str">
        <f>'2010 GHG'!D9</f>
        <v>transportation</v>
      </c>
      <c r="E29" s="181" t="str">
        <f>'2010 GHG'!E9</f>
        <v>Diesel</v>
      </c>
      <c r="F29" s="181" t="str">
        <f>'2010 GHG'!F9</f>
        <v>liters</v>
      </c>
      <c r="G29" s="205">
        <f>'2010 GHG'!G9</f>
        <v>28064413</v>
      </c>
      <c r="H29" s="205">
        <f>'2010 GHG'!H9</f>
        <v>75797</v>
      </c>
      <c r="I29" s="205">
        <f>'2010 GHG'!I9</f>
        <v>1080300</v>
      </c>
      <c r="J29" s="182">
        <f>I29*0.000001</f>
        <v>1.0803</v>
      </c>
    </row>
    <row r="31" spans="1:13" x14ac:dyDescent="0.2">
      <c r="A31" s="181" t="s">
        <v>1246</v>
      </c>
      <c r="C31" s="180">
        <v>2010</v>
      </c>
      <c r="D31" s="180">
        <v>2015</v>
      </c>
      <c r="E31" s="180">
        <v>2020</v>
      </c>
      <c r="F31" s="180">
        <v>2025</v>
      </c>
      <c r="G31" s="180">
        <v>2030</v>
      </c>
      <c r="H31" s="180">
        <v>2035</v>
      </c>
      <c r="I31" s="180">
        <v>2040</v>
      </c>
      <c r="J31" s="180">
        <v>2045</v>
      </c>
      <c r="K31" s="180">
        <v>2050</v>
      </c>
      <c r="L31" s="180">
        <v>2055</v>
      </c>
    </row>
    <row r="32" spans="1:13" x14ac:dyDescent="0.2">
      <c r="A32" s="181" t="s">
        <v>1247</v>
      </c>
      <c r="B32" s="186">
        <v>0.32</v>
      </c>
      <c r="C32" s="184">
        <f>B25*$B$32</f>
        <v>6468583.9820184121</v>
      </c>
      <c r="D32" s="184">
        <f t="shared" ref="D32:L32" si="3">C25*$B$32</f>
        <v>6710122.022158253</v>
      </c>
      <c r="E32" s="184">
        <f t="shared" si="3"/>
        <v>6710566.2033478627</v>
      </c>
      <c r="F32" s="184">
        <f t="shared" si="3"/>
        <v>6816532.453649221</v>
      </c>
      <c r="G32" s="184">
        <f t="shared" si="3"/>
        <v>6922498.7039505793</v>
      </c>
      <c r="H32" s="184">
        <f t="shared" si="3"/>
        <v>7002591.7923434032</v>
      </c>
      <c r="I32" s="184">
        <f t="shared" si="3"/>
        <v>7082684.8807362281</v>
      </c>
      <c r="J32" s="184">
        <f t="shared" si="3"/>
        <v>7292764.7001226591</v>
      </c>
      <c r="K32" s="184">
        <f t="shared" si="3"/>
        <v>7413173.5674057044</v>
      </c>
      <c r="L32" s="184">
        <f t="shared" si="3"/>
        <v>7533582.4346887479</v>
      </c>
      <c r="M32" s="184"/>
    </row>
    <row r="33" spans="1:13" x14ac:dyDescent="0.2">
      <c r="A33" s="181" t="s">
        <v>1248</v>
      </c>
      <c r="B33" s="186">
        <f>1-B32</f>
        <v>0.67999999999999994</v>
      </c>
      <c r="C33" s="184">
        <f>B25*$B$33</f>
        <v>13745740.961789126</v>
      </c>
      <c r="D33" s="184">
        <f t="shared" ref="D33:L33" si="4">C25*$B$33</f>
        <v>14259009.297086287</v>
      </c>
      <c r="E33" s="184">
        <f t="shared" si="4"/>
        <v>14259953.182114208</v>
      </c>
      <c r="F33" s="184">
        <f t="shared" si="4"/>
        <v>14485131.464004593</v>
      </c>
      <c r="G33" s="184">
        <f t="shared" si="4"/>
        <v>14710309.74589498</v>
      </c>
      <c r="H33" s="184">
        <f t="shared" si="4"/>
        <v>14880507.558729731</v>
      </c>
      <c r="I33" s="184">
        <f t="shared" si="4"/>
        <v>15050705.371564483</v>
      </c>
      <c r="J33" s="184">
        <f t="shared" si="4"/>
        <v>15497124.98776065</v>
      </c>
      <c r="K33" s="184">
        <f t="shared" si="4"/>
        <v>15752993.83073712</v>
      </c>
      <c r="L33" s="184">
        <f t="shared" si="4"/>
        <v>16008862.673713589</v>
      </c>
      <c r="M33" s="184"/>
    </row>
    <row r="35" spans="1:13" x14ac:dyDescent="0.2">
      <c r="A35" s="181" t="s">
        <v>1249</v>
      </c>
      <c r="C35" s="180">
        <v>2010</v>
      </c>
      <c r="D35" s="180">
        <v>2015</v>
      </c>
      <c r="E35" s="180">
        <v>2020</v>
      </c>
      <c r="F35" s="180">
        <v>2025</v>
      </c>
      <c r="G35" s="180">
        <v>2030</v>
      </c>
      <c r="H35" s="180">
        <v>2035</v>
      </c>
      <c r="I35" s="180">
        <v>2040</v>
      </c>
      <c r="J35" s="180">
        <v>2045</v>
      </c>
      <c r="K35" s="180">
        <v>2050</v>
      </c>
      <c r="L35" s="180">
        <v>2055</v>
      </c>
    </row>
    <row r="36" spans="1:13" x14ac:dyDescent="0.2">
      <c r="A36" s="181" t="str">
        <f>A32</f>
        <v xml:space="preserve">Rail </v>
      </c>
      <c r="B36" s="186">
        <f>B32</f>
        <v>0.32</v>
      </c>
      <c r="C36" s="184"/>
      <c r="D36" s="187">
        <f t="shared" ref="D36:L37" si="5">D32/C32</f>
        <v>1.0373401722558255</v>
      </c>
      <c r="E36" s="187">
        <f t="shared" si="5"/>
        <v>1.0000661956948238</v>
      </c>
      <c r="F36" s="187">
        <f t="shared" si="5"/>
        <v>1.0157909552026314</v>
      </c>
      <c r="G36" s="187">
        <f t="shared" si="5"/>
        <v>1.0155454772674968</v>
      </c>
      <c r="H36" s="187">
        <f t="shared" si="5"/>
        <v>1.0115699679867207</v>
      </c>
      <c r="I36" s="187">
        <f t="shared" si="5"/>
        <v>1.0114376349168888</v>
      </c>
      <c r="J36" s="187">
        <f t="shared" si="5"/>
        <v>1.0296610428000001</v>
      </c>
      <c r="K36" s="187">
        <f t="shared" si="5"/>
        <v>1.0165107297759135</v>
      </c>
      <c r="L36" s="187">
        <f t="shared" si="5"/>
        <v>1.0162425533664095</v>
      </c>
      <c r="M36" s="184"/>
    </row>
    <row r="37" spans="1:13" x14ac:dyDescent="0.2">
      <c r="A37" s="181" t="str">
        <f>A33</f>
        <v xml:space="preserve">Truck </v>
      </c>
      <c r="B37" s="186">
        <f>B33</f>
        <v>0.67999999999999994</v>
      </c>
      <c r="C37" s="184"/>
      <c r="D37" s="187">
        <f t="shared" si="5"/>
        <v>1.0373401722558255</v>
      </c>
      <c r="E37" s="187">
        <f t="shared" si="5"/>
        <v>1.0000661956948238</v>
      </c>
      <c r="F37" s="187">
        <f t="shared" si="5"/>
        <v>1.0157909552026312</v>
      </c>
      <c r="G37" s="187">
        <f t="shared" si="5"/>
        <v>1.0155454772674968</v>
      </c>
      <c r="H37" s="187">
        <f t="shared" si="5"/>
        <v>1.0115699679867207</v>
      </c>
      <c r="I37" s="187">
        <f t="shared" si="5"/>
        <v>1.0114376349168888</v>
      </c>
      <c r="J37" s="187">
        <f t="shared" si="5"/>
        <v>1.0296610428000001</v>
      </c>
      <c r="K37" s="187">
        <f t="shared" si="5"/>
        <v>1.0165107297759133</v>
      </c>
      <c r="L37" s="187">
        <f t="shared" si="5"/>
        <v>1.0162425533664097</v>
      </c>
      <c r="M37" s="184"/>
    </row>
    <row r="39" spans="1:13" x14ac:dyDescent="0.2">
      <c r="A39" s="176" t="s">
        <v>106</v>
      </c>
      <c r="B39" s="176" t="s">
        <v>107</v>
      </c>
      <c r="C39" s="176" t="s">
        <v>104</v>
      </c>
      <c r="D39" s="188"/>
    </row>
    <row r="40" spans="1:13" x14ac:dyDescent="0.2">
      <c r="C40" s="188"/>
      <c r="D40" s="188"/>
    </row>
    <row r="41" spans="1:13" x14ac:dyDescent="0.2">
      <c r="A41" s="181" t="s">
        <v>158</v>
      </c>
      <c r="B41" s="181" t="s">
        <v>159</v>
      </c>
      <c r="C41" s="188" t="s">
        <v>1224</v>
      </c>
      <c r="D41" s="188" t="s">
        <v>1250</v>
      </c>
      <c r="E41" s="181" t="s">
        <v>1251</v>
      </c>
      <c r="F41" s="181" t="s">
        <v>1252</v>
      </c>
    </row>
    <row r="42" spans="1:13" x14ac:dyDescent="0.2">
      <c r="A42" s="181" t="str">
        <f>TechData!B32</f>
        <v>TRFDSLE2</v>
      </c>
      <c r="B42" s="181" t="str">
        <f>TechData!C32</f>
        <v>Rail Freight, Diesel Existing-MSW</v>
      </c>
      <c r="C42" s="188">
        <f>TechData!K32</f>
        <v>2.7635668727577114</v>
      </c>
      <c r="D42" s="189">
        <f>J28</f>
        <v>0.21925699999999998</v>
      </c>
      <c r="E42" s="181">
        <f>C42*D42</f>
        <v>0.60593138182023742</v>
      </c>
      <c r="F42" s="181">
        <f>E42/C32</f>
        <v>9.3672955859369827E-8</v>
      </c>
    </row>
    <row r="43" spans="1:13" x14ac:dyDescent="0.2">
      <c r="C43" s="188"/>
      <c r="D43" s="188"/>
    </row>
    <row r="44" spans="1:13" x14ac:dyDescent="0.2">
      <c r="A44" s="190" t="s">
        <v>1253</v>
      </c>
      <c r="B44" s="190"/>
      <c r="C44" s="191">
        <v>2010</v>
      </c>
      <c r="D44" s="191">
        <v>2015</v>
      </c>
      <c r="E44" s="191">
        <v>2020</v>
      </c>
      <c r="F44" s="191">
        <v>2025</v>
      </c>
      <c r="G44" s="191">
        <v>2030</v>
      </c>
      <c r="H44" s="191">
        <v>2035</v>
      </c>
      <c r="I44" s="191">
        <v>2040</v>
      </c>
      <c r="J44" s="191">
        <v>2045</v>
      </c>
      <c r="K44" s="191">
        <v>2050</v>
      </c>
      <c r="L44" s="191">
        <v>2055</v>
      </c>
    </row>
    <row r="45" spans="1:13" x14ac:dyDescent="0.2">
      <c r="A45" s="181" t="str">
        <f>A36</f>
        <v xml:space="preserve">Rail </v>
      </c>
      <c r="C45" s="192">
        <f>E42</f>
        <v>0.60593138182023742</v>
      </c>
      <c r="D45" s="192">
        <f>D32*$F$42</f>
        <v>0.6285569639926154</v>
      </c>
      <c r="E45" s="192">
        <f t="shared" ref="E45:K45" si="6">E32*$F$42</f>
        <v>0.62859857175758327</v>
      </c>
      <c r="F45" s="192">
        <f t="shared" si="6"/>
        <v>0.6385247436446454</v>
      </c>
      <c r="G45" s="192">
        <f t="shared" si="6"/>
        <v>0.64845091553170742</v>
      </c>
      <c r="H45" s="192">
        <f t="shared" si="6"/>
        <v>0.65595347186536901</v>
      </c>
      <c r="I45" s="192">
        <f t="shared" si="6"/>
        <v>0.66345602819903071</v>
      </c>
      <c r="J45" s="192">
        <f t="shared" si="6"/>
        <v>0.68313482584736029</v>
      </c>
      <c r="K45" s="192">
        <f t="shared" si="6"/>
        <v>0.69441388035744167</v>
      </c>
      <c r="L45" s="192">
        <f>L32*$F$42</f>
        <v>0.70569293486752294</v>
      </c>
    </row>
    <row r="46" spans="1:13" x14ac:dyDescent="0.2">
      <c r="A46" s="181" t="s">
        <v>701</v>
      </c>
      <c r="C46" s="187">
        <f>(E$2/E$7)*C45</f>
        <v>9.9611766068552196E-2</v>
      </c>
      <c r="D46" s="187">
        <f t="shared" ref="D46:L46" si="7">(F$2/F$7)*D45</f>
        <v>0.10459757242003323</v>
      </c>
      <c r="E46" s="187">
        <f t="shared" si="7"/>
        <v>0.10464362437347545</v>
      </c>
      <c r="F46" s="187">
        <f t="shared" si="7"/>
        <v>0.10729905071736227</v>
      </c>
      <c r="G46" s="187">
        <f t="shared" si="7"/>
        <v>0.11037886442865927</v>
      </c>
      <c r="H46" s="187">
        <f t="shared" si="7"/>
        <v>0.11098454335222906</v>
      </c>
      <c r="I46" s="187">
        <f t="shared" si="7"/>
        <v>0.11326668354718269</v>
      </c>
      <c r="J46" s="187">
        <f t="shared" si="7"/>
        <v>0.11763714522044752</v>
      </c>
      <c r="K46" s="187">
        <f t="shared" si="7"/>
        <v>0.12055599060237014</v>
      </c>
      <c r="L46" s="187">
        <f t="shared" si="7"/>
        <v>0.12348411454052663</v>
      </c>
    </row>
    <row r="47" spans="1:13" x14ac:dyDescent="0.2">
      <c r="A47" s="181" t="s">
        <v>705</v>
      </c>
      <c r="C47" s="187">
        <f>(E$3/E$7)*C45</f>
        <v>0.19037655616585591</v>
      </c>
      <c r="D47" s="187">
        <f t="shared" ref="D47:L47" si="8">(F$3/F$7)*D45</f>
        <v>0.19349950461410786</v>
      </c>
      <c r="E47" s="187">
        <f t="shared" si="8"/>
        <v>0.19280883049566799</v>
      </c>
      <c r="F47" s="187">
        <f t="shared" si="8"/>
        <v>0.19776430925668759</v>
      </c>
      <c r="G47" s="187">
        <f t="shared" si="8"/>
        <v>0.19996634367196603</v>
      </c>
      <c r="H47" s="187">
        <f t="shared" si="8"/>
        <v>0.20316538138987725</v>
      </c>
      <c r="I47" s="187">
        <f t="shared" si="8"/>
        <v>0.20632602637648031</v>
      </c>
      <c r="J47" s="187">
        <f t="shared" si="8"/>
        <v>0.21328122661874435</v>
      </c>
      <c r="K47" s="187">
        <f t="shared" si="8"/>
        <v>0.21768937695611359</v>
      </c>
      <c r="L47" s="187">
        <f t="shared" si="8"/>
        <v>0.22210595218299212</v>
      </c>
    </row>
    <row r="48" spans="1:13" x14ac:dyDescent="0.2">
      <c r="A48" s="181" t="s">
        <v>702</v>
      </c>
      <c r="C48" s="187">
        <f>(E$4/E$7)*C45</f>
        <v>0.12309141224130628</v>
      </c>
      <c r="D48" s="187">
        <f t="shared" ref="D48:L48" si="9">(F$4/F$7)*D45</f>
        <v>0.1206519831435208</v>
      </c>
      <c r="E48" s="187">
        <f t="shared" si="9"/>
        <v>0.12257010890693688</v>
      </c>
      <c r="F48" s="187">
        <f t="shared" si="9"/>
        <v>0.12285155197883159</v>
      </c>
      <c r="G48" s="187">
        <f t="shared" si="9"/>
        <v>0.12471797566412028</v>
      </c>
      <c r="H48" s="187">
        <f t="shared" si="9"/>
        <v>0.12567416143044674</v>
      </c>
      <c r="I48" s="187">
        <f t="shared" si="9"/>
        <v>0.1266035948735324</v>
      </c>
      <c r="J48" s="187">
        <f t="shared" si="9"/>
        <v>0.12985175367843063</v>
      </c>
      <c r="K48" s="187">
        <f t="shared" si="9"/>
        <v>0.1310656406607279</v>
      </c>
      <c r="L48" s="187">
        <f t="shared" si="9"/>
        <v>0.13227069098632702</v>
      </c>
    </row>
    <row r="49" spans="1:12" x14ac:dyDescent="0.2">
      <c r="A49" s="181" t="s">
        <v>704</v>
      </c>
      <c r="C49" s="187">
        <f>(E$5/E$7)*C45</f>
        <v>0.16149185898513302</v>
      </c>
      <c r="D49" s="187">
        <f t="shared" ref="D49:L49" si="10">(F$5/F$7)*D45</f>
        <v>0.17498040100866791</v>
      </c>
      <c r="E49" s="187">
        <f t="shared" si="10"/>
        <v>0.17270771870423113</v>
      </c>
      <c r="F49" s="187">
        <f t="shared" si="10"/>
        <v>0.17429910065653115</v>
      </c>
      <c r="G49" s="187">
        <f t="shared" si="10"/>
        <v>0.17739790794307325</v>
      </c>
      <c r="H49" s="187">
        <f t="shared" si="10"/>
        <v>0.17875924216331807</v>
      </c>
      <c r="I49" s="187">
        <f t="shared" si="10"/>
        <v>0.17964513836692231</v>
      </c>
      <c r="J49" s="187">
        <f t="shared" si="10"/>
        <v>0.18381707130301583</v>
      </c>
      <c r="K49" s="187">
        <f t="shared" si="10"/>
        <v>0.18623622557077155</v>
      </c>
      <c r="L49" s="187">
        <f t="shared" si="10"/>
        <v>0.18864952902310092</v>
      </c>
    </row>
    <row r="50" spans="1:12" x14ac:dyDescent="0.2">
      <c r="A50" s="181" t="s">
        <v>703</v>
      </c>
      <c r="C50" s="187">
        <f>(E$6/E$7)*C45</f>
        <v>3.1359788359389976E-2</v>
      </c>
      <c r="D50" s="187">
        <f t="shared" ref="D50:L50" si="11">(F$6/F$7)*D45</f>
        <v>3.4827502806285604E-2</v>
      </c>
      <c r="E50" s="187">
        <f t="shared" si="11"/>
        <v>3.58682892772718E-2</v>
      </c>
      <c r="F50" s="187">
        <f t="shared" si="11"/>
        <v>3.6310731035232788E-2</v>
      </c>
      <c r="G50" s="187">
        <f t="shared" si="11"/>
        <v>3.598982382388858E-2</v>
      </c>
      <c r="H50" s="187">
        <f t="shared" si="11"/>
        <v>3.7370143529497857E-2</v>
      </c>
      <c r="I50" s="187">
        <f t="shared" si="11"/>
        <v>3.7614585034912974E-2</v>
      </c>
      <c r="J50" s="187">
        <f t="shared" si="11"/>
        <v>3.8547629026721916E-2</v>
      </c>
      <c r="K50" s="187">
        <f t="shared" si="11"/>
        <v>3.8866646567458474E-2</v>
      </c>
      <c r="L50" s="187">
        <f t="shared" si="11"/>
        <v>3.9182648134576177E-2</v>
      </c>
    </row>
    <row r="51" spans="1:12" x14ac:dyDescent="0.2">
      <c r="C51" s="187">
        <f>SUM(C46:C50)-C45</f>
        <v>0</v>
      </c>
      <c r="D51" s="187">
        <f t="shared" ref="D51:L51" si="12">SUM(D46:D50)-D45</f>
        <v>0</v>
      </c>
      <c r="E51" s="187">
        <f t="shared" si="12"/>
        <v>0</v>
      </c>
      <c r="F51" s="187">
        <f t="shared" si="12"/>
        <v>0</v>
      </c>
      <c r="G51" s="187">
        <f t="shared" si="12"/>
        <v>0</v>
      </c>
      <c r="H51" s="187">
        <f t="shared" si="12"/>
        <v>0</v>
      </c>
      <c r="I51" s="187">
        <f t="shared" si="12"/>
        <v>0</v>
      </c>
      <c r="J51" s="187">
        <f t="shared" si="12"/>
        <v>0</v>
      </c>
      <c r="K51" s="187">
        <f t="shared" si="12"/>
        <v>0</v>
      </c>
      <c r="L51" s="187">
        <f t="shared" si="12"/>
        <v>0</v>
      </c>
    </row>
    <row r="54" spans="1:12" x14ac:dyDescent="0.2">
      <c r="A54" s="176" t="s">
        <v>98</v>
      </c>
      <c r="B54" s="176" t="s">
        <v>1254</v>
      </c>
      <c r="C54" s="176" t="s">
        <v>95</v>
      </c>
      <c r="D54" s="188"/>
    </row>
    <row r="55" spans="1:12" x14ac:dyDescent="0.2">
      <c r="C55" s="188"/>
      <c r="D55" s="188"/>
    </row>
    <row r="56" spans="1:12" x14ac:dyDescent="0.2">
      <c r="A56" s="181" t="s">
        <v>158</v>
      </c>
      <c r="B56" s="181" t="s">
        <v>159</v>
      </c>
      <c r="C56" s="188" t="s">
        <v>1224</v>
      </c>
      <c r="D56" s="188" t="s">
        <v>1250</v>
      </c>
      <c r="E56" s="181" t="s">
        <v>1255</v>
      </c>
    </row>
    <row r="57" spans="1:12" x14ac:dyDescent="0.2">
      <c r="A57" s="181" t="str">
        <f>TechData!B25</f>
        <v>THSDSLE2</v>
      </c>
      <c r="B57" s="181" t="str">
        <f>TechData!C25</f>
        <v>Heavy Truck, Short Haul, Diesel exisiting MSW</v>
      </c>
      <c r="C57" s="188">
        <f>TechData!K25</f>
        <v>3.9439301070208731E-2</v>
      </c>
      <c r="D57" s="189">
        <f>J29</f>
        <v>1.0803</v>
      </c>
      <c r="E57" s="181">
        <f>C57*D57</f>
        <v>4.2606276946146493E-2</v>
      </c>
    </row>
    <row r="58" spans="1:12" x14ac:dyDescent="0.2">
      <c r="C58" s="188"/>
      <c r="D58" s="188"/>
    </row>
    <row r="59" spans="1:12" x14ac:dyDescent="0.2">
      <c r="A59" s="190" t="s">
        <v>1256</v>
      </c>
      <c r="B59" s="190"/>
      <c r="C59" s="191">
        <v>2010</v>
      </c>
      <c r="D59" s="191">
        <v>2015</v>
      </c>
      <c r="E59" s="191">
        <v>2020</v>
      </c>
      <c r="F59" s="191">
        <v>2025</v>
      </c>
      <c r="G59" s="191">
        <v>2030</v>
      </c>
      <c r="H59" s="191">
        <v>2035</v>
      </c>
      <c r="I59" s="191">
        <v>2040</v>
      </c>
      <c r="J59" s="191">
        <v>2045</v>
      </c>
      <c r="K59" s="191">
        <v>2050</v>
      </c>
      <c r="L59" s="191">
        <v>2055</v>
      </c>
    </row>
    <row r="60" spans="1:12" x14ac:dyDescent="0.2">
      <c r="C60" s="192">
        <f>E57</f>
        <v>4.2606276946146493E-2</v>
      </c>
      <c r="D60" s="192">
        <f>C60*$D$37</f>
        <v>4.419720266649501E-2</v>
      </c>
      <c r="E60" s="192">
        <f t="shared" ref="E60:L60" si="13">D60*$D$37</f>
        <v>4.5847533827287568E-2</v>
      </c>
      <c r="F60" s="192">
        <f t="shared" si="13"/>
        <v>4.7559488637903276E-2</v>
      </c>
      <c r="G60" s="192">
        <f t="shared" si="13"/>
        <v>4.9335368136041564E-2</v>
      </c>
      <c r="H60" s="192">
        <f t="shared" si="13"/>
        <v>5.1177559280545924E-2</v>
      </c>
      <c r="I60" s="192">
        <f t="shared" si="13"/>
        <v>5.3088538159714233E-2</v>
      </c>
      <c r="J60" s="192">
        <f t="shared" si="13"/>
        <v>5.507087331940793E-2</v>
      </c>
      <c r="K60" s="192">
        <f t="shared" si="13"/>
        <v>5.7127229215433367E-2</v>
      </c>
      <c r="L60" s="192">
        <f t="shared" si="13"/>
        <v>5.9260369794835677E-2</v>
      </c>
    </row>
    <row r="61" spans="1:12" x14ac:dyDescent="0.2">
      <c r="A61" s="181" t="s">
        <v>701</v>
      </c>
      <c r="C61" s="187">
        <f>(E$2/E$7)*C60</f>
        <v>7.0042361553582519E-3</v>
      </c>
      <c r="D61" s="187">
        <f t="shared" ref="D61:L61" si="14">(F$2/F$7)*D60</f>
        <v>7.3548148719992709E-3</v>
      </c>
      <c r="E61" s="187">
        <f t="shared" si="14"/>
        <v>7.6322987735375995E-3</v>
      </c>
      <c r="F61" s="187">
        <f t="shared" si="14"/>
        <v>7.9919972314967825E-3</v>
      </c>
      <c r="G61" s="187">
        <f t="shared" si="14"/>
        <v>8.3978320958355626E-3</v>
      </c>
      <c r="H61" s="187">
        <f t="shared" si="14"/>
        <v>8.6590258154755143E-3</v>
      </c>
      <c r="I61" s="187">
        <f t="shared" si="14"/>
        <v>9.0633928943893646E-3</v>
      </c>
      <c r="J61" s="187">
        <f t="shared" si="14"/>
        <v>9.4833114591344071E-3</v>
      </c>
      <c r="K61" s="187">
        <f t="shared" si="14"/>
        <v>9.9177592833976907E-3</v>
      </c>
      <c r="L61" s="187">
        <f t="shared" si="14"/>
        <v>1.0369544500021359E-2</v>
      </c>
    </row>
    <row r="62" spans="1:12" x14ac:dyDescent="0.2">
      <c r="A62" s="181" t="s">
        <v>705</v>
      </c>
      <c r="C62" s="187">
        <f>(E$3/E$7)*C60</f>
        <v>1.3386394102397626E-2</v>
      </c>
      <c r="D62" s="187">
        <f t="shared" ref="D62:L62" si="15">(F$3/F$7)*D60</f>
        <v>1.3605985314318442E-2</v>
      </c>
      <c r="E62" s="187">
        <f t="shared" si="15"/>
        <v>1.4062725840489078E-2</v>
      </c>
      <c r="F62" s="187">
        <f t="shared" si="15"/>
        <v>1.4730156525164594E-2</v>
      </c>
      <c r="G62" s="187">
        <f t="shared" si="15"/>
        <v>1.5213816410121574E-2</v>
      </c>
      <c r="H62" s="187">
        <f t="shared" si="15"/>
        <v>1.5850984552711077E-2</v>
      </c>
      <c r="I62" s="187">
        <f t="shared" si="15"/>
        <v>1.6509831336318823E-2</v>
      </c>
      <c r="J62" s="187">
        <f t="shared" si="15"/>
        <v>1.7193653387469431E-2</v>
      </c>
      <c r="K62" s="187">
        <f t="shared" si="15"/>
        <v>1.7908615145675797E-2</v>
      </c>
      <c r="L62" s="187">
        <f t="shared" si="15"/>
        <v>1.8651286146812666E-2</v>
      </c>
    </row>
    <row r="63" spans="1:12" x14ac:dyDescent="0.2">
      <c r="A63" s="181" t="s">
        <v>702</v>
      </c>
      <c r="C63" s="187">
        <f>(E$4/E$7)*C60</f>
        <v>8.6552156844737667E-3</v>
      </c>
      <c r="D63" s="187">
        <f t="shared" ref="D63:L63" si="16">(F$4/F$7)*D60</f>
        <v>8.4836863746391919E-3</v>
      </c>
      <c r="E63" s="187">
        <f t="shared" si="16"/>
        <v>8.9397868000442478E-3</v>
      </c>
      <c r="F63" s="187">
        <f t="shared" si="16"/>
        <v>9.1504002760113261E-3</v>
      </c>
      <c r="G63" s="187">
        <f t="shared" si="16"/>
        <v>9.488778711224416E-3</v>
      </c>
      <c r="H63" s="187">
        <f t="shared" si="16"/>
        <v>9.8051113722280262E-3</v>
      </c>
      <c r="I63" s="187">
        <f t="shared" si="16"/>
        <v>1.0130588150424081E-2</v>
      </c>
      <c r="J63" s="187">
        <f t="shared" si="16"/>
        <v>1.046799139285229E-2</v>
      </c>
      <c r="K63" s="187">
        <f t="shared" si="16"/>
        <v>1.0782354886741268E-2</v>
      </c>
      <c r="L63" s="187">
        <f t="shared" si="16"/>
        <v>1.1107394836451994E-2</v>
      </c>
    </row>
    <row r="64" spans="1:12" x14ac:dyDescent="0.2">
      <c r="A64" s="181" t="s">
        <v>704</v>
      </c>
      <c r="C64" s="187">
        <f>(E$5/E$7)*C60</f>
        <v>1.1355356522052331E-2</v>
      </c>
      <c r="D64" s="187">
        <f t="shared" ref="D64:L64" si="17">(F$5/F$7)*D60</f>
        <v>1.2303808070028037E-2</v>
      </c>
      <c r="E64" s="187">
        <f t="shared" si="17"/>
        <v>1.2596628963674351E-2</v>
      </c>
      <c r="F64" s="187">
        <f t="shared" si="17"/>
        <v>1.2982388199954243E-2</v>
      </c>
      <c r="G64" s="187">
        <f t="shared" si="17"/>
        <v>1.3496767273061525E-2</v>
      </c>
      <c r="H64" s="187">
        <f t="shared" si="17"/>
        <v>1.3946814987872109E-2</v>
      </c>
      <c r="I64" s="187">
        <f t="shared" si="17"/>
        <v>1.4374875467313497E-2</v>
      </c>
      <c r="J64" s="187">
        <f t="shared" si="17"/>
        <v>1.481840226066126E-2</v>
      </c>
      <c r="K64" s="187">
        <f t="shared" si="17"/>
        <v>1.5321064061856357E-2</v>
      </c>
      <c r="L64" s="187">
        <f t="shared" si="17"/>
        <v>1.5841792228838483E-2</v>
      </c>
    </row>
    <row r="65" spans="1:16" x14ac:dyDescent="0.2">
      <c r="A65" s="181" t="s">
        <v>703</v>
      </c>
      <c r="C65" s="187">
        <f>(E$6/E$7)*C60</f>
        <v>2.2050744818645162E-3</v>
      </c>
      <c r="D65" s="187">
        <f t="shared" ref="D65:L65" si="18">(F$6/F$7)*D60</f>
        <v>2.4489080355100681E-3</v>
      </c>
      <c r="E65" s="187">
        <f t="shared" si="18"/>
        <v>2.6160934495422935E-3</v>
      </c>
      <c r="F65" s="187">
        <f t="shared" si="18"/>
        <v>2.7045464052763298E-3</v>
      </c>
      <c r="G65" s="187">
        <f t="shared" si="18"/>
        <v>2.7381736457984872E-3</v>
      </c>
      <c r="H65" s="187">
        <f t="shared" si="18"/>
        <v>2.9156225522591938E-3</v>
      </c>
      <c r="I65" s="187">
        <f t="shared" si="18"/>
        <v>3.0098503112684668E-3</v>
      </c>
      <c r="J65" s="187">
        <f t="shared" si="18"/>
        <v>3.1075148192905404E-3</v>
      </c>
      <c r="K65" s="187">
        <f t="shared" si="18"/>
        <v>3.1974358377622578E-3</v>
      </c>
      <c r="L65" s="187">
        <f t="shared" si="18"/>
        <v>3.2903520827111707E-3</v>
      </c>
    </row>
    <row r="66" spans="1:16" x14ac:dyDescent="0.2">
      <c r="B66" s="193"/>
      <c r="C66" s="194">
        <f>SUM(C61:C65)-C60</f>
        <v>0</v>
      </c>
      <c r="D66" s="194">
        <f>SUM(D61:D65)-D60</f>
        <v>0</v>
      </c>
      <c r="E66" s="194">
        <f>SUM(E61:E65)-E60</f>
        <v>0</v>
      </c>
      <c r="F66" s="194">
        <f t="shared" ref="F66:L66" si="19">SUM(F61:F65)-F60</f>
        <v>0</v>
      </c>
      <c r="G66" s="194">
        <f t="shared" si="19"/>
        <v>0</v>
      </c>
      <c r="H66" s="194">
        <f t="shared" si="19"/>
        <v>0</v>
      </c>
      <c r="I66" s="194">
        <f t="shared" si="19"/>
        <v>0</v>
      </c>
      <c r="J66" s="194">
        <f t="shared" si="19"/>
        <v>0</v>
      </c>
      <c r="K66" s="194">
        <f t="shared" si="19"/>
        <v>0</v>
      </c>
      <c r="L66" s="194">
        <f t="shared" si="19"/>
        <v>0</v>
      </c>
      <c r="M66" s="193"/>
      <c r="N66" s="195"/>
      <c r="O66" s="195"/>
      <c r="P66" s="195"/>
    </row>
    <row r="68" spans="1:16" x14ac:dyDescent="0.2">
      <c r="C68" s="196"/>
      <c r="D68" s="196"/>
    </row>
  </sheetData>
  <mergeCells count="1">
    <mergeCell ref="B1:C1"/>
  </mergeCells>
  <conditionalFormatting sqref="A39:C39">
    <cfRule type="expression" dxfId="3" priority="3">
      <formula>LEFT($A39,1)=""</formula>
    </cfRule>
    <cfRule type="expression" dxfId="2" priority="4">
      <formula>LEFT($A39,1)="*"</formula>
    </cfRule>
  </conditionalFormatting>
  <conditionalFormatting sqref="A54:C54">
    <cfRule type="expression" dxfId="1" priority="1">
      <formula>LEFT($A54,1)=""</formula>
    </cfRule>
    <cfRule type="expression" dxfId="0" priority="2">
      <formula>LEFT($A54,1)="*"</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0" tint="-0.34998626667073579"/>
  </sheetPr>
  <dimension ref="A1:X73"/>
  <sheetViews>
    <sheetView topLeftCell="A4" workbookViewId="0">
      <selection activeCell="AA40" sqref="AA40"/>
    </sheetView>
  </sheetViews>
  <sheetFormatPr defaultRowHeight="12.75" x14ac:dyDescent="0.2"/>
  <cols>
    <col min="1" max="1" width="9.140625" style="12"/>
    <col min="2" max="2" width="23.28515625" style="12" customWidth="1"/>
    <col min="3" max="3" width="31.85546875" customWidth="1"/>
    <col min="8" max="8" width="11.42578125" customWidth="1"/>
    <col min="9" max="9" width="11.7109375" customWidth="1"/>
    <col min="15" max="15" width="12.140625" customWidth="1"/>
    <col min="16" max="16" width="12" customWidth="1"/>
    <col min="19" max="19" width="12" customWidth="1"/>
  </cols>
  <sheetData>
    <row r="1" spans="1:24" x14ac:dyDescent="0.2">
      <c r="A1" s="66"/>
      <c r="B1" s="66"/>
      <c r="C1" s="123" t="s">
        <v>1257</v>
      </c>
      <c r="D1" s="67"/>
      <c r="E1" s="67"/>
      <c r="F1" s="67"/>
      <c r="G1" s="67"/>
      <c r="H1" s="67"/>
      <c r="I1" s="67"/>
      <c r="J1" s="67"/>
      <c r="K1" s="67"/>
      <c r="L1" s="67"/>
      <c r="M1" s="63"/>
      <c r="N1" s="63" t="s">
        <v>1258</v>
      </c>
      <c r="O1" s="63"/>
      <c r="P1" s="63"/>
      <c r="Q1" s="63"/>
      <c r="R1" s="63"/>
      <c r="S1" s="63"/>
      <c r="T1" s="63"/>
      <c r="U1" s="63"/>
      <c r="V1" s="63"/>
      <c r="W1" s="63"/>
      <c r="X1" s="63"/>
    </row>
    <row r="3" spans="1:24" x14ac:dyDescent="0.2">
      <c r="C3" s="42" t="s">
        <v>1259</v>
      </c>
      <c r="D3" s="44"/>
      <c r="E3" s="31" t="s">
        <v>1260</v>
      </c>
      <c r="F3" s="77" t="s">
        <v>1261</v>
      </c>
      <c r="G3" s="44"/>
      <c r="H3" s="12"/>
      <c r="I3" s="12"/>
      <c r="J3" s="12"/>
    </row>
    <row r="4" spans="1:24" x14ac:dyDescent="0.2">
      <c r="C4" s="42" t="s">
        <v>682</v>
      </c>
      <c r="D4" s="42" t="s">
        <v>495</v>
      </c>
      <c r="E4" s="28" t="s">
        <v>1262</v>
      </c>
      <c r="F4" s="70" t="s">
        <v>1050</v>
      </c>
      <c r="G4" s="70" t="s">
        <v>474</v>
      </c>
      <c r="H4" s="28" t="s">
        <v>476</v>
      </c>
      <c r="I4" s="28" t="s">
        <v>477</v>
      </c>
      <c r="J4" s="28" t="s">
        <v>475</v>
      </c>
    </row>
    <row r="5" spans="1:24" ht="23.25" customHeight="1" x14ac:dyDescent="0.2">
      <c r="C5" s="84"/>
      <c r="D5" s="34"/>
      <c r="E5" s="85"/>
      <c r="F5" s="72"/>
      <c r="G5" s="72"/>
      <c r="H5" s="73" t="s">
        <v>1263</v>
      </c>
      <c r="I5" s="73" t="s">
        <v>1263</v>
      </c>
      <c r="J5" s="73" t="s">
        <v>1264</v>
      </c>
      <c r="N5" s="37" t="s">
        <v>792</v>
      </c>
      <c r="O5" s="37"/>
      <c r="Q5" s="37" t="s">
        <v>684</v>
      </c>
      <c r="R5" s="40">
        <f>ROUND((S26+S38+S40+S50+S59+S66)/S71,4)</f>
        <v>3.3399999999999999E-2</v>
      </c>
      <c r="S5" s="463"/>
    </row>
    <row r="6" spans="1:24" x14ac:dyDescent="0.2">
      <c r="A6" s="12" t="str">
        <f>Technologies!C47</f>
        <v>TAJE</v>
      </c>
      <c r="B6" s="12" t="s">
        <v>1135</v>
      </c>
      <c r="C6" s="12" t="s">
        <v>1265</v>
      </c>
      <c r="D6" s="12" t="s">
        <v>1266</v>
      </c>
      <c r="E6" s="12"/>
      <c r="F6" s="15"/>
      <c r="G6" s="74">
        <v>12.5</v>
      </c>
      <c r="H6" s="12"/>
      <c r="I6" s="51">
        <v>7.4625760131172711</v>
      </c>
      <c r="J6" s="27">
        <v>0.4376230344297341</v>
      </c>
      <c r="N6" s="37" t="s">
        <v>793</v>
      </c>
      <c r="O6" s="37"/>
      <c r="Q6" s="37" t="s">
        <v>685</v>
      </c>
      <c r="R6" s="40">
        <f>ROUND((S51+S54+S58)/S71,4)</f>
        <v>0.1115</v>
      </c>
      <c r="S6" s="463"/>
    </row>
    <row r="7" spans="1:24" x14ac:dyDescent="0.2">
      <c r="A7" s="12" t="str">
        <f>Technologies!C49</f>
        <v>TAJ10</v>
      </c>
      <c r="B7" s="12" t="s">
        <v>1267</v>
      </c>
      <c r="C7" s="12" t="s">
        <v>1268</v>
      </c>
      <c r="D7" s="12" t="s">
        <v>1266</v>
      </c>
      <c r="E7" s="12"/>
      <c r="F7" s="15">
        <v>2010</v>
      </c>
      <c r="G7" s="33">
        <v>25</v>
      </c>
      <c r="H7" s="51">
        <v>814.53238577880768</v>
      </c>
      <c r="I7" s="51">
        <v>7.4625760131172711</v>
      </c>
      <c r="J7" s="27">
        <v>0.451476368560703</v>
      </c>
      <c r="K7" s="101">
        <f>J7/J$6-1</f>
        <v>3.1655861417398068E-2</v>
      </c>
      <c r="L7" t="s">
        <v>1269</v>
      </c>
      <c r="N7" s="37" t="s">
        <v>794</v>
      </c>
      <c r="O7" s="37"/>
      <c r="Q7" s="37" t="s">
        <v>686</v>
      </c>
      <c r="R7" s="40">
        <f>ROUND((S27+S29+S28+S39+S46+S60+S65+S69)/S71+0.0001,4)</f>
        <v>0.23580000000000001</v>
      </c>
      <c r="S7" s="463"/>
    </row>
    <row r="8" spans="1:24" x14ac:dyDescent="0.2">
      <c r="A8" s="12" t="str">
        <f>Technologies!C50</f>
        <v>TAJSYN10</v>
      </c>
      <c r="B8" s="12" t="s">
        <v>1270</v>
      </c>
      <c r="C8" s="12" t="s">
        <v>1271</v>
      </c>
      <c r="D8" s="12" t="s">
        <v>1272</v>
      </c>
      <c r="E8" s="12"/>
      <c r="F8" s="15">
        <v>2010</v>
      </c>
      <c r="G8" s="12">
        <v>25</v>
      </c>
      <c r="H8" s="51">
        <v>814.53238577880768</v>
      </c>
      <c r="I8" s="51">
        <v>7.4625760131172711</v>
      </c>
      <c r="J8" s="27">
        <v>0.42712996079536708</v>
      </c>
      <c r="K8" s="101">
        <f>J8/J$7-1</f>
        <v>-5.392620624408706E-2</v>
      </c>
      <c r="L8" t="s">
        <v>1273</v>
      </c>
      <c r="N8" s="37" t="s">
        <v>795</v>
      </c>
      <c r="O8" s="37"/>
      <c r="Q8" s="37" t="s">
        <v>687</v>
      </c>
      <c r="R8" s="40">
        <f>ROUND((S21+S36+S44+S62)/S71,4)</f>
        <v>4.0300000000000002E-2</v>
      </c>
      <c r="S8" s="463"/>
    </row>
    <row r="9" spans="1:24" x14ac:dyDescent="0.2">
      <c r="A9" s="12" t="str">
        <f>Technologies!C51</f>
        <v>TAJWT10</v>
      </c>
      <c r="B9" s="12" t="s">
        <v>1274</v>
      </c>
      <c r="C9" s="12" t="s">
        <v>1275</v>
      </c>
      <c r="D9" s="12" t="s">
        <v>1266</v>
      </c>
      <c r="E9" s="12"/>
      <c r="F9" s="15">
        <v>2010</v>
      </c>
      <c r="G9" s="33">
        <v>25</v>
      </c>
      <c r="H9" s="51">
        <v>820.68444307320954</v>
      </c>
      <c r="I9" s="51">
        <v>7.4625760131172711</v>
      </c>
      <c r="J9" s="27">
        <v>0.47275012414733303</v>
      </c>
      <c r="K9" s="101">
        <f t="shared" ref="K9:K16" si="0">J9/J$7-1</f>
        <v>4.7120418848167533E-2</v>
      </c>
      <c r="N9" s="37" t="s">
        <v>796</v>
      </c>
      <c r="O9" s="37"/>
      <c r="Q9" s="37" t="s">
        <v>688</v>
      </c>
      <c r="R9" s="40">
        <f>ROUND((S33+S34+S41+S55+S68)/S71,4)</f>
        <v>0.1215</v>
      </c>
      <c r="S9" s="463"/>
    </row>
    <row r="10" spans="1:24" x14ac:dyDescent="0.2">
      <c r="C10" s="12" t="s">
        <v>1276</v>
      </c>
      <c r="D10" s="12" t="s">
        <v>1277</v>
      </c>
      <c r="E10" s="12"/>
      <c r="F10" s="12">
        <v>2015</v>
      </c>
      <c r="G10" s="33">
        <v>25</v>
      </c>
      <c r="H10" s="51">
        <v>1231.6418703392544</v>
      </c>
      <c r="I10" s="51">
        <v>7.7610790536419625</v>
      </c>
      <c r="J10" s="27">
        <v>0.44262389074578729</v>
      </c>
      <c r="K10" s="101">
        <f t="shared" si="0"/>
        <v>-1.9607843137254832E-2</v>
      </c>
      <c r="N10" s="37" t="s">
        <v>797</v>
      </c>
      <c r="O10" s="37"/>
      <c r="Q10" s="37" t="s">
        <v>689</v>
      </c>
      <c r="R10" s="40">
        <f>ROUND((S22+S37+S56+S63)/S71,4)</f>
        <v>0.10580000000000001</v>
      </c>
      <c r="S10" s="463"/>
    </row>
    <row r="11" spans="1:24" x14ac:dyDescent="0.2">
      <c r="A11" s="12" t="str">
        <f>Technologies!C52</f>
        <v>TAJAPU15</v>
      </c>
      <c r="B11" s="12" t="s">
        <v>1278</v>
      </c>
      <c r="C11" s="12" t="s">
        <v>1279</v>
      </c>
      <c r="D11" s="12" t="s">
        <v>1266</v>
      </c>
      <c r="E11" s="12"/>
      <c r="F11" s="15">
        <v>2015</v>
      </c>
      <c r="G11" s="15">
        <v>25</v>
      </c>
      <c r="H11" s="51">
        <v>815.46191019484638</v>
      </c>
      <c r="I11" s="51">
        <v>7.5083155288151495</v>
      </c>
      <c r="J11" s="27">
        <v>0.45358554132787771</v>
      </c>
      <c r="K11" s="101">
        <f t="shared" si="0"/>
        <v>4.6717235143418634E-3</v>
      </c>
      <c r="N11" s="37" t="s">
        <v>798</v>
      </c>
      <c r="O11" s="37"/>
      <c r="Q11" s="37" t="s">
        <v>690</v>
      </c>
      <c r="R11" s="40">
        <f>ROUND((S31+S35+S42+S43+S48+S47+S61)/S71,4)</f>
        <v>5.04E-2</v>
      </c>
      <c r="S11" s="463"/>
    </row>
    <row r="12" spans="1:24" x14ac:dyDescent="0.2">
      <c r="A12" s="12" t="str">
        <f>Technologies!C53</f>
        <v>TAJBW30</v>
      </c>
      <c r="B12" s="12" t="s">
        <v>1280</v>
      </c>
      <c r="C12" s="12" t="s">
        <v>1281</v>
      </c>
      <c r="D12" s="12" t="s">
        <v>1266</v>
      </c>
      <c r="E12" s="12"/>
      <c r="F12" s="15">
        <v>2030</v>
      </c>
      <c r="G12" s="33">
        <v>25</v>
      </c>
      <c r="H12" s="51">
        <v>1127.6930582784942</v>
      </c>
      <c r="I12" s="51">
        <v>7.4625760131172711</v>
      </c>
      <c r="J12" s="27">
        <v>0.6449662408010044</v>
      </c>
      <c r="K12" s="101">
        <f t="shared" si="0"/>
        <v>0.42857142857142883</v>
      </c>
      <c r="N12" s="37" t="s">
        <v>799</v>
      </c>
      <c r="O12" s="37"/>
      <c r="Q12" s="37" t="s">
        <v>691</v>
      </c>
      <c r="R12" s="40">
        <f>ROUND((S23+S25+S32+S45+S53+S52+S64+S70)/S71,4)</f>
        <v>0.1208</v>
      </c>
      <c r="S12" s="463"/>
    </row>
    <row r="13" spans="1:24" x14ac:dyDescent="0.2">
      <c r="A13" s="12" t="str">
        <f>Technologies!C54</f>
        <v>TAJAE30</v>
      </c>
      <c r="B13" s="12" t="s">
        <v>1282</v>
      </c>
      <c r="C13" s="12" t="s">
        <v>1283</v>
      </c>
      <c r="D13" s="12" t="s">
        <v>1266</v>
      </c>
      <c r="E13" s="12"/>
      <c r="F13" s="15">
        <v>2030</v>
      </c>
      <c r="G13" s="33">
        <v>25</v>
      </c>
      <c r="H13" s="51">
        <v>895.98562435668828</v>
      </c>
      <c r="I13" s="51">
        <v>7.4625760131172711</v>
      </c>
      <c r="J13" s="27">
        <v>0.50164040951189226</v>
      </c>
      <c r="K13" s="101">
        <f t="shared" si="0"/>
        <v>0.11111111111111116</v>
      </c>
      <c r="N13" s="37" t="s">
        <v>800</v>
      </c>
      <c r="O13" s="37"/>
      <c r="Q13" s="37" t="s">
        <v>692</v>
      </c>
      <c r="R13" s="40">
        <f>ROUND((S20+S24+S30+S57+S67)/S71,4)</f>
        <v>0.18049999999999999</v>
      </c>
      <c r="S13" s="463"/>
    </row>
    <row r="14" spans="1:24" x14ac:dyDescent="0.2">
      <c r="C14" s="12" t="s">
        <v>1284</v>
      </c>
      <c r="D14" s="12" t="s">
        <v>1266</v>
      </c>
      <c r="E14" s="12"/>
      <c r="F14" s="15">
        <v>2010</v>
      </c>
      <c r="G14" s="33">
        <v>25</v>
      </c>
      <c r="H14" s="51">
        <v>1208.2640526205273</v>
      </c>
      <c r="I14" s="51">
        <v>11.069863511905075</v>
      </c>
      <c r="J14" s="27">
        <v>0.51597299264080343</v>
      </c>
      <c r="K14" s="101">
        <f t="shared" si="0"/>
        <v>0.14285714285714279</v>
      </c>
      <c r="R14" s="40"/>
    </row>
    <row r="15" spans="1:24" x14ac:dyDescent="0.2">
      <c r="A15" s="12" t="str">
        <f>Technologies!C55</f>
        <v>TAJGE15</v>
      </c>
      <c r="B15" s="12" t="s">
        <v>1285</v>
      </c>
      <c r="C15" s="12" t="s">
        <v>1286</v>
      </c>
      <c r="D15" s="12" t="s">
        <v>1266</v>
      </c>
      <c r="E15" s="12"/>
      <c r="F15" s="15">
        <v>2015</v>
      </c>
      <c r="G15" s="33">
        <v>25</v>
      </c>
      <c r="H15" s="51">
        <v>929.61720101077276</v>
      </c>
      <c r="I15" s="51">
        <v>8.516959112695238</v>
      </c>
      <c r="J15" s="27">
        <v>0.51597299264080343</v>
      </c>
      <c r="K15" s="101">
        <f t="shared" si="0"/>
        <v>0.14285714285714279</v>
      </c>
    </row>
    <row r="16" spans="1:24" ht="15.75" customHeight="1" x14ac:dyDescent="0.2">
      <c r="C16" s="12" t="s">
        <v>1287</v>
      </c>
      <c r="D16" s="12" t="s">
        <v>1266</v>
      </c>
      <c r="E16" s="12"/>
      <c r="F16" s="15">
        <v>2015</v>
      </c>
      <c r="G16" s="33">
        <v>25</v>
      </c>
      <c r="H16" s="51">
        <v>1700.4286361726772</v>
      </c>
      <c r="I16" s="51">
        <v>15.578972885389833</v>
      </c>
      <c r="J16" s="27">
        <v>0.53114866889494472</v>
      </c>
      <c r="K16" s="101">
        <f t="shared" si="0"/>
        <v>0.17647058823529416</v>
      </c>
    </row>
    <row r="17" spans="1:19" ht="12" customHeight="1" x14ac:dyDescent="0.2">
      <c r="A17" s="12" t="str">
        <f>TechData!B9</f>
        <v>TAPE</v>
      </c>
      <c r="B17" s="12" t="str">
        <f>TechData!C9</f>
        <v>Airplane, General Aviation, exisiting</v>
      </c>
      <c r="C17" s="12" t="s">
        <v>1288</v>
      </c>
      <c r="D17" s="12" t="s">
        <v>1289</v>
      </c>
      <c r="G17" s="56">
        <v>20</v>
      </c>
      <c r="H17" s="56">
        <v>17.510999999999999</v>
      </c>
      <c r="I17" s="51">
        <f>H17*0.1</f>
        <v>1.7511000000000001</v>
      </c>
      <c r="J17" s="102" t="e">
        <f>'AEO Data'!D150*#REF!/'AEO Data'!D151/('AEO Data'!D195*1.055)</f>
        <v>#REF!</v>
      </c>
      <c r="K17" s="101"/>
    </row>
    <row r="18" spans="1:19" ht="12" customHeight="1" x14ac:dyDescent="0.2">
      <c r="A18" s="12" t="str">
        <f>NewTech!B15</f>
        <v>TAP10</v>
      </c>
      <c r="B18" s="12" t="str">
        <f>NewTech!C15</f>
        <v>Airplane, General Aviation - 2010</v>
      </c>
      <c r="C18" s="12" t="s">
        <v>1290</v>
      </c>
      <c r="D18" s="12" t="s">
        <v>1289</v>
      </c>
      <c r="E18" s="12"/>
      <c r="F18" s="15">
        <v>2010</v>
      </c>
      <c r="G18" s="33">
        <f>G17</f>
        <v>20</v>
      </c>
      <c r="H18" s="51">
        <f>H17</f>
        <v>17.510999999999999</v>
      </c>
      <c r="I18" s="51">
        <f>I17</f>
        <v>1.7511000000000001</v>
      </c>
      <c r="J18" s="27" t="e">
        <f>J17/(1-K7)</f>
        <v>#REF!</v>
      </c>
      <c r="K18" s="101"/>
      <c r="N18" s="37" t="s">
        <v>1291</v>
      </c>
    </row>
    <row r="19" spans="1:19" ht="22.5" x14ac:dyDescent="0.2">
      <c r="A19" s="103"/>
      <c r="B19" s="103"/>
      <c r="C19" s="100" t="s">
        <v>1292</v>
      </c>
      <c r="D19" s="100"/>
      <c r="E19" s="100"/>
      <c r="F19" s="100"/>
      <c r="G19" s="100"/>
      <c r="H19" s="100"/>
      <c r="I19" s="100"/>
      <c r="J19" s="100"/>
      <c r="N19" s="87" t="s">
        <v>1293</v>
      </c>
      <c r="O19" s="88" t="s">
        <v>1294</v>
      </c>
      <c r="P19" s="89" t="s">
        <v>1295</v>
      </c>
      <c r="Q19" s="88" t="s">
        <v>1296</v>
      </c>
      <c r="R19" s="88" t="s">
        <v>1297</v>
      </c>
      <c r="S19" s="90" t="s">
        <v>606</v>
      </c>
    </row>
    <row r="20" spans="1:19" x14ac:dyDescent="0.2">
      <c r="C20" s="12" t="s">
        <v>1298</v>
      </c>
      <c r="D20" s="12" t="s">
        <v>1266</v>
      </c>
      <c r="E20" s="12"/>
      <c r="F20" s="15"/>
      <c r="G20" s="74">
        <v>12.5</v>
      </c>
      <c r="H20" s="33"/>
      <c r="I20" s="74"/>
      <c r="J20" s="16"/>
      <c r="N20" s="91" t="s">
        <v>1299</v>
      </c>
      <c r="O20" s="92">
        <v>2892339</v>
      </c>
      <c r="P20" s="93">
        <v>1207785</v>
      </c>
      <c r="Q20" s="92">
        <v>154109</v>
      </c>
      <c r="R20" s="92">
        <v>270329</v>
      </c>
      <c r="S20" s="94">
        <v>4524562</v>
      </c>
    </row>
    <row r="21" spans="1:19" x14ac:dyDescent="0.2">
      <c r="C21" s="12" t="s">
        <v>1300</v>
      </c>
      <c r="D21" s="12" t="s">
        <v>1266</v>
      </c>
      <c r="E21" s="12"/>
      <c r="F21" s="15">
        <v>2007</v>
      </c>
      <c r="G21" s="33"/>
      <c r="H21" s="33"/>
      <c r="I21" s="74"/>
      <c r="J21" s="16"/>
      <c r="N21" s="24" t="s">
        <v>1301</v>
      </c>
      <c r="O21" s="33">
        <v>2812468</v>
      </c>
      <c r="P21" s="12">
        <v>2691</v>
      </c>
      <c r="Q21" s="33">
        <v>559</v>
      </c>
      <c r="R21" s="33">
        <v>477</v>
      </c>
      <c r="S21" s="95">
        <v>2816195</v>
      </c>
    </row>
    <row r="22" spans="1:19" x14ac:dyDescent="0.2">
      <c r="C22" s="12" t="s">
        <v>1302</v>
      </c>
      <c r="D22" s="12" t="s">
        <v>1272</v>
      </c>
      <c r="E22" s="12"/>
      <c r="F22" s="15">
        <v>1979</v>
      </c>
      <c r="G22" s="12" t="e">
        <v>#N/A</v>
      </c>
      <c r="H22" s="33"/>
      <c r="I22" s="86"/>
      <c r="J22" s="16"/>
      <c r="N22" s="24" t="s">
        <v>1303</v>
      </c>
      <c r="O22" s="33">
        <v>1945934</v>
      </c>
      <c r="P22" s="33">
        <v>23995</v>
      </c>
      <c r="Q22" s="33">
        <v>1607</v>
      </c>
      <c r="R22" s="33">
        <v>0</v>
      </c>
      <c r="S22" s="95">
        <v>1971536</v>
      </c>
    </row>
    <row r="23" spans="1:19" x14ac:dyDescent="0.2">
      <c r="C23" s="12" t="s">
        <v>1304</v>
      </c>
      <c r="D23" s="12" t="s">
        <v>1266</v>
      </c>
      <c r="E23" s="12"/>
      <c r="F23" s="15">
        <v>1985</v>
      </c>
      <c r="G23" s="33">
        <v>25</v>
      </c>
      <c r="H23" s="33"/>
      <c r="I23" s="74"/>
      <c r="J23" s="16"/>
      <c r="N23" s="24" t="s">
        <v>1305</v>
      </c>
      <c r="O23" s="33">
        <v>22287353</v>
      </c>
      <c r="P23" s="12">
        <v>188787</v>
      </c>
      <c r="Q23" s="33">
        <v>303204</v>
      </c>
      <c r="R23" s="33">
        <v>242003</v>
      </c>
      <c r="S23" s="95">
        <v>23021347</v>
      </c>
    </row>
    <row r="24" spans="1:19" x14ac:dyDescent="0.2">
      <c r="C24" s="12" t="s">
        <v>1306</v>
      </c>
      <c r="D24" s="12" t="s">
        <v>1277</v>
      </c>
      <c r="E24" s="12"/>
      <c r="F24" s="15">
        <v>2015</v>
      </c>
      <c r="G24" s="12">
        <v>25</v>
      </c>
      <c r="H24" s="33"/>
      <c r="I24" s="74"/>
      <c r="J24" s="16"/>
      <c r="N24" s="24" t="s">
        <v>1307</v>
      </c>
      <c r="O24" s="33">
        <v>77598191</v>
      </c>
      <c r="P24" s="33">
        <v>12861</v>
      </c>
      <c r="Q24" s="33">
        <v>15763</v>
      </c>
      <c r="R24" s="33">
        <v>9052069</v>
      </c>
      <c r="S24" s="95">
        <v>86678884</v>
      </c>
    </row>
    <row r="25" spans="1:19" x14ac:dyDescent="0.2">
      <c r="C25" s="12" t="s">
        <v>1308</v>
      </c>
      <c r="D25" s="12" t="s">
        <v>1266</v>
      </c>
      <c r="E25" s="12"/>
      <c r="F25" s="12">
        <v>2015</v>
      </c>
      <c r="G25" s="15">
        <v>11.845174528896468</v>
      </c>
      <c r="H25" s="33"/>
      <c r="I25" s="74"/>
      <c r="J25" s="16"/>
      <c r="N25" s="24" t="s">
        <v>1309</v>
      </c>
      <c r="O25" s="33">
        <v>22231819</v>
      </c>
      <c r="P25" s="33">
        <v>264658</v>
      </c>
      <c r="Q25" s="33">
        <v>1486</v>
      </c>
      <c r="R25" s="33">
        <v>316928</v>
      </c>
      <c r="S25" s="95">
        <v>22814891</v>
      </c>
    </row>
    <row r="26" spans="1:19" x14ac:dyDescent="0.2">
      <c r="C26" s="12" t="s">
        <v>1310</v>
      </c>
      <c r="D26" s="12" t="s">
        <v>1266</v>
      </c>
      <c r="E26" s="12"/>
      <c r="F26" s="15">
        <v>2030</v>
      </c>
      <c r="G26" s="33">
        <v>25</v>
      </c>
      <c r="H26" s="33"/>
      <c r="I26" s="74"/>
      <c r="J26" s="16"/>
      <c r="N26" s="24" t="s">
        <v>1311</v>
      </c>
      <c r="O26" s="33">
        <v>3567752</v>
      </c>
      <c r="P26" s="33">
        <v>80703</v>
      </c>
      <c r="Q26" s="33">
        <v>86</v>
      </c>
      <c r="R26" s="33">
        <v>34054</v>
      </c>
      <c r="S26" s="95">
        <v>3682595</v>
      </c>
    </row>
    <row r="27" spans="1:19" x14ac:dyDescent="0.2">
      <c r="C27" s="12" t="s">
        <v>1312</v>
      </c>
      <c r="D27" s="12" t="s">
        <v>1266</v>
      </c>
      <c r="E27" s="12"/>
      <c r="F27" s="15">
        <v>2030</v>
      </c>
      <c r="G27" s="33">
        <v>25</v>
      </c>
      <c r="H27" s="33"/>
      <c r="I27" s="74"/>
      <c r="J27" s="16"/>
      <c r="N27" s="24" t="s">
        <v>830</v>
      </c>
      <c r="O27" s="33">
        <v>8507707</v>
      </c>
      <c r="P27" s="33">
        <v>14584</v>
      </c>
      <c r="Q27" s="33">
        <v>0</v>
      </c>
      <c r="R27" s="33">
        <v>101616</v>
      </c>
      <c r="S27" s="95">
        <v>8623907</v>
      </c>
    </row>
    <row r="28" spans="1:19" x14ac:dyDescent="0.2">
      <c r="C28" s="12" t="s">
        <v>1313</v>
      </c>
      <c r="D28" s="12" t="s">
        <v>1266</v>
      </c>
      <c r="E28" s="12"/>
      <c r="F28" s="15">
        <v>2007</v>
      </c>
      <c r="G28" s="33">
        <v>25</v>
      </c>
      <c r="H28" s="33"/>
      <c r="I28" s="74"/>
      <c r="J28" s="16"/>
      <c r="N28" s="24" t="s">
        <v>1314</v>
      </c>
      <c r="O28" s="33">
        <v>60753910</v>
      </c>
      <c r="P28" s="33">
        <v>805145</v>
      </c>
      <c r="Q28" s="33">
        <v>6088</v>
      </c>
      <c r="R28" s="33">
        <v>4987969</v>
      </c>
      <c r="S28" s="95">
        <v>66553112</v>
      </c>
    </row>
    <row r="29" spans="1:19" x14ac:dyDescent="0.2">
      <c r="C29" s="12" t="s">
        <v>1315</v>
      </c>
      <c r="D29" s="12" t="s">
        <v>1266</v>
      </c>
      <c r="E29" s="12"/>
      <c r="F29" s="15">
        <v>2013</v>
      </c>
      <c r="G29" s="33">
        <v>25</v>
      </c>
      <c r="H29" s="33"/>
      <c r="I29" s="74"/>
      <c r="J29" s="16"/>
      <c r="N29" s="24" t="s">
        <v>1316</v>
      </c>
      <c r="O29" s="33">
        <v>42995981</v>
      </c>
      <c r="P29" s="33">
        <v>56386</v>
      </c>
      <c r="Q29" s="33">
        <v>1283</v>
      </c>
      <c r="R29" s="33">
        <v>731368</v>
      </c>
      <c r="S29" s="95">
        <v>43785018</v>
      </c>
    </row>
    <row r="30" spans="1:19" x14ac:dyDescent="0.2">
      <c r="C30" s="12" t="s">
        <v>1317</v>
      </c>
      <c r="D30" s="12" t="s">
        <v>1266</v>
      </c>
      <c r="E30" s="12"/>
      <c r="F30" s="15">
        <v>2015</v>
      </c>
      <c r="G30" s="33">
        <v>25</v>
      </c>
      <c r="H30" s="33"/>
      <c r="I30" s="74"/>
      <c r="J30" s="16"/>
      <c r="N30" s="24" t="s">
        <v>1318</v>
      </c>
      <c r="O30" s="33">
        <v>13778778</v>
      </c>
      <c r="P30" s="33">
        <v>590989</v>
      </c>
      <c r="Q30" s="33">
        <v>72141</v>
      </c>
      <c r="R30" s="33">
        <v>1552609</v>
      </c>
      <c r="S30" s="95">
        <v>15994517</v>
      </c>
    </row>
    <row r="31" spans="1:19" ht="20.25" customHeight="1" x14ac:dyDescent="0.2">
      <c r="A31" s="103"/>
      <c r="B31" s="103"/>
      <c r="C31" s="100" t="s">
        <v>1319</v>
      </c>
      <c r="D31" s="104"/>
      <c r="E31" s="104"/>
      <c r="F31" s="104"/>
      <c r="G31" s="104"/>
      <c r="H31" s="104"/>
      <c r="I31" s="104"/>
      <c r="J31" s="104"/>
      <c r="N31" s="24" t="s">
        <v>1320</v>
      </c>
      <c r="O31" s="33">
        <v>1544603</v>
      </c>
      <c r="P31" s="33">
        <v>28756</v>
      </c>
      <c r="Q31" s="33">
        <v>825</v>
      </c>
      <c r="R31" s="33">
        <v>0</v>
      </c>
      <c r="S31" s="95">
        <v>1574184</v>
      </c>
    </row>
    <row r="32" spans="1:19" x14ac:dyDescent="0.2">
      <c r="A32" s="12" t="str">
        <f>Technologies!C210</f>
        <v>TSDSLE</v>
      </c>
      <c r="B32" s="12" t="str">
        <f>Technologies!D210</f>
        <v>Water Shipping, Diesel exisiting</v>
      </c>
      <c r="C32" s="12" t="s">
        <v>1321</v>
      </c>
      <c r="D32" s="12" t="s">
        <v>1322</v>
      </c>
      <c r="E32" s="12"/>
      <c r="F32" s="12">
        <v>2005</v>
      </c>
      <c r="G32" s="12">
        <v>30</v>
      </c>
      <c r="H32" s="51">
        <v>20.108902754128071</v>
      </c>
      <c r="I32" s="51">
        <v>1.0054451377064035</v>
      </c>
      <c r="J32" s="16">
        <v>1.9172146697629859</v>
      </c>
      <c r="N32" s="24" t="s">
        <v>1323</v>
      </c>
      <c r="O32" s="33">
        <v>1924140</v>
      </c>
      <c r="P32" s="12">
        <v>10340</v>
      </c>
      <c r="Q32" s="33">
        <v>1068</v>
      </c>
      <c r="R32" s="33">
        <v>0</v>
      </c>
      <c r="S32" s="95">
        <v>1935548</v>
      </c>
    </row>
    <row r="33" spans="1:19" x14ac:dyDescent="0.2">
      <c r="A33" s="12" t="str">
        <f>Technologies!C211</f>
        <v>TSDSL10</v>
      </c>
      <c r="B33" s="12" t="str">
        <f>Technologies!D212</f>
        <v>Water Shipping, Diesel Fuel Inj, 2015</v>
      </c>
      <c r="C33" s="12" t="s">
        <v>1324</v>
      </c>
      <c r="D33" s="12" t="s">
        <v>758</v>
      </c>
      <c r="E33" s="12"/>
      <c r="F33" s="12">
        <v>2015</v>
      </c>
      <c r="G33" s="12">
        <v>30</v>
      </c>
      <c r="H33" s="51">
        <v>20.720414164558093</v>
      </c>
      <c r="I33" s="51">
        <v>1.027903765563994</v>
      </c>
      <c r="J33" s="16">
        <v>2.178653033821575</v>
      </c>
      <c r="N33" s="24" t="s">
        <v>1325</v>
      </c>
      <c r="O33" s="33">
        <v>44117993</v>
      </c>
      <c r="P33" s="33">
        <v>65633</v>
      </c>
      <c r="Q33" s="33">
        <v>2627</v>
      </c>
      <c r="R33" s="33">
        <v>2191469</v>
      </c>
      <c r="S33" s="95">
        <v>46377722</v>
      </c>
    </row>
    <row r="34" spans="1:19" x14ac:dyDescent="0.2">
      <c r="A34" s="12" t="str">
        <f>Technologies!C212</f>
        <v>TSDSLFI15</v>
      </c>
      <c r="B34" s="12" t="str">
        <f>Technologies!D211</f>
        <v>Water Shipping, Diesel,2010</v>
      </c>
      <c r="C34" s="12" t="s">
        <v>1326</v>
      </c>
      <c r="D34" s="12" t="s">
        <v>758</v>
      </c>
      <c r="E34" s="12"/>
      <c r="F34" s="12">
        <v>2010</v>
      </c>
      <c r="G34" s="12">
        <v>30</v>
      </c>
      <c r="H34" s="51">
        <v>20.327834233585889</v>
      </c>
      <c r="I34" s="51">
        <v>1.0163917116792944</v>
      </c>
      <c r="J34" s="16">
        <v>2.1302385219588733</v>
      </c>
      <c r="N34" s="24" t="s">
        <v>1327</v>
      </c>
      <c r="O34" s="33">
        <v>5026548</v>
      </c>
      <c r="P34" s="12">
        <v>99213</v>
      </c>
      <c r="Q34" s="33">
        <v>3827</v>
      </c>
      <c r="R34" s="33">
        <v>11313</v>
      </c>
      <c r="S34" s="95">
        <v>5140901</v>
      </c>
    </row>
    <row r="35" spans="1:19" x14ac:dyDescent="0.2">
      <c r="A35" s="12" t="str">
        <f>Technologies!C213</f>
        <v>TSDSLHE15</v>
      </c>
      <c r="B35" s="12" t="str">
        <f>Technologies!D213</f>
        <v>Water Shipping, Diesel, Hybrid Electric, 2015</v>
      </c>
      <c r="C35" s="12" t="s">
        <v>1328</v>
      </c>
      <c r="D35" s="12" t="s">
        <v>758</v>
      </c>
      <c r="E35" s="12"/>
      <c r="F35" s="12">
        <v>2015</v>
      </c>
      <c r="G35" s="12">
        <v>30</v>
      </c>
      <c r="H35" s="51">
        <v>23.870342449190009</v>
      </c>
      <c r="I35" s="51">
        <v>1.1935171224595005</v>
      </c>
      <c r="J35" s="16">
        <v>2.3965183372037324</v>
      </c>
      <c r="N35" s="24" t="s">
        <v>1329</v>
      </c>
      <c r="O35" s="33">
        <v>732098</v>
      </c>
      <c r="P35" s="33">
        <v>37370</v>
      </c>
      <c r="Q35" s="33">
        <v>3687</v>
      </c>
      <c r="R35" s="33">
        <v>1</v>
      </c>
      <c r="S35" s="95">
        <v>773156</v>
      </c>
    </row>
    <row r="36" spans="1:19" ht="8.25" customHeight="1" x14ac:dyDescent="0.2">
      <c r="C36" s="12"/>
      <c r="D36" s="12"/>
      <c r="E36" s="12"/>
      <c r="F36" s="12"/>
      <c r="G36" s="12"/>
      <c r="H36" s="51"/>
      <c r="I36" s="51"/>
      <c r="J36" s="16"/>
      <c r="N36" s="24" t="s">
        <v>1330</v>
      </c>
      <c r="O36" s="96">
        <v>13637278</v>
      </c>
      <c r="P36" s="33">
        <v>34719</v>
      </c>
      <c r="Q36" s="96">
        <v>1336</v>
      </c>
      <c r="R36" s="96">
        <v>39344</v>
      </c>
      <c r="S36" s="95">
        <v>13712677</v>
      </c>
    </row>
    <row r="37" spans="1:19" x14ac:dyDescent="0.2">
      <c r="A37" s="12" t="str">
        <f>Technologies!C206</f>
        <v>TSDSHE</v>
      </c>
      <c r="B37" s="12" t="str">
        <f>Technologies!D206</f>
        <v>Water Shipping, Residual Oil exisiting</v>
      </c>
      <c r="C37" s="12" t="s">
        <v>1331</v>
      </c>
      <c r="D37" s="12" t="s">
        <v>1332</v>
      </c>
      <c r="E37" s="12"/>
      <c r="F37" s="12">
        <v>2005</v>
      </c>
      <c r="G37" s="12">
        <v>30</v>
      </c>
      <c r="H37" s="51">
        <v>116.69461084272677</v>
      </c>
      <c r="I37" s="51">
        <v>5.8347305421363389</v>
      </c>
      <c r="J37" s="16">
        <v>2.4581977639536889</v>
      </c>
      <c r="N37" s="24" t="s">
        <v>1333</v>
      </c>
      <c r="O37" s="33">
        <v>5160376</v>
      </c>
      <c r="P37" s="33">
        <v>37992</v>
      </c>
      <c r="Q37" s="33">
        <v>663</v>
      </c>
      <c r="R37" s="33">
        <v>23231</v>
      </c>
      <c r="S37" s="95">
        <v>5222262</v>
      </c>
    </row>
    <row r="38" spans="1:19" x14ac:dyDescent="0.2">
      <c r="A38" s="12" t="str">
        <f>Technologies!C207</f>
        <v>TSDSH10</v>
      </c>
      <c r="B38" s="12" t="str">
        <f>Technologies!D208</f>
        <v>Water Shipping, Resid Fuel Inject, 2015</v>
      </c>
      <c r="C38" s="12" t="s">
        <v>1324</v>
      </c>
      <c r="D38" s="12" t="s">
        <v>1334</v>
      </c>
      <c r="E38" s="12"/>
      <c r="F38" s="12">
        <v>2015</v>
      </c>
      <c r="G38" s="12">
        <v>30</v>
      </c>
      <c r="H38" s="51">
        <v>120.72361650800623</v>
      </c>
      <c r="I38" s="51">
        <v>6.0361808254003115</v>
      </c>
      <c r="J38" s="16">
        <v>2.7934065499473739</v>
      </c>
      <c r="N38" s="24" t="s">
        <v>1335</v>
      </c>
      <c r="O38" s="33">
        <v>11731321</v>
      </c>
      <c r="P38" s="33">
        <v>512124</v>
      </c>
      <c r="Q38" s="33">
        <v>179167</v>
      </c>
      <c r="R38" s="33">
        <v>1313889</v>
      </c>
      <c r="S38" s="95">
        <v>13736501</v>
      </c>
    </row>
    <row r="39" spans="1:19" x14ac:dyDescent="0.2">
      <c r="A39" s="12" t="str">
        <f>Technologies!C208</f>
        <v>TSDSHFI15</v>
      </c>
      <c r="B39" s="12" t="str">
        <f>Technologies!D207</f>
        <v>Water Shipping, Residual Oil, 2010</v>
      </c>
      <c r="C39" s="12" t="s">
        <v>1326</v>
      </c>
      <c r="D39" s="12" t="s">
        <v>1334</v>
      </c>
      <c r="E39" s="12"/>
      <c r="F39" s="12">
        <v>2010</v>
      </c>
      <c r="G39" s="12">
        <v>30</v>
      </c>
      <c r="H39" s="51">
        <v>116.82165966338562</v>
      </c>
      <c r="I39" s="51">
        <v>5.8410829831692812</v>
      </c>
      <c r="J39" s="16">
        <v>2.7313308488374322</v>
      </c>
      <c r="N39" s="24" t="s">
        <v>1336</v>
      </c>
      <c r="O39" s="33">
        <v>9565762</v>
      </c>
      <c r="P39" s="33">
        <v>145627</v>
      </c>
      <c r="Q39" s="33">
        <v>256</v>
      </c>
      <c r="R39" s="33">
        <v>187414</v>
      </c>
      <c r="S39" s="95">
        <v>9899059</v>
      </c>
    </row>
    <row r="40" spans="1:19" x14ac:dyDescent="0.2">
      <c r="A40" s="12" t="str">
        <f>Technologies!C209</f>
        <v>TSDSHBL15</v>
      </c>
      <c r="B40" s="12" t="str">
        <f>Technologies!D209</f>
        <v>Water Shipping, Resid Bubble Lub, 2015</v>
      </c>
      <c r="C40" s="12" t="s">
        <v>1337</v>
      </c>
      <c r="D40" s="12" t="s">
        <v>1334</v>
      </c>
      <c r="E40" s="12"/>
      <c r="F40" s="12">
        <v>2015</v>
      </c>
      <c r="G40" s="12">
        <v>30</v>
      </c>
      <c r="H40" s="51">
        <v>121.07065874932904</v>
      </c>
      <c r="I40" s="51">
        <v>6.0535329374664526</v>
      </c>
      <c r="J40" s="16">
        <v>2.8093688730899302</v>
      </c>
      <c r="N40" s="24" t="s">
        <v>1338</v>
      </c>
      <c r="O40" s="33">
        <v>1039336</v>
      </c>
      <c r="P40" s="33">
        <v>47922</v>
      </c>
      <c r="Q40" s="33">
        <v>7939</v>
      </c>
      <c r="R40" s="33">
        <v>117892</v>
      </c>
      <c r="S40" s="95">
        <v>1213089</v>
      </c>
    </row>
    <row r="41" spans="1:19" x14ac:dyDescent="0.2">
      <c r="N41" s="24" t="s">
        <v>1339</v>
      </c>
      <c r="O41" s="33">
        <v>20040973</v>
      </c>
      <c r="P41" s="33">
        <v>139519</v>
      </c>
      <c r="Q41" s="33">
        <v>18597</v>
      </c>
      <c r="R41" s="33">
        <v>191136</v>
      </c>
      <c r="S41" s="95">
        <v>20390225</v>
      </c>
    </row>
    <row r="42" spans="1:19" x14ac:dyDescent="0.2">
      <c r="N42" s="24" t="s">
        <v>1340</v>
      </c>
      <c r="O42" s="33">
        <v>18290139</v>
      </c>
      <c r="P42" s="12">
        <v>17358</v>
      </c>
      <c r="Q42" s="33">
        <v>1861</v>
      </c>
      <c r="R42" s="33">
        <v>63138</v>
      </c>
      <c r="S42" s="95">
        <v>18372496</v>
      </c>
    </row>
    <row r="43" spans="1:19" x14ac:dyDescent="0.2">
      <c r="D43" s="12"/>
      <c r="E43" s="12"/>
      <c r="F43" s="12"/>
      <c r="G43" s="12"/>
      <c r="H43" s="12"/>
      <c r="I43" s="12"/>
      <c r="J43" s="12"/>
      <c r="K43" s="12"/>
      <c r="L43" s="12"/>
      <c r="M43" s="12"/>
      <c r="N43" s="24" t="s">
        <v>1341</v>
      </c>
      <c r="O43" s="33">
        <v>12241043</v>
      </c>
      <c r="P43" s="33">
        <v>119456</v>
      </c>
      <c r="Q43" s="33">
        <v>487</v>
      </c>
      <c r="R43" s="33">
        <v>31020</v>
      </c>
      <c r="S43" s="95">
        <v>12392006</v>
      </c>
    </row>
    <row r="44" spans="1:19" x14ac:dyDescent="0.2">
      <c r="C44" s="12" t="s">
        <v>1342</v>
      </c>
      <c r="D44" s="12"/>
      <c r="E44" s="12"/>
      <c r="F44" s="12"/>
      <c r="G44" s="12"/>
      <c r="H44" s="12"/>
      <c r="I44" s="12"/>
      <c r="J44" s="12"/>
      <c r="K44" s="12"/>
      <c r="L44" s="12">
        <v>2010</v>
      </c>
      <c r="M44" s="12" t="s">
        <v>1343</v>
      </c>
      <c r="N44" s="24" t="s">
        <v>1344</v>
      </c>
      <c r="O44" s="33">
        <v>1229561</v>
      </c>
      <c r="P44" s="12">
        <v>2390</v>
      </c>
      <c r="Q44" s="33">
        <v>393</v>
      </c>
      <c r="R44" s="33">
        <v>0</v>
      </c>
      <c r="S44" s="95">
        <v>1232344</v>
      </c>
    </row>
    <row r="45" spans="1:19" x14ac:dyDescent="0.2">
      <c r="C45" s="12" t="s">
        <v>1345</v>
      </c>
      <c r="D45" s="12" t="s">
        <v>1346</v>
      </c>
      <c r="E45" s="12" t="s">
        <v>149</v>
      </c>
      <c r="F45" s="12" t="s">
        <v>137</v>
      </c>
      <c r="G45" s="12" t="s">
        <v>129</v>
      </c>
      <c r="H45" s="12" t="s">
        <v>145</v>
      </c>
      <c r="I45" s="12" t="s">
        <v>125</v>
      </c>
      <c r="J45" s="12" t="s">
        <v>133</v>
      </c>
      <c r="K45" s="12" t="s">
        <v>1130</v>
      </c>
      <c r="L45" s="12" t="s">
        <v>125</v>
      </c>
      <c r="M45" s="12" t="s">
        <v>125</v>
      </c>
      <c r="N45" s="24" t="s">
        <v>1347</v>
      </c>
      <c r="O45" s="33">
        <v>1446955</v>
      </c>
      <c r="P45" s="12">
        <v>55667</v>
      </c>
      <c r="Q45" s="33">
        <v>12992</v>
      </c>
      <c r="R45" s="33">
        <v>0</v>
      </c>
      <c r="S45" s="95">
        <v>1515614</v>
      </c>
    </row>
    <row r="46" spans="1:19" x14ac:dyDescent="0.2">
      <c r="C46" s="12" t="str">
        <f>B32</f>
        <v>Water Shipping, Diesel exisiting</v>
      </c>
      <c r="D46" s="27">
        <v>8.9145194197183053E-4</v>
      </c>
      <c r="E46" s="27">
        <v>2.7857873186619706E-3</v>
      </c>
      <c r="F46" s="27">
        <v>1.3258786622609422E-2</v>
      </c>
      <c r="G46" s="27">
        <v>0.82814272231156594</v>
      </c>
      <c r="H46" s="27">
        <v>7.2936953132083177E-2</v>
      </c>
      <c r="I46" s="27">
        <v>0.10901366185084826</v>
      </c>
      <c r="J46" s="27">
        <v>1.329966674580349E-2</v>
      </c>
      <c r="K46" s="27">
        <v>1.329966674580349E-2</v>
      </c>
      <c r="L46" s="27">
        <v>3.5974508410779926E-2</v>
      </c>
      <c r="M46" s="27">
        <v>3.5974508410779927E-3</v>
      </c>
      <c r="N46" s="24" t="s">
        <v>1348</v>
      </c>
      <c r="O46" s="33">
        <v>20100029</v>
      </c>
      <c r="P46" s="12">
        <v>914238</v>
      </c>
      <c r="Q46" s="33">
        <v>1311</v>
      </c>
      <c r="R46" s="33">
        <v>107856</v>
      </c>
      <c r="S46" s="95">
        <v>21123434</v>
      </c>
    </row>
    <row r="47" spans="1:19" x14ac:dyDescent="0.2">
      <c r="C47" s="12" t="str">
        <f>B37</f>
        <v>Water Shipping, Residual Oil exisiting</v>
      </c>
      <c r="D47" s="27">
        <v>7.7091027770749673E-4</v>
      </c>
      <c r="E47" s="27">
        <v>2.217651898871899E-3</v>
      </c>
      <c r="F47" s="27">
        <v>1.3499665637468579E-2</v>
      </c>
      <c r="G47" s="27">
        <v>0.82187223780518093</v>
      </c>
      <c r="H47" s="27">
        <v>4.2023509071137867E-2</v>
      </c>
      <c r="I47" s="27">
        <v>0.50817071957737692</v>
      </c>
      <c r="J47" s="27">
        <v>4.9673687838688592E-2</v>
      </c>
      <c r="K47" s="27">
        <v>4.9673687838688592E-2</v>
      </c>
      <c r="L47" s="27">
        <v>0.16769633746053439</v>
      </c>
      <c r="M47" s="27">
        <v>1.676963374605344E-2</v>
      </c>
      <c r="N47" s="24" t="s">
        <v>1349</v>
      </c>
      <c r="O47" s="33">
        <v>626882</v>
      </c>
      <c r="P47" s="12">
        <v>10464</v>
      </c>
      <c r="Q47" s="33">
        <v>924</v>
      </c>
      <c r="R47" s="33">
        <v>33</v>
      </c>
      <c r="S47" s="95">
        <v>638303</v>
      </c>
    </row>
    <row r="48" spans="1:19" x14ac:dyDescent="0.2">
      <c r="C48" s="12" t="s">
        <v>1350</v>
      </c>
      <c r="F48" s="27">
        <v>1.1932907960348481E-2</v>
      </c>
      <c r="G48" s="27">
        <v>0.74532845008040938</v>
      </c>
      <c r="H48" s="27">
        <v>6.5643257818874867E-2</v>
      </c>
      <c r="N48" s="24" t="s">
        <v>1351</v>
      </c>
      <c r="O48" s="33">
        <v>2240054</v>
      </c>
      <c r="P48" s="33">
        <v>47277</v>
      </c>
      <c r="Q48" s="33">
        <v>700</v>
      </c>
      <c r="R48" s="33">
        <v>179</v>
      </c>
      <c r="S48" s="95">
        <v>2288210</v>
      </c>
    </row>
    <row r="49" spans="1:19" x14ac:dyDescent="0.2">
      <c r="C49" s="12" t="s">
        <v>1352</v>
      </c>
      <c r="F49" s="27">
        <v>1.2149699073721721E-2</v>
      </c>
      <c r="G49" s="27">
        <v>0.7396850140246628</v>
      </c>
      <c r="H49" s="27">
        <v>3.782115816402408E-2</v>
      </c>
      <c r="N49" s="24"/>
      <c r="O49" s="33"/>
      <c r="P49" s="33"/>
      <c r="Q49" s="33"/>
      <c r="R49" s="33"/>
      <c r="S49" s="95"/>
    </row>
    <row r="50" spans="1:19" x14ac:dyDescent="0.2">
      <c r="A50" s="12" t="s">
        <v>1353</v>
      </c>
      <c r="K50" s="51" t="s">
        <v>1354</v>
      </c>
      <c r="L50" s="12" t="s">
        <v>1355</v>
      </c>
      <c r="N50" s="24" t="s">
        <v>1356</v>
      </c>
      <c r="O50" s="33">
        <v>2106144</v>
      </c>
      <c r="P50" s="12">
        <v>49867</v>
      </c>
      <c r="Q50" s="33">
        <v>2637</v>
      </c>
      <c r="R50" s="33">
        <v>9066</v>
      </c>
      <c r="S50" s="95">
        <v>2167714</v>
      </c>
    </row>
    <row r="51" spans="1:19" x14ac:dyDescent="0.2">
      <c r="A51" s="12" t="s">
        <v>1357</v>
      </c>
      <c r="K51" s="27">
        <f>K46*0.43</f>
        <v>5.7188567006955003E-3</v>
      </c>
      <c r="L51" s="27">
        <f>K46*0.21</f>
        <v>2.7929300166187328E-3</v>
      </c>
      <c r="N51" s="24" t="s">
        <v>1358</v>
      </c>
      <c r="O51" s="33">
        <v>15357185</v>
      </c>
      <c r="P51" s="12">
        <v>1624</v>
      </c>
      <c r="Q51" s="33">
        <v>2045</v>
      </c>
      <c r="R51" s="33">
        <v>1560508</v>
      </c>
      <c r="S51" s="95">
        <v>16921362</v>
      </c>
    </row>
    <row r="52" spans="1:19" x14ac:dyDescent="0.2">
      <c r="B52" s="12" t="s">
        <v>1359</v>
      </c>
      <c r="K52" s="27">
        <f>K47*0.43</f>
        <v>2.1359685770636093E-2</v>
      </c>
      <c r="L52" s="27">
        <f>K47*0.21</f>
        <v>1.0431474446124604E-2</v>
      </c>
      <c r="N52" s="24" t="s">
        <v>1360</v>
      </c>
      <c r="O52" s="33">
        <v>3139047</v>
      </c>
      <c r="P52" s="33">
        <v>81737</v>
      </c>
      <c r="Q52" s="33">
        <v>2668</v>
      </c>
      <c r="R52" s="33">
        <v>0</v>
      </c>
      <c r="S52" s="95">
        <v>3223452</v>
      </c>
    </row>
    <row r="53" spans="1:19" x14ac:dyDescent="0.2">
      <c r="A53" s="12" t="s">
        <v>1361</v>
      </c>
      <c r="N53" s="24" t="s">
        <v>1362</v>
      </c>
      <c r="O53" s="33">
        <v>23281923</v>
      </c>
      <c r="P53" s="33">
        <v>180068</v>
      </c>
      <c r="Q53" s="33">
        <v>172172</v>
      </c>
      <c r="R53" s="33">
        <v>626377</v>
      </c>
      <c r="S53" s="95">
        <v>24260540</v>
      </c>
    </row>
    <row r="54" spans="1:19" x14ac:dyDescent="0.2">
      <c r="B54" s="12" t="s">
        <v>1363</v>
      </c>
      <c r="N54" s="24" t="s">
        <v>1364</v>
      </c>
      <c r="O54" s="33">
        <v>34674105</v>
      </c>
      <c r="P54" s="33">
        <v>985088</v>
      </c>
      <c r="Q54" s="33">
        <v>6798</v>
      </c>
      <c r="R54" s="33">
        <v>6276521</v>
      </c>
      <c r="S54" s="95">
        <v>41942512</v>
      </c>
    </row>
    <row r="55" spans="1:19" x14ac:dyDescent="0.2">
      <c r="A55" s="12" t="s">
        <v>1365</v>
      </c>
      <c r="N55" s="24" t="s">
        <v>1366</v>
      </c>
      <c r="O55" s="33">
        <v>10765202</v>
      </c>
      <c r="P55" s="12">
        <v>209838</v>
      </c>
      <c r="Q55" s="33">
        <v>1515</v>
      </c>
      <c r="R55" s="33">
        <v>35479</v>
      </c>
      <c r="S55" s="95">
        <v>11012034</v>
      </c>
    </row>
    <row r="56" spans="1:19" x14ac:dyDescent="0.2">
      <c r="N56" s="24" t="s">
        <v>1367</v>
      </c>
      <c r="O56" s="33">
        <v>3387812</v>
      </c>
      <c r="P56" s="12">
        <v>0</v>
      </c>
      <c r="Q56" s="33">
        <v>248</v>
      </c>
      <c r="R56" s="33">
        <v>52</v>
      </c>
      <c r="S56" s="95">
        <v>3388112</v>
      </c>
    </row>
    <row r="57" spans="1:19" x14ac:dyDescent="0.2">
      <c r="N57" s="24" t="s">
        <v>1368</v>
      </c>
      <c r="O57" s="33">
        <v>7565369</v>
      </c>
      <c r="P57" s="12">
        <v>2521</v>
      </c>
      <c r="Q57" s="33">
        <v>1713</v>
      </c>
      <c r="R57" s="33">
        <v>128172</v>
      </c>
      <c r="S57" s="95">
        <v>7697775</v>
      </c>
    </row>
    <row r="58" spans="1:19" x14ac:dyDescent="0.2">
      <c r="N58" s="24" t="s">
        <v>1369</v>
      </c>
      <c r="O58" s="33">
        <v>20507207</v>
      </c>
      <c r="P58" s="33">
        <v>1378768</v>
      </c>
      <c r="Q58" s="33">
        <v>3090</v>
      </c>
      <c r="R58" s="33">
        <v>397549</v>
      </c>
      <c r="S58" s="95">
        <v>22286614</v>
      </c>
    </row>
    <row r="59" spans="1:19" x14ac:dyDescent="0.2">
      <c r="N59" s="24" t="s">
        <v>1370</v>
      </c>
      <c r="O59" s="33">
        <v>2798944</v>
      </c>
      <c r="P59" s="33">
        <v>37352</v>
      </c>
      <c r="Q59" s="33">
        <v>93</v>
      </c>
      <c r="R59" s="33">
        <v>9613</v>
      </c>
      <c r="S59" s="95">
        <v>2846002</v>
      </c>
    </row>
    <row r="60" spans="1:19" x14ac:dyDescent="0.2">
      <c r="N60" s="24" t="s">
        <v>1371</v>
      </c>
      <c r="O60" s="33">
        <v>3443639</v>
      </c>
      <c r="P60" s="33">
        <v>144234</v>
      </c>
      <c r="Q60" s="33">
        <v>696</v>
      </c>
      <c r="R60" s="33">
        <v>58</v>
      </c>
      <c r="S60" s="95">
        <v>3588627</v>
      </c>
    </row>
    <row r="61" spans="1:19" x14ac:dyDescent="0.2">
      <c r="N61" s="24" t="s">
        <v>1372</v>
      </c>
      <c r="O61" s="33">
        <v>647171</v>
      </c>
      <c r="P61" s="12">
        <v>6382</v>
      </c>
      <c r="Q61" s="33">
        <v>1303</v>
      </c>
      <c r="R61" s="33">
        <v>0</v>
      </c>
      <c r="S61" s="95">
        <v>654856</v>
      </c>
    </row>
    <row r="62" spans="1:19" x14ac:dyDescent="0.2">
      <c r="N62" s="24" t="s">
        <v>1373</v>
      </c>
      <c r="O62" s="33">
        <v>11468758</v>
      </c>
      <c r="P62" s="33">
        <v>114121</v>
      </c>
      <c r="Q62" s="33">
        <v>959</v>
      </c>
      <c r="R62" s="33">
        <v>10636</v>
      </c>
      <c r="S62" s="95">
        <v>11594474</v>
      </c>
    </row>
    <row r="63" spans="1:19" x14ac:dyDescent="0.2">
      <c r="N63" s="24" t="s">
        <v>1374</v>
      </c>
      <c r="O63" s="33">
        <v>65169364</v>
      </c>
      <c r="P63" s="33">
        <v>288851</v>
      </c>
      <c r="Q63" s="33">
        <v>3920</v>
      </c>
      <c r="R63" s="33">
        <v>983303</v>
      </c>
      <c r="S63" s="95">
        <v>66445438</v>
      </c>
    </row>
    <row r="64" spans="1:19" x14ac:dyDescent="0.2">
      <c r="N64" s="24" t="s">
        <v>1375</v>
      </c>
      <c r="O64" s="33">
        <v>10673649</v>
      </c>
      <c r="P64" s="33">
        <v>5843</v>
      </c>
      <c r="Q64" s="33">
        <v>1958</v>
      </c>
      <c r="R64" s="33">
        <v>10101</v>
      </c>
      <c r="S64" s="95">
        <v>10691551</v>
      </c>
    </row>
    <row r="65" spans="14:19" x14ac:dyDescent="0.2">
      <c r="N65" s="24" t="s">
        <v>1376</v>
      </c>
      <c r="O65" s="33">
        <f>24282670-O27</f>
        <v>15774963</v>
      </c>
      <c r="P65" s="33">
        <f>507598-P27</f>
        <v>493014</v>
      </c>
      <c r="Q65" s="33">
        <v>4448</v>
      </c>
      <c r="R65" s="33">
        <f>1376660-R27</f>
        <v>1275044</v>
      </c>
      <c r="S65" s="95">
        <f>26171376-S27</f>
        <v>17547469</v>
      </c>
    </row>
    <row r="66" spans="14:19" x14ac:dyDescent="0.2">
      <c r="N66" s="24" t="s">
        <v>1377</v>
      </c>
      <c r="O66" s="33">
        <v>645302</v>
      </c>
      <c r="P66" s="33">
        <v>45239</v>
      </c>
      <c r="Q66" s="33">
        <v>99</v>
      </c>
      <c r="R66" s="33">
        <v>1</v>
      </c>
      <c r="S66" s="95">
        <v>690641</v>
      </c>
    </row>
    <row r="67" spans="14:19" x14ac:dyDescent="0.2">
      <c r="N67" s="24" t="s">
        <v>1378</v>
      </c>
      <c r="O67" s="33">
        <v>16032335</v>
      </c>
      <c r="P67" s="33">
        <v>68446</v>
      </c>
      <c r="Q67" s="33">
        <v>4224</v>
      </c>
      <c r="R67" s="33">
        <v>396331</v>
      </c>
      <c r="S67" s="95">
        <v>16501336</v>
      </c>
    </row>
    <row r="68" spans="14:19" x14ac:dyDescent="0.2">
      <c r="N68" s="24" t="s">
        <v>1379</v>
      </c>
      <c r="O68" s="33">
        <v>4895530</v>
      </c>
      <c r="P68" s="12">
        <v>568126</v>
      </c>
      <c r="Q68" s="33">
        <v>1890</v>
      </c>
      <c r="R68" s="33">
        <v>14391</v>
      </c>
      <c r="S68" s="95">
        <v>5479937</v>
      </c>
    </row>
    <row r="69" spans="14:19" x14ac:dyDescent="0.2">
      <c r="N69" s="24" t="s">
        <v>1380</v>
      </c>
      <c r="O69" s="33">
        <v>299923</v>
      </c>
      <c r="P69" s="33">
        <v>115807</v>
      </c>
      <c r="Q69" s="33">
        <v>464</v>
      </c>
      <c r="R69" s="33">
        <v>27</v>
      </c>
      <c r="S69" s="95">
        <v>416221</v>
      </c>
    </row>
    <row r="70" spans="14:19" x14ac:dyDescent="0.2">
      <c r="N70" s="24" t="s">
        <v>1381</v>
      </c>
      <c r="O70" s="33">
        <v>366357</v>
      </c>
      <c r="P70" s="33">
        <v>78229</v>
      </c>
      <c r="Q70" s="33">
        <v>609</v>
      </c>
      <c r="R70" s="33">
        <v>0</v>
      </c>
      <c r="S70" s="95">
        <v>445195</v>
      </c>
    </row>
    <row r="71" spans="14:19" x14ac:dyDescent="0.2">
      <c r="N71" s="97"/>
      <c r="O71" s="98"/>
      <c r="P71" s="98"/>
      <c r="Q71" s="98" t="s">
        <v>1382</v>
      </c>
      <c r="R71" s="98"/>
      <c r="S71" s="99">
        <f>SUM(S20:S70)</f>
        <v>727806157</v>
      </c>
    </row>
    <row r="73" spans="14:19" x14ac:dyDescent="0.2">
      <c r="N73" s="50" t="s">
        <v>1383</v>
      </c>
    </row>
  </sheetData>
  <phoneticPr fontId="25" type="noConversion"/>
  <hyperlinks>
    <hyperlink ref="N73" r:id="rId1" xr:uid="{00000000-0004-0000-2300-000000000000}"/>
  </hyperlinks>
  <pageMargins left="0.75" right="0.75" top="1" bottom="1" header="0.5" footer="0.5"/>
  <pageSetup orientation="portrait" r:id="rId2"/>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0" tint="-0.34998626667073579"/>
  </sheetPr>
  <dimension ref="A1:Z100"/>
  <sheetViews>
    <sheetView topLeftCell="K58" zoomScale="82" zoomScaleNormal="82" workbookViewId="0">
      <selection activeCell="P8" sqref="P8"/>
    </sheetView>
  </sheetViews>
  <sheetFormatPr defaultColWidth="9.140625" defaultRowHeight="12.75" x14ac:dyDescent="0.2"/>
  <cols>
    <col min="1" max="1" width="25.140625" style="148" customWidth="1"/>
    <col min="2" max="2" width="16.85546875" style="148" customWidth="1"/>
    <col min="3" max="3" width="23" style="148" customWidth="1"/>
    <col min="4" max="4" width="18.140625" style="148" customWidth="1"/>
    <col min="5" max="5" width="26.7109375" style="148" customWidth="1"/>
    <col min="6" max="6" width="13.85546875" style="148" customWidth="1"/>
    <col min="7" max="7" width="11.140625" style="148" customWidth="1"/>
    <col min="8" max="8" width="6.5703125" style="148" customWidth="1"/>
    <col min="9" max="9" width="5.140625" style="148" customWidth="1"/>
    <col min="10" max="10" width="20.140625" style="148" customWidth="1"/>
    <col min="11" max="14" width="12.5703125" style="148" customWidth="1"/>
    <col min="15" max="15" width="21.5703125" style="148" customWidth="1"/>
    <col min="16" max="16" width="7.140625" style="148" customWidth="1"/>
    <col min="17" max="24" width="9.140625" style="148"/>
    <col min="25" max="25" width="9.5703125" style="148" customWidth="1"/>
    <col min="26" max="16384" width="9.140625" style="148"/>
  </cols>
  <sheetData>
    <row r="1" spans="1:26" x14ac:dyDescent="0.2">
      <c r="A1" s="146"/>
      <c r="B1" s="144" t="s">
        <v>1384</v>
      </c>
      <c r="C1" s="146"/>
      <c r="D1" s="146"/>
      <c r="E1" s="146"/>
      <c r="F1" s="146"/>
      <c r="G1" s="146"/>
      <c r="H1" s="147"/>
      <c r="I1" s="464"/>
      <c r="J1" s="464"/>
      <c r="K1" s="464"/>
      <c r="L1" s="464"/>
      <c r="M1" s="464"/>
      <c r="N1" s="464"/>
      <c r="O1" s="464"/>
      <c r="P1" s="464"/>
      <c r="Q1" s="464"/>
      <c r="R1" s="464"/>
      <c r="S1" s="464"/>
      <c r="T1" s="464"/>
      <c r="U1" s="464"/>
      <c r="V1" s="464"/>
      <c r="W1" s="464"/>
      <c r="X1" s="464"/>
      <c r="Y1" s="464"/>
      <c r="Z1" s="464"/>
    </row>
    <row r="2" spans="1:26" x14ac:dyDescent="0.2">
      <c r="A2" s="149"/>
      <c r="B2" s="149"/>
      <c r="C2" s="149"/>
      <c r="D2" s="149"/>
      <c r="E2" s="149"/>
      <c r="F2" s="149"/>
      <c r="G2" s="149"/>
      <c r="H2" s="149"/>
      <c r="I2" s="145"/>
      <c r="J2" s="145"/>
      <c r="K2" s="145"/>
      <c r="L2" s="145"/>
      <c r="M2" s="145"/>
      <c r="N2" s="145"/>
      <c r="O2" s="145"/>
      <c r="P2" s="145"/>
      <c r="Q2" s="145"/>
      <c r="R2" s="145"/>
      <c r="S2" s="145"/>
      <c r="T2" s="145"/>
      <c r="U2" s="145"/>
      <c r="V2" s="145"/>
      <c r="W2" s="145"/>
      <c r="X2" s="145"/>
      <c r="Y2" s="145"/>
      <c r="Z2" s="145"/>
    </row>
    <row r="3" spans="1:26" ht="13.5" thickBot="1" x14ac:dyDescent="0.25">
      <c r="A3" s="150" t="s">
        <v>682</v>
      </c>
      <c r="B3" s="150" t="s">
        <v>494</v>
      </c>
      <c r="C3" s="150" t="s">
        <v>495</v>
      </c>
      <c r="D3" s="151" t="s">
        <v>1050</v>
      </c>
      <c r="E3" s="151" t="s">
        <v>474</v>
      </c>
      <c r="F3" s="152" t="s">
        <v>476</v>
      </c>
      <c r="G3" s="152" t="s">
        <v>477</v>
      </c>
      <c r="H3" s="152" t="s">
        <v>475</v>
      </c>
      <c r="I3" s="145"/>
      <c r="J3" s="145">
        <v>2010</v>
      </c>
      <c r="K3" s="145">
        <v>2015</v>
      </c>
      <c r="L3" s="145">
        <v>2020</v>
      </c>
      <c r="M3" s="145">
        <v>2025</v>
      </c>
      <c r="N3" s="145">
        <v>2030</v>
      </c>
      <c r="O3" s="145">
        <v>2035</v>
      </c>
      <c r="P3" s="145"/>
      <c r="Q3" s="145"/>
      <c r="R3" s="145"/>
      <c r="S3" s="145"/>
      <c r="T3" s="145"/>
      <c r="U3" s="145"/>
      <c r="V3" s="145"/>
      <c r="W3" s="145"/>
      <c r="X3" s="145"/>
      <c r="Y3" s="145"/>
      <c r="Z3" s="145"/>
    </row>
    <row r="4" spans="1:26" ht="33.75" x14ac:dyDescent="0.2">
      <c r="A4" s="153"/>
      <c r="B4" s="153"/>
      <c r="C4" s="64"/>
      <c r="D4" s="152"/>
      <c r="E4" s="152"/>
      <c r="F4" s="154" t="s">
        <v>1385</v>
      </c>
      <c r="G4" s="154" t="s">
        <v>1385</v>
      </c>
      <c r="H4" s="154" t="s">
        <v>1264</v>
      </c>
      <c r="I4" s="145"/>
      <c r="J4" s="145"/>
      <c r="K4" s="145"/>
      <c r="L4" s="145"/>
      <c r="M4" s="145"/>
      <c r="N4" s="145"/>
      <c r="O4" s="145"/>
      <c r="P4" s="465"/>
      <c r="Q4" s="155" t="s">
        <v>1386</v>
      </c>
      <c r="R4" s="155"/>
      <c r="S4" s="155"/>
      <c r="T4" s="155"/>
      <c r="U4" s="155"/>
      <c r="V4" s="155"/>
      <c r="W4" s="155"/>
      <c r="X4" s="155"/>
      <c r="Y4" s="466"/>
      <c r="Z4" s="145"/>
    </row>
    <row r="5" spans="1:26" x14ac:dyDescent="0.2">
      <c r="A5" s="64" t="s">
        <v>1387</v>
      </c>
      <c r="B5" s="64" t="s">
        <v>678</v>
      </c>
      <c r="C5" s="64" t="s">
        <v>758</v>
      </c>
      <c r="D5" s="152">
        <v>1980</v>
      </c>
      <c r="E5" s="152">
        <v>30</v>
      </c>
      <c r="F5" s="156">
        <v>23.842986507042003</v>
      </c>
      <c r="G5" s="157">
        <f>0.06*F5</f>
        <v>1.43057919042252</v>
      </c>
      <c r="H5" s="158">
        <f>'AEO Data'!B111/'AEO Data'!B114/'Conv Factors'!B13</f>
        <v>2.7635668727577114</v>
      </c>
      <c r="I5" s="145"/>
      <c r="J5" s="467">
        <f>'AEO Data'!G111/'AEO Data'!G114/'Conv Factors'!B13</f>
        <v>3.2636303439067462</v>
      </c>
      <c r="K5" s="467">
        <f>'AEO Data'!L111/'AEO Data'!L114/'Conv Factors'!B13</f>
        <v>3.2794059114590817</v>
      </c>
      <c r="L5" s="467">
        <f>'AEO Data'!Q111/'AEO Data'!Q114/'Conv Factors'!B13</f>
        <v>3.2957703819082056</v>
      </c>
      <c r="M5" s="467">
        <f>'AEO Data'!V111/'AEO Data'!V114/'Conv Factors'!B13</f>
        <v>3.3125113242451758</v>
      </c>
      <c r="N5" s="467">
        <f>'AEO Data'!AA111/'AEO Data'!AA114/'Conv Factors'!B13</f>
        <v>3.3292965208679206</v>
      </c>
      <c r="O5" s="467">
        <f>'AEO Data'!AF111/'AEO Data'!AF114/'Conv Factors'!B13</f>
        <v>3.3463433124975226</v>
      </c>
      <c r="P5" s="174" t="s">
        <v>683</v>
      </c>
      <c r="Q5" s="159" t="s">
        <v>1030</v>
      </c>
      <c r="R5" s="159" t="s">
        <v>182</v>
      </c>
      <c r="S5" s="159" t="s">
        <v>184</v>
      </c>
      <c r="T5" s="159" t="s">
        <v>186</v>
      </c>
      <c r="U5" s="159" t="s">
        <v>188</v>
      </c>
      <c r="V5" s="159" t="s">
        <v>190</v>
      </c>
      <c r="W5" s="159" t="s">
        <v>1126</v>
      </c>
      <c r="X5" s="159" t="s">
        <v>1127</v>
      </c>
      <c r="Y5" s="160" t="s">
        <v>1128</v>
      </c>
      <c r="Z5" s="145"/>
    </row>
    <row r="6" spans="1:26" x14ac:dyDescent="0.2">
      <c r="A6" s="119" t="s">
        <v>1388</v>
      </c>
      <c r="B6" s="161" t="s">
        <v>678</v>
      </c>
      <c r="C6" s="64" t="s">
        <v>758</v>
      </c>
      <c r="D6" s="64" t="s">
        <v>1389</v>
      </c>
      <c r="E6" s="152">
        <v>30</v>
      </c>
      <c r="F6" s="156">
        <v>31.239056487930078</v>
      </c>
      <c r="G6" s="162">
        <f>0.0153508877090566+G5</f>
        <v>1.4459300781315767</v>
      </c>
      <c r="H6" s="163">
        <v>3.6884714796352243</v>
      </c>
      <c r="I6" s="145"/>
      <c r="J6" s="145"/>
      <c r="K6" s="145"/>
      <c r="L6" s="145"/>
      <c r="M6" s="145"/>
      <c r="N6" s="145"/>
      <c r="O6" s="145"/>
      <c r="P6" s="174" t="s">
        <v>11</v>
      </c>
      <c r="Q6" s="159">
        <v>0</v>
      </c>
      <c r="R6" s="159">
        <v>0</v>
      </c>
      <c r="S6" s="159">
        <v>0</v>
      </c>
      <c r="T6" s="159">
        <v>0</v>
      </c>
      <c r="U6" s="159">
        <v>0</v>
      </c>
      <c r="V6" s="159">
        <v>0</v>
      </c>
      <c r="W6" s="159">
        <v>0</v>
      </c>
      <c r="X6" s="159">
        <v>0</v>
      </c>
      <c r="Y6" s="160">
        <v>0</v>
      </c>
      <c r="Z6" s="145"/>
    </row>
    <row r="7" spans="1:26" ht="23.25" thickBot="1" x14ac:dyDescent="0.25">
      <c r="A7" s="119" t="s">
        <v>1390</v>
      </c>
      <c r="B7" s="161" t="s">
        <v>678</v>
      </c>
      <c r="C7" s="64" t="s">
        <v>758</v>
      </c>
      <c r="D7" s="64">
        <v>2020</v>
      </c>
      <c r="E7" s="152">
        <v>30</v>
      </c>
      <c r="F7" s="156">
        <v>31.162302049384802</v>
      </c>
      <c r="G7" s="162">
        <f>0.0153508877090566+G5</f>
        <v>1.4459300781315767</v>
      </c>
      <c r="H7" s="163">
        <v>3.6884714796352243</v>
      </c>
      <c r="I7" s="145"/>
      <c r="J7" s="145"/>
      <c r="K7" s="145"/>
      <c r="L7" s="145"/>
      <c r="M7" s="145"/>
      <c r="N7" s="145"/>
      <c r="O7" s="145"/>
      <c r="P7" s="468"/>
      <c r="Q7" s="164" t="s">
        <v>1391</v>
      </c>
      <c r="R7" s="164"/>
      <c r="S7" s="164"/>
      <c r="T7" s="164"/>
      <c r="U7" s="164"/>
      <c r="V7" s="164"/>
      <c r="W7" s="164"/>
      <c r="X7" s="164"/>
      <c r="Y7" s="469"/>
      <c r="Z7" s="145"/>
    </row>
    <row r="8" spans="1:26" x14ac:dyDescent="0.2">
      <c r="A8" s="119" t="s">
        <v>1392</v>
      </c>
      <c r="B8" s="161" t="s">
        <v>678</v>
      </c>
      <c r="C8" s="64" t="s">
        <v>758</v>
      </c>
      <c r="D8" s="64" t="s">
        <v>1389</v>
      </c>
      <c r="E8" s="165">
        <v>30</v>
      </c>
      <c r="F8" s="156">
        <v>27.462224962102798</v>
      </c>
      <c r="G8" s="162">
        <f>G5+0.00368421305017357</f>
        <v>1.4342634034726935</v>
      </c>
      <c r="H8" s="163">
        <v>3.0737262330293533</v>
      </c>
      <c r="I8" s="145"/>
      <c r="J8" s="145"/>
      <c r="K8" s="145"/>
      <c r="L8" s="145"/>
      <c r="M8" s="145"/>
      <c r="N8" s="145"/>
      <c r="O8" s="145"/>
      <c r="P8" s="175" t="s">
        <v>1393</v>
      </c>
      <c r="Q8" s="155"/>
      <c r="R8" s="155"/>
      <c r="S8" s="155"/>
      <c r="T8" s="155"/>
      <c r="U8" s="155"/>
      <c r="V8" s="155"/>
      <c r="W8" s="155"/>
      <c r="X8" s="155"/>
      <c r="Y8" s="466"/>
      <c r="Z8" s="145"/>
    </row>
    <row r="9" spans="1:26" ht="22.5" x14ac:dyDescent="0.2">
      <c r="A9" s="119" t="s">
        <v>1394</v>
      </c>
      <c r="B9" s="161" t="s">
        <v>678</v>
      </c>
      <c r="C9" s="64" t="s">
        <v>758</v>
      </c>
      <c r="D9" s="64">
        <v>2020</v>
      </c>
      <c r="E9" s="165">
        <v>30</v>
      </c>
      <c r="F9" s="156">
        <v>27.443036352466475</v>
      </c>
      <c r="G9" s="162">
        <f>G5+0.00368421305017357</f>
        <v>1.4342634034726935</v>
      </c>
      <c r="H9" s="163">
        <v>3.0737262330293533</v>
      </c>
      <c r="I9" s="145"/>
      <c r="J9" s="145"/>
      <c r="K9" s="145"/>
      <c r="L9" s="145"/>
      <c r="M9" s="145"/>
      <c r="N9" s="145"/>
      <c r="O9" s="145"/>
      <c r="P9" s="174" t="s">
        <v>683</v>
      </c>
      <c r="Q9" s="159" t="s">
        <v>1030</v>
      </c>
      <c r="R9" s="159" t="s">
        <v>182</v>
      </c>
      <c r="S9" s="159" t="s">
        <v>184</v>
      </c>
      <c r="T9" s="159" t="s">
        <v>186</v>
      </c>
      <c r="U9" s="159" t="s">
        <v>188</v>
      </c>
      <c r="V9" s="159" t="s">
        <v>190</v>
      </c>
      <c r="W9" s="159" t="s">
        <v>1126</v>
      </c>
      <c r="X9" s="159" t="s">
        <v>1127</v>
      </c>
      <c r="Y9" s="160" t="s">
        <v>1128</v>
      </c>
      <c r="Z9" s="145"/>
    </row>
    <row r="10" spans="1:26" x14ac:dyDescent="0.2">
      <c r="A10" s="64" t="s">
        <v>1395</v>
      </c>
      <c r="B10" s="64" t="s">
        <v>678</v>
      </c>
      <c r="C10" s="64" t="s">
        <v>758</v>
      </c>
      <c r="D10" s="64" t="s">
        <v>1389</v>
      </c>
      <c r="E10" s="64">
        <v>30</v>
      </c>
      <c r="F10" s="156">
        <v>24.192367247674138</v>
      </c>
      <c r="G10" s="162">
        <f>G5+0.0120098371800735</f>
        <v>1.4425890276025934</v>
      </c>
      <c r="H10" s="163">
        <v>3.1899834060498367</v>
      </c>
      <c r="I10" s="145"/>
      <c r="J10" s="145"/>
      <c r="K10" s="145"/>
      <c r="L10" s="145"/>
      <c r="M10" s="145"/>
      <c r="N10" s="145"/>
      <c r="O10" s="145"/>
      <c r="P10" s="174" t="s">
        <v>11</v>
      </c>
      <c r="Q10" s="159">
        <v>0</v>
      </c>
      <c r="R10" s="159">
        <v>0.54</v>
      </c>
      <c r="S10" s="159">
        <v>22.44</v>
      </c>
      <c r="T10" s="159">
        <v>23.67</v>
      </c>
      <c r="U10" s="159">
        <v>2.37</v>
      </c>
      <c r="V10" s="159">
        <v>2.4300000000000002</v>
      </c>
      <c r="W10" s="159">
        <v>2.44</v>
      </c>
      <c r="X10" s="159">
        <v>0</v>
      </c>
      <c r="Y10" s="160">
        <v>0</v>
      </c>
      <c r="Z10" s="145"/>
    </row>
    <row r="11" spans="1:26" ht="13.5" thickBot="1" x14ac:dyDescent="0.25">
      <c r="A11" s="64" t="s">
        <v>1396</v>
      </c>
      <c r="B11" s="64" t="s">
        <v>678</v>
      </c>
      <c r="C11" s="64" t="s">
        <v>1131</v>
      </c>
      <c r="D11" s="64" t="s">
        <v>1389</v>
      </c>
      <c r="E11" s="64">
        <v>30</v>
      </c>
      <c r="F11" s="156">
        <f>F5</f>
        <v>23.842986507042003</v>
      </c>
      <c r="G11" s="162">
        <f>G5</f>
        <v>1.43057919042252</v>
      </c>
      <c r="H11" s="163">
        <f>H5/1.01</f>
        <v>2.7362048245125856</v>
      </c>
      <c r="I11" s="145"/>
      <c r="J11" s="467">
        <f t="shared" ref="J11:O11" si="0">J5/1.01</f>
        <v>3.2313171721848972</v>
      </c>
      <c r="K11" s="467">
        <f t="shared" si="0"/>
        <v>3.2469365459990907</v>
      </c>
      <c r="L11" s="467">
        <f t="shared" si="0"/>
        <v>3.2631389919883222</v>
      </c>
      <c r="M11" s="467">
        <f t="shared" si="0"/>
        <v>3.2797141824209661</v>
      </c>
      <c r="N11" s="467">
        <f t="shared" si="0"/>
        <v>3.2963331889781391</v>
      </c>
      <c r="O11" s="467">
        <f t="shared" si="0"/>
        <v>3.3132112004925967</v>
      </c>
      <c r="P11" s="468"/>
      <c r="Q11" s="164"/>
      <c r="R11" s="164"/>
      <c r="S11" s="164"/>
      <c r="T11" s="164"/>
      <c r="U11" s="164"/>
      <c r="V11" s="164"/>
      <c r="W11" s="164"/>
      <c r="X11" s="164"/>
      <c r="Y11" s="469"/>
      <c r="Z11" s="145"/>
    </row>
    <row r="12" spans="1:26" x14ac:dyDescent="0.2">
      <c r="A12" s="64" t="s">
        <v>1158</v>
      </c>
      <c r="B12" s="64" t="s">
        <v>678</v>
      </c>
      <c r="C12" s="64" t="s">
        <v>1158</v>
      </c>
      <c r="D12" s="64" t="s">
        <v>1389</v>
      </c>
      <c r="E12" s="64">
        <v>30</v>
      </c>
      <c r="F12" s="156">
        <v>25.343813499419113</v>
      </c>
      <c r="G12" s="162">
        <f>G8</f>
        <v>1.4342634034726935</v>
      </c>
      <c r="H12" s="163">
        <f>H5</f>
        <v>2.7635668727577114</v>
      </c>
      <c r="I12" s="145"/>
      <c r="J12" s="145"/>
      <c r="K12" s="145"/>
      <c r="L12" s="145"/>
      <c r="M12" s="145"/>
      <c r="N12" s="145"/>
      <c r="O12" s="145"/>
      <c r="P12" s="145"/>
      <c r="Q12" s="145"/>
      <c r="R12" s="145"/>
      <c r="S12" s="145"/>
      <c r="T12" s="145"/>
      <c r="U12" s="145"/>
      <c r="V12" s="145"/>
      <c r="W12" s="145"/>
      <c r="X12" s="145"/>
      <c r="Y12" s="145"/>
      <c r="Z12" s="145"/>
    </row>
    <row r="13" spans="1:26" x14ac:dyDescent="0.2">
      <c r="A13" s="149"/>
      <c r="B13" s="149"/>
      <c r="C13" s="149"/>
      <c r="D13" s="149"/>
      <c r="E13" s="149"/>
      <c r="F13" s="149"/>
      <c r="G13" s="166" t="s">
        <v>1397</v>
      </c>
      <c r="H13" s="149"/>
      <c r="I13" s="145"/>
      <c r="J13" s="145"/>
      <c r="K13" s="145"/>
      <c r="L13" s="145"/>
      <c r="M13" s="145"/>
      <c r="N13" s="145"/>
      <c r="O13" s="145"/>
      <c r="P13" s="145"/>
      <c r="Q13" s="145"/>
      <c r="R13" s="145"/>
      <c r="S13" s="145"/>
      <c r="T13" s="145"/>
      <c r="U13" s="145"/>
      <c r="V13" s="145"/>
      <c r="W13" s="145"/>
      <c r="X13" s="145"/>
      <c r="Y13" s="145"/>
      <c r="Z13" s="145"/>
    </row>
    <row r="14" spans="1:26" x14ac:dyDescent="0.2">
      <c r="A14" s="145"/>
      <c r="B14" s="145"/>
      <c r="C14" s="470" t="s">
        <v>697</v>
      </c>
      <c r="D14" s="470" t="s">
        <v>1398</v>
      </c>
      <c r="E14" s="470" t="s">
        <v>698</v>
      </c>
      <c r="F14" s="145"/>
      <c r="G14" s="166" t="s">
        <v>1399</v>
      </c>
      <c r="H14" s="145"/>
      <c r="I14" s="145"/>
      <c r="J14" s="145"/>
      <c r="K14" s="145"/>
      <c r="L14" s="145"/>
      <c r="M14" s="145"/>
      <c r="N14" s="145"/>
      <c r="O14" s="145"/>
      <c r="P14" s="145"/>
      <c r="Q14" s="145"/>
      <c r="R14" s="145"/>
      <c r="S14" s="145"/>
      <c r="T14" s="145"/>
      <c r="U14" s="145"/>
      <c r="V14" s="145"/>
      <c r="W14" s="145"/>
      <c r="X14" s="145"/>
      <c r="Y14" s="145"/>
      <c r="Z14" s="145"/>
    </row>
    <row r="15" spans="1:26" x14ac:dyDescent="0.2">
      <c r="A15" s="64" t="s">
        <v>792</v>
      </c>
      <c r="B15" s="471" t="s">
        <v>684</v>
      </c>
      <c r="C15" s="145">
        <f>ROUND((G35+G48+G50+G58+G68+G74)/G80,4)</f>
        <v>5.3E-3</v>
      </c>
      <c r="D15" s="145">
        <f>ROUND((N35+N48+N50+N58+N68+N74)/N80,4)</f>
        <v>2.2700000000000001E-2</v>
      </c>
      <c r="E15" s="145">
        <f>ROUND((Y35+Y48+Y50+Y58+Y68+Y74)/Y80,4)</f>
        <v>8.8999999999999999E-3</v>
      </c>
      <c r="F15" s="145"/>
      <c r="G15" s="145"/>
      <c r="H15" s="145"/>
      <c r="I15" s="145"/>
      <c r="J15" s="145"/>
      <c r="K15" s="145"/>
      <c r="L15" s="145"/>
      <c r="M15" s="145"/>
      <c r="N15" s="145"/>
      <c r="O15" s="145"/>
      <c r="P15" s="145"/>
      <c r="Q15" s="145"/>
      <c r="R15" s="145"/>
      <c r="S15" s="145"/>
      <c r="T15" s="145"/>
      <c r="U15" s="145"/>
      <c r="V15" s="145"/>
      <c r="W15" s="145"/>
      <c r="X15" s="145"/>
      <c r="Y15" s="145"/>
      <c r="Z15" s="145"/>
    </row>
    <row r="16" spans="1:26" x14ac:dyDescent="0.2">
      <c r="A16" s="472" t="s">
        <v>793</v>
      </c>
      <c r="B16" s="473" t="s">
        <v>685</v>
      </c>
      <c r="C16" s="145">
        <f>ROUND((G59+G61+G67)/G80,4)</f>
        <v>4.5199999999999997E-2</v>
      </c>
      <c r="D16" s="145">
        <f>ROUND((N59+N61+N67)/N80,4)</f>
        <v>7.7499999999999999E-2</v>
      </c>
      <c r="E16" s="145">
        <f>ROUND((Y59+Y61+Y67)/Y80,4)</f>
        <v>0.10100000000000001</v>
      </c>
      <c r="F16" s="145"/>
      <c r="G16" s="145"/>
      <c r="H16" s="145"/>
      <c r="I16" s="145"/>
      <c r="J16" s="145"/>
      <c r="K16" s="145"/>
      <c r="L16" s="145"/>
      <c r="M16" s="145"/>
      <c r="N16" s="145"/>
      <c r="O16" s="145"/>
      <c r="P16" s="145"/>
      <c r="Q16" s="145"/>
      <c r="R16" s="145"/>
      <c r="S16" s="145"/>
      <c r="T16" s="145"/>
      <c r="U16" s="145"/>
      <c r="V16" s="145"/>
      <c r="W16" s="145"/>
      <c r="X16" s="145"/>
      <c r="Y16" s="145"/>
      <c r="Z16" s="145"/>
    </row>
    <row r="17" spans="1:25" x14ac:dyDescent="0.2">
      <c r="A17" s="474" t="s">
        <v>794</v>
      </c>
      <c r="B17" s="475" t="s">
        <v>686</v>
      </c>
      <c r="C17" s="145">
        <f>ROUND((G36+G37+G38+G39+G49+G62+G69+G75+G77)/G80,4)</f>
        <v>0.15920000000000001</v>
      </c>
      <c r="D17" s="145">
        <f>ROUND((N36+N37+N38+N39+N49+N62+N69+N75+N77)/N80,4)</f>
        <v>0.16569999999999999</v>
      </c>
      <c r="E17" s="145">
        <f>ROUND((Y36+Y37+Y38+Y39+Y49+Y62+Y69+Y75+Y77)/Y80,4)</f>
        <v>0.1111</v>
      </c>
      <c r="F17" s="145"/>
      <c r="G17" s="145"/>
      <c r="H17" s="145"/>
      <c r="I17" s="145"/>
      <c r="J17" s="145"/>
      <c r="K17" s="145"/>
      <c r="L17" s="145"/>
      <c r="M17" s="145"/>
      <c r="N17" s="145"/>
      <c r="O17" s="145"/>
      <c r="P17" s="145"/>
      <c r="Q17" s="145"/>
      <c r="R17" s="145"/>
      <c r="S17" s="145"/>
      <c r="T17" s="145"/>
      <c r="U17" s="145"/>
      <c r="V17" s="145"/>
      <c r="W17" s="145"/>
      <c r="X17" s="145"/>
      <c r="Y17" s="145"/>
    </row>
    <row r="18" spans="1:25" x14ac:dyDescent="0.2">
      <c r="A18" s="476" t="s">
        <v>795</v>
      </c>
      <c r="B18" s="477" t="s">
        <v>687</v>
      </c>
      <c r="C18" s="145">
        <f>ROUND((G29+G46+G53+G71)/G80,4)</f>
        <v>8.3900000000000002E-2</v>
      </c>
      <c r="D18" s="145">
        <f>ROUND((N29+N46+N53+N71)/N80,4)</f>
        <v>7.4999999999999997E-2</v>
      </c>
      <c r="E18" s="145">
        <f>ROUND((Y29+Y46+Y53+Y71)/Y80,4)</f>
        <v>0.12909999999999999</v>
      </c>
      <c r="F18" s="145"/>
      <c r="G18" s="145"/>
      <c r="H18" s="145"/>
      <c r="I18" s="145"/>
      <c r="J18" s="145"/>
      <c r="K18" s="145"/>
      <c r="L18" s="145"/>
      <c r="M18" s="145"/>
      <c r="N18" s="145"/>
      <c r="O18" s="145"/>
      <c r="P18" s="145"/>
      <c r="Q18" s="145"/>
      <c r="R18" s="145"/>
      <c r="S18" s="145"/>
      <c r="T18" s="145"/>
      <c r="U18" s="145"/>
      <c r="V18" s="145"/>
      <c r="W18" s="145"/>
      <c r="X18" s="145"/>
      <c r="Y18" s="145"/>
    </row>
    <row r="19" spans="1:25" x14ac:dyDescent="0.2">
      <c r="A19" s="478" t="s">
        <v>796</v>
      </c>
      <c r="B19" s="479" t="s">
        <v>688</v>
      </c>
      <c r="C19" s="145">
        <f>ROUND((G42+G43+G51+G64+G78)/G80,4)</f>
        <v>0.14219999999999999</v>
      </c>
      <c r="D19" s="145">
        <f>ROUND((N42+N43+N51+N64+N78)/N80,4)</f>
        <v>0.1792</v>
      </c>
      <c r="E19" s="145">
        <f>ROUND((Y42+Y43+Y51+Y64+Y78)/Y80,4)</f>
        <v>0.20910000000000001</v>
      </c>
      <c r="F19" s="145"/>
      <c r="G19" s="145"/>
      <c r="H19" s="145"/>
      <c r="I19" s="145"/>
      <c r="J19" s="145"/>
      <c r="K19" s="145"/>
      <c r="L19" s="145"/>
      <c r="M19" s="145"/>
      <c r="N19" s="145"/>
      <c r="O19" s="145"/>
      <c r="P19" s="145"/>
      <c r="Q19" s="145"/>
      <c r="R19" s="145"/>
      <c r="S19" s="145"/>
      <c r="T19" s="145"/>
      <c r="U19" s="145"/>
      <c r="V19" s="145"/>
      <c r="W19" s="145"/>
      <c r="X19" s="145"/>
      <c r="Y19" s="145"/>
    </row>
    <row r="20" spans="1:25" x14ac:dyDescent="0.2">
      <c r="A20" s="480" t="s">
        <v>797</v>
      </c>
      <c r="B20" s="481" t="s">
        <v>689</v>
      </c>
      <c r="C20" s="145">
        <f>ROUND((G32+G47+G65+G72)/G80,4)</f>
        <v>0.1055</v>
      </c>
      <c r="D20" s="145">
        <f>ROUND((N32+N47+N65+N72)/N80,4)</f>
        <v>0.1472</v>
      </c>
      <c r="E20" s="145">
        <f>ROUND((Y32+Y47+Y65+Y72)/Y80,4)</f>
        <v>0.26290000000000002</v>
      </c>
      <c r="F20" s="145"/>
      <c r="G20" s="145"/>
      <c r="H20" s="145"/>
      <c r="I20" s="145"/>
      <c r="J20" s="145"/>
      <c r="K20" s="145"/>
      <c r="L20" s="145"/>
      <c r="M20" s="145"/>
      <c r="N20" s="145"/>
      <c r="O20" s="145"/>
      <c r="P20" s="145"/>
      <c r="Q20" s="145"/>
      <c r="R20" s="145"/>
      <c r="S20" s="145"/>
      <c r="T20" s="145"/>
      <c r="U20" s="145"/>
      <c r="V20" s="145"/>
      <c r="W20" s="145"/>
      <c r="X20" s="145"/>
      <c r="Y20" s="145"/>
    </row>
    <row r="21" spans="1:25" x14ac:dyDescent="0.2">
      <c r="A21" s="482" t="s">
        <v>798</v>
      </c>
      <c r="B21" s="483" t="s">
        <v>690</v>
      </c>
      <c r="C21" s="145">
        <f>ROUND((G44+G45+G52+G54+G56+G63+G70)/G80,4)</f>
        <v>0.1153</v>
      </c>
      <c r="D21" s="145">
        <f>ROUND((N44+N45+N52+N54+N56+N63+N70)/N80,4)</f>
        <v>0.1089</v>
      </c>
      <c r="E21" s="145">
        <f>ROUND((Y44+Y45+Y52+Y54+Y56+Y63+Y70)/Y80,4)</f>
        <v>6.8599999999999994E-2</v>
      </c>
      <c r="F21" s="145"/>
      <c r="G21" s="145"/>
      <c r="H21" s="145"/>
      <c r="I21" s="145"/>
      <c r="J21" s="145"/>
      <c r="K21" s="145"/>
      <c r="L21" s="145"/>
      <c r="M21" s="145"/>
      <c r="N21" s="145"/>
      <c r="O21" s="145"/>
      <c r="P21" s="145"/>
      <c r="Q21" s="145"/>
      <c r="R21" s="145"/>
      <c r="S21" s="145"/>
      <c r="T21" s="145"/>
      <c r="U21" s="145"/>
      <c r="V21" s="145"/>
      <c r="W21" s="145"/>
      <c r="X21" s="145"/>
      <c r="Y21" s="145"/>
    </row>
    <row r="22" spans="1:25" x14ac:dyDescent="0.2">
      <c r="A22" s="484" t="s">
        <v>799</v>
      </c>
      <c r="B22" s="485" t="s">
        <v>691</v>
      </c>
      <c r="C22" s="145">
        <f>ROUND((G31+G34+G41+G55+G57+G60+G73+G79)/G80,4)</f>
        <v>0.28249999999999997</v>
      </c>
      <c r="D22" s="145">
        <f>ROUND((N31+N34+N41+N55+N57+N60+N73+N79)/N80,4)</f>
        <v>9.7900000000000001E-2</v>
      </c>
      <c r="E22" s="145">
        <f>ROUND((Y31+Y34+Y41+Y55+Y57+Y60+Y73+Y79)/Y80,4)</f>
        <v>8.9999999999999998E-4</v>
      </c>
      <c r="F22" s="145"/>
      <c r="G22" s="145"/>
      <c r="H22" s="145"/>
      <c r="I22" s="145"/>
      <c r="J22" s="145"/>
      <c r="K22" s="145"/>
      <c r="L22" s="145"/>
      <c r="M22" s="145"/>
      <c r="N22" s="145"/>
      <c r="O22" s="145"/>
      <c r="P22" s="145"/>
      <c r="Q22" s="145"/>
      <c r="R22" s="145"/>
      <c r="S22" s="145"/>
      <c r="T22" s="145"/>
      <c r="U22" s="145"/>
      <c r="V22" s="145"/>
      <c r="W22" s="145"/>
      <c r="X22" s="145"/>
      <c r="Y22" s="145"/>
    </row>
    <row r="23" spans="1:25" x14ac:dyDescent="0.2">
      <c r="A23" s="486" t="s">
        <v>800</v>
      </c>
      <c r="B23" s="487" t="s">
        <v>692</v>
      </c>
      <c r="C23" s="145">
        <f>ROUND((G30+G33+G40+G66+G76)/G80,4)</f>
        <v>6.0900000000000003E-2</v>
      </c>
      <c r="D23" s="145">
        <f>ROUND((N30+N33+N40+N66+N76)/N80,4)+0.0001</f>
        <v>0.12589999999999998</v>
      </c>
      <c r="E23" s="145">
        <f>ROUND((Y30+Y33+Y40+Y66+Y76)/Y80,4)</f>
        <v>0.1084</v>
      </c>
      <c r="F23" s="145"/>
      <c r="G23" s="145"/>
      <c r="H23" s="145"/>
      <c r="I23" s="145"/>
      <c r="J23" s="145"/>
      <c r="K23" s="145"/>
      <c r="L23" s="145"/>
      <c r="M23" s="145"/>
      <c r="N23" s="145"/>
      <c r="O23" s="145"/>
      <c r="P23" s="145"/>
      <c r="Q23" s="145"/>
      <c r="R23" s="145"/>
      <c r="S23" s="145"/>
      <c r="T23" s="145"/>
      <c r="U23" s="145"/>
      <c r="V23" s="145"/>
      <c r="W23" s="145"/>
      <c r="X23" s="145"/>
      <c r="Y23" s="145"/>
    </row>
    <row r="24" spans="1:25" x14ac:dyDescent="0.2">
      <c r="A24" s="145"/>
      <c r="B24" s="145"/>
      <c r="C24" s="488"/>
      <c r="D24" s="145"/>
      <c r="E24" s="145"/>
      <c r="F24" s="145"/>
      <c r="G24" s="145"/>
      <c r="H24" s="145"/>
      <c r="I24" s="145"/>
      <c r="J24" s="145"/>
      <c r="K24" s="145"/>
      <c r="L24" s="145"/>
      <c r="M24" s="145"/>
      <c r="N24" s="145"/>
      <c r="O24" s="145"/>
      <c r="P24" s="145"/>
      <c r="Q24" s="145"/>
      <c r="R24" s="145"/>
      <c r="S24" s="145"/>
      <c r="T24" s="145"/>
      <c r="U24" s="145"/>
      <c r="V24" s="145"/>
      <c r="W24" s="145"/>
      <c r="X24" s="145"/>
      <c r="Y24" s="145"/>
    </row>
    <row r="25" spans="1:25" x14ac:dyDescent="0.2">
      <c r="A25" s="861" t="s">
        <v>1400</v>
      </c>
      <c r="B25" s="861"/>
      <c r="C25" s="861"/>
      <c r="D25" s="861"/>
      <c r="E25" s="861"/>
      <c r="F25" s="461"/>
      <c r="G25" s="461"/>
      <c r="H25" s="461"/>
      <c r="I25" s="489"/>
      <c r="J25" s="149" t="s">
        <v>1401</v>
      </c>
      <c r="K25" s="145"/>
      <c r="L25" s="145"/>
      <c r="M25" s="145"/>
      <c r="N25" s="145"/>
      <c r="O25" s="145"/>
      <c r="P25" s="489"/>
      <c r="Q25" s="861" t="s">
        <v>1402</v>
      </c>
      <c r="R25" s="861"/>
      <c r="S25" s="861"/>
      <c r="T25" s="861"/>
      <c r="U25" s="861"/>
      <c r="V25" s="861"/>
      <c r="W25" s="861"/>
      <c r="X25" s="145"/>
      <c r="Y25" s="145"/>
    </row>
    <row r="26" spans="1:25" ht="13.5" thickBot="1" x14ac:dyDescent="0.25">
      <c r="A26" s="862"/>
      <c r="B26" s="862"/>
      <c r="C26" s="862"/>
      <c r="D26" s="862"/>
      <c r="E26" s="490"/>
      <c r="F26" s="490"/>
      <c r="G26" s="490"/>
      <c r="H26" s="490"/>
      <c r="I26" s="489"/>
      <c r="J26" s="865" t="s">
        <v>1403</v>
      </c>
      <c r="K26" s="865"/>
      <c r="L26" s="865"/>
      <c r="M26" s="865"/>
      <c r="N26" s="462"/>
      <c r="O26" s="462"/>
      <c r="P26" s="489"/>
      <c r="Q26" s="871" t="s">
        <v>1404</v>
      </c>
      <c r="R26" s="871"/>
      <c r="S26" s="871"/>
      <c r="T26" s="871"/>
      <c r="U26" s="871"/>
      <c r="V26" s="871"/>
      <c r="W26" s="871"/>
      <c r="X26" s="145"/>
      <c r="Y26" s="145"/>
    </row>
    <row r="27" spans="1:25" ht="13.5" customHeight="1" thickBot="1" x14ac:dyDescent="0.25">
      <c r="A27" s="491"/>
      <c r="B27" s="863" t="s">
        <v>1405</v>
      </c>
      <c r="C27" s="863"/>
      <c r="D27" s="864" t="s">
        <v>1406</v>
      </c>
      <c r="E27" s="863"/>
      <c r="F27" s="492"/>
      <c r="G27" s="492"/>
      <c r="H27" s="492"/>
      <c r="I27" s="489"/>
      <c r="J27" s="866"/>
      <c r="K27" s="866"/>
      <c r="L27" s="867"/>
      <c r="M27" s="867"/>
      <c r="N27" s="493"/>
      <c r="O27" s="493"/>
      <c r="P27" s="489"/>
      <c r="Q27" s="494"/>
      <c r="R27" s="495"/>
      <c r="S27" s="864" t="s">
        <v>1407</v>
      </c>
      <c r="T27" s="872"/>
      <c r="U27" s="863" t="s">
        <v>1408</v>
      </c>
      <c r="V27" s="863"/>
      <c r="W27" s="496"/>
      <c r="X27" s="145"/>
      <c r="Y27" s="145"/>
    </row>
    <row r="28" spans="1:25" ht="38.25" x14ac:dyDescent="0.2">
      <c r="A28" s="497" t="s">
        <v>810</v>
      </c>
      <c r="B28" s="498" t="s">
        <v>1409</v>
      </c>
      <c r="C28" s="499" t="s">
        <v>1410</v>
      </c>
      <c r="D28" s="500" t="s">
        <v>1409</v>
      </c>
      <c r="E28" s="499" t="s">
        <v>1410</v>
      </c>
      <c r="F28" s="501" t="s">
        <v>1411</v>
      </c>
      <c r="G28" s="501" t="s">
        <v>1412</v>
      </c>
      <c r="H28" s="501"/>
      <c r="I28" s="489"/>
      <c r="J28" s="497" t="s">
        <v>810</v>
      </c>
      <c r="K28" s="502" t="s">
        <v>1413</v>
      </c>
      <c r="L28" s="502" t="s">
        <v>1414</v>
      </c>
      <c r="M28" s="498" t="s">
        <v>1415</v>
      </c>
      <c r="N28" s="503" t="s">
        <v>1416</v>
      </c>
      <c r="O28" s="503"/>
      <c r="P28" s="489"/>
      <c r="Q28" s="497" t="s">
        <v>810</v>
      </c>
      <c r="R28" s="498" t="s">
        <v>1417</v>
      </c>
      <c r="S28" s="500" t="s">
        <v>1418</v>
      </c>
      <c r="T28" s="504" t="s">
        <v>1419</v>
      </c>
      <c r="U28" s="498" t="s">
        <v>1418</v>
      </c>
      <c r="V28" s="498" t="s">
        <v>1419</v>
      </c>
      <c r="W28" s="505" t="s">
        <v>606</v>
      </c>
      <c r="X28" s="506" t="s">
        <v>1420</v>
      </c>
      <c r="Y28" s="503" t="s">
        <v>1421</v>
      </c>
    </row>
    <row r="29" spans="1:25" x14ac:dyDescent="0.2">
      <c r="A29" s="507" t="s">
        <v>814</v>
      </c>
      <c r="B29" s="508">
        <v>53305771</v>
      </c>
      <c r="C29" s="509" t="s">
        <v>1422</v>
      </c>
      <c r="D29" s="510">
        <v>44871050</v>
      </c>
      <c r="E29" s="509" t="s">
        <v>1422</v>
      </c>
      <c r="F29" s="511">
        <f>D29/(L29*1000*(1+$K$95/2))</f>
        <v>0.1998733949491277</v>
      </c>
      <c r="G29" s="512">
        <f t="shared" ref="G29:G60" si="1">D29*C$91/1000000</f>
        <v>33412.67018093777</v>
      </c>
      <c r="H29" s="513"/>
      <c r="I29" s="489"/>
      <c r="J29" s="507" t="s">
        <v>814</v>
      </c>
      <c r="K29" s="514">
        <v>127727</v>
      </c>
      <c r="L29" s="514">
        <v>216383</v>
      </c>
      <c r="M29" s="514">
        <v>60813</v>
      </c>
      <c r="N29" s="514">
        <f>L29*(1+K$95)-B29/1000-X29</f>
        <v>150861.95399999997</v>
      </c>
      <c r="O29" s="515"/>
      <c r="P29" s="489"/>
      <c r="Q29" s="507" t="s">
        <v>814</v>
      </c>
      <c r="R29" s="508">
        <v>15827</v>
      </c>
      <c r="S29" s="516">
        <v>17862</v>
      </c>
      <c r="T29" s="517">
        <v>24469</v>
      </c>
      <c r="U29" s="508">
        <v>12617</v>
      </c>
      <c r="V29" s="508">
        <v>9871</v>
      </c>
      <c r="W29" s="518">
        <v>80646</v>
      </c>
      <c r="X29" s="519">
        <f>R29+U29</f>
        <v>28444</v>
      </c>
      <c r="Y29" s="520">
        <f>X29*V$93/1000</f>
        <v>9213.0166080106919</v>
      </c>
    </row>
    <row r="30" spans="1:25" x14ac:dyDescent="0.2">
      <c r="A30" s="521" t="s">
        <v>816</v>
      </c>
      <c r="B30" s="522">
        <v>8156643</v>
      </c>
      <c r="C30" s="523" t="s">
        <v>1423</v>
      </c>
      <c r="D30" s="524">
        <v>8156643</v>
      </c>
      <c r="E30" s="523" t="s">
        <v>1423</v>
      </c>
      <c r="F30" s="525">
        <f t="shared" ref="F30:F80" si="2">D30/(L30*1000*(1+$K$95/2))</f>
        <v>0.2154042571733589</v>
      </c>
      <c r="G30" s="526">
        <f t="shared" si="1"/>
        <v>6073.7429220545273</v>
      </c>
      <c r="H30" s="513"/>
      <c r="I30" s="489"/>
      <c r="J30" s="521" t="s">
        <v>816</v>
      </c>
      <c r="K30" s="527">
        <v>8032</v>
      </c>
      <c r="L30" s="527">
        <v>36498</v>
      </c>
      <c r="M30" s="527">
        <v>7690</v>
      </c>
      <c r="N30" s="527">
        <f>L30*(1+K$95)-U30</f>
        <v>2669.3499999999985</v>
      </c>
      <c r="O30" s="515" t="s">
        <v>1424</v>
      </c>
      <c r="P30" s="489"/>
      <c r="Q30" s="521" t="s">
        <v>816</v>
      </c>
      <c r="R30" s="522">
        <v>3912</v>
      </c>
      <c r="S30" s="524">
        <v>2615</v>
      </c>
      <c r="T30" s="528">
        <v>1892</v>
      </c>
      <c r="U30" s="522">
        <v>36566</v>
      </c>
      <c r="V30" s="522">
        <v>5989</v>
      </c>
      <c r="W30" s="529">
        <v>50974</v>
      </c>
      <c r="X30" s="530">
        <f t="shared" ref="X30:X80" si="3">R30+U30</f>
        <v>40478</v>
      </c>
      <c r="Y30" s="531">
        <f t="shared" ref="Y30:Y79" si="4">X30*V$93/1000</f>
        <v>13110.831326784448</v>
      </c>
    </row>
    <row r="31" spans="1:25" x14ac:dyDescent="0.2">
      <c r="A31" s="532" t="s">
        <v>818</v>
      </c>
      <c r="B31" s="533">
        <v>31288939</v>
      </c>
      <c r="C31" s="534" t="s">
        <v>1422</v>
      </c>
      <c r="D31" s="535">
        <v>5498417</v>
      </c>
      <c r="E31" s="534" t="s">
        <v>1425</v>
      </c>
      <c r="F31" s="536">
        <f t="shared" si="2"/>
        <v>5.253865330462941E-2</v>
      </c>
      <c r="G31" s="537">
        <f t="shared" si="1"/>
        <v>4094.3279405822086</v>
      </c>
      <c r="H31" s="513"/>
      <c r="I31" s="489"/>
      <c r="J31" s="532" t="s">
        <v>818</v>
      </c>
      <c r="K31" s="538">
        <v>111273</v>
      </c>
      <c r="L31" s="538">
        <v>100872</v>
      </c>
      <c r="M31" s="538">
        <v>16122</v>
      </c>
      <c r="N31" s="538">
        <f t="shared" ref="N31:N62" si="5">L31*(1+K$95)-B31/1000-X31</f>
        <v>77148.460999999996</v>
      </c>
      <c r="O31" s="515"/>
      <c r="P31" s="489"/>
      <c r="Q31" s="532"/>
      <c r="R31" s="533"/>
      <c r="S31" s="535"/>
      <c r="T31" s="539"/>
      <c r="U31" s="533"/>
      <c r="V31" s="533"/>
      <c r="W31" s="540"/>
      <c r="X31" s="541">
        <f t="shared" si="3"/>
        <v>0</v>
      </c>
      <c r="Y31" s="542">
        <f t="shared" si="4"/>
        <v>0</v>
      </c>
    </row>
    <row r="32" spans="1:25" x14ac:dyDescent="0.2">
      <c r="A32" s="543" t="s">
        <v>820</v>
      </c>
      <c r="B32" s="544">
        <v>28713782</v>
      </c>
      <c r="C32" s="545" t="s">
        <v>1422</v>
      </c>
      <c r="D32" s="546">
        <v>24094078</v>
      </c>
      <c r="E32" s="545" t="s">
        <v>1426</v>
      </c>
      <c r="F32" s="547">
        <f t="shared" si="2"/>
        <v>0.19332213166767981</v>
      </c>
      <c r="G32" s="548">
        <f t="shared" si="1"/>
        <v>17941.355986271523</v>
      </c>
      <c r="H32" s="513"/>
      <c r="I32" s="489"/>
      <c r="J32" s="543" t="s">
        <v>820</v>
      </c>
      <c r="K32" s="549">
        <v>91967</v>
      </c>
      <c r="L32" s="549">
        <v>120127</v>
      </c>
      <c r="M32" s="549">
        <v>37916</v>
      </c>
      <c r="N32" s="549">
        <f t="shared" si="5"/>
        <v>92336.742999999988</v>
      </c>
      <c r="O32" s="515"/>
      <c r="P32" s="489"/>
      <c r="Q32" s="543" t="s">
        <v>820</v>
      </c>
      <c r="R32" s="544">
        <v>3543</v>
      </c>
      <c r="S32" s="546">
        <v>6699</v>
      </c>
      <c r="T32" s="550">
        <v>0</v>
      </c>
      <c r="U32" s="544">
        <v>4543</v>
      </c>
      <c r="V32" s="551">
        <v>0</v>
      </c>
      <c r="W32" s="552">
        <v>14785</v>
      </c>
      <c r="X32" s="553">
        <f t="shared" si="3"/>
        <v>8086</v>
      </c>
      <c r="Y32" s="554">
        <f t="shared" si="4"/>
        <v>2619.0568236666595</v>
      </c>
    </row>
    <row r="33" spans="1:25" x14ac:dyDescent="0.2">
      <c r="A33" s="521" t="s">
        <v>822</v>
      </c>
      <c r="B33" s="522">
        <v>108494845</v>
      </c>
      <c r="C33" s="523" t="s">
        <v>1427</v>
      </c>
      <c r="D33" s="524">
        <v>67772776</v>
      </c>
      <c r="E33" s="523" t="s">
        <v>1428</v>
      </c>
      <c r="F33" s="525">
        <f t="shared" si="2"/>
        <v>7.2263807218466244E-2</v>
      </c>
      <c r="G33" s="526">
        <f t="shared" si="1"/>
        <v>50466.156056846783</v>
      </c>
      <c r="H33" s="513"/>
      <c r="I33" s="489"/>
      <c r="J33" s="521" t="s">
        <v>822</v>
      </c>
      <c r="K33" s="527">
        <v>923669</v>
      </c>
      <c r="L33" s="527">
        <v>903954</v>
      </c>
      <c r="M33" s="527">
        <v>166862</v>
      </c>
      <c r="N33" s="527">
        <f t="shared" si="5"/>
        <v>841301.70499999996</v>
      </c>
      <c r="O33" s="515"/>
      <c r="P33" s="489"/>
      <c r="Q33" s="521" t="s">
        <v>822</v>
      </c>
      <c r="R33" s="522">
        <v>15602</v>
      </c>
      <c r="S33" s="524">
        <v>21652</v>
      </c>
      <c r="T33" s="528">
        <v>146987</v>
      </c>
      <c r="U33" s="522">
        <v>6352</v>
      </c>
      <c r="V33" s="522">
        <v>47362</v>
      </c>
      <c r="W33" s="529">
        <v>237954</v>
      </c>
      <c r="X33" s="530">
        <f t="shared" si="3"/>
        <v>21954</v>
      </c>
      <c r="Y33" s="531">
        <f t="shared" si="4"/>
        <v>7110.9044653447745</v>
      </c>
    </row>
    <row r="34" spans="1:25" x14ac:dyDescent="0.2">
      <c r="A34" s="532" t="s">
        <v>824</v>
      </c>
      <c r="B34" s="533">
        <v>31246871</v>
      </c>
      <c r="C34" s="534" t="s">
        <v>1422</v>
      </c>
      <c r="D34" s="535">
        <v>41238447</v>
      </c>
      <c r="E34" s="534" t="s">
        <v>1422</v>
      </c>
      <c r="F34" s="536">
        <f t="shared" si="2"/>
        <v>0.26414777587716026</v>
      </c>
      <c r="G34" s="537">
        <f t="shared" si="1"/>
        <v>30707.697466074063</v>
      </c>
      <c r="H34" s="513"/>
      <c r="I34" s="489"/>
      <c r="J34" s="532" t="s">
        <v>824</v>
      </c>
      <c r="K34" s="538">
        <v>93184</v>
      </c>
      <c r="L34" s="538">
        <v>150476</v>
      </c>
      <c r="M34" s="538">
        <v>60908</v>
      </c>
      <c r="N34" s="538">
        <f t="shared" si="5"/>
        <v>130514.82899999998</v>
      </c>
      <c r="O34" s="515"/>
      <c r="P34" s="489"/>
      <c r="Q34" s="532"/>
      <c r="R34" s="533"/>
      <c r="S34" s="535"/>
      <c r="T34" s="539"/>
      <c r="U34" s="533"/>
      <c r="V34" s="533"/>
      <c r="W34" s="540"/>
      <c r="X34" s="541">
        <f t="shared" si="3"/>
        <v>0</v>
      </c>
      <c r="Y34" s="542">
        <f t="shared" si="4"/>
        <v>0</v>
      </c>
    </row>
    <row r="35" spans="1:25" x14ac:dyDescent="0.2">
      <c r="A35" s="555" t="s">
        <v>825</v>
      </c>
      <c r="B35" s="556">
        <v>1998822</v>
      </c>
      <c r="C35" s="557" t="s">
        <v>1426</v>
      </c>
      <c r="D35" s="558">
        <v>2022338</v>
      </c>
      <c r="E35" s="557" t="s">
        <v>1429</v>
      </c>
      <c r="F35" s="559">
        <f t="shared" si="2"/>
        <v>3.9866679874486284E-2</v>
      </c>
      <c r="G35" s="513">
        <f t="shared" si="1"/>
        <v>1505.9088786283658</v>
      </c>
      <c r="H35" s="513"/>
      <c r="I35" s="489"/>
      <c r="J35" s="555" t="s">
        <v>825</v>
      </c>
      <c r="K35" s="515">
        <v>82477</v>
      </c>
      <c r="L35" s="515">
        <v>48894</v>
      </c>
      <c r="M35" s="515">
        <v>5255</v>
      </c>
      <c r="N35" s="515">
        <f t="shared" si="5"/>
        <v>47481.227999999996</v>
      </c>
      <c r="O35" s="515"/>
      <c r="P35" s="489"/>
      <c r="Q35" s="555" t="s">
        <v>825</v>
      </c>
      <c r="R35" s="556">
        <v>1894</v>
      </c>
      <c r="S35" s="558">
        <v>10344</v>
      </c>
      <c r="T35" s="560">
        <v>5701</v>
      </c>
      <c r="U35" s="556">
        <v>1187</v>
      </c>
      <c r="V35" s="556">
        <v>213</v>
      </c>
      <c r="W35" s="561">
        <v>19340</v>
      </c>
      <c r="X35" s="562">
        <f t="shared" si="3"/>
        <v>3081</v>
      </c>
      <c r="Y35" s="563">
        <f t="shared" si="4"/>
        <v>997.93644245819667</v>
      </c>
    </row>
    <row r="36" spans="1:25" x14ac:dyDescent="0.2">
      <c r="A36" s="564" t="s">
        <v>827</v>
      </c>
      <c r="B36" s="565">
        <v>6064364</v>
      </c>
      <c r="C36" s="566" t="s">
        <v>1422</v>
      </c>
      <c r="D36" s="567">
        <v>1286712</v>
      </c>
      <c r="E36" s="566" t="s">
        <v>1430</v>
      </c>
      <c r="F36" s="568">
        <f t="shared" si="2"/>
        <v>4.0022083946992304E-2</v>
      </c>
      <c r="G36" s="569">
        <f t="shared" si="1"/>
        <v>958.13411261503347</v>
      </c>
      <c r="H36" s="513"/>
      <c r="I36" s="489"/>
      <c r="J36" s="564" t="s">
        <v>827</v>
      </c>
      <c r="K36" s="570">
        <v>20348</v>
      </c>
      <c r="L36" s="570">
        <v>30988</v>
      </c>
      <c r="M36" s="570">
        <v>3623</v>
      </c>
      <c r="N36" s="570">
        <f t="shared" si="5"/>
        <v>10178.735999999997</v>
      </c>
      <c r="O36" s="515"/>
      <c r="P36" s="489"/>
      <c r="Q36" s="564" t="s">
        <v>827</v>
      </c>
      <c r="R36" s="565">
        <v>1921</v>
      </c>
      <c r="S36" s="567">
        <v>2155</v>
      </c>
      <c r="T36" s="571">
        <v>14911</v>
      </c>
      <c r="U36" s="565">
        <v>15148</v>
      </c>
      <c r="V36" s="565">
        <v>1047</v>
      </c>
      <c r="W36" s="572">
        <v>35182</v>
      </c>
      <c r="X36" s="573">
        <f t="shared" si="3"/>
        <v>17069</v>
      </c>
      <c r="Y36" s="574">
        <f t="shared" si="4"/>
        <v>5528.6521052641865</v>
      </c>
    </row>
    <row r="37" spans="1:25" x14ac:dyDescent="0.2">
      <c r="A37" s="564" t="s">
        <v>829</v>
      </c>
      <c r="B37" s="565">
        <v>97940</v>
      </c>
      <c r="C37" s="566" t="s">
        <v>1431</v>
      </c>
      <c r="D37" s="567">
        <v>196820</v>
      </c>
      <c r="E37" s="566" t="s">
        <v>1431</v>
      </c>
      <c r="F37" s="568">
        <f t="shared" si="2"/>
        <v>0.13483015216516384</v>
      </c>
      <c r="G37" s="569">
        <f t="shared" si="1"/>
        <v>146.55956892054391</v>
      </c>
      <c r="H37" s="513"/>
      <c r="I37" s="489"/>
      <c r="J37" s="564" t="s">
        <v>829</v>
      </c>
      <c r="K37" s="570">
        <v>3707</v>
      </c>
      <c r="L37" s="570">
        <v>1407</v>
      </c>
      <c r="M37" s="570">
        <v>34</v>
      </c>
      <c r="N37" s="570">
        <f t="shared" si="5"/>
        <v>1414.5849999999998</v>
      </c>
      <c r="O37" s="515"/>
      <c r="P37" s="489"/>
      <c r="Q37" s="564" t="s">
        <v>829</v>
      </c>
      <c r="R37" s="575">
        <v>0</v>
      </c>
      <c r="S37" s="567">
        <v>651</v>
      </c>
      <c r="T37" s="576">
        <v>0</v>
      </c>
      <c r="U37" s="575">
        <v>0</v>
      </c>
      <c r="V37" s="575">
        <v>0</v>
      </c>
      <c r="W37" s="577">
        <v>651</v>
      </c>
      <c r="X37" s="573">
        <f t="shared" si="3"/>
        <v>0</v>
      </c>
      <c r="Y37" s="574">
        <f t="shared" si="4"/>
        <v>0</v>
      </c>
    </row>
    <row r="38" spans="1:25" x14ac:dyDescent="0.2">
      <c r="A38" s="564" t="s">
        <v>831</v>
      </c>
      <c r="B38" s="565">
        <v>100552798</v>
      </c>
      <c r="C38" s="566" t="s">
        <v>1426</v>
      </c>
      <c r="D38" s="567">
        <v>68572937</v>
      </c>
      <c r="E38" s="566" t="s">
        <v>1426</v>
      </c>
      <c r="F38" s="568">
        <f t="shared" si="2"/>
        <v>0.14523559850144968</v>
      </c>
      <c r="G38" s="569">
        <f t="shared" si="1"/>
        <v>51061.986009224747</v>
      </c>
      <c r="H38" s="513"/>
      <c r="I38" s="489"/>
      <c r="J38" s="564" t="s">
        <v>831</v>
      </c>
      <c r="K38" s="570">
        <v>296989</v>
      </c>
      <c r="L38" s="570">
        <v>455084</v>
      </c>
      <c r="M38" s="570">
        <v>61074</v>
      </c>
      <c r="N38" s="570">
        <f t="shared" si="5"/>
        <v>378201.50199999998</v>
      </c>
      <c r="O38" s="515"/>
      <c r="P38" s="489"/>
      <c r="Q38" s="564" t="s">
        <v>831</v>
      </c>
      <c r="R38" s="565">
        <v>1499</v>
      </c>
      <c r="S38" s="567">
        <v>51461</v>
      </c>
      <c r="T38" s="571">
        <v>49712</v>
      </c>
      <c r="U38" s="565">
        <v>8962</v>
      </c>
      <c r="V38" s="565">
        <v>17103</v>
      </c>
      <c r="W38" s="572">
        <v>128737</v>
      </c>
      <c r="X38" s="573">
        <f t="shared" si="3"/>
        <v>10461</v>
      </c>
      <c r="Y38" s="574">
        <f t="shared" si="4"/>
        <v>3388.3197418225236</v>
      </c>
    </row>
    <row r="39" spans="1:25" x14ac:dyDescent="0.2">
      <c r="A39" s="564" t="s">
        <v>833</v>
      </c>
      <c r="B39" s="565">
        <v>89763143</v>
      </c>
      <c r="C39" s="566" t="s">
        <v>1422</v>
      </c>
      <c r="D39" s="567">
        <v>38878307</v>
      </c>
      <c r="E39" s="566" t="s">
        <v>1426</v>
      </c>
      <c r="F39" s="568">
        <f t="shared" si="2"/>
        <v>0.11026484639499008</v>
      </c>
      <c r="G39" s="569">
        <f t="shared" si="1"/>
        <v>28950.248522917205</v>
      </c>
      <c r="H39" s="513"/>
      <c r="I39" s="489"/>
      <c r="J39" s="564" t="s">
        <v>833</v>
      </c>
      <c r="K39" s="570">
        <v>270703</v>
      </c>
      <c r="L39" s="570">
        <v>339846</v>
      </c>
      <c r="M39" s="570">
        <v>68310</v>
      </c>
      <c r="N39" s="570">
        <f t="shared" si="5"/>
        <v>274289.30700000003</v>
      </c>
      <c r="O39" s="515"/>
      <c r="P39" s="489"/>
      <c r="Q39" s="564" t="s">
        <v>833</v>
      </c>
      <c r="R39" s="575">
        <v>860</v>
      </c>
      <c r="S39" s="567">
        <v>499</v>
      </c>
      <c r="T39" s="571">
        <v>23266</v>
      </c>
      <c r="U39" s="565">
        <v>422</v>
      </c>
      <c r="V39" s="565">
        <v>11427</v>
      </c>
      <c r="W39" s="572">
        <v>36472</v>
      </c>
      <c r="X39" s="573">
        <f t="shared" si="3"/>
        <v>1282</v>
      </c>
      <c r="Y39" s="574">
        <f t="shared" si="4"/>
        <v>415.24002571613374</v>
      </c>
    </row>
    <row r="40" spans="1:25" x14ac:dyDescent="0.2">
      <c r="A40" s="521" t="s">
        <v>835</v>
      </c>
      <c r="B40" s="578">
        <v>0</v>
      </c>
      <c r="C40" s="523" t="s">
        <v>1432</v>
      </c>
      <c r="D40" s="579">
        <v>0</v>
      </c>
      <c r="E40" s="523" t="s">
        <v>1432</v>
      </c>
      <c r="F40" s="525">
        <f t="shared" si="2"/>
        <v>0</v>
      </c>
      <c r="G40" s="526">
        <f t="shared" si="1"/>
        <v>0</v>
      </c>
      <c r="H40" s="513"/>
      <c r="I40" s="489"/>
      <c r="J40" s="521" t="s">
        <v>835</v>
      </c>
      <c r="K40" s="527">
        <v>13480</v>
      </c>
      <c r="L40" s="527">
        <v>23659</v>
      </c>
      <c r="M40" s="167">
        <f>M80-M81</f>
        <v>4612</v>
      </c>
      <c r="N40" s="527">
        <f t="shared" si="5"/>
        <v>12275.424999999999</v>
      </c>
      <c r="O40" s="168"/>
      <c r="P40" s="489"/>
      <c r="Q40" s="521" t="s">
        <v>835</v>
      </c>
      <c r="R40" s="522">
        <v>11873</v>
      </c>
      <c r="S40" s="524">
        <v>4236</v>
      </c>
      <c r="T40" s="528">
        <v>9624</v>
      </c>
      <c r="U40" s="522">
        <v>1285</v>
      </c>
      <c r="V40" s="522">
        <v>753</v>
      </c>
      <c r="W40" s="529">
        <v>27770</v>
      </c>
      <c r="X40" s="530">
        <f t="shared" si="3"/>
        <v>13158</v>
      </c>
      <c r="Y40" s="531">
        <f t="shared" si="4"/>
        <v>4261.8785166715197</v>
      </c>
    </row>
    <row r="41" spans="1:25" x14ac:dyDescent="0.2">
      <c r="A41" s="532" t="s">
        <v>837</v>
      </c>
      <c r="B41" s="533">
        <v>10873300</v>
      </c>
      <c r="C41" s="534" t="s">
        <v>1426</v>
      </c>
      <c r="D41" s="535">
        <v>11464829</v>
      </c>
      <c r="E41" s="534" t="s">
        <v>1433</v>
      </c>
      <c r="F41" s="536">
        <f t="shared" si="2"/>
        <v>0.31598860742791013</v>
      </c>
      <c r="G41" s="537">
        <f t="shared" si="1"/>
        <v>8537.1425464269414</v>
      </c>
      <c r="H41" s="513"/>
      <c r="I41" s="489"/>
      <c r="J41" s="532" t="s">
        <v>837</v>
      </c>
      <c r="K41" s="538">
        <v>28471</v>
      </c>
      <c r="L41" s="538">
        <v>34971</v>
      </c>
      <c r="M41" s="538">
        <v>20561</v>
      </c>
      <c r="N41" s="538">
        <f t="shared" si="5"/>
        <v>25829.524999999998</v>
      </c>
      <c r="O41" s="515"/>
      <c r="P41" s="489"/>
      <c r="Q41" s="532" t="s">
        <v>837</v>
      </c>
      <c r="R41" s="580">
        <v>3</v>
      </c>
      <c r="S41" s="535">
        <v>84</v>
      </c>
      <c r="T41" s="581">
        <v>0</v>
      </c>
      <c r="U41" s="533">
        <v>888</v>
      </c>
      <c r="V41" s="533">
        <v>0</v>
      </c>
      <c r="W41" s="540">
        <v>975</v>
      </c>
      <c r="X41" s="541">
        <f t="shared" si="3"/>
        <v>891</v>
      </c>
      <c r="Y41" s="542">
        <f t="shared" si="4"/>
        <v>288.59505687447364</v>
      </c>
    </row>
    <row r="42" spans="1:25" x14ac:dyDescent="0.2">
      <c r="A42" s="582" t="s">
        <v>839</v>
      </c>
      <c r="B42" s="583">
        <v>183539112</v>
      </c>
      <c r="C42" s="584" t="s">
        <v>1422</v>
      </c>
      <c r="D42" s="585">
        <v>109118683</v>
      </c>
      <c r="E42" s="584" t="s">
        <v>1427</v>
      </c>
      <c r="F42" s="586">
        <f t="shared" si="2"/>
        <v>0.14641120318182541</v>
      </c>
      <c r="G42" s="587">
        <f t="shared" si="1"/>
        <v>81253.872277499671</v>
      </c>
      <c r="H42" s="513"/>
      <c r="I42" s="489"/>
      <c r="J42" s="582" t="s">
        <v>839</v>
      </c>
      <c r="K42" s="588">
        <v>442130</v>
      </c>
      <c r="L42" s="588">
        <v>718351</v>
      </c>
      <c r="M42" s="588">
        <v>167342</v>
      </c>
      <c r="N42" s="588">
        <f t="shared" si="5"/>
        <v>490655.21299999999</v>
      </c>
      <c r="O42" s="515"/>
      <c r="P42" s="489"/>
      <c r="Q42" s="582" t="s">
        <v>839</v>
      </c>
      <c r="R42" s="583">
        <v>15214</v>
      </c>
      <c r="S42" s="585">
        <v>19153</v>
      </c>
      <c r="T42" s="589">
        <v>1548</v>
      </c>
      <c r="U42" s="583">
        <v>82819</v>
      </c>
      <c r="V42" s="583">
        <v>1617</v>
      </c>
      <c r="W42" s="590">
        <v>120350</v>
      </c>
      <c r="X42" s="591">
        <f t="shared" si="3"/>
        <v>98033</v>
      </c>
      <c r="Y42" s="592">
        <f t="shared" si="4"/>
        <v>31752.905960241609</v>
      </c>
    </row>
    <row r="43" spans="1:25" x14ac:dyDescent="0.2">
      <c r="A43" s="582" t="s">
        <v>841</v>
      </c>
      <c r="B43" s="583">
        <v>67418274</v>
      </c>
      <c r="C43" s="584" t="s">
        <v>1422</v>
      </c>
      <c r="D43" s="585">
        <v>54830352</v>
      </c>
      <c r="E43" s="584" t="s">
        <v>1422</v>
      </c>
      <c r="F43" s="586">
        <f t="shared" si="2"/>
        <v>0.13284233187674294</v>
      </c>
      <c r="G43" s="587">
        <f t="shared" si="1"/>
        <v>40828.740742209542</v>
      </c>
      <c r="H43" s="513"/>
      <c r="I43" s="489"/>
      <c r="J43" s="582" t="s">
        <v>841</v>
      </c>
      <c r="K43" s="588">
        <v>291458</v>
      </c>
      <c r="L43" s="588">
        <v>397829</v>
      </c>
      <c r="M43" s="588">
        <v>82601</v>
      </c>
      <c r="N43" s="588">
        <f t="shared" si="5"/>
        <v>343318.90099999995</v>
      </c>
      <c r="O43" s="515"/>
      <c r="P43" s="489"/>
      <c r="Q43" s="582" t="s">
        <v>841</v>
      </c>
      <c r="R43" s="583">
        <v>3288</v>
      </c>
      <c r="S43" s="585">
        <v>52519</v>
      </c>
      <c r="T43" s="589">
        <v>3685</v>
      </c>
      <c r="U43" s="583">
        <v>13641</v>
      </c>
      <c r="V43" s="583">
        <v>386</v>
      </c>
      <c r="W43" s="590">
        <v>73520</v>
      </c>
      <c r="X43" s="591">
        <f t="shared" si="3"/>
        <v>16929</v>
      </c>
      <c r="Y43" s="592">
        <f t="shared" si="4"/>
        <v>5483.3060806149988</v>
      </c>
    </row>
    <row r="44" spans="1:25" x14ac:dyDescent="0.2">
      <c r="A44" s="593" t="s">
        <v>843</v>
      </c>
      <c r="B44" s="594">
        <v>41317792</v>
      </c>
      <c r="C44" s="595" t="s">
        <v>1422</v>
      </c>
      <c r="D44" s="596">
        <v>43463589</v>
      </c>
      <c r="E44" s="595" t="s">
        <v>1433</v>
      </c>
      <c r="F44" s="597">
        <f t="shared" si="2"/>
        <v>0.18014920145699073</v>
      </c>
      <c r="G44" s="598">
        <f t="shared" si="1"/>
        <v>32364.621824914611</v>
      </c>
      <c r="H44" s="513"/>
      <c r="I44" s="489"/>
      <c r="J44" s="593" t="s">
        <v>843</v>
      </c>
      <c r="K44" s="599">
        <v>115396</v>
      </c>
      <c r="L44" s="599">
        <v>232544</v>
      </c>
      <c r="M44" s="599">
        <v>107728</v>
      </c>
      <c r="N44" s="599">
        <f t="shared" si="5"/>
        <v>198726.00799999997</v>
      </c>
      <c r="O44" s="515"/>
      <c r="P44" s="489"/>
      <c r="Q44" s="593" t="s">
        <v>843</v>
      </c>
      <c r="R44" s="600">
        <v>1447</v>
      </c>
      <c r="S44" s="596">
        <v>3906</v>
      </c>
      <c r="T44" s="601">
        <v>0</v>
      </c>
      <c r="U44" s="594">
        <v>8494</v>
      </c>
      <c r="V44" s="600">
        <v>0</v>
      </c>
      <c r="W44" s="602">
        <v>13847</v>
      </c>
      <c r="X44" s="603">
        <f t="shared" si="3"/>
        <v>9941</v>
      </c>
      <c r="Y44" s="604">
        <f t="shared" si="4"/>
        <v>3219.8916502683978</v>
      </c>
    </row>
    <row r="45" spans="1:25" x14ac:dyDescent="0.2">
      <c r="A45" s="593" t="s">
        <v>845</v>
      </c>
      <c r="B45" s="594">
        <v>26830707</v>
      </c>
      <c r="C45" s="595" t="s">
        <v>1422</v>
      </c>
      <c r="D45" s="596">
        <v>24078304</v>
      </c>
      <c r="E45" s="595" t="s">
        <v>1433</v>
      </c>
      <c r="F45" s="597">
        <f t="shared" si="2"/>
        <v>0.12033975886121979</v>
      </c>
      <c r="G45" s="598">
        <f t="shared" si="1"/>
        <v>17929.610073050546</v>
      </c>
      <c r="H45" s="513"/>
      <c r="I45" s="489"/>
      <c r="J45" s="593" t="s">
        <v>845</v>
      </c>
      <c r="K45" s="599">
        <v>95285</v>
      </c>
      <c r="L45" s="599">
        <v>192854</v>
      </c>
      <c r="M45" s="599">
        <v>44857</v>
      </c>
      <c r="N45" s="599">
        <f t="shared" si="5"/>
        <v>180110.34299999999</v>
      </c>
      <c r="O45" s="515"/>
      <c r="P45" s="489"/>
      <c r="Q45" s="593" t="s">
        <v>845</v>
      </c>
      <c r="R45" s="600">
        <v>304</v>
      </c>
      <c r="S45" s="596">
        <v>1626</v>
      </c>
      <c r="T45" s="601">
        <v>0</v>
      </c>
      <c r="U45" s="594">
        <v>73</v>
      </c>
      <c r="V45" s="600">
        <v>0</v>
      </c>
      <c r="W45" s="602">
        <v>2002</v>
      </c>
      <c r="X45" s="603">
        <f t="shared" si="3"/>
        <v>377</v>
      </c>
      <c r="Y45" s="604">
        <f t="shared" si="4"/>
        <v>122.11036637674137</v>
      </c>
    </row>
    <row r="46" spans="1:25" x14ac:dyDescent="0.2">
      <c r="A46" s="507" t="s">
        <v>847</v>
      </c>
      <c r="B46" s="508">
        <v>40187828</v>
      </c>
      <c r="C46" s="509" t="s">
        <v>1422</v>
      </c>
      <c r="D46" s="510">
        <v>92682057</v>
      </c>
      <c r="E46" s="509" t="s">
        <v>1422</v>
      </c>
      <c r="F46" s="511">
        <f t="shared" si="2"/>
        <v>0.26559980238070918</v>
      </c>
      <c r="G46" s="512">
        <f t="shared" si="1"/>
        <v>69014.542834007108</v>
      </c>
      <c r="H46" s="513"/>
      <c r="I46" s="489"/>
      <c r="J46" s="507" t="s">
        <v>847</v>
      </c>
      <c r="K46" s="514">
        <v>189390</v>
      </c>
      <c r="L46" s="514">
        <v>336341</v>
      </c>
      <c r="M46" s="514">
        <v>99630</v>
      </c>
      <c r="N46" s="514">
        <f t="shared" si="5"/>
        <v>245738.74700000003</v>
      </c>
      <c r="O46" s="515"/>
      <c r="P46" s="489"/>
      <c r="Q46" s="507" t="s">
        <v>847</v>
      </c>
      <c r="R46" s="508">
        <v>17982</v>
      </c>
      <c r="S46" s="510">
        <v>33021</v>
      </c>
      <c r="T46" s="605">
        <v>0</v>
      </c>
      <c r="U46" s="508">
        <v>57658</v>
      </c>
      <c r="V46" s="606">
        <v>0</v>
      </c>
      <c r="W46" s="607">
        <v>108661</v>
      </c>
      <c r="X46" s="519">
        <f t="shared" si="3"/>
        <v>75640</v>
      </c>
      <c r="Y46" s="520">
        <f t="shared" si="4"/>
        <v>24499.809317604024</v>
      </c>
    </row>
    <row r="47" spans="1:25" x14ac:dyDescent="0.2">
      <c r="A47" s="543" t="s">
        <v>1088</v>
      </c>
      <c r="B47" s="544">
        <v>31321465</v>
      </c>
      <c r="C47" s="545" t="s">
        <v>1430</v>
      </c>
      <c r="D47" s="546">
        <v>38340982</v>
      </c>
      <c r="E47" s="545" t="s">
        <v>1430</v>
      </c>
      <c r="F47" s="547">
        <f t="shared" si="2"/>
        <v>7.4551018197376195E-2</v>
      </c>
      <c r="G47" s="548">
        <f t="shared" si="1"/>
        <v>28550.136134083594</v>
      </c>
      <c r="H47" s="513"/>
      <c r="I47" s="489"/>
      <c r="J47" s="543" t="s">
        <v>1088</v>
      </c>
      <c r="K47" s="549">
        <v>139843</v>
      </c>
      <c r="L47" s="549">
        <v>495703</v>
      </c>
      <c r="M47" s="549">
        <v>131293</v>
      </c>
      <c r="N47" s="549">
        <f t="shared" si="5"/>
        <v>347157.25999999995</v>
      </c>
      <c r="O47" s="515"/>
      <c r="P47" s="489"/>
      <c r="Q47" s="543" t="s">
        <v>1088</v>
      </c>
      <c r="R47" s="544">
        <v>47916</v>
      </c>
      <c r="S47" s="546">
        <v>115607</v>
      </c>
      <c r="T47" s="608">
        <v>121465</v>
      </c>
      <c r="U47" s="544">
        <v>106486</v>
      </c>
      <c r="V47" s="544">
        <v>98460</v>
      </c>
      <c r="W47" s="552">
        <v>489935</v>
      </c>
      <c r="X47" s="553">
        <f t="shared" si="3"/>
        <v>154402</v>
      </c>
      <c r="Y47" s="554">
        <f t="shared" si="4"/>
        <v>50010.834984884932</v>
      </c>
    </row>
    <row r="48" spans="1:25" x14ac:dyDescent="0.2">
      <c r="A48" s="555" t="s">
        <v>851</v>
      </c>
      <c r="B48" s="556">
        <v>3711740</v>
      </c>
      <c r="C48" s="557" t="s">
        <v>1434</v>
      </c>
      <c r="D48" s="558">
        <v>3947124</v>
      </c>
      <c r="E48" s="557" t="s">
        <v>1434</v>
      </c>
      <c r="F48" s="559">
        <f t="shared" si="2"/>
        <v>0.11844142048721644</v>
      </c>
      <c r="G48" s="513">
        <f t="shared" si="1"/>
        <v>2939.1768718419517</v>
      </c>
      <c r="H48" s="513"/>
      <c r="I48" s="489"/>
      <c r="J48" s="555" t="s">
        <v>851</v>
      </c>
      <c r="K48" s="515">
        <v>32355</v>
      </c>
      <c r="L48" s="515">
        <v>32121</v>
      </c>
      <c r="M48" s="515">
        <v>10590</v>
      </c>
      <c r="N48" s="515">
        <f t="shared" si="5"/>
        <v>30450.334999999999</v>
      </c>
      <c r="O48" s="515"/>
      <c r="P48" s="489"/>
      <c r="Q48" s="555" t="s">
        <v>851</v>
      </c>
      <c r="R48" s="494">
        <v>115</v>
      </c>
      <c r="S48" s="558">
        <v>1249</v>
      </c>
      <c r="T48" s="560">
        <v>26041</v>
      </c>
      <c r="U48" s="556">
        <v>253</v>
      </c>
      <c r="V48" s="556">
        <v>444</v>
      </c>
      <c r="W48" s="561">
        <v>28103</v>
      </c>
      <c r="X48" s="562">
        <f t="shared" si="3"/>
        <v>368</v>
      </c>
      <c r="Y48" s="563">
        <f t="shared" si="4"/>
        <v>119.19526479215072</v>
      </c>
    </row>
    <row r="49" spans="1:25" x14ac:dyDescent="0.2">
      <c r="A49" s="564" t="s">
        <v>853</v>
      </c>
      <c r="B49" s="565">
        <v>27326049</v>
      </c>
      <c r="C49" s="566" t="s">
        <v>1422</v>
      </c>
      <c r="D49" s="567">
        <v>8194805</v>
      </c>
      <c r="E49" s="566" t="s">
        <v>1429</v>
      </c>
      <c r="F49" s="568">
        <f t="shared" si="2"/>
        <v>4.7754866891067435E-2</v>
      </c>
      <c r="G49" s="569">
        <f t="shared" si="1"/>
        <v>6102.1597814648812</v>
      </c>
      <c r="H49" s="513"/>
      <c r="I49" s="489"/>
      <c r="J49" s="564" t="s">
        <v>853</v>
      </c>
      <c r="K49" s="570">
        <v>121356</v>
      </c>
      <c r="L49" s="570">
        <v>165399</v>
      </c>
      <c r="M49" s="570">
        <v>15140</v>
      </c>
      <c r="N49" s="570">
        <f t="shared" si="5"/>
        <v>141304.87599999999</v>
      </c>
      <c r="O49" s="515"/>
      <c r="P49" s="489"/>
      <c r="Q49" s="564" t="s">
        <v>853</v>
      </c>
      <c r="R49" s="565">
        <v>3055</v>
      </c>
      <c r="S49" s="567">
        <v>11779</v>
      </c>
      <c r="T49" s="571">
        <v>22938</v>
      </c>
      <c r="U49" s="565">
        <v>6118</v>
      </c>
      <c r="V49" s="565">
        <v>10518</v>
      </c>
      <c r="W49" s="572">
        <v>54407</v>
      </c>
      <c r="X49" s="573">
        <f t="shared" si="3"/>
        <v>9173</v>
      </c>
      <c r="Y49" s="574">
        <f t="shared" si="4"/>
        <v>2971.136315049996</v>
      </c>
    </row>
    <row r="50" spans="1:25" x14ac:dyDescent="0.2">
      <c r="A50" s="555" t="s">
        <v>855</v>
      </c>
      <c r="B50" s="556">
        <v>9178015</v>
      </c>
      <c r="C50" s="557" t="s">
        <v>1427</v>
      </c>
      <c r="D50" s="558">
        <v>2632415</v>
      </c>
      <c r="E50" s="557" t="s">
        <v>1427</v>
      </c>
      <c r="F50" s="559">
        <f t="shared" si="2"/>
        <v>3.3774842190534428E-2</v>
      </c>
      <c r="G50" s="513">
        <f t="shared" si="1"/>
        <v>1960.1951408392115</v>
      </c>
      <c r="H50" s="513"/>
      <c r="I50" s="489"/>
      <c r="J50" s="555" t="s">
        <v>855</v>
      </c>
      <c r="K50" s="515">
        <v>200813</v>
      </c>
      <c r="L50" s="515">
        <v>75123</v>
      </c>
      <c r="M50" s="515">
        <v>14077</v>
      </c>
      <c r="N50" s="515">
        <f t="shared" si="5"/>
        <v>70616.209999999992</v>
      </c>
      <c r="O50" s="515"/>
      <c r="P50" s="489"/>
      <c r="Q50" s="555" t="s">
        <v>855</v>
      </c>
      <c r="R50" s="556">
        <v>449</v>
      </c>
      <c r="S50" s="558">
        <v>8951</v>
      </c>
      <c r="T50" s="560">
        <v>16103</v>
      </c>
      <c r="U50" s="556">
        <v>514</v>
      </c>
      <c r="V50" s="556">
        <v>1393</v>
      </c>
      <c r="W50" s="561">
        <v>27411</v>
      </c>
      <c r="X50" s="562">
        <f t="shared" si="3"/>
        <v>963</v>
      </c>
      <c r="Y50" s="563">
        <f t="shared" si="4"/>
        <v>311.9158695511988</v>
      </c>
    </row>
    <row r="51" spans="1:25" x14ac:dyDescent="0.2">
      <c r="A51" s="582" t="s">
        <v>856</v>
      </c>
      <c r="B51" s="583">
        <v>54103686</v>
      </c>
      <c r="C51" s="584" t="s">
        <v>1422</v>
      </c>
      <c r="D51" s="585">
        <v>36128191</v>
      </c>
      <c r="E51" s="584" t="s">
        <v>1435</v>
      </c>
      <c r="F51" s="586">
        <f t="shared" si="2"/>
        <v>0.10514312863034614</v>
      </c>
      <c r="G51" s="587">
        <f t="shared" si="1"/>
        <v>26902.408794020295</v>
      </c>
      <c r="H51" s="513"/>
      <c r="I51" s="489"/>
      <c r="J51" s="582" t="s">
        <v>856</v>
      </c>
      <c r="K51" s="588">
        <v>388571</v>
      </c>
      <c r="L51" s="588">
        <v>331190</v>
      </c>
      <c r="M51" s="588">
        <v>68679</v>
      </c>
      <c r="N51" s="588">
        <f t="shared" si="5"/>
        <v>267128.56400000001</v>
      </c>
      <c r="O51" s="515"/>
      <c r="P51" s="489"/>
      <c r="Q51" s="582" t="s">
        <v>856</v>
      </c>
      <c r="R51" s="583">
        <v>13028</v>
      </c>
      <c r="S51" s="585">
        <v>23217</v>
      </c>
      <c r="T51" s="589">
        <v>7066</v>
      </c>
      <c r="U51" s="583">
        <v>21769</v>
      </c>
      <c r="V51" s="583">
        <v>6171</v>
      </c>
      <c r="W51" s="590">
        <v>71251</v>
      </c>
      <c r="X51" s="591">
        <f t="shared" si="3"/>
        <v>34797</v>
      </c>
      <c r="Y51" s="592">
        <f t="shared" si="4"/>
        <v>11270.754426555623</v>
      </c>
    </row>
    <row r="52" spans="1:25" x14ac:dyDescent="0.2">
      <c r="A52" s="593" t="s">
        <v>858</v>
      </c>
      <c r="B52" s="594">
        <v>63925147</v>
      </c>
      <c r="C52" s="595" t="s">
        <v>1435</v>
      </c>
      <c r="D52" s="596">
        <v>77406510</v>
      </c>
      <c r="E52" s="595" t="s">
        <v>1435</v>
      </c>
      <c r="F52" s="597">
        <f t="shared" si="2"/>
        <v>0.22189314185336351</v>
      </c>
      <c r="G52" s="598">
        <f t="shared" si="1"/>
        <v>57639.796449770205</v>
      </c>
      <c r="H52" s="513"/>
      <c r="I52" s="489"/>
      <c r="J52" s="593" t="s">
        <v>858</v>
      </c>
      <c r="K52" s="599">
        <v>166430</v>
      </c>
      <c r="L52" s="599">
        <v>336237</v>
      </c>
      <c r="M52" s="599">
        <v>154321</v>
      </c>
      <c r="N52" s="599">
        <f t="shared" si="5"/>
        <v>265231.62799999997</v>
      </c>
      <c r="O52" s="515"/>
      <c r="P52" s="489"/>
      <c r="Q52" s="593" t="s">
        <v>858</v>
      </c>
      <c r="R52" s="594">
        <v>2366</v>
      </c>
      <c r="S52" s="596">
        <v>6887</v>
      </c>
      <c r="T52" s="609">
        <v>298</v>
      </c>
      <c r="U52" s="594">
        <v>29932</v>
      </c>
      <c r="V52" s="594">
        <v>3525</v>
      </c>
      <c r="W52" s="602">
        <v>43008</v>
      </c>
      <c r="X52" s="603">
        <f t="shared" si="3"/>
        <v>32298</v>
      </c>
      <c r="Y52" s="604">
        <f t="shared" si="4"/>
        <v>10461.32788656762</v>
      </c>
    </row>
    <row r="53" spans="1:25" x14ac:dyDescent="0.2">
      <c r="A53" s="507" t="s">
        <v>859</v>
      </c>
      <c r="B53" s="508">
        <v>18289329</v>
      </c>
      <c r="C53" s="509" t="s">
        <v>1422</v>
      </c>
      <c r="D53" s="510">
        <v>12075570</v>
      </c>
      <c r="E53" s="509" t="s">
        <v>1430</v>
      </c>
      <c r="F53" s="511">
        <f t="shared" si="2"/>
        <v>0.11790015816914333</v>
      </c>
      <c r="G53" s="512">
        <f t="shared" si="1"/>
        <v>8991.9232479923394</v>
      </c>
      <c r="H53" s="513"/>
      <c r="I53" s="489"/>
      <c r="J53" s="507" t="s">
        <v>859</v>
      </c>
      <c r="K53" s="514">
        <v>94897</v>
      </c>
      <c r="L53" s="514">
        <v>98720</v>
      </c>
      <c r="M53" s="514">
        <v>38333</v>
      </c>
      <c r="N53" s="514">
        <f t="shared" si="5"/>
        <v>73788.671000000002</v>
      </c>
      <c r="O53" s="515"/>
      <c r="P53" s="489"/>
      <c r="Q53" s="507" t="s">
        <v>859</v>
      </c>
      <c r="R53" s="508">
        <v>531</v>
      </c>
      <c r="S53" s="510">
        <v>8511</v>
      </c>
      <c r="T53" s="610">
        <v>21807</v>
      </c>
      <c r="U53" s="508">
        <v>13515</v>
      </c>
      <c r="V53" s="508">
        <v>6313</v>
      </c>
      <c r="W53" s="607">
        <v>50677</v>
      </c>
      <c r="X53" s="519">
        <f t="shared" si="3"/>
        <v>14046</v>
      </c>
      <c r="Y53" s="520">
        <f t="shared" si="4"/>
        <v>4549.5018730177962</v>
      </c>
    </row>
    <row r="54" spans="1:25" x14ac:dyDescent="0.2">
      <c r="A54" s="593" t="s">
        <v>861</v>
      </c>
      <c r="B54" s="594">
        <v>83733139</v>
      </c>
      <c r="C54" s="595" t="s">
        <v>1422</v>
      </c>
      <c r="D54" s="596">
        <v>19185067</v>
      </c>
      <c r="E54" s="595" t="s">
        <v>1436</v>
      </c>
      <c r="F54" s="597">
        <f t="shared" si="2"/>
        <v>7.2565430050086893E-2</v>
      </c>
      <c r="G54" s="598">
        <f t="shared" si="1"/>
        <v>14285.921904439349</v>
      </c>
      <c r="H54" s="513"/>
      <c r="I54" s="489"/>
      <c r="J54" s="593" t="s">
        <v>861</v>
      </c>
      <c r="K54" s="599">
        <v>185392</v>
      </c>
      <c r="L54" s="599">
        <v>254827</v>
      </c>
      <c r="M54" s="599">
        <v>72910</v>
      </c>
      <c r="N54" s="599">
        <f t="shared" si="5"/>
        <v>165029.88599999997</v>
      </c>
      <c r="O54" s="515"/>
      <c r="P54" s="489"/>
      <c r="Q54" s="593" t="s">
        <v>861</v>
      </c>
      <c r="R54" s="594">
        <v>8568</v>
      </c>
      <c r="S54" s="596">
        <v>5562</v>
      </c>
      <c r="T54" s="601">
        <v>0</v>
      </c>
      <c r="U54" s="594">
        <v>16608</v>
      </c>
      <c r="V54" s="600">
        <v>0</v>
      </c>
      <c r="W54" s="602">
        <v>30738</v>
      </c>
      <c r="X54" s="603">
        <f t="shared" si="3"/>
        <v>25176</v>
      </c>
      <c r="Y54" s="604">
        <f t="shared" si="4"/>
        <v>8154.5108326282243</v>
      </c>
    </row>
    <row r="55" spans="1:25" x14ac:dyDescent="0.2">
      <c r="A55" s="532" t="s">
        <v>863</v>
      </c>
      <c r="B55" s="533">
        <v>4838553</v>
      </c>
      <c r="C55" s="534" t="s">
        <v>1423</v>
      </c>
      <c r="D55" s="535">
        <v>44035468</v>
      </c>
      <c r="E55" s="534" t="s">
        <v>1422</v>
      </c>
      <c r="F55" s="536">
        <f t="shared" si="2"/>
        <v>0.47398376917499463</v>
      </c>
      <c r="G55" s="537">
        <f t="shared" si="1"/>
        <v>32790.464420762146</v>
      </c>
      <c r="H55" s="513"/>
      <c r="I55" s="489"/>
      <c r="J55" s="532" t="s">
        <v>863</v>
      </c>
      <c r="K55" s="538">
        <v>12447</v>
      </c>
      <c r="L55" s="538">
        <v>89547</v>
      </c>
      <c r="M55" s="538">
        <v>61984</v>
      </c>
      <c r="N55" s="538">
        <f t="shared" si="5"/>
        <v>91424.471999999994</v>
      </c>
      <c r="O55" s="515"/>
      <c r="P55" s="489"/>
      <c r="Q55" s="532"/>
      <c r="R55" s="533"/>
      <c r="S55" s="535"/>
      <c r="T55" s="581"/>
      <c r="U55" s="533"/>
      <c r="V55" s="580"/>
      <c r="W55" s="540"/>
      <c r="X55" s="541">
        <f t="shared" si="3"/>
        <v>0</v>
      </c>
      <c r="Y55" s="542">
        <f t="shared" si="4"/>
        <v>0</v>
      </c>
    </row>
    <row r="56" spans="1:25" x14ac:dyDescent="0.2">
      <c r="A56" s="593" t="s">
        <v>865</v>
      </c>
      <c r="B56" s="594">
        <v>19643083</v>
      </c>
      <c r="C56" s="595" t="s">
        <v>1422</v>
      </c>
      <c r="D56" s="596">
        <v>25855972</v>
      </c>
      <c r="E56" s="595" t="s">
        <v>1433</v>
      </c>
      <c r="F56" s="597">
        <f t="shared" si="2"/>
        <v>0.24508692414913574</v>
      </c>
      <c r="G56" s="598">
        <f t="shared" si="1"/>
        <v>19253.328474452057</v>
      </c>
      <c r="H56" s="513"/>
      <c r="I56" s="489"/>
      <c r="J56" s="593" t="s">
        <v>865</v>
      </c>
      <c r="K56" s="599">
        <v>61797</v>
      </c>
      <c r="L56" s="599">
        <v>101684</v>
      </c>
      <c r="M56" s="599">
        <v>33226</v>
      </c>
      <c r="N56" s="599">
        <f t="shared" si="5"/>
        <v>89646.21699999999</v>
      </c>
      <c r="O56" s="515"/>
      <c r="P56" s="489"/>
      <c r="Q56" s="593" t="s">
        <v>865</v>
      </c>
      <c r="R56" s="600">
        <v>0</v>
      </c>
      <c r="S56" s="596">
        <v>1</v>
      </c>
      <c r="T56" s="601">
        <v>0</v>
      </c>
      <c r="U56" s="594">
        <v>21</v>
      </c>
      <c r="V56" s="600">
        <v>0</v>
      </c>
      <c r="W56" s="611">
        <v>22</v>
      </c>
      <c r="X56" s="603">
        <f t="shared" si="3"/>
        <v>21</v>
      </c>
      <c r="Y56" s="604">
        <f t="shared" si="4"/>
        <v>6.8019036973781661</v>
      </c>
    </row>
    <row r="57" spans="1:25" x14ac:dyDescent="0.2">
      <c r="A57" s="532" t="s">
        <v>866</v>
      </c>
      <c r="B57" s="533">
        <v>9513936</v>
      </c>
      <c r="C57" s="534" t="s">
        <v>1422</v>
      </c>
      <c r="D57" s="535">
        <v>2516416</v>
      </c>
      <c r="E57" s="534" t="s">
        <v>1426</v>
      </c>
      <c r="F57" s="536">
        <f t="shared" si="2"/>
        <v>5.4862275612288548E-2</v>
      </c>
      <c r="G57" s="537">
        <f t="shared" si="1"/>
        <v>1873.8179259463438</v>
      </c>
      <c r="H57" s="513"/>
      <c r="I57" s="489"/>
      <c r="J57" s="532" t="s">
        <v>866</v>
      </c>
      <c r="K57" s="538">
        <v>40756</v>
      </c>
      <c r="L57" s="538">
        <v>44210</v>
      </c>
      <c r="M57" s="538">
        <v>8695</v>
      </c>
      <c r="N57" s="538">
        <f t="shared" si="5"/>
        <v>38011.813999999998</v>
      </c>
      <c r="O57" s="515"/>
      <c r="P57" s="489"/>
      <c r="Q57" s="532"/>
      <c r="R57" s="580"/>
      <c r="S57" s="535"/>
      <c r="T57" s="581"/>
      <c r="U57" s="533"/>
      <c r="V57" s="580"/>
      <c r="W57" s="612"/>
      <c r="X57" s="541">
        <f t="shared" si="3"/>
        <v>0</v>
      </c>
      <c r="Y57" s="542">
        <f t="shared" si="4"/>
        <v>0</v>
      </c>
    </row>
    <row r="58" spans="1:25" x14ac:dyDescent="0.2">
      <c r="A58" s="555" t="s">
        <v>868</v>
      </c>
      <c r="B58" s="556">
        <v>1565545</v>
      </c>
      <c r="C58" s="557" t="s">
        <v>1437</v>
      </c>
      <c r="D58" s="558">
        <v>647236</v>
      </c>
      <c r="E58" s="557" t="s">
        <v>1434</v>
      </c>
      <c r="F58" s="559">
        <f t="shared" si="2"/>
        <v>1.8483657601577535E-2</v>
      </c>
      <c r="G58" s="513">
        <f t="shared" si="1"/>
        <v>481.95625012629381</v>
      </c>
      <c r="H58" s="513"/>
      <c r="I58" s="489"/>
      <c r="J58" s="555" t="s">
        <v>868</v>
      </c>
      <c r="K58" s="515">
        <v>31191</v>
      </c>
      <c r="L58" s="515">
        <v>33751</v>
      </c>
      <c r="M58" s="515">
        <v>4773</v>
      </c>
      <c r="N58" s="515">
        <f t="shared" si="5"/>
        <v>34645.78</v>
      </c>
      <c r="O58" s="515"/>
      <c r="P58" s="489"/>
      <c r="Q58" s="555" t="s">
        <v>868</v>
      </c>
      <c r="R58" s="556">
        <v>45</v>
      </c>
      <c r="S58" s="558">
        <v>734</v>
      </c>
      <c r="T58" s="560">
        <v>3706</v>
      </c>
      <c r="U58" s="556">
        <v>26</v>
      </c>
      <c r="V58" s="556">
        <v>311</v>
      </c>
      <c r="W58" s="561">
        <v>4823</v>
      </c>
      <c r="X58" s="562">
        <f t="shared" si="3"/>
        <v>71</v>
      </c>
      <c r="Y58" s="563">
        <f t="shared" si="4"/>
        <v>22.996912500659512</v>
      </c>
    </row>
    <row r="59" spans="1:25" x14ac:dyDescent="0.2">
      <c r="A59" s="613" t="s">
        <v>870</v>
      </c>
      <c r="B59" s="614">
        <v>22801472</v>
      </c>
      <c r="C59" s="615" t="s">
        <v>1427</v>
      </c>
      <c r="D59" s="616">
        <v>13258008</v>
      </c>
      <c r="E59" s="615" t="s">
        <v>1427</v>
      </c>
      <c r="F59" s="617">
        <f t="shared" si="2"/>
        <v>5.3726987902165103E-2</v>
      </c>
      <c r="G59" s="618">
        <f t="shared" si="1"/>
        <v>9872.4110213653203</v>
      </c>
      <c r="H59" s="513"/>
      <c r="I59" s="489"/>
      <c r="J59" s="613" t="s">
        <v>870</v>
      </c>
      <c r="K59" s="619">
        <v>286580</v>
      </c>
      <c r="L59" s="619">
        <v>237847</v>
      </c>
      <c r="M59" s="619">
        <v>41341</v>
      </c>
      <c r="N59" s="619">
        <f t="shared" si="5"/>
        <v>200509.05299999999</v>
      </c>
      <c r="O59" s="515"/>
      <c r="P59" s="489"/>
      <c r="Q59" s="613" t="s">
        <v>870</v>
      </c>
      <c r="R59" s="614">
        <v>4867</v>
      </c>
      <c r="S59" s="616">
        <v>23777</v>
      </c>
      <c r="T59" s="620">
        <v>67218</v>
      </c>
      <c r="U59" s="614">
        <v>27508</v>
      </c>
      <c r="V59" s="614">
        <v>11297</v>
      </c>
      <c r="W59" s="621">
        <v>134666</v>
      </c>
      <c r="X59" s="622">
        <f t="shared" si="3"/>
        <v>32375</v>
      </c>
      <c r="Y59" s="623">
        <f t="shared" si="4"/>
        <v>10486.268200124674</v>
      </c>
    </row>
    <row r="60" spans="1:25" x14ac:dyDescent="0.2">
      <c r="A60" s="532" t="s">
        <v>872</v>
      </c>
      <c r="B60" s="533">
        <v>3987500</v>
      </c>
      <c r="C60" s="534" t="s">
        <v>1436</v>
      </c>
      <c r="D60" s="535">
        <v>14646549</v>
      </c>
      <c r="E60" s="534" t="s">
        <v>1422</v>
      </c>
      <c r="F60" s="536">
        <f t="shared" si="2"/>
        <v>0.28904313307775437</v>
      </c>
      <c r="G60" s="537">
        <f t="shared" si="1"/>
        <v>10906.370834334028</v>
      </c>
      <c r="H60" s="513"/>
      <c r="I60" s="489"/>
      <c r="J60" s="532" t="s">
        <v>872</v>
      </c>
      <c r="K60" s="538">
        <v>14907</v>
      </c>
      <c r="L60" s="538">
        <v>48841</v>
      </c>
      <c r="M60" s="538">
        <v>10453</v>
      </c>
      <c r="N60" s="538">
        <f t="shared" si="5"/>
        <v>48516.574999999997</v>
      </c>
      <c r="O60" s="515"/>
      <c r="P60" s="489"/>
      <c r="Q60" s="532"/>
      <c r="R60" s="533"/>
      <c r="S60" s="535"/>
      <c r="T60" s="539"/>
      <c r="U60" s="533"/>
      <c r="V60" s="533"/>
      <c r="W60" s="540"/>
      <c r="X60" s="541">
        <f t="shared" si="3"/>
        <v>0</v>
      </c>
      <c r="Y60" s="542">
        <f t="shared" si="4"/>
        <v>0</v>
      </c>
    </row>
    <row r="61" spans="1:25" x14ac:dyDescent="0.2">
      <c r="A61" s="613" t="s">
        <v>874</v>
      </c>
      <c r="B61" s="614">
        <v>25295698</v>
      </c>
      <c r="C61" s="615" t="s">
        <v>1422</v>
      </c>
      <c r="D61" s="616">
        <v>10479116</v>
      </c>
      <c r="E61" s="615" t="s">
        <v>1430</v>
      </c>
      <c r="F61" s="617">
        <f t="shared" si="2"/>
        <v>4.0474102572557659E-2</v>
      </c>
      <c r="G61" s="618">
        <f t="shared" ref="G61:G80" si="6">D61*C$91/1000000</f>
        <v>7803.1436014041983</v>
      </c>
      <c r="H61" s="513"/>
      <c r="I61" s="489"/>
      <c r="J61" s="613" t="s">
        <v>874</v>
      </c>
      <c r="K61" s="619">
        <v>318775</v>
      </c>
      <c r="L61" s="619">
        <v>249551</v>
      </c>
      <c r="M61" s="619">
        <v>55284</v>
      </c>
      <c r="N61" s="619">
        <f t="shared" si="5"/>
        <v>208513.62700000001</v>
      </c>
      <c r="O61" s="515"/>
      <c r="P61" s="489"/>
      <c r="Q61" s="613" t="s">
        <v>874</v>
      </c>
      <c r="R61" s="614">
        <v>15893</v>
      </c>
      <c r="S61" s="616">
        <v>18412</v>
      </c>
      <c r="T61" s="620">
        <v>43390</v>
      </c>
      <c r="U61" s="614">
        <v>18565</v>
      </c>
      <c r="V61" s="614">
        <v>5925</v>
      </c>
      <c r="W61" s="621">
        <v>102185</v>
      </c>
      <c r="X61" s="622">
        <f t="shared" si="3"/>
        <v>34458</v>
      </c>
      <c r="Y61" s="623">
        <f t="shared" si="4"/>
        <v>11160.952266869373</v>
      </c>
    </row>
    <row r="62" spans="1:25" x14ac:dyDescent="0.2">
      <c r="A62" s="564" t="s">
        <v>876</v>
      </c>
      <c r="B62" s="565">
        <v>62421949</v>
      </c>
      <c r="C62" s="566" t="s">
        <v>1422</v>
      </c>
      <c r="D62" s="567">
        <v>15669609</v>
      </c>
      <c r="E62" s="566" t="s">
        <v>1426</v>
      </c>
      <c r="F62" s="568">
        <f t="shared" si="2"/>
        <v>5.4721082268233232E-2</v>
      </c>
      <c r="G62" s="569">
        <f t="shared" si="6"/>
        <v>11668.179759137665</v>
      </c>
      <c r="H62" s="513"/>
      <c r="I62" s="489"/>
      <c r="J62" s="564" t="s">
        <v>876</v>
      </c>
      <c r="K62" s="570">
        <v>293604</v>
      </c>
      <c r="L62" s="570">
        <v>276004</v>
      </c>
      <c r="M62" s="570">
        <v>47088</v>
      </c>
      <c r="N62" s="570">
        <f t="shared" si="5"/>
        <v>231425.351</v>
      </c>
      <c r="O62" s="515"/>
      <c r="P62" s="489"/>
      <c r="Q62" s="564" t="s">
        <v>876</v>
      </c>
      <c r="R62" s="565">
        <v>2693</v>
      </c>
      <c r="S62" s="567">
        <v>2468</v>
      </c>
      <c r="T62" s="571">
        <v>5837</v>
      </c>
      <c r="U62" s="565">
        <v>164</v>
      </c>
      <c r="V62" s="565">
        <v>2207</v>
      </c>
      <c r="W62" s="572">
        <v>13369</v>
      </c>
      <c r="X62" s="573">
        <f t="shared" si="3"/>
        <v>2857</v>
      </c>
      <c r="Y62" s="574">
        <f t="shared" si="4"/>
        <v>925.38280301949624</v>
      </c>
    </row>
    <row r="63" spans="1:25" x14ac:dyDescent="0.2">
      <c r="A63" s="593" t="s">
        <v>878</v>
      </c>
      <c r="B63" s="594">
        <v>11840708</v>
      </c>
      <c r="C63" s="595" t="s">
        <v>1422</v>
      </c>
      <c r="D63" s="596">
        <v>26030646</v>
      </c>
      <c r="E63" s="595" t="s">
        <v>1438</v>
      </c>
      <c r="F63" s="597">
        <f t="shared" si="2"/>
        <v>0.2841360249723498</v>
      </c>
      <c r="G63" s="598">
        <f t="shared" si="6"/>
        <v>19383.397299478103</v>
      </c>
      <c r="H63" s="513"/>
      <c r="I63" s="489"/>
      <c r="J63" s="593" t="s">
        <v>878</v>
      </c>
      <c r="K63" s="599">
        <v>18921</v>
      </c>
      <c r="L63" s="599">
        <v>88302</v>
      </c>
      <c r="M63" s="599">
        <v>20709</v>
      </c>
      <c r="N63" s="599">
        <f t="shared" ref="N63:N79" si="7">L63*(1+K$95)-B63/1000-X63</f>
        <v>83083.941999999995</v>
      </c>
      <c r="O63" s="515"/>
      <c r="P63" s="489"/>
      <c r="Q63" s="593"/>
      <c r="R63" s="594"/>
      <c r="S63" s="596"/>
      <c r="T63" s="609"/>
      <c r="U63" s="594"/>
      <c r="V63" s="594"/>
      <c r="W63" s="602"/>
      <c r="X63" s="603">
        <f t="shared" si="3"/>
        <v>0</v>
      </c>
      <c r="Y63" s="604">
        <f t="shared" si="4"/>
        <v>0</v>
      </c>
    </row>
    <row r="64" spans="1:25" x14ac:dyDescent="0.2">
      <c r="A64" s="582" t="s">
        <v>880</v>
      </c>
      <c r="B64" s="583">
        <v>98088452</v>
      </c>
      <c r="C64" s="584" t="s">
        <v>1422</v>
      </c>
      <c r="D64" s="585">
        <v>68935561</v>
      </c>
      <c r="E64" s="584" t="s">
        <v>1439</v>
      </c>
      <c r="F64" s="586">
        <f t="shared" si="2"/>
        <v>0.12167098072106039</v>
      </c>
      <c r="G64" s="587">
        <f t="shared" si="6"/>
        <v>51332.009467817596</v>
      </c>
      <c r="H64" s="513"/>
      <c r="I64" s="489"/>
      <c r="J64" s="582" t="s">
        <v>880</v>
      </c>
      <c r="K64" s="588">
        <v>494278</v>
      </c>
      <c r="L64" s="588">
        <v>546095</v>
      </c>
      <c r="M64" s="588">
        <v>127152</v>
      </c>
      <c r="N64" s="588">
        <f t="shared" si="7"/>
        <v>455065.67300000001</v>
      </c>
      <c r="O64" s="515"/>
      <c r="P64" s="489"/>
      <c r="Q64" s="582" t="s">
        <v>880</v>
      </c>
      <c r="R64" s="583">
        <v>14970</v>
      </c>
      <c r="S64" s="585">
        <v>58823</v>
      </c>
      <c r="T64" s="589">
        <v>10278</v>
      </c>
      <c r="U64" s="583">
        <v>18928</v>
      </c>
      <c r="V64" s="583">
        <v>14002</v>
      </c>
      <c r="W64" s="590">
        <v>117000</v>
      </c>
      <c r="X64" s="591">
        <f t="shared" si="3"/>
        <v>33898</v>
      </c>
      <c r="Y64" s="592">
        <f t="shared" si="4"/>
        <v>10979.568168272624</v>
      </c>
    </row>
    <row r="65" spans="1:25" x14ac:dyDescent="0.2">
      <c r="A65" s="543" t="s">
        <v>882</v>
      </c>
      <c r="B65" s="544">
        <v>34385332</v>
      </c>
      <c r="C65" s="545" t="s">
        <v>1422</v>
      </c>
      <c r="D65" s="546">
        <v>26322954</v>
      </c>
      <c r="E65" s="545" t="s">
        <v>1426</v>
      </c>
      <c r="F65" s="547">
        <f t="shared" si="2"/>
        <v>0.18651005217638988</v>
      </c>
      <c r="G65" s="548">
        <f t="shared" si="6"/>
        <v>19601.060821843854</v>
      </c>
      <c r="H65" s="513"/>
      <c r="I65" s="489"/>
      <c r="J65" s="543" t="s">
        <v>882</v>
      </c>
      <c r="K65" s="549">
        <v>77576</v>
      </c>
      <c r="L65" s="549">
        <v>136033</v>
      </c>
      <c r="M65" s="549">
        <v>26981</v>
      </c>
      <c r="N65" s="549">
        <f t="shared" si="7"/>
        <v>109965.14300000001</v>
      </c>
      <c r="O65" s="515"/>
      <c r="P65" s="489"/>
      <c r="Q65" s="543" t="s">
        <v>882</v>
      </c>
      <c r="R65" s="544">
        <v>27</v>
      </c>
      <c r="S65" s="546">
        <v>2596</v>
      </c>
      <c r="T65" s="550">
        <v>0</v>
      </c>
      <c r="U65" s="544">
        <v>1858</v>
      </c>
      <c r="V65" s="551">
        <v>0</v>
      </c>
      <c r="W65" s="552">
        <v>4480</v>
      </c>
      <c r="X65" s="553">
        <f t="shared" si="3"/>
        <v>1885</v>
      </c>
      <c r="Y65" s="554">
        <f t="shared" si="4"/>
        <v>610.55183188370688</v>
      </c>
    </row>
    <row r="66" spans="1:25" x14ac:dyDescent="0.2">
      <c r="A66" s="521" t="s">
        <v>884</v>
      </c>
      <c r="B66" s="522">
        <v>26857309</v>
      </c>
      <c r="C66" s="523" t="s">
        <v>1430</v>
      </c>
      <c r="D66" s="524">
        <v>18270226</v>
      </c>
      <c r="E66" s="523" t="s">
        <v>1440</v>
      </c>
      <c r="F66" s="525">
        <f t="shared" si="2"/>
        <v>0.11141741305474853</v>
      </c>
      <c r="G66" s="526">
        <f t="shared" si="6"/>
        <v>13604.696914139382</v>
      </c>
      <c r="H66" s="513"/>
      <c r="I66" s="489"/>
      <c r="J66" s="521" t="s">
        <v>884</v>
      </c>
      <c r="K66" s="527">
        <v>102600</v>
      </c>
      <c r="L66" s="527">
        <v>158053</v>
      </c>
      <c r="M66" s="527">
        <v>48620</v>
      </c>
      <c r="N66" s="527">
        <f t="shared" si="7"/>
        <v>136097.666</v>
      </c>
      <c r="O66" s="515"/>
      <c r="P66" s="489"/>
      <c r="Q66" s="521" t="s">
        <v>884</v>
      </c>
      <c r="R66" s="522">
        <v>3615</v>
      </c>
      <c r="S66" s="524">
        <v>8897</v>
      </c>
      <c r="T66" s="528">
        <v>6122</v>
      </c>
      <c r="U66" s="522">
        <v>3337</v>
      </c>
      <c r="V66" s="522">
        <v>12927</v>
      </c>
      <c r="W66" s="529">
        <v>34898</v>
      </c>
      <c r="X66" s="530">
        <f t="shared" si="3"/>
        <v>6952</v>
      </c>
      <c r="Y66" s="531">
        <f t="shared" si="4"/>
        <v>2251.7540240082385</v>
      </c>
    </row>
    <row r="67" spans="1:25" x14ac:dyDescent="0.2">
      <c r="A67" s="613" t="s">
        <v>886</v>
      </c>
      <c r="B67" s="614">
        <v>69428758</v>
      </c>
      <c r="C67" s="615" t="s">
        <v>1422</v>
      </c>
      <c r="D67" s="616">
        <v>66978943</v>
      </c>
      <c r="E67" s="615" t="s">
        <v>1422</v>
      </c>
      <c r="F67" s="617">
        <f t="shared" si="2"/>
        <v>0.16149032266386562</v>
      </c>
      <c r="G67" s="618">
        <f t="shared" si="6"/>
        <v>49875.038171088723</v>
      </c>
      <c r="H67" s="513"/>
      <c r="I67" s="489"/>
      <c r="J67" s="613" t="s">
        <v>886</v>
      </c>
      <c r="K67" s="619">
        <v>354399</v>
      </c>
      <c r="L67" s="619">
        <v>399764</v>
      </c>
      <c r="M67" s="619">
        <v>90300</v>
      </c>
      <c r="N67" s="619">
        <f t="shared" si="7"/>
        <v>326464.54200000002</v>
      </c>
      <c r="O67" s="515"/>
      <c r="P67" s="489"/>
      <c r="Q67" s="613" t="s">
        <v>886</v>
      </c>
      <c r="R67" s="614">
        <v>15293</v>
      </c>
      <c r="S67" s="616">
        <v>32518</v>
      </c>
      <c r="T67" s="620">
        <v>37544</v>
      </c>
      <c r="U67" s="614">
        <v>18560</v>
      </c>
      <c r="V67" s="614">
        <v>1096</v>
      </c>
      <c r="W67" s="621">
        <v>105011</v>
      </c>
      <c r="X67" s="622">
        <f t="shared" si="3"/>
        <v>33853</v>
      </c>
      <c r="Y67" s="623">
        <f t="shared" si="4"/>
        <v>10964.99266034967</v>
      </c>
    </row>
    <row r="68" spans="1:25" x14ac:dyDescent="0.2">
      <c r="A68" s="555" t="s">
        <v>888</v>
      </c>
      <c r="B68" s="556">
        <v>461560</v>
      </c>
      <c r="C68" s="557" t="s">
        <v>1430</v>
      </c>
      <c r="D68" s="558">
        <v>464259</v>
      </c>
      <c r="E68" s="557" t="s">
        <v>1429</v>
      </c>
      <c r="F68" s="559">
        <f t="shared" si="2"/>
        <v>2.3078990882297565E-2</v>
      </c>
      <c r="G68" s="513">
        <f t="shared" si="6"/>
        <v>345.70469925557768</v>
      </c>
      <c r="H68" s="513"/>
      <c r="I68" s="489"/>
      <c r="J68" s="555" t="s">
        <v>888</v>
      </c>
      <c r="K68" s="515">
        <v>21035</v>
      </c>
      <c r="L68" s="515">
        <v>19389</v>
      </c>
      <c r="M68" s="515">
        <v>2815</v>
      </c>
      <c r="N68" s="515">
        <f t="shared" si="7"/>
        <v>15964.614999999998</v>
      </c>
      <c r="O68" s="515"/>
      <c r="P68" s="489"/>
      <c r="Q68" s="555" t="s">
        <v>1441</v>
      </c>
      <c r="R68" s="556">
        <v>2739</v>
      </c>
      <c r="S68" s="558">
        <v>7444</v>
      </c>
      <c r="T68" s="560">
        <v>15824</v>
      </c>
      <c r="U68" s="556">
        <v>1678</v>
      </c>
      <c r="V68" s="556">
        <v>1903</v>
      </c>
      <c r="W68" s="624">
        <v>29588</v>
      </c>
      <c r="X68" s="562">
        <f t="shared" si="3"/>
        <v>4417</v>
      </c>
      <c r="Y68" s="563">
        <f t="shared" si="4"/>
        <v>1430.6670776818744</v>
      </c>
    </row>
    <row r="69" spans="1:25" x14ac:dyDescent="0.2">
      <c r="A69" s="564" t="s">
        <v>890</v>
      </c>
      <c r="B69" s="565">
        <v>36513758</v>
      </c>
      <c r="C69" s="566" t="s">
        <v>1422</v>
      </c>
      <c r="D69" s="567">
        <v>17572841</v>
      </c>
      <c r="E69" s="566" t="s">
        <v>1430</v>
      </c>
      <c r="F69" s="568">
        <f t="shared" si="2"/>
        <v>0.11868765641932587</v>
      </c>
      <c r="G69" s="569">
        <f t="shared" si="6"/>
        <v>13085.397833905394</v>
      </c>
      <c r="H69" s="513"/>
      <c r="I69" s="489"/>
      <c r="J69" s="564" t="s">
        <v>890</v>
      </c>
      <c r="K69" s="570">
        <v>143194</v>
      </c>
      <c r="L69" s="570">
        <v>142708</v>
      </c>
      <c r="M69" s="570">
        <v>32484</v>
      </c>
      <c r="N69" s="570">
        <f t="shared" si="7"/>
        <v>116358.342</v>
      </c>
      <c r="O69" s="515"/>
      <c r="P69" s="489"/>
      <c r="Q69" s="564" t="s">
        <v>888</v>
      </c>
      <c r="R69" s="565">
        <v>42</v>
      </c>
      <c r="S69" s="567">
        <v>3117</v>
      </c>
      <c r="T69" s="571">
        <v>6819</v>
      </c>
      <c r="U69" s="565">
        <v>497</v>
      </c>
      <c r="V69" s="565">
        <v>541</v>
      </c>
      <c r="W69" s="625">
        <v>11016</v>
      </c>
      <c r="X69" s="573">
        <f t="shared" si="3"/>
        <v>539</v>
      </c>
      <c r="Y69" s="574">
        <f t="shared" si="4"/>
        <v>174.58219489937292</v>
      </c>
    </row>
    <row r="70" spans="1:25" x14ac:dyDescent="0.2">
      <c r="A70" s="593" t="s">
        <v>892</v>
      </c>
      <c r="B70" s="594">
        <v>3891587</v>
      </c>
      <c r="C70" s="595" t="s">
        <v>1437</v>
      </c>
      <c r="D70" s="596">
        <v>15326288</v>
      </c>
      <c r="E70" s="595" t="s">
        <v>1433</v>
      </c>
      <c r="F70" s="597">
        <f t="shared" si="2"/>
        <v>0.28252927711304227</v>
      </c>
      <c r="G70" s="598">
        <f t="shared" si="6"/>
        <v>11412.530039793237</v>
      </c>
      <c r="H70" s="513"/>
      <c r="I70" s="489"/>
      <c r="J70" s="593" t="s">
        <v>892</v>
      </c>
      <c r="K70" s="599">
        <v>26430</v>
      </c>
      <c r="L70" s="599">
        <v>52286</v>
      </c>
      <c r="M70" s="599">
        <v>17776</v>
      </c>
      <c r="N70" s="599">
        <f t="shared" si="7"/>
        <v>51750.862999999998</v>
      </c>
      <c r="O70" s="515"/>
      <c r="P70" s="489"/>
      <c r="Q70" s="593" t="s">
        <v>890</v>
      </c>
      <c r="R70" s="594">
        <v>242</v>
      </c>
      <c r="S70" s="596">
        <v>2509</v>
      </c>
      <c r="T70" s="609">
        <v>18157</v>
      </c>
      <c r="U70" s="594">
        <v>323</v>
      </c>
      <c r="V70" s="594">
        <v>6315</v>
      </c>
      <c r="W70" s="626">
        <v>27546</v>
      </c>
      <c r="X70" s="603">
        <f t="shared" si="3"/>
        <v>565</v>
      </c>
      <c r="Y70" s="604">
        <f t="shared" si="4"/>
        <v>183.00359947707923</v>
      </c>
    </row>
    <row r="71" spans="1:25" x14ac:dyDescent="0.2">
      <c r="A71" s="507" t="s">
        <v>894</v>
      </c>
      <c r="B71" s="508">
        <v>38773137</v>
      </c>
      <c r="C71" s="509" t="s">
        <v>1422</v>
      </c>
      <c r="D71" s="510">
        <v>18719071</v>
      </c>
      <c r="E71" s="509" t="s">
        <v>1427</v>
      </c>
      <c r="F71" s="511">
        <f t="shared" si="2"/>
        <v>6.67584706576477E-2</v>
      </c>
      <c r="G71" s="512">
        <f t="shared" si="6"/>
        <v>13938.923769703561</v>
      </c>
      <c r="H71" s="513"/>
      <c r="I71" s="489"/>
      <c r="J71" s="507" t="s">
        <v>894</v>
      </c>
      <c r="K71" s="514">
        <v>286576</v>
      </c>
      <c r="L71" s="514">
        <v>270265</v>
      </c>
      <c r="M71" s="514">
        <v>54491</v>
      </c>
      <c r="N71" s="514">
        <f t="shared" si="7"/>
        <v>241233.73800000001</v>
      </c>
      <c r="O71" s="515"/>
      <c r="P71" s="489"/>
      <c r="Q71" s="507" t="s">
        <v>894</v>
      </c>
      <c r="R71" s="508">
        <v>4458</v>
      </c>
      <c r="S71" s="510">
        <v>40578</v>
      </c>
      <c r="T71" s="605">
        <v>0</v>
      </c>
      <c r="U71" s="508">
        <v>6070</v>
      </c>
      <c r="V71" s="606">
        <v>0</v>
      </c>
      <c r="W71" s="627">
        <v>51106</v>
      </c>
      <c r="X71" s="519">
        <f t="shared" si="3"/>
        <v>10528</v>
      </c>
      <c r="Y71" s="520">
        <f t="shared" si="4"/>
        <v>3410.0210536189206</v>
      </c>
    </row>
    <row r="72" spans="1:25" x14ac:dyDescent="0.2">
      <c r="A72" s="543" t="s">
        <v>896</v>
      </c>
      <c r="B72" s="544">
        <v>219173834</v>
      </c>
      <c r="C72" s="545" t="s">
        <v>1422</v>
      </c>
      <c r="D72" s="546">
        <v>122900676</v>
      </c>
      <c r="E72" s="545" t="s">
        <v>1430</v>
      </c>
      <c r="F72" s="547">
        <f t="shared" si="2"/>
        <v>0.10942076535620514</v>
      </c>
      <c r="G72" s="548">
        <f t="shared" si="6"/>
        <v>91516.46222235258</v>
      </c>
      <c r="H72" s="513"/>
      <c r="I72" s="489"/>
      <c r="J72" s="543" t="s">
        <v>896</v>
      </c>
      <c r="K72" s="549">
        <v>589064</v>
      </c>
      <c r="L72" s="549">
        <v>1082596</v>
      </c>
      <c r="M72" s="549">
        <v>229846</v>
      </c>
      <c r="N72" s="549">
        <f t="shared" si="7"/>
        <v>846948.86599999992</v>
      </c>
      <c r="O72" s="515"/>
      <c r="P72" s="489"/>
      <c r="Q72" s="543" t="s">
        <v>896</v>
      </c>
      <c r="R72" s="544">
        <v>58320</v>
      </c>
      <c r="S72" s="546">
        <v>27052</v>
      </c>
      <c r="T72" s="608">
        <v>285614</v>
      </c>
      <c r="U72" s="544">
        <v>39348</v>
      </c>
      <c r="V72" s="544">
        <v>78023</v>
      </c>
      <c r="W72" s="628">
        <v>488357</v>
      </c>
      <c r="X72" s="553">
        <f t="shared" si="3"/>
        <v>97668</v>
      </c>
      <c r="Y72" s="554">
        <f t="shared" si="4"/>
        <v>31634.682395977652</v>
      </c>
    </row>
    <row r="73" spans="1:25" x14ac:dyDescent="0.2">
      <c r="A73" s="532" t="s">
        <v>898</v>
      </c>
      <c r="B73" s="533">
        <v>15297258</v>
      </c>
      <c r="C73" s="534" t="s">
        <v>1437</v>
      </c>
      <c r="D73" s="535">
        <v>23064314</v>
      </c>
      <c r="E73" s="534" t="s">
        <v>1422</v>
      </c>
      <c r="F73" s="536">
        <f t="shared" si="2"/>
        <v>0.20270136494625374</v>
      </c>
      <c r="G73" s="537">
        <f t="shared" si="6"/>
        <v>17174.555011117089</v>
      </c>
      <c r="H73" s="513"/>
      <c r="I73" s="489"/>
      <c r="J73" s="532" t="s">
        <v>898</v>
      </c>
      <c r="K73" s="538">
        <v>61515</v>
      </c>
      <c r="L73" s="538">
        <v>109672</v>
      </c>
      <c r="M73" s="538">
        <v>38046</v>
      </c>
      <c r="N73" s="538">
        <f t="shared" si="7"/>
        <v>102600.14199999999</v>
      </c>
      <c r="O73" s="515"/>
      <c r="P73" s="489"/>
      <c r="Q73" s="532"/>
      <c r="R73" s="533"/>
      <c r="S73" s="535"/>
      <c r="T73" s="539"/>
      <c r="U73" s="533"/>
      <c r="V73" s="533"/>
      <c r="W73" s="629"/>
      <c r="X73" s="541">
        <f t="shared" si="3"/>
        <v>0</v>
      </c>
      <c r="Y73" s="542">
        <f t="shared" si="4"/>
        <v>0</v>
      </c>
    </row>
    <row r="74" spans="1:25" x14ac:dyDescent="0.2">
      <c r="A74" s="555" t="s">
        <v>900</v>
      </c>
      <c r="B74" s="556">
        <v>1333916</v>
      </c>
      <c r="C74" s="557" t="s">
        <v>1423</v>
      </c>
      <c r="D74" s="558">
        <v>830160</v>
      </c>
      <c r="E74" s="557" t="s">
        <v>1440</v>
      </c>
      <c r="F74" s="559">
        <f t="shared" si="2"/>
        <v>4.933741625770563E-2</v>
      </c>
      <c r="G74" s="513">
        <f t="shared" si="6"/>
        <v>618.16833520515559</v>
      </c>
      <c r="H74" s="513"/>
      <c r="I74" s="489"/>
      <c r="J74" s="555" t="s">
        <v>900</v>
      </c>
      <c r="K74" s="515">
        <v>16238</v>
      </c>
      <c r="L74" s="515">
        <v>16218</v>
      </c>
      <c r="M74" s="515">
        <v>3296</v>
      </c>
      <c r="N74" s="515">
        <f t="shared" si="7"/>
        <v>16100.433999999999</v>
      </c>
      <c r="O74" s="515"/>
      <c r="P74" s="489"/>
      <c r="Q74" s="555" t="s">
        <v>900</v>
      </c>
      <c r="R74" s="556">
        <v>0</v>
      </c>
      <c r="S74" s="558">
        <v>0</v>
      </c>
      <c r="T74" s="560">
        <v>0</v>
      </c>
      <c r="U74" s="556">
        <v>0</v>
      </c>
      <c r="V74" s="556">
        <v>0</v>
      </c>
      <c r="W74" s="624">
        <v>0</v>
      </c>
      <c r="X74" s="562">
        <f t="shared" si="3"/>
        <v>0</v>
      </c>
      <c r="Y74" s="563">
        <f t="shared" si="4"/>
        <v>0</v>
      </c>
    </row>
    <row r="75" spans="1:25" x14ac:dyDescent="0.2">
      <c r="A75" s="630" t="s">
        <v>902</v>
      </c>
      <c r="B75" s="631">
        <v>66396085</v>
      </c>
      <c r="C75" s="632" t="s">
        <v>1422</v>
      </c>
      <c r="D75" s="633">
        <v>49704569</v>
      </c>
      <c r="E75" s="632" t="s">
        <v>1422</v>
      </c>
      <c r="F75" s="634">
        <f t="shared" si="2"/>
        <v>0.17813976727927944</v>
      </c>
      <c r="G75" s="635">
        <f t="shared" si="6"/>
        <v>37011.890082417587</v>
      </c>
      <c r="H75" s="513"/>
      <c r="I75" s="489"/>
      <c r="J75" s="630" t="s">
        <v>902</v>
      </c>
      <c r="K75" s="636">
        <v>164557</v>
      </c>
      <c r="L75" s="636">
        <v>268935</v>
      </c>
      <c r="M75" s="636">
        <v>44113</v>
      </c>
      <c r="N75" s="636">
        <f t="shared" si="7"/>
        <v>207808.03999999998</v>
      </c>
      <c r="O75" s="515"/>
      <c r="P75" s="489"/>
      <c r="Q75" s="630" t="s">
        <v>902</v>
      </c>
      <c r="R75" s="631">
        <v>5614</v>
      </c>
      <c r="S75" s="633">
        <v>4424</v>
      </c>
      <c r="T75" s="637">
        <v>13381</v>
      </c>
      <c r="U75" s="631">
        <v>9287</v>
      </c>
      <c r="V75" s="631">
        <v>22731</v>
      </c>
      <c r="W75" s="638">
        <v>55437</v>
      </c>
      <c r="X75" s="639">
        <f t="shared" si="3"/>
        <v>14901</v>
      </c>
      <c r="Y75" s="640">
        <f t="shared" si="4"/>
        <v>4826.436523553908</v>
      </c>
    </row>
    <row r="76" spans="1:25" x14ac:dyDescent="0.2">
      <c r="A76" s="521" t="s">
        <v>904</v>
      </c>
      <c r="B76" s="522">
        <v>51861629</v>
      </c>
      <c r="C76" s="523" t="s">
        <v>1433</v>
      </c>
      <c r="D76" s="524">
        <v>27870086</v>
      </c>
      <c r="E76" s="523" t="s">
        <v>1427</v>
      </c>
      <c r="F76" s="525">
        <f t="shared" si="2"/>
        <v>0.103479793423484</v>
      </c>
      <c r="G76" s="526">
        <f t="shared" si="6"/>
        <v>20753.113453604743</v>
      </c>
      <c r="H76" s="513"/>
      <c r="I76" s="489"/>
      <c r="J76" s="521" t="s">
        <v>904</v>
      </c>
      <c r="K76" s="527">
        <v>177395</v>
      </c>
      <c r="L76" s="527">
        <v>259594</v>
      </c>
      <c r="M76" s="527">
        <v>46724</v>
      </c>
      <c r="N76" s="527">
        <f t="shared" si="7"/>
        <v>201642.92099999997</v>
      </c>
      <c r="O76" s="515"/>
      <c r="P76" s="489"/>
      <c r="Q76" s="521" t="s">
        <v>904</v>
      </c>
      <c r="R76" s="522">
        <v>10877</v>
      </c>
      <c r="S76" s="524">
        <v>25394</v>
      </c>
      <c r="T76" s="528">
        <v>28280</v>
      </c>
      <c r="U76" s="522">
        <v>14682</v>
      </c>
      <c r="V76" s="522">
        <v>41999</v>
      </c>
      <c r="W76" s="641">
        <v>121233</v>
      </c>
      <c r="X76" s="530">
        <f t="shared" si="3"/>
        <v>25559</v>
      </c>
      <c r="Y76" s="531">
        <f t="shared" si="4"/>
        <v>8278.5646000613597</v>
      </c>
    </row>
    <row r="77" spans="1:25" x14ac:dyDescent="0.2">
      <c r="A77" s="630" t="s">
        <v>906</v>
      </c>
      <c r="B77" s="631">
        <v>30527120</v>
      </c>
      <c r="C77" s="632" t="s">
        <v>1422</v>
      </c>
      <c r="D77" s="633">
        <v>119317981</v>
      </c>
      <c r="E77" s="632" t="s">
        <v>1422</v>
      </c>
      <c r="F77" s="634">
        <f t="shared" si="2"/>
        <v>0.41731631810222786</v>
      </c>
      <c r="G77" s="635">
        <f t="shared" si="6"/>
        <v>88848.652879939269</v>
      </c>
      <c r="H77" s="513"/>
      <c r="I77" s="489"/>
      <c r="J77" s="630" t="s">
        <v>906</v>
      </c>
      <c r="K77" s="636">
        <v>38479</v>
      </c>
      <c r="L77" s="636">
        <v>275583</v>
      </c>
      <c r="M77" s="636">
        <v>78437</v>
      </c>
      <c r="N77" s="636">
        <f t="shared" si="7"/>
        <v>211276.60499999998</v>
      </c>
      <c r="O77" s="515"/>
      <c r="P77" s="489"/>
      <c r="Q77" s="630" t="s">
        <v>906</v>
      </c>
      <c r="R77" s="631">
        <v>7792</v>
      </c>
      <c r="S77" s="633">
        <v>16930</v>
      </c>
      <c r="T77" s="642">
        <v>0</v>
      </c>
      <c r="U77" s="631">
        <v>46656</v>
      </c>
      <c r="V77" s="643">
        <v>0</v>
      </c>
      <c r="W77" s="638">
        <v>71379</v>
      </c>
      <c r="X77" s="639">
        <f t="shared" si="3"/>
        <v>54448</v>
      </c>
      <c r="Y77" s="640">
        <f t="shared" si="4"/>
        <v>17635.716786421257</v>
      </c>
    </row>
    <row r="78" spans="1:25" x14ac:dyDescent="0.2">
      <c r="A78" s="582" t="s">
        <v>908</v>
      </c>
      <c r="B78" s="583">
        <v>77889055</v>
      </c>
      <c r="C78" s="584" t="s">
        <v>1422</v>
      </c>
      <c r="D78" s="585">
        <v>16115174</v>
      </c>
      <c r="E78" s="584" t="s">
        <v>1426</v>
      </c>
      <c r="F78" s="586">
        <f t="shared" si="2"/>
        <v>6.7680010768208121E-2</v>
      </c>
      <c r="G78" s="587">
        <f t="shared" si="6"/>
        <v>11999.964203432362</v>
      </c>
      <c r="H78" s="513"/>
      <c r="I78" s="489"/>
      <c r="J78" s="582" t="s">
        <v>908</v>
      </c>
      <c r="K78" s="588">
        <v>217451</v>
      </c>
      <c r="L78" s="588">
        <v>229502</v>
      </c>
      <c r="M78" s="588">
        <v>70753</v>
      </c>
      <c r="N78" s="588">
        <f t="shared" si="7"/>
        <v>144016.595</v>
      </c>
      <c r="O78" s="515"/>
      <c r="P78" s="489"/>
      <c r="Q78" s="582" t="s">
        <v>908</v>
      </c>
      <c r="R78" s="583">
        <v>415</v>
      </c>
      <c r="S78" s="585">
        <v>9026</v>
      </c>
      <c r="T78" s="589">
        <v>1848</v>
      </c>
      <c r="U78" s="583">
        <v>24394</v>
      </c>
      <c r="V78" s="583">
        <v>10966</v>
      </c>
      <c r="W78" s="644">
        <v>46649</v>
      </c>
      <c r="X78" s="591">
        <f t="shared" si="3"/>
        <v>24809</v>
      </c>
      <c r="Y78" s="592">
        <f t="shared" si="4"/>
        <v>8035.6394680121393</v>
      </c>
    </row>
    <row r="79" spans="1:25" x14ac:dyDescent="0.2">
      <c r="A79" s="645" t="s">
        <v>910</v>
      </c>
      <c r="B79" s="533">
        <v>15888145</v>
      </c>
      <c r="C79" s="534" t="s">
        <v>1422</v>
      </c>
      <c r="D79" s="535">
        <v>424070245</v>
      </c>
      <c r="E79" s="534" t="s">
        <v>1422</v>
      </c>
      <c r="F79" s="536">
        <f t="shared" si="2"/>
        <v>1.0190739401914699</v>
      </c>
      <c r="G79" s="537">
        <f t="shared" si="6"/>
        <v>315778.64190239529</v>
      </c>
      <c r="H79" s="513"/>
      <c r="I79" s="489"/>
      <c r="J79" s="645" t="s">
        <v>910</v>
      </c>
      <c r="K79" s="538">
        <v>12106</v>
      </c>
      <c r="L79" s="538">
        <v>401092</v>
      </c>
      <c r="M79" s="538">
        <v>421230</v>
      </c>
      <c r="N79" s="538">
        <f t="shared" si="7"/>
        <v>415285.75499999995</v>
      </c>
      <c r="O79" s="515"/>
      <c r="P79" s="489"/>
      <c r="Q79" s="532"/>
      <c r="R79" s="533"/>
      <c r="S79" s="535"/>
      <c r="T79" s="539"/>
      <c r="U79" s="533"/>
      <c r="V79" s="533"/>
      <c r="W79" s="629"/>
      <c r="X79" s="541">
        <f t="shared" si="3"/>
        <v>0</v>
      </c>
      <c r="Y79" s="542">
        <f t="shared" si="4"/>
        <v>0</v>
      </c>
    </row>
    <row r="80" spans="1:25" x14ac:dyDescent="0.2">
      <c r="A80" s="646" t="s">
        <v>1442</v>
      </c>
      <c r="B80" s="647">
        <f>SUM(B29:B79)</f>
        <v>2070114880</v>
      </c>
      <c r="C80" s="648"/>
      <c r="D80" s="648">
        <f>SUM(D29:D79)</f>
        <v>2005739371</v>
      </c>
      <c r="E80" s="648"/>
      <c r="F80" s="559">
        <f t="shared" si="2"/>
        <v>0.16568873740286638</v>
      </c>
      <c r="G80" s="513">
        <f t="shared" si="6"/>
        <v>1493548.9156626507</v>
      </c>
      <c r="H80" s="649"/>
      <c r="I80" s="489"/>
      <c r="J80" s="646" t="s">
        <v>1442</v>
      </c>
      <c r="K80" s="650">
        <v>8397210</v>
      </c>
      <c r="L80" s="650">
        <v>11667919</v>
      </c>
      <c r="M80" s="650">
        <v>3137898</v>
      </c>
      <c r="N80" s="515">
        <f>SUM(N29:N79)</f>
        <v>9488116.763000004</v>
      </c>
      <c r="O80" s="515"/>
      <c r="P80" s="489"/>
      <c r="Q80" s="646" t="s">
        <v>1442</v>
      </c>
      <c r="R80" s="647">
        <v>319682</v>
      </c>
      <c r="S80" s="648">
        <v>703814</v>
      </c>
      <c r="T80" s="651">
        <v>1130895</v>
      </c>
      <c r="U80" s="647">
        <v>703800</v>
      </c>
      <c r="V80" s="647">
        <v>434049</v>
      </c>
      <c r="W80" s="648">
        <v>2588440</v>
      </c>
      <c r="X80" s="562">
        <f t="shared" si="3"/>
        <v>1023482</v>
      </c>
      <c r="Y80" s="563">
        <f>SUM(Y29:Y79)</f>
        <v>322880.21441119624</v>
      </c>
    </row>
    <row r="81" spans="1:25" x14ac:dyDescent="0.2">
      <c r="A81" s="652"/>
      <c r="B81" s="556"/>
      <c r="C81" s="556"/>
      <c r="D81" s="556"/>
      <c r="E81" s="556"/>
      <c r="F81" s="556" t="s">
        <v>1443</v>
      </c>
      <c r="G81" s="556">
        <f>'AEO Data'!B266*1000</f>
        <v>1587571.8994140599</v>
      </c>
      <c r="H81" s="556"/>
      <c r="I81" s="489"/>
      <c r="J81" s="169" t="s">
        <v>1444</v>
      </c>
      <c r="K81" s="653"/>
      <c r="L81" s="653"/>
      <c r="M81" s="170">
        <f>SUM(M29:M39,M41:M79)</f>
        <v>3133286</v>
      </c>
      <c r="N81" s="171"/>
      <c r="O81" s="171"/>
      <c r="P81" s="489"/>
      <c r="Q81" s="494"/>
      <c r="R81" s="492"/>
      <c r="S81" s="494"/>
      <c r="T81" s="494"/>
      <c r="U81" s="494"/>
      <c r="V81" s="494"/>
      <c r="W81" s="494"/>
      <c r="X81" s="145" t="s">
        <v>1443</v>
      </c>
      <c r="Y81" s="563">
        <f>'AEO Data'!B267*1000</f>
        <v>609668.27392578102</v>
      </c>
    </row>
    <row r="82" spans="1:25" x14ac:dyDescent="0.2">
      <c r="A82" s="494" t="s">
        <v>1445</v>
      </c>
      <c r="B82" s="494"/>
      <c r="C82" s="494"/>
      <c r="D82" s="494"/>
      <c r="E82" s="494"/>
      <c r="F82" s="494"/>
      <c r="G82" s="494"/>
      <c r="H82" s="494"/>
      <c r="I82" s="489"/>
      <c r="J82" s="868" t="s">
        <v>1446</v>
      </c>
      <c r="K82" s="868"/>
      <c r="L82" s="868"/>
      <c r="M82" s="868"/>
      <c r="N82" s="555"/>
      <c r="O82" s="555"/>
      <c r="P82" s="489"/>
      <c r="Q82" s="860" t="s">
        <v>1447</v>
      </c>
      <c r="R82" s="860"/>
      <c r="S82" s="860"/>
      <c r="T82" s="860"/>
      <c r="U82" s="860"/>
      <c r="V82" s="860"/>
      <c r="W82" s="860"/>
      <c r="X82" s="145"/>
      <c r="Y82" s="145"/>
    </row>
    <row r="83" spans="1:25" x14ac:dyDescent="0.2">
      <c r="A83" s="494"/>
      <c r="B83" s="494"/>
      <c r="C83" s="494"/>
      <c r="D83" s="494"/>
      <c r="E83" s="494"/>
      <c r="F83" s="494"/>
      <c r="G83" s="494"/>
      <c r="H83" s="494"/>
      <c r="I83" s="489"/>
      <c r="J83" s="555"/>
      <c r="K83" s="555"/>
      <c r="L83" s="555"/>
      <c r="M83" s="555"/>
      <c r="N83" s="555"/>
      <c r="O83" s="555"/>
      <c r="P83" s="489"/>
      <c r="Q83" s="494"/>
      <c r="R83" s="492"/>
      <c r="S83" s="494"/>
      <c r="T83" s="494"/>
      <c r="U83" s="494"/>
      <c r="V83" s="494"/>
      <c r="W83" s="494"/>
      <c r="X83" s="145"/>
      <c r="Y83" s="145"/>
    </row>
    <row r="84" spans="1:25" x14ac:dyDescent="0.2">
      <c r="A84" s="860" t="s">
        <v>1448</v>
      </c>
      <c r="B84" s="860"/>
      <c r="C84" s="860"/>
      <c r="D84" s="860"/>
      <c r="E84" s="860"/>
      <c r="F84" s="501"/>
      <c r="G84" s="501"/>
      <c r="H84" s="501"/>
      <c r="I84" s="489"/>
      <c r="J84" s="869" t="s">
        <v>1449</v>
      </c>
      <c r="K84" s="870"/>
      <c r="L84" s="870"/>
      <c r="M84" s="870"/>
      <c r="N84" s="493"/>
      <c r="O84" s="493"/>
      <c r="P84" s="489"/>
      <c r="Q84" s="860" t="s">
        <v>1450</v>
      </c>
      <c r="R84" s="860"/>
      <c r="S84" s="860"/>
      <c r="T84" s="860"/>
      <c r="U84" s="860"/>
      <c r="V84" s="860"/>
      <c r="W84" s="860"/>
      <c r="X84" s="145"/>
      <c r="Y84" s="145"/>
    </row>
    <row r="85" spans="1:25" x14ac:dyDescent="0.2">
      <c r="A85" s="494" t="s">
        <v>1451</v>
      </c>
      <c r="B85" s="494"/>
      <c r="C85" s="494"/>
      <c r="D85" s="494"/>
      <c r="E85" s="494"/>
      <c r="F85" s="494"/>
      <c r="G85" s="494"/>
      <c r="H85" s="494"/>
      <c r="I85" s="489"/>
      <c r="J85" s="869"/>
      <c r="K85" s="870"/>
      <c r="L85" s="870"/>
      <c r="M85" s="870"/>
      <c r="N85" s="493"/>
      <c r="O85" s="493"/>
      <c r="P85" s="489"/>
      <c r="Q85" s="145" t="s">
        <v>1452</v>
      </c>
      <c r="R85" s="145"/>
      <c r="S85" s="145"/>
      <c r="T85" s="145"/>
      <c r="U85" s="145"/>
      <c r="V85" s="145"/>
      <c r="W85" s="145"/>
      <c r="X85" s="145"/>
      <c r="Y85" s="145"/>
    </row>
    <row r="86" spans="1:25" x14ac:dyDescent="0.2">
      <c r="A86" s="494"/>
      <c r="B86" s="494"/>
      <c r="C86" s="494"/>
      <c r="D86" s="494"/>
      <c r="E86" s="494"/>
      <c r="F86" s="494"/>
      <c r="G86" s="494"/>
      <c r="H86" s="501"/>
      <c r="I86" s="489"/>
      <c r="J86" s="860" t="s">
        <v>1453</v>
      </c>
      <c r="K86" s="860"/>
      <c r="L86" s="860"/>
      <c r="M86" s="860"/>
      <c r="N86" s="501"/>
      <c r="O86" s="501"/>
      <c r="P86" s="489"/>
      <c r="Q86" s="172" t="s">
        <v>1454</v>
      </c>
      <c r="R86" s="145"/>
      <c r="S86" s="145"/>
      <c r="T86" s="145"/>
      <c r="U86" s="145"/>
      <c r="V86" s="145"/>
      <c r="W86" s="145"/>
      <c r="X86" s="145"/>
      <c r="Y86" s="145"/>
    </row>
    <row r="87" spans="1:25" x14ac:dyDescent="0.2">
      <c r="A87" s="860" t="s">
        <v>1455</v>
      </c>
      <c r="B87" s="860"/>
      <c r="C87" s="860"/>
      <c r="D87" s="860"/>
      <c r="E87" s="860"/>
      <c r="F87" s="501"/>
      <c r="G87" s="501"/>
      <c r="H87" s="145"/>
      <c r="I87" s="489"/>
      <c r="J87" s="145" t="s">
        <v>1456</v>
      </c>
      <c r="K87" s="145"/>
      <c r="L87" s="145"/>
      <c r="M87" s="145"/>
      <c r="N87" s="145"/>
      <c r="O87" s="145"/>
      <c r="P87" s="145"/>
      <c r="Q87" s="145" t="s">
        <v>1457</v>
      </c>
      <c r="R87" s="145"/>
      <c r="S87" s="145"/>
      <c r="T87" s="145"/>
      <c r="U87" s="145"/>
      <c r="V87" s="145"/>
      <c r="W87" s="145"/>
      <c r="X87" s="145"/>
      <c r="Y87" s="145"/>
    </row>
    <row r="88" spans="1:25" x14ac:dyDescent="0.2">
      <c r="A88" s="172" t="s">
        <v>1458</v>
      </c>
      <c r="B88" s="145"/>
      <c r="C88" s="145"/>
      <c r="D88" s="145"/>
      <c r="E88" s="145"/>
      <c r="F88" s="145"/>
      <c r="G88" s="145"/>
      <c r="H88" s="145"/>
      <c r="I88" s="489"/>
      <c r="J88" s="145" t="s">
        <v>1459</v>
      </c>
      <c r="K88" s="145"/>
      <c r="L88" s="145"/>
      <c r="M88" s="145"/>
      <c r="N88" s="145"/>
      <c r="O88" s="145"/>
      <c r="P88" s="145"/>
      <c r="Q88" s="145"/>
      <c r="R88" s="145"/>
      <c r="S88" s="145"/>
      <c r="T88" s="145"/>
      <c r="U88" s="145"/>
      <c r="V88" s="145"/>
      <c r="W88" s="145"/>
      <c r="X88" s="145"/>
      <c r="Y88" s="145"/>
    </row>
    <row r="89" spans="1:25" x14ac:dyDescent="0.2">
      <c r="A89" s="145" t="s">
        <v>1460</v>
      </c>
      <c r="B89" s="145"/>
      <c r="C89" s="145"/>
      <c r="D89" s="145"/>
      <c r="E89" s="145"/>
      <c r="F89" s="145"/>
      <c r="G89" s="145"/>
      <c r="H89" s="145"/>
      <c r="I89" s="145"/>
      <c r="J89" s="145" t="s">
        <v>1461</v>
      </c>
      <c r="K89" s="145"/>
      <c r="L89" s="145"/>
      <c r="M89" s="145"/>
      <c r="N89" s="145"/>
      <c r="O89" s="145"/>
      <c r="P89" s="145"/>
      <c r="Q89" s="145" t="s">
        <v>1462</v>
      </c>
      <c r="R89" s="145"/>
      <c r="S89" s="145"/>
      <c r="T89" s="145"/>
      <c r="U89" s="145"/>
      <c r="V89" s="145"/>
      <c r="W89" s="145"/>
      <c r="X89" s="145"/>
      <c r="Y89" s="145"/>
    </row>
    <row r="90" spans="1:25" x14ac:dyDescent="0.2">
      <c r="A90" s="145"/>
      <c r="B90" s="145"/>
      <c r="C90" s="145"/>
      <c r="D90" s="145"/>
      <c r="E90" s="145"/>
      <c r="F90" s="145"/>
      <c r="G90" s="145"/>
      <c r="H90" s="145"/>
      <c r="I90" s="145"/>
      <c r="J90" s="172" t="s">
        <v>1463</v>
      </c>
      <c r="K90" s="145"/>
      <c r="L90" s="145"/>
      <c r="M90" s="145"/>
      <c r="N90" s="145"/>
      <c r="O90" s="145"/>
      <c r="P90" s="145"/>
      <c r="Q90" s="145" t="s">
        <v>1464</v>
      </c>
      <c r="R90" s="145"/>
      <c r="S90" s="145"/>
      <c r="T90" s="145"/>
      <c r="U90" s="145"/>
      <c r="V90" s="145"/>
      <c r="W90" s="145"/>
      <c r="X90" s="145"/>
      <c r="Y90" s="145"/>
    </row>
    <row r="91" spans="1:25" x14ac:dyDescent="0.2">
      <c r="A91" s="145" t="s">
        <v>1465</v>
      </c>
      <c r="B91" s="145"/>
      <c r="C91" s="654">
        <f>K98*1000000/(D80*(1+K95/2))</f>
        <v>744.63758215904841</v>
      </c>
      <c r="D91" s="145"/>
      <c r="E91" s="145"/>
      <c r="F91" s="145"/>
      <c r="G91" s="145"/>
      <c r="H91" s="145"/>
      <c r="I91" s="145"/>
      <c r="J91" s="145" t="s">
        <v>1466</v>
      </c>
      <c r="K91" s="145"/>
      <c r="L91" s="145"/>
      <c r="M91" s="145"/>
      <c r="N91" s="145"/>
      <c r="O91" s="145"/>
      <c r="P91" s="145"/>
      <c r="Q91" s="145"/>
      <c r="R91" s="145"/>
      <c r="S91" s="145"/>
      <c r="T91" s="145"/>
      <c r="U91" s="145"/>
      <c r="V91" s="145"/>
      <c r="W91" s="145"/>
      <c r="X91" s="145"/>
      <c r="Y91" s="145"/>
    </row>
    <row r="93" spans="1:25" x14ac:dyDescent="0.2">
      <c r="A93" s="145"/>
      <c r="B93" s="145"/>
      <c r="C93" s="145"/>
      <c r="D93" s="145"/>
      <c r="E93" s="145"/>
      <c r="F93" s="145"/>
      <c r="G93" s="145"/>
      <c r="H93" s="145"/>
      <c r="I93" s="145"/>
      <c r="J93" s="655" t="s">
        <v>1467</v>
      </c>
      <c r="K93" s="655"/>
      <c r="L93" s="655"/>
      <c r="M93" s="145"/>
      <c r="N93" s="145"/>
      <c r="O93" s="145"/>
      <c r="P93" s="145"/>
      <c r="Q93" s="145"/>
      <c r="R93" s="145" t="s">
        <v>1465</v>
      </c>
      <c r="S93" s="145"/>
      <c r="T93" s="145"/>
      <c r="U93" s="145"/>
      <c r="V93" s="654">
        <f>K99*1000/X80</f>
        <v>323.90017606562697</v>
      </c>
      <c r="W93" s="145"/>
      <c r="X93" s="145"/>
      <c r="Y93" s="145"/>
    </row>
    <row r="94" spans="1:25" x14ac:dyDescent="0.2">
      <c r="A94" s="145"/>
      <c r="B94" s="145"/>
      <c r="C94" s="145"/>
      <c r="D94" s="145"/>
      <c r="E94" s="145"/>
      <c r="F94" s="145"/>
      <c r="G94" s="145"/>
      <c r="H94" s="145"/>
      <c r="I94" s="145"/>
      <c r="J94" s="655"/>
      <c r="K94" s="655"/>
      <c r="L94" s="655"/>
      <c r="M94" s="145"/>
      <c r="N94" s="145"/>
      <c r="O94" s="145"/>
      <c r="P94" s="145"/>
      <c r="Q94" s="145"/>
      <c r="R94" s="145"/>
      <c r="S94" s="145"/>
      <c r="T94" s="145"/>
      <c r="U94" s="145"/>
      <c r="V94" s="145"/>
      <c r="W94" s="145"/>
      <c r="X94" s="145"/>
      <c r="Y94" s="145"/>
    </row>
    <row r="95" spans="1:25" x14ac:dyDescent="0.2">
      <c r="A95" s="145"/>
      <c r="B95" s="145"/>
      <c r="C95" s="145"/>
      <c r="D95" s="145"/>
      <c r="E95" s="145"/>
      <c r="F95" s="145"/>
      <c r="G95" s="145"/>
      <c r="H95" s="145"/>
      <c r="I95" s="145"/>
      <c r="J95" s="655" t="s">
        <v>1468</v>
      </c>
      <c r="K95" s="656">
        <v>7.4999999999999997E-2</v>
      </c>
      <c r="L95" s="655" t="s">
        <v>1469</v>
      </c>
      <c r="M95" s="145"/>
      <c r="N95" s="145"/>
      <c r="O95" s="145"/>
      <c r="P95" s="145"/>
      <c r="Q95" s="145"/>
      <c r="R95" s="145"/>
      <c r="S95" s="145"/>
      <c r="T95" s="145"/>
      <c r="U95" s="145"/>
      <c r="V95" s="145"/>
      <c r="W95" s="145"/>
      <c r="X95" s="145"/>
      <c r="Y95" s="145"/>
    </row>
    <row r="96" spans="1:25" x14ac:dyDescent="0.2">
      <c r="A96" s="145"/>
      <c r="B96" s="145"/>
      <c r="C96" s="145"/>
      <c r="D96" s="145"/>
      <c r="E96" s="145"/>
      <c r="F96" s="145"/>
      <c r="G96" s="145"/>
      <c r="H96" s="145"/>
      <c r="I96" s="145"/>
      <c r="J96" s="655" t="s">
        <v>1470</v>
      </c>
      <c r="K96" s="656">
        <v>6.6000000000000003E-2</v>
      </c>
      <c r="L96" s="655" t="s">
        <v>1469</v>
      </c>
      <c r="M96" s="145"/>
      <c r="N96" s="145"/>
      <c r="O96" s="145"/>
      <c r="P96" s="145"/>
      <c r="Q96" s="145"/>
      <c r="R96" s="145"/>
      <c r="S96" s="145"/>
      <c r="T96" s="145"/>
      <c r="U96" s="145"/>
      <c r="V96" s="145"/>
      <c r="W96" s="145"/>
      <c r="X96" s="145"/>
      <c r="Y96" s="145"/>
    </row>
    <row r="97" spans="10:14" x14ac:dyDescent="0.2">
      <c r="J97" s="655"/>
      <c r="K97" s="655"/>
      <c r="L97" s="655"/>
      <c r="M97" s="145"/>
      <c r="N97" s="145"/>
    </row>
    <row r="98" spans="10:14" x14ac:dyDescent="0.2">
      <c r="J98" s="655" t="s">
        <v>1471</v>
      </c>
      <c r="K98" s="173">
        <v>1549557</v>
      </c>
      <c r="L98" s="655" t="s">
        <v>1472</v>
      </c>
      <c r="M98" s="145"/>
      <c r="N98" s="145"/>
    </row>
    <row r="99" spans="10:14" x14ac:dyDescent="0.2">
      <c r="J99" s="655" t="s">
        <v>1473</v>
      </c>
      <c r="K99" s="657">
        <v>331506</v>
      </c>
      <c r="L99" s="655" t="s">
        <v>1472</v>
      </c>
      <c r="M99" s="145"/>
      <c r="N99" s="145"/>
    </row>
    <row r="100" spans="10:14" x14ac:dyDescent="0.2">
      <c r="J100" s="655" t="s">
        <v>1474</v>
      </c>
      <c r="K100" s="655"/>
      <c r="L100" s="655"/>
      <c r="M100" s="655"/>
      <c r="N100" s="655"/>
    </row>
  </sheetData>
  <mergeCells count="18">
    <mergeCell ref="Q82:W82"/>
    <mergeCell ref="Q84:W84"/>
    <mergeCell ref="Q25:W25"/>
    <mergeCell ref="Q26:W26"/>
    <mergeCell ref="S27:T27"/>
    <mergeCell ref="U27:V27"/>
    <mergeCell ref="A87:E87"/>
    <mergeCell ref="J86:M86"/>
    <mergeCell ref="A25:E25"/>
    <mergeCell ref="A26:D26"/>
    <mergeCell ref="B27:C27"/>
    <mergeCell ref="D27:E27"/>
    <mergeCell ref="A84:E84"/>
    <mergeCell ref="J26:M26"/>
    <mergeCell ref="J27:M27"/>
    <mergeCell ref="J82:M82"/>
    <mergeCell ref="J84:M84"/>
    <mergeCell ref="J85:M85"/>
  </mergeCells>
  <phoneticPr fontId="25" type="noConversion"/>
  <hyperlinks>
    <hyperlink ref="J90" r:id="rId1" xr:uid="{00000000-0004-0000-2400-000000000000}"/>
    <hyperlink ref="A88" r:id="rId2" xr:uid="{00000000-0004-0000-2400-000001000000}"/>
    <hyperlink ref="Q86" r:id="rId3" xr:uid="{00000000-0004-0000-2400-000002000000}"/>
  </hyperlinks>
  <pageMargins left="0.75" right="0.75" top="1" bottom="1" header="0.5" footer="0.5"/>
  <pageSetup orientation="portrait" r:id="rId4"/>
  <headerFooter alignWithMargins="0"/>
  <drawing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0" tint="-0.34998626667073579"/>
    <pageSetUpPr fitToPage="1"/>
  </sheetPr>
  <dimension ref="A1:AD231"/>
  <sheetViews>
    <sheetView topLeftCell="A209" workbookViewId="0">
      <selection activeCell="H132" sqref="H132"/>
    </sheetView>
  </sheetViews>
  <sheetFormatPr defaultRowHeight="12.75" x14ac:dyDescent="0.2"/>
  <cols>
    <col min="1" max="1" width="40.42578125" customWidth="1"/>
    <col min="7" max="16" width="9.140625" customWidth="1"/>
  </cols>
  <sheetData>
    <row r="1" spans="1:30" x14ac:dyDescent="0.2">
      <c r="A1" s="65"/>
      <c r="B1" s="124" t="s">
        <v>1475</v>
      </c>
      <c r="C1" s="65"/>
      <c r="D1" s="65"/>
      <c r="E1" s="66"/>
      <c r="F1" s="65"/>
      <c r="G1" s="67"/>
      <c r="H1" s="67"/>
      <c r="I1" s="67"/>
      <c r="J1" s="67"/>
      <c r="K1" s="67"/>
      <c r="L1" s="67"/>
      <c r="M1" s="67"/>
      <c r="N1" s="67"/>
      <c r="O1" s="67"/>
      <c r="P1" s="67"/>
      <c r="Q1" s="67"/>
      <c r="R1" s="67"/>
      <c r="S1" s="67"/>
      <c r="T1" s="67"/>
      <c r="U1" s="67"/>
      <c r="V1" s="67"/>
      <c r="W1" s="67"/>
      <c r="X1" s="67"/>
      <c r="Y1" s="67"/>
      <c r="Z1" s="67"/>
      <c r="AA1" s="67"/>
    </row>
    <row r="2" spans="1:30" x14ac:dyDescent="0.2">
      <c r="A2" s="12"/>
    </row>
    <row r="3" spans="1:30" s="12" customFormat="1" ht="11.25" x14ac:dyDescent="0.2">
      <c r="A3" s="68" t="s">
        <v>1476</v>
      </c>
      <c r="B3" s="68"/>
      <c r="C3" s="68"/>
      <c r="D3" s="68"/>
      <c r="E3" s="68"/>
      <c r="F3" s="68"/>
      <c r="G3" s="68"/>
      <c r="H3" s="68"/>
      <c r="I3" s="68"/>
      <c r="J3" s="68"/>
      <c r="K3" s="68"/>
      <c r="L3" s="68"/>
      <c r="M3" s="68"/>
      <c r="N3" s="68"/>
      <c r="O3" s="68"/>
      <c r="P3" s="68"/>
      <c r="Q3" s="68"/>
      <c r="R3" s="68"/>
      <c r="S3" s="68"/>
      <c r="T3" s="68"/>
      <c r="U3" s="68"/>
      <c r="V3" s="68"/>
      <c r="W3" s="68"/>
      <c r="X3" s="68"/>
      <c r="Y3" s="68"/>
      <c r="Z3" s="68"/>
      <c r="AA3" s="68"/>
    </row>
    <row r="4" spans="1:30" s="12" customFormat="1" ht="11.25" x14ac:dyDescent="0.2">
      <c r="A4" s="68" t="s">
        <v>1477</v>
      </c>
      <c r="B4" s="68"/>
      <c r="C4" s="68"/>
      <c r="D4" s="68"/>
      <c r="E4" s="68"/>
      <c r="F4" s="68"/>
      <c r="G4" s="68"/>
      <c r="H4" s="68"/>
      <c r="I4" s="68"/>
      <c r="J4" s="68"/>
      <c r="K4" s="68"/>
      <c r="L4" s="68"/>
      <c r="M4" s="68"/>
      <c r="N4" s="68"/>
      <c r="O4" s="68"/>
      <c r="P4" s="68"/>
      <c r="Q4" s="68"/>
      <c r="R4" s="68"/>
      <c r="S4" s="68"/>
      <c r="T4" s="68"/>
      <c r="U4" s="68"/>
      <c r="V4" s="68"/>
      <c r="W4" s="68"/>
      <c r="X4" s="68"/>
      <c r="Y4" s="68"/>
      <c r="Z4" s="68"/>
      <c r="AA4" s="68"/>
    </row>
    <row r="5" spans="1:30" ht="13.5" customHeight="1" x14ac:dyDescent="0.2">
      <c r="A5" s="12"/>
      <c r="D5" s="70"/>
      <c r="E5" s="70"/>
      <c r="F5" s="28" t="s">
        <v>476</v>
      </c>
      <c r="G5" s="28" t="s">
        <v>477</v>
      </c>
      <c r="H5" s="28" t="s">
        <v>475</v>
      </c>
      <c r="I5" s="28"/>
    </row>
    <row r="6" spans="1:30" ht="21" customHeight="1" x14ac:dyDescent="0.2">
      <c r="C6" s="37" t="s">
        <v>1478</v>
      </c>
      <c r="D6" s="71" t="s">
        <v>1479</v>
      </c>
      <c r="E6" s="72" t="s">
        <v>1480</v>
      </c>
      <c r="F6" s="73" t="s">
        <v>1481</v>
      </c>
      <c r="G6" s="73" t="s">
        <v>1481</v>
      </c>
      <c r="H6" s="73" t="s">
        <v>1482</v>
      </c>
    </row>
    <row r="7" spans="1:30" x14ac:dyDescent="0.2">
      <c r="A7" s="12" t="s">
        <v>1483</v>
      </c>
      <c r="B7" s="12" t="s">
        <v>1133</v>
      </c>
      <c r="C7" s="12"/>
      <c r="D7" s="15">
        <v>2010</v>
      </c>
      <c r="E7" s="74">
        <v>15.5</v>
      </c>
      <c r="F7" s="33">
        <v>1113.4942710231383</v>
      </c>
      <c r="G7" s="33">
        <v>56.323060573857596</v>
      </c>
      <c r="H7" s="75">
        <v>0.11893076184220376</v>
      </c>
      <c r="I7" s="15"/>
    </row>
    <row r="8" spans="1:30" x14ac:dyDescent="0.2">
      <c r="A8" s="12" t="s">
        <v>1484</v>
      </c>
      <c r="B8" s="12" t="s">
        <v>1133</v>
      </c>
      <c r="C8" s="12"/>
      <c r="D8" s="15">
        <v>2015</v>
      </c>
      <c r="E8" s="74">
        <v>15.5</v>
      </c>
      <c r="F8" s="33">
        <v>1122.3649389096922</v>
      </c>
      <c r="G8" s="33">
        <v>56.323060573857596</v>
      </c>
      <c r="H8" s="75">
        <v>0.12946583429191386</v>
      </c>
      <c r="I8" s="15"/>
      <c r="M8" s="35" t="s">
        <v>475</v>
      </c>
      <c r="Q8" s="37"/>
      <c r="R8" s="37" t="s">
        <v>1485</v>
      </c>
      <c r="S8" s="37"/>
      <c r="T8" s="37"/>
      <c r="AC8" s="12"/>
      <c r="AD8" s="12"/>
    </row>
    <row r="9" spans="1:30" x14ac:dyDescent="0.2">
      <c r="A9" s="12"/>
      <c r="B9" s="12" t="s">
        <v>1133</v>
      </c>
      <c r="C9" s="12"/>
      <c r="D9" s="15">
        <v>2020</v>
      </c>
      <c r="E9" s="74">
        <v>15.5</v>
      </c>
      <c r="F9" s="33">
        <v>1130.9319679636928</v>
      </c>
      <c r="G9" s="33">
        <v>56.323060573857596</v>
      </c>
      <c r="H9" s="75">
        <v>0.13360732394187996</v>
      </c>
      <c r="I9" s="15"/>
      <c r="Q9" s="37"/>
      <c r="R9" s="37"/>
      <c r="S9" s="37"/>
      <c r="T9" s="37"/>
      <c r="AC9" s="12"/>
      <c r="AD9" s="12"/>
    </row>
    <row r="10" spans="1:30" ht="10.5" customHeight="1" x14ac:dyDescent="0.2">
      <c r="A10" s="12" t="s">
        <v>1486</v>
      </c>
      <c r="B10" s="12" t="s">
        <v>1133</v>
      </c>
      <c r="C10" s="12"/>
      <c r="D10" s="15">
        <v>2025</v>
      </c>
      <c r="E10" s="74">
        <v>15.5</v>
      </c>
      <c r="F10" s="33">
        <v>1170.8328130291713</v>
      </c>
      <c r="G10" s="33">
        <v>56.323060573857596</v>
      </c>
      <c r="H10" s="75">
        <v>0.1437290909071739</v>
      </c>
      <c r="I10" s="15"/>
      <c r="K10" s="37"/>
      <c r="L10" s="37">
        <v>2010</v>
      </c>
      <c r="M10" s="37">
        <v>2015</v>
      </c>
      <c r="N10" s="37">
        <v>2025</v>
      </c>
      <c r="O10" s="37">
        <v>2040</v>
      </c>
      <c r="Q10" s="37">
        <v>2010</v>
      </c>
      <c r="R10" s="37">
        <v>2015</v>
      </c>
      <c r="S10" s="37">
        <v>2025</v>
      </c>
      <c r="T10" s="37">
        <v>2040</v>
      </c>
      <c r="AC10" s="12"/>
      <c r="AD10" s="12"/>
    </row>
    <row r="11" spans="1:30" x14ac:dyDescent="0.2">
      <c r="A11" s="12"/>
      <c r="B11" s="12" t="s">
        <v>1133</v>
      </c>
      <c r="C11" s="12"/>
      <c r="D11" s="15">
        <v>2040</v>
      </c>
      <c r="E11" s="74">
        <v>15.5</v>
      </c>
      <c r="F11" s="33">
        <v>1207.5097080019957</v>
      </c>
      <c r="G11" s="33">
        <v>56.323060573857596</v>
      </c>
      <c r="H11" s="75">
        <v>0.15823695689076192</v>
      </c>
      <c r="I11" s="15"/>
      <c r="K11" s="37" t="s">
        <v>1487</v>
      </c>
      <c r="L11" s="76">
        <f>H7</f>
        <v>0.11893076184220376</v>
      </c>
      <c r="M11" s="76">
        <f>H8</f>
        <v>0.12946583429191386</v>
      </c>
      <c r="N11" s="76">
        <f>H10</f>
        <v>0.1437290909071739</v>
      </c>
      <c r="O11" s="76">
        <f>H11</f>
        <v>0.15823695689076192</v>
      </c>
      <c r="Q11" s="38">
        <f>F7</f>
        <v>1113.4942710231383</v>
      </c>
      <c r="R11" s="38">
        <f>F8</f>
        <v>1122.3649389096922</v>
      </c>
      <c r="S11" s="38">
        <f>F10</f>
        <v>1170.8328130291713</v>
      </c>
      <c r="T11" s="38">
        <f>F11</f>
        <v>1207.5097080019957</v>
      </c>
      <c r="AD11" s="12"/>
    </row>
    <row r="12" spans="1:30" x14ac:dyDescent="0.2">
      <c r="A12" s="12" t="s">
        <v>1488</v>
      </c>
      <c r="B12" s="12" t="s">
        <v>1133</v>
      </c>
      <c r="C12" s="12" t="s">
        <v>1489</v>
      </c>
      <c r="D12" s="15">
        <v>2015</v>
      </c>
      <c r="E12" s="74">
        <v>15.5</v>
      </c>
      <c r="F12" s="33">
        <v>1215.2079015640816</v>
      </c>
      <c r="G12" s="33">
        <v>56.323060573857596</v>
      </c>
      <c r="H12" s="75">
        <v>0.18885530196077607</v>
      </c>
      <c r="I12" s="15"/>
      <c r="K12" s="37" t="s">
        <v>1490</v>
      </c>
      <c r="L12" s="37"/>
      <c r="M12" s="76">
        <f>H12</f>
        <v>0.18885530196077607</v>
      </c>
      <c r="N12" s="76">
        <f>H13</f>
        <v>0.23592151834939284</v>
      </c>
      <c r="O12" s="37"/>
      <c r="Q12" s="37"/>
      <c r="R12" s="38">
        <f>F12</f>
        <v>1215.2079015640816</v>
      </c>
      <c r="S12" s="38">
        <f>F13</f>
        <v>1256.5737052392271</v>
      </c>
      <c r="T12" s="38"/>
      <c r="AD12" s="12"/>
    </row>
    <row r="13" spans="1:30" x14ac:dyDescent="0.2">
      <c r="A13" s="12"/>
      <c r="B13" s="12" t="s">
        <v>1133</v>
      </c>
      <c r="C13" s="12" t="s">
        <v>1491</v>
      </c>
      <c r="D13" s="15">
        <v>2025</v>
      </c>
      <c r="E13" s="74">
        <v>15.5</v>
      </c>
      <c r="F13" s="33">
        <v>1256.5737052392271</v>
      </c>
      <c r="G13" s="33">
        <v>56.323060573857596</v>
      </c>
      <c r="H13" s="75">
        <v>0.23592151834939284</v>
      </c>
      <c r="I13" s="15"/>
      <c r="K13" s="37" t="s">
        <v>1492</v>
      </c>
      <c r="L13" s="37"/>
      <c r="M13" s="76">
        <f>H14</f>
        <v>0.23111367904087821</v>
      </c>
      <c r="N13" s="76">
        <f>H15</f>
        <v>0.28872340268500951</v>
      </c>
      <c r="O13" s="76">
        <f>H16</f>
        <v>0.29184428083264186</v>
      </c>
      <c r="Q13" s="37"/>
      <c r="R13" s="38">
        <f>F14</f>
        <v>1476.4571278768453</v>
      </c>
      <c r="S13" s="38">
        <f>F15</f>
        <v>1517.8298517208536</v>
      </c>
      <c r="T13" s="38">
        <f>F16</f>
        <v>1524.4040121405108</v>
      </c>
      <c r="AD13" s="12"/>
    </row>
    <row r="14" spans="1:30" x14ac:dyDescent="0.2">
      <c r="A14" s="12" t="s">
        <v>1493</v>
      </c>
      <c r="B14" s="12" t="s">
        <v>1133</v>
      </c>
      <c r="C14" s="12"/>
      <c r="D14" s="15">
        <v>2015</v>
      </c>
      <c r="E14" s="74">
        <v>15.5</v>
      </c>
      <c r="F14" s="33">
        <v>1476.4571278768453</v>
      </c>
      <c r="G14" s="33">
        <v>56.323060573857596</v>
      </c>
      <c r="H14" s="75">
        <v>0.23111367904087821</v>
      </c>
      <c r="I14" s="15"/>
      <c r="K14" s="37" t="s">
        <v>1494</v>
      </c>
      <c r="L14" s="76">
        <f>H17</f>
        <v>0.13584460549894523</v>
      </c>
      <c r="M14" s="76">
        <f>H18</f>
        <v>0.14846916917561373</v>
      </c>
      <c r="N14" s="120">
        <f>H19</f>
        <v>0.15596404396176247</v>
      </c>
      <c r="O14" s="120">
        <f>N14</f>
        <v>0.15596404396176247</v>
      </c>
      <c r="Q14" s="38">
        <f>F17</f>
        <v>1393.1309012934623</v>
      </c>
      <c r="R14" s="38">
        <f>F18</f>
        <v>1403.6762500448133</v>
      </c>
      <c r="S14" s="121">
        <f>F19</f>
        <v>1413.3892013415248</v>
      </c>
      <c r="T14" s="121">
        <f>S14</f>
        <v>1413.3892013415248</v>
      </c>
      <c r="AD14" s="12"/>
    </row>
    <row r="15" spans="1:30" x14ac:dyDescent="0.2">
      <c r="A15" s="12"/>
      <c r="B15" s="12" t="s">
        <v>1133</v>
      </c>
      <c r="C15" s="12"/>
      <c r="D15" s="15">
        <v>2025</v>
      </c>
      <c r="E15" s="74">
        <v>15.5</v>
      </c>
      <c r="F15" s="33">
        <v>1517.8298517208536</v>
      </c>
      <c r="G15" s="33">
        <v>56.323060573857596</v>
      </c>
      <c r="H15" s="75">
        <v>0.28872340268500951</v>
      </c>
      <c r="I15" s="15"/>
      <c r="K15" s="37" t="s">
        <v>1495</v>
      </c>
      <c r="O15" s="76">
        <f>H20</f>
        <v>0.17744269639706767</v>
      </c>
      <c r="S15" s="38">
        <f>F20</f>
        <v>1460.5130798082935</v>
      </c>
      <c r="T15" s="38" t="e">
        <f>#REF!</f>
        <v>#REF!</v>
      </c>
      <c r="AC15" s="12"/>
      <c r="AD15" s="12"/>
    </row>
    <row r="16" spans="1:30" x14ac:dyDescent="0.2">
      <c r="A16" s="12"/>
      <c r="B16" s="12" t="s">
        <v>1133</v>
      </c>
      <c r="C16" s="12"/>
      <c r="D16" s="15">
        <v>2040</v>
      </c>
      <c r="E16" s="74">
        <v>15.5</v>
      </c>
      <c r="F16" s="33">
        <v>1524.4040121405108</v>
      </c>
      <c r="G16" s="33">
        <v>56.323060573857596</v>
      </c>
      <c r="H16" s="75">
        <v>0.29184428083264186</v>
      </c>
      <c r="I16" s="15"/>
      <c r="K16" s="37" t="s">
        <v>1496</v>
      </c>
      <c r="L16" s="37"/>
      <c r="M16" s="76">
        <f>H21</f>
        <v>0.21639147192508634</v>
      </c>
      <c r="N16" s="76">
        <f>H22</f>
        <v>0.25348956628152525</v>
      </c>
      <c r="O16" s="76">
        <f>H23</f>
        <v>0.25348956628152525</v>
      </c>
      <c r="Q16" s="37"/>
      <c r="R16" s="38">
        <f>F21</f>
        <v>1905.381078130963</v>
      </c>
      <c r="S16" s="38">
        <f>F22</f>
        <v>1905.381078130963</v>
      </c>
      <c r="T16" s="38">
        <f>F23</f>
        <v>1905.381078130963</v>
      </c>
      <c r="AC16" s="12"/>
      <c r="AD16" s="12"/>
    </row>
    <row r="17" spans="1:30" x14ac:dyDescent="0.2">
      <c r="A17" s="133" t="s">
        <v>1497</v>
      </c>
      <c r="B17" s="133" t="s">
        <v>758</v>
      </c>
      <c r="C17" s="133"/>
      <c r="D17" s="134">
        <v>2010</v>
      </c>
      <c r="E17" s="135">
        <v>15.5</v>
      </c>
      <c r="F17" s="136">
        <v>1393.1309012934623</v>
      </c>
      <c r="G17" s="136">
        <v>30.977683315621682</v>
      </c>
      <c r="H17" s="137">
        <v>0.13584460549894523</v>
      </c>
      <c r="I17" s="15"/>
      <c r="K17" s="37" t="s">
        <v>1498</v>
      </c>
      <c r="L17" s="76">
        <f>H24</f>
        <v>0.13574870146367959</v>
      </c>
      <c r="M17" s="76">
        <f>H25</f>
        <v>0.14836435240807125</v>
      </c>
      <c r="N17" s="76">
        <f>H27</f>
        <v>0.1774483830167711</v>
      </c>
      <c r="O17" s="76" t="e">
        <f>#REF!</f>
        <v>#REF!</v>
      </c>
      <c r="Q17" s="38">
        <f>F24</f>
        <v>1393.1309012934623</v>
      </c>
      <c r="R17" s="38">
        <f>F25</f>
        <v>1403.6762500448133</v>
      </c>
      <c r="S17" s="38">
        <f>F27</f>
        <v>1460.5130798082935</v>
      </c>
      <c r="T17" s="38" t="e">
        <f>#REF!</f>
        <v>#REF!</v>
      </c>
      <c r="AC17" s="12"/>
      <c r="AD17" s="12"/>
    </row>
    <row r="18" spans="1:30" x14ac:dyDescent="0.2">
      <c r="A18" s="12" t="s">
        <v>1499</v>
      </c>
      <c r="B18" s="12" t="s">
        <v>758</v>
      </c>
      <c r="C18" s="12"/>
      <c r="D18" s="15">
        <v>2015</v>
      </c>
      <c r="E18" s="74">
        <v>15.5</v>
      </c>
      <c r="F18" s="33">
        <v>1403.6762500448133</v>
      </c>
      <c r="G18" s="33">
        <v>30.977683315621682</v>
      </c>
      <c r="H18" s="75">
        <v>0.14846916917561373</v>
      </c>
      <c r="I18" s="15"/>
      <c r="K18" s="37" t="s">
        <v>498</v>
      </c>
      <c r="L18" s="76">
        <f>H31</f>
        <v>0.12808843050405344</v>
      </c>
      <c r="M18" s="76">
        <f>H32</f>
        <v>0.13943470353239121</v>
      </c>
      <c r="N18" s="76">
        <f>H34</f>
        <v>0.18738156425582345</v>
      </c>
      <c r="O18" s="76">
        <f>H35</f>
        <v>0.2132990317897287</v>
      </c>
      <c r="Q18" s="38">
        <f>F31</f>
        <v>1441.6321043366597</v>
      </c>
      <c r="R18" s="38">
        <f>F32</f>
        <v>1453.1168869214987</v>
      </c>
      <c r="S18" s="38">
        <f>F34</f>
        <v>1503.8621421472997</v>
      </c>
      <c r="T18" s="38">
        <f>F35</f>
        <v>1581.2055548338762</v>
      </c>
      <c r="AC18" s="12"/>
      <c r="AD18" s="12"/>
    </row>
    <row r="19" spans="1:30" x14ac:dyDescent="0.2">
      <c r="A19" s="12"/>
      <c r="B19" s="12" t="s">
        <v>758</v>
      </c>
      <c r="C19" s="12"/>
      <c r="D19" s="15">
        <v>2020</v>
      </c>
      <c r="E19" s="74">
        <v>15.5</v>
      </c>
      <c r="F19" s="33">
        <v>1413.3892013415248</v>
      </c>
      <c r="G19" s="33">
        <v>30.977683315621682</v>
      </c>
      <c r="H19" s="75">
        <v>0.15596404396176247</v>
      </c>
      <c r="I19" s="15"/>
      <c r="K19" s="37" t="s">
        <v>501</v>
      </c>
      <c r="L19" s="76">
        <f>H42</f>
        <v>0.10181147998156995</v>
      </c>
      <c r="M19" s="76">
        <f>H43</f>
        <v>0.11083009973312889</v>
      </c>
      <c r="N19" s="76">
        <f>H45</f>
        <v>0.12304025665857815</v>
      </c>
      <c r="O19" s="76">
        <f>H46</f>
        <v>0.13545981308186189</v>
      </c>
      <c r="Q19" s="38">
        <f>F42</f>
        <v>1154.5363837997265</v>
      </c>
      <c r="R19" s="38">
        <f>F43</f>
        <v>1163.4070516862803</v>
      </c>
      <c r="S19" s="38">
        <f>F45</f>
        <v>1176.1861320869871</v>
      </c>
      <c r="T19" s="38">
        <f>F46</f>
        <v>1212.8630270598117</v>
      </c>
      <c r="AC19" s="12"/>
      <c r="AD19" s="12"/>
    </row>
    <row r="20" spans="1:30" x14ac:dyDescent="0.2">
      <c r="A20" s="12" t="s">
        <v>1500</v>
      </c>
      <c r="B20" s="12" t="s">
        <v>758</v>
      </c>
      <c r="C20" s="12"/>
      <c r="D20" s="15">
        <v>2025</v>
      </c>
      <c r="E20" s="74">
        <v>15.5</v>
      </c>
      <c r="F20" s="33">
        <v>1460.5130798082935</v>
      </c>
      <c r="G20" s="33">
        <v>30.977683315621682</v>
      </c>
      <c r="H20" s="75">
        <v>0.17744269639706767</v>
      </c>
      <c r="I20" s="15"/>
      <c r="K20" s="37" t="s">
        <v>499</v>
      </c>
      <c r="L20" s="76">
        <f>H53</f>
        <v>0.11401158309707092</v>
      </c>
      <c r="M20" s="76">
        <f>H54</f>
        <v>0.1241109070182228</v>
      </c>
      <c r="N20" s="76">
        <f>H56</f>
        <v>0.16678843436477175</v>
      </c>
      <c r="O20" s="76">
        <f>H57</f>
        <v>0.18985758660420035</v>
      </c>
      <c r="Q20" s="38">
        <f>F53</f>
        <v>1397.7832628029082</v>
      </c>
      <c r="R20" s="38">
        <f>F54</f>
        <v>1408.9187229704</v>
      </c>
      <c r="S20" s="38">
        <f>F56</f>
        <v>1458.1205049006962</v>
      </c>
      <c r="T20" s="38">
        <f>F57</f>
        <v>1533.111431792616</v>
      </c>
      <c r="AC20" s="12"/>
      <c r="AD20" s="12"/>
    </row>
    <row r="21" spans="1:30" x14ac:dyDescent="0.2">
      <c r="A21" s="12" t="s">
        <v>1501</v>
      </c>
      <c r="B21" s="12" t="s">
        <v>758</v>
      </c>
      <c r="C21" s="12" t="s">
        <v>1502</v>
      </c>
      <c r="D21" s="15">
        <v>2015</v>
      </c>
      <c r="E21" s="74">
        <v>15.5</v>
      </c>
      <c r="F21" s="33">
        <v>1905.381078130963</v>
      </c>
      <c r="G21" s="33">
        <v>30.977683315621682</v>
      </c>
      <c r="H21" s="75">
        <v>0.21639147192508634</v>
      </c>
      <c r="I21" s="15"/>
      <c r="K21" s="37" t="s">
        <v>1503</v>
      </c>
      <c r="L21" s="37"/>
      <c r="M21" s="37"/>
      <c r="N21" s="76">
        <f>H64</f>
        <v>0.34109858000744459</v>
      </c>
      <c r="O21" s="76">
        <f>H65</f>
        <v>0.34109858000744459</v>
      </c>
      <c r="Q21" s="37"/>
      <c r="R21" s="37"/>
      <c r="S21" s="38">
        <f>F64</f>
        <v>2696.3939005076909</v>
      </c>
      <c r="T21" s="38">
        <f xml:space="preserve"> F65</f>
        <v>2696.3939005076909</v>
      </c>
      <c r="AC21" s="12"/>
      <c r="AD21" s="12"/>
    </row>
    <row r="22" spans="1:30" x14ac:dyDescent="0.2">
      <c r="A22" s="12"/>
      <c r="B22" s="12" t="s">
        <v>758</v>
      </c>
      <c r="C22" s="12" t="s">
        <v>1504</v>
      </c>
      <c r="D22" s="15">
        <v>2025</v>
      </c>
      <c r="E22" s="74">
        <v>15.5</v>
      </c>
      <c r="F22" s="33">
        <v>1905.381078130963</v>
      </c>
      <c r="G22" s="33">
        <v>30.977683315621682</v>
      </c>
      <c r="H22" s="75">
        <v>0.25348956628152525</v>
      </c>
      <c r="I22" s="15"/>
      <c r="W22" s="12"/>
      <c r="X22" s="12"/>
      <c r="Y22" s="12"/>
      <c r="Z22" s="12"/>
      <c r="AA22" s="12"/>
      <c r="AB22" s="12"/>
      <c r="AC22" s="12"/>
      <c r="AD22" s="12"/>
    </row>
    <row r="23" spans="1:30" x14ac:dyDescent="0.2">
      <c r="A23" s="12"/>
      <c r="B23" s="12" t="s">
        <v>758</v>
      </c>
      <c r="C23" s="12" t="s">
        <v>1505</v>
      </c>
      <c r="D23" s="15">
        <v>2040</v>
      </c>
      <c r="E23" s="74">
        <v>15.5</v>
      </c>
      <c r="F23" s="33">
        <v>1905.381078130963</v>
      </c>
      <c r="G23" s="33">
        <v>30.977683315621682</v>
      </c>
      <c r="H23" s="75">
        <v>0.25348956628152525</v>
      </c>
      <c r="I23" s="15"/>
    </row>
    <row r="24" spans="1:30" x14ac:dyDescent="0.2">
      <c r="A24" s="133" t="s">
        <v>1506</v>
      </c>
      <c r="B24" s="133" t="s">
        <v>1131</v>
      </c>
      <c r="C24" s="133"/>
      <c r="D24" s="134">
        <v>2010</v>
      </c>
      <c r="E24" s="135">
        <v>15.5</v>
      </c>
      <c r="F24" s="136">
        <v>1393.1309012934623</v>
      </c>
      <c r="G24" s="136">
        <v>30.977683315621682</v>
      </c>
      <c r="H24" s="137">
        <v>0.13574870146367959</v>
      </c>
      <c r="I24" s="15"/>
    </row>
    <row r="25" spans="1:30" x14ac:dyDescent="0.2">
      <c r="A25" s="12" t="s">
        <v>1507</v>
      </c>
      <c r="B25" s="12" t="s">
        <v>1131</v>
      </c>
      <c r="C25" s="12"/>
      <c r="D25" s="15">
        <v>2015</v>
      </c>
      <c r="E25" s="74">
        <v>15.5</v>
      </c>
      <c r="F25" s="33">
        <v>1403.6762500448133</v>
      </c>
      <c r="G25" s="33">
        <v>30.977683315621682</v>
      </c>
      <c r="H25" s="75">
        <v>0.14836435240807125</v>
      </c>
      <c r="I25" s="15"/>
    </row>
    <row r="26" spans="1:30" x14ac:dyDescent="0.2">
      <c r="A26" s="12"/>
      <c r="B26" s="12" t="s">
        <v>1131</v>
      </c>
      <c r="C26" s="12"/>
      <c r="D26" s="15">
        <v>2020</v>
      </c>
      <c r="E26" s="74">
        <v>15.5</v>
      </c>
      <c r="F26" s="33">
        <v>1413.3892013415248</v>
      </c>
      <c r="G26" s="33">
        <v>30.977683315621682</v>
      </c>
      <c r="H26" s="75">
        <v>0.15585393593710184</v>
      </c>
      <c r="I26" s="15"/>
    </row>
    <row r="27" spans="1:30" x14ac:dyDescent="0.2">
      <c r="A27" s="12" t="s">
        <v>1508</v>
      </c>
      <c r="B27" s="12" t="s">
        <v>1131</v>
      </c>
      <c r="C27" s="12"/>
      <c r="D27" s="15">
        <v>2025</v>
      </c>
      <c r="E27" s="74">
        <v>15.5</v>
      </c>
      <c r="F27" s="33">
        <v>1460.5130798082935</v>
      </c>
      <c r="G27" s="33">
        <v>30.977683315621682</v>
      </c>
      <c r="H27" s="75">
        <v>0.1774483830167711</v>
      </c>
      <c r="I27" s="15"/>
    </row>
    <row r="28" spans="1:30" x14ac:dyDescent="0.2">
      <c r="A28" s="12" t="s">
        <v>1509</v>
      </c>
      <c r="B28" s="12" t="s">
        <v>1131</v>
      </c>
      <c r="C28" s="12"/>
      <c r="D28" s="15">
        <v>2015</v>
      </c>
      <c r="E28" s="74">
        <v>15.5</v>
      </c>
      <c r="F28" s="33">
        <v>1905.381078130963</v>
      </c>
      <c r="G28" s="33">
        <v>30.977683315621682</v>
      </c>
      <c r="H28" s="75">
        <v>0.21639840676113697</v>
      </c>
      <c r="I28" s="15"/>
    </row>
    <row r="29" spans="1:30" x14ac:dyDescent="0.2">
      <c r="A29" s="12"/>
      <c r="B29" s="12" t="s">
        <v>1131</v>
      </c>
      <c r="C29" s="12"/>
      <c r="D29" s="15">
        <v>2025</v>
      </c>
      <c r="E29" s="74">
        <v>15.5</v>
      </c>
      <c r="F29" s="33">
        <v>1905.381078130963</v>
      </c>
      <c r="G29" s="33">
        <v>30.977683315621682</v>
      </c>
      <c r="H29" s="75">
        <v>0.25349769002395872</v>
      </c>
      <c r="I29" s="15"/>
    </row>
    <row r="30" spans="1:30" x14ac:dyDescent="0.2">
      <c r="A30" s="12"/>
      <c r="B30" s="12" t="s">
        <v>1131</v>
      </c>
      <c r="C30" s="12"/>
      <c r="D30" s="15">
        <v>2040</v>
      </c>
      <c r="E30" s="74">
        <v>15.5</v>
      </c>
      <c r="F30" s="33">
        <v>1905.381078130963</v>
      </c>
      <c r="G30" s="33">
        <v>30.977683315621682</v>
      </c>
      <c r="H30" s="75">
        <v>0.25349769002395872</v>
      </c>
      <c r="I30" s="15"/>
    </row>
    <row r="31" spans="1:30" x14ac:dyDescent="0.2">
      <c r="A31" s="133" t="s">
        <v>1510</v>
      </c>
      <c r="B31" s="133" t="s">
        <v>498</v>
      </c>
      <c r="C31" s="133"/>
      <c r="D31" s="134">
        <v>2010</v>
      </c>
      <c r="E31" s="135">
        <v>15.5</v>
      </c>
      <c r="F31" s="136">
        <v>1441.6321043366597</v>
      </c>
      <c r="G31" s="136">
        <v>56.323060573857596</v>
      </c>
      <c r="H31" s="137">
        <v>0.12808843050405344</v>
      </c>
      <c r="I31" s="15"/>
    </row>
    <row r="32" spans="1:30" x14ac:dyDescent="0.2">
      <c r="A32" s="12" t="s">
        <v>1511</v>
      </c>
      <c r="B32" s="12" t="s">
        <v>498</v>
      </c>
      <c r="C32" s="12"/>
      <c r="D32" s="15">
        <v>2015</v>
      </c>
      <c r="E32" s="74">
        <v>15.5</v>
      </c>
      <c r="F32" s="33">
        <v>1453.1168869214987</v>
      </c>
      <c r="G32" s="33">
        <v>56.323060573857596</v>
      </c>
      <c r="H32" s="75">
        <v>0.13943470353239121</v>
      </c>
      <c r="I32" s="15"/>
    </row>
    <row r="33" spans="1:9" x14ac:dyDescent="0.2">
      <c r="A33" s="12"/>
      <c r="B33" s="12" t="s">
        <v>498</v>
      </c>
      <c r="C33" s="12"/>
      <c r="D33" s="15">
        <v>2020</v>
      </c>
      <c r="E33" s="74">
        <v>15.5</v>
      </c>
      <c r="F33" s="33">
        <v>1464.2085507445051</v>
      </c>
      <c r="G33" s="33">
        <v>56.323060573857596</v>
      </c>
      <c r="H33" s="75">
        <v>0.14271413072472905</v>
      </c>
      <c r="I33" s="15"/>
    </row>
    <row r="34" spans="1:9" x14ac:dyDescent="0.2">
      <c r="A34" s="12" t="s">
        <v>1512</v>
      </c>
      <c r="B34" s="12" t="s">
        <v>498</v>
      </c>
      <c r="C34" s="12"/>
      <c r="D34" s="15">
        <v>2025</v>
      </c>
      <c r="E34" s="74">
        <v>15.5</v>
      </c>
      <c r="F34" s="33">
        <v>1503.8621421472997</v>
      </c>
      <c r="G34" s="33">
        <v>56.323060573857596</v>
      </c>
      <c r="H34" s="75">
        <v>0.18738156425582345</v>
      </c>
      <c r="I34" s="15"/>
    </row>
    <row r="35" spans="1:9" x14ac:dyDescent="0.2">
      <c r="A35" s="12"/>
      <c r="B35" s="12" t="s">
        <v>498</v>
      </c>
      <c r="C35" s="12"/>
      <c r="D35" s="15">
        <v>2040</v>
      </c>
      <c r="E35" s="74">
        <v>15.5</v>
      </c>
      <c r="F35" s="33">
        <v>1581.2055548338762</v>
      </c>
      <c r="G35" s="33">
        <v>56.323060573857596</v>
      </c>
      <c r="H35" s="75">
        <v>0.2132990317897287</v>
      </c>
      <c r="I35" s="15"/>
    </row>
    <row r="36" spans="1:9" x14ac:dyDescent="0.2">
      <c r="A36" s="12" t="s">
        <v>1513</v>
      </c>
      <c r="B36" s="12" t="s">
        <v>498</v>
      </c>
      <c r="C36" s="12"/>
      <c r="D36" s="15">
        <v>2015</v>
      </c>
      <c r="E36" s="74">
        <v>15.5</v>
      </c>
      <c r="F36" s="33">
        <v>1508.0082519534519</v>
      </c>
      <c r="G36" s="33">
        <v>56.323060573857596</v>
      </c>
      <c r="H36" s="75">
        <v>0.22501753094629065</v>
      </c>
      <c r="I36" s="15"/>
    </row>
    <row r="37" spans="1:9" x14ac:dyDescent="0.2">
      <c r="A37" s="12"/>
      <c r="B37" s="12" t="s">
        <v>498</v>
      </c>
      <c r="C37" s="12"/>
      <c r="D37" s="15">
        <v>2025</v>
      </c>
      <c r="E37" s="74">
        <v>15.5</v>
      </c>
      <c r="F37" s="33">
        <v>1549.3742860803538</v>
      </c>
      <c r="G37" s="33">
        <v>56.323060573857596</v>
      </c>
      <c r="H37" s="75">
        <v>0.28110086598032419</v>
      </c>
      <c r="I37" s="15"/>
    </row>
    <row r="38" spans="1:9" x14ac:dyDescent="0.2">
      <c r="A38" s="12"/>
      <c r="B38" s="12" t="s">
        <v>498</v>
      </c>
      <c r="C38" s="12"/>
      <c r="D38" s="15">
        <v>2040</v>
      </c>
      <c r="E38" s="74">
        <v>15.5</v>
      </c>
      <c r="F38" s="33">
        <v>1555.9665294317299</v>
      </c>
      <c r="G38" s="33">
        <v>56.323060573857596</v>
      </c>
      <c r="H38" s="75">
        <v>0.28415430914129758</v>
      </c>
      <c r="I38" s="15"/>
    </row>
    <row r="39" spans="1:9" x14ac:dyDescent="0.2">
      <c r="A39" s="12" t="s">
        <v>1514</v>
      </c>
      <c r="B39" s="12" t="s">
        <v>498</v>
      </c>
      <c r="C39" s="12"/>
      <c r="D39" s="15">
        <v>2015</v>
      </c>
      <c r="E39" s="74">
        <v>15.5</v>
      </c>
      <c r="F39" s="33">
        <v>1804.5869175018988</v>
      </c>
      <c r="G39" s="33">
        <v>56.323060573857596</v>
      </c>
      <c r="H39" s="75">
        <v>0.31614963097953835</v>
      </c>
      <c r="I39" s="15"/>
    </row>
    <row r="40" spans="1:9" x14ac:dyDescent="0.2">
      <c r="A40" s="12"/>
      <c r="B40" s="12" t="s">
        <v>498</v>
      </c>
      <c r="C40" s="12"/>
      <c r="D40" s="15">
        <v>2025</v>
      </c>
      <c r="E40" s="74">
        <v>15.5</v>
      </c>
      <c r="F40" s="33">
        <v>1845.9529516287998</v>
      </c>
      <c r="G40" s="33">
        <v>56.323060573857596</v>
      </c>
      <c r="H40" s="75">
        <v>0.39494671670235554</v>
      </c>
      <c r="I40" s="15"/>
    </row>
    <row r="41" spans="1:9" x14ac:dyDescent="0.2">
      <c r="A41" s="12"/>
      <c r="B41" s="12" t="s">
        <v>498</v>
      </c>
      <c r="C41" s="12"/>
      <c r="D41" s="15">
        <v>2040</v>
      </c>
      <c r="E41" s="74">
        <v>15.5</v>
      </c>
      <c r="F41" s="33">
        <v>1852.5451949801766</v>
      </c>
      <c r="G41" s="33">
        <v>56.323060573857596</v>
      </c>
      <c r="H41" s="75">
        <v>0.39923680434352293</v>
      </c>
      <c r="I41" s="15"/>
    </row>
    <row r="42" spans="1:9" x14ac:dyDescent="0.2">
      <c r="A42" s="133" t="s">
        <v>1515</v>
      </c>
      <c r="B42" s="133" t="s">
        <v>501</v>
      </c>
      <c r="C42" s="133"/>
      <c r="D42" s="134">
        <v>2010</v>
      </c>
      <c r="E42" s="135">
        <v>15.5</v>
      </c>
      <c r="F42" s="138">
        <v>1154.5363837997265</v>
      </c>
      <c r="G42" s="136">
        <v>56.323060573857596</v>
      </c>
      <c r="H42" s="137">
        <v>0.10181147998156995</v>
      </c>
      <c r="I42" s="15"/>
    </row>
    <row r="43" spans="1:9" x14ac:dyDescent="0.2">
      <c r="A43" s="12" t="s">
        <v>1516</v>
      </c>
      <c r="B43" s="12" t="s">
        <v>501</v>
      </c>
      <c r="C43" s="12"/>
      <c r="D43" s="15">
        <v>2015</v>
      </c>
      <c r="E43" s="74">
        <v>15.5</v>
      </c>
      <c r="F43" s="82">
        <v>1163.4070516862803</v>
      </c>
      <c r="G43" s="33">
        <v>56.323060573857596</v>
      </c>
      <c r="H43" s="75">
        <v>0.11083009973312889</v>
      </c>
      <c r="I43" s="15"/>
    </row>
    <row r="44" spans="1:9" x14ac:dyDescent="0.2">
      <c r="A44" s="12"/>
      <c r="B44" s="12" t="s">
        <v>501</v>
      </c>
      <c r="C44" s="12"/>
      <c r="D44" s="15">
        <v>2020</v>
      </c>
      <c r="E44" s="74">
        <v>15.5</v>
      </c>
      <c r="F44" s="82">
        <v>1136.2852870215088</v>
      </c>
      <c r="G44" s="33">
        <v>56.323060573857596</v>
      </c>
      <c r="H44" s="75">
        <v>0.11437544985163602</v>
      </c>
      <c r="I44" s="15"/>
    </row>
    <row r="45" spans="1:9" x14ac:dyDescent="0.2">
      <c r="A45" s="12" t="s">
        <v>1517</v>
      </c>
      <c r="B45" s="12" t="s">
        <v>501</v>
      </c>
      <c r="C45" s="12"/>
      <c r="D45" s="15">
        <v>2025</v>
      </c>
      <c r="E45" s="74">
        <v>15.5</v>
      </c>
      <c r="F45" s="82">
        <v>1176.1861320869871</v>
      </c>
      <c r="G45" s="33">
        <v>56.323060573857596</v>
      </c>
      <c r="H45" s="75">
        <v>0.12304025665857815</v>
      </c>
      <c r="I45" s="15"/>
    </row>
    <row r="46" spans="1:9" x14ac:dyDescent="0.2">
      <c r="A46" s="12"/>
      <c r="B46" s="12" t="s">
        <v>501</v>
      </c>
      <c r="C46" s="12"/>
      <c r="D46" s="15">
        <v>2040</v>
      </c>
      <c r="E46" s="74">
        <v>15.5</v>
      </c>
      <c r="F46" s="82">
        <v>1212.8630270598117</v>
      </c>
      <c r="G46" s="33">
        <v>56.323060573857596</v>
      </c>
      <c r="H46" s="75">
        <v>0.13545981308186189</v>
      </c>
      <c r="I46" s="15"/>
    </row>
    <row r="47" spans="1:9" x14ac:dyDescent="0.2">
      <c r="A47" s="12" t="s">
        <v>1518</v>
      </c>
      <c r="B47" s="12" t="s">
        <v>501</v>
      </c>
      <c r="C47" s="12"/>
      <c r="D47" s="15">
        <v>2015</v>
      </c>
      <c r="E47" s="74">
        <v>15.5</v>
      </c>
      <c r="F47" s="82">
        <v>1184.7541654426634</v>
      </c>
      <c r="G47" s="33">
        <v>56.323060573857596</v>
      </c>
      <c r="H47" s="75">
        <v>0.17885587134831493</v>
      </c>
      <c r="I47" s="15"/>
    </row>
    <row r="48" spans="1:9" x14ac:dyDescent="0.2">
      <c r="A48" s="12"/>
      <c r="B48" s="12" t="s">
        <v>501</v>
      </c>
      <c r="C48" s="12"/>
      <c r="D48" s="15">
        <v>2025</v>
      </c>
      <c r="E48" s="74">
        <v>15.5</v>
      </c>
      <c r="F48" s="82">
        <v>1226.1201995695651</v>
      </c>
      <c r="G48" s="33">
        <v>56.323060573857596</v>
      </c>
      <c r="H48" s="75">
        <v>0.22343388139690007</v>
      </c>
      <c r="I48" s="15"/>
    </row>
    <row r="49" spans="1:10" x14ac:dyDescent="0.2">
      <c r="A49" s="12"/>
      <c r="B49" s="12" t="s">
        <v>501</v>
      </c>
      <c r="C49" s="12"/>
      <c r="D49" s="15">
        <v>2040</v>
      </c>
      <c r="E49" s="74">
        <v>15.5</v>
      </c>
      <c r="F49" s="82">
        <v>1232.7124429209412</v>
      </c>
      <c r="G49" s="33">
        <v>56.323060573857596</v>
      </c>
      <c r="H49" s="75">
        <v>0.22586092001416583</v>
      </c>
      <c r="I49" s="15"/>
    </row>
    <row r="50" spans="1:10" x14ac:dyDescent="0.2">
      <c r="A50" s="12" t="s">
        <v>1519</v>
      </c>
      <c r="B50" s="12" t="s">
        <v>501</v>
      </c>
      <c r="C50" s="12"/>
      <c r="D50" s="15">
        <v>2015</v>
      </c>
      <c r="E50" s="74">
        <v>15.5</v>
      </c>
      <c r="F50" s="82">
        <v>1481.3328309911099</v>
      </c>
      <c r="G50" s="33">
        <v>56.323060573857596</v>
      </c>
      <c r="H50" s="75">
        <v>0.25129249924438246</v>
      </c>
      <c r="I50" s="15"/>
    </row>
    <row r="51" spans="1:10" x14ac:dyDescent="0.2">
      <c r="A51" s="12"/>
      <c r="B51" s="12" t="s">
        <v>501</v>
      </c>
      <c r="C51" s="12"/>
      <c r="D51" s="15">
        <v>2025</v>
      </c>
      <c r="E51" s="74">
        <v>15.5</v>
      </c>
      <c r="F51" s="82">
        <v>1522.6988651180116</v>
      </c>
      <c r="G51" s="33">
        <v>56.323060573857596</v>
      </c>
      <c r="H51" s="75">
        <v>0.31392460336264466</v>
      </c>
      <c r="I51" s="15"/>
    </row>
    <row r="52" spans="1:10" x14ac:dyDescent="0.2">
      <c r="A52" s="12"/>
      <c r="B52" s="12" t="s">
        <v>501</v>
      </c>
      <c r="C52" s="12"/>
      <c r="D52" s="15">
        <v>2040</v>
      </c>
      <c r="E52" s="74">
        <v>15.5</v>
      </c>
      <c r="F52" s="82">
        <v>1529.2911084693878</v>
      </c>
      <c r="G52" s="33">
        <v>56.323060573857596</v>
      </c>
      <c r="H52" s="75">
        <v>0.31733459261990316</v>
      </c>
      <c r="I52" s="15"/>
    </row>
    <row r="53" spans="1:10" x14ac:dyDescent="0.2">
      <c r="A53" s="133" t="s">
        <v>1520</v>
      </c>
      <c r="B53" s="133" t="s">
        <v>499</v>
      </c>
      <c r="C53" s="133"/>
      <c r="D53" s="134">
        <v>2010</v>
      </c>
      <c r="E53" s="135">
        <v>15.5</v>
      </c>
      <c r="F53" s="136">
        <v>1397.7832628029082</v>
      </c>
      <c r="G53" s="136">
        <v>56.323060573857596</v>
      </c>
      <c r="H53" s="137">
        <v>0.11401158309707092</v>
      </c>
      <c r="I53" s="15"/>
    </row>
    <row r="54" spans="1:10" x14ac:dyDescent="0.2">
      <c r="A54" s="12" t="s">
        <v>1521</v>
      </c>
      <c r="B54" s="12" t="s">
        <v>499</v>
      </c>
      <c r="C54" s="12"/>
      <c r="D54" s="15">
        <v>2015</v>
      </c>
      <c r="E54" s="74">
        <v>15.5</v>
      </c>
      <c r="F54" s="33">
        <v>1408.9187229704</v>
      </c>
      <c r="G54" s="33">
        <v>56.323060573857596</v>
      </c>
      <c r="H54" s="75">
        <v>0.1241109070182228</v>
      </c>
      <c r="I54" s="15"/>
    </row>
    <row r="55" spans="1:10" x14ac:dyDescent="0.2">
      <c r="A55" s="12"/>
      <c r="B55" s="12" t="s">
        <v>499</v>
      </c>
      <c r="C55" s="12"/>
      <c r="D55" s="15">
        <v>2020</v>
      </c>
      <c r="E55" s="74">
        <v>15.5</v>
      </c>
      <c r="F55" s="33">
        <v>1419.6730215197992</v>
      </c>
      <c r="G55" s="33">
        <v>56.323060573857596</v>
      </c>
      <c r="H55" s="75">
        <v>0.12808109760692224</v>
      </c>
      <c r="I55" s="15"/>
    </row>
    <row r="56" spans="1:10" x14ac:dyDescent="0.2">
      <c r="A56" s="12" t="s">
        <v>1522</v>
      </c>
      <c r="B56" s="12" t="s">
        <v>499</v>
      </c>
      <c r="C56" s="12"/>
      <c r="D56" s="15">
        <v>2025</v>
      </c>
      <c r="E56" s="74">
        <v>15.5</v>
      </c>
      <c r="F56" s="33">
        <v>1458.1205049006962</v>
      </c>
      <c r="G56" s="33">
        <v>56.323060573857596</v>
      </c>
      <c r="H56" s="75">
        <v>0.16678843436477175</v>
      </c>
      <c r="I56" s="15"/>
      <c r="J56" s="12"/>
    </row>
    <row r="57" spans="1:10" x14ac:dyDescent="0.2">
      <c r="A57" s="12"/>
      <c r="B57" s="12" t="s">
        <v>499</v>
      </c>
      <c r="C57" s="12"/>
      <c r="D57" s="15">
        <v>2040</v>
      </c>
      <c r="E57" s="74">
        <v>15.5</v>
      </c>
      <c r="F57" s="33">
        <v>1533.111431792616</v>
      </c>
      <c r="G57" s="33">
        <v>56.323060573857596</v>
      </c>
      <c r="H57" s="75">
        <v>0.18985758660420035</v>
      </c>
      <c r="I57" s="15"/>
    </row>
    <row r="58" spans="1:10" x14ac:dyDescent="0.2">
      <c r="A58" s="12" t="s">
        <v>1523</v>
      </c>
      <c r="B58" s="12" t="s">
        <v>499</v>
      </c>
      <c r="C58" s="12"/>
      <c r="D58" s="15">
        <v>2015</v>
      </c>
      <c r="E58" s="74">
        <v>15.5</v>
      </c>
      <c r="F58" s="33">
        <v>1464.1594104197002</v>
      </c>
      <c r="G58" s="33">
        <v>56.323060573857596</v>
      </c>
      <c r="H58" s="75">
        <v>0.20028822920871756</v>
      </c>
      <c r="I58" s="15"/>
    </row>
    <row r="59" spans="1:10" x14ac:dyDescent="0.2">
      <c r="A59" s="12"/>
      <c r="B59" s="12" t="s">
        <v>499</v>
      </c>
      <c r="C59" s="12"/>
      <c r="D59" s="15">
        <v>2025</v>
      </c>
      <c r="E59" s="74">
        <v>15.5</v>
      </c>
      <c r="F59" s="33">
        <v>1505.5254445466021</v>
      </c>
      <c r="G59" s="33">
        <v>56.323060573857596</v>
      </c>
      <c r="H59" s="75">
        <v>0.25020803685591358</v>
      </c>
      <c r="I59" s="15"/>
    </row>
    <row r="60" spans="1:10" x14ac:dyDescent="0.2">
      <c r="A60" s="12"/>
      <c r="B60" s="12" t="s">
        <v>499</v>
      </c>
      <c r="C60" s="12"/>
      <c r="D60" s="15">
        <v>2040</v>
      </c>
      <c r="E60" s="74">
        <v>15.5</v>
      </c>
      <c r="F60" s="33">
        <v>1512.1176878979782</v>
      </c>
      <c r="G60" s="33">
        <v>56.323060573857596</v>
      </c>
      <c r="H60" s="75">
        <v>0.25292590830854622</v>
      </c>
      <c r="I60" s="15"/>
    </row>
    <row r="61" spans="1:10" x14ac:dyDescent="0.2">
      <c r="A61" s="12" t="s">
        <v>1524</v>
      </c>
      <c r="B61" s="12" t="s">
        <v>499</v>
      </c>
      <c r="C61" s="12"/>
      <c r="D61" s="15">
        <v>2015</v>
      </c>
      <c r="E61" s="74">
        <v>15.5</v>
      </c>
      <c r="F61" s="33">
        <v>1760.7380759681469</v>
      </c>
      <c r="G61" s="33">
        <v>56.323060573857596</v>
      </c>
      <c r="H61" s="75">
        <v>0.28140496203824811</v>
      </c>
      <c r="I61" s="15"/>
    </row>
    <row r="62" spans="1:10" ht="13.5" customHeight="1" x14ac:dyDescent="0.2">
      <c r="A62" s="12"/>
      <c r="B62" s="12" t="s">
        <v>499</v>
      </c>
      <c r="C62" s="12"/>
      <c r="D62" s="15">
        <v>2025</v>
      </c>
      <c r="E62" s="74">
        <v>15.5</v>
      </c>
      <c r="F62" s="33">
        <v>1802.1041100950483</v>
      </c>
      <c r="G62" s="33">
        <v>56.323060573857596</v>
      </c>
      <c r="H62" s="75">
        <v>0.35154229178255858</v>
      </c>
      <c r="I62" s="15"/>
    </row>
    <row r="63" spans="1:10" x14ac:dyDescent="0.2">
      <c r="A63" s="12"/>
      <c r="B63" s="12" t="s">
        <v>499</v>
      </c>
      <c r="C63" s="12"/>
      <c r="D63" s="15">
        <v>2040</v>
      </c>
      <c r="E63" s="74">
        <v>15.5</v>
      </c>
      <c r="F63" s="33">
        <v>1808.6963534464248</v>
      </c>
      <c r="G63" s="33">
        <v>56.323060573857596</v>
      </c>
      <c r="H63" s="75">
        <v>0.35536090117350749</v>
      </c>
      <c r="I63" s="15"/>
    </row>
    <row r="64" spans="1:10" x14ac:dyDescent="0.2">
      <c r="A64" s="133" t="s">
        <v>1525</v>
      </c>
      <c r="B64" s="133" t="s">
        <v>1503</v>
      </c>
      <c r="C64" s="133"/>
      <c r="D64" s="134">
        <v>2025</v>
      </c>
      <c r="E64" s="135">
        <v>15.5</v>
      </c>
      <c r="F64" s="136">
        <v>2696.3939005076909</v>
      </c>
      <c r="G64" s="136">
        <v>15.488841657810841</v>
      </c>
      <c r="H64" s="137">
        <v>0.34109858000744459</v>
      </c>
      <c r="I64" s="15"/>
    </row>
    <row r="65" spans="1:26" s="12" customFormat="1" ht="12.75" customHeight="1" x14ac:dyDescent="0.2">
      <c r="B65" s="12" t="s">
        <v>1503</v>
      </c>
      <c r="D65" s="15">
        <v>2040</v>
      </c>
      <c r="E65" s="74">
        <v>15.5</v>
      </c>
      <c r="F65" s="33">
        <v>2696.3939005076909</v>
      </c>
      <c r="G65" s="33">
        <v>15.488841657810841</v>
      </c>
      <c r="H65" s="75">
        <v>0.34109858000744459</v>
      </c>
      <c r="I65" s="15"/>
    </row>
    <row r="66" spans="1:26" x14ac:dyDescent="0.2">
      <c r="A66" s="133" t="s">
        <v>240</v>
      </c>
      <c r="B66" s="133"/>
      <c r="C66" s="133"/>
      <c r="D66" s="133">
        <v>2005</v>
      </c>
      <c r="E66" s="133">
        <v>15.5</v>
      </c>
      <c r="F66" s="139"/>
      <c r="G66" s="134">
        <v>55.312877943174676</v>
      </c>
      <c r="H66" s="140">
        <v>9.715370018975332E-2</v>
      </c>
    </row>
    <row r="67" spans="1:26" x14ac:dyDescent="0.2">
      <c r="A67" s="133" t="s">
        <v>242</v>
      </c>
      <c r="B67" s="133"/>
      <c r="C67" s="133"/>
      <c r="D67" s="133">
        <v>2005</v>
      </c>
      <c r="E67" s="133">
        <v>15.5</v>
      </c>
      <c r="F67" s="139"/>
      <c r="G67" s="134">
        <v>55.312877943174676</v>
      </c>
      <c r="H67" s="140">
        <v>0.11740133509890378</v>
      </c>
    </row>
    <row r="68" spans="1:26" x14ac:dyDescent="0.2">
      <c r="A68" s="12"/>
      <c r="B68" s="12"/>
      <c r="C68" s="12"/>
      <c r="D68" s="12"/>
      <c r="E68" s="12"/>
      <c r="F68" s="12"/>
    </row>
    <row r="69" spans="1:26" x14ac:dyDescent="0.2">
      <c r="A69" s="12" t="s">
        <v>1526</v>
      </c>
      <c r="B69" s="12"/>
      <c r="C69" s="12"/>
      <c r="D69" s="77"/>
      <c r="E69" s="44"/>
      <c r="F69" s="12"/>
      <c r="G69" s="12"/>
      <c r="H69" s="12"/>
    </row>
    <row r="70" spans="1:26" x14ac:dyDescent="0.2">
      <c r="A70" s="12" t="s">
        <v>1527</v>
      </c>
    </row>
    <row r="71" spans="1:26" x14ac:dyDescent="0.2">
      <c r="A71" s="12" t="s">
        <v>1528</v>
      </c>
    </row>
    <row r="72" spans="1:26" x14ac:dyDescent="0.2">
      <c r="A72" s="12" t="s">
        <v>1529</v>
      </c>
      <c r="E72" s="37"/>
    </row>
    <row r="73" spans="1:26" x14ac:dyDescent="0.2">
      <c r="A73" s="132" t="s">
        <v>1530</v>
      </c>
      <c r="B73" s="69"/>
      <c r="C73" s="69"/>
      <c r="D73" s="69"/>
      <c r="E73" s="69"/>
      <c r="F73" s="69"/>
      <c r="G73" s="69"/>
      <c r="H73" s="69"/>
      <c r="I73" s="68"/>
      <c r="J73" s="131"/>
      <c r="K73" s="131"/>
      <c r="L73" s="131"/>
      <c r="M73" s="131"/>
      <c r="N73" s="131"/>
      <c r="O73" s="131"/>
      <c r="P73" s="131"/>
      <c r="Q73" s="131"/>
      <c r="R73" s="131"/>
      <c r="S73" s="131"/>
      <c r="T73" s="68"/>
      <c r="U73" s="68"/>
      <c r="V73" s="68"/>
      <c r="W73" s="68"/>
      <c r="X73" s="68"/>
      <c r="Y73" s="68"/>
      <c r="Z73" s="68"/>
    </row>
    <row r="74" spans="1:26" s="12" customFormat="1" x14ac:dyDescent="0.2">
      <c r="A74"/>
      <c r="B74"/>
      <c r="C74"/>
      <c r="D74"/>
      <c r="E74"/>
      <c r="F74"/>
      <c r="G74"/>
      <c r="H74"/>
      <c r="J74" s="27"/>
      <c r="K74" s="27"/>
      <c r="L74" s="27"/>
      <c r="M74" s="27"/>
      <c r="N74" s="27"/>
      <c r="O74" s="27"/>
      <c r="P74" s="27"/>
      <c r="Q74" s="27"/>
      <c r="R74" s="27"/>
      <c r="S74" s="27"/>
    </row>
    <row r="75" spans="1:26" s="12" customFormat="1" x14ac:dyDescent="0.2">
      <c r="A75"/>
      <c r="B75"/>
      <c r="C75"/>
      <c r="D75"/>
      <c r="E75"/>
      <c r="F75"/>
      <c r="G75"/>
      <c r="H75"/>
      <c r="J75" s="27"/>
      <c r="K75" s="15">
        <v>2010</v>
      </c>
      <c r="L75" s="15">
        <v>2015</v>
      </c>
      <c r="M75" s="15">
        <v>2025</v>
      </c>
      <c r="N75" s="15">
        <v>2040</v>
      </c>
      <c r="O75" s="27"/>
      <c r="P75" s="27"/>
      <c r="Q75" s="27"/>
      <c r="R75" s="15">
        <v>2010</v>
      </c>
      <c r="S75" s="15">
        <v>2015</v>
      </c>
      <c r="T75" s="15">
        <v>2025</v>
      </c>
      <c r="U75" s="15">
        <v>2040</v>
      </c>
    </row>
    <row r="76" spans="1:26" s="12" customFormat="1" ht="11.25" x14ac:dyDescent="0.2">
      <c r="A76" s="42"/>
      <c r="B76" s="42"/>
      <c r="C76" s="28"/>
      <c r="D76" s="70"/>
      <c r="E76" s="70"/>
      <c r="F76" s="28" t="s">
        <v>476</v>
      </c>
      <c r="G76" s="28" t="s">
        <v>477</v>
      </c>
      <c r="H76" s="28" t="s">
        <v>475</v>
      </c>
      <c r="J76" s="27"/>
      <c r="K76" s="15"/>
      <c r="L76" s="15"/>
      <c r="M76" s="15"/>
      <c r="N76" s="15"/>
      <c r="O76" s="27"/>
      <c r="P76" s="27"/>
      <c r="Q76" s="27"/>
      <c r="R76" s="15"/>
      <c r="S76" s="15"/>
      <c r="T76" s="15"/>
      <c r="U76" s="15"/>
    </row>
    <row r="77" spans="1:26" s="12" customFormat="1" ht="33.75" x14ac:dyDescent="0.2">
      <c r="A77" s="84"/>
      <c r="B77" s="34" t="s">
        <v>495</v>
      </c>
      <c r="C77" s="85"/>
      <c r="D77" s="71" t="s">
        <v>1479</v>
      </c>
      <c r="E77" s="72" t="s">
        <v>474</v>
      </c>
      <c r="F77" s="73" t="s">
        <v>1481</v>
      </c>
      <c r="G77" s="73" t="s">
        <v>1481</v>
      </c>
      <c r="H77" s="73" t="s">
        <v>1531</v>
      </c>
      <c r="J77" s="27" t="s">
        <v>1322</v>
      </c>
      <c r="K77" s="27">
        <f>H78</f>
        <v>7.1554552517759842E-2</v>
      </c>
      <c r="L77" s="27">
        <f>H79</f>
        <v>7.5263594035905171E-2</v>
      </c>
      <c r="M77" s="27">
        <f>H80</f>
        <v>8.2850618921883556E-2</v>
      </c>
      <c r="N77" s="27">
        <f>H81</f>
        <v>8.4286624644229674E-2</v>
      </c>
      <c r="O77" s="27"/>
      <c r="P77" s="27"/>
      <c r="Q77" s="27" t="s">
        <v>1322</v>
      </c>
      <c r="R77" s="15">
        <f>F78</f>
        <v>6276.5914442142484</v>
      </c>
      <c r="S77" s="15">
        <f>F79</f>
        <v>6295.5716205961326</v>
      </c>
      <c r="T77" s="15">
        <f>F81</f>
        <v>6691.9683084070857</v>
      </c>
      <c r="U77" s="15" t="e">
        <f>#REF!</f>
        <v>#REF!</v>
      </c>
    </row>
    <row r="78" spans="1:26" s="12" customFormat="1" ht="11.25" x14ac:dyDescent="0.2">
      <c r="A78" s="12" t="s">
        <v>1532</v>
      </c>
      <c r="B78" s="12" t="s">
        <v>758</v>
      </c>
      <c r="D78" s="15">
        <v>2010</v>
      </c>
      <c r="E78" s="74">
        <v>19</v>
      </c>
      <c r="F78" s="33">
        <v>6276.5914442142484</v>
      </c>
      <c r="G78" s="33">
        <v>136.84258541258041</v>
      </c>
      <c r="H78" s="27">
        <v>7.1554552517759842E-2</v>
      </c>
      <c r="J78" s="27" t="s">
        <v>1533</v>
      </c>
      <c r="K78" s="27"/>
      <c r="L78" s="27">
        <f>H85</f>
        <v>0.12040946377747096</v>
      </c>
      <c r="M78" s="27">
        <f>H86</f>
        <v>0.12438727642011957</v>
      </c>
      <c r="N78" s="27">
        <f>H87</f>
        <v>0.12438727642011957</v>
      </c>
      <c r="O78" s="27"/>
      <c r="P78" s="27"/>
      <c r="Q78" s="27" t="s">
        <v>1533</v>
      </c>
      <c r="R78" s="15"/>
      <c r="S78" s="15">
        <f>F85</f>
        <v>8334.222211770475</v>
      </c>
      <c r="T78" s="15">
        <f>F86</f>
        <v>7963.0152642194289</v>
      </c>
      <c r="U78" s="15">
        <f>F87</f>
        <v>7963.0152642194289</v>
      </c>
    </row>
    <row r="79" spans="1:26" s="12" customFormat="1" ht="11.25" x14ac:dyDescent="0.2">
      <c r="A79" s="12" t="s">
        <v>1534</v>
      </c>
      <c r="B79" s="12" t="s">
        <v>758</v>
      </c>
      <c r="D79" s="15">
        <v>2015</v>
      </c>
      <c r="E79" s="74">
        <v>19</v>
      </c>
      <c r="F79" s="33">
        <v>6295.5716205961326</v>
      </c>
      <c r="G79" s="33">
        <v>136.84258541258041</v>
      </c>
      <c r="H79" s="27">
        <v>7.5263594035905171E-2</v>
      </c>
      <c r="J79" s="27" t="s">
        <v>1535</v>
      </c>
      <c r="K79" s="27">
        <f>H88</f>
        <v>6.2417562952645951E-2</v>
      </c>
      <c r="L79" s="27">
        <f>H89</f>
        <v>6.4948004693969427E-2</v>
      </c>
      <c r="M79" s="27">
        <f>H90</f>
        <v>6.9730539585070805E-2</v>
      </c>
      <c r="N79" s="27">
        <f>H91</f>
        <v>7.5246902581156003E-2</v>
      </c>
      <c r="O79" s="27"/>
      <c r="P79" s="27"/>
      <c r="Q79" s="27" t="s">
        <v>1535</v>
      </c>
      <c r="R79" s="15">
        <f>F88</f>
        <v>5812.2033972904501</v>
      </c>
      <c r="S79" s="15">
        <f>F89</f>
        <v>5834.9327443156681</v>
      </c>
      <c r="T79" s="15">
        <f>F91</f>
        <v>6443.5418634659982</v>
      </c>
      <c r="U79" s="15" t="e">
        <f>#REF!</f>
        <v>#REF!</v>
      </c>
    </row>
    <row r="80" spans="1:26" s="12" customFormat="1" ht="11.25" x14ac:dyDescent="0.2">
      <c r="B80" s="12" t="s">
        <v>758</v>
      </c>
      <c r="D80" s="15">
        <v>2020</v>
      </c>
      <c r="E80" s="74">
        <f>E79</f>
        <v>19</v>
      </c>
      <c r="F80" s="33">
        <v>6469.2831937373276</v>
      </c>
      <c r="G80" s="33">
        <v>136.84258541258041</v>
      </c>
      <c r="H80" s="27">
        <v>8.2850618921883556E-2</v>
      </c>
      <c r="J80" s="27" t="s">
        <v>1536</v>
      </c>
      <c r="K80" s="27"/>
      <c r="L80" s="27">
        <f>H92</f>
        <v>7.8865434271248591E-2</v>
      </c>
      <c r="M80" s="27">
        <f>H93</f>
        <v>9.961505655010118E-2</v>
      </c>
      <c r="N80" s="27">
        <f>H94</f>
        <v>0.10749316517142161</v>
      </c>
      <c r="O80" s="27"/>
      <c r="P80" s="27"/>
      <c r="Q80" s="27" t="s">
        <v>1536</v>
      </c>
      <c r="R80" s="15"/>
      <c r="S80" s="15">
        <f>F92</f>
        <v>6616.0099616771531</v>
      </c>
      <c r="T80" s="15">
        <f>F93</f>
        <v>6935.0018972475837</v>
      </c>
      <c r="U80" s="15">
        <f>F94</f>
        <v>7469.8773270789898</v>
      </c>
    </row>
    <row r="81" spans="1:21" s="12" customFormat="1" ht="11.25" x14ac:dyDescent="0.2">
      <c r="A81" s="12" t="s">
        <v>1537</v>
      </c>
      <c r="B81" s="12" t="s">
        <v>758</v>
      </c>
      <c r="D81" s="15">
        <v>2025</v>
      </c>
      <c r="E81" s="74">
        <v>19</v>
      </c>
      <c r="F81" s="33">
        <v>6691.9683084070857</v>
      </c>
      <c r="G81" s="33">
        <v>136.84258541258041</v>
      </c>
      <c r="H81" s="27">
        <v>8.4286624644229674E-2</v>
      </c>
      <c r="J81" s="27" t="s">
        <v>1538</v>
      </c>
      <c r="K81" s="27">
        <f>H95</f>
        <v>7.1504036192117926E-2</v>
      </c>
      <c r="L81" s="27">
        <f>H96</f>
        <v>7.5210459188554166E-2</v>
      </c>
      <c r="M81" s="27">
        <f>H97</f>
        <v>7.7965336736629975E-2</v>
      </c>
      <c r="N81" s="27">
        <f>H98</f>
        <v>8.3060709137527847E-2</v>
      </c>
      <c r="O81" s="27"/>
      <c r="P81" s="27"/>
      <c r="Q81" s="27" t="s">
        <v>1538</v>
      </c>
      <c r="R81" s="15">
        <f>F95</f>
        <v>6276.5914442142484</v>
      </c>
      <c r="S81" s="15">
        <f>F96</f>
        <v>6295.5716205961326</v>
      </c>
      <c r="T81" s="15">
        <f>F98</f>
        <v>6469.2831937373276</v>
      </c>
      <c r="U81" s="15">
        <f>F99</f>
        <v>6772.0677770475058</v>
      </c>
    </row>
    <row r="82" spans="1:21" s="12" customFormat="1" ht="11.25" x14ac:dyDescent="0.2">
      <c r="A82" s="12" t="s">
        <v>1539</v>
      </c>
      <c r="B82" s="12" t="s">
        <v>758</v>
      </c>
      <c r="D82" s="15">
        <v>2015</v>
      </c>
      <c r="E82" s="74">
        <v>19</v>
      </c>
      <c r="F82" s="33">
        <v>6767.5657068244345</v>
      </c>
      <c r="G82" s="33">
        <v>136.84258541258041</v>
      </c>
      <c r="H82" s="27">
        <v>8.4286624644229674E-2</v>
      </c>
      <c r="J82" s="27" t="s">
        <v>498</v>
      </c>
      <c r="K82" s="27">
        <f>H105</f>
        <v>5.2445274618984843E-2</v>
      </c>
      <c r="L82" s="27">
        <f>H106</f>
        <v>5.5163783702583222E-2</v>
      </c>
      <c r="M82" s="27">
        <f>H107</f>
        <v>6.0921619711943757E-2</v>
      </c>
      <c r="N82" s="27">
        <f>H108</f>
        <v>6.3820237057809537E-2</v>
      </c>
      <c r="O82" s="27"/>
      <c r="P82" s="27"/>
      <c r="Q82" s="27" t="s">
        <v>498</v>
      </c>
      <c r="R82" s="15">
        <f>F105</f>
        <v>6575.7618337437334</v>
      </c>
      <c r="S82" s="15">
        <f>F106</f>
        <v>6601.4771713632026</v>
      </c>
      <c r="T82" s="15">
        <f>F108</f>
        <v>7290.0402418233361</v>
      </c>
      <c r="U82" s="15" t="e">
        <f>#REF!</f>
        <v>#REF!</v>
      </c>
    </row>
    <row r="83" spans="1:21" s="12" customFormat="1" ht="11.25" x14ac:dyDescent="0.2">
      <c r="B83" s="12" t="s">
        <v>758</v>
      </c>
      <c r="D83" s="15">
        <v>2025</v>
      </c>
      <c r="E83" s="74">
        <v>19</v>
      </c>
      <c r="F83" s="33">
        <v>6936.7579083281753</v>
      </c>
      <c r="G83" s="33">
        <v>136.84258541258041</v>
      </c>
      <c r="H83" s="27">
        <v>8.707416516407801E-2</v>
      </c>
      <c r="J83" s="27" t="s">
        <v>499</v>
      </c>
      <c r="K83" s="27">
        <f>H112</f>
        <v>6.7978151294823944E-2</v>
      </c>
      <c r="L83" s="27">
        <f>H113</f>
        <v>7.1501809491368279E-2</v>
      </c>
      <c r="M83" s="27">
        <f>H115</f>
        <v>8.2722070995064262E-2</v>
      </c>
      <c r="N83" s="27">
        <f>H116</f>
        <v>8.6127576547247009E-2</v>
      </c>
      <c r="O83" s="27"/>
      <c r="P83" s="27"/>
      <c r="Q83" s="27" t="s">
        <v>499</v>
      </c>
      <c r="R83" s="15">
        <f>F112</f>
        <v>6193.9826155170922</v>
      </c>
      <c r="S83" s="15">
        <f>F113</f>
        <v>6218.2049578394353</v>
      </c>
      <c r="T83" s="15">
        <f>F115</f>
        <v>6866.7910526446676</v>
      </c>
      <c r="U83" s="15">
        <f>F116</f>
        <v>6997.7891799037952</v>
      </c>
    </row>
    <row r="84" spans="1:21" s="12" customFormat="1" ht="11.25" x14ac:dyDescent="0.2">
      <c r="B84" s="12" t="s">
        <v>758</v>
      </c>
      <c r="D84" s="15">
        <v>2040</v>
      </c>
      <c r="E84" s="74">
        <v>19</v>
      </c>
      <c r="F84" s="33">
        <v>6936.7579083281753</v>
      </c>
      <c r="G84" s="33">
        <v>136.84258541258041</v>
      </c>
      <c r="H84" s="27">
        <v>8.707416516407801E-2</v>
      </c>
      <c r="J84" s="27"/>
      <c r="K84" s="27"/>
      <c r="L84" s="27"/>
      <c r="M84" s="27"/>
      <c r="N84" s="27"/>
      <c r="O84" s="27"/>
      <c r="P84" s="27"/>
      <c r="Q84" s="27"/>
      <c r="R84" s="15"/>
      <c r="S84" s="15"/>
      <c r="T84" s="15"/>
      <c r="U84" s="15"/>
    </row>
    <row r="85" spans="1:21" s="12" customFormat="1" ht="11.25" x14ac:dyDescent="0.2">
      <c r="A85" s="12" t="s">
        <v>1540</v>
      </c>
      <c r="B85" s="12" t="s">
        <v>758</v>
      </c>
      <c r="D85" s="15">
        <v>2015</v>
      </c>
      <c r="E85" s="74">
        <v>19</v>
      </c>
      <c r="F85" s="33">
        <v>8334.222211770475</v>
      </c>
      <c r="G85" s="33">
        <v>125.89517857957398</v>
      </c>
      <c r="H85" s="27">
        <v>0.12040946377747096</v>
      </c>
      <c r="J85" s="27"/>
      <c r="K85" s="27"/>
      <c r="L85" s="27"/>
      <c r="M85" s="27"/>
      <c r="N85" s="27"/>
      <c r="O85" s="27"/>
      <c r="P85" s="27"/>
      <c r="Q85" s="27"/>
      <c r="R85" s="15"/>
      <c r="S85" s="15"/>
      <c r="T85" s="15"/>
      <c r="U85" s="15"/>
    </row>
    <row r="86" spans="1:21" s="12" customFormat="1" ht="11.25" x14ac:dyDescent="0.2">
      <c r="B86" s="12" t="s">
        <v>758</v>
      </c>
      <c r="D86" s="15">
        <v>2025</v>
      </c>
      <c r="E86" s="74">
        <v>19</v>
      </c>
      <c r="F86" s="33">
        <v>7963.0152642194289</v>
      </c>
      <c r="G86" s="33">
        <v>125.89517857957398</v>
      </c>
      <c r="H86" s="27">
        <v>0.12438727642011957</v>
      </c>
    </row>
    <row r="87" spans="1:21" s="12" customFormat="1" ht="11.25" x14ac:dyDescent="0.2">
      <c r="B87" s="12" t="s">
        <v>758</v>
      </c>
      <c r="D87" s="15">
        <v>2040</v>
      </c>
      <c r="E87" s="74">
        <v>19</v>
      </c>
      <c r="F87" s="33">
        <v>7963.0152642194289</v>
      </c>
      <c r="G87" s="33">
        <v>125.89517857957398</v>
      </c>
      <c r="H87" s="27">
        <v>0.12438727642011957</v>
      </c>
      <c r="J87" s="27"/>
      <c r="K87" s="27"/>
      <c r="L87" s="27"/>
      <c r="M87" s="27"/>
      <c r="N87" s="27"/>
      <c r="O87" s="27"/>
      <c r="P87" s="27"/>
      <c r="Q87" s="27"/>
      <c r="R87" s="27"/>
      <c r="S87" s="27"/>
    </row>
    <row r="88" spans="1:21" s="12" customFormat="1" ht="11.25" x14ac:dyDescent="0.2">
      <c r="A88" s="78" t="s">
        <v>1541</v>
      </c>
      <c r="B88" s="78" t="s">
        <v>1133</v>
      </c>
      <c r="C88" s="78"/>
      <c r="D88" s="79">
        <v>2010</v>
      </c>
      <c r="E88" s="80">
        <v>19</v>
      </c>
      <c r="F88" s="81">
        <v>5812.2033972904501</v>
      </c>
      <c r="G88" s="81">
        <v>248.80470075014617</v>
      </c>
      <c r="H88" s="105">
        <v>6.2417562952645951E-2</v>
      </c>
      <c r="J88" s="27"/>
      <c r="K88" s="27"/>
      <c r="L88" s="27"/>
      <c r="M88" s="27"/>
      <c r="N88" s="27"/>
      <c r="O88" s="27"/>
      <c r="P88" s="27"/>
      <c r="Q88" s="27"/>
      <c r="R88" s="27"/>
      <c r="S88" s="27"/>
    </row>
    <row r="89" spans="1:21" s="12" customFormat="1" ht="11.25" x14ac:dyDescent="0.2">
      <c r="A89" s="12" t="s">
        <v>1542</v>
      </c>
      <c r="B89" s="12" t="s">
        <v>1133</v>
      </c>
      <c r="D89" s="15">
        <v>2015</v>
      </c>
      <c r="E89" s="74">
        <v>19</v>
      </c>
      <c r="F89" s="33">
        <v>5834.9327443156681</v>
      </c>
      <c r="G89" s="33">
        <v>248.80470075014617</v>
      </c>
      <c r="H89" s="27">
        <v>6.4948004693969427E-2</v>
      </c>
      <c r="J89" s="27"/>
      <c r="K89" s="27"/>
      <c r="L89" s="27"/>
      <c r="M89" s="27"/>
      <c r="N89" s="27"/>
      <c r="O89" s="27"/>
      <c r="P89" s="27"/>
      <c r="Q89" s="27"/>
      <c r="R89" s="27"/>
      <c r="S89" s="27"/>
    </row>
    <row r="90" spans="1:21" s="12" customFormat="1" ht="11.25" x14ac:dyDescent="0.2">
      <c r="B90" s="12" t="s">
        <v>1133</v>
      </c>
      <c r="D90" s="15">
        <v>2020</v>
      </c>
      <c r="E90" s="74">
        <v>19</v>
      </c>
      <c r="F90" s="33">
        <v>5908.666433634593</v>
      </c>
      <c r="G90" s="33">
        <v>248.80470075014617</v>
      </c>
      <c r="H90" s="27">
        <v>6.9730539585070805E-2</v>
      </c>
      <c r="J90" s="27"/>
      <c r="K90" s="27"/>
      <c r="L90" s="27"/>
      <c r="M90" s="27"/>
      <c r="N90" s="27"/>
      <c r="O90" s="27"/>
      <c r="P90" s="27"/>
      <c r="Q90" s="27"/>
      <c r="R90" s="27"/>
      <c r="S90" s="27"/>
    </row>
    <row r="91" spans="1:21" s="12" customFormat="1" ht="11.25" x14ac:dyDescent="0.2">
      <c r="A91" s="12" t="s">
        <v>1543</v>
      </c>
      <c r="B91" s="12" t="s">
        <v>1133</v>
      </c>
      <c r="D91" s="15">
        <v>2025</v>
      </c>
      <c r="E91" s="74">
        <v>19</v>
      </c>
      <c r="F91" s="33">
        <v>6443.5418634659982</v>
      </c>
      <c r="G91" s="33">
        <v>248.80470075014617</v>
      </c>
      <c r="H91" s="27">
        <v>7.5246902581156003E-2</v>
      </c>
      <c r="J91" s="27"/>
      <c r="K91" s="27"/>
      <c r="L91" s="27"/>
      <c r="M91" s="27"/>
      <c r="N91" s="27"/>
      <c r="O91" s="27"/>
      <c r="P91" s="27"/>
      <c r="Q91" s="27"/>
      <c r="R91" s="27"/>
      <c r="S91" s="27"/>
    </row>
    <row r="92" spans="1:21" s="12" customFormat="1" ht="11.25" x14ac:dyDescent="0.2">
      <c r="A92" s="12" t="s">
        <v>1544</v>
      </c>
      <c r="B92" s="12" t="s">
        <v>1133</v>
      </c>
      <c r="D92" s="15">
        <v>2015</v>
      </c>
      <c r="E92" s="74">
        <v>19</v>
      </c>
      <c r="F92" s="33">
        <v>6616.0099616771531</v>
      </c>
      <c r="G92" s="33">
        <v>237.85729391713974</v>
      </c>
      <c r="H92" s="27">
        <v>7.8865434271248591E-2</v>
      </c>
      <c r="J92" s="27"/>
      <c r="K92" s="27"/>
      <c r="L92" s="27"/>
      <c r="M92" s="27"/>
      <c r="N92" s="27"/>
      <c r="O92" s="27"/>
      <c r="P92" s="27"/>
      <c r="Q92" s="27"/>
      <c r="R92" s="27"/>
      <c r="S92" s="27"/>
    </row>
    <row r="93" spans="1:21" s="12" customFormat="1" ht="11.25" x14ac:dyDescent="0.2">
      <c r="B93" s="12" t="s">
        <v>1133</v>
      </c>
      <c r="D93" s="15">
        <v>2025</v>
      </c>
      <c r="E93" s="74">
        <v>19</v>
      </c>
      <c r="F93" s="33">
        <v>6935.0018972475837</v>
      </c>
      <c r="G93" s="33">
        <v>237.85729391713974</v>
      </c>
      <c r="H93" s="27">
        <v>9.961505655010118E-2</v>
      </c>
      <c r="J93" s="27"/>
      <c r="K93" s="27"/>
      <c r="L93" s="27"/>
      <c r="M93" s="27"/>
      <c r="N93" s="27"/>
      <c r="O93" s="27"/>
      <c r="P93" s="27"/>
      <c r="Q93" s="27"/>
      <c r="R93" s="27"/>
      <c r="S93" s="27"/>
    </row>
    <row r="94" spans="1:21" s="12" customFormat="1" ht="11.25" x14ac:dyDescent="0.2">
      <c r="B94" s="12" t="s">
        <v>1133</v>
      </c>
      <c r="D94" s="15">
        <v>2040</v>
      </c>
      <c r="E94" s="74">
        <v>19</v>
      </c>
      <c r="F94" s="33">
        <v>7469.8773270789898</v>
      </c>
      <c r="G94" s="33">
        <v>237.85729391713974</v>
      </c>
      <c r="H94" s="27">
        <v>0.10749316517142161</v>
      </c>
      <c r="J94" s="27"/>
      <c r="K94" s="27"/>
      <c r="L94" s="27"/>
      <c r="M94" s="27"/>
      <c r="N94" s="27"/>
      <c r="O94" s="27"/>
      <c r="P94" s="27"/>
      <c r="Q94" s="27"/>
      <c r="R94" s="27"/>
      <c r="S94" s="27"/>
    </row>
    <row r="95" spans="1:21" s="12" customFormat="1" ht="11.25" x14ac:dyDescent="0.2">
      <c r="A95" s="78" t="s">
        <v>1545</v>
      </c>
      <c r="B95" s="78" t="s">
        <v>1131</v>
      </c>
      <c r="C95" s="78"/>
      <c r="D95" s="79">
        <v>2010</v>
      </c>
      <c r="E95" s="80">
        <v>19</v>
      </c>
      <c r="F95" s="81">
        <v>6276.5914442142484</v>
      </c>
      <c r="G95" s="81">
        <v>136.84258541258041</v>
      </c>
      <c r="H95" s="105">
        <v>7.1504036192117926E-2</v>
      </c>
      <c r="J95" s="27"/>
      <c r="K95" s="27"/>
      <c r="L95" s="27"/>
      <c r="M95" s="27"/>
      <c r="N95" s="27"/>
      <c r="O95" s="27"/>
      <c r="P95" s="27"/>
      <c r="Q95" s="27"/>
      <c r="R95" s="27"/>
      <c r="S95" s="27"/>
    </row>
    <row r="96" spans="1:21" s="12" customFormat="1" ht="11.25" x14ac:dyDescent="0.2">
      <c r="A96" s="12" t="s">
        <v>1546</v>
      </c>
      <c r="B96" s="12" t="s">
        <v>1131</v>
      </c>
      <c r="D96" s="15">
        <v>2015</v>
      </c>
      <c r="E96" s="74">
        <v>19</v>
      </c>
      <c r="F96" s="33">
        <v>6295.5716205961326</v>
      </c>
      <c r="G96" s="33">
        <v>136.84258541258041</v>
      </c>
      <c r="H96" s="27">
        <v>7.5210459188554166E-2</v>
      </c>
      <c r="J96" s="27"/>
      <c r="K96" s="27"/>
      <c r="L96" s="27"/>
      <c r="M96" s="27"/>
      <c r="N96" s="27"/>
      <c r="O96" s="27"/>
      <c r="P96" s="27"/>
      <c r="Q96" s="27"/>
      <c r="R96" s="27"/>
      <c r="S96" s="27"/>
    </row>
    <row r="97" spans="1:19" s="12" customFormat="1" ht="11.25" x14ac:dyDescent="0.2">
      <c r="B97" s="12" t="s">
        <v>1131</v>
      </c>
      <c r="D97" s="15">
        <v>2020</v>
      </c>
      <c r="E97" s="74">
        <v>19</v>
      </c>
      <c r="F97" s="33">
        <v>6347.8256864376162</v>
      </c>
      <c r="G97" s="33">
        <v>136.84258541258041</v>
      </c>
      <c r="H97" s="27">
        <v>7.7965336736629975E-2</v>
      </c>
      <c r="J97" s="27"/>
      <c r="K97" s="27"/>
      <c r="L97" s="27"/>
      <c r="M97" s="27"/>
      <c r="N97" s="27"/>
      <c r="O97" s="27"/>
      <c r="P97" s="27"/>
      <c r="Q97" s="27"/>
      <c r="R97" s="27"/>
      <c r="S97" s="27"/>
    </row>
    <row r="98" spans="1:19" s="12" customFormat="1" ht="11.25" x14ac:dyDescent="0.2">
      <c r="A98" s="12" t="s">
        <v>1547</v>
      </c>
      <c r="B98" s="12" t="s">
        <v>1131</v>
      </c>
      <c r="D98" s="15">
        <v>2025</v>
      </c>
      <c r="E98" s="74">
        <v>19</v>
      </c>
      <c r="F98" s="33">
        <v>6469.2831937373276</v>
      </c>
      <c r="G98" s="33">
        <v>136.84258541258041</v>
      </c>
      <c r="H98" s="27">
        <v>8.3060709137527847E-2</v>
      </c>
      <c r="J98" s="27"/>
      <c r="K98" s="27"/>
      <c r="L98" s="27"/>
      <c r="M98" s="27"/>
      <c r="N98" s="27"/>
      <c r="O98" s="27"/>
      <c r="P98" s="27"/>
      <c r="Q98" s="27"/>
      <c r="R98" s="27"/>
      <c r="S98" s="27"/>
    </row>
    <row r="99" spans="1:19" s="12" customFormat="1" ht="11.25" x14ac:dyDescent="0.2">
      <c r="A99" s="12" t="s">
        <v>1548</v>
      </c>
      <c r="B99" s="12" t="s">
        <v>1131</v>
      </c>
      <c r="D99" s="15">
        <v>2015</v>
      </c>
      <c r="E99" s="74">
        <v>19</v>
      </c>
      <c r="F99" s="33">
        <v>6772.0677770475058</v>
      </c>
      <c r="G99" s="33">
        <v>136.84258541258041</v>
      </c>
      <c r="H99" s="27">
        <v>8.4287693955702889E-2</v>
      </c>
      <c r="J99" s="27"/>
      <c r="K99" s="27"/>
      <c r="L99" s="27"/>
      <c r="M99" s="27"/>
      <c r="N99" s="27"/>
      <c r="O99" s="27"/>
      <c r="P99" s="27"/>
      <c r="Q99" s="27"/>
      <c r="R99" s="27"/>
      <c r="S99" s="27"/>
    </row>
    <row r="100" spans="1:19" s="12" customFormat="1" ht="11.25" x14ac:dyDescent="0.2">
      <c r="B100" s="12" t="s">
        <v>1131</v>
      </c>
      <c r="D100" s="15">
        <v>2025</v>
      </c>
      <c r="E100" s="74">
        <v>19</v>
      </c>
      <c r="F100" s="33">
        <v>6936.7571272509576</v>
      </c>
      <c r="G100" s="33">
        <v>136.84258541258041</v>
      </c>
      <c r="H100" s="27">
        <v>8.7074064003825294E-2</v>
      </c>
      <c r="J100" s="27"/>
      <c r="K100" s="27"/>
      <c r="L100" s="27"/>
      <c r="M100" s="27"/>
      <c r="N100" s="27"/>
      <c r="O100" s="27"/>
      <c r="P100" s="27"/>
      <c r="Q100" s="27"/>
      <c r="R100" s="27"/>
      <c r="S100" s="27"/>
    </row>
    <row r="101" spans="1:19" s="12" customFormat="1" ht="11.25" x14ac:dyDescent="0.2">
      <c r="B101" s="12" t="s">
        <v>1131</v>
      </c>
      <c r="D101" s="15">
        <v>2040</v>
      </c>
      <c r="E101" s="74">
        <v>19</v>
      </c>
      <c r="F101" s="33">
        <v>6936.7571272509576</v>
      </c>
      <c r="G101" s="33">
        <v>136.84258541258041</v>
      </c>
      <c r="H101" s="27">
        <v>8.7074064003825294E-2</v>
      </c>
      <c r="J101" s="27"/>
      <c r="K101" s="27"/>
      <c r="L101" s="27"/>
      <c r="M101" s="27"/>
      <c r="N101" s="27"/>
      <c r="O101" s="27"/>
      <c r="P101" s="27"/>
      <c r="Q101" s="27"/>
      <c r="R101" s="27"/>
      <c r="S101" s="27"/>
    </row>
    <row r="102" spans="1:19" s="12" customFormat="1" ht="11.25" x14ac:dyDescent="0.2">
      <c r="A102" s="12" t="s">
        <v>1549</v>
      </c>
      <c r="B102" s="12" t="s">
        <v>1131</v>
      </c>
      <c r="D102" s="15">
        <v>2015</v>
      </c>
      <c r="E102" s="74">
        <v>19</v>
      </c>
      <c r="F102" s="33">
        <v>8334.222211770475</v>
      </c>
      <c r="G102" s="33">
        <v>125.89517857957398</v>
      </c>
      <c r="H102" s="27">
        <v>0.12041099136528984</v>
      </c>
      <c r="J102" s="27"/>
      <c r="K102" s="27"/>
      <c r="L102" s="27"/>
      <c r="M102" s="27"/>
      <c r="N102" s="27"/>
      <c r="O102" s="27"/>
      <c r="P102" s="27"/>
      <c r="Q102" s="27"/>
      <c r="R102" s="27"/>
      <c r="S102" s="27"/>
    </row>
    <row r="103" spans="1:19" s="12" customFormat="1" ht="11.25" x14ac:dyDescent="0.2">
      <c r="B103" s="12" t="s">
        <v>1131</v>
      </c>
      <c r="D103" s="15">
        <v>2025</v>
      </c>
      <c r="E103" s="74">
        <v>19</v>
      </c>
      <c r="F103" s="33">
        <v>7963.0925908639483</v>
      </c>
      <c r="G103" s="33">
        <v>125.89517857957398</v>
      </c>
      <c r="H103" s="27">
        <v>0.1243915200054647</v>
      </c>
      <c r="J103" s="27"/>
      <c r="K103" s="27"/>
      <c r="L103" s="27"/>
      <c r="M103" s="27"/>
      <c r="N103" s="27"/>
      <c r="O103" s="27"/>
      <c r="P103" s="27"/>
      <c r="Q103" s="27"/>
      <c r="R103" s="27"/>
      <c r="S103" s="27"/>
    </row>
    <row r="104" spans="1:19" s="12" customFormat="1" ht="11.25" x14ac:dyDescent="0.2">
      <c r="B104" s="12" t="s">
        <v>1131</v>
      </c>
      <c r="D104" s="15">
        <v>2040</v>
      </c>
      <c r="E104" s="74">
        <v>19</v>
      </c>
      <c r="F104" s="33">
        <v>7963.0925908639483</v>
      </c>
      <c r="G104" s="33">
        <v>125.89517857957398</v>
      </c>
      <c r="H104" s="27">
        <v>0.1243915200054647</v>
      </c>
      <c r="J104" s="27"/>
      <c r="K104" s="27"/>
      <c r="L104" s="27"/>
      <c r="M104" s="27"/>
      <c r="N104" s="27"/>
      <c r="O104" s="27"/>
      <c r="P104" s="27"/>
      <c r="Q104" s="27"/>
      <c r="R104" s="27"/>
      <c r="S104" s="27"/>
    </row>
    <row r="105" spans="1:19" s="12" customFormat="1" ht="11.25" x14ac:dyDescent="0.2">
      <c r="A105" s="78" t="s">
        <v>1550</v>
      </c>
      <c r="B105" s="78" t="s">
        <v>498</v>
      </c>
      <c r="C105" s="78"/>
      <c r="D105" s="79">
        <v>2010</v>
      </c>
      <c r="E105" s="80">
        <v>19</v>
      </c>
      <c r="F105" s="81">
        <v>6575.7618337437334</v>
      </c>
      <c r="G105" s="81">
        <v>248.80470075014617</v>
      </c>
      <c r="H105" s="105">
        <v>5.2445274618984843E-2</v>
      </c>
      <c r="J105" s="27"/>
      <c r="K105" s="27"/>
      <c r="L105" s="27"/>
      <c r="M105" s="27"/>
      <c r="N105" s="27"/>
      <c r="O105" s="27"/>
      <c r="P105" s="27"/>
      <c r="Q105" s="27"/>
      <c r="R105" s="27"/>
      <c r="S105" s="27"/>
    </row>
    <row r="106" spans="1:19" s="12" customFormat="1" ht="11.25" x14ac:dyDescent="0.2">
      <c r="A106" s="12" t="s">
        <v>1551</v>
      </c>
      <c r="B106" s="12" t="s">
        <v>498</v>
      </c>
      <c r="D106" s="15">
        <v>2015</v>
      </c>
      <c r="E106" s="74">
        <v>19</v>
      </c>
      <c r="F106" s="33">
        <v>6601.4771713632026</v>
      </c>
      <c r="G106" s="33">
        <v>248.80470075014617</v>
      </c>
      <c r="H106" s="27">
        <v>5.5163783702583222E-2</v>
      </c>
      <c r="J106" s="27"/>
      <c r="K106" s="27"/>
      <c r="L106" s="27"/>
      <c r="M106" s="27"/>
      <c r="N106" s="27"/>
      <c r="O106" s="27"/>
      <c r="P106" s="27"/>
      <c r="Q106" s="27"/>
      <c r="R106" s="27"/>
      <c r="S106" s="27"/>
    </row>
    <row r="107" spans="1:19" s="12" customFormat="1" x14ac:dyDescent="0.2">
      <c r="B107" s="12" t="s">
        <v>498</v>
      </c>
      <c r="D107" s="15">
        <v>2020</v>
      </c>
      <c r="E107" s="74">
        <v>19</v>
      </c>
      <c r="F107" s="33">
        <v>6684.8973731253309</v>
      </c>
      <c r="G107" s="33">
        <v>248.80470075014617</v>
      </c>
      <c r="H107" s="27">
        <v>6.0921619711943757E-2</v>
      </c>
      <c r="I107"/>
      <c r="J107" s="27"/>
      <c r="K107" s="27"/>
      <c r="L107" s="27"/>
      <c r="M107" s="27"/>
      <c r="N107" s="27"/>
      <c r="O107" s="27"/>
      <c r="P107" s="27"/>
      <c r="Q107" s="27"/>
      <c r="R107" s="27"/>
      <c r="S107" s="27"/>
    </row>
    <row r="108" spans="1:19" x14ac:dyDescent="0.2">
      <c r="A108" s="12" t="s">
        <v>1552</v>
      </c>
      <c r="B108" s="12" t="s">
        <v>498</v>
      </c>
      <c r="C108" s="12"/>
      <c r="D108" s="15">
        <v>2025</v>
      </c>
      <c r="E108" s="74">
        <v>19</v>
      </c>
      <c r="F108" s="33">
        <v>7290.0402418233361</v>
      </c>
      <c r="G108" s="33">
        <v>248.80470075014617</v>
      </c>
      <c r="H108" s="27">
        <v>6.3820237057809537E-2</v>
      </c>
    </row>
    <row r="109" spans="1:19" x14ac:dyDescent="0.2">
      <c r="A109" s="12" t="s">
        <v>1553</v>
      </c>
      <c r="B109" s="12" t="s">
        <v>498</v>
      </c>
      <c r="C109" s="12"/>
      <c r="D109" s="15">
        <v>2015</v>
      </c>
      <c r="E109" s="74">
        <v>19</v>
      </c>
      <c r="F109" s="33">
        <v>7843.9564450542357</v>
      </c>
      <c r="G109" s="33">
        <v>237.85729391713974</v>
      </c>
      <c r="H109" s="27">
        <v>6.644759114877466E-2</v>
      </c>
    </row>
    <row r="110" spans="1:19" x14ac:dyDescent="0.2">
      <c r="A110" s="12"/>
      <c r="B110" s="12" t="s">
        <v>498</v>
      </c>
      <c r="C110" s="12"/>
      <c r="D110" s="15">
        <v>2025</v>
      </c>
      <c r="E110" s="74">
        <v>19</v>
      </c>
      <c r="F110" s="33">
        <v>8162.9154191660937</v>
      </c>
      <c r="G110" s="33">
        <v>237.85729391713974</v>
      </c>
      <c r="H110" s="27">
        <v>8.3923482870590704E-2</v>
      </c>
    </row>
    <row r="111" spans="1:19" x14ac:dyDescent="0.2">
      <c r="A111" s="12"/>
      <c r="B111" s="12" t="s">
        <v>498</v>
      </c>
      <c r="C111" s="12"/>
      <c r="D111" s="15">
        <v>2040</v>
      </c>
      <c r="E111" s="74">
        <v>19</v>
      </c>
      <c r="F111" s="33">
        <v>8697.8236542406285</v>
      </c>
      <c r="G111" s="33">
        <v>237.85729391713974</v>
      </c>
      <c r="H111" s="27">
        <v>9.0561009715803234E-2</v>
      </c>
    </row>
    <row r="112" spans="1:19" x14ac:dyDescent="0.2">
      <c r="A112" s="78" t="s">
        <v>1554</v>
      </c>
      <c r="B112" s="78" t="s">
        <v>499</v>
      </c>
      <c r="C112" s="78"/>
      <c r="D112" s="79">
        <v>2010</v>
      </c>
      <c r="E112" s="80">
        <v>19</v>
      </c>
      <c r="F112" s="81">
        <v>6193.9826155170922</v>
      </c>
      <c r="G112" s="81">
        <v>248.80470075014617</v>
      </c>
      <c r="H112" s="105">
        <v>6.7978151294823944E-2</v>
      </c>
    </row>
    <row r="113" spans="1:26" x14ac:dyDescent="0.2">
      <c r="A113" s="12" t="s">
        <v>1555</v>
      </c>
      <c r="B113" s="12" t="s">
        <v>499</v>
      </c>
      <c r="C113" s="12"/>
      <c r="D113" s="15">
        <v>2015</v>
      </c>
      <c r="E113" s="74">
        <v>19</v>
      </c>
      <c r="F113" s="33">
        <v>6218.2049578394353</v>
      </c>
      <c r="G113" s="33">
        <v>248.80470075014617</v>
      </c>
      <c r="H113" s="27">
        <v>7.1501809491368279E-2</v>
      </c>
    </row>
    <row r="114" spans="1:26" x14ac:dyDescent="0.2">
      <c r="A114" s="12"/>
      <c r="B114" s="12" t="s">
        <v>499</v>
      </c>
      <c r="C114" s="12"/>
      <c r="D114" s="15">
        <v>2020</v>
      </c>
      <c r="E114" s="74">
        <v>19</v>
      </c>
      <c r="F114" s="33">
        <v>6296.7819033799624</v>
      </c>
      <c r="G114" s="33">
        <v>248.80470075014617</v>
      </c>
      <c r="H114" s="27">
        <v>7.8964961323800653E-2</v>
      </c>
    </row>
    <row r="115" spans="1:26" x14ac:dyDescent="0.2">
      <c r="A115" s="12" t="s">
        <v>1556</v>
      </c>
      <c r="B115" s="12" t="s">
        <v>499</v>
      </c>
      <c r="C115" s="12"/>
      <c r="D115" s="15">
        <v>2025</v>
      </c>
      <c r="E115" s="74">
        <v>19</v>
      </c>
      <c r="F115" s="33">
        <v>6866.7910526446676</v>
      </c>
      <c r="G115" s="33">
        <v>248.80470075014617</v>
      </c>
      <c r="H115" s="27">
        <v>8.2722070995064262E-2</v>
      </c>
    </row>
    <row r="116" spans="1:26" x14ac:dyDescent="0.2">
      <c r="A116" s="12" t="s">
        <v>1557</v>
      </c>
      <c r="B116" s="12" t="s">
        <v>499</v>
      </c>
      <c r="C116" s="12"/>
      <c r="D116" s="15">
        <v>2015</v>
      </c>
      <c r="E116" s="74">
        <v>19</v>
      </c>
      <c r="F116" s="33">
        <v>6997.7891799037952</v>
      </c>
      <c r="G116" s="33">
        <v>237.85729391713974</v>
      </c>
      <c r="H116" s="27">
        <v>8.6127576547247009E-2</v>
      </c>
    </row>
    <row r="117" spans="1:26" ht="14.25" customHeight="1" x14ac:dyDescent="0.2">
      <c r="A117" s="12"/>
      <c r="B117" s="12" t="s">
        <v>499</v>
      </c>
      <c r="C117" s="12"/>
      <c r="D117" s="15">
        <v>2025</v>
      </c>
      <c r="E117" s="74">
        <v>19</v>
      </c>
      <c r="F117" s="33">
        <v>7316.7481540156523</v>
      </c>
      <c r="G117" s="33">
        <v>237.85729391713974</v>
      </c>
      <c r="H117" s="27">
        <v>0.10877935633309516</v>
      </c>
    </row>
    <row r="118" spans="1:26" ht="14.25" customHeight="1" x14ac:dyDescent="0.2">
      <c r="A118" s="12"/>
      <c r="B118" s="12" t="s">
        <v>499</v>
      </c>
      <c r="C118" s="12"/>
      <c r="D118" s="15">
        <v>2040</v>
      </c>
      <c r="E118" s="74">
        <v>19</v>
      </c>
      <c r="F118" s="33">
        <v>7851.6563890901871</v>
      </c>
      <c r="G118" s="33">
        <v>237.85729391713974</v>
      </c>
      <c r="H118" s="27">
        <v>0.1173827397148265</v>
      </c>
    </row>
    <row r="119" spans="1:26" x14ac:dyDescent="0.2">
      <c r="A119" s="78" t="s">
        <v>1558</v>
      </c>
      <c r="B119" s="78" t="s">
        <v>1133</v>
      </c>
      <c r="C119" s="106"/>
      <c r="D119" s="79">
        <v>2005</v>
      </c>
      <c r="E119" s="80">
        <v>19</v>
      </c>
      <c r="F119" s="106"/>
      <c r="G119" s="81">
        <f>G88</f>
        <v>248.80470075014617</v>
      </c>
      <c r="H119" s="105">
        <f>'AEO Data'!D15/('AEO Data'!D30*'Conv Factors'!B13)</f>
        <v>5.9575136530156454E-2</v>
      </c>
    </row>
    <row r="120" spans="1:26" x14ac:dyDescent="0.2">
      <c r="A120" s="78" t="s">
        <v>1559</v>
      </c>
      <c r="B120" s="78" t="s">
        <v>758</v>
      </c>
      <c r="C120" s="106"/>
      <c r="D120" s="79">
        <v>2005</v>
      </c>
      <c r="E120" s="80">
        <v>19</v>
      </c>
      <c r="F120" s="106"/>
      <c r="G120" s="81">
        <f>G78</f>
        <v>136.84258541258041</v>
      </c>
      <c r="H120" s="105">
        <f>'AEO Data'!D14/('AEO Data'!D29*'Conv Factors'!B13)</f>
        <v>6.0890110280658251E-2</v>
      </c>
    </row>
    <row r="121" spans="1:26" x14ac:dyDescent="0.2">
      <c r="A121" s="78" t="s">
        <v>1560</v>
      </c>
      <c r="B121" s="78" t="s">
        <v>499</v>
      </c>
      <c r="C121" s="658"/>
      <c r="D121" s="79">
        <v>2005</v>
      </c>
      <c r="E121" s="80">
        <v>19</v>
      </c>
      <c r="F121" s="106"/>
      <c r="G121" s="81">
        <f>G105</f>
        <v>248.80470075014617</v>
      </c>
      <c r="H121" s="105">
        <f>'AEO Data'!D16/('AEO Data'!D31*'Conv Factors'!B13)</f>
        <v>5.3551660595109893E-2</v>
      </c>
    </row>
    <row r="122" spans="1:26" x14ac:dyDescent="0.2">
      <c r="A122" s="78" t="s">
        <v>1561</v>
      </c>
      <c r="B122" s="78" t="s">
        <v>498</v>
      </c>
      <c r="C122" s="106"/>
      <c r="D122" s="79">
        <v>2005</v>
      </c>
      <c r="E122" s="80">
        <v>19</v>
      </c>
      <c r="F122" s="106"/>
      <c r="G122" s="81">
        <f>G112</f>
        <v>248.80470075014617</v>
      </c>
      <c r="H122" s="105">
        <f>'AEO Data'!D17/('AEO Data'!D32*'Conv Factors'!B13)</f>
        <v>4.8739793512911696E-2</v>
      </c>
    </row>
    <row r="124" spans="1:26" x14ac:dyDescent="0.2">
      <c r="A124" s="12" t="s">
        <v>1562</v>
      </c>
      <c r="B124" s="12"/>
      <c r="C124" s="12"/>
      <c r="D124" s="77"/>
      <c r="E124" s="44"/>
      <c r="F124" s="12"/>
      <c r="G124" s="12"/>
    </row>
    <row r="125" spans="1:26" x14ac:dyDescent="0.2">
      <c r="A125" s="12" t="s">
        <v>1563</v>
      </c>
    </row>
    <row r="127" spans="1:26" x14ac:dyDescent="0.2">
      <c r="A127" s="132" t="s">
        <v>1564</v>
      </c>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9" spans="1:14" x14ac:dyDescent="0.2">
      <c r="A129" s="42"/>
      <c r="B129" s="42"/>
      <c r="C129" s="28"/>
      <c r="D129" s="70"/>
      <c r="E129" s="70"/>
      <c r="F129" s="28" t="s">
        <v>476</v>
      </c>
      <c r="G129" s="28" t="s">
        <v>477</v>
      </c>
      <c r="H129" s="28" t="s">
        <v>475</v>
      </c>
      <c r="I129" t="s">
        <v>475</v>
      </c>
      <c r="J129" s="27"/>
      <c r="K129" s="15">
        <v>2010</v>
      </c>
      <c r="L129" s="15">
        <v>2015</v>
      </c>
      <c r="M129" s="15">
        <v>2025</v>
      </c>
      <c r="N129" s="15">
        <v>2040</v>
      </c>
    </row>
    <row r="130" spans="1:14" ht="33.75" x14ac:dyDescent="0.2">
      <c r="A130" s="53" t="s">
        <v>1565</v>
      </c>
      <c r="B130" s="34" t="s">
        <v>495</v>
      </c>
      <c r="C130" s="85"/>
      <c r="D130" s="71" t="s">
        <v>1479</v>
      </c>
      <c r="E130" s="72" t="s">
        <v>474</v>
      </c>
      <c r="F130" s="73" t="s">
        <v>1481</v>
      </c>
      <c r="G130" s="73" t="s">
        <v>1481</v>
      </c>
      <c r="H130" s="73" t="s">
        <v>1531</v>
      </c>
      <c r="I130" t="s">
        <v>1531</v>
      </c>
      <c r="J130" s="27" t="s">
        <v>1322</v>
      </c>
      <c r="K130" s="27" t="e">
        <f>H131</f>
        <v>#REF!</v>
      </c>
      <c r="L130" s="27" t="e">
        <f>H132</f>
        <v>#REF!</v>
      </c>
      <c r="M130" s="27" t="e">
        <f>H134</f>
        <v>#REF!</v>
      </c>
      <c r="N130" s="27" t="e">
        <f>H135</f>
        <v>#REF!</v>
      </c>
    </row>
    <row r="131" spans="1:14" x14ac:dyDescent="0.2">
      <c r="A131" s="78" t="str">
        <f>Technologies!D145</f>
        <v>Heavy Truck, Short Haul, Conventional Diesel 2010</v>
      </c>
      <c r="B131" s="78" t="s">
        <v>758</v>
      </c>
      <c r="C131" s="78"/>
      <c r="D131" s="79">
        <v>2010</v>
      </c>
      <c r="E131" s="81">
        <v>19</v>
      </c>
      <c r="F131" s="81">
        <v>4606.0861228089634</v>
      </c>
      <c r="G131" s="81">
        <v>165.78108395324125</v>
      </c>
      <c r="H131" s="105" t="e">
        <f>THS!G5</f>
        <v>#REF!</v>
      </c>
      <c r="I131" s="27">
        <v>4.0092266116805372E-2</v>
      </c>
      <c r="J131" s="27" t="s">
        <v>1533</v>
      </c>
      <c r="K131" s="27"/>
      <c r="L131" s="27" t="e">
        <f>H136</f>
        <v>#REF!</v>
      </c>
      <c r="M131" s="27" t="e">
        <f>H137</f>
        <v>#REF!</v>
      </c>
      <c r="N131" s="27">
        <f>H140</f>
        <v>6.2047733885329429E-2</v>
      </c>
    </row>
    <row r="132" spans="1:14" x14ac:dyDescent="0.2">
      <c r="A132" s="12" t="str">
        <f>Technologies!D146</f>
        <v>Heavy Truck, Short Haul, Conv. Diesel</v>
      </c>
      <c r="B132" s="12" t="s">
        <v>758</v>
      </c>
      <c r="C132" s="12"/>
      <c r="D132" s="15">
        <v>2015</v>
      </c>
      <c r="E132" s="33">
        <v>19</v>
      </c>
      <c r="F132" s="33">
        <v>4701.3380799369525</v>
      </c>
      <c r="G132" s="33">
        <v>165.78108395324125</v>
      </c>
      <c r="H132" s="27" t="e">
        <f>I132*$H$131/$I$131</f>
        <v>#REF!</v>
      </c>
      <c r="I132" s="27">
        <v>4.3863447518935846E-2</v>
      </c>
      <c r="J132" s="27" t="s">
        <v>1538</v>
      </c>
      <c r="K132" s="27">
        <f>H141</f>
        <v>4.0063961642811542E-2</v>
      </c>
      <c r="L132" s="27">
        <f>H142</f>
        <v>4.3832480653506929E-2</v>
      </c>
      <c r="M132" s="27">
        <f>H144</f>
        <v>4.5385378613801756E-2</v>
      </c>
      <c r="N132" s="27">
        <f>H145</f>
        <v>4.6306909144031239E-2</v>
      </c>
    </row>
    <row r="133" spans="1:14" x14ac:dyDescent="0.2">
      <c r="A133" s="12"/>
      <c r="B133" s="12" t="s">
        <v>758</v>
      </c>
      <c r="C133" s="12"/>
      <c r="D133" s="15">
        <v>2020</v>
      </c>
      <c r="E133" s="33">
        <v>19</v>
      </c>
      <c r="F133" s="33">
        <v>4701.3380799369525</v>
      </c>
      <c r="G133" s="33">
        <v>165.78108395324125</v>
      </c>
      <c r="H133" s="27" t="e">
        <f t="shared" ref="H133:H166" si="0">I133*$H$131/$I$131</f>
        <v>#REF!</v>
      </c>
      <c r="I133" s="27">
        <v>4.3863447518935846E-2</v>
      </c>
      <c r="J133" s="27" t="s">
        <v>498</v>
      </c>
      <c r="K133" s="27" t="e">
        <f>H151</f>
        <v>#REF!</v>
      </c>
      <c r="L133" s="27" t="e">
        <f>H152</f>
        <v>#REF!</v>
      </c>
      <c r="M133" s="27" t="e">
        <f>H154</f>
        <v>#REF!</v>
      </c>
      <c r="N133" s="27" t="e">
        <f>H155</f>
        <v>#REF!</v>
      </c>
    </row>
    <row r="134" spans="1:14" x14ac:dyDescent="0.2">
      <c r="A134" s="12" t="str">
        <f>Technologies!D147</f>
        <v>Heavy Truck, Short Haul, Improved Diesel</v>
      </c>
      <c r="B134" s="12" t="s">
        <v>758</v>
      </c>
      <c r="C134" s="12"/>
      <c r="D134" s="15">
        <v>2025</v>
      </c>
      <c r="E134" s="33">
        <v>19</v>
      </c>
      <c r="F134" s="33">
        <v>4729.3691781178795</v>
      </c>
      <c r="G134" s="33">
        <v>165.78108395324125</v>
      </c>
      <c r="H134" s="27" t="e">
        <f t="shared" si="0"/>
        <v>#REF!</v>
      </c>
      <c r="I134" s="27">
        <v>4.5383924166125855E-2</v>
      </c>
      <c r="J134" s="27"/>
      <c r="L134" s="27"/>
      <c r="M134" s="27"/>
      <c r="N134" s="27"/>
    </row>
    <row r="135" spans="1:14" x14ac:dyDescent="0.2">
      <c r="A135" s="12"/>
      <c r="B135" s="12" t="s">
        <v>758</v>
      </c>
      <c r="C135" s="12"/>
      <c r="D135" s="15">
        <v>2040</v>
      </c>
      <c r="E135" s="33">
        <v>19</v>
      </c>
      <c r="F135" s="33">
        <v>4767.6178468587577</v>
      </c>
      <c r="G135" s="33">
        <v>165.78108395324125</v>
      </c>
      <c r="H135" s="27" t="e">
        <f t="shared" si="0"/>
        <v>#REF!</v>
      </c>
      <c r="I135" s="27">
        <v>4.6305425164422827E-2</v>
      </c>
      <c r="K135" s="27"/>
      <c r="L135" s="27"/>
      <c r="M135" s="27"/>
      <c r="N135" s="27"/>
    </row>
    <row r="136" spans="1:14" x14ac:dyDescent="0.2">
      <c r="A136" s="78" t="str">
        <f>Technologies!D148</f>
        <v>Heavy Truck, Short Haul, Advanced Diesel</v>
      </c>
      <c r="B136" s="78" t="s">
        <v>758</v>
      </c>
      <c r="C136" s="78"/>
      <c r="D136" s="79">
        <v>2015</v>
      </c>
      <c r="E136" s="81">
        <v>19</v>
      </c>
      <c r="F136" s="81">
        <v>4831.9482088710984</v>
      </c>
      <c r="G136" s="81">
        <v>165.78108395324125</v>
      </c>
      <c r="H136" s="27" t="e">
        <f t="shared" si="0"/>
        <v>#REF!</v>
      </c>
      <c r="I136" s="27">
        <v>4.5998258164990508E-2</v>
      </c>
      <c r="J136" s="27"/>
      <c r="K136" s="27"/>
      <c r="L136" s="27"/>
      <c r="M136" s="27"/>
      <c r="N136" s="27"/>
    </row>
    <row r="137" spans="1:14" x14ac:dyDescent="0.2">
      <c r="A137" s="12"/>
      <c r="B137" s="12" t="s">
        <v>758</v>
      </c>
      <c r="C137" s="12"/>
      <c r="D137" s="15">
        <v>2025</v>
      </c>
      <c r="E137" s="33">
        <v>19</v>
      </c>
      <c r="F137" s="33">
        <v>5078.3126569120868</v>
      </c>
      <c r="G137" s="33">
        <v>165.78108395324125</v>
      </c>
      <c r="H137" s="27" t="e">
        <f t="shared" si="0"/>
        <v>#REF!</v>
      </c>
      <c r="I137" s="27">
        <v>4.6689383913713231E-2</v>
      </c>
    </row>
    <row r="138" spans="1:14" x14ac:dyDescent="0.2">
      <c r="A138" s="12" t="str">
        <f>Technologies!D149</f>
        <v>Heavy Truck, Short Haul, Hybrid Diesel</v>
      </c>
      <c r="B138" s="12" t="s">
        <v>758</v>
      </c>
      <c r="C138" s="12"/>
      <c r="D138" s="15">
        <v>2015</v>
      </c>
      <c r="E138" s="33">
        <v>19</v>
      </c>
      <c r="F138" s="33">
        <v>5813.3727494982322</v>
      </c>
      <c r="G138" s="33">
        <v>153.02869287991498</v>
      </c>
      <c r="H138" s="27">
        <f>I138</f>
        <v>6.1126232887032457E-2</v>
      </c>
      <c r="I138" s="27">
        <v>6.1126232887032457E-2</v>
      </c>
    </row>
    <row r="139" spans="1:14" x14ac:dyDescent="0.2">
      <c r="A139" s="12"/>
      <c r="B139" s="12" t="s">
        <v>758</v>
      </c>
      <c r="C139" s="12"/>
      <c r="D139" s="15">
        <v>2025</v>
      </c>
      <c r="E139" s="33">
        <v>19</v>
      </c>
      <c r="F139" s="33">
        <v>5399.9644669737891</v>
      </c>
      <c r="G139" s="33">
        <v>153.02869287991498</v>
      </c>
      <c r="H139" s="27">
        <f t="shared" ref="H139:H150" si="1">I139</f>
        <v>6.1126232887032457E-2</v>
      </c>
      <c r="I139" s="27">
        <v>6.1126232887032457E-2</v>
      </c>
    </row>
    <row r="140" spans="1:14" x14ac:dyDescent="0.2">
      <c r="A140" s="12"/>
      <c r="B140" s="12" t="s">
        <v>758</v>
      </c>
      <c r="C140" s="12"/>
      <c r="D140" s="15">
        <v>2040</v>
      </c>
      <c r="E140" s="33">
        <v>19</v>
      </c>
      <c r="F140" s="33">
        <v>5723.2631880796935</v>
      </c>
      <c r="G140" s="33">
        <v>153.02869287991498</v>
      </c>
      <c r="H140" s="27">
        <f t="shared" si="1"/>
        <v>6.2047733885329429E-2</v>
      </c>
      <c r="I140" s="27">
        <v>6.2047733885329429E-2</v>
      </c>
    </row>
    <row r="141" spans="1:14" x14ac:dyDescent="0.2">
      <c r="A141" s="78" t="str">
        <f>Technologies!D156</f>
        <v>Heavy Truck, Short Haul, Conventional B20 2010</v>
      </c>
      <c r="B141" s="78" t="s">
        <v>1131</v>
      </c>
      <c r="C141" s="78"/>
      <c r="D141" s="79">
        <v>2010</v>
      </c>
      <c r="E141" s="81">
        <v>19</v>
      </c>
      <c r="F141" s="81">
        <v>4606.0861228089634</v>
      </c>
      <c r="G141" s="81">
        <v>165.78108395324125</v>
      </c>
      <c r="H141" s="27">
        <f t="shared" si="1"/>
        <v>4.0063961642811542E-2</v>
      </c>
      <c r="I141" s="27">
        <v>4.0063961642811542E-2</v>
      </c>
    </row>
    <row r="142" spans="1:14" x14ac:dyDescent="0.2">
      <c r="A142" s="12" t="str">
        <f>Technologies!D157</f>
        <v>Heavy Truck, Short Haul, Conventional B20</v>
      </c>
      <c r="B142" s="12" t="s">
        <v>1131</v>
      </c>
      <c r="C142" s="12"/>
      <c r="D142" s="15">
        <v>2015</v>
      </c>
      <c r="E142" s="33">
        <v>19</v>
      </c>
      <c r="F142" s="33">
        <v>4701.3380799369525</v>
      </c>
      <c r="G142" s="33">
        <v>165.78108395324125</v>
      </c>
      <c r="H142" s="27">
        <f t="shared" si="1"/>
        <v>4.3832480653506929E-2</v>
      </c>
      <c r="I142" s="27">
        <v>4.3832480653506929E-2</v>
      </c>
    </row>
    <row r="143" spans="1:14" x14ac:dyDescent="0.2">
      <c r="A143" s="12"/>
      <c r="B143" s="12" t="s">
        <v>1131</v>
      </c>
      <c r="C143" s="12"/>
      <c r="D143" s="15">
        <v>2020</v>
      </c>
      <c r="E143" s="33">
        <v>19</v>
      </c>
      <c r="F143" s="33">
        <v>4701.3380799369525</v>
      </c>
      <c r="G143" s="33">
        <v>165.78108395324125</v>
      </c>
      <c r="H143" s="27">
        <f t="shared" si="1"/>
        <v>4.3832480653506929E-2</v>
      </c>
      <c r="I143" s="27">
        <v>4.3832480653506929E-2</v>
      </c>
    </row>
    <row r="144" spans="1:14" x14ac:dyDescent="0.2">
      <c r="A144" s="12" t="str">
        <f>Technologies!D158</f>
        <v>Heavy Truck, Short Haul, Improved B20</v>
      </c>
      <c r="B144" s="12" t="s">
        <v>1131</v>
      </c>
      <c r="C144" s="12"/>
      <c r="D144" s="15">
        <v>2025</v>
      </c>
      <c r="E144" s="33">
        <v>19</v>
      </c>
      <c r="F144" s="33">
        <v>4729.3691781178795</v>
      </c>
      <c r="G144" s="33">
        <v>165.78108395324125</v>
      </c>
      <c r="H144" s="27">
        <f t="shared" si="1"/>
        <v>4.5385378613801756E-2</v>
      </c>
      <c r="I144" s="27">
        <v>4.5385378613801756E-2</v>
      </c>
    </row>
    <row r="145" spans="1:9" x14ac:dyDescent="0.2">
      <c r="A145" s="12"/>
      <c r="B145" s="12" t="s">
        <v>1131</v>
      </c>
      <c r="C145" s="12"/>
      <c r="D145" s="15">
        <v>2040</v>
      </c>
      <c r="E145" s="33">
        <v>19</v>
      </c>
      <c r="F145" s="33">
        <v>4767.6178468587577</v>
      </c>
      <c r="G145" s="33">
        <v>165.78108395324125</v>
      </c>
      <c r="H145" s="27">
        <f t="shared" si="1"/>
        <v>4.6306909144031239E-2</v>
      </c>
      <c r="I145" s="27">
        <v>4.6306909144031239E-2</v>
      </c>
    </row>
    <row r="146" spans="1:9" x14ac:dyDescent="0.2">
      <c r="A146" s="12" t="s">
        <v>1566</v>
      </c>
      <c r="B146" s="12" t="s">
        <v>1131</v>
      </c>
      <c r="C146" s="12"/>
      <c r="D146" s="15">
        <v>2015</v>
      </c>
      <c r="E146" s="33">
        <v>19</v>
      </c>
      <c r="F146" s="33">
        <v>4831.9482088710984</v>
      </c>
      <c r="G146" s="33">
        <v>165.78108395324125</v>
      </c>
      <c r="H146" s="27">
        <f t="shared" si="1"/>
        <v>4.603052755709499E-2</v>
      </c>
      <c r="I146" s="27">
        <v>4.603052755709499E-2</v>
      </c>
    </row>
    <row r="147" spans="1:9" x14ac:dyDescent="0.2">
      <c r="A147" s="12"/>
      <c r="B147" s="12" t="s">
        <v>1131</v>
      </c>
      <c r="C147" s="12"/>
      <c r="D147" s="15">
        <v>2025</v>
      </c>
      <c r="E147" s="33">
        <v>19</v>
      </c>
      <c r="F147" s="33">
        <v>5078.3160179550359</v>
      </c>
      <c r="G147" s="33">
        <v>165.78108395324125</v>
      </c>
      <c r="H147" s="27">
        <f t="shared" si="1"/>
        <v>4.6706368712362882E-2</v>
      </c>
      <c r="I147" s="27">
        <v>4.6706368712362882E-2</v>
      </c>
    </row>
    <row r="148" spans="1:9" x14ac:dyDescent="0.2">
      <c r="A148" s="12" t="s">
        <v>1567</v>
      </c>
      <c r="B148" s="12" t="s">
        <v>1131</v>
      </c>
      <c r="C148" s="12"/>
      <c r="D148" s="15">
        <v>2015</v>
      </c>
      <c r="E148" s="33">
        <v>19</v>
      </c>
      <c r="F148" s="33">
        <v>5813.3727494982331</v>
      </c>
      <c r="G148" s="33">
        <v>153.02869287991498</v>
      </c>
      <c r="H148" s="27">
        <f t="shared" si="1"/>
        <v>6.1154843754426196E-2</v>
      </c>
      <c r="I148" s="27">
        <v>6.1154843754426196E-2</v>
      </c>
    </row>
    <row r="149" spans="1:9" x14ac:dyDescent="0.2">
      <c r="A149" s="12"/>
      <c r="B149" s="12" t="s">
        <v>1131</v>
      </c>
      <c r="C149" s="12"/>
      <c r="D149" s="15">
        <v>2025</v>
      </c>
      <c r="E149" s="33">
        <v>19</v>
      </c>
      <c r="F149" s="33">
        <v>5399.9644669737891</v>
      </c>
      <c r="G149" s="33">
        <v>153.02869287991498</v>
      </c>
      <c r="H149" s="27">
        <f t="shared" si="1"/>
        <v>6.1154843754426196E-2</v>
      </c>
      <c r="I149" s="27">
        <v>6.1154843754426196E-2</v>
      </c>
    </row>
    <row r="150" spans="1:9" x14ac:dyDescent="0.2">
      <c r="A150" s="12"/>
      <c r="B150" s="12" t="s">
        <v>1131</v>
      </c>
      <c r="C150" s="12"/>
      <c r="D150" s="15">
        <v>2040</v>
      </c>
      <c r="E150" s="33">
        <v>19</v>
      </c>
      <c r="F150" s="33">
        <v>5723.279993294429</v>
      </c>
      <c r="G150" s="33">
        <v>153.02869287991498</v>
      </c>
      <c r="H150" s="27">
        <f t="shared" si="1"/>
        <v>6.2052747003567818E-2</v>
      </c>
      <c r="I150" s="27">
        <v>6.2052747003567818E-2</v>
      </c>
    </row>
    <row r="151" spans="1:9" x14ac:dyDescent="0.2">
      <c r="A151" s="78" t="str">
        <f>Technologies!D161</f>
        <v>Heavy Truck, Short Haul, Conventional CNG 2010</v>
      </c>
      <c r="B151" s="78" t="s">
        <v>498</v>
      </c>
      <c r="C151" s="78"/>
      <c r="D151" s="79">
        <v>2010</v>
      </c>
      <c r="E151" s="81">
        <v>19</v>
      </c>
      <c r="F151" s="81">
        <v>4952.9055905125924</v>
      </c>
      <c r="G151" s="81">
        <v>248.80470075014617</v>
      </c>
      <c r="H151" s="27" t="e">
        <f t="shared" si="0"/>
        <v>#REF!</v>
      </c>
      <c r="I151" s="27">
        <v>3.9734299455048187E-2</v>
      </c>
    </row>
    <row r="152" spans="1:9" x14ac:dyDescent="0.2">
      <c r="A152" s="12" t="str">
        <f>Technologies!D162</f>
        <v>Heavy Truck, Short Haul, Conventional CNG</v>
      </c>
      <c r="B152" s="12" t="s">
        <v>498</v>
      </c>
      <c r="C152" s="12"/>
      <c r="D152" s="15">
        <v>2015</v>
      </c>
      <c r="E152" s="33">
        <v>19</v>
      </c>
      <c r="F152" s="33">
        <v>5048.1575476405824</v>
      </c>
      <c r="G152" s="33">
        <v>248.80470075014617</v>
      </c>
      <c r="H152" s="27" t="e">
        <f t="shared" si="0"/>
        <v>#REF!</v>
      </c>
      <c r="I152" s="27">
        <v>4.3471809594659641E-2</v>
      </c>
    </row>
    <row r="153" spans="1:9" x14ac:dyDescent="0.2">
      <c r="A153" s="12"/>
      <c r="B153" s="12" t="s">
        <v>498</v>
      </c>
      <c r="C153" s="12"/>
      <c r="D153" s="15">
        <v>2020</v>
      </c>
      <c r="E153" s="33">
        <v>19</v>
      </c>
      <c r="F153" s="33">
        <f>0.5*(F152+F154)</f>
        <v>5062.173096731045</v>
      </c>
      <c r="G153" s="33">
        <v>248.80470075014617</v>
      </c>
      <c r="H153" s="27" t="e">
        <f t="shared" si="0"/>
        <v>#REF!</v>
      </c>
      <c r="I153" s="27">
        <v>4.3471809594659641E-2</v>
      </c>
    </row>
    <row r="154" spans="1:9" x14ac:dyDescent="0.2">
      <c r="A154" s="12" t="str">
        <f>Technologies!D164</f>
        <v>Heavy Truck, Short Haul, Improved CNG</v>
      </c>
      <c r="B154" s="12" t="s">
        <v>498</v>
      </c>
      <c r="C154" s="12"/>
      <c r="D154" s="15">
        <v>2025</v>
      </c>
      <c r="E154" s="33">
        <v>19</v>
      </c>
      <c r="F154" s="33">
        <v>5076.1886458215085</v>
      </c>
      <c r="G154" s="33">
        <v>248.80470075014617</v>
      </c>
      <c r="H154" s="27" t="e">
        <f t="shared" si="0"/>
        <v>#REF!</v>
      </c>
      <c r="I154" s="27">
        <v>4.4978710557499732E-2</v>
      </c>
    </row>
    <row r="155" spans="1:9" x14ac:dyDescent="0.2">
      <c r="A155" s="12"/>
      <c r="B155" s="12" t="s">
        <v>498</v>
      </c>
      <c r="C155" s="12"/>
      <c r="D155" s="15">
        <v>2040</v>
      </c>
      <c r="E155" s="33">
        <v>19</v>
      </c>
      <c r="F155" s="33">
        <v>5114.4373145623867</v>
      </c>
      <c r="G155" s="33">
        <v>248.80470075014617</v>
      </c>
      <c r="H155" s="27" t="e">
        <f t="shared" si="0"/>
        <v>#REF!</v>
      </c>
      <c r="I155" s="27">
        <v>4.589198386831192E-2</v>
      </c>
    </row>
    <row r="156" spans="1:9" x14ac:dyDescent="0.2">
      <c r="A156" s="12" t="str">
        <f>Technologies!D166</f>
        <v>Heavy Truck, Short Haul, Advanced CNG</v>
      </c>
      <c r="B156" s="12" t="s">
        <v>498</v>
      </c>
      <c r="C156" s="12"/>
      <c r="D156" s="15">
        <v>2015</v>
      </c>
      <c r="E156" s="33">
        <v>19</v>
      </c>
      <c r="F156" s="33">
        <v>5203.9040663373789</v>
      </c>
      <c r="G156" s="33">
        <v>248.80470075014617</v>
      </c>
      <c r="H156" s="27" t="e">
        <f t="shared" si="0"/>
        <v>#REF!</v>
      </c>
      <c r="I156" s="27">
        <v>4.6606162644128361E-2</v>
      </c>
    </row>
    <row r="157" spans="1:9" x14ac:dyDescent="0.2">
      <c r="A157" s="12"/>
      <c r="B157" s="12" t="s">
        <v>498</v>
      </c>
      <c r="C157" s="12"/>
      <c r="D157" s="15">
        <v>2025</v>
      </c>
      <c r="E157" s="33">
        <v>19</v>
      </c>
      <c r="F157" s="33">
        <v>5568.5301715239375</v>
      </c>
      <c r="G157" s="33">
        <v>248.80470075014617</v>
      </c>
      <c r="H157" s="27" t="e">
        <f t="shared" si="0"/>
        <v>#REF!</v>
      </c>
      <c r="I157" s="27">
        <v>4.766210176769458E-2</v>
      </c>
    </row>
    <row r="158" spans="1:9" x14ac:dyDescent="0.2">
      <c r="A158" s="12"/>
      <c r="B158" s="12" t="s">
        <v>498</v>
      </c>
      <c r="C158" s="12"/>
      <c r="D158" s="15">
        <v>2040</v>
      </c>
      <c r="E158" s="33">
        <v>19</v>
      </c>
      <c r="F158" s="33">
        <v>5412.8970778467474</v>
      </c>
      <c r="G158" s="33">
        <v>248.80470075014617</v>
      </c>
      <c r="H158" s="27" t="e">
        <f t="shared" si="0"/>
        <v>#REF!</v>
      </c>
      <c r="I158" s="27">
        <v>4.766210176769458E-2</v>
      </c>
    </row>
    <row r="159" spans="1:9" x14ac:dyDescent="0.2">
      <c r="A159" s="12" t="str">
        <f>Technologies!D168</f>
        <v>Heavy Truck, Short Haul, Hybrid CNG</v>
      </c>
      <c r="B159" s="12" t="s">
        <v>498</v>
      </c>
      <c r="C159" s="12"/>
      <c r="D159" s="15">
        <v>2015</v>
      </c>
      <c r="E159" s="33">
        <v>19</v>
      </c>
      <c r="F159" s="33">
        <v>6185.328606964511</v>
      </c>
      <c r="G159" s="33">
        <v>237.85729391713974</v>
      </c>
      <c r="H159" s="27" t="e">
        <f t="shared" si="0"/>
        <v>#REF!</v>
      </c>
      <c r="I159" s="27">
        <v>6.1919616084341954E-2</v>
      </c>
    </row>
    <row r="160" spans="1:9" x14ac:dyDescent="0.2">
      <c r="A160" s="12"/>
      <c r="B160" s="12" t="s">
        <v>498</v>
      </c>
      <c r="C160" s="12"/>
      <c r="D160" s="15">
        <v>2025</v>
      </c>
      <c r="E160" s="33">
        <v>19</v>
      </c>
      <c r="F160" s="33">
        <v>6213.4941468633324</v>
      </c>
      <c r="G160" s="33">
        <v>237.85729391713974</v>
      </c>
      <c r="H160" s="27" t="e">
        <f t="shared" si="0"/>
        <v>#REF!</v>
      </c>
      <c r="I160" s="27">
        <v>6.3322506634222786E-2</v>
      </c>
    </row>
    <row r="161" spans="1:14" x14ac:dyDescent="0.2">
      <c r="A161" s="12"/>
      <c r="B161" s="12" t="s">
        <v>498</v>
      </c>
      <c r="C161" s="12"/>
      <c r="D161" s="15">
        <v>2040</v>
      </c>
      <c r="E161" s="33">
        <v>19</v>
      </c>
      <c r="F161" s="33">
        <v>6057.8610531861414</v>
      </c>
      <c r="G161" s="33">
        <v>237.85729391713974</v>
      </c>
      <c r="H161" s="27" t="e">
        <f t="shared" si="0"/>
        <v>#REF!</v>
      </c>
      <c r="I161" s="27">
        <v>6.3322506634222786E-2</v>
      </c>
    </row>
    <row r="162" spans="1:14" x14ac:dyDescent="0.2">
      <c r="A162" s="78" t="str">
        <f>Technologies!D136</f>
        <v>Heavy Truck, Short Haul, Gasoline exisiting</v>
      </c>
      <c r="B162" s="78" t="s">
        <v>1133</v>
      </c>
      <c r="C162" s="106"/>
      <c r="D162" s="79">
        <v>2005</v>
      </c>
      <c r="E162" s="81">
        <v>19</v>
      </c>
      <c r="F162" s="106"/>
      <c r="G162" s="81">
        <f>G131*(G88/G78)</f>
        <v>301.42015264225682</v>
      </c>
      <c r="H162" s="27" t="e">
        <f t="shared" si="0"/>
        <v>#REF!</v>
      </c>
      <c r="I162" s="27" t="e">
        <f>H163*'AEO Data'!B56/'AEO Data'!B55</f>
        <v>#REF!</v>
      </c>
    </row>
    <row r="163" spans="1:14" x14ac:dyDescent="0.2">
      <c r="A163" s="78" t="str">
        <f>Technologies!D137</f>
        <v>Heavy Truck, Short Haul, Diesel exisiting</v>
      </c>
      <c r="B163" s="78" t="s">
        <v>1322</v>
      </c>
      <c r="C163" s="106"/>
      <c r="D163" s="79">
        <v>2005</v>
      </c>
      <c r="E163" s="81">
        <v>19</v>
      </c>
      <c r="F163" s="106"/>
      <c r="G163" s="81">
        <f>G131</f>
        <v>165.78108395324125</v>
      </c>
      <c r="H163" s="27" t="e">
        <f t="shared" si="0"/>
        <v>#REF!</v>
      </c>
      <c r="I163" s="27">
        <f>'AEO Data'!D55*0.938/'Conv Factors'!C53*10^6/'Conv Factors'!B13/10^9</f>
        <v>3.9439301070208731E-2</v>
      </c>
    </row>
    <row r="164" spans="1:14" x14ac:dyDescent="0.2">
      <c r="A164" s="78" t="str">
        <f>Technologies!D139</f>
        <v>Heavy Truck, Short Haul, CNG exisiting</v>
      </c>
      <c r="B164" s="78" t="s">
        <v>498</v>
      </c>
      <c r="C164" s="106"/>
      <c r="D164" s="79">
        <v>2005</v>
      </c>
      <c r="E164" s="81">
        <v>19</v>
      </c>
      <c r="F164" s="106"/>
      <c r="G164" s="81">
        <f>G151</f>
        <v>248.80470075014617</v>
      </c>
      <c r="H164" s="27" t="e">
        <f t="shared" si="0"/>
        <v>#REF!</v>
      </c>
      <c r="I164" s="27">
        <f>'AEO Data'!D58*0.938/'Conv Factors'!C53*10^6/'Conv Factors'!B13/10^9</f>
        <v>3.9547347278937377E-2</v>
      </c>
    </row>
    <row r="165" spans="1:14" x14ac:dyDescent="0.2">
      <c r="A165" s="78" t="str">
        <f>Technologies!D141</f>
        <v>Heavy Truck, Short Haul, LPG exisiting</v>
      </c>
      <c r="B165" s="78" t="s">
        <v>499</v>
      </c>
      <c r="C165" s="106"/>
      <c r="D165" s="79">
        <v>2005</v>
      </c>
      <c r="E165" s="81">
        <v>19</v>
      </c>
      <c r="F165" s="106"/>
      <c r="G165" s="81">
        <f>G152</f>
        <v>248.80470075014617</v>
      </c>
      <c r="H165" s="27" t="e">
        <f t="shared" si="0"/>
        <v>#REF!</v>
      </c>
      <c r="I165" s="27">
        <f>'AEO Data'!D57*0.938/'Conv Factors'!C53*10^6/'Conv Factors'!B13/10^9</f>
        <v>3.726800371916509E-2</v>
      </c>
    </row>
    <row r="166" spans="1:14" x14ac:dyDescent="0.2">
      <c r="A166" s="78" t="str">
        <f>Technologies!D143</f>
        <v>Heavy Truck, Short Haul, Gasoline, 2010</v>
      </c>
      <c r="B166" s="78" t="s">
        <v>1289</v>
      </c>
      <c r="C166" s="106"/>
      <c r="D166" s="79">
        <v>2010</v>
      </c>
      <c r="E166" s="81">
        <v>19</v>
      </c>
      <c r="F166" s="79">
        <f>F131*(F88/F78)</f>
        <v>4265.2942523255333</v>
      </c>
      <c r="G166" s="81">
        <f>G162</f>
        <v>301.42015264225682</v>
      </c>
      <c r="H166" s="27" t="e">
        <f t="shared" si="0"/>
        <v>#REF!</v>
      </c>
      <c r="I166" s="27" t="e">
        <f>H131*'AEO Data'!G89/'AEO Data'!G88</f>
        <v>#REF!</v>
      </c>
    </row>
    <row r="167" spans="1:14" x14ac:dyDescent="0.2">
      <c r="I167" s="27"/>
    </row>
    <row r="168" spans="1:14" x14ac:dyDescent="0.2">
      <c r="B168" s="83" t="s">
        <v>1568</v>
      </c>
      <c r="C168" s="108"/>
      <c r="D168" s="108"/>
      <c r="E168" s="108"/>
      <c r="F168" s="108"/>
    </row>
    <row r="169" spans="1:14" x14ac:dyDescent="0.2">
      <c r="B169" s="12"/>
      <c r="J169" s="27"/>
      <c r="K169" s="15">
        <v>2010</v>
      </c>
      <c r="L169" s="15">
        <v>2015</v>
      </c>
      <c r="M169" s="15">
        <v>2025</v>
      </c>
      <c r="N169" s="15">
        <v>2040</v>
      </c>
    </row>
    <row r="170" spans="1:14" x14ac:dyDescent="0.2">
      <c r="B170" s="42"/>
      <c r="C170" s="28"/>
      <c r="D170" s="70"/>
      <c r="E170" s="70"/>
      <c r="F170" s="28" t="s">
        <v>476</v>
      </c>
      <c r="G170" s="28" t="s">
        <v>477</v>
      </c>
      <c r="H170" s="28" t="s">
        <v>475</v>
      </c>
      <c r="J170" s="27" t="s">
        <v>1322</v>
      </c>
      <c r="K170" s="27">
        <f>H172</f>
        <v>4.2741355933938345E-2</v>
      </c>
      <c r="L170" s="27">
        <f>H173</f>
        <v>4.6675189351799498E-2</v>
      </c>
      <c r="M170" s="27">
        <f>H175</f>
        <v>5.3053883474229534E-2</v>
      </c>
      <c r="N170" s="27">
        <f>H176</f>
        <v>5.3053883474229534E-2</v>
      </c>
    </row>
    <row r="171" spans="1:14" ht="34.5" thickBot="1" x14ac:dyDescent="0.25">
      <c r="A171" s="1" t="s">
        <v>1569</v>
      </c>
      <c r="B171" s="34" t="s">
        <v>495</v>
      </c>
      <c r="C171" s="85"/>
      <c r="D171" s="71" t="s">
        <v>1479</v>
      </c>
      <c r="E171" s="72" t="s">
        <v>474</v>
      </c>
      <c r="F171" s="73" t="s">
        <v>1481</v>
      </c>
      <c r="G171" s="73" t="s">
        <v>1481</v>
      </c>
      <c r="H171" s="73" t="s">
        <v>1531</v>
      </c>
      <c r="J171" s="27" t="s">
        <v>1533</v>
      </c>
      <c r="K171" s="27"/>
      <c r="L171" s="27">
        <f>H177</f>
        <v>4.9764823566427481E-2</v>
      </c>
      <c r="M171" s="27">
        <f>H178</f>
        <v>5.2921248765543959E-2</v>
      </c>
      <c r="N171" s="27">
        <f>H179</f>
        <v>5.5937246706524606E-2</v>
      </c>
    </row>
    <row r="172" spans="1:14" x14ac:dyDescent="0.2">
      <c r="A172" s="115" t="str">
        <f>Technologies!D171</f>
        <v>Heavy Truck, Long Haul, Diesel Conventional 2010</v>
      </c>
      <c r="B172" s="115" t="s">
        <v>758</v>
      </c>
      <c r="C172" s="115"/>
      <c r="D172" s="116">
        <v>2010</v>
      </c>
      <c r="E172" s="117">
        <v>12</v>
      </c>
      <c r="F172" s="117">
        <v>1586.6830558675817</v>
      </c>
      <c r="G172" s="117">
        <v>148.77789585547293</v>
      </c>
      <c r="H172" s="118">
        <v>4.2741355933938345E-2</v>
      </c>
      <c r="J172" s="27" t="s">
        <v>1570</v>
      </c>
      <c r="K172" s="27"/>
      <c r="L172" s="27"/>
      <c r="M172" s="27">
        <f>H183</f>
        <v>6.0541147891030989E-2</v>
      </c>
      <c r="N172" s="27">
        <f>H185</f>
        <v>7.2955528269861528E-2</v>
      </c>
    </row>
    <row r="173" spans="1:14" x14ac:dyDescent="0.2">
      <c r="A173" s="12" t="str">
        <f>Technologies!D172</f>
        <v>Heavy Truck, Long Haul, Conv. Diesel</v>
      </c>
      <c r="B173" s="12" t="s">
        <v>758</v>
      </c>
      <c r="C173" s="12"/>
      <c r="D173" s="15">
        <v>2015</v>
      </c>
      <c r="E173" s="33">
        <v>12</v>
      </c>
      <c r="F173" s="33">
        <v>1633.7672732304202</v>
      </c>
      <c r="G173" s="33">
        <v>148.77789585547293</v>
      </c>
      <c r="H173" s="27">
        <v>4.6675189351799498E-2</v>
      </c>
      <c r="J173" s="27" t="s">
        <v>1538</v>
      </c>
      <c r="K173" s="27">
        <f>H189</f>
        <v>4.271211262559866E-2</v>
      </c>
      <c r="L173" s="27">
        <f>H190</f>
        <v>4.6641074476893418E-2</v>
      </c>
      <c r="M173" s="27">
        <f>H192</f>
        <v>5.3055583726002262E-2</v>
      </c>
      <c r="N173" s="27">
        <f>H193</f>
        <v>5.3055583726002262E-2</v>
      </c>
    </row>
    <row r="174" spans="1:14" x14ac:dyDescent="0.2">
      <c r="A174" s="12"/>
      <c r="B174" s="12" t="s">
        <v>758</v>
      </c>
      <c r="C174" s="12"/>
      <c r="D174" s="15">
        <v>2020</v>
      </c>
      <c r="E174" s="33">
        <v>12</v>
      </c>
      <c r="F174" s="33">
        <v>1705.7129669639387</v>
      </c>
      <c r="G174" s="33">
        <v>148.77789585547293</v>
      </c>
      <c r="H174" s="27">
        <v>5.0853666573053249E-2</v>
      </c>
      <c r="J174" s="27" t="s">
        <v>502</v>
      </c>
      <c r="K174" s="27">
        <f>H208</f>
        <v>4.1842580380559553E-2</v>
      </c>
      <c r="L174" s="27">
        <f>H209</f>
        <v>4.1842580380559553E-2</v>
      </c>
      <c r="M174" s="27">
        <f>H210</f>
        <v>4.1842580380559553E-2</v>
      </c>
      <c r="N174" s="27">
        <f>H211</f>
        <v>4.1842580380559553E-2</v>
      </c>
    </row>
    <row r="175" spans="1:14" x14ac:dyDescent="0.2">
      <c r="A175" s="12" t="str">
        <f>Technologies!D173</f>
        <v>Heavy Truck, Long Haul, Improved Diesel</v>
      </c>
      <c r="B175" s="12" t="s">
        <v>758</v>
      </c>
      <c r="C175" s="12"/>
      <c r="D175" s="15">
        <v>2025</v>
      </c>
      <c r="E175" s="33">
        <v>12</v>
      </c>
      <c r="F175" s="33">
        <v>1912.8032140228204</v>
      </c>
      <c r="G175" s="33">
        <v>148.77789585547293</v>
      </c>
      <c r="H175" s="27">
        <v>5.3053883474229534E-2</v>
      </c>
    </row>
    <row r="176" spans="1:14" x14ac:dyDescent="0.2">
      <c r="A176" s="109"/>
      <c r="B176" s="12" t="s">
        <v>758</v>
      </c>
      <c r="C176" s="12"/>
      <c r="D176" s="15">
        <v>2040</v>
      </c>
      <c r="E176" s="33">
        <v>12</v>
      </c>
      <c r="F176" s="33">
        <v>1859.6785871956706</v>
      </c>
      <c r="G176" s="33">
        <v>148.77789585547293</v>
      </c>
      <c r="H176" s="27">
        <v>5.3053883474229534E-2</v>
      </c>
    </row>
    <row r="177" spans="1:8" x14ac:dyDescent="0.2">
      <c r="A177" s="78" t="str">
        <f>Technologies!D174</f>
        <v>Heavy Truck, Long Haul, Advanced Diesel</v>
      </c>
      <c r="B177" s="78" t="s">
        <v>758</v>
      </c>
      <c r="C177" s="78"/>
      <c r="D177" s="79">
        <v>2015</v>
      </c>
      <c r="E177" s="81">
        <v>12</v>
      </c>
      <c r="F177" s="81">
        <v>2423.7119575234788</v>
      </c>
      <c r="G177" s="81">
        <v>162.59298618490971</v>
      </c>
      <c r="H177" s="105">
        <v>4.9764823566427481E-2</v>
      </c>
    </row>
    <row r="178" spans="1:8" x14ac:dyDescent="0.2">
      <c r="A178" s="52"/>
      <c r="B178" s="12" t="s">
        <v>758</v>
      </c>
      <c r="C178" s="12"/>
      <c r="D178" s="15">
        <v>2025</v>
      </c>
      <c r="E178" s="33">
        <v>12</v>
      </c>
      <c r="F178" s="33">
        <v>2626.905224333922</v>
      </c>
      <c r="G178" s="33">
        <v>162.59298618490973</v>
      </c>
      <c r="H178" s="27">
        <v>5.2921248765543959E-2</v>
      </c>
    </row>
    <row r="179" spans="1:8" x14ac:dyDescent="0.2">
      <c r="A179" s="52"/>
      <c r="B179" s="12" t="s">
        <v>758</v>
      </c>
      <c r="C179" s="12"/>
      <c r="D179" s="15">
        <v>2040</v>
      </c>
      <c r="E179" s="33">
        <v>12</v>
      </c>
      <c r="F179" s="33">
        <v>2398.4662071941243</v>
      </c>
      <c r="G179" s="33">
        <v>162.59298618490973</v>
      </c>
      <c r="H179" s="27">
        <v>5.5937246706524606E-2</v>
      </c>
    </row>
    <row r="180" spans="1:8" x14ac:dyDescent="0.2">
      <c r="A180" s="12" t="str">
        <f>Technologies!D175</f>
        <v>Heavy Truck, Long Haul, Advanced Diesel Hybrid</v>
      </c>
      <c r="B180" s="12" t="s">
        <v>758</v>
      </c>
      <c r="C180" s="12"/>
      <c r="D180" s="15">
        <v>2015</v>
      </c>
      <c r="E180" s="33">
        <v>12</v>
      </c>
      <c r="F180" s="33">
        <v>2158.2292448190078</v>
      </c>
      <c r="G180" s="33">
        <v>173.21997874601493</v>
      </c>
      <c r="H180" s="27">
        <v>5.2231352343541843E-2</v>
      </c>
    </row>
    <row r="181" spans="1:8" x14ac:dyDescent="0.2">
      <c r="A181" s="52"/>
      <c r="B181" s="12" t="s">
        <v>758</v>
      </c>
      <c r="C181" s="12"/>
      <c r="D181" s="15">
        <v>2025</v>
      </c>
      <c r="E181" s="33">
        <v>12</v>
      </c>
      <c r="F181" s="33">
        <v>1931.3011519708778</v>
      </c>
      <c r="G181" s="33">
        <v>173.21997874601493</v>
      </c>
      <c r="H181" s="27">
        <v>5.2231352343541843E-2</v>
      </c>
    </row>
    <row r="182" spans="1:8" x14ac:dyDescent="0.2">
      <c r="A182" s="52"/>
      <c r="B182" s="12" t="s">
        <v>758</v>
      </c>
      <c r="C182" s="12"/>
      <c r="D182" s="15">
        <v>2040</v>
      </c>
      <c r="E182" s="33">
        <v>12</v>
      </c>
      <c r="F182" s="33">
        <v>2228.501696836443</v>
      </c>
      <c r="G182" s="33">
        <v>168.96918172157282</v>
      </c>
      <c r="H182" s="27">
        <v>5.7801821596742096E-2</v>
      </c>
    </row>
    <row r="183" spans="1:8" x14ac:dyDescent="0.2">
      <c r="A183" s="78" t="str">
        <f>Technologies!D176</f>
        <v>Heavy Truck, Long Haul, Diesel Smartway</v>
      </c>
      <c r="B183" s="78" t="s">
        <v>758</v>
      </c>
      <c r="C183" s="78"/>
      <c r="D183" s="79">
        <v>2015</v>
      </c>
      <c r="E183" s="81">
        <v>12</v>
      </c>
      <c r="F183" s="81">
        <v>1995.3272924530286</v>
      </c>
      <c r="G183" s="81">
        <v>166.84378320935178</v>
      </c>
      <c r="H183" s="105">
        <v>6.0541147891030989E-2</v>
      </c>
    </row>
    <row r="184" spans="1:8" x14ac:dyDescent="0.2">
      <c r="A184" s="12"/>
      <c r="B184" s="12" t="s">
        <v>758</v>
      </c>
      <c r="C184" s="12"/>
      <c r="D184" s="15">
        <v>2025</v>
      </c>
      <c r="E184" s="33">
        <v>12</v>
      </c>
      <c r="F184" s="33">
        <v>2403.5732470795997</v>
      </c>
      <c r="G184" s="33">
        <v>166.84378320935178</v>
      </c>
      <c r="H184" s="27">
        <v>6.6951288293251948E-2</v>
      </c>
    </row>
    <row r="185" spans="1:8" x14ac:dyDescent="0.2">
      <c r="A185" s="52"/>
      <c r="B185" s="12" t="s">
        <v>758</v>
      </c>
      <c r="C185" s="12"/>
      <c r="D185" s="15">
        <v>2040</v>
      </c>
      <c r="E185" s="33">
        <v>12</v>
      </c>
      <c r="F185" s="33">
        <v>2428.6916398058247</v>
      </c>
      <c r="G185" s="33">
        <v>166.84378320935178</v>
      </c>
      <c r="H185" s="27">
        <v>7.2955528269861528E-2</v>
      </c>
    </row>
    <row r="186" spans="1:8" x14ac:dyDescent="0.2">
      <c r="A186" s="12" t="str">
        <f>Technologies!D177</f>
        <v>Heavy Truck, Long Haul, Diesel Smartway Hybird</v>
      </c>
      <c r="B186" s="12" t="s">
        <v>758</v>
      </c>
      <c r="C186" s="12"/>
      <c r="D186" s="15">
        <v>2015</v>
      </c>
      <c r="E186" s="33">
        <v>12</v>
      </c>
      <c r="F186" s="33">
        <v>2423.7119575234788</v>
      </c>
      <c r="G186" s="33">
        <v>180.65887353878855</v>
      </c>
      <c r="H186" s="27">
        <v>6.3541791172192025E-2</v>
      </c>
    </row>
    <row r="187" spans="1:8" x14ac:dyDescent="0.2">
      <c r="A187" s="52"/>
      <c r="B187" s="12" t="s">
        <v>758</v>
      </c>
      <c r="C187" s="12"/>
      <c r="D187" s="15">
        <v>2025</v>
      </c>
      <c r="E187" s="33">
        <v>12</v>
      </c>
      <c r="F187" s="33">
        <v>2701.5830916232303</v>
      </c>
      <c r="G187" s="33">
        <v>180.65887353878855</v>
      </c>
      <c r="H187" s="27">
        <v>7.2442929741389522E-2</v>
      </c>
    </row>
    <row r="188" spans="1:8" x14ac:dyDescent="0.2">
      <c r="A188" s="52"/>
      <c r="B188" s="12" t="s">
        <v>758</v>
      </c>
      <c r="C188" s="12"/>
      <c r="D188" s="15">
        <v>2040</v>
      </c>
      <c r="E188" s="33">
        <v>12</v>
      </c>
      <c r="F188" s="33">
        <v>2650.8658206680652</v>
      </c>
      <c r="G188" s="33">
        <v>176.40807651434648</v>
      </c>
      <c r="H188" s="27">
        <v>7.5387379212190256E-2</v>
      </c>
    </row>
    <row r="189" spans="1:8" x14ac:dyDescent="0.2">
      <c r="A189" s="78" t="str">
        <f>Technologies!D178</f>
        <v>Heavy Truck, Long Haul, B20 Conventional 2010</v>
      </c>
      <c r="B189" s="78" t="s">
        <v>1131</v>
      </c>
      <c r="C189" s="78"/>
      <c r="D189" s="79">
        <v>2010</v>
      </c>
      <c r="E189" s="81">
        <f>E185</f>
        <v>12</v>
      </c>
      <c r="F189" s="81">
        <v>1586.6830558675817</v>
      </c>
      <c r="G189" s="81">
        <v>148.77789585547293</v>
      </c>
      <c r="H189" s="105">
        <v>4.271211262559866E-2</v>
      </c>
    </row>
    <row r="190" spans="1:8" x14ac:dyDescent="0.2">
      <c r="A190" s="12" t="str">
        <f>Technologies!D179</f>
        <v>Heavy Truck, Long Haul, Conventional B20</v>
      </c>
      <c r="B190" s="12" t="s">
        <v>1131</v>
      </c>
      <c r="C190" s="12"/>
      <c r="D190" s="15">
        <v>2015</v>
      </c>
      <c r="E190" s="33">
        <f t="shared" ref="E190:E223" si="2">E189</f>
        <v>12</v>
      </c>
      <c r="F190" s="33">
        <v>1634.199019798639</v>
      </c>
      <c r="G190" s="33">
        <v>148.77789585547293</v>
      </c>
      <c r="H190" s="27">
        <v>4.6641074476893418E-2</v>
      </c>
    </row>
    <row r="191" spans="1:8" x14ac:dyDescent="0.2">
      <c r="A191" s="12"/>
      <c r="B191" s="12" t="s">
        <v>1131</v>
      </c>
      <c r="C191" s="12"/>
      <c r="D191" s="15">
        <v>2020</v>
      </c>
      <c r="E191" s="33">
        <v>12</v>
      </c>
      <c r="F191" s="33">
        <v>1681.2832371614779</v>
      </c>
      <c r="G191" s="33">
        <v>148.77789585547293</v>
      </c>
      <c r="H191" s="27">
        <f>H174</f>
        <v>5.0853666573053249E-2</v>
      </c>
    </row>
    <row r="192" spans="1:8" x14ac:dyDescent="0.2">
      <c r="A192" s="12" t="str">
        <f>Technologies!D180</f>
        <v>Heavy Truck, Long Haul, Improved B20</v>
      </c>
      <c r="B192" s="12" t="s">
        <v>1131</v>
      </c>
      <c r="C192" s="12"/>
      <c r="D192" s="15">
        <v>2025</v>
      </c>
      <c r="E192" s="33">
        <v>12</v>
      </c>
      <c r="F192" s="33">
        <v>1912.8032140228204</v>
      </c>
      <c r="G192" s="33">
        <v>148.77789585547293</v>
      </c>
      <c r="H192" s="27">
        <v>5.3055583726002262E-2</v>
      </c>
    </row>
    <row r="193" spans="1:8" x14ac:dyDescent="0.2">
      <c r="A193" s="52"/>
      <c r="B193" s="12" t="s">
        <v>1131</v>
      </c>
      <c r="C193" s="12"/>
      <c r="D193" s="15">
        <v>2040</v>
      </c>
      <c r="E193" s="33">
        <v>12</v>
      </c>
      <c r="F193" s="33">
        <v>1859.6785871956706</v>
      </c>
      <c r="G193" s="33">
        <v>162.59298618490971</v>
      </c>
      <c r="H193" s="27">
        <v>5.3055583726002262E-2</v>
      </c>
    </row>
    <row r="194" spans="1:8" x14ac:dyDescent="0.2">
      <c r="A194" s="12" t="str">
        <f>Technologies!D181</f>
        <v>Heavy Truck, Long Haul, Advanced B20</v>
      </c>
      <c r="B194" s="12" t="s">
        <v>1131</v>
      </c>
      <c r="C194" s="12"/>
      <c r="D194" s="15">
        <v>2015</v>
      </c>
      <c r="E194" s="33">
        <v>12</v>
      </c>
      <c r="F194" s="33">
        <v>1729.8445797485574</v>
      </c>
      <c r="G194" s="33">
        <v>162.59298618490971</v>
      </c>
      <c r="H194" s="27">
        <v>4.9683212194648947E-2</v>
      </c>
    </row>
    <row r="195" spans="1:8" x14ac:dyDescent="0.2">
      <c r="A195" s="12"/>
      <c r="B195" s="12" t="s">
        <v>1131</v>
      </c>
      <c r="C195" s="12"/>
      <c r="D195" s="15">
        <v>2025</v>
      </c>
      <c r="E195" s="33">
        <v>12</v>
      </c>
      <c r="F195" s="33">
        <v>1759.4911141642169</v>
      </c>
      <c r="G195" s="33">
        <v>162.59298618490971</v>
      </c>
      <c r="H195" s="27">
        <v>5.2834461042842111E-2</v>
      </c>
    </row>
    <row r="196" spans="1:8" x14ac:dyDescent="0.2">
      <c r="A196" s="12"/>
      <c r="B196" s="12" t="s">
        <v>1131</v>
      </c>
      <c r="C196" s="12"/>
      <c r="D196" s="15">
        <v>2040</v>
      </c>
      <c r="E196" s="33">
        <v>12</v>
      </c>
      <c r="F196" s="33">
        <v>2006.3275159742025</v>
      </c>
      <c r="G196" s="33">
        <v>173.21997874601493</v>
      </c>
      <c r="H196" s="27">
        <v>5.5845512925309829E-2</v>
      </c>
    </row>
    <row r="197" spans="1:8" x14ac:dyDescent="0.2">
      <c r="A197" s="12" t="str">
        <f>Technologies!D182</f>
        <v>Heavy Truck, Long Haul, Advanced B20 Hybrid</v>
      </c>
      <c r="B197" s="12" t="s">
        <v>1131</v>
      </c>
      <c r="C197" s="12"/>
      <c r="D197" s="15">
        <v>2015</v>
      </c>
      <c r="E197" s="33">
        <v>12</v>
      </c>
      <c r="F197" s="33">
        <v>2158.2292448190078</v>
      </c>
      <c r="G197" s="33">
        <v>173.21997874601493</v>
      </c>
      <c r="H197" s="27">
        <v>5.2145696010230121E-2</v>
      </c>
    </row>
    <row r="198" spans="1:8" x14ac:dyDescent="0.2">
      <c r="A198" s="12"/>
      <c r="B198" s="12" t="s">
        <v>1131</v>
      </c>
      <c r="C198" s="12"/>
      <c r="D198" s="15">
        <v>2025</v>
      </c>
      <c r="E198" s="33">
        <v>12</v>
      </c>
      <c r="F198" s="33">
        <v>1931.3011519708778</v>
      </c>
      <c r="G198" s="33">
        <v>168.96918172157282</v>
      </c>
      <c r="H198" s="27">
        <v>5.2145696010230121E-2</v>
      </c>
    </row>
    <row r="199" spans="1:8" x14ac:dyDescent="0.2">
      <c r="A199" s="12"/>
      <c r="B199" s="12" t="s">
        <v>1131</v>
      </c>
      <c r="C199" s="12"/>
      <c r="D199" s="15">
        <v>2040</v>
      </c>
      <c r="E199" s="33">
        <v>12</v>
      </c>
      <c r="F199" s="33">
        <v>2228.501696836443</v>
      </c>
      <c r="G199" s="33">
        <v>166.84378320935178</v>
      </c>
      <c r="H199" s="27">
        <v>5.7707030022820162E-2</v>
      </c>
    </row>
    <row r="200" spans="1:8" x14ac:dyDescent="0.2">
      <c r="A200" s="12" t="str">
        <f>Technologies!D183</f>
        <v>Heavy Truck, Long Haul, B20 Smartway</v>
      </c>
      <c r="B200" s="12" t="s">
        <v>1131</v>
      </c>
      <c r="C200" s="12"/>
      <c r="D200" s="15">
        <v>2015</v>
      </c>
      <c r="E200" s="33">
        <v>12</v>
      </c>
      <c r="F200" s="33">
        <v>1995.3272924530286</v>
      </c>
      <c r="G200" s="33">
        <v>166.84378320935178</v>
      </c>
      <c r="H200" s="27">
        <v>6.0441863983757831E-2</v>
      </c>
    </row>
    <row r="201" spans="1:8" x14ac:dyDescent="0.2">
      <c r="A201" s="12"/>
      <c r="B201" s="12" t="s">
        <v>1131</v>
      </c>
      <c r="C201" s="12"/>
      <c r="D201" s="15">
        <v>2025</v>
      </c>
      <c r="E201" s="33">
        <v>12</v>
      </c>
      <c r="F201" s="33">
        <v>2403.5732470795997</v>
      </c>
      <c r="G201" s="33">
        <v>166.84378320935178</v>
      </c>
      <c r="H201" s="27">
        <v>6.684149213427111E-2</v>
      </c>
    </row>
    <row r="202" spans="1:8" x14ac:dyDescent="0.2">
      <c r="A202" s="12"/>
      <c r="B202" s="12" t="s">
        <v>1131</v>
      </c>
      <c r="C202" s="12"/>
      <c r="D202" s="15">
        <v>2040</v>
      </c>
      <c r="E202" s="33">
        <v>12</v>
      </c>
      <c r="F202" s="33">
        <v>2428.6916398058247</v>
      </c>
      <c r="G202" s="33">
        <v>180.65887353878855</v>
      </c>
      <c r="H202" s="27">
        <v>7.2835885511900511E-2</v>
      </c>
    </row>
    <row r="203" spans="1:8" x14ac:dyDescent="0.2">
      <c r="A203" s="12" t="str">
        <f>Technologies!D184</f>
        <v>Heavy Truck, Long Haul, B20 Smartway Hybird</v>
      </c>
      <c r="B203" s="12" t="s">
        <v>1131</v>
      </c>
      <c r="C203" s="12"/>
      <c r="D203" s="15">
        <v>2015</v>
      </c>
      <c r="E203" s="33">
        <v>12</v>
      </c>
      <c r="F203" s="33">
        <v>2423.7119575234788</v>
      </c>
      <c r="G203" s="33">
        <v>180.65887353878855</v>
      </c>
      <c r="H203" s="27">
        <v>6.3437586387141268E-2</v>
      </c>
    </row>
    <row r="204" spans="1:8" x14ac:dyDescent="0.2">
      <c r="A204" s="12"/>
      <c r="B204" s="12" t="s">
        <v>1131</v>
      </c>
      <c r="C204" s="12"/>
      <c r="D204" s="15">
        <v>2025</v>
      </c>
      <c r="E204" s="33">
        <v>12</v>
      </c>
      <c r="F204" s="33">
        <v>2701.5830916232303</v>
      </c>
      <c r="G204" s="33">
        <v>176.40807651434648</v>
      </c>
      <c r="H204" s="27">
        <v>7.2324127614743591E-2</v>
      </c>
    </row>
    <row r="205" spans="1:8" x14ac:dyDescent="0.2">
      <c r="A205" s="12"/>
      <c r="B205" s="12" t="s">
        <v>1131</v>
      </c>
      <c r="C205" s="12"/>
      <c r="D205" s="15">
        <v>2040</v>
      </c>
      <c r="E205" s="33">
        <v>12</v>
      </c>
      <c r="F205" s="33">
        <v>2650.8658206680652</v>
      </c>
      <c r="G205" s="33">
        <v>162.59298618490973</v>
      </c>
      <c r="H205" s="27">
        <v>7.5263748362297184E-2</v>
      </c>
    </row>
    <row r="206" spans="1:8" x14ac:dyDescent="0.2">
      <c r="A206" s="78" t="str">
        <f>Technologies!D169</f>
        <v>Heavy Truck, Long Haul, Diesel exisiting</v>
      </c>
      <c r="B206" s="78" t="s">
        <v>758</v>
      </c>
      <c r="C206" s="106"/>
      <c r="D206" s="79">
        <v>2005</v>
      </c>
      <c r="E206" s="81">
        <f>E193</f>
        <v>12</v>
      </c>
      <c r="F206" s="106"/>
      <c r="G206" s="81">
        <f>G173</f>
        <v>148.77789585547293</v>
      </c>
      <c r="H206" s="105">
        <f>'AEO Data'!D20/'AEO Data'!D35/'Conv Factors'!B13</f>
        <v>4.2022307542363531E-2</v>
      </c>
    </row>
    <row r="207" spans="1:8" x14ac:dyDescent="0.2">
      <c r="A207" s="78" t="str">
        <f>Technologies!D170</f>
        <v>Heavy Truck, Long Haul, LPG exisiting</v>
      </c>
      <c r="B207" s="78" t="s">
        <v>499</v>
      </c>
      <c r="C207" s="106"/>
      <c r="D207" s="79">
        <v>2005</v>
      </c>
      <c r="E207" s="81">
        <f t="shared" si="2"/>
        <v>12</v>
      </c>
      <c r="F207" s="106"/>
      <c r="G207" s="81">
        <f>G208</f>
        <v>289.82706984832384</v>
      </c>
      <c r="H207" s="105">
        <f>'AEO Data'!D22/'AEO Data'!D37/'Conv Factors'!B13</f>
        <v>3.9708827872133132E-2</v>
      </c>
    </row>
    <row r="208" spans="1:8" x14ac:dyDescent="0.2">
      <c r="A208" s="110" t="str">
        <f>Technologies!D185</f>
        <v>Heavy Truck, Long Haul, LNG 2010</v>
      </c>
      <c r="B208" s="110" t="s">
        <v>502</v>
      </c>
      <c r="C208" s="110"/>
      <c r="D208" s="111">
        <v>2010</v>
      </c>
      <c r="E208" s="112">
        <f t="shared" si="2"/>
        <v>12</v>
      </c>
      <c r="F208" s="112">
        <v>2389.4150399201549</v>
      </c>
      <c r="G208" s="112">
        <v>289.82706984832384</v>
      </c>
      <c r="H208" s="113">
        <v>4.1842580380559553E-2</v>
      </c>
    </row>
    <row r="209" spans="1:8" x14ac:dyDescent="0.2">
      <c r="A209" s="110" t="str">
        <f>Technologies!D186</f>
        <v xml:space="preserve">Heavy Truck, Long Haul, Conventional LNG </v>
      </c>
      <c r="B209" s="110" t="s">
        <v>502</v>
      </c>
      <c r="C209" s="110"/>
      <c r="D209" s="111">
        <v>2015</v>
      </c>
      <c r="E209" s="112">
        <f t="shared" si="2"/>
        <v>12</v>
      </c>
      <c r="F209" s="112">
        <v>2398.7591457466888</v>
      </c>
      <c r="G209" s="112">
        <v>289.82706984832384</v>
      </c>
      <c r="H209" s="113">
        <v>4.1842580380559553E-2</v>
      </c>
    </row>
    <row r="210" spans="1:8" x14ac:dyDescent="0.2">
      <c r="A210" s="110"/>
      <c r="B210" s="110" t="s">
        <v>502</v>
      </c>
      <c r="C210" s="110"/>
      <c r="D210" s="111">
        <v>2025</v>
      </c>
      <c r="E210" s="112">
        <f t="shared" si="2"/>
        <v>12</v>
      </c>
      <c r="F210" s="112">
        <v>2427.1591264967856</v>
      </c>
      <c r="G210" s="112">
        <v>289.82706984832384</v>
      </c>
      <c r="H210" s="113">
        <v>4.1842580380559553E-2</v>
      </c>
    </row>
    <row r="211" spans="1:8" x14ac:dyDescent="0.2">
      <c r="A211" s="110"/>
      <c r="B211" s="110" t="s">
        <v>502</v>
      </c>
      <c r="C211" s="110"/>
      <c r="D211" s="111">
        <v>2040</v>
      </c>
      <c r="E211" s="112">
        <f t="shared" si="2"/>
        <v>12</v>
      </c>
      <c r="F211" s="112">
        <v>2648.9602628322136</v>
      </c>
      <c r="G211" s="112">
        <v>289.82706984832384</v>
      </c>
      <c r="H211" s="113">
        <v>4.1842580380559553E-2</v>
      </c>
    </row>
    <row r="212" spans="1:8" x14ac:dyDescent="0.2">
      <c r="A212" s="110" t="str">
        <f>Technologies!D187</f>
        <v>Heavy Truck, Long Haul, Advanced LNG</v>
      </c>
      <c r="B212" s="110" t="s">
        <v>502</v>
      </c>
      <c r="C212" s="110"/>
      <c r="D212" s="111">
        <v>2015</v>
      </c>
      <c r="E212" s="112">
        <f t="shared" si="2"/>
        <v>12</v>
      </c>
      <c r="F212" s="112">
        <v>2504.3667845737755</v>
      </c>
      <c r="G212" s="112">
        <v>289.82706984832384</v>
      </c>
      <c r="H212" s="113">
        <v>5.7079372341398843E-2</v>
      </c>
    </row>
    <row r="213" spans="1:8" x14ac:dyDescent="0.2">
      <c r="A213" s="110"/>
      <c r="B213" s="110" t="s">
        <v>502</v>
      </c>
      <c r="C213" s="110"/>
      <c r="D213" s="111">
        <v>2025</v>
      </c>
      <c r="E213" s="112">
        <f t="shared" si="2"/>
        <v>12</v>
      </c>
      <c r="F213" s="112">
        <v>2639.1528093544284</v>
      </c>
      <c r="G213" s="112">
        <v>289.82706984832384</v>
      </c>
      <c r="H213" s="113">
        <v>5.8372599223519749E-2</v>
      </c>
    </row>
    <row r="214" spans="1:8" x14ac:dyDescent="0.2">
      <c r="A214" s="110"/>
      <c r="B214" s="110" t="s">
        <v>502</v>
      </c>
      <c r="C214" s="110"/>
      <c r="D214" s="111">
        <v>2040</v>
      </c>
      <c r="E214" s="112">
        <f t="shared" si="2"/>
        <v>12</v>
      </c>
      <c r="F214" s="112">
        <v>2585.5410474190576</v>
      </c>
      <c r="G214" s="112">
        <v>289.82706984832384</v>
      </c>
      <c r="H214" s="113">
        <v>5.8372599223519749E-2</v>
      </c>
    </row>
    <row r="215" spans="1:8" x14ac:dyDescent="0.2">
      <c r="A215" s="110" t="str">
        <f>Technologies!D188</f>
        <v>Heavy Truck, Long Haul, Advanced LNG Hybrid</v>
      </c>
      <c r="B215" s="110" t="s">
        <v>502</v>
      </c>
      <c r="C215" s="110"/>
      <c r="D215" s="111">
        <v>2015</v>
      </c>
      <c r="E215" s="112">
        <f t="shared" si="2"/>
        <v>12</v>
      </c>
      <c r="F215" s="112">
        <v>2842.4433310618065</v>
      </c>
      <c r="G215" s="112">
        <v>289.82706984832384</v>
      </c>
      <c r="H215" s="113">
        <v>5.8982018086112128E-2</v>
      </c>
    </row>
    <row r="216" spans="1:8" x14ac:dyDescent="0.2">
      <c r="A216" s="110"/>
      <c r="B216" s="110" t="s">
        <v>502</v>
      </c>
      <c r="C216" s="110"/>
      <c r="D216" s="111">
        <v>2025</v>
      </c>
      <c r="E216" s="112">
        <f t="shared" si="2"/>
        <v>12</v>
      </c>
      <c r="F216" s="112">
        <v>2861.3269902166689</v>
      </c>
      <c r="G216" s="112">
        <v>289.82706984832384</v>
      </c>
      <c r="H216" s="113">
        <v>6.0318352530970412E-2</v>
      </c>
    </row>
    <row r="217" spans="1:8" x14ac:dyDescent="0.2">
      <c r="A217" s="110"/>
      <c r="B217" s="110" t="s">
        <v>502</v>
      </c>
      <c r="C217" s="110"/>
      <c r="D217" s="111">
        <v>2040</v>
      </c>
      <c r="E217" s="112">
        <f t="shared" si="2"/>
        <v>12</v>
      </c>
      <c r="F217" s="112">
        <v>2807.7152282812981</v>
      </c>
      <c r="G217" s="112">
        <v>289.82706984832384</v>
      </c>
      <c r="H217" s="113">
        <v>6.0318352530970412E-2</v>
      </c>
    </row>
    <row r="218" spans="1:8" x14ac:dyDescent="0.2">
      <c r="A218" s="110" t="str">
        <f>Technologies!D189</f>
        <v>Heavy Truck, Long Haul, LNG Smartway</v>
      </c>
      <c r="B218" s="110" t="s">
        <v>502</v>
      </c>
      <c r="C218" s="110"/>
      <c r="D218" s="111">
        <v>2015</v>
      </c>
      <c r="E218" s="112">
        <f t="shared" si="2"/>
        <v>12</v>
      </c>
      <c r="F218" s="112">
        <v>2504.3667845737755</v>
      </c>
      <c r="G218" s="112">
        <v>289.82706984832384</v>
      </c>
      <c r="H218" s="113">
        <v>5.7079372341398843E-2</v>
      </c>
    </row>
    <row r="219" spans="1:8" x14ac:dyDescent="0.2">
      <c r="A219" s="110"/>
      <c r="B219" s="110" t="s">
        <v>502</v>
      </c>
      <c r="C219" s="110"/>
      <c r="D219" s="111">
        <v>2025</v>
      </c>
      <c r="E219" s="112">
        <f t="shared" si="2"/>
        <v>12</v>
      </c>
      <c r="F219" s="112">
        <v>3143.9520363023103</v>
      </c>
      <c r="G219" s="112">
        <v>289.82706984832384</v>
      </c>
      <c r="H219" s="113">
        <v>6.6549620751363711E-2</v>
      </c>
    </row>
    <row r="220" spans="1:8" x14ac:dyDescent="0.2">
      <c r="A220" s="110"/>
      <c r="B220" s="110" t="s">
        <v>502</v>
      </c>
      <c r="C220" s="110"/>
      <c r="D220" s="111">
        <v>2040</v>
      </c>
      <c r="E220" s="112">
        <f t="shared" si="2"/>
        <v>12</v>
      </c>
      <c r="F220" s="112">
        <v>2837.9406608929985</v>
      </c>
      <c r="G220" s="112">
        <v>289.82706984832384</v>
      </c>
      <c r="H220" s="113">
        <v>6.6549620751363711E-2</v>
      </c>
    </row>
    <row r="221" spans="1:8" x14ac:dyDescent="0.2">
      <c r="A221" s="110" t="str">
        <f>Technologies!D190</f>
        <v>Heavy Truck, Long Haul, LNG Smartway Hybird</v>
      </c>
      <c r="B221" s="110" t="s">
        <v>502</v>
      </c>
      <c r="C221" s="110"/>
      <c r="D221" s="111">
        <v>2015</v>
      </c>
      <c r="E221" s="112">
        <f t="shared" si="2"/>
        <v>12</v>
      </c>
      <c r="F221" s="112">
        <v>2842.4433310618065</v>
      </c>
      <c r="G221" s="112">
        <v>289.82706984832384</v>
      </c>
      <c r="H221" s="113">
        <v>5.8982018086112128E-2</v>
      </c>
    </row>
    <row r="222" spans="1:8" x14ac:dyDescent="0.2">
      <c r="A222" s="110"/>
      <c r="B222" s="110" t="s">
        <v>502</v>
      </c>
      <c r="C222" s="110"/>
      <c r="D222" s="111">
        <v>2025</v>
      </c>
      <c r="E222" s="112">
        <f t="shared" si="2"/>
        <v>12</v>
      </c>
      <c r="F222" s="112">
        <v>3366.1262171645503</v>
      </c>
      <c r="G222" s="112">
        <v>289.82706984832384</v>
      </c>
      <c r="H222" s="113">
        <v>6.8767941443075867E-2</v>
      </c>
    </row>
    <row r="223" spans="1:8" x14ac:dyDescent="0.2">
      <c r="A223" s="110"/>
      <c r="B223" s="110" t="s">
        <v>502</v>
      </c>
      <c r="C223" s="110"/>
      <c r="D223" s="111">
        <v>2040</v>
      </c>
      <c r="E223" s="112">
        <f t="shared" si="2"/>
        <v>12</v>
      </c>
      <c r="F223" s="112">
        <v>3060.1148417552386</v>
      </c>
      <c r="G223" s="112">
        <v>289.82706984832384</v>
      </c>
      <c r="H223" s="113">
        <v>6.8767941443075867E-2</v>
      </c>
    </row>
    <row r="225" spans="1:7" x14ac:dyDescent="0.2">
      <c r="A225" s="110" t="s">
        <v>1571</v>
      </c>
      <c r="B225" s="114"/>
      <c r="C225" s="114"/>
      <c r="D225" s="114"/>
      <c r="E225" s="114"/>
      <c r="F225" s="114"/>
      <c r="G225" s="114"/>
    </row>
    <row r="226" spans="1:7" x14ac:dyDescent="0.2">
      <c r="A226" s="110" t="s">
        <v>1572</v>
      </c>
      <c r="B226" s="114"/>
      <c r="C226" s="114"/>
      <c r="D226" s="114"/>
      <c r="E226" s="114"/>
      <c r="F226" s="114"/>
      <c r="G226" s="114"/>
    </row>
    <row r="227" spans="1:7" x14ac:dyDescent="0.2">
      <c r="A227" s="110"/>
      <c r="B227" s="114"/>
      <c r="C227" s="114"/>
      <c r="D227" s="114"/>
      <c r="E227" s="114"/>
      <c r="F227" s="114"/>
      <c r="G227" s="114"/>
    </row>
    <row r="229" spans="1:7" x14ac:dyDescent="0.2">
      <c r="A229" s="110" t="s">
        <v>1573</v>
      </c>
    </row>
    <row r="231" spans="1:7" x14ac:dyDescent="0.2">
      <c r="A231" s="142" t="s">
        <v>1574</v>
      </c>
      <c r="B231" s="141"/>
      <c r="C231" s="141"/>
      <c r="D231" s="141"/>
    </row>
  </sheetData>
  <pageMargins left="0.36" right="0.28000000000000003" top="0.75" bottom="0.75" header="0.3" footer="0.3"/>
  <pageSetup scale="23"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0" tint="-0.34998626667073579"/>
  </sheetPr>
  <dimension ref="A1:W65"/>
  <sheetViews>
    <sheetView workbookViewId="0">
      <selection activeCell="C10" sqref="C10"/>
    </sheetView>
  </sheetViews>
  <sheetFormatPr defaultColWidth="9.140625" defaultRowHeight="11.25" x14ac:dyDescent="0.2"/>
  <cols>
    <col min="1" max="1" width="9.140625" style="12"/>
    <col min="2" max="2" width="34.5703125" style="12" bestFit="1" customWidth="1"/>
    <col min="3" max="3" width="13.42578125" style="12" customWidth="1"/>
    <col min="4" max="4" width="6.85546875" style="12" customWidth="1"/>
    <col min="5" max="5" width="9.42578125" style="12" customWidth="1"/>
    <col min="6" max="6" width="6.7109375" style="12" customWidth="1"/>
    <col min="7" max="7" width="14" style="12" customWidth="1"/>
    <col min="8" max="8" width="14.140625" style="12" customWidth="1"/>
    <col min="9" max="9" width="12.140625" style="12" customWidth="1"/>
    <col min="10" max="17" width="9.140625" style="12" customWidth="1"/>
    <col min="18" max="19" width="9.140625" style="12"/>
    <col min="20" max="20" width="9.5703125" style="12" bestFit="1" customWidth="1"/>
    <col min="21" max="16384" width="9.140625" style="12"/>
  </cols>
  <sheetData>
    <row r="1" spans="1:23" x14ac:dyDescent="0.2">
      <c r="A1" s="125"/>
      <c r="B1" s="125" t="s">
        <v>1575</v>
      </c>
      <c r="C1" s="66"/>
      <c r="D1" s="66"/>
      <c r="E1" s="66"/>
      <c r="F1" s="66"/>
      <c r="G1" s="66"/>
      <c r="H1" s="66"/>
      <c r="I1" s="66"/>
      <c r="J1" s="66"/>
      <c r="K1" s="66"/>
      <c r="L1" s="66"/>
      <c r="M1" s="66"/>
      <c r="N1" s="66"/>
      <c r="O1" s="66"/>
      <c r="P1" s="66"/>
      <c r="Q1" s="66"/>
    </row>
    <row r="2" spans="1:23" x14ac:dyDescent="0.2">
      <c r="A2" s="12" t="s">
        <v>1576</v>
      </c>
    </row>
    <row r="4" spans="1:23" x14ac:dyDescent="0.2">
      <c r="B4" s="12" t="s">
        <v>1259</v>
      </c>
      <c r="D4" s="12" t="s">
        <v>1260</v>
      </c>
      <c r="E4" s="12" t="s">
        <v>1261</v>
      </c>
      <c r="G4" s="12" t="s">
        <v>476</v>
      </c>
      <c r="H4" s="12" t="s">
        <v>477</v>
      </c>
      <c r="I4" s="12" t="s">
        <v>475</v>
      </c>
    </row>
    <row r="5" spans="1:23" x14ac:dyDescent="0.2">
      <c r="B5" s="12" t="s">
        <v>682</v>
      </c>
      <c r="C5" s="12" t="s">
        <v>495</v>
      </c>
      <c r="D5" s="12" t="s">
        <v>1262</v>
      </c>
      <c r="E5" s="12" t="s">
        <v>1050</v>
      </c>
      <c r="F5" s="12" t="s">
        <v>474</v>
      </c>
      <c r="G5" s="873" t="s">
        <v>1577</v>
      </c>
      <c r="H5" s="873" t="s">
        <v>1577</v>
      </c>
      <c r="I5" s="12" t="s">
        <v>1482</v>
      </c>
    </row>
    <row r="6" spans="1:23" x14ac:dyDescent="0.2">
      <c r="G6" s="873"/>
      <c r="H6" s="873"/>
      <c r="L6" s="12">
        <v>2010</v>
      </c>
      <c r="M6" s="12">
        <v>2015</v>
      </c>
      <c r="N6" s="12">
        <v>2025</v>
      </c>
      <c r="O6" s="12">
        <v>2040</v>
      </c>
      <c r="T6" s="12">
        <v>2010</v>
      </c>
      <c r="U6" s="12">
        <v>2015</v>
      </c>
      <c r="V6" s="12">
        <v>2025</v>
      </c>
      <c r="W6" s="12">
        <v>2040</v>
      </c>
    </row>
    <row r="7" spans="1:23" x14ac:dyDescent="0.2">
      <c r="A7" s="12" t="str">
        <f>Technologies!C57</f>
        <v>TBDSLE</v>
      </c>
      <c r="B7" s="27" t="s">
        <v>1235</v>
      </c>
      <c r="C7" s="27" t="s">
        <v>758</v>
      </c>
      <c r="D7" s="27"/>
      <c r="E7" s="15">
        <v>2005</v>
      </c>
      <c r="F7" s="15">
        <v>12</v>
      </c>
      <c r="G7" s="27"/>
      <c r="H7" s="15">
        <f>H10</f>
        <v>555.05381199668852</v>
      </c>
      <c r="I7" s="27">
        <f>I10*1.1</f>
        <v>3.497096288537007E-2</v>
      </c>
      <c r="K7" s="12" t="s">
        <v>758</v>
      </c>
      <c r="L7" s="75">
        <f>I10</f>
        <v>3.1791784441245516E-2</v>
      </c>
      <c r="M7" s="75">
        <f>I11</f>
        <v>3.348888211310911E-2</v>
      </c>
      <c r="N7" s="75">
        <f>I12</f>
        <v>3.4986321235341691E-2</v>
      </c>
      <c r="O7" s="75">
        <f>I13</f>
        <v>3.9094679852749017E-2</v>
      </c>
      <c r="S7" s="12" t="s">
        <v>758</v>
      </c>
      <c r="T7" s="15">
        <f>G10</f>
        <v>10426.65660557352</v>
      </c>
      <c r="U7" s="15">
        <f>G11</f>
        <v>10488.438715335413</v>
      </c>
      <c r="V7" s="15">
        <f>G12</f>
        <v>10598.809880170465</v>
      </c>
      <c r="W7" s="15">
        <f>G13</f>
        <v>10912.547156305081</v>
      </c>
    </row>
    <row r="8" spans="1:23" x14ac:dyDescent="0.2">
      <c r="A8" s="12" t="str">
        <f>Technologies!C58</f>
        <v>TBGSLE</v>
      </c>
      <c r="B8" s="27" t="s">
        <v>1578</v>
      </c>
      <c r="C8" s="27" t="s">
        <v>1133</v>
      </c>
      <c r="D8" s="27"/>
      <c r="E8" s="15">
        <v>2005</v>
      </c>
      <c r="F8" s="15">
        <v>12</v>
      </c>
      <c r="G8" s="15">
        <f>G10</f>
        <v>10426.65660557352</v>
      </c>
      <c r="H8" s="15">
        <f>H10</f>
        <v>555.05381199668852</v>
      </c>
      <c r="I8" s="27">
        <f>I7*1.08</f>
        <v>3.7768639916199678E-2</v>
      </c>
      <c r="K8" s="12" t="s">
        <v>1496</v>
      </c>
      <c r="M8" s="75">
        <f>I14</f>
        <v>3.7727786705275178E-2</v>
      </c>
      <c r="N8" s="75">
        <f>I15</f>
        <v>3.9094679852749017E-2</v>
      </c>
      <c r="O8" s="75">
        <f>I16</f>
        <v>3.9355771802266494E-2</v>
      </c>
      <c r="S8" s="12" t="s">
        <v>1496</v>
      </c>
      <c r="T8" s="15"/>
      <c r="U8" s="15">
        <f>G14</f>
        <v>10807.968064260209</v>
      </c>
      <c r="V8" s="15">
        <f>G15</f>
        <v>10912.547156305081</v>
      </c>
      <c r="W8" s="15">
        <f>G16</f>
        <v>11236.002243454332</v>
      </c>
    </row>
    <row r="9" spans="1:23" x14ac:dyDescent="0.2">
      <c r="A9" s="12" t="str">
        <f>Technologies!C59</f>
        <v>TBCNGE</v>
      </c>
      <c r="B9" s="27" t="s">
        <v>481</v>
      </c>
      <c r="C9" s="27" t="s">
        <v>498</v>
      </c>
      <c r="D9" s="27"/>
      <c r="E9" s="15">
        <v>2005</v>
      </c>
      <c r="F9" s="15">
        <v>12</v>
      </c>
      <c r="G9" s="15"/>
      <c r="H9" s="15">
        <f>H30</f>
        <v>639.72303755550536</v>
      </c>
      <c r="I9" s="27">
        <f>I30*1.1</f>
        <v>2.9733765545048953E-2</v>
      </c>
      <c r="K9" s="12" t="s">
        <v>1131</v>
      </c>
      <c r="L9" s="75">
        <f>I20</f>
        <v>3.1770686560191462E-2</v>
      </c>
      <c r="M9" s="75">
        <f>I21</f>
        <v>3.3466657992510862E-2</v>
      </c>
      <c r="N9" s="75">
        <f>I22</f>
        <v>3.496310337396915E-2</v>
      </c>
      <c r="O9" s="75">
        <f>I23</f>
        <v>3.906873557438037E-2</v>
      </c>
      <c r="S9" s="12" t="s">
        <v>1131</v>
      </c>
      <c r="T9" s="15">
        <f>G20</f>
        <v>10426.65660557352</v>
      </c>
      <c r="U9" s="15">
        <f>G21</f>
        <v>10488.438715335413</v>
      </c>
      <c r="V9" s="15">
        <f>G22</f>
        <v>10749.403772715079</v>
      </c>
      <c r="W9" s="15">
        <f>G23</f>
        <v>11404.873343470175</v>
      </c>
    </row>
    <row r="10" spans="1:23" x14ac:dyDescent="0.2">
      <c r="A10" s="12" t="e">
        <f>Technologies!#REF!</f>
        <v>#REF!</v>
      </c>
      <c r="B10" s="83" t="s">
        <v>1579</v>
      </c>
      <c r="C10" s="12" t="s">
        <v>758</v>
      </c>
      <c r="E10" s="15">
        <v>2010</v>
      </c>
      <c r="F10" s="33">
        <v>12</v>
      </c>
      <c r="G10" s="33">
        <v>10426.65660557352</v>
      </c>
      <c r="H10" s="33">
        <v>555.05381199668852</v>
      </c>
      <c r="I10" s="75">
        <v>3.1791784441245516E-2</v>
      </c>
      <c r="J10" s="75"/>
      <c r="K10" s="12" t="s">
        <v>498</v>
      </c>
      <c r="L10" s="75">
        <f>I30</f>
        <v>2.7030695950044502E-2</v>
      </c>
      <c r="M10" s="75">
        <f>I31</f>
        <v>2.8412947447489963E-2</v>
      </c>
      <c r="N10" s="75">
        <f>I32</f>
        <v>2.9718407195077338E-2</v>
      </c>
      <c r="O10" s="75">
        <f>I33</f>
        <v>3.1231204667281531E-2</v>
      </c>
      <c r="S10" s="12" t="s">
        <v>498</v>
      </c>
      <c r="T10" s="15">
        <f>G30</f>
        <v>12020.946606425739</v>
      </c>
      <c r="U10" s="15">
        <f>G31</f>
        <v>12033.045602920778</v>
      </c>
      <c r="V10" s="15">
        <f>G32</f>
        <v>12046.850043070701</v>
      </c>
      <c r="W10" s="15">
        <f>G33</f>
        <v>12573.413816062179</v>
      </c>
    </row>
    <row r="11" spans="1:23" x14ac:dyDescent="0.2">
      <c r="A11" s="12" t="str">
        <f>Technologies!C61</f>
        <v>TBDSLC</v>
      </c>
      <c r="B11" s="83" t="s">
        <v>1580</v>
      </c>
      <c r="C11" s="12" t="s">
        <v>758</v>
      </c>
      <c r="E11" s="15">
        <v>2015</v>
      </c>
      <c r="F11" s="33">
        <v>12</v>
      </c>
      <c r="G11" s="33">
        <v>10488.438715335413</v>
      </c>
      <c r="H11" s="33">
        <v>555.05381199668852</v>
      </c>
      <c r="I11" s="75">
        <v>3.348888211310911E-2</v>
      </c>
      <c r="J11" s="75"/>
      <c r="K11" s="12" t="s">
        <v>1581</v>
      </c>
      <c r="M11" s="75">
        <f>I34</f>
        <v>3.022523274414067E-2</v>
      </c>
      <c r="N11" s="75">
        <f>I35</f>
        <v>3.0839566743005316E-2</v>
      </c>
      <c r="O11" s="75">
        <f>I36</f>
        <v>3.1231204667281531E-2</v>
      </c>
      <c r="S11" s="12" t="s">
        <v>1581</v>
      </c>
      <c r="T11" s="15"/>
      <c r="U11" s="15">
        <f>G34</f>
        <v>12097.884639988599</v>
      </c>
      <c r="V11" s="15">
        <f>G35</f>
        <v>12081.087628897085</v>
      </c>
      <c r="W11" s="15">
        <f>G36</f>
        <v>12404.542716046335</v>
      </c>
    </row>
    <row r="12" spans="1:23" x14ac:dyDescent="0.2">
      <c r="B12" s="83"/>
      <c r="C12" s="12" t="s">
        <v>758</v>
      </c>
      <c r="E12" s="15">
        <v>2020</v>
      </c>
      <c r="F12" s="33">
        <v>12</v>
      </c>
      <c r="G12" s="33">
        <v>10598.809880170465</v>
      </c>
      <c r="H12" s="33">
        <v>555.05381199668852</v>
      </c>
      <c r="I12" s="75">
        <v>3.4986321235341691E-2</v>
      </c>
      <c r="J12" s="75"/>
      <c r="K12" s="12" t="s">
        <v>500</v>
      </c>
      <c r="L12" s="75">
        <f>I40</f>
        <v>2.7477593548993765E-2</v>
      </c>
      <c r="M12" s="75">
        <f>I41</f>
        <v>2.7477593548993765E-2</v>
      </c>
      <c r="N12" s="75">
        <f>I42</f>
        <v>2.7477593548993765E-2</v>
      </c>
      <c r="O12" s="75">
        <f>I43</f>
        <v>2.7477593548993765E-2</v>
      </c>
      <c r="S12" s="12" t="s">
        <v>500</v>
      </c>
      <c r="T12" s="15">
        <f>G40</f>
        <v>63771.600034088806</v>
      </c>
      <c r="U12" s="15">
        <f>G41</f>
        <v>51017.280027271045</v>
      </c>
      <c r="V12" s="15">
        <f>G42</f>
        <v>31885.800017044403</v>
      </c>
      <c r="W12" s="15">
        <f>G43</f>
        <v>19131.480010226642</v>
      </c>
    </row>
    <row r="13" spans="1:23" x14ac:dyDescent="0.2">
      <c r="A13" s="12" t="str">
        <f>Technologies!C62</f>
        <v>TBDSLIM</v>
      </c>
      <c r="B13" s="83" t="s">
        <v>216</v>
      </c>
      <c r="C13" s="12" t="s">
        <v>758</v>
      </c>
      <c r="E13" s="15">
        <v>2040</v>
      </c>
      <c r="F13" s="33">
        <v>12</v>
      </c>
      <c r="G13" s="33">
        <v>10912.547156305081</v>
      </c>
      <c r="H13" s="33">
        <v>555.05381199668852</v>
      </c>
      <c r="I13" s="75">
        <v>3.9094679852749017E-2</v>
      </c>
      <c r="J13" s="75"/>
      <c r="K13" s="12" t="s">
        <v>1582</v>
      </c>
      <c r="L13" s="75">
        <f>I44</f>
        <v>4.9930712849028683E-2</v>
      </c>
      <c r="M13" s="75">
        <f>I45</f>
        <v>4.9930712849028683E-2</v>
      </c>
      <c r="N13" s="75">
        <f>I46</f>
        <v>4.9930712849028683E-2</v>
      </c>
      <c r="O13" s="75">
        <f>I47</f>
        <v>4.9930712849028683E-2</v>
      </c>
      <c r="S13" s="12" t="s">
        <v>1582</v>
      </c>
      <c r="T13" s="15">
        <f>G44</f>
        <v>63771.600034088806</v>
      </c>
      <c r="U13" s="15">
        <f>G45</f>
        <v>51017.280027271045</v>
      </c>
      <c r="V13" s="15">
        <f>G46</f>
        <v>31885.800017044403</v>
      </c>
      <c r="W13" s="15">
        <f>G47</f>
        <v>19131.480010226642</v>
      </c>
    </row>
    <row r="14" spans="1:23" x14ac:dyDescent="0.2">
      <c r="A14" s="12" t="str">
        <f>Technologies!C63</f>
        <v>TBDSLADV</v>
      </c>
      <c r="B14" s="83" t="s">
        <v>1583</v>
      </c>
      <c r="C14" s="12" t="s">
        <v>758</v>
      </c>
      <c r="E14" s="15">
        <v>2015</v>
      </c>
      <c r="F14" s="33">
        <v>12</v>
      </c>
      <c r="G14" s="33">
        <v>10807.968064260209</v>
      </c>
      <c r="H14" s="33">
        <v>555.05381199668852</v>
      </c>
      <c r="I14" s="75">
        <v>3.7727786705275178E-2</v>
      </c>
    </row>
    <row r="15" spans="1:23" x14ac:dyDescent="0.2">
      <c r="B15" s="83"/>
      <c r="C15" s="12" t="s">
        <v>758</v>
      </c>
      <c r="E15" s="15">
        <v>2025</v>
      </c>
      <c r="F15" s="33">
        <v>12</v>
      </c>
      <c r="G15" s="33">
        <v>10912.547156305081</v>
      </c>
      <c r="H15" s="33">
        <v>555.05381199668852</v>
      </c>
      <c r="I15" s="75">
        <v>3.9094679852749017E-2</v>
      </c>
    </row>
    <row r="16" spans="1:23" x14ac:dyDescent="0.2">
      <c r="B16" s="83"/>
      <c r="C16" s="12" t="s">
        <v>758</v>
      </c>
      <c r="E16" s="15">
        <v>2040</v>
      </c>
      <c r="F16" s="33">
        <v>12</v>
      </c>
      <c r="G16" s="33">
        <v>11236.002243454332</v>
      </c>
      <c r="H16" s="33">
        <v>555.05381199668852</v>
      </c>
      <c r="I16" s="75">
        <v>3.9355771802266494E-2</v>
      </c>
    </row>
    <row r="17" spans="1:9" x14ac:dyDescent="0.2">
      <c r="A17" s="12" t="str">
        <f>Technologies!C64</f>
        <v>TBDSLAH</v>
      </c>
      <c r="B17" s="83" t="s">
        <v>1584</v>
      </c>
      <c r="C17" s="12" t="s">
        <v>758</v>
      </c>
      <c r="E17" s="15">
        <v>2015</v>
      </c>
      <c r="F17" s="33">
        <v>12</v>
      </c>
      <c r="G17" s="33">
        <v>17887.168141143909</v>
      </c>
      <c r="H17" s="33">
        <v>564.46150372544582</v>
      </c>
      <c r="I17" s="75">
        <v>5.3892450050401219E-2</v>
      </c>
    </row>
    <row r="18" spans="1:9" x14ac:dyDescent="0.2">
      <c r="B18" s="83"/>
      <c r="C18" s="12" t="s">
        <v>758</v>
      </c>
      <c r="E18" s="15">
        <v>2025</v>
      </c>
      <c r="F18" s="33">
        <v>12</v>
      </c>
      <c r="G18" s="33">
        <v>15563.581606817675</v>
      </c>
      <c r="H18" s="33">
        <v>564.46150372544582</v>
      </c>
      <c r="I18" s="75">
        <v>5.5850639671782283E-2</v>
      </c>
    </row>
    <row r="19" spans="1:9" x14ac:dyDescent="0.2">
      <c r="B19" s="83"/>
      <c r="C19" s="12" t="s">
        <v>758</v>
      </c>
      <c r="E19" s="15">
        <v>2040</v>
      </c>
      <c r="F19" s="33">
        <v>12</v>
      </c>
      <c r="G19" s="33">
        <v>15887.036693966924</v>
      </c>
      <c r="H19" s="33">
        <v>564.46150372544582</v>
      </c>
      <c r="I19" s="75">
        <v>5.6557123770476642E-2</v>
      </c>
    </row>
    <row r="20" spans="1:9" x14ac:dyDescent="0.2">
      <c r="A20" s="12" t="e">
        <f>Technologies!#REF!</f>
        <v>#REF!</v>
      </c>
      <c r="B20" s="12" t="s">
        <v>1585</v>
      </c>
      <c r="C20" s="12" t="s">
        <v>1131</v>
      </c>
      <c r="E20" s="15">
        <v>2010</v>
      </c>
      <c r="F20" s="33">
        <v>12</v>
      </c>
      <c r="G20" s="33">
        <v>10426.65660557352</v>
      </c>
      <c r="H20" s="33">
        <v>524.22213355219355</v>
      </c>
      <c r="I20" s="75">
        <v>3.1770686560191462E-2</v>
      </c>
    </row>
    <row r="21" spans="1:9" x14ac:dyDescent="0.2">
      <c r="A21" s="12" t="str">
        <f>Technologies!C66</f>
        <v>TBB20C</v>
      </c>
      <c r="B21" s="12" t="s">
        <v>1586</v>
      </c>
      <c r="C21" s="12" t="s">
        <v>1131</v>
      </c>
      <c r="E21" s="15">
        <v>2015</v>
      </c>
      <c r="F21" s="33">
        <v>12</v>
      </c>
      <c r="G21" s="33">
        <v>10488.438715335413</v>
      </c>
      <c r="H21" s="33">
        <v>524.22213355219355</v>
      </c>
      <c r="I21" s="75">
        <v>3.3466657992510862E-2</v>
      </c>
    </row>
    <row r="22" spans="1:9" x14ac:dyDescent="0.2">
      <c r="C22" s="12" t="s">
        <v>1131</v>
      </c>
      <c r="E22" s="15">
        <v>2020</v>
      </c>
      <c r="F22" s="33">
        <v>12</v>
      </c>
      <c r="G22" s="33">
        <v>10749.403772715079</v>
      </c>
      <c r="H22" s="33">
        <v>524.22213355219355</v>
      </c>
      <c r="I22" s="75">
        <v>3.496310337396915E-2</v>
      </c>
    </row>
    <row r="23" spans="1:9" x14ac:dyDescent="0.2">
      <c r="A23" s="12" t="str">
        <f>Technologies!C67</f>
        <v>TBB20IM</v>
      </c>
      <c r="B23" s="12" t="s">
        <v>1587</v>
      </c>
      <c r="C23" s="12" t="s">
        <v>1131</v>
      </c>
      <c r="E23" s="15">
        <v>2040</v>
      </c>
      <c r="F23" s="33">
        <v>12</v>
      </c>
      <c r="G23" s="33">
        <v>11404.873343470175</v>
      </c>
      <c r="H23" s="33">
        <v>524.22213355219355</v>
      </c>
      <c r="I23" s="75">
        <v>3.906873557438037E-2</v>
      </c>
    </row>
    <row r="24" spans="1:9" x14ac:dyDescent="0.2">
      <c r="A24" s="12" t="str">
        <f>Technologies!C68</f>
        <v>TBB20ADV</v>
      </c>
      <c r="B24" s="83" t="s">
        <v>1588</v>
      </c>
      <c r="C24" s="12" t="s">
        <v>1131</v>
      </c>
      <c r="E24" s="15">
        <v>2015</v>
      </c>
      <c r="F24" s="33">
        <v>12</v>
      </c>
      <c r="G24" s="33">
        <v>10807.968064260209</v>
      </c>
      <c r="H24" s="33">
        <v>524.22213355219355</v>
      </c>
      <c r="I24" s="75">
        <v>3.7700577129058895E-2</v>
      </c>
    </row>
    <row r="25" spans="1:9" x14ac:dyDescent="0.2">
      <c r="B25" s="83"/>
      <c r="C25" s="12" t="s">
        <v>1131</v>
      </c>
      <c r="E25" s="15">
        <v>2025</v>
      </c>
      <c r="F25" s="33">
        <v>12</v>
      </c>
      <c r="G25" s="33">
        <v>10912.547156305081</v>
      </c>
      <c r="H25" s="33">
        <v>524.22213355219355</v>
      </c>
      <c r="I25" s="75">
        <v>3.9067955574154302E-2</v>
      </c>
    </row>
    <row r="26" spans="1:9" x14ac:dyDescent="0.2">
      <c r="B26" s="83"/>
      <c r="C26" s="12" t="s">
        <v>1131</v>
      </c>
      <c r="E26" s="15">
        <v>2040</v>
      </c>
      <c r="F26" s="33">
        <v>12</v>
      </c>
      <c r="G26" s="33">
        <v>11236.005461272549</v>
      </c>
      <c r="H26" s="33">
        <v>524.22213355219355</v>
      </c>
      <c r="I26" s="75">
        <v>3.956248665737145E-2</v>
      </c>
    </row>
    <row r="27" spans="1:9" x14ac:dyDescent="0.2">
      <c r="A27" s="12" t="str">
        <f>Technologies!C69</f>
        <v>TBB20AH</v>
      </c>
      <c r="B27" s="83" t="s">
        <v>1589</v>
      </c>
      <c r="C27" s="12" t="s">
        <v>1131</v>
      </c>
      <c r="E27" s="15">
        <v>2015</v>
      </c>
      <c r="F27" s="33">
        <v>12</v>
      </c>
      <c r="G27" s="33">
        <v>17887.168141143909</v>
      </c>
      <c r="H27" s="33">
        <v>564.46150372544582</v>
      </c>
      <c r="I27" s="75">
        <v>5.3857967327227002E-2</v>
      </c>
    </row>
    <row r="28" spans="1:9" x14ac:dyDescent="0.2">
      <c r="B28" s="83"/>
      <c r="C28" s="12" t="s">
        <v>1131</v>
      </c>
      <c r="E28" s="15">
        <v>2025</v>
      </c>
      <c r="F28" s="33">
        <v>12</v>
      </c>
      <c r="G28" s="33">
        <v>15563.581606817675</v>
      </c>
      <c r="H28" s="33">
        <v>564.46150372544582</v>
      </c>
      <c r="I28" s="75">
        <v>5.5811365105934721E-2</v>
      </c>
    </row>
    <row r="29" spans="1:9" x14ac:dyDescent="0.2">
      <c r="B29" s="83"/>
      <c r="C29" s="12" t="s">
        <v>1131</v>
      </c>
      <c r="E29" s="15">
        <v>2040</v>
      </c>
      <c r="F29" s="33">
        <v>12</v>
      </c>
      <c r="G29" s="33">
        <v>15887.039911785143</v>
      </c>
      <c r="H29" s="33">
        <v>564.46150372544582</v>
      </c>
      <c r="I29" s="75">
        <v>5.6517838081959204E-2</v>
      </c>
    </row>
    <row r="30" spans="1:9" x14ac:dyDescent="0.2">
      <c r="A30" s="78" t="e">
        <f>Technologies!#REF!</f>
        <v>#REF!</v>
      </c>
      <c r="B30" s="78" t="s">
        <v>1590</v>
      </c>
      <c r="C30" s="12" t="s">
        <v>498</v>
      </c>
      <c r="E30" s="15">
        <v>2010</v>
      </c>
      <c r="F30" s="33">
        <v>12</v>
      </c>
      <c r="G30" s="33">
        <v>12020.946606425739</v>
      </c>
      <c r="H30" s="33">
        <v>639.72303755550536</v>
      </c>
      <c r="I30" s="75">
        <v>2.7030695950044502E-2</v>
      </c>
    </row>
    <row r="31" spans="1:9" x14ac:dyDescent="0.2">
      <c r="A31" s="12" t="str">
        <f>Technologies!C71</f>
        <v>TBCNGC</v>
      </c>
      <c r="B31" s="12" t="s">
        <v>1591</v>
      </c>
      <c r="C31" s="12" t="s">
        <v>498</v>
      </c>
      <c r="E31" s="15">
        <v>2015</v>
      </c>
      <c r="F31" s="33">
        <v>12</v>
      </c>
      <c r="G31" s="33">
        <v>12033.045602920778</v>
      </c>
      <c r="H31" s="33">
        <v>639.72303755550536</v>
      </c>
      <c r="I31" s="75">
        <v>2.8412947447489963E-2</v>
      </c>
    </row>
    <row r="32" spans="1:9" x14ac:dyDescent="0.2">
      <c r="C32" s="12" t="s">
        <v>498</v>
      </c>
      <c r="E32" s="15">
        <v>2020</v>
      </c>
      <c r="F32" s="33">
        <v>12</v>
      </c>
      <c r="G32" s="33">
        <v>12046.850043070701</v>
      </c>
      <c r="H32" s="33">
        <v>639.72303755550536</v>
      </c>
      <c r="I32" s="75">
        <v>2.9718407195077338E-2</v>
      </c>
    </row>
    <row r="33" spans="1:9" x14ac:dyDescent="0.2">
      <c r="A33" s="12" t="str">
        <f>Technologies!C72</f>
        <v>TBCNGIM</v>
      </c>
      <c r="B33" s="12" t="s">
        <v>230</v>
      </c>
      <c r="C33" s="12" t="s">
        <v>498</v>
      </c>
      <c r="E33" s="15">
        <v>2040</v>
      </c>
      <c r="F33" s="33">
        <v>12</v>
      </c>
      <c r="G33" s="33">
        <v>12573.413816062179</v>
      </c>
      <c r="H33" s="33">
        <v>639.72303755550536</v>
      </c>
      <c r="I33" s="75">
        <v>3.1231204667281531E-2</v>
      </c>
    </row>
    <row r="34" spans="1:9" x14ac:dyDescent="0.2">
      <c r="A34" s="12" t="str">
        <f>Technologies!C73</f>
        <v>TBCNGADV</v>
      </c>
      <c r="B34" s="12" t="s">
        <v>1592</v>
      </c>
      <c r="C34" s="12" t="s">
        <v>498</v>
      </c>
      <c r="E34" s="15">
        <v>2015</v>
      </c>
      <c r="F34" s="33">
        <v>12</v>
      </c>
      <c r="G34" s="33">
        <v>12097.884639988599</v>
      </c>
      <c r="H34" s="33">
        <v>639.72303755550536</v>
      </c>
      <c r="I34" s="75">
        <v>3.022523274414067E-2</v>
      </c>
    </row>
    <row r="35" spans="1:9" x14ac:dyDescent="0.2">
      <c r="C35" s="12" t="s">
        <v>498</v>
      </c>
      <c r="E35" s="15">
        <v>2025</v>
      </c>
      <c r="F35" s="33">
        <v>12</v>
      </c>
      <c r="G35" s="33">
        <v>12081.087628897085</v>
      </c>
      <c r="H35" s="33">
        <v>639.72303755550536</v>
      </c>
      <c r="I35" s="75">
        <v>3.0839566743005316E-2</v>
      </c>
    </row>
    <row r="36" spans="1:9" x14ac:dyDescent="0.2">
      <c r="C36" s="12" t="s">
        <v>498</v>
      </c>
      <c r="E36" s="15">
        <v>2040</v>
      </c>
      <c r="F36" s="33">
        <v>12</v>
      </c>
      <c r="G36" s="33">
        <v>12404.542716046335</v>
      </c>
      <c r="H36" s="33">
        <v>639.72303755550536</v>
      </c>
      <c r="I36" s="75">
        <v>3.1231204667281531E-2</v>
      </c>
    </row>
    <row r="37" spans="1:9" x14ac:dyDescent="0.2">
      <c r="A37" s="12" t="str">
        <f>Technologies!C74</f>
        <v>TBCNGAH</v>
      </c>
      <c r="B37" s="12" t="s">
        <v>1593</v>
      </c>
      <c r="C37" s="12" t="s">
        <v>498</v>
      </c>
      <c r="E37" s="15">
        <v>2015</v>
      </c>
      <c r="F37" s="33">
        <v>12</v>
      </c>
      <c r="G37" s="33">
        <v>18533.521073519238</v>
      </c>
      <c r="H37" s="33">
        <v>649.13072928426288</v>
      </c>
      <c r="I37" s="75">
        <v>4.0300310325520894E-2</v>
      </c>
    </row>
    <row r="38" spans="1:9" x14ac:dyDescent="0.2">
      <c r="C38" s="12" t="s">
        <v>498</v>
      </c>
      <c r="E38" s="15">
        <v>2025</v>
      </c>
      <c r="F38" s="33">
        <v>12</v>
      </c>
      <c r="G38" s="33">
        <v>16309.300765726714</v>
      </c>
      <c r="H38" s="33">
        <v>649.13072928426288</v>
      </c>
      <c r="I38" s="75">
        <v>4.1121982049002359E-2</v>
      </c>
    </row>
    <row r="39" spans="1:9" x14ac:dyDescent="0.2">
      <c r="C39" s="12" t="s">
        <v>498</v>
      </c>
      <c r="E39" s="15">
        <v>2040</v>
      </c>
      <c r="F39" s="33">
        <v>12</v>
      </c>
      <c r="G39" s="33">
        <v>16632.755852875962</v>
      </c>
      <c r="H39" s="33">
        <v>649.13072928426288</v>
      </c>
      <c r="I39" s="75">
        <v>4.1644165948037312E-2</v>
      </c>
    </row>
    <row r="40" spans="1:9" x14ac:dyDescent="0.2">
      <c r="A40" s="12" t="str">
        <f>Technologies!C75</f>
        <v>TBH2FC</v>
      </c>
      <c r="B40" s="12" t="s">
        <v>1594</v>
      </c>
      <c r="C40" s="12" t="s">
        <v>1503</v>
      </c>
      <c r="E40" s="15">
        <v>2010</v>
      </c>
      <c r="F40" s="33">
        <v>12</v>
      </c>
      <c r="G40" s="33">
        <v>63771.600034088806</v>
      </c>
      <c r="H40" s="33">
        <v>1317.0768420260404</v>
      </c>
      <c r="I40" s="75">
        <v>2.7477593548993765E-2</v>
      </c>
    </row>
    <row r="41" spans="1:9" x14ac:dyDescent="0.2">
      <c r="C41" s="12" t="s">
        <v>1503</v>
      </c>
      <c r="E41" s="15">
        <v>2015</v>
      </c>
      <c r="F41" s="33">
        <v>12</v>
      </c>
      <c r="G41" s="33">
        <v>51017.280027271045</v>
      </c>
      <c r="H41" s="33">
        <v>1317.0768420260404</v>
      </c>
      <c r="I41" s="75">
        <v>2.7477593548993765E-2</v>
      </c>
    </row>
    <row r="42" spans="1:9" x14ac:dyDescent="0.2">
      <c r="C42" s="12" t="s">
        <v>1503</v>
      </c>
      <c r="E42" s="15">
        <v>2025</v>
      </c>
      <c r="F42" s="33">
        <v>12</v>
      </c>
      <c r="G42" s="33">
        <v>31885.800017044403</v>
      </c>
      <c r="H42" s="33">
        <v>1317.0768420260404</v>
      </c>
      <c r="I42" s="75">
        <v>2.7477593548993765E-2</v>
      </c>
    </row>
    <row r="43" spans="1:9" x14ac:dyDescent="0.2">
      <c r="C43" s="12" t="s">
        <v>1503</v>
      </c>
      <c r="E43" s="15">
        <v>2040</v>
      </c>
      <c r="F43" s="33">
        <v>12</v>
      </c>
      <c r="G43" s="33">
        <v>19131.480010226642</v>
      </c>
      <c r="H43" s="33">
        <v>1317.0768420260404</v>
      </c>
      <c r="I43" s="75">
        <v>2.7477593548993765E-2</v>
      </c>
    </row>
    <row r="44" spans="1:9" x14ac:dyDescent="0.2">
      <c r="A44" s="12" t="str">
        <f>Technologies!C76</f>
        <v>TBH2HYB</v>
      </c>
      <c r="B44" s="12" t="s">
        <v>1595</v>
      </c>
      <c r="C44" s="12" t="s">
        <v>1503</v>
      </c>
      <c r="E44" s="15">
        <v>2010</v>
      </c>
      <c r="F44" s="33">
        <v>12</v>
      </c>
      <c r="G44" s="33">
        <v>63771.600034088806</v>
      </c>
      <c r="H44" s="33">
        <v>1317.0768420260404</v>
      </c>
      <c r="I44" s="75">
        <v>4.9930712849028683E-2</v>
      </c>
    </row>
    <row r="45" spans="1:9" x14ac:dyDescent="0.2">
      <c r="C45" s="12" t="s">
        <v>1503</v>
      </c>
      <c r="E45" s="15">
        <v>2015</v>
      </c>
      <c r="F45" s="33">
        <v>12</v>
      </c>
      <c r="G45" s="33">
        <v>51017.280027271045</v>
      </c>
      <c r="H45" s="33">
        <v>1317.0768420260404</v>
      </c>
      <c r="I45" s="75">
        <v>4.9930712849028683E-2</v>
      </c>
    </row>
    <row r="46" spans="1:9" x14ac:dyDescent="0.2">
      <c r="C46" s="12" t="s">
        <v>1503</v>
      </c>
      <c r="E46" s="15">
        <v>2025</v>
      </c>
      <c r="F46" s="33">
        <v>12</v>
      </c>
      <c r="G46" s="33">
        <v>31885.800017044403</v>
      </c>
      <c r="H46" s="33">
        <v>1317.0768420260404</v>
      </c>
      <c r="I46" s="75">
        <v>4.9930712849028683E-2</v>
      </c>
    </row>
    <row r="47" spans="1:9" x14ac:dyDescent="0.2">
      <c r="C47" s="12" t="s">
        <v>1503</v>
      </c>
      <c r="E47" s="15">
        <v>2040</v>
      </c>
      <c r="F47" s="33">
        <v>12</v>
      </c>
      <c r="G47" s="33">
        <v>19131.480010226642</v>
      </c>
      <c r="H47" s="33">
        <v>1317.0768420260404</v>
      </c>
      <c r="I47" s="75">
        <v>4.9930712849028683E-2</v>
      </c>
    </row>
    <row r="49" spans="1:8" x14ac:dyDescent="0.2">
      <c r="B49" s="83" t="s">
        <v>1596</v>
      </c>
    </row>
    <row r="50" spans="1:8" x14ac:dyDescent="0.2">
      <c r="B50" s="78" t="s">
        <v>1597</v>
      </c>
      <c r="C50" s="78"/>
      <c r="D50" s="78"/>
      <c r="E50" s="78"/>
      <c r="F50" s="78"/>
    </row>
    <row r="52" spans="1:8" x14ac:dyDescent="0.2">
      <c r="B52" s="12" t="s">
        <v>1598</v>
      </c>
    </row>
    <row r="55" spans="1:8" x14ac:dyDescent="0.2">
      <c r="A55" s="29" t="s">
        <v>1134</v>
      </c>
      <c r="B55" s="26"/>
      <c r="C55" s="28" t="s">
        <v>1599</v>
      </c>
      <c r="D55" s="28"/>
      <c r="E55" s="28" t="s">
        <v>474</v>
      </c>
      <c r="F55" s="28" t="s">
        <v>476</v>
      </c>
      <c r="G55" s="28" t="s">
        <v>477</v>
      </c>
      <c r="H55" s="28" t="s">
        <v>475</v>
      </c>
    </row>
    <row r="56" spans="1:8" x14ac:dyDescent="0.2">
      <c r="A56" s="122" t="s">
        <v>1600</v>
      </c>
      <c r="B56" s="122"/>
      <c r="C56" s="30"/>
      <c r="D56" s="30"/>
      <c r="E56" s="28"/>
      <c r="F56" s="30" t="s">
        <v>1601</v>
      </c>
      <c r="G56" s="30" t="s">
        <v>1601</v>
      </c>
      <c r="H56" s="30" t="s">
        <v>1602</v>
      </c>
    </row>
    <row r="57" spans="1:8" x14ac:dyDescent="0.2">
      <c r="A57" s="122" t="s">
        <v>1603</v>
      </c>
      <c r="B57" s="122"/>
      <c r="C57" s="30"/>
      <c r="D57" s="30"/>
      <c r="E57" s="28"/>
    </row>
    <row r="58" spans="1:8" x14ac:dyDescent="0.2">
      <c r="A58" s="122" t="s">
        <v>1604</v>
      </c>
      <c r="B58" s="122"/>
      <c r="C58" s="30"/>
      <c r="D58" s="30"/>
      <c r="E58" s="28"/>
    </row>
    <row r="59" spans="1:8" x14ac:dyDescent="0.2">
      <c r="A59" s="26" t="s">
        <v>1605</v>
      </c>
      <c r="B59" s="26" t="s">
        <v>408</v>
      </c>
      <c r="C59" s="30">
        <v>1</v>
      </c>
      <c r="D59" s="30"/>
      <c r="E59" s="17">
        <v>30</v>
      </c>
      <c r="F59" s="18">
        <v>216.10599999999999</v>
      </c>
      <c r="G59" s="18">
        <v>10.805</v>
      </c>
      <c r="H59" s="32">
        <f>'Rail&amp;Bus'!H28*'Rail&amp;Bus'!F28*'Conv Factors'!B13/1000</f>
        <v>1.147236643778262</v>
      </c>
    </row>
    <row r="60" spans="1:8" x14ac:dyDescent="0.2">
      <c r="A60" s="26" t="s">
        <v>405</v>
      </c>
      <c r="B60" s="26" t="s">
        <v>406</v>
      </c>
      <c r="C60" s="30">
        <v>1</v>
      </c>
      <c r="D60" s="30"/>
      <c r="E60" s="17">
        <v>30</v>
      </c>
      <c r="F60" s="18">
        <f>F61</f>
        <v>1284.7941201945534</v>
      </c>
      <c r="G60" s="18">
        <f>G61</f>
        <v>128.47941201945534</v>
      </c>
      <c r="H60" s="32">
        <f>'Rail&amp;Bus'!H25*'Rail&amp;Bus'!F25*'Conv Factors'!B13/1000</f>
        <v>0.63495881767725038</v>
      </c>
    </row>
    <row r="61" spans="1:8" x14ac:dyDescent="0.2">
      <c r="A61" s="26" t="s">
        <v>403</v>
      </c>
      <c r="B61" s="26" t="s">
        <v>404</v>
      </c>
      <c r="C61" s="30">
        <v>1</v>
      </c>
      <c r="D61" s="30"/>
      <c r="E61" s="17">
        <v>30</v>
      </c>
      <c r="F61" s="18">
        <v>1284.7941201945534</v>
      </c>
      <c r="G61" s="18">
        <v>128.47941201945534</v>
      </c>
      <c r="H61" s="32">
        <f>'Rail&amp;Bus'!H25*'Rail&amp;Bus'!F25*'Conv Factors'!B13/1000</f>
        <v>0.63495881767725038</v>
      </c>
    </row>
    <row r="62" spans="1:8" x14ac:dyDescent="0.2">
      <c r="A62" s="14" t="str">
        <f>Technologies!C194</f>
        <v>TPDSLIR</v>
      </c>
      <c r="B62" s="26" t="s">
        <v>410</v>
      </c>
      <c r="C62" s="30">
        <v>1</v>
      </c>
      <c r="D62" s="30"/>
      <c r="E62" s="17">
        <v>30</v>
      </c>
      <c r="F62" s="18">
        <v>181.59138325036903</v>
      </c>
      <c r="G62" s="18">
        <v>18.159138325036903</v>
      </c>
      <c r="H62" s="32">
        <f>'Rail&amp;Bus'!H30*'Rail&amp;Bus'!F30*'Conv Factors'!B13/1000</f>
        <v>0.38846397260273979</v>
      </c>
    </row>
    <row r="63" spans="1:8" x14ac:dyDescent="0.2">
      <c r="A63" s="26"/>
      <c r="B63" s="26"/>
      <c r="C63" s="30"/>
      <c r="D63" s="17"/>
      <c r="E63" s="26"/>
      <c r="F63" s="17"/>
      <c r="G63" s="17"/>
      <c r="H63" s="32"/>
    </row>
    <row r="64" spans="1:8" x14ac:dyDescent="0.2">
      <c r="A64" s="26"/>
      <c r="B64" s="26"/>
      <c r="C64" s="30"/>
      <c r="D64" s="26"/>
      <c r="E64" s="26"/>
      <c r="F64" s="26"/>
      <c r="G64" s="30"/>
      <c r="H64" s="26"/>
    </row>
    <row r="65" spans="3:8" x14ac:dyDescent="0.2">
      <c r="C65" s="30"/>
      <c r="D65" s="26"/>
      <c r="E65" s="26"/>
      <c r="F65" s="26"/>
      <c r="G65" s="30"/>
      <c r="H65" s="26"/>
    </row>
  </sheetData>
  <mergeCells count="2">
    <mergeCell ref="G5:G6"/>
    <mergeCell ref="H5:H6"/>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72"/>
  <sheetViews>
    <sheetView workbookViewId="0">
      <selection activeCell="N15" sqref="N15"/>
    </sheetView>
  </sheetViews>
  <sheetFormatPr defaultColWidth="9.140625" defaultRowHeight="11.25" x14ac:dyDescent="0.2"/>
  <cols>
    <col min="1" max="1" width="20" style="12" customWidth="1"/>
    <col min="2" max="2" width="10.42578125" style="12" bestFit="1" customWidth="1"/>
    <col min="3" max="16384" width="9.140625" style="12"/>
  </cols>
  <sheetData>
    <row r="1" spans="1:11" x14ac:dyDescent="0.2">
      <c r="A1" s="13" t="s">
        <v>1606</v>
      </c>
      <c r="G1" s="17"/>
      <c r="H1" s="17"/>
      <c r="I1" s="17"/>
      <c r="J1" s="17"/>
      <c r="K1" s="18"/>
    </row>
    <row r="2" spans="1:11" x14ac:dyDescent="0.2">
      <c r="A2" s="12" t="s">
        <v>1607</v>
      </c>
      <c r="B2" s="12">
        <v>24</v>
      </c>
      <c r="G2" s="17"/>
      <c r="H2" s="17"/>
      <c r="I2" s="17"/>
      <c r="J2" s="17"/>
      <c r="K2" s="18"/>
    </row>
    <row r="3" spans="1:11" x14ac:dyDescent="0.2">
      <c r="A3" s="12" t="s">
        <v>1608</v>
      </c>
      <c r="B3" s="12">
        <v>365</v>
      </c>
      <c r="E3" s="19"/>
      <c r="F3" s="19"/>
      <c r="G3" s="17"/>
      <c r="H3" s="17"/>
      <c r="I3" s="17"/>
      <c r="J3" s="17"/>
      <c r="K3" s="18"/>
    </row>
    <row r="4" spans="1:11" x14ac:dyDescent="0.2">
      <c r="A4" s="12" t="s">
        <v>1609</v>
      </c>
      <c r="B4" s="12">
        <v>1055.056</v>
      </c>
      <c r="E4" s="19"/>
      <c r="F4" s="19"/>
      <c r="G4" s="17"/>
      <c r="H4" s="17"/>
      <c r="I4" s="17"/>
      <c r="J4" s="17"/>
      <c r="K4" s="18"/>
    </row>
    <row r="5" spans="1:11" x14ac:dyDescent="0.2">
      <c r="A5" s="12" t="s">
        <v>1610</v>
      </c>
      <c r="B5" s="12">
        <v>3.4119999999999999</v>
      </c>
      <c r="E5" s="19"/>
      <c r="F5" s="19"/>
      <c r="G5" s="17"/>
      <c r="H5" s="17"/>
      <c r="I5" s="17"/>
      <c r="J5" s="17"/>
      <c r="K5" s="18"/>
    </row>
    <row r="6" spans="1:11" x14ac:dyDescent="0.2">
      <c r="A6" s="12" t="s">
        <v>1611</v>
      </c>
      <c r="B6" s="20">
        <v>1000000000000000</v>
      </c>
    </row>
    <row r="7" spans="1:11" x14ac:dyDescent="0.2">
      <c r="A7" s="12" t="s">
        <v>1612</v>
      </c>
      <c r="B7" s="20">
        <v>1000000</v>
      </c>
    </row>
    <row r="8" spans="1:11" x14ac:dyDescent="0.2">
      <c r="A8" s="21" t="s">
        <v>1613</v>
      </c>
      <c r="B8" s="22">
        <v>1000000000000</v>
      </c>
    </row>
    <row r="9" spans="1:11" x14ac:dyDescent="0.2">
      <c r="A9" s="21" t="s">
        <v>1614</v>
      </c>
      <c r="B9" s="22">
        <v>1000000000</v>
      </c>
    </row>
    <row r="10" spans="1:11" x14ac:dyDescent="0.2">
      <c r="A10" s="12" t="s">
        <v>1615</v>
      </c>
      <c r="B10" s="12">
        <v>2.7780000000000001E-7</v>
      </c>
      <c r="F10" s="23"/>
    </row>
    <row r="11" spans="1:11" ht="11.25" customHeight="1" x14ac:dyDescent="0.2">
      <c r="A11" s="12" t="s">
        <v>1616</v>
      </c>
      <c r="B11" s="20">
        <v>1000000</v>
      </c>
      <c r="F11" s="23"/>
    </row>
    <row r="12" spans="1:11" x14ac:dyDescent="0.2">
      <c r="A12" s="12" t="s">
        <v>1617</v>
      </c>
      <c r="B12" s="20">
        <v>1000000</v>
      </c>
    </row>
    <row r="13" spans="1:11" x14ac:dyDescent="0.2">
      <c r="A13" s="12" t="s">
        <v>1618</v>
      </c>
      <c r="B13" s="12">
        <v>1.054</v>
      </c>
    </row>
    <row r="14" spans="1:11" x14ac:dyDescent="0.2">
      <c r="A14" s="12" t="s">
        <v>1619</v>
      </c>
      <c r="B14" s="12">
        <f>B13/10^6</f>
        <v>1.054E-6</v>
      </c>
    </row>
    <row r="17" spans="1:3" x14ac:dyDescent="0.2">
      <c r="A17" s="13" t="s">
        <v>1620</v>
      </c>
    </row>
    <row r="18" spans="1:3" x14ac:dyDescent="0.2">
      <c r="A18" s="12" t="s">
        <v>1621</v>
      </c>
    </row>
    <row r="19" spans="1:3" x14ac:dyDescent="0.2">
      <c r="A19" s="12" t="s">
        <v>1622</v>
      </c>
    </row>
    <row r="20" spans="1:3" x14ac:dyDescent="0.2">
      <c r="A20" s="12" t="s">
        <v>1623</v>
      </c>
    </row>
    <row r="21" spans="1:3" x14ac:dyDescent="0.2">
      <c r="B21" s="12" t="s">
        <v>1624</v>
      </c>
      <c r="C21" s="12" t="s">
        <v>1625</v>
      </c>
    </row>
    <row r="22" spans="1:3" x14ac:dyDescent="0.2">
      <c r="A22" s="12">
        <v>1983</v>
      </c>
      <c r="B22" s="12">
        <v>65.183999999999997</v>
      </c>
      <c r="C22" s="16">
        <f>$B$44/B22</f>
        <v>1.7340298232695142</v>
      </c>
    </row>
    <row r="23" spans="1:3" x14ac:dyDescent="0.2">
      <c r="A23" s="12">
        <v>1984</v>
      </c>
      <c r="B23" s="12">
        <v>67.631</v>
      </c>
      <c r="C23" s="16">
        <f t="shared" ref="C23:C46" si="0">$B$44/B23</f>
        <v>1.6712897931421982</v>
      </c>
    </row>
    <row r="24" spans="1:3" x14ac:dyDescent="0.2">
      <c r="A24" s="12">
        <v>1985</v>
      </c>
      <c r="B24" s="12">
        <v>69.694999999999993</v>
      </c>
      <c r="C24" s="16">
        <f t="shared" si="0"/>
        <v>1.6217949637707154</v>
      </c>
    </row>
    <row r="25" spans="1:3" x14ac:dyDescent="0.2">
      <c r="A25" s="12">
        <v>1986</v>
      </c>
      <c r="B25" s="12">
        <v>71.227000000000004</v>
      </c>
      <c r="C25" s="16">
        <f t="shared" si="0"/>
        <v>1.5869122664158255</v>
      </c>
    </row>
    <row r="26" spans="1:3" x14ac:dyDescent="0.2">
      <c r="A26" s="12">
        <v>1987</v>
      </c>
      <c r="B26" s="12">
        <v>73.180999999999997</v>
      </c>
      <c r="C26" s="16">
        <f t="shared" si="0"/>
        <v>1.5445402495183178</v>
      </c>
    </row>
    <row r="27" spans="1:3" x14ac:dyDescent="0.2">
      <c r="A27" s="12">
        <v>1988</v>
      </c>
      <c r="B27" s="12">
        <v>75.679000000000002</v>
      </c>
      <c r="C27" s="16">
        <f t="shared" si="0"/>
        <v>1.4935583186881434</v>
      </c>
    </row>
    <row r="28" spans="1:3" x14ac:dyDescent="0.2">
      <c r="A28" s="12">
        <v>1989</v>
      </c>
      <c r="B28" s="12">
        <v>78.549000000000007</v>
      </c>
      <c r="C28" s="16">
        <f t="shared" si="0"/>
        <v>1.4389871290532024</v>
      </c>
    </row>
    <row r="29" spans="1:3" x14ac:dyDescent="0.2">
      <c r="A29" s="12">
        <v>1990</v>
      </c>
      <c r="B29" s="12">
        <v>81.588999999999999</v>
      </c>
      <c r="C29" s="16">
        <f t="shared" si="0"/>
        <v>1.3853705769160058</v>
      </c>
    </row>
    <row r="30" spans="1:3" x14ac:dyDescent="0.2">
      <c r="A30" s="12">
        <v>1991</v>
      </c>
      <c r="B30" s="12">
        <v>84.44</v>
      </c>
      <c r="C30" s="16">
        <f t="shared" si="0"/>
        <v>1.3385954523922312</v>
      </c>
    </row>
    <row r="31" spans="1:3" x14ac:dyDescent="0.2">
      <c r="A31" s="12">
        <v>1992</v>
      </c>
      <c r="B31" s="12">
        <v>86.375</v>
      </c>
      <c r="C31" s="16">
        <f t="shared" si="0"/>
        <v>1.3086078147612157</v>
      </c>
    </row>
    <row r="32" spans="1:3" x14ac:dyDescent="0.2">
      <c r="A32" s="12">
        <v>1993</v>
      </c>
      <c r="B32" s="12">
        <v>88.382000000000005</v>
      </c>
      <c r="C32" s="16">
        <f t="shared" si="0"/>
        <v>1.2788916295173225</v>
      </c>
    </row>
    <row r="33" spans="1:3" x14ac:dyDescent="0.2">
      <c r="A33" s="12">
        <v>1994</v>
      </c>
      <c r="B33" s="12">
        <v>90.262</v>
      </c>
      <c r="C33" s="16">
        <f t="shared" si="0"/>
        <v>1.2522545478717513</v>
      </c>
    </row>
    <row r="34" spans="1:3" x14ac:dyDescent="0.2">
      <c r="A34" s="12">
        <v>1995</v>
      </c>
      <c r="B34" s="12">
        <v>92.114000000000004</v>
      </c>
      <c r="C34" s="16">
        <f t="shared" si="0"/>
        <v>1.2270773172373364</v>
      </c>
    </row>
    <row r="35" spans="1:3" x14ac:dyDescent="0.2">
      <c r="A35" s="12">
        <v>1996</v>
      </c>
      <c r="B35" s="12">
        <v>93.863</v>
      </c>
      <c r="C35" s="16">
        <f t="shared" si="0"/>
        <v>1.2042125225062059</v>
      </c>
    </row>
    <row r="36" spans="1:3" x14ac:dyDescent="0.2">
      <c r="A36" s="12">
        <v>1997</v>
      </c>
      <c r="B36" s="12">
        <v>95.42</v>
      </c>
      <c r="C36" s="16">
        <f t="shared" si="0"/>
        <v>1.1845629846992245</v>
      </c>
    </row>
    <row r="37" spans="1:3" x14ac:dyDescent="0.2">
      <c r="A37" s="12">
        <v>1998</v>
      </c>
      <c r="B37" s="12">
        <v>96.474999999999994</v>
      </c>
      <c r="C37" s="16">
        <f t="shared" si="0"/>
        <v>1.1716092251878727</v>
      </c>
    </row>
    <row r="38" spans="1:3" x14ac:dyDescent="0.2">
      <c r="A38" s="12">
        <v>1999</v>
      </c>
      <c r="B38" s="12">
        <v>97.869</v>
      </c>
      <c r="C38" s="16">
        <f t="shared" si="0"/>
        <v>1.1549213744903903</v>
      </c>
    </row>
    <row r="39" spans="1:3" x14ac:dyDescent="0.2">
      <c r="A39" s="12">
        <v>2000</v>
      </c>
      <c r="B39" s="12">
        <v>100</v>
      </c>
      <c r="C39" s="16">
        <f t="shared" si="0"/>
        <v>1.1303100000000001</v>
      </c>
    </row>
    <row r="40" spans="1:3" x14ac:dyDescent="0.2">
      <c r="A40" s="12">
        <v>2001</v>
      </c>
      <c r="B40" s="12">
        <v>102.396</v>
      </c>
      <c r="C40" s="16">
        <f t="shared" si="0"/>
        <v>1.103861478964022</v>
      </c>
    </row>
    <row r="41" spans="1:3" x14ac:dyDescent="0.2">
      <c r="A41" s="12">
        <v>2002</v>
      </c>
      <c r="B41" s="12">
        <v>104.179</v>
      </c>
      <c r="C41" s="16">
        <f t="shared" si="0"/>
        <v>1.084969139653865</v>
      </c>
    </row>
    <row r="42" spans="1:3" x14ac:dyDescent="0.2">
      <c r="A42" s="12">
        <v>2003</v>
      </c>
      <c r="B42" s="12">
        <v>106.396</v>
      </c>
      <c r="C42" s="16">
        <f t="shared" si="0"/>
        <v>1.0623613669686831</v>
      </c>
    </row>
    <row r="43" spans="1:3" x14ac:dyDescent="0.2">
      <c r="A43" s="12">
        <v>2004</v>
      </c>
      <c r="B43" s="12">
        <v>109.455</v>
      </c>
      <c r="C43" s="16">
        <f t="shared" si="0"/>
        <v>1.0326709606687681</v>
      </c>
    </row>
    <row r="44" spans="1:3" x14ac:dyDescent="0.2">
      <c r="A44" s="12">
        <v>2005</v>
      </c>
      <c r="B44" s="12">
        <v>113.03100000000001</v>
      </c>
      <c r="C44" s="16">
        <f t="shared" si="0"/>
        <v>1</v>
      </c>
    </row>
    <row r="45" spans="1:3" x14ac:dyDescent="0.2">
      <c r="A45" s="12">
        <v>2006</v>
      </c>
      <c r="B45" s="12">
        <v>116.672</v>
      </c>
      <c r="C45" s="16">
        <f t="shared" si="0"/>
        <v>0.96879285518376312</v>
      </c>
    </row>
    <row r="46" spans="1:3" x14ac:dyDescent="0.2">
      <c r="A46" s="12">
        <v>2007</v>
      </c>
      <c r="B46" s="12">
        <v>119.813</v>
      </c>
      <c r="C46" s="16">
        <f t="shared" si="0"/>
        <v>0.94339512406833981</v>
      </c>
    </row>
    <row r="49" spans="1:9" x14ac:dyDescent="0.2">
      <c r="A49" s="68" t="s">
        <v>1626</v>
      </c>
      <c r="B49" s="68"/>
      <c r="C49" s="68"/>
      <c r="D49" s="68"/>
      <c r="E49" s="68"/>
      <c r="F49" s="68"/>
      <c r="G49" s="68"/>
      <c r="H49" s="68"/>
      <c r="I49" s="68"/>
    </row>
    <row r="51" spans="1:9" x14ac:dyDescent="0.2">
      <c r="A51" s="42" t="s">
        <v>1627</v>
      </c>
      <c r="B51" s="43" t="s">
        <v>1628</v>
      </c>
      <c r="C51" s="44"/>
    </row>
    <row r="52" spans="1:9" ht="12.75" x14ac:dyDescent="0.2">
      <c r="A52" s="44"/>
      <c r="B52" s="45"/>
      <c r="C52" s="44" t="s">
        <v>1629</v>
      </c>
    </row>
    <row r="53" spans="1:9" x14ac:dyDescent="0.2">
      <c r="A53" s="44"/>
      <c r="B53" s="44" t="s">
        <v>1133</v>
      </c>
      <c r="C53" s="44">
        <v>0.125</v>
      </c>
      <c r="D53" s="44" t="s">
        <v>1630</v>
      </c>
    </row>
    <row r="54" spans="1:9" x14ac:dyDescent="0.2">
      <c r="A54" s="44"/>
      <c r="B54" s="44" t="s">
        <v>758</v>
      </c>
      <c r="C54" s="12">
        <v>0.13730000000000001</v>
      </c>
      <c r="D54" s="12" t="s">
        <v>1631</v>
      </c>
    </row>
    <row r="55" spans="1:9" x14ac:dyDescent="0.2">
      <c r="A55" s="44"/>
      <c r="B55" s="44" t="s">
        <v>1632</v>
      </c>
      <c r="C55" s="44">
        <v>8.43E-2</v>
      </c>
      <c r="D55" s="44" t="s">
        <v>1633</v>
      </c>
    </row>
    <row r="56" spans="1:9" x14ac:dyDescent="0.2">
      <c r="A56" s="44"/>
      <c r="B56" s="44" t="s">
        <v>501</v>
      </c>
      <c r="C56" s="44">
        <v>9.4899999999999998E-2</v>
      </c>
      <c r="D56" s="44" t="s">
        <v>1633</v>
      </c>
    </row>
    <row r="57" spans="1:9" x14ac:dyDescent="0.2">
      <c r="A57" s="44"/>
      <c r="B57" s="44" t="s">
        <v>1634</v>
      </c>
      <c r="C57" s="12">
        <v>0.128</v>
      </c>
      <c r="D57" s="12" t="s">
        <v>1631</v>
      </c>
    </row>
    <row r="58" spans="1:9" x14ac:dyDescent="0.2">
      <c r="A58" s="44"/>
      <c r="B58" s="44" t="s">
        <v>1635</v>
      </c>
      <c r="C58" s="44">
        <v>9.1300000000000006E-2</v>
      </c>
      <c r="D58" s="44" t="s">
        <v>1636</v>
      </c>
    </row>
    <row r="59" spans="1:9" x14ac:dyDescent="0.2">
      <c r="A59" s="44"/>
      <c r="B59" s="12" t="s">
        <v>1396</v>
      </c>
      <c r="C59" s="12">
        <v>0.13539999999999999</v>
      </c>
      <c r="D59" s="12" t="s">
        <v>1637</v>
      </c>
    </row>
    <row r="60" spans="1:9" x14ac:dyDescent="0.2">
      <c r="A60" s="44"/>
      <c r="B60" s="44" t="s">
        <v>1638</v>
      </c>
      <c r="C60" s="44">
        <v>0.10299999999999999</v>
      </c>
      <c r="D60" s="44" t="s">
        <v>1636</v>
      </c>
    </row>
    <row r="61" spans="1:9" x14ac:dyDescent="0.2">
      <c r="A61" s="44"/>
      <c r="B61" s="44" t="s">
        <v>1639</v>
      </c>
    </row>
    <row r="62" spans="1:9" x14ac:dyDescent="0.2">
      <c r="A62" s="44"/>
      <c r="B62" s="46" t="s">
        <v>498</v>
      </c>
      <c r="C62" s="47">
        <f>C63/10^6/0.454/1.33*3.79</f>
        <v>0.12899256400914177</v>
      </c>
      <c r="D62" s="44" t="s">
        <v>1640</v>
      </c>
    </row>
    <row r="63" spans="1:9" x14ac:dyDescent="0.2">
      <c r="A63" s="44"/>
      <c r="B63" s="48" t="s">
        <v>1641</v>
      </c>
      <c r="C63" s="44">
        <v>20551</v>
      </c>
      <c r="D63" s="44" t="s">
        <v>1636</v>
      </c>
    </row>
    <row r="64" spans="1:9" x14ac:dyDescent="0.2">
      <c r="A64" s="44"/>
      <c r="B64" s="48" t="s">
        <v>1642</v>
      </c>
      <c r="C64" s="44">
        <v>1027</v>
      </c>
      <c r="D64" s="44" t="s">
        <v>1636</v>
      </c>
    </row>
    <row r="65" spans="1:4" x14ac:dyDescent="0.2">
      <c r="A65" s="44"/>
      <c r="B65" s="48" t="s">
        <v>1643</v>
      </c>
      <c r="C65" s="44">
        <v>9.0800000000000006E-2</v>
      </c>
      <c r="D65" s="44" t="s">
        <v>1636</v>
      </c>
    </row>
    <row r="66" spans="1:4" x14ac:dyDescent="0.2">
      <c r="B66" s="44" t="s">
        <v>1644</v>
      </c>
      <c r="C66" s="44">
        <v>0.12</v>
      </c>
      <c r="D66" s="44" t="s">
        <v>1636</v>
      </c>
    </row>
    <row r="67" spans="1:4" x14ac:dyDescent="0.2">
      <c r="B67" s="44" t="s">
        <v>1266</v>
      </c>
      <c r="C67" s="44">
        <v>0.128</v>
      </c>
      <c r="D67" s="44" t="s">
        <v>1636</v>
      </c>
    </row>
    <row r="68" spans="1:4" x14ac:dyDescent="0.2">
      <c r="B68" s="44" t="s">
        <v>1645</v>
      </c>
      <c r="C68" s="44">
        <v>0.13500000000000001</v>
      </c>
      <c r="D68" s="44" t="s">
        <v>1636</v>
      </c>
    </row>
    <row r="69" spans="1:4" x14ac:dyDescent="0.2">
      <c r="B69" s="44" t="s">
        <v>1646</v>
      </c>
      <c r="C69" s="44">
        <v>6.4600000000000005E-2</v>
      </c>
      <c r="D69" s="44" t="s">
        <v>1636</v>
      </c>
    </row>
    <row r="70" spans="1:4" x14ac:dyDescent="0.2">
      <c r="B70" s="49" t="s">
        <v>1647</v>
      </c>
      <c r="C70" s="49">
        <f>0.85*C69+0.15*C53</f>
        <v>7.3660000000000003E-2</v>
      </c>
      <c r="D70" s="44" t="s">
        <v>1648</v>
      </c>
    </row>
    <row r="71" spans="1:4" ht="12.75" x14ac:dyDescent="0.2">
      <c r="B71" s="12" t="s">
        <v>1649</v>
      </c>
      <c r="C71" s="50" t="s">
        <v>1650</v>
      </c>
    </row>
    <row r="72" spans="1:4" ht="12.75" x14ac:dyDescent="0.2">
      <c r="C72" s="50" t="s">
        <v>1651</v>
      </c>
    </row>
  </sheetData>
  <phoneticPr fontId="25" type="noConversion"/>
  <hyperlinks>
    <hyperlink ref="C72" r:id="rId1" xr:uid="{00000000-0004-0000-2A00-000000000000}"/>
    <hyperlink ref="C71" r:id="rId2" xr:uid="{00000000-0004-0000-2A00-000001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2024-08-07T00:48:28+00:00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Props1.xml><?xml version="1.0" encoding="utf-8"?>
<ds:datastoreItem xmlns:ds="http://schemas.openxmlformats.org/officeDocument/2006/customXml" ds:itemID="{A20E594E-BD8E-4982-8261-2048BCF2EE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D5F00F-7B4B-4747-8A9C-EBC8DD39727D}">
  <ds:schemaRefs>
    <ds:schemaRef ds:uri="http://schemas.microsoft.com/sharepoint/v3/contenttype/forms"/>
  </ds:schemaRefs>
</ds:datastoreItem>
</file>

<file path=customXml/itemProps3.xml><?xml version="1.0" encoding="utf-8"?>
<ds:datastoreItem xmlns:ds="http://schemas.openxmlformats.org/officeDocument/2006/customXml" ds:itemID="{971F7869-F968-4FAC-BA36-3413E36AAFF8}">
  <ds:schemaRefs>
    <ds:schemaRef ds:uri="Microsoft.SharePoint.Taxonomy.ContentTypeSync"/>
  </ds:schemaRefs>
</ds:datastoreItem>
</file>

<file path=customXml/itemProps4.xml><?xml version="1.0" encoding="utf-8"?>
<ds:datastoreItem xmlns:ds="http://schemas.openxmlformats.org/officeDocument/2006/customXml" ds:itemID="{672CEBB4-C22C-4967-9D60-E0F921A9F561}">
  <ds:schemaRefs>
    <ds:schemaRef ds:uri="http://purl.org/dc/dcmitype/"/>
    <ds:schemaRef ds:uri="http://www.w3.org/XML/1998/namespace"/>
    <ds:schemaRef ds:uri="http://schemas.microsoft.com/sharepoint.v3"/>
    <ds:schemaRef ds:uri="http://purl.org/dc/terms/"/>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7a310f20-5be9-40b2-986c-0f6d35bf3dcd"/>
    <ds:schemaRef ds:uri="http://schemas.microsoft.com/sharepoint/v3/fields"/>
    <ds:schemaRef ds:uri="4ffa91fb-a0ff-4ac5-b2db-65c790d184a4"/>
    <ds:schemaRef ds:uri="http://schemas.microsoft.com/sharepoint/v3"/>
    <ds:schemaRef ds:uri="http://schemas.microsoft.com/office/2006/metadata/properties"/>
    <ds:schemaRef ds:uri="13d1ff91-c56c-48a5-881f-c0ec757c423c"/>
    <ds:schemaRef ds:uri="b61e3246-ffdd-47fd-afd5-fb211f629678"/>
    <ds:schemaRef ds:uri="3a45b8d2-5363-42cf-81ee-b666af54687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UC_TRNHDV</vt:lpstr>
      <vt:lpstr>UC_TRNHDVb</vt:lpstr>
      <vt:lpstr>ON-Road Historical share</vt:lpstr>
      <vt:lpstr>TRP</vt:lpstr>
      <vt:lpstr>&gt;&gt;&gt; Not used</vt:lpstr>
      <vt:lpstr>NewTech</vt:lpstr>
      <vt:lpstr>Commodities</vt:lpstr>
      <vt:lpstr>Technologies</vt:lpstr>
      <vt:lpstr>CommData</vt:lpstr>
      <vt:lpstr>TechData</vt:lpstr>
      <vt:lpstr>AEO Data</vt:lpstr>
      <vt:lpstr>Rail&amp;Bus</vt:lpstr>
      <vt:lpstr>Pop</vt:lpstr>
      <vt:lpstr>2015 GHG</vt:lpstr>
      <vt:lpstr>2010 GHG</vt:lpstr>
      <vt:lpstr>THS</vt:lpstr>
      <vt:lpstr>TM</vt:lpstr>
      <vt:lpstr>TB</vt:lpstr>
      <vt:lpstr>TSW</vt:lpstr>
      <vt:lpstr>Air&amp;Marine</vt:lpstr>
      <vt:lpstr>Freight</vt:lpstr>
      <vt:lpstr>Trucks</vt:lpstr>
      <vt:lpstr>Rail&amp;Bus2</vt:lpstr>
      <vt:lpstr>Conv Factors</vt:lpstr>
      <vt:lpstr>Full_OnRoad_Transpo</vt:lpstr>
      <vt:lpstr>On_Road_Transportation_Table</vt:lpstr>
      <vt:lpstr>On_Road_Transportation_Table_Years</vt:lpstr>
      <vt:lpstr>Onroad_tag</vt:lpstr>
    </vt:vector>
  </TitlesOfParts>
  <Manager/>
  <Company>Noble-Soft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Ken Noble</dc:creator>
  <cp:keywords/>
  <dc:description/>
  <cp:lastModifiedBy>Carroll, Zane</cp:lastModifiedBy>
  <cp:revision/>
  <dcterms:created xsi:type="dcterms:W3CDTF">2005-05-01T12:39:10Z</dcterms:created>
  <dcterms:modified xsi:type="dcterms:W3CDTF">2025-06-02T18:53:29Z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0x01010092854A4B9DA56A4E9E67ED7952786595</vt:lpwstr>
  </property>
  <property fmtid="{D5CDD505-2E9C-101B-9397-08002B2CF9AE}" pid="3" name="IsMyDocuments">
    <vt:bool>true</vt:bool>
  </property>
  <property fmtid="{D5CDD505-2E9C-101B-9397-08002B2CF9AE}" pid="4" name="TaxKeyword">
    <vt:lpwstr/>
  </property>
  <property fmtid="{D5CDD505-2E9C-101B-9397-08002B2CF9AE}" pid="5" name="Document_x0020_Type">
    <vt:lpwstr/>
  </property>
  <property fmtid="{D5CDD505-2E9C-101B-9397-08002B2CF9AE}" pid="6" name="Document Type">
    <vt:lpwstr/>
  </property>
  <property fmtid="{D5CDD505-2E9C-101B-9397-08002B2CF9AE}" pid="7" name="SaveCode">
    <vt:r8>618277966976165</vt:r8>
  </property>
  <property fmtid="{D5CDD505-2E9C-101B-9397-08002B2CF9AE}" pid="8" name="MediaServiceImageTags">
    <vt:lpwstr/>
  </property>
</Properties>
</file>